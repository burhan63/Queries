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emium\Premium\Omair ALi\29-Nov-2024\"/>
    </mc:Choice>
  </mc:AlternateContent>
  <xr:revisionPtr revIDLastSave="0" documentId="13_ncr:1_{D34BD19C-3A55-4039-8EF5-127EEC1889AA}" xr6:coauthVersionLast="47" xr6:coauthVersionMax="47" xr10:uidLastSave="{00000000-0000-0000-0000-000000000000}"/>
  <bookViews>
    <workbookView xWindow="-120" yWindow="-120" windowWidth="20730" windowHeight="11040" activeTab="1" xr2:uid="{A2264F31-0F5B-4F79-AB5E-D12035944864}"/>
  </bookViews>
  <sheets>
    <sheet name="Sheet1" sheetId="1" r:id="rId1"/>
    <sheet name="working" sheetId="2" r:id="rId2"/>
    <sheet name="Sheet3" sheetId="3" r:id="rId3"/>
    <sheet name="assortedcode" sheetId="4" r:id="rId4"/>
    <sheet name="certificate" sheetId="5" r:id="rId5"/>
  </sheets>
  <definedNames>
    <definedName name="_xlnm._FilterDatabase" localSheetId="4" hidden="1">certificate!$G$1:$I$339</definedName>
    <definedName name="_xlnm._FilterDatabase" localSheetId="2" hidden="1">Sheet3!$A$1:$E$511</definedName>
    <definedName name="_xlnm._FilterDatabase" localSheetId="1" hidden="1">working!$A$1:$H$2335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336" i="2" l="1"/>
  <c r="D2333" i="2"/>
  <c r="D2332" i="2"/>
  <c r="D2331" i="2"/>
  <c r="D2330" i="2"/>
  <c r="G2330" i="2" s="1"/>
  <c r="D2329" i="2"/>
  <c r="D2328" i="2"/>
  <c r="D2327" i="2"/>
  <c r="D2326" i="2"/>
  <c r="G2326" i="2" s="1"/>
  <c r="D2325" i="2"/>
  <c r="D2324" i="2"/>
  <c r="D2323" i="2"/>
  <c r="D2322" i="2"/>
  <c r="G2322" i="2" s="1"/>
  <c r="D2321" i="2"/>
  <c r="D2320" i="2"/>
  <c r="D2319" i="2"/>
  <c r="D2318" i="2"/>
  <c r="G2318" i="2" s="1"/>
  <c r="D2317" i="2"/>
  <c r="D2316" i="2"/>
  <c r="D2315" i="2"/>
  <c r="D2314" i="2"/>
  <c r="G2314" i="2" s="1"/>
  <c r="D2313" i="2"/>
  <c r="D2312" i="2"/>
  <c r="D2311" i="2"/>
  <c r="D2310" i="2"/>
  <c r="G2310" i="2" s="1"/>
  <c r="D2309" i="2"/>
  <c r="D2308" i="2"/>
  <c r="D2307" i="2"/>
  <c r="D2306" i="2"/>
  <c r="G2306" i="2" s="1"/>
  <c r="D2305" i="2"/>
  <c r="D2304" i="2"/>
  <c r="D2303" i="2"/>
  <c r="D2302" i="2"/>
  <c r="G2302" i="2" s="1"/>
  <c r="D2301" i="2"/>
  <c r="D2300" i="2"/>
  <c r="D2299" i="2"/>
  <c r="D2298" i="2"/>
  <c r="G2298" i="2" s="1"/>
  <c r="D2297" i="2"/>
  <c r="D2296" i="2"/>
  <c r="D2295" i="2"/>
  <c r="D2294" i="2"/>
  <c r="G2294" i="2" s="1"/>
  <c r="D2293" i="2"/>
  <c r="D2292" i="2"/>
  <c r="D2291" i="2"/>
  <c r="D2290" i="2"/>
  <c r="G2290" i="2" s="1"/>
  <c r="D2289" i="2"/>
  <c r="D2288" i="2"/>
  <c r="D2287" i="2"/>
  <c r="D2286" i="2"/>
  <c r="G2286" i="2" s="1"/>
  <c r="D2285" i="2"/>
  <c r="D2284" i="2"/>
  <c r="D2283" i="2"/>
  <c r="D2282" i="2"/>
  <c r="G2282" i="2" s="1"/>
  <c r="D2281" i="2"/>
  <c r="D2280" i="2"/>
  <c r="D2279" i="2"/>
  <c r="D2278" i="2"/>
  <c r="G2278" i="2" s="1"/>
  <c r="D2277" i="2"/>
  <c r="D2276" i="2"/>
  <c r="D2275" i="2"/>
  <c r="D2274" i="2"/>
  <c r="G2274" i="2" s="1"/>
  <c r="D2273" i="2"/>
  <c r="D2272" i="2"/>
  <c r="D2271" i="2"/>
  <c r="D2270" i="2"/>
  <c r="G2270" i="2" s="1"/>
  <c r="D2269" i="2"/>
  <c r="D2267" i="2"/>
  <c r="D2266" i="2"/>
  <c r="D2265" i="2"/>
  <c r="G2265" i="2" s="1"/>
  <c r="D2264" i="2"/>
  <c r="D2263" i="2"/>
  <c r="D2262" i="2"/>
  <c r="D2261" i="2"/>
  <c r="G2261" i="2" s="1"/>
  <c r="D2260" i="2"/>
  <c r="D2259" i="2"/>
  <c r="D2258" i="2"/>
  <c r="D2257" i="2"/>
  <c r="G2257" i="2" s="1"/>
  <c r="D2256" i="2"/>
  <c r="D2255" i="2"/>
  <c r="D2254" i="2"/>
  <c r="D2253" i="2"/>
  <c r="G2253" i="2" s="1"/>
  <c r="D2252" i="2"/>
  <c r="D2251" i="2"/>
  <c r="D2250" i="2"/>
  <c r="D2249" i="2"/>
  <c r="G2249" i="2" s="1"/>
  <c r="D2248" i="2"/>
  <c r="D2247" i="2"/>
  <c r="D2246" i="2"/>
  <c r="D2245" i="2"/>
  <c r="G2245" i="2" s="1"/>
  <c r="D2244" i="2"/>
  <c r="D2243" i="2"/>
  <c r="D2242" i="2"/>
  <c r="D2241" i="2"/>
  <c r="G2241" i="2" s="1"/>
  <c r="D2240" i="2"/>
  <c r="D2239" i="2"/>
  <c r="D2238" i="2"/>
  <c r="D2237" i="2"/>
  <c r="G2237" i="2" s="1"/>
  <c r="D2236" i="2"/>
  <c r="D2235" i="2"/>
  <c r="D2234" i="2"/>
  <c r="D2233" i="2"/>
  <c r="G2233" i="2" s="1"/>
  <c r="D2232" i="2"/>
  <c r="D2231" i="2"/>
  <c r="D2230" i="2"/>
  <c r="D2229" i="2"/>
  <c r="G2229" i="2" s="1"/>
  <c r="D2228" i="2"/>
  <c r="D2227" i="2"/>
  <c r="D2226" i="2"/>
  <c r="D2225" i="2"/>
  <c r="G2225" i="2" s="1"/>
  <c r="D2224" i="2"/>
  <c r="D2223" i="2"/>
  <c r="D2222" i="2"/>
  <c r="D2221" i="2"/>
  <c r="G2221" i="2" s="1"/>
  <c r="D2220" i="2"/>
  <c r="D2219" i="2"/>
  <c r="D2218" i="2"/>
  <c r="D2217" i="2"/>
  <c r="G2217" i="2" s="1"/>
  <c r="D2216" i="2"/>
  <c r="D2215" i="2"/>
  <c r="D2214" i="2"/>
  <c r="D2213" i="2"/>
  <c r="G2213" i="2" s="1"/>
  <c r="D2212" i="2"/>
  <c r="D2211" i="2"/>
  <c r="D2210" i="2"/>
  <c r="D2209" i="2"/>
  <c r="G2209" i="2" s="1"/>
  <c r="D2208" i="2"/>
  <c r="D2207" i="2"/>
  <c r="D2206" i="2"/>
  <c r="D2205" i="2"/>
  <c r="G2205" i="2" s="1"/>
  <c r="D2204" i="2"/>
  <c r="D2203" i="2"/>
  <c r="D2202" i="2"/>
  <c r="D2201" i="2"/>
  <c r="G2201" i="2" s="1"/>
  <c r="D2200" i="2"/>
  <c r="D2199" i="2"/>
  <c r="D2198" i="2"/>
  <c r="D2197" i="2"/>
  <c r="G2197" i="2" s="1"/>
  <c r="D2196" i="2"/>
  <c r="D2195" i="2"/>
  <c r="D2194" i="2"/>
  <c r="D2193" i="2"/>
  <c r="G2193" i="2" s="1"/>
  <c r="D2192" i="2"/>
  <c r="D2191" i="2"/>
  <c r="D2190" i="2"/>
  <c r="D2189" i="2"/>
  <c r="G2189" i="2" s="1"/>
  <c r="D2188" i="2"/>
  <c r="D2187" i="2"/>
  <c r="D2186" i="2"/>
  <c r="D2185" i="2"/>
  <c r="G2185" i="2" s="1"/>
  <c r="D2184" i="2"/>
  <c r="D2183" i="2"/>
  <c r="D2182" i="2"/>
  <c r="D2181" i="2"/>
  <c r="G2181" i="2" s="1"/>
  <c r="D2180" i="2"/>
  <c r="D2179" i="2"/>
  <c r="D2178" i="2"/>
  <c r="D2177" i="2"/>
  <c r="G2177" i="2" s="1"/>
  <c r="D2176" i="2"/>
  <c r="D2175" i="2"/>
  <c r="D2174" i="2"/>
  <c r="D2173" i="2"/>
  <c r="G2173" i="2" s="1"/>
  <c r="D2172" i="2"/>
  <c r="D2171" i="2"/>
  <c r="D2170" i="2"/>
  <c r="D2169" i="2"/>
  <c r="G2169" i="2" s="1"/>
  <c r="D2168" i="2"/>
  <c r="D2167" i="2"/>
  <c r="D2166" i="2"/>
  <c r="D2165" i="2"/>
  <c r="G2165" i="2" s="1"/>
  <c r="D2164" i="2"/>
  <c r="D2163" i="2"/>
  <c r="D2162" i="2"/>
  <c r="D2161" i="2"/>
  <c r="G2161" i="2" s="1"/>
  <c r="D2160" i="2"/>
  <c r="D2159" i="2"/>
  <c r="D2158" i="2"/>
  <c r="D2157" i="2"/>
  <c r="G2157" i="2" s="1"/>
  <c r="D2156" i="2"/>
  <c r="D2155" i="2"/>
  <c r="D2154" i="2"/>
  <c r="D2153" i="2"/>
  <c r="G2153" i="2" s="1"/>
  <c r="D2152" i="2"/>
  <c r="D2151" i="2"/>
  <c r="D2150" i="2"/>
  <c r="D2149" i="2"/>
  <c r="G2149" i="2" s="1"/>
  <c r="D2148" i="2"/>
  <c r="D2147" i="2"/>
  <c r="D2146" i="2"/>
  <c r="D2145" i="2"/>
  <c r="G2145" i="2" s="1"/>
  <c r="D2144" i="2"/>
  <c r="D2143" i="2"/>
  <c r="D2142" i="2"/>
  <c r="D2141" i="2"/>
  <c r="G2141" i="2" s="1"/>
  <c r="D2140" i="2"/>
  <c r="D2139" i="2"/>
  <c r="D2138" i="2"/>
  <c r="D2137" i="2"/>
  <c r="G2137" i="2" s="1"/>
  <c r="D2136" i="2"/>
  <c r="D2135" i="2"/>
  <c r="D2134" i="2"/>
  <c r="D2133" i="2"/>
  <c r="G2133" i="2" s="1"/>
  <c r="D2132" i="2"/>
  <c r="D2131" i="2"/>
  <c r="D2130" i="2"/>
  <c r="D2129" i="2"/>
  <c r="G2129" i="2" s="1"/>
  <c r="D2128" i="2"/>
  <c r="D2127" i="2"/>
  <c r="D2126" i="2"/>
  <c r="D2125" i="2"/>
  <c r="G2125" i="2" s="1"/>
  <c r="D2124" i="2"/>
  <c r="D2123" i="2"/>
  <c r="D2122" i="2"/>
  <c r="D2121" i="2"/>
  <c r="G2121" i="2" s="1"/>
  <c r="D2120" i="2"/>
  <c r="D2119" i="2"/>
  <c r="D2118" i="2"/>
  <c r="D2117" i="2"/>
  <c r="G2117" i="2" s="1"/>
  <c r="D2116" i="2"/>
  <c r="D2115" i="2"/>
  <c r="D2114" i="2"/>
  <c r="D2113" i="2"/>
  <c r="G2113" i="2" s="1"/>
  <c r="D2112" i="2"/>
  <c r="D2111" i="2"/>
  <c r="D2110" i="2"/>
  <c r="D2109" i="2"/>
  <c r="G2109" i="2" s="1"/>
  <c r="D2108" i="2"/>
  <c r="D2107" i="2"/>
  <c r="D2106" i="2"/>
  <c r="D2105" i="2"/>
  <c r="G2105" i="2" s="1"/>
  <c r="D2104" i="2"/>
  <c r="D2103" i="2"/>
  <c r="D2102" i="2"/>
  <c r="D2101" i="2"/>
  <c r="G2101" i="2" s="1"/>
  <c r="D2100" i="2"/>
  <c r="D2099" i="2"/>
  <c r="D2098" i="2"/>
  <c r="D2097" i="2"/>
  <c r="G2097" i="2" s="1"/>
  <c r="D2096" i="2"/>
  <c r="D2095" i="2"/>
  <c r="D2094" i="2"/>
  <c r="D2093" i="2"/>
  <c r="G2093" i="2" s="1"/>
  <c r="D2092" i="2"/>
  <c r="D2091" i="2"/>
  <c r="D2090" i="2"/>
  <c r="D2089" i="2"/>
  <c r="G2089" i="2" s="1"/>
  <c r="D2088" i="2"/>
  <c r="D2087" i="2"/>
  <c r="D2086" i="2"/>
  <c r="D2085" i="2"/>
  <c r="G2085" i="2" s="1"/>
  <c r="D2084" i="2"/>
  <c r="D2083" i="2"/>
  <c r="D2082" i="2"/>
  <c r="D2081" i="2"/>
  <c r="G2081" i="2" s="1"/>
  <c r="D2080" i="2"/>
  <c r="D2079" i="2"/>
  <c r="D2078" i="2"/>
  <c r="D2077" i="2"/>
  <c r="G2077" i="2" s="1"/>
  <c r="D2076" i="2"/>
  <c r="D2075" i="2"/>
  <c r="D2074" i="2"/>
  <c r="D2073" i="2"/>
  <c r="G2073" i="2" s="1"/>
  <c r="D2072" i="2"/>
  <c r="D2071" i="2"/>
  <c r="D2070" i="2"/>
  <c r="D2069" i="2"/>
  <c r="G2069" i="2" s="1"/>
  <c r="D2068" i="2"/>
  <c r="D2067" i="2"/>
  <c r="D2066" i="2"/>
  <c r="D2065" i="2"/>
  <c r="G2065" i="2" s="1"/>
  <c r="D2064" i="2"/>
  <c r="D2063" i="2"/>
  <c r="D2062" i="2"/>
  <c r="D2061" i="2"/>
  <c r="G2061" i="2" s="1"/>
  <c r="D2060" i="2"/>
  <c r="D2059" i="2"/>
  <c r="D2058" i="2"/>
  <c r="D2057" i="2"/>
  <c r="G2057" i="2" s="1"/>
  <c r="D2056" i="2"/>
  <c r="D2055" i="2"/>
  <c r="D2054" i="2"/>
  <c r="D2053" i="2"/>
  <c r="G2053" i="2" s="1"/>
  <c r="D2052" i="2"/>
  <c r="D2051" i="2"/>
  <c r="D2050" i="2"/>
  <c r="D2049" i="2"/>
  <c r="G2049" i="2" s="1"/>
  <c r="D2048" i="2"/>
  <c r="D2047" i="2"/>
  <c r="D2046" i="2"/>
  <c r="D2045" i="2"/>
  <c r="G2045" i="2" s="1"/>
  <c r="D2044" i="2"/>
  <c r="D2043" i="2"/>
  <c r="D2042" i="2"/>
  <c r="D2041" i="2"/>
  <c r="G2041" i="2" s="1"/>
  <c r="D2040" i="2"/>
  <c r="D2039" i="2"/>
  <c r="D2038" i="2"/>
  <c r="D2037" i="2"/>
  <c r="G2037" i="2" s="1"/>
  <c r="D2036" i="2"/>
  <c r="D2035" i="2"/>
  <c r="D2034" i="2"/>
  <c r="D2033" i="2"/>
  <c r="G2033" i="2" s="1"/>
  <c r="D2032" i="2"/>
  <c r="D2031" i="2"/>
  <c r="D2030" i="2"/>
  <c r="D2029" i="2"/>
  <c r="G2029" i="2" s="1"/>
  <c r="D2028" i="2"/>
  <c r="D2027" i="2"/>
  <c r="D2026" i="2"/>
  <c r="D2025" i="2"/>
  <c r="G2025" i="2" s="1"/>
  <c r="D2024" i="2"/>
  <c r="D2023" i="2"/>
  <c r="D2022" i="2"/>
  <c r="D2021" i="2"/>
  <c r="G2021" i="2" s="1"/>
  <c r="D2020" i="2"/>
  <c r="D2019" i="2"/>
  <c r="D2018" i="2"/>
  <c r="D2017" i="2"/>
  <c r="G2017" i="2" s="1"/>
  <c r="D2016" i="2"/>
  <c r="D2015" i="2"/>
  <c r="D2014" i="2"/>
  <c r="D2013" i="2"/>
  <c r="G2013" i="2" s="1"/>
  <c r="D2012" i="2"/>
  <c r="D2011" i="2"/>
  <c r="D2010" i="2"/>
  <c r="D2009" i="2"/>
  <c r="G2009" i="2" s="1"/>
  <c r="D2008" i="2"/>
  <c r="D2007" i="2"/>
  <c r="D2006" i="2"/>
  <c r="D2005" i="2"/>
  <c r="G2005" i="2" s="1"/>
  <c r="D2004" i="2"/>
  <c r="D2003" i="2"/>
  <c r="D2002" i="2"/>
  <c r="D2001" i="2"/>
  <c r="G2001" i="2" s="1"/>
  <c r="D2000" i="2"/>
  <c r="D1999" i="2"/>
  <c r="D1998" i="2"/>
  <c r="D1997" i="2"/>
  <c r="G1997" i="2" s="1"/>
  <c r="D1996" i="2"/>
  <c r="D1995" i="2"/>
  <c r="D1994" i="2"/>
  <c r="D1993" i="2"/>
  <c r="G1993" i="2" s="1"/>
  <c r="D1992" i="2"/>
  <c r="D1991" i="2"/>
  <c r="D1990" i="2"/>
  <c r="D1989" i="2"/>
  <c r="G1989" i="2" s="1"/>
  <c r="D1988" i="2"/>
  <c r="D1987" i="2"/>
  <c r="D1986" i="2"/>
  <c r="D1985" i="2"/>
  <c r="G1985" i="2" s="1"/>
  <c r="D1984" i="2"/>
  <c r="D1983" i="2"/>
  <c r="D1982" i="2"/>
  <c r="D1981" i="2"/>
  <c r="G1981" i="2" s="1"/>
  <c r="D1980" i="2"/>
  <c r="D1979" i="2"/>
  <c r="D1978" i="2"/>
  <c r="D1977" i="2"/>
  <c r="G1977" i="2" s="1"/>
  <c r="D1976" i="2"/>
  <c r="D1975" i="2"/>
  <c r="D1974" i="2"/>
  <c r="D1973" i="2"/>
  <c r="G1973" i="2" s="1"/>
  <c r="D1972" i="2"/>
  <c r="D1971" i="2"/>
  <c r="D1970" i="2"/>
  <c r="D1969" i="2"/>
  <c r="G1969" i="2" s="1"/>
  <c r="D1968" i="2"/>
  <c r="D1967" i="2"/>
  <c r="D1966" i="2"/>
  <c r="D1965" i="2"/>
  <c r="G1965" i="2" s="1"/>
  <c r="D1964" i="2"/>
  <c r="D1963" i="2"/>
  <c r="D1962" i="2"/>
  <c r="D1961" i="2"/>
  <c r="G1961" i="2" s="1"/>
  <c r="D1960" i="2"/>
  <c r="D1959" i="2"/>
  <c r="D1958" i="2"/>
  <c r="D1957" i="2"/>
  <c r="G1957" i="2" s="1"/>
  <c r="D1956" i="2"/>
  <c r="D1955" i="2"/>
  <c r="D1954" i="2"/>
  <c r="D1953" i="2"/>
  <c r="G1953" i="2" s="1"/>
  <c r="D1952" i="2"/>
  <c r="D1951" i="2"/>
  <c r="D1950" i="2"/>
  <c r="D1949" i="2"/>
  <c r="G1949" i="2" s="1"/>
  <c r="D1948" i="2"/>
  <c r="D1947" i="2"/>
  <c r="D1946" i="2"/>
  <c r="D1945" i="2"/>
  <c r="G1945" i="2" s="1"/>
  <c r="D1944" i="2"/>
  <c r="D1943" i="2"/>
  <c r="D1942" i="2"/>
  <c r="D1941" i="2"/>
  <c r="G1941" i="2" s="1"/>
  <c r="D1940" i="2"/>
  <c r="D1939" i="2"/>
  <c r="D1938" i="2"/>
  <c r="D1937" i="2"/>
  <c r="G1937" i="2" s="1"/>
  <c r="D1936" i="2"/>
  <c r="D1935" i="2"/>
  <c r="D1934" i="2"/>
  <c r="D1933" i="2"/>
  <c r="G1933" i="2" s="1"/>
  <c r="D1932" i="2"/>
  <c r="D1931" i="2"/>
  <c r="D1930" i="2"/>
  <c r="D1929" i="2"/>
  <c r="G1929" i="2" s="1"/>
  <c r="D1928" i="2"/>
  <c r="D1927" i="2"/>
  <c r="D1926" i="2"/>
  <c r="D1925" i="2"/>
  <c r="G1925" i="2" s="1"/>
  <c r="D1924" i="2"/>
  <c r="D1923" i="2"/>
  <c r="D1922" i="2"/>
  <c r="D1921" i="2"/>
  <c r="G1921" i="2" s="1"/>
  <c r="D1920" i="2"/>
  <c r="D1919" i="2"/>
  <c r="D1918" i="2"/>
  <c r="D1917" i="2"/>
  <c r="G1917" i="2" s="1"/>
  <c r="D1916" i="2"/>
  <c r="D1915" i="2"/>
  <c r="D1914" i="2"/>
  <c r="D1913" i="2"/>
  <c r="G1913" i="2" s="1"/>
  <c r="D1912" i="2"/>
  <c r="D1911" i="2"/>
  <c r="D1910" i="2"/>
  <c r="D1909" i="2"/>
  <c r="G1909" i="2" s="1"/>
  <c r="D1908" i="2"/>
  <c r="D1907" i="2"/>
  <c r="D1906" i="2"/>
  <c r="D1905" i="2"/>
  <c r="G1905" i="2" s="1"/>
  <c r="D1904" i="2"/>
  <c r="D1903" i="2"/>
  <c r="D1902" i="2"/>
  <c r="D1901" i="2"/>
  <c r="G1901" i="2" s="1"/>
  <c r="D1900" i="2"/>
  <c r="D1899" i="2"/>
  <c r="D1898" i="2"/>
  <c r="D1897" i="2"/>
  <c r="G1897" i="2" s="1"/>
  <c r="D1896" i="2"/>
  <c r="D1895" i="2"/>
  <c r="D1894" i="2"/>
  <c r="D1893" i="2"/>
  <c r="G1893" i="2" s="1"/>
  <c r="D1892" i="2"/>
  <c r="D1891" i="2"/>
  <c r="D1890" i="2"/>
  <c r="D1889" i="2"/>
  <c r="G1889" i="2" s="1"/>
  <c r="D1888" i="2"/>
  <c r="D1887" i="2"/>
  <c r="D1886" i="2"/>
  <c r="D1885" i="2"/>
  <c r="G1885" i="2" s="1"/>
  <c r="D1884" i="2"/>
  <c r="D1883" i="2"/>
  <c r="D1882" i="2"/>
  <c r="D1881" i="2"/>
  <c r="G1881" i="2" s="1"/>
  <c r="D1880" i="2"/>
  <c r="D1879" i="2"/>
  <c r="D1878" i="2"/>
  <c r="D1877" i="2"/>
  <c r="G1877" i="2" s="1"/>
  <c r="D1876" i="2"/>
  <c r="D1875" i="2"/>
  <c r="D1874" i="2"/>
  <c r="D1873" i="2"/>
  <c r="G1873" i="2" s="1"/>
  <c r="D1872" i="2"/>
  <c r="D1871" i="2"/>
  <c r="D1870" i="2"/>
  <c r="D1869" i="2"/>
  <c r="G1869" i="2" s="1"/>
  <c r="D1868" i="2"/>
  <c r="D1867" i="2"/>
  <c r="D1866" i="2"/>
  <c r="D1865" i="2"/>
  <c r="G1865" i="2" s="1"/>
  <c r="D1864" i="2"/>
  <c r="D1863" i="2"/>
  <c r="D1862" i="2"/>
  <c r="D1861" i="2"/>
  <c r="G1861" i="2" s="1"/>
  <c r="D1860" i="2"/>
  <c r="D1859" i="2"/>
  <c r="D1858" i="2"/>
  <c r="D1857" i="2"/>
  <c r="G1857" i="2" s="1"/>
  <c r="D1856" i="2"/>
  <c r="D1855" i="2"/>
  <c r="D1854" i="2"/>
  <c r="D1853" i="2"/>
  <c r="G1853" i="2" s="1"/>
  <c r="D1852" i="2"/>
  <c r="D1851" i="2"/>
  <c r="D1850" i="2"/>
  <c r="D1849" i="2"/>
  <c r="G1849" i="2" s="1"/>
  <c r="D1848" i="2"/>
  <c r="D1847" i="2"/>
  <c r="D1846" i="2"/>
  <c r="D1845" i="2"/>
  <c r="G1845" i="2" s="1"/>
  <c r="D1844" i="2"/>
  <c r="D1843" i="2"/>
  <c r="D1842" i="2"/>
  <c r="D1841" i="2"/>
  <c r="G1841" i="2" s="1"/>
  <c r="D1840" i="2"/>
  <c r="D1839" i="2"/>
  <c r="D1838" i="2"/>
  <c r="D1837" i="2"/>
  <c r="G1837" i="2" s="1"/>
  <c r="D1836" i="2"/>
  <c r="D1835" i="2"/>
  <c r="D1834" i="2"/>
  <c r="D1833" i="2"/>
  <c r="G1833" i="2" s="1"/>
  <c r="D1832" i="2"/>
  <c r="D1831" i="2"/>
  <c r="D1830" i="2"/>
  <c r="D1829" i="2"/>
  <c r="G1829" i="2" s="1"/>
  <c r="D1828" i="2"/>
  <c r="D1827" i="2"/>
  <c r="D1826" i="2"/>
  <c r="D1825" i="2"/>
  <c r="G1825" i="2" s="1"/>
  <c r="D1824" i="2"/>
  <c r="D1823" i="2"/>
  <c r="D1822" i="2"/>
  <c r="D1821" i="2"/>
  <c r="G1821" i="2" s="1"/>
  <c r="D1820" i="2"/>
  <c r="D1819" i="2"/>
  <c r="D1818" i="2"/>
  <c r="D1817" i="2"/>
  <c r="G1817" i="2" s="1"/>
  <c r="D1816" i="2"/>
  <c r="D1815" i="2"/>
  <c r="D1814" i="2"/>
  <c r="D1813" i="2"/>
  <c r="G1813" i="2" s="1"/>
  <c r="D1812" i="2"/>
  <c r="D1811" i="2"/>
  <c r="D1810" i="2"/>
  <c r="D1809" i="2"/>
  <c r="G1809" i="2" s="1"/>
  <c r="D1808" i="2"/>
  <c r="D1807" i="2"/>
  <c r="D1806" i="2"/>
  <c r="D1805" i="2"/>
  <c r="G1805" i="2" s="1"/>
  <c r="D1804" i="2"/>
  <c r="D1803" i="2"/>
  <c r="D1802" i="2"/>
  <c r="D1801" i="2"/>
  <c r="G1801" i="2" s="1"/>
  <c r="D1800" i="2"/>
  <c r="D1799" i="2"/>
  <c r="D1798" i="2"/>
  <c r="D1797" i="2"/>
  <c r="G1797" i="2" s="1"/>
  <c r="D1796" i="2"/>
  <c r="D1795" i="2"/>
  <c r="D1794" i="2"/>
  <c r="D1793" i="2"/>
  <c r="G1793" i="2" s="1"/>
  <c r="D1792" i="2"/>
  <c r="D1791" i="2"/>
  <c r="D1790" i="2"/>
  <c r="D1789" i="2"/>
  <c r="G1789" i="2" s="1"/>
  <c r="D1788" i="2"/>
  <c r="D1787" i="2"/>
  <c r="D1786" i="2"/>
  <c r="D1785" i="2"/>
  <c r="G1785" i="2" s="1"/>
  <c r="D1784" i="2"/>
  <c r="D1783" i="2"/>
  <c r="D1782" i="2"/>
  <c r="D1781" i="2"/>
  <c r="G1781" i="2" s="1"/>
  <c r="D1780" i="2"/>
  <c r="D1779" i="2"/>
  <c r="D1778" i="2"/>
  <c r="D1777" i="2"/>
  <c r="G1777" i="2" s="1"/>
  <c r="D1776" i="2"/>
  <c r="D1775" i="2"/>
  <c r="D1774" i="2"/>
  <c r="D1773" i="2"/>
  <c r="G1773" i="2" s="1"/>
  <c r="D1772" i="2"/>
  <c r="D1771" i="2"/>
  <c r="D1770" i="2"/>
  <c r="D1769" i="2"/>
  <c r="G1769" i="2" s="1"/>
  <c r="D1768" i="2"/>
  <c r="D1767" i="2"/>
  <c r="D1766" i="2"/>
  <c r="D1765" i="2"/>
  <c r="G1765" i="2" s="1"/>
  <c r="D1764" i="2"/>
  <c r="D1763" i="2"/>
  <c r="D1762" i="2"/>
  <c r="D1761" i="2"/>
  <c r="G1761" i="2" s="1"/>
  <c r="D1760" i="2"/>
  <c r="D1759" i="2"/>
  <c r="D1758" i="2"/>
  <c r="D1757" i="2"/>
  <c r="G1757" i="2" s="1"/>
  <c r="D1756" i="2"/>
  <c r="D1755" i="2"/>
  <c r="D1754" i="2"/>
  <c r="D1753" i="2"/>
  <c r="G1753" i="2" s="1"/>
  <c r="D1752" i="2"/>
  <c r="D1751" i="2"/>
  <c r="D1750" i="2"/>
  <c r="D1749" i="2"/>
  <c r="G1749" i="2" s="1"/>
  <c r="D1748" i="2"/>
  <c r="D1747" i="2"/>
  <c r="D1746" i="2"/>
  <c r="D1745" i="2"/>
  <c r="G1745" i="2" s="1"/>
  <c r="D1744" i="2"/>
  <c r="D1743" i="2"/>
  <c r="D1742" i="2"/>
  <c r="D1741" i="2"/>
  <c r="G1741" i="2" s="1"/>
  <c r="D1740" i="2"/>
  <c r="D1739" i="2"/>
  <c r="D1738" i="2"/>
  <c r="D1737" i="2"/>
  <c r="G1737" i="2" s="1"/>
  <c r="D1736" i="2"/>
  <c r="D1735" i="2"/>
  <c r="D1734" i="2"/>
  <c r="D1733" i="2"/>
  <c r="G1733" i="2" s="1"/>
  <c r="D1732" i="2"/>
  <c r="D1731" i="2"/>
  <c r="D1730" i="2"/>
  <c r="D1729" i="2"/>
  <c r="G1729" i="2" s="1"/>
  <c r="D1728" i="2"/>
  <c r="D1727" i="2"/>
  <c r="D1726" i="2"/>
  <c r="D1725" i="2"/>
  <c r="G1725" i="2" s="1"/>
  <c r="D1724" i="2"/>
  <c r="D1723" i="2"/>
  <c r="D1722" i="2"/>
  <c r="D1721" i="2"/>
  <c r="G1721" i="2" s="1"/>
  <c r="D1720" i="2"/>
  <c r="D1719" i="2"/>
  <c r="D1718" i="2"/>
  <c r="D1717" i="2"/>
  <c r="G1717" i="2" s="1"/>
  <c r="D1716" i="2"/>
  <c r="D1715" i="2"/>
  <c r="D1714" i="2"/>
  <c r="D1713" i="2"/>
  <c r="G1713" i="2" s="1"/>
  <c r="D1712" i="2"/>
  <c r="D1711" i="2"/>
  <c r="D1710" i="2"/>
  <c r="D1709" i="2"/>
  <c r="G1709" i="2" s="1"/>
  <c r="D1708" i="2"/>
  <c r="D1707" i="2"/>
  <c r="D1706" i="2"/>
  <c r="D1705" i="2"/>
  <c r="G1705" i="2" s="1"/>
  <c r="D1704" i="2"/>
  <c r="D1703" i="2"/>
  <c r="D1702" i="2"/>
  <c r="D1701" i="2"/>
  <c r="G1701" i="2" s="1"/>
  <c r="D1700" i="2"/>
  <c r="D1699" i="2"/>
  <c r="D1698" i="2"/>
  <c r="D1697" i="2"/>
  <c r="G1697" i="2" s="1"/>
  <c r="D1696" i="2"/>
  <c r="D1695" i="2"/>
  <c r="D1694" i="2"/>
  <c r="D1693" i="2"/>
  <c r="G1693" i="2" s="1"/>
  <c r="D1692" i="2"/>
  <c r="D1691" i="2"/>
  <c r="D1690" i="2"/>
  <c r="D1689" i="2"/>
  <c r="G1689" i="2" s="1"/>
  <c r="D1688" i="2"/>
  <c r="D1687" i="2"/>
  <c r="D1686" i="2"/>
  <c r="D1685" i="2"/>
  <c r="G1685" i="2" s="1"/>
  <c r="D1684" i="2"/>
  <c r="D1683" i="2"/>
  <c r="D1682" i="2"/>
  <c r="D1681" i="2"/>
  <c r="G1681" i="2" s="1"/>
  <c r="D1680" i="2"/>
  <c r="D1679" i="2"/>
  <c r="D1678" i="2"/>
  <c r="D1677" i="2"/>
  <c r="G1677" i="2" s="1"/>
  <c r="D1676" i="2"/>
  <c r="D1675" i="2"/>
  <c r="D1674" i="2"/>
  <c r="D1673" i="2"/>
  <c r="G1673" i="2" s="1"/>
  <c r="D1672" i="2"/>
  <c r="D1671" i="2"/>
  <c r="D1670" i="2"/>
  <c r="D1669" i="2"/>
  <c r="G1669" i="2" s="1"/>
  <c r="D1668" i="2"/>
  <c r="D1667" i="2"/>
  <c r="D1666" i="2"/>
  <c r="D1665" i="2"/>
  <c r="G1665" i="2" s="1"/>
  <c r="D1664" i="2"/>
  <c r="D1663" i="2"/>
  <c r="D1662" i="2"/>
  <c r="D1661" i="2"/>
  <c r="G1661" i="2" s="1"/>
  <c r="D1660" i="2"/>
  <c r="D1659" i="2"/>
  <c r="D1658" i="2"/>
  <c r="D1657" i="2"/>
  <c r="G1657" i="2" s="1"/>
  <c r="D1656" i="2"/>
  <c r="D1655" i="2"/>
  <c r="D1654" i="2"/>
  <c r="D1653" i="2"/>
  <c r="G1653" i="2" s="1"/>
  <c r="D1652" i="2"/>
  <c r="D1651" i="2"/>
  <c r="D1650" i="2"/>
  <c r="D1649" i="2"/>
  <c r="G1649" i="2" s="1"/>
  <c r="D1648" i="2"/>
  <c r="D1647" i="2"/>
  <c r="D1646" i="2"/>
  <c r="D1645" i="2"/>
  <c r="G1645" i="2" s="1"/>
  <c r="D1644" i="2"/>
  <c r="D1643" i="2"/>
  <c r="D1642" i="2"/>
  <c r="D1641" i="2"/>
  <c r="G1641" i="2" s="1"/>
  <c r="D1640" i="2"/>
  <c r="D1639" i="2"/>
  <c r="D1638" i="2"/>
  <c r="D1637" i="2"/>
  <c r="G1637" i="2" s="1"/>
  <c r="D1636" i="2"/>
  <c r="D1635" i="2"/>
  <c r="D1634" i="2"/>
  <c r="D1633" i="2"/>
  <c r="G1633" i="2" s="1"/>
  <c r="D1632" i="2"/>
  <c r="D1631" i="2"/>
  <c r="D1630" i="2"/>
  <c r="D1629" i="2"/>
  <c r="G1629" i="2" s="1"/>
  <c r="D1628" i="2"/>
  <c r="D1627" i="2"/>
  <c r="D1626" i="2"/>
  <c r="D1625" i="2"/>
  <c r="G1625" i="2" s="1"/>
  <c r="D1624" i="2"/>
  <c r="D1623" i="2"/>
  <c r="D1622" i="2"/>
  <c r="D1621" i="2"/>
  <c r="G1621" i="2" s="1"/>
  <c r="D1620" i="2"/>
  <c r="D1619" i="2"/>
  <c r="D1618" i="2"/>
  <c r="D1617" i="2"/>
  <c r="G1617" i="2" s="1"/>
  <c r="D1616" i="2"/>
  <c r="D1615" i="2"/>
  <c r="D1614" i="2"/>
  <c r="D1613" i="2"/>
  <c r="G1613" i="2" s="1"/>
  <c r="D1612" i="2"/>
  <c r="D1611" i="2"/>
  <c r="D1610" i="2"/>
  <c r="D1609" i="2"/>
  <c r="G1609" i="2" s="1"/>
  <c r="D1608" i="2"/>
  <c r="D1607" i="2"/>
  <c r="D1606" i="2"/>
  <c r="D1605" i="2"/>
  <c r="G1605" i="2" s="1"/>
  <c r="D1604" i="2"/>
  <c r="D1603" i="2"/>
  <c r="D1602" i="2"/>
  <c r="D1601" i="2"/>
  <c r="G1601" i="2" s="1"/>
  <c r="D1600" i="2"/>
  <c r="D1599" i="2"/>
  <c r="D1598" i="2"/>
  <c r="D1597" i="2"/>
  <c r="G1597" i="2" s="1"/>
  <c r="D1596" i="2"/>
  <c r="D1595" i="2"/>
  <c r="D1594" i="2"/>
  <c r="D1593" i="2"/>
  <c r="G1593" i="2" s="1"/>
  <c r="D1592" i="2"/>
  <c r="D1591" i="2"/>
  <c r="D1590" i="2"/>
  <c r="D1589" i="2"/>
  <c r="G1589" i="2" s="1"/>
  <c r="D1588" i="2"/>
  <c r="D1587" i="2"/>
  <c r="D1586" i="2"/>
  <c r="D1585" i="2"/>
  <c r="G1585" i="2" s="1"/>
  <c r="D1584" i="2"/>
  <c r="D1583" i="2"/>
  <c r="D1582" i="2"/>
  <c r="D1581" i="2"/>
  <c r="G1581" i="2" s="1"/>
  <c r="D1580" i="2"/>
  <c r="D1579" i="2"/>
  <c r="D1578" i="2"/>
  <c r="D1577" i="2"/>
  <c r="G1577" i="2" s="1"/>
  <c r="D1576" i="2"/>
  <c r="D1575" i="2"/>
  <c r="D1574" i="2"/>
  <c r="D1573" i="2"/>
  <c r="G1573" i="2" s="1"/>
  <c r="D1572" i="2"/>
  <c r="D1571" i="2"/>
  <c r="D1570" i="2"/>
  <c r="D1569" i="2"/>
  <c r="G1569" i="2" s="1"/>
  <c r="D1568" i="2"/>
  <c r="D1567" i="2"/>
  <c r="D1566" i="2"/>
  <c r="D1565" i="2"/>
  <c r="G1565" i="2" s="1"/>
  <c r="D1564" i="2"/>
  <c r="D1563" i="2"/>
  <c r="D1562" i="2"/>
  <c r="D1561" i="2"/>
  <c r="G1561" i="2" s="1"/>
  <c r="D1560" i="2"/>
  <c r="D1559" i="2"/>
  <c r="D1558" i="2"/>
  <c r="D1557" i="2"/>
  <c r="G1557" i="2" s="1"/>
  <c r="D1556" i="2"/>
  <c r="D1555" i="2"/>
  <c r="D1554" i="2"/>
  <c r="D1553" i="2"/>
  <c r="G1553" i="2" s="1"/>
  <c r="D1552" i="2"/>
  <c r="D1551" i="2"/>
  <c r="D1550" i="2"/>
  <c r="D1549" i="2"/>
  <c r="G1549" i="2" s="1"/>
  <c r="D1548" i="2"/>
  <c r="D1547" i="2"/>
  <c r="D1546" i="2"/>
  <c r="D1545" i="2"/>
  <c r="G1545" i="2" s="1"/>
  <c r="D1544" i="2"/>
  <c r="D1543" i="2"/>
  <c r="D1542" i="2"/>
  <c r="D1541" i="2"/>
  <c r="G1541" i="2" s="1"/>
  <c r="D1540" i="2"/>
  <c r="D1539" i="2"/>
  <c r="D1538" i="2"/>
  <c r="D1537" i="2"/>
  <c r="G1537" i="2" s="1"/>
  <c r="D1536" i="2"/>
  <c r="D1535" i="2"/>
  <c r="D1534" i="2"/>
  <c r="D1533" i="2"/>
  <c r="G1533" i="2" s="1"/>
  <c r="D1532" i="2"/>
  <c r="D1531" i="2"/>
  <c r="D1530" i="2"/>
  <c r="D1529" i="2"/>
  <c r="G1529" i="2" s="1"/>
  <c r="D1528" i="2"/>
  <c r="D1527" i="2"/>
  <c r="D1526" i="2"/>
  <c r="D1525" i="2"/>
  <c r="G1525" i="2" s="1"/>
  <c r="D1524" i="2"/>
  <c r="D1523" i="2"/>
  <c r="D1522" i="2"/>
  <c r="D1521" i="2"/>
  <c r="G1521" i="2" s="1"/>
  <c r="D1520" i="2"/>
  <c r="D1519" i="2"/>
  <c r="D1518" i="2"/>
  <c r="D1517" i="2"/>
  <c r="G1517" i="2" s="1"/>
  <c r="D1516" i="2"/>
  <c r="D1515" i="2"/>
  <c r="D1514" i="2"/>
  <c r="D1513" i="2"/>
  <c r="G1513" i="2" s="1"/>
  <c r="D1512" i="2"/>
  <c r="D1511" i="2"/>
  <c r="D1510" i="2"/>
  <c r="D1509" i="2"/>
  <c r="G1509" i="2" s="1"/>
  <c r="D1508" i="2"/>
  <c r="D1507" i="2"/>
  <c r="D1506" i="2"/>
  <c r="D1505" i="2"/>
  <c r="G1505" i="2" s="1"/>
  <c r="D1504" i="2"/>
  <c r="D1503" i="2"/>
  <c r="D1502" i="2"/>
  <c r="D1501" i="2"/>
  <c r="G1501" i="2" s="1"/>
  <c r="D1500" i="2"/>
  <c r="D1499" i="2"/>
  <c r="D1498" i="2"/>
  <c r="D1497" i="2"/>
  <c r="G1497" i="2" s="1"/>
  <c r="D1496" i="2"/>
  <c r="D1495" i="2"/>
  <c r="D1494" i="2"/>
  <c r="D1493" i="2"/>
  <c r="G1493" i="2" s="1"/>
  <c r="D1492" i="2"/>
  <c r="D1491" i="2"/>
  <c r="D1490" i="2"/>
  <c r="D1489" i="2"/>
  <c r="G1489" i="2" s="1"/>
  <c r="D1488" i="2"/>
  <c r="D1487" i="2"/>
  <c r="D1486" i="2"/>
  <c r="D1485" i="2"/>
  <c r="G1485" i="2" s="1"/>
  <c r="D1484" i="2"/>
  <c r="D1483" i="2"/>
  <c r="D1482" i="2"/>
  <c r="D1481" i="2"/>
  <c r="G1481" i="2" s="1"/>
  <c r="D1480" i="2"/>
  <c r="D1479" i="2"/>
  <c r="D1478" i="2"/>
  <c r="D1477" i="2"/>
  <c r="G1477" i="2" s="1"/>
  <c r="D1476" i="2"/>
  <c r="D1475" i="2"/>
  <c r="D1474" i="2"/>
  <c r="D1473" i="2"/>
  <c r="G1473" i="2" s="1"/>
  <c r="D1472" i="2"/>
  <c r="D1471" i="2"/>
  <c r="D1470" i="2"/>
  <c r="D1469" i="2"/>
  <c r="G1469" i="2" s="1"/>
  <c r="D1468" i="2"/>
  <c r="D1467" i="2"/>
  <c r="D1466" i="2"/>
  <c r="D1465" i="2"/>
  <c r="G1465" i="2" s="1"/>
  <c r="D1464" i="2"/>
  <c r="D1463" i="2"/>
  <c r="D1462" i="2"/>
  <c r="D1461" i="2"/>
  <c r="G1461" i="2" s="1"/>
  <c r="D1460" i="2"/>
  <c r="D1459" i="2"/>
  <c r="D1458" i="2"/>
  <c r="D1457" i="2"/>
  <c r="G1457" i="2" s="1"/>
  <c r="D1456" i="2"/>
  <c r="D1455" i="2"/>
  <c r="D1454" i="2"/>
  <c r="D1453" i="2"/>
  <c r="G1453" i="2" s="1"/>
  <c r="D1452" i="2"/>
  <c r="D1451" i="2"/>
  <c r="D1450" i="2"/>
  <c r="D1449" i="2"/>
  <c r="G1449" i="2" s="1"/>
  <c r="D1448" i="2"/>
  <c r="D1447" i="2"/>
  <c r="D1446" i="2"/>
  <c r="D1445" i="2"/>
  <c r="G1445" i="2" s="1"/>
  <c r="D1444" i="2"/>
  <c r="D1443" i="2"/>
  <c r="D1442" i="2"/>
  <c r="D1441" i="2"/>
  <c r="G1441" i="2" s="1"/>
  <c r="D1440" i="2"/>
  <c r="D1439" i="2"/>
  <c r="D1438" i="2"/>
  <c r="D1437" i="2"/>
  <c r="G1437" i="2" s="1"/>
  <c r="D1436" i="2"/>
  <c r="D1435" i="2"/>
  <c r="D1434" i="2"/>
  <c r="D1433" i="2"/>
  <c r="G1433" i="2" s="1"/>
  <c r="D1432" i="2"/>
  <c r="D1431" i="2"/>
  <c r="D1430" i="2"/>
  <c r="D1429" i="2"/>
  <c r="G1429" i="2" s="1"/>
  <c r="D1428" i="2"/>
  <c r="D1427" i="2"/>
  <c r="D1426" i="2"/>
  <c r="D1425" i="2"/>
  <c r="G1425" i="2" s="1"/>
  <c r="D1424" i="2"/>
  <c r="D1423" i="2"/>
  <c r="D1422" i="2"/>
  <c r="D1421" i="2"/>
  <c r="G1421" i="2" s="1"/>
  <c r="D1420" i="2"/>
  <c r="D1419" i="2"/>
  <c r="D1418" i="2"/>
  <c r="D1417" i="2"/>
  <c r="G1417" i="2" s="1"/>
  <c r="D1416" i="2"/>
  <c r="D1415" i="2"/>
  <c r="D1414" i="2"/>
  <c r="D1413" i="2"/>
  <c r="G1413" i="2" s="1"/>
  <c r="D1412" i="2"/>
  <c r="D1411" i="2"/>
  <c r="D1410" i="2"/>
  <c r="D1409" i="2"/>
  <c r="G1409" i="2" s="1"/>
  <c r="D1408" i="2"/>
  <c r="D1407" i="2"/>
  <c r="D1406" i="2"/>
  <c r="D1405" i="2"/>
  <c r="G1405" i="2" s="1"/>
  <c r="D1404" i="2"/>
  <c r="D1403" i="2"/>
  <c r="D1402" i="2"/>
  <c r="D1401" i="2"/>
  <c r="G1401" i="2" s="1"/>
  <c r="D1400" i="2"/>
  <c r="D1399" i="2"/>
  <c r="D1398" i="2"/>
  <c r="D1397" i="2"/>
  <c r="G1397" i="2" s="1"/>
  <c r="D1396" i="2"/>
  <c r="D1395" i="2"/>
  <c r="D1394" i="2"/>
  <c r="D1393" i="2"/>
  <c r="G1393" i="2" s="1"/>
  <c r="D1392" i="2"/>
  <c r="D1391" i="2"/>
  <c r="D1390" i="2"/>
  <c r="D1389" i="2"/>
  <c r="G1389" i="2" s="1"/>
  <c r="D1388" i="2"/>
  <c r="D1387" i="2"/>
  <c r="D1386" i="2"/>
  <c r="D1385" i="2"/>
  <c r="G1385" i="2" s="1"/>
  <c r="D1384" i="2"/>
  <c r="D1383" i="2"/>
  <c r="D1382" i="2"/>
  <c r="D1381" i="2"/>
  <c r="G1381" i="2" s="1"/>
  <c r="D1380" i="2"/>
  <c r="D1379" i="2"/>
  <c r="D1378" i="2"/>
  <c r="D1377" i="2"/>
  <c r="G1377" i="2" s="1"/>
  <c r="D1376" i="2"/>
  <c r="D1375" i="2"/>
  <c r="D1374" i="2"/>
  <c r="D1373" i="2"/>
  <c r="G1373" i="2" s="1"/>
  <c r="D1372" i="2"/>
  <c r="D1371" i="2"/>
  <c r="D1370" i="2"/>
  <c r="D1369" i="2"/>
  <c r="G1369" i="2" s="1"/>
  <c r="D1368" i="2"/>
  <c r="D1367" i="2"/>
  <c r="D1366" i="2"/>
  <c r="D1365" i="2"/>
  <c r="G1365" i="2" s="1"/>
  <c r="D1364" i="2"/>
  <c r="D1363" i="2"/>
  <c r="D1362" i="2"/>
  <c r="D1361" i="2"/>
  <c r="G1361" i="2" s="1"/>
  <c r="D1360" i="2"/>
  <c r="D1359" i="2"/>
  <c r="D1358" i="2"/>
  <c r="D1357" i="2"/>
  <c r="G1357" i="2" s="1"/>
  <c r="D1356" i="2"/>
  <c r="D1355" i="2"/>
  <c r="D1354" i="2"/>
  <c r="D1353" i="2"/>
  <c r="G1353" i="2" s="1"/>
  <c r="D1352" i="2"/>
  <c r="D1351" i="2"/>
  <c r="D1350" i="2"/>
  <c r="D1349" i="2"/>
  <c r="G1349" i="2" s="1"/>
  <c r="D1348" i="2"/>
  <c r="D1347" i="2"/>
  <c r="D1346" i="2"/>
  <c r="D1345" i="2"/>
  <c r="G1345" i="2" s="1"/>
  <c r="D1344" i="2"/>
  <c r="D1343" i="2"/>
  <c r="D1342" i="2"/>
  <c r="D1341" i="2"/>
  <c r="G1341" i="2" s="1"/>
  <c r="D1340" i="2"/>
  <c r="D1339" i="2"/>
  <c r="D1338" i="2"/>
  <c r="D1337" i="2"/>
  <c r="G1337" i="2" s="1"/>
  <c r="D1336" i="2"/>
  <c r="D1335" i="2"/>
  <c r="D1334" i="2"/>
  <c r="D1333" i="2"/>
  <c r="G1333" i="2" s="1"/>
  <c r="D1332" i="2"/>
  <c r="D1331" i="2"/>
  <c r="D1330" i="2"/>
  <c r="D1329" i="2"/>
  <c r="G1329" i="2" s="1"/>
  <c r="D1328" i="2"/>
  <c r="D1327" i="2"/>
  <c r="D1326" i="2"/>
  <c r="D1325" i="2"/>
  <c r="G1325" i="2" s="1"/>
  <c r="D1324" i="2"/>
  <c r="D1323" i="2"/>
  <c r="D1322" i="2"/>
  <c r="D1321" i="2"/>
  <c r="G1321" i="2" s="1"/>
  <c r="D1320" i="2"/>
  <c r="D1319" i="2"/>
  <c r="D1318" i="2"/>
  <c r="D1317" i="2"/>
  <c r="G1317" i="2" s="1"/>
  <c r="D1316" i="2"/>
  <c r="D1315" i="2"/>
  <c r="D1314" i="2"/>
  <c r="D1313" i="2"/>
  <c r="G1313" i="2" s="1"/>
  <c r="D1312" i="2"/>
  <c r="D1311" i="2"/>
  <c r="D1310" i="2"/>
  <c r="D1309" i="2"/>
  <c r="D1308" i="2"/>
  <c r="D1307" i="2"/>
  <c r="D1306" i="2"/>
  <c r="D1305" i="2"/>
  <c r="D1304" i="2"/>
  <c r="D1303" i="2"/>
  <c r="D1302" i="2"/>
  <c r="D1301" i="2"/>
  <c r="D1300" i="2"/>
  <c r="D1299" i="2"/>
  <c r="D1298" i="2"/>
  <c r="D1297" i="2"/>
  <c r="D1296" i="2"/>
  <c r="D1295" i="2"/>
  <c r="D1294" i="2"/>
  <c r="D1293" i="2"/>
  <c r="D1292" i="2"/>
  <c r="D1291" i="2"/>
  <c r="D1290" i="2"/>
  <c r="D1289" i="2"/>
  <c r="D1288" i="2"/>
  <c r="D1287" i="2"/>
  <c r="D1286" i="2"/>
  <c r="D1285" i="2"/>
  <c r="D1284" i="2"/>
  <c r="D1283" i="2"/>
  <c r="D1282" i="2"/>
  <c r="D1281" i="2"/>
  <c r="D1280" i="2"/>
  <c r="D1279" i="2"/>
  <c r="D1278" i="2"/>
  <c r="D1277" i="2"/>
  <c r="D1276" i="2"/>
  <c r="D1275" i="2"/>
  <c r="D1274" i="2"/>
  <c r="D1273" i="2"/>
  <c r="D1272" i="2"/>
  <c r="D1271" i="2"/>
  <c r="D1270" i="2"/>
  <c r="D1269" i="2"/>
  <c r="D1268" i="2"/>
  <c r="D1267" i="2"/>
  <c r="D1266" i="2"/>
  <c r="D1265" i="2"/>
  <c r="D1264" i="2"/>
  <c r="D1263" i="2"/>
  <c r="D1262" i="2"/>
  <c r="D1261" i="2"/>
  <c r="D1260" i="2"/>
  <c r="D1259" i="2"/>
  <c r="D1258" i="2"/>
  <c r="D1257" i="2"/>
  <c r="D1256" i="2"/>
  <c r="D1255" i="2"/>
  <c r="D1254" i="2"/>
  <c r="D1253" i="2"/>
  <c r="D1252" i="2"/>
  <c r="D1251" i="2"/>
  <c r="D1250" i="2"/>
  <c r="D1249" i="2"/>
  <c r="D1248" i="2"/>
  <c r="D1247" i="2"/>
  <c r="D1246" i="2"/>
  <c r="D1245" i="2"/>
  <c r="D1244" i="2"/>
  <c r="D1243" i="2"/>
  <c r="D1242" i="2"/>
  <c r="D1241" i="2"/>
  <c r="D1240" i="2"/>
  <c r="D1239" i="2"/>
  <c r="D1238" i="2"/>
  <c r="D1237" i="2"/>
  <c r="D1236" i="2"/>
  <c r="D1235" i="2"/>
  <c r="D1234" i="2"/>
  <c r="D1233" i="2"/>
  <c r="D1232" i="2"/>
  <c r="D1231" i="2"/>
  <c r="D1230" i="2"/>
  <c r="D1229" i="2"/>
  <c r="D1228" i="2"/>
  <c r="D1227" i="2"/>
  <c r="D1226" i="2"/>
  <c r="D1225" i="2"/>
  <c r="D1224" i="2"/>
  <c r="D1223" i="2"/>
  <c r="D1222" i="2"/>
  <c r="D1221" i="2"/>
  <c r="D1220" i="2"/>
  <c r="D1219" i="2"/>
  <c r="D1218" i="2"/>
  <c r="D1217" i="2"/>
  <c r="D1216" i="2"/>
  <c r="D1215" i="2"/>
  <c r="D1214" i="2"/>
  <c r="D1213" i="2"/>
  <c r="D1212" i="2"/>
  <c r="D1211" i="2"/>
  <c r="D1210" i="2"/>
  <c r="D1209" i="2"/>
  <c r="D1208" i="2"/>
  <c r="D1207" i="2"/>
  <c r="D1206" i="2"/>
  <c r="D1205" i="2"/>
  <c r="D1204" i="2"/>
  <c r="D1203" i="2"/>
  <c r="D1202" i="2"/>
  <c r="D1201" i="2"/>
  <c r="D1200" i="2"/>
  <c r="D1199" i="2"/>
  <c r="D1198" i="2"/>
  <c r="D1197" i="2"/>
  <c r="D1196" i="2"/>
  <c r="D1195" i="2"/>
  <c r="D1194" i="2"/>
  <c r="D1193" i="2"/>
  <c r="D1192" i="2"/>
  <c r="D1191" i="2"/>
  <c r="D1190" i="2"/>
  <c r="D1189" i="2"/>
  <c r="D1188" i="2"/>
  <c r="D1187" i="2"/>
  <c r="D1186" i="2"/>
  <c r="D1185" i="2"/>
  <c r="D1184" i="2"/>
  <c r="D1183" i="2"/>
  <c r="D1182" i="2"/>
  <c r="D1181" i="2"/>
  <c r="D1180" i="2"/>
  <c r="D1179" i="2"/>
  <c r="D1178" i="2"/>
  <c r="D1177" i="2"/>
  <c r="D1176" i="2"/>
  <c r="D1175" i="2"/>
  <c r="D1174" i="2"/>
  <c r="D1173" i="2"/>
  <c r="D1172" i="2"/>
  <c r="D1171" i="2"/>
  <c r="D1170" i="2"/>
  <c r="D1169" i="2"/>
  <c r="D1168" i="2"/>
  <c r="D1167" i="2"/>
  <c r="D1166" i="2"/>
  <c r="D1165" i="2"/>
  <c r="D1164" i="2"/>
  <c r="D1163" i="2"/>
  <c r="D1162" i="2"/>
  <c r="D1161" i="2"/>
  <c r="D1160" i="2"/>
  <c r="D1159" i="2"/>
  <c r="D1158" i="2"/>
  <c r="D1157" i="2"/>
  <c r="D1156" i="2"/>
  <c r="D1155" i="2"/>
  <c r="D1154" i="2"/>
  <c r="D1153" i="2"/>
  <c r="D1152" i="2"/>
  <c r="D1151" i="2"/>
  <c r="D1150" i="2"/>
  <c r="D1149" i="2"/>
  <c r="D1148" i="2"/>
  <c r="D1147" i="2"/>
  <c r="D1146" i="2"/>
  <c r="D1145" i="2"/>
  <c r="D1144" i="2"/>
  <c r="D1143" i="2"/>
  <c r="D1142" i="2"/>
  <c r="D1141" i="2"/>
  <c r="D1140" i="2"/>
  <c r="D1139" i="2"/>
  <c r="D1138" i="2"/>
  <c r="D1137" i="2"/>
  <c r="D1136" i="2"/>
  <c r="D1135" i="2"/>
  <c r="D1134" i="2"/>
  <c r="D1133" i="2"/>
  <c r="D1132" i="2"/>
  <c r="D1131" i="2"/>
  <c r="D1130" i="2"/>
  <c r="D1129" i="2"/>
  <c r="D1128" i="2"/>
  <c r="D1127" i="2"/>
  <c r="D1126" i="2"/>
  <c r="D1125" i="2"/>
  <c r="D1124" i="2"/>
  <c r="D1123" i="2"/>
  <c r="D1122" i="2"/>
  <c r="D1121" i="2"/>
  <c r="D1120" i="2"/>
  <c r="D1119" i="2"/>
  <c r="D1118" i="2"/>
  <c r="D1117" i="2"/>
  <c r="D1116" i="2"/>
  <c r="D1115" i="2"/>
  <c r="D1114" i="2"/>
  <c r="D1113" i="2"/>
  <c r="D1112" i="2"/>
  <c r="D1111" i="2"/>
  <c r="D1110" i="2"/>
  <c r="D1109" i="2"/>
  <c r="D1108" i="2"/>
  <c r="D1107" i="2"/>
  <c r="D1106" i="2"/>
  <c r="D1105" i="2"/>
  <c r="D1104" i="2"/>
  <c r="D1103" i="2"/>
  <c r="D1102" i="2"/>
  <c r="D1101" i="2"/>
  <c r="D1100" i="2"/>
  <c r="D1099" i="2"/>
  <c r="D1098" i="2"/>
  <c r="D1097" i="2"/>
  <c r="D1096" i="2"/>
  <c r="D1095" i="2"/>
  <c r="D1094" i="2"/>
  <c r="D1093" i="2"/>
  <c r="D1092" i="2"/>
  <c r="D1091" i="2"/>
  <c r="D1090" i="2"/>
  <c r="D1089" i="2"/>
  <c r="D1088" i="2"/>
  <c r="D1087" i="2"/>
  <c r="D1086" i="2"/>
  <c r="D1085" i="2"/>
  <c r="D1084" i="2"/>
  <c r="D1083" i="2"/>
  <c r="D1082" i="2"/>
  <c r="D1081" i="2"/>
  <c r="D1080" i="2"/>
  <c r="D1079" i="2"/>
  <c r="D1078" i="2"/>
  <c r="D1077" i="2"/>
  <c r="D1076" i="2"/>
  <c r="D1075" i="2"/>
  <c r="D1074" i="2"/>
  <c r="D1073" i="2"/>
  <c r="D1072" i="2"/>
  <c r="D1071" i="2"/>
  <c r="D1070" i="2"/>
  <c r="D1069" i="2"/>
  <c r="D1068" i="2"/>
  <c r="D1067" i="2"/>
  <c r="D1066" i="2"/>
  <c r="D1065" i="2"/>
  <c r="D1064" i="2"/>
  <c r="D1063" i="2"/>
  <c r="D1062" i="2"/>
  <c r="D1061" i="2"/>
  <c r="D1060" i="2"/>
  <c r="D1059" i="2"/>
  <c r="D1058" i="2"/>
  <c r="D1057" i="2"/>
  <c r="D1056" i="2"/>
  <c r="D1055" i="2"/>
  <c r="D1054" i="2"/>
  <c r="D1053" i="2"/>
  <c r="D1052" i="2"/>
  <c r="D1051" i="2"/>
  <c r="D1050" i="2"/>
  <c r="D1049" i="2"/>
  <c r="D1048" i="2"/>
  <c r="D1047" i="2"/>
  <c r="D1046" i="2"/>
  <c r="D1045" i="2"/>
  <c r="D1044" i="2"/>
  <c r="D1043" i="2"/>
  <c r="D1042" i="2"/>
  <c r="D1041" i="2"/>
  <c r="D1040" i="2"/>
  <c r="D1039" i="2"/>
  <c r="D1038" i="2"/>
  <c r="D1037" i="2"/>
  <c r="D1036" i="2"/>
  <c r="D1035" i="2"/>
  <c r="D1034" i="2"/>
  <c r="D1033" i="2"/>
  <c r="D1032" i="2"/>
  <c r="D1031" i="2"/>
  <c r="D1030" i="2"/>
  <c r="D1029" i="2"/>
  <c r="D1028" i="2"/>
  <c r="D1027" i="2"/>
  <c r="D1026" i="2"/>
  <c r="D1025" i="2"/>
  <c r="D1024" i="2"/>
  <c r="D1023" i="2"/>
  <c r="D1022" i="2"/>
  <c r="D1021" i="2"/>
  <c r="D1020" i="2"/>
  <c r="D1019" i="2"/>
  <c r="D1018" i="2"/>
  <c r="D1017" i="2"/>
  <c r="D1016" i="2"/>
  <c r="D1015" i="2"/>
  <c r="D1014" i="2"/>
  <c r="D1013" i="2"/>
  <c r="D1012" i="2"/>
  <c r="D1011" i="2"/>
  <c r="D1010" i="2"/>
  <c r="D1009" i="2"/>
  <c r="D1008" i="2"/>
  <c r="D1007" i="2"/>
  <c r="D1006" i="2"/>
  <c r="D1005" i="2"/>
  <c r="D1004" i="2"/>
  <c r="D1003" i="2"/>
  <c r="D1002" i="2"/>
  <c r="D1001" i="2"/>
  <c r="D1000" i="2"/>
  <c r="D999" i="2"/>
  <c r="D998" i="2"/>
  <c r="D997" i="2"/>
  <c r="D996" i="2"/>
  <c r="D995" i="2"/>
  <c r="D994" i="2"/>
  <c r="D993" i="2"/>
  <c r="D992" i="2"/>
  <c r="D991" i="2"/>
  <c r="D990" i="2"/>
  <c r="D989" i="2"/>
  <c r="D988" i="2"/>
  <c r="D987" i="2"/>
  <c r="D986" i="2"/>
  <c r="D985" i="2"/>
  <c r="D984" i="2"/>
  <c r="D983" i="2"/>
  <c r="D982" i="2"/>
  <c r="D981" i="2"/>
  <c r="D980" i="2"/>
  <c r="D979" i="2"/>
  <c r="D978" i="2"/>
  <c r="D977" i="2"/>
  <c r="D976" i="2"/>
  <c r="D975" i="2"/>
  <c r="D974" i="2"/>
  <c r="D973" i="2"/>
  <c r="D972" i="2"/>
  <c r="D971" i="2"/>
  <c r="D970" i="2"/>
  <c r="D969" i="2"/>
  <c r="D968" i="2"/>
  <c r="D967" i="2"/>
  <c r="D966" i="2"/>
  <c r="D965" i="2"/>
  <c r="D964" i="2"/>
  <c r="D963" i="2"/>
  <c r="D962" i="2"/>
  <c r="D961" i="2"/>
  <c r="D960" i="2"/>
  <c r="D959" i="2"/>
  <c r="D958" i="2"/>
  <c r="D957" i="2"/>
  <c r="D956" i="2"/>
  <c r="D955" i="2"/>
  <c r="D954" i="2"/>
  <c r="D953" i="2"/>
  <c r="D952" i="2"/>
  <c r="D951" i="2"/>
  <c r="D950" i="2"/>
  <c r="D949" i="2"/>
  <c r="D948" i="2"/>
  <c r="D947" i="2"/>
  <c r="D946" i="2"/>
  <c r="D945" i="2"/>
  <c r="D944" i="2"/>
  <c r="D943" i="2"/>
  <c r="D942" i="2"/>
  <c r="D941" i="2"/>
  <c r="D940" i="2"/>
  <c r="D939" i="2"/>
  <c r="D938" i="2"/>
  <c r="D937" i="2"/>
  <c r="D936" i="2"/>
  <c r="D935" i="2"/>
  <c r="D934" i="2"/>
  <c r="D933" i="2"/>
  <c r="D932" i="2"/>
  <c r="D931" i="2"/>
  <c r="D930" i="2"/>
  <c r="D929" i="2"/>
  <c r="D928" i="2"/>
  <c r="D927" i="2"/>
  <c r="D926" i="2"/>
  <c r="D925" i="2"/>
  <c r="D924" i="2"/>
  <c r="D923" i="2"/>
  <c r="D922" i="2"/>
  <c r="D921" i="2"/>
  <c r="D920" i="2"/>
  <c r="D919" i="2"/>
  <c r="D918" i="2"/>
  <c r="D917" i="2"/>
  <c r="D916" i="2"/>
  <c r="D915" i="2"/>
  <c r="D914" i="2"/>
  <c r="D913" i="2"/>
  <c r="D912" i="2"/>
  <c r="D911" i="2"/>
  <c r="D910" i="2"/>
  <c r="D909" i="2"/>
  <c r="D908" i="2"/>
  <c r="D907" i="2"/>
  <c r="D906" i="2"/>
  <c r="D905" i="2"/>
  <c r="D904" i="2"/>
  <c r="D903" i="2"/>
  <c r="D902" i="2"/>
  <c r="D901" i="2"/>
  <c r="D900" i="2"/>
  <c r="D899" i="2"/>
  <c r="D898" i="2"/>
  <c r="D897" i="2"/>
  <c r="D896" i="2"/>
  <c r="D895" i="2"/>
  <c r="D894" i="2"/>
  <c r="D893" i="2"/>
  <c r="D892" i="2"/>
  <c r="D891" i="2"/>
  <c r="D890" i="2"/>
  <c r="D889" i="2"/>
  <c r="D888" i="2"/>
  <c r="D887" i="2"/>
  <c r="D886" i="2"/>
  <c r="D885" i="2"/>
  <c r="D884" i="2"/>
  <c r="D883" i="2"/>
  <c r="D882" i="2"/>
  <c r="D881" i="2"/>
  <c r="D880" i="2"/>
  <c r="D879" i="2"/>
  <c r="D878" i="2"/>
  <c r="D877" i="2"/>
  <c r="D876" i="2"/>
  <c r="D875" i="2"/>
  <c r="D874" i="2"/>
  <c r="D873" i="2"/>
  <c r="D872" i="2"/>
  <c r="D871" i="2"/>
  <c r="D870" i="2"/>
  <c r="D869" i="2"/>
  <c r="D868" i="2"/>
  <c r="D867" i="2"/>
  <c r="D866" i="2"/>
  <c r="D865" i="2"/>
  <c r="D864" i="2"/>
  <c r="D863" i="2"/>
  <c r="D862" i="2"/>
  <c r="D861" i="2"/>
  <c r="D860" i="2"/>
  <c r="D859" i="2"/>
  <c r="D858" i="2"/>
  <c r="D857" i="2"/>
  <c r="D856" i="2"/>
  <c r="D855" i="2"/>
  <c r="D854" i="2"/>
  <c r="D853" i="2"/>
  <c r="D852" i="2"/>
  <c r="D851" i="2"/>
  <c r="D850" i="2"/>
  <c r="D849" i="2"/>
  <c r="D848" i="2"/>
  <c r="D847" i="2"/>
  <c r="D846" i="2"/>
  <c r="D845" i="2"/>
  <c r="D844" i="2"/>
  <c r="D843" i="2"/>
  <c r="D842" i="2"/>
  <c r="D841" i="2"/>
  <c r="D840" i="2"/>
  <c r="D839" i="2"/>
  <c r="D838" i="2"/>
  <c r="D837" i="2"/>
  <c r="D836" i="2"/>
  <c r="D835" i="2"/>
  <c r="D834" i="2"/>
  <c r="D833" i="2"/>
  <c r="D832" i="2"/>
  <c r="D831" i="2"/>
  <c r="D830" i="2"/>
  <c r="D829" i="2"/>
  <c r="D828" i="2"/>
  <c r="D827" i="2"/>
  <c r="D826" i="2"/>
  <c r="D825" i="2"/>
  <c r="D824" i="2"/>
  <c r="D823" i="2"/>
  <c r="D822" i="2"/>
  <c r="D821" i="2"/>
  <c r="D820" i="2"/>
  <c r="D819" i="2"/>
  <c r="D818" i="2"/>
  <c r="D817" i="2"/>
  <c r="D816" i="2"/>
  <c r="D815" i="2"/>
  <c r="D814" i="2"/>
  <c r="D813" i="2"/>
  <c r="D812" i="2"/>
  <c r="D811" i="2"/>
  <c r="D810" i="2"/>
  <c r="D809" i="2"/>
  <c r="D808" i="2"/>
  <c r="D807" i="2"/>
  <c r="D806" i="2"/>
  <c r="D805" i="2"/>
  <c r="D804" i="2"/>
  <c r="D803" i="2"/>
  <c r="D802" i="2"/>
  <c r="D801" i="2"/>
  <c r="D800" i="2"/>
  <c r="D799" i="2"/>
  <c r="D798" i="2"/>
  <c r="D797" i="2"/>
  <c r="D796" i="2"/>
  <c r="D795" i="2"/>
  <c r="D794" i="2"/>
  <c r="D793" i="2"/>
  <c r="D792" i="2"/>
  <c r="D791" i="2"/>
  <c r="D790" i="2"/>
  <c r="D789" i="2"/>
  <c r="D788" i="2"/>
  <c r="D787" i="2"/>
  <c r="D786" i="2"/>
  <c r="D785" i="2"/>
  <c r="D784" i="2"/>
  <c r="D783" i="2"/>
  <c r="D782" i="2"/>
  <c r="D781" i="2"/>
  <c r="D780" i="2"/>
  <c r="D779" i="2"/>
  <c r="D778" i="2"/>
  <c r="D777" i="2"/>
  <c r="D776" i="2"/>
  <c r="D775" i="2"/>
  <c r="D774" i="2"/>
  <c r="D773" i="2"/>
  <c r="D772" i="2"/>
  <c r="D771" i="2"/>
  <c r="D770" i="2"/>
  <c r="D769" i="2"/>
  <c r="D768" i="2"/>
  <c r="D767" i="2"/>
  <c r="D766" i="2"/>
  <c r="D765" i="2"/>
  <c r="D764" i="2"/>
  <c r="D763" i="2"/>
  <c r="D762" i="2"/>
  <c r="D761" i="2"/>
  <c r="D760" i="2"/>
  <c r="D759" i="2"/>
  <c r="D758" i="2"/>
  <c r="D757" i="2"/>
  <c r="D756" i="2"/>
  <c r="D755" i="2"/>
  <c r="D754" i="2"/>
  <c r="D753" i="2"/>
  <c r="D752" i="2"/>
  <c r="D751" i="2"/>
  <c r="D750" i="2"/>
  <c r="D749" i="2"/>
  <c r="D748" i="2"/>
  <c r="D747" i="2"/>
  <c r="D746" i="2"/>
  <c r="D745" i="2"/>
  <c r="D744" i="2"/>
  <c r="D743" i="2"/>
  <c r="D742" i="2"/>
  <c r="D741" i="2"/>
  <c r="D740" i="2"/>
  <c r="D739" i="2"/>
  <c r="D738" i="2"/>
  <c r="D737" i="2"/>
  <c r="D736" i="2"/>
  <c r="D735" i="2"/>
  <c r="D734" i="2"/>
  <c r="D733" i="2"/>
  <c r="D732" i="2"/>
  <c r="D731" i="2"/>
  <c r="D730" i="2"/>
  <c r="D729" i="2"/>
  <c r="D728" i="2"/>
  <c r="D727" i="2"/>
  <c r="D726" i="2"/>
  <c r="D725" i="2"/>
  <c r="D724" i="2"/>
  <c r="D723" i="2"/>
  <c r="D722" i="2"/>
  <c r="D721" i="2"/>
  <c r="D720" i="2"/>
  <c r="D719" i="2"/>
  <c r="D718" i="2"/>
  <c r="D717" i="2"/>
  <c r="D716" i="2"/>
  <c r="D715" i="2"/>
  <c r="D714" i="2"/>
  <c r="D713" i="2"/>
  <c r="D712" i="2"/>
  <c r="D711" i="2"/>
  <c r="D710" i="2"/>
  <c r="D709" i="2"/>
  <c r="D708" i="2"/>
  <c r="D707" i="2"/>
  <c r="D706" i="2"/>
  <c r="D705" i="2"/>
  <c r="D704" i="2"/>
  <c r="D703" i="2"/>
  <c r="D702" i="2"/>
  <c r="D701" i="2"/>
  <c r="D700" i="2"/>
  <c r="D699" i="2"/>
  <c r="D698" i="2"/>
  <c r="D697" i="2"/>
  <c r="D696" i="2"/>
  <c r="D695" i="2"/>
  <c r="D694" i="2"/>
  <c r="D693" i="2"/>
  <c r="D692" i="2"/>
  <c r="D691" i="2"/>
  <c r="D690" i="2"/>
  <c r="D689" i="2"/>
  <c r="D688" i="2"/>
  <c r="D687" i="2"/>
  <c r="D686" i="2"/>
  <c r="D685" i="2"/>
  <c r="D684" i="2"/>
  <c r="D683" i="2"/>
  <c r="D682" i="2"/>
  <c r="D681" i="2"/>
  <c r="D680" i="2"/>
  <c r="D679" i="2"/>
  <c r="D678" i="2"/>
  <c r="D677" i="2"/>
  <c r="D676" i="2"/>
  <c r="D675" i="2"/>
  <c r="D674" i="2"/>
  <c r="D673" i="2"/>
  <c r="D672" i="2"/>
  <c r="D671" i="2"/>
  <c r="D670" i="2"/>
  <c r="D669" i="2"/>
  <c r="D668" i="2"/>
  <c r="D667" i="2"/>
  <c r="D666" i="2"/>
  <c r="D665" i="2"/>
  <c r="D664" i="2"/>
  <c r="D663" i="2"/>
  <c r="D662" i="2"/>
  <c r="D661" i="2"/>
  <c r="D660" i="2"/>
  <c r="D659" i="2"/>
  <c r="D658" i="2"/>
  <c r="D657" i="2"/>
  <c r="D656" i="2"/>
  <c r="D655" i="2"/>
  <c r="D654" i="2"/>
  <c r="D653" i="2"/>
  <c r="D652" i="2"/>
  <c r="D651" i="2"/>
  <c r="D650" i="2"/>
  <c r="D649" i="2"/>
  <c r="D648" i="2"/>
  <c r="D647" i="2"/>
  <c r="D646" i="2"/>
  <c r="D645" i="2"/>
  <c r="D644" i="2"/>
  <c r="D643" i="2"/>
  <c r="D642" i="2"/>
  <c r="D641" i="2"/>
  <c r="D640" i="2"/>
  <c r="D639" i="2"/>
  <c r="D638" i="2"/>
  <c r="D637" i="2"/>
  <c r="D636" i="2"/>
  <c r="D635" i="2"/>
  <c r="D634" i="2"/>
  <c r="D633" i="2"/>
  <c r="D632" i="2"/>
  <c r="D631" i="2"/>
  <c r="D630" i="2"/>
  <c r="D629" i="2"/>
  <c r="D628" i="2"/>
  <c r="D627" i="2"/>
  <c r="D626" i="2"/>
  <c r="D625" i="2"/>
  <c r="D624" i="2"/>
  <c r="D623" i="2"/>
  <c r="D622" i="2"/>
  <c r="D621" i="2"/>
  <c r="D620" i="2"/>
  <c r="D619" i="2"/>
  <c r="D618" i="2"/>
  <c r="D617" i="2"/>
  <c r="D616" i="2"/>
  <c r="D615" i="2"/>
  <c r="D614" i="2"/>
  <c r="D613" i="2"/>
  <c r="D612" i="2"/>
  <c r="D611" i="2"/>
  <c r="D610" i="2"/>
  <c r="D609" i="2"/>
  <c r="D608" i="2"/>
  <c r="D607" i="2"/>
  <c r="D606" i="2"/>
  <c r="D605" i="2"/>
  <c r="D604" i="2"/>
  <c r="D603" i="2"/>
  <c r="D602" i="2"/>
  <c r="D601" i="2"/>
  <c r="D600" i="2"/>
  <c r="D599" i="2"/>
  <c r="D598" i="2"/>
  <c r="D597" i="2"/>
  <c r="D596" i="2"/>
  <c r="D595" i="2"/>
  <c r="D594" i="2"/>
  <c r="D593" i="2"/>
  <c r="D592" i="2"/>
  <c r="D591" i="2"/>
  <c r="D590" i="2"/>
  <c r="D589" i="2"/>
  <c r="D588" i="2"/>
  <c r="D587" i="2"/>
  <c r="D586" i="2"/>
  <c r="D585" i="2"/>
  <c r="D584" i="2"/>
  <c r="D583" i="2"/>
  <c r="D582" i="2"/>
  <c r="D581" i="2"/>
  <c r="D580" i="2"/>
  <c r="D579" i="2"/>
  <c r="D578" i="2"/>
  <c r="D577" i="2"/>
  <c r="D576" i="2"/>
  <c r="D575" i="2"/>
  <c r="D574" i="2"/>
  <c r="D573" i="2"/>
  <c r="D572" i="2"/>
  <c r="D571" i="2"/>
  <c r="D570" i="2"/>
  <c r="D569" i="2"/>
  <c r="D568" i="2"/>
  <c r="D567" i="2"/>
  <c r="D566" i="2"/>
  <c r="D565" i="2"/>
  <c r="D564" i="2"/>
  <c r="D563" i="2"/>
  <c r="D562" i="2"/>
  <c r="D561" i="2"/>
  <c r="D560" i="2"/>
  <c r="D559" i="2"/>
  <c r="D558" i="2"/>
  <c r="D557" i="2"/>
  <c r="D556" i="2"/>
  <c r="D555" i="2"/>
  <c r="D554" i="2"/>
  <c r="D553" i="2"/>
  <c r="D552" i="2"/>
  <c r="D551" i="2"/>
  <c r="D550" i="2"/>
  <c r="D549" i="2"/>
  <c r="D548" i="2"/>
  <c r="D547" i="2"/>
  <c r="D546" i="2"/>
  <c r="D545" i="2"/>
  <c r="D544" i="2"/>
  <c r="D543" i="2"/>
  <c r="D542" i="2"/>
  <c r="D541" i="2"/>
  <c r="D540" i="2"/>
  <c r="D539" i="2"/>
  <c r="D538" i="2"/>
  <c r="D537" i="2"/>
  <c r="D536" i="2"/>
  <c r="D535" i="2"/>
  <c r="D534" i="2"/>
  <c r="D533" i="2"/>
  <c r="D532" i="2"/>
  <c r="D531" i="2"/>
  <c r="D530" i="2"/>
  <c r="D529" i="2"/>
  <c r="D528" i="2"/>
  <c r="D527" i="2"/>
  <c r="D526" i="2"/>
  <c r="D525" i="2"/>
  <c r="D524" i="2"/>
  <c r="D523" i="2"/>
  <c r="D522" i="2"/>
  <c r="D521" i="2"/>
  <c r="D520" i="2"/>
  <c r="D519" i="2"/>
  <c r="D518" i="2"/>
  <c r="D517" i="2"/>
  <c r="D516" i="2"/>
  <c r="D515" i="2"/>
  <c r="D514" i="2"/>
  <c r="D513" i="2"/>
  <c r="D512" i="2"/>
  <c r="D511" i="2"/>
  <c r="D510" i="2"/>
  <c r="D509" i="2"/>
  <c r="D508" i="2"/>
  <c r="D507" i="2"/>
  <c r="D506" i="2"/>
  <c r="D505" i="2"/>
  <c r="D504" i="2"/>
  <c r="D503" i="2"/>
  <c r="D502" i="2"/>
  <c r="D501" i="2"/>
  <c r="D500" i="2"/>
  <c r="D499" i="2"/>
  <c r="D498" i="2"/>
  <c r="D497" i="2"/>
  <c r="D496" i="2"/>
  <c r="D495" i="2"/>
  <c r="D494" i="2"/>
  <c r="D493" i="2"/>
  <c r="D492" i="2"/>
  <c r="D491" i="2"/>
  <c r="D490" i="2"/>
  <c r="D489" i="2"/>
  <c r="D488" i="2"/>
  <c r="D487" i="2"/>
  <c r="D486" i="2"/>
  <c r="D485" i="2"/>
  <c r="D484" i="2"/>
  <c r="D483" i="2"/>
  <c r="D482" i="2"/>
  <c r="D481" i="2"/>
  <c r="D480" i="2"/>
  <c r="D479" i="2"/>
  <c r="D478" i="2"/>
  <c r="D477" i="2"/>
  <c r="D476" i="2"/>
  <c r="D475" i="2"/>
  <c r="D474" i="2"/>
  <c r="D473" i="2"/>
  <c r="D472" i="2"/>
  <c r="D471" i="2"/>
  <c r="D470" i="2"/>
  <c r="D469" i="2"/>
  <c r="D468" i="2"/>
  <c r="D467" i="2"/>
  <c r="D466" i="2"/>
  <c r="D465" i="2"/>
  <c r="D464" i="2"/>
  <c r="D463" i="2"/>
  <c r="D462" i="2"/>
  <c r="D461" i="2"/>
  <c r="D460" i="2"/>
  <c r="D459" i="2"/>
  <c r="D458" i="2"/>
  <c r="D457" i="2"/>
  <c r="D456" i="2"/>
  <c r="D455" i="2"/>
  <c r="D454" i="2"/>
  <c r="D453" i="2"/>
  <c r="D452" i="2"/>
  <c r="D451" i="2"/>
  <c r="D450" i="2"/>
  <c r="D449" i="2"/>
  <c r="D448" i="2"/>
  <c r="D447" i="2"/>
  <c r="D446" i="2"/>
  <c r="D445" i="2"/>
  <c r="D444" i="2"/>
  <c r="D443" i="2"/>
  <c r="D442" i="2"/>
  <c r="D441" i="2"/>
  <c r="D440" i="2"/>
  <c r="D439" i="2"/>
  <c r="D438" i="2"/>
  <c r="D437" i="2"/>
  <c r="D436" i="2"/>
  <c r="D435" i="2"/>
  <c r="D434" i="2"/>
  <c r="D433" i="2"/>
  <c r="D432" i="2"/>
  <c r="D431" i="2"/>
  <c r="D430" i="2"/>
  <c r="D429" i="2"/>
  <c r="D428" i="2"/>
  <c r="D427" i="2"/>
  <c r="D426" i="2"/>
  <c r="D425" i="2"/>
  <c r="D424" i="2"/>
  <c r="D423" i="2"/>
  <c r="D422" i="2"/>
  <c r="D421" i="2"/>
  <c r="D420" i="2"/>
  <c r="D419" i="2"/>
  <c r="D418" i="2"/>
  <c r="D417" i="2"/>
  <c r="D416" i="2"/>
  <c r="D415" i="2"/>
  <c r="D414" i="2"/>
  <c r="D413" i="2"/>
  <c r="D412" i="2"/>
  <c r="D411" i="2"/>
  <c r="D410" i="2"/>
  <c r="D409" i="2"/>
  <c r="D408" i="2"/>
  <c r="D407" i="2"/>
  <c r="D406" i="2"/>
  <c r="D405" i="2"/>
  <c r="D404" i="2"/>
  <c r="D403" i="2"/>
  <c r="D402" i="2"/>
  <c r="D401" i="2"/>
  <c r="D400" i="2"/>
  <c r="D399" i="2"/>
  <c r="D398" i="2"/>
  <c r="D397" i="2"/>
  <c r="D396" i="2"/>
  <c r="D395" i="2"/>
  <c r="D394" i="2"/>
  <c r="D393" i="2"/>
  <c r="D392" i="2"/>
  <c r="D391" i="2"/>
  <c r="D390" i="2"/>
  <c r="D389" i="2"/>
  <c r="D388" i="2"/>
  <c r="D387" i="2"/>
  <c r="D386" i="2"/>
  <c r="D385" i="2"/>
  <c r="D384" i="2"/>
  <c r="D383" i="2"/>
  <c r="D382" i="2"/>
  <c r="D381" i="2"/>
  <c r="D380" i="2"/>
  <c r="D379" i="2"/>
  <c r="D378" i="2"/>
  <c r="D377" i="2"/>
  <c r="D376" i="2"/>
  <c r="D375" i="2"/>
  <c r="D374" i="2"/>
  <c r="D373" i="2"/>
  <c r="D372" i="2"/>
  <c r="D371" i="2"/>
  <c r="D370" i="2"/>
  <c r="D369" i="2"/>
  <c r="D368" i="2"/>
  <c r="D367" i="2"/>
  <c r="D366" i="2"/>
  <c r="D365" i="2"/>
  <c r="D364" i="2"/>
  <c r="D363" i="2"/>
  <c r="D362" i="2"/>
  <c r="D361" i="2"/>
  <c r="D360" i="2"/>
  <c r="D359" i="2"/>
  <c r="D358" i="2"/>
  <c r="D357" i="2"/>
  <c r="D356" i="2"/>
  <c r="D355" i="2"/>
  <c r="D354" i="2"/>
  <c r="D353" i="2"/>
  <c r="D352" i="2"/>
  <c r="D351" i="2"/>
  <c r="D350" i="2"/>
  <c r="D349" i="2"/>
  <c r="D348" i="2"/>
  <c r="D347" i="2"/>
  <c r="D346" i="2"/>
  <c r="D345" i="2"/>
  <c r="D344" i="2"/>
  <c r="D343" i="2"/>
  <c r="D342" i="2"/>
  <c r="D341" i="2"/>
  <c r="D340" i="2"/>
  <c r="D339" i="2"/>
  <c r="D338" i="2"/>
  <c r="D337" i="2"/>
  <c r="D336" i="2"/>
  <c r="D335" i="2"/>
  <c r="D334" i="2"/>
  <c r="D333" i="2"/>
  <c r="D332" i="2"/>
  <c r="D331" i="2"/>
  <c r="D330" i="2"/>
  <c r="D329" i="2"/>
  <c r="D328" i="2"/>
  <c r="D327" i="2"/>
  <c r="D326" i="2"/>
  <c r="D325" i="2"/>
  <c r="D324" i="2"/>
  <c r="D323" i="2"/>
  <c r="D322" i="2"/>
  <c r="D321" i="2"/>
  <c r="D320" i="2"/>
  <c r="D319" i="2"/>
  <c r="D318" i="2"/>
  <c r="D317" i="2"/>
  <c r="D316" i="2"/>
  <c r="D315" i="2"/>
  <c r="D314" i="2"/>
  <c r="D313" i="2"/>
  <c r="D312" i="2"/>
  <c r="D311" i="2"/>
  <c r="D310" i="2"/>
  <c r="D309" i="2"/>
  <c r="D308" i="2"/>
  <c r="D307" i="2"/>
  <c r="D306" i="2"/>
  <c r="D305" i="2"/>
  <c r="D304" i="2"/>
  <c r="D303" i="2"/>
  <c r="D302" i="2"/>
  <c r="D301" i="2"/>
  <c r="D300" i="2"/>
  <c r="D299" i="2"/>
  <c r="D298" i="2"/>
  <c r="D297" i="2"/>
  <c r="D296" i="2"/>
  <c r="D295" i="2"/>
  <c r="D294" i="2"/>
  <c r="D293" i="2"/>
  <c r="D292" i="2"/>
  <c r="D291" i="2"/>
  <c r="D290" i="2"/>
  <c r="D289" i="2"/>
  <c r="D288" i="2"/>
  <c r="D287" i="2"/>
  <c r="D286" i="2"/>
  <c r="D285" i="2"/>
  <c r="D284" i="2"/>
  <c r="D283" i="2"/>
  <c r="D282" i="2"/>
  <c r="D281" i="2"/>
  <c r="D280" i="2"/>
  <c r="D279" i="2"/>
  <c r="D278" i="2"/>
  <c r="D277" i="2"/>
  <c r="D276" i="2"/>
  <c r="D275" i="2"/>
  <c r="D274" i="2"/>
  <c r="D273" i="2"/>
  <c r="D272" i="2"/>
  <c r="D271" i="2"/>
  <c r="D270" i="2"/>
  <c r="D269" i="2"/>
  <c r="D268" i="2"/>
  <c r="D267" i="2"/>
  <c r="D266" i="2"/>
  <c r="D265" i="2"/>
  <c r="D264" i="2"/>
  <c r="D263" i="2"/>
  <c r="D262" i="2"/>
  <c r="D261" i="2"/>
  <c r="D260" i="2"/>
  <c r="D259" i="2"/>
  <c r="D258" i="2"/>
  <c r="D257" i="2"/>
  <c r="D256" i="2"/>
  <c r="D255" i="2"/>
  <c r="D254" i="2"/>
  <c r="D253" i="2"/>
  <c r="D252" i="2"/>
  <c r="D251" i="2"/>
  <c r="D250" i="2"/>
  <c r="D249" i="2"/>
  <c r="D248" i="2"/>
  <c r="D247" i="2"/>
  <c r="D246" i="2"/>
  <c r="D245" i="2"/>
  <c r="D244" i="2"/>
  <c r="D243" i="2"/>
  <c r="D242" i="2"/>
  <c r="D241" i="2"/>
  <c r="D240" i="2"/>
  <c r="D239" i="2"/>
  <c r="D238" i="2"/>
  <c r="D237" i="2"/>
  <c r="D236" i="2"/>
  <c r="D235" i="2"/>
  <c r="D234" i="2"/>
  <c r="D233" i="2"/>
  <c r="D232" i="2"/>
  <c r="D231" i="2"/>
  <c r="D230" i="2"/>
  <c r="D229" i="2"/>
  <c r="D228" i="2"/>
  <c r="D227" i="2"/>
  <c r="D226" i="2"/>
  <c r="D225" i="2"/>
  <c r="D224" i="2"/>
  <c r="D223" i="2"/>
  <c r="D222" i="2"/>
  <c r="D221" i="2"/>
  <c r="D220" i="2"/>
  <c r="D219" i="2"/>
  <c r="D218" i="2"/>
  <c r="D217" i="2"/>
  <c r="D216" i="2"/>
  <c r="D215" i="2"/>
  <c r="D214" i="2"/>
  <c r="D213" i="2"/>
  <c r="D212" i="2"/>
  <c r="D211" i="2"/>
  <c r="D210" i="2"/>
  <c r="D209" i="2"/>
  <c r="D208" i="2"/>
  <c r="D207" i="2"/>
  <c r="D206" i="2"/>
  <c r="D205" i="2"/>
  <c r="D204" i="2"/>
  <c r="D203" i="2"/>
  <c r="D202" i="2"/>
  <c r="D201" i="2"/>
  <c r="D200" i="2"/>
  <c r="D199" i="2"/>
  <c r="D198" i="2"/>
  <c r="D197" i="2"/>
  <c r="D196" i="2"/>
  <c r="D195" i="2"/>
  <c r="D194" i="2"/>
  <c r="D193" i="2"/>
  <c r="D192" i="2"/>
  <c r="D191" i="2"/>
  <c r="D190" i="2"/>
  <c r="D189" i="2"/>
  <c r="D188" i="2"/>
  <c r="D187" i="2"/>
  <c r="D186" i="2"/>
  <c r="D185" i="2"/>
  <c r="D184" i="2"/>
  <c r="D183" i="2"/>
  <c r="D182" i="2"/>
  <c r="D181" i="2"/>
  <c r="D180" i="2"/>
  <c r="D179" i="2"/>
  <c r="D178" i="2"/>
  <c r="D177" i="2"/>
  <c r="D176" i="2"/>
  <c r="D175" i="2"/>
  <c r="D174" i="2"/>
  <c r="D173" i="2"/>
  <c r="D172" i="2"/>
  <c r="D171" i="2"/>
  <c r="D170" i="2"/>
  <c r="D169" i="2"/>
  <c r="D168" i="2"/>
  <c r="D167" i="2"/>
  <c r="D166" i="2"/>
  <c r="D165" i="2"/>
  <c r="D164" i="2"/>
  <c r="D163" i="2"/>
  <c r="D162" i="2"/>
  <c r="D161" i="2"/>
  <c r="D160" i="2"/>
  <c r="D159" i="2"/>
  <c r="D158" i="2"/>
  <c r="D157" i="2"/>
  <c r="D156" i="2"/>
  <c r="D155" i="2"/>
  <c r="D154" i="2"/>
  <c r="D153" i="2"/>
  <c r="D152" i="2"/>
  <c r="D151" i="2"/>
  <c r="D150" i="2"/>
  <c r="D149" i="2"/>
  <c r="D148" i="2"/>
  <c r="D147" i="2"/>
  <c r="D146" i="2"/>
  <c r="D145" i="2"/>
  <c r="D144" i="2"/>
  <c r="D143" i="2"/>
  <c r="D142" i="2"/>
  <c r="D141" i="2"/>
  <c r="D140" i="2"/>
  <c r="D139" i="2"/>
  <c r="D138" i="2"/>
  <c r="D137" i="2"/>
  <c r="D136" i="2"/>
  <c r="D135" i="2"/>
  <c r="D134" i="2"/>
  <c r="D133" i="2"/>
  <c r="D132" i="2"/>
  <c r="D131" i="2"/>
  <c r="D130" i="2"/>
  <c r="D129" i="2"/>
  <c r="D128" i="2"/>
  <c r="D127" i="2"/>
  <c r="D126" i="2"/>
  <c r="D125" i="2"/>
  <c r="D124" i="2"/>
  <c r="D123" i="2"/>
  <c r="D122" i="2"/>
  <c r="D121" i="2"/>
  <c r="D120" i="2"/>
  <c r="D119" i="2"/>
  <c r="D118" i="2"/>
  <c r="D117" i="2"/>
  <c r="D116" i="2"/>
  <c r="D115" i="2"/>
  <c r="D114" i="2"/>
  <c r="D113" i="2"/>
  <c r="D112" i="2"/>
  <c r="D111" i="2"/>
  <c r="D110" i="2"/>
  <c r="D109" i="2"/>
  <c r="D108" i="2"/>
  <c r="D107" i="2"/>
  <c r="D106" i="2"/>
  <c r="D105" i="2"/>
  <c r="D104" i="2"/>
  <c r="D103" i="2"/>
  <c r="D102" i="2"/>
  <c r="D101" i="2"/>
  <c r="D100" i="2"/>
  <c r="D99" i="2"/>
  <c r="D98" i="2"/>
  <c r="D97" i="2"/>
  <c r="D96" i="2"/>
  <c r="D95" i="2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  <c r="G2333" i="2"/>
  <c r="G2332" i="2"/>
  <c r="G2331" i="2"/>
  <c r="G2329" i="2"/>
  <c r="G2328" i="2"/>
  <c r="G2327" i="2"/>
  <c r="G2325" i="2"/>
  <c r="G2324" i="2"/>
  <c r="G2323" i="2"/>
  <c r="G2321" i="2"/>
  <c r="G2320" i="2"/>
  <c r="G2319" i="2"/>
  <c r="G2317" i="2"/>
  <c r="G2316" i="2"/>
  <c r="G2315" i="2"/>
  <c r="G2313" i="2"/>
  <c r="G2312" i="2"/>
  <c r="G2311" i="2"/>
  <c r="G2309" i="2"/>
  <c r="G2308" i="2"/>
  <c r="G2307" i="2"/>
  <c r="G2305" i="2"/>
  <c r="G2304" i="2"/>
  <c r="G2303" i="2"/>
  <c r="G2301" i="2"/>
  <c r="G2300" i="2"/>
  <c r="G2299" i="2"/>
  <c r="G2297" i="2"/>
  <c r="G2296" i="2"/>
  <c r="G2295" i="2"/>
  <c r="G2293" i="2"/>
  <c r="G2292" i="2"/>
  <c r="G2291" i="2"/>
  <c r="G2289" i="2"/>
  <c r="G2288" i="2"/>
  <c r="G2287" i="2"/>
  <c r="G2285" i="2"/>
  <c r="G2284" i="2"/>
  <c r="G2283" i="2"/>
  <c r="G2281" i="2"/>
  <c r="G2280" i="2"/>
  <c r="G2279" i="2"/>
  <c r="G2277" i="2"/>
  <c r="G2276" i="2"/>
  <c r="G2275" i="2"/>
  <c r="G2273" i="2"/>
  <c r="G2272" i="2"/>
  <c r="G2271" i="2"/>
  <c r="G2269" i="2"/>
  <c r="G2267" i="2"/>
  <c r="G2266" i="2"/>
  <c r="G2264" i="2"/>
  <c r="G2263" i="2"/>
  <c r="G2262" i="2"/>
  <c r="G2260" i="2"/>
  <c r="G2259" i="2"/>
  <c r="G2258" i="2"/>
  <c r="G2256" i="2"/>
  <c r="G2255" i="2"/>
  <c r="G2254" i="2"/>
  <c r="G2252" i="2"/>
  <c r="G2251" i="2"/>
  <c r="G2250" i="2"/>
  <c r="G2248" i="2"/>
  <c r="G2247" i="2"/>
  <c r="G2246" i="2"/>
  <c r="G2244" i="2"/>
  <c r="G2243" i="2"/>
  <c r="G2242" i="2"/>
  <c r="G2240" i="2"/>
  <c r="G2239" i="2"/>
  <c r="G2238" i="2"/>
  <c r="G2236" i="2"/>
  <c r="G2235" i="2"/>
  <c r="G2234" i="2"/>
  <c r="G2232" i="2"/>
  <c r="G2231" i="2"/>
  <c r="G2230" i="2"/>
  <c r="G2228" i="2"/>
  <c r="G2227" i="2"/>
  <c r="G2226" i="2"/>
  <c r="G2224" i="2"/>
  <c r="G2223" i="2"/>
  <c r="G2222" i="2"/>
  <c r="G2220" i="2"/>
  <c r="G2219" i="2"/>
  <c r="G2218" i="2"/>
  <c r="G2216" i="2"/>
  <c r="G2215" i="2"/>
  <c r="G2214" i="2"/>
  <c r="G2212" i="2"/>
  <c r="G2211" i="2"/>
  <c r="G2210" i="2"/>
  <c r="G2208" i="2"/>
  <c r="G2207" i="2"/>
  <c r="G2206" i="2"/>
  <c r="G2204" i="2"/>
  <c r="G2203" i="2"/>
  <c r="G2202" i="2"/>
  <c r="G2200" i="2"/>
  <c r="G2199" i="2"/>
  <c r="G2198" i="2"/>
  <c r="G2196" i="2"/>
  <c r="G2195" i="2"/>
  <c r="G2194" i="2"/>
  <c r="G2192" i="2"/>
  <c r="G2191" i="2"/>
  <c r="G2190" i="2"/>
  <c r="G2188" i="2"/>
  <c r="G2187" i="2"/>
  <c r="G2186" i="2"/>
  <c r="G2184" i="2"/>
  <c r="G2183" i="2"/>
  <c r="G2182" i="2"/>
  <c r="G2180" i="2"/>
  <c r="G2179" i="2"/>
  <c r="G2178" i="2"/>
  <c r="G2176" i="2"/>
  <c r="G2175" i="2"/>
  <c r="G2174" i="2"/>
  <c r="G2172" i="2"/>
  <c r="G2171" i="2"/>
  <c r="G2170" i="2"/>
  <c r="G2168" i="2"/>
  <c r="G2167" i="2"/>
  <c r="G2166" i="2"/>
  <c r="G2164" i="2"/>
  <c r="G2163" i="2"/>
  <c r="G2162" i="2"/>
  <c r="G2160" i="2"/>
  <c r="G2159" i="2"/>
  <c r="G2158" i="2"/>
  <c r="G2156" i="2"/>
  <c r="G2155" i="2"/>
  <c r="G2154" i="2"/>
  <c r="G2152" i="2"/>
  <c r="G2151" i="2"/>
  <c r="G2150" i="2"/>
  <c r="G2148" i="2"/>
  <c r="G2147" i="2"/>
  <c r="G2146" i="2"/>
  <c r="G2144" i="2"/>
  <c r="G2143" i="2"/>
  <c r="G2142" i="2"/>
  <c r="G2140" i="2"/>
  <c r="G2139" i="2"/>
  <c r="G2138" i="2"/>
  <c r="G2136" i="2"/>
  <c r="G2135" i="2"/>
  <c r="G2134" i="2"/>
  <c r="G2132" i="2"/>
  <c r="G2131" i="2"/>
  <c r="G2130" i="2"/>
  <c r="G2128" i="2"/>
  <c r="G2127" i="2"/>
  <c r="G2126" i="2"/>
  <c r="G2124" i="2"/>
  <c r="G2123" i="2"/>
  <c r="G2122" i="2"/>
  <c r="G2120" i="2"/>
  <c r="G2119" i="2"/>
  <c r="G2118" i="2"/>
  <c r="G2116" i="2"/>
  <c r="G2115" i="2"/>
  <c r="G2114" i="2"/>
  <c r="G2112" i="2"/>
  <c r="G2111" i="2"/>
  <c r="G2110" i="2"/>
  <c r="G2108" i="2"/>
  <c r="G2107" i="2"/>
  <c r="G2106" i="2"/>
  <c r="G2104" i="2"/>
  <c r="G2103" i="2"/>
  <c r="G2102" i="2"/>
  <c r="G2100" i="2"/>
  <c r="G2099" i="2"/>
  <c r="G2098" i="2"/>
  <c r="G2096" i="2"/>
  <c r="G2095" i="2"/>
  <c r="G2094" i="2"/>
  <c r="G2092" i="2"/>
  <c r="G2091" i="2"/>
  <c r="G2090" i="2"/>
  <c r="G2088" i="2"/>
  <c r="G2087" i="2"/>
  <c r="G2086" i="2"/>
  <c r="G2084" i="2"/>
  <c r="G2083" i="2"/>
  <c r="G2082" i="2"/>
  <c r="G2080" i="2"/>
  <c r="G2079" i="2"/>
  <c r="G2078" i="2"/>
  <c r="G2076" i="2"/>
  <c r="G2075" i="2"/>
  <c r="G2074" i="2"/>
  <c r="G2072" i="2"/>
  <c r="G2071" i="2"/>
  <c r="G2070" i="2"/>
  <c r="G2068" i="2"/>
  <c r="G2067" i="2"/>
  <c r="G2066" i="2"/>
  <c r="G2064" i="2"/>
  <c r="G2063" i="2"/>
  <c r="G2062" i="2"/>
  <c r="G2060" i="2"/>
  <c r="G2059" i="2"/>
  <c r="G2058" i="2"/>
  <c r="G2056" i="2"/>
  <c r="G2055" i="2"/>
  <c r="G2054" i="2"/>
  <c r="G2052" i="2"/>
  <c r="G2051" i="2"/>
  <c r="G2050" i="2"/>
  <c r="G2048" i="2"/>
  <c r="G2047" i="2"/>
  <c r="G2046" i="2"/>
  <c r="G2044" i="2"/>
  <c r="G2043" i="2"/>
  <c r="G2042" i="2"/>
  <c r="G2040" i="2"/>
  <c r="G2039" i="2"/>
  <c r="G2038" i="2"/>
  <c r="G2036" i="2"/>
  <c r="G2035" i="2"/>
  <c r="G2034" i="2"/>
  <c r="G2032" i="2"/>
  <c r="G2031" i="2"/>
  <c r="G2030" i="2"/>
  <c r="G2028" i="2"/>
  <c r="G2027" i="2"/>
  <c r="G2026" i="2"/>
  <c r="G2024" i="2"/>
  <c r="G2023" i="2"/>
  <c r="G2022" i="2"/>
  <c r="G2020" i="2"/>
  <c r="G2019" i="2"/>
  <c r="G2018" i="2"/>
  <c r="G2016" i="2"/>
  <c r="G2015" i="2"/>
  <c r="G2014" i="2"/>
  <c r="G2012" i="2"/>
  <c r="G2011" i="2"/>
  <c r="G2010" i="2"/>
  <c r="G2008" i="2"/>
  <c r="G2007" i="2"/>
  <c r="G2006" i="2"/>
  <c r="G2004" i="2"/>
  <c r="G2003" i="2"/>
  <c r="G2002" i="2"/>
  <c r="G2000" i="2"/>
  <c r="G1999" i="2"/>
  <c r="G1998" i="2"/>
  <c r="G1996" i="2"/>
  <c r="G1995" i="2"/>
  <c r="G1994" i="2"/>
  <c r="G1992" i="2"/>
  <c r="G1991" i="2"/>
  <c r="G1990" i="2"/>
  <c r="G1988" i="2"/>
  <c r="G1987" i="2"/>
  <c r="G1986" i="2"/>
  <c r="G1984" i="2"/>
  <c r="G1983" i="2"/>
  <c r="G1982" i="2"/>
  <c r="G1980" i="2"/>
  <c r="G1979" i="2"/>
  <c r="G1978" i="2"/>
  <c r="G1976" i="2"/>
  <c r="G1975" i="2"/>
  <c r="G1974" i="2"/>
  <c r="G1972" i="2"/>
  <c r="G1971" i="2"/>
  <c r="G1970" i="2"/>
  <c r="G1968" i="2"/>
  <c r="G1967" i="2"/>
  <c r="G1966" i="2"/>
  <c r="G1964" i="2"/>
  <c r="G1963" i="2"/>
  <c r="G1962" i="2"/>
  <c r="G1960" i="2"/>
  <c r="G1959" i="2"/>
  <c r="G1958" i="2"/>
  <c r="G1956" i="2"/>
  <c r="G1955" i="2"/>
  <c r="G1954" i="2"/>
  <c r="G1952" i="2"/>
  <c r="G1951" i="2"/>
  <c r="G1950" i="2"/>
  <c r="G1948" i="2"/>
  <c r="G1947" i="2"/>
  <c r="G1946" i="2"/>
  <c r="G1944" i="2"/>
  <c r="G1943" i="2"/>
  <c r="G1942" i="2"/>
  <c r="G1940" i="2"/>
  <c r="G1939" i="2"/>
  <c r="G1938" i="2"/>
  <c r="G1936" i="2"/>
  <c r="G1935" i="2"/>
  <c r="G1934" i="2"/>
  <c r="G1932" i="2"/>
  <c r="G1931" i="2"/>
  <c r="G1930" i="2"/>
  <c r="G1928" i="2"/>
  <c r="G1927" i="2"/>
  <c r="G1926" i="2"/>
  <c r="G1924" i="2"/>
  <c r="G1923" i="2"/>
  <c r="G1922" i="2"/>
  <c r="G1920" i="2"/>
  <c r="G1919" i="2"/>
  <c r="G1918" i="2"/>
  <c r="G1916" i="2"/>
  <c r="G1915" i="2"/>
  <c r="G1914" i="2"/>
  <c r="G1912" i="2"/>
  <c r="G1911" i="2"/>
  <c r="G1910" i="2"/>
  <c r="G1908" i="2"/>
  <c r="G1907" i="2"/>
  <c r="G1906" i="2"/>
  <c r="G1904" i="2"/>
  <c r="G1903" i="2"/>
  <c r="G1902" i="2"/>
  <c r="G1900" i="2"/>
  <c r="G1899" i="2"/>
  <c r="G1898" i="2"/>
  <c r="G1896" i="2"/>
  <c r="G1895" i="2"/>
  <c r="G1894" i="2"/>
  <c r="G1892" i="2"/>
  <c r="G1891" i="2"/>
  <c r="G1890" i="2"/>
  <c r="G1888" i="2"/>
  <c r="G1887" i="2"/>
  <c r="G1886" i="2"/>
  <c r="G1884" i="2"/>
  <c r="G1883" i="2"/>
  <c r="G1882" i="2"/>
  <c r="G1880" i="2"/>
  <c r="G1879" i="2"/>
  <c r="G1878" i="2"/>
  <c r="G1876" i="2"/>
  <c r="G1875" i="2"/>
  <c r="G1874" i="2"/>
  <c r="G1872" i="2"/>
  <c r="G1871" i="2"/>
  <c r="G1870" i="2"/>
  <c r="G1868" i="2"/>
  <c r="G1867" i="2"/>
  <c r="G1866" i="2"/>
  <c r="G1864" i="2"/>
  <c r="G1863" i="2"/>
  <c r="G1862" i="2"/>
  <c r="G1860" i="2"/>
  <c r="G1859" i="2"/>
  <c r="G1858" i="2"/>
  <c r="G1856" i="2"/>
  <c r="G1855" i="2"/>
  <c r="G1854" i="2"/>
  <c r="G1852" i="2"/>
  <c r="G1851" i="2"/>
  <c r="G1850" i="2"/>
  <c r="G1848" i="2"/>
  <c r="G1847" i="2"/>
  <c r="G1846" i="2"/>
  <c r="G1844" i="2"/>
  <c r="G1843" i="2"/>
  <c r="G1842" i="2"/>
  <c r="G1840" i="2"/>
  <c r="G1839" i="2"/>
  <c r="G1838" i="2"/>
  <c r="G1836" i="2"/>
  <c r="G1835" i="2"/>
  <c r="G1834" i="2"/>
  <c r="G1832" i="2"/>
  <c r="G1831" i="2"/>
  <c r="G1830" i="2"/>
  <c r="G1828" i="2"/>
  <c r="G1827" i="2"/>
  <c r="G1826" i="2"/>
  <c r="G1824" i="2"/>
  <c r="G1823" i="2"/>
  <c r="G1822" i="2"/>
  <c r="G1820" i="2"/>
  <c r="G1819" i="2"/>
  <c r="G1818" i="2"/>
  <c r="G1816" i="2"/>
  <c r="G1815" i="2"/>
  <c r="G1814" i="2"/>
  <c r="G1812" i="2"/>
  <c r="G1811" i="2"/>
  <c r="G1810" i="2"/>
  <c r="G1808" i="2"/>
  <c r="G1807" i="2"/>
  <c r="G1806" i="2"/>
  <c r="G1804" i="2"/>
  <c r="G1803" i="2"/>
  <c r="G1802" i="2"/>
  <c r="G1800" i="2"/>
  <c r="G1799" i="2"/>
  <c r="G1798" i="2"/>
  <c r="G1796" i="2"/>
  <c r="G1795" i="2"/>
  <c r="G1794" i="2"/>
  <c r="G1792" i="2"/>
  <c r="G1791" i="2"/>
  <c r="G1790" i="2"/>
  <c r="G1788" i="2"/>
  <c r="G1787" i="2"/>
  <c r="G1786" i="2"/>
  <c r="G1784" i="2"/>
  <c r="G1783" i="2"/>
  <c r="G1782" i="2"/>
  <c r="G1780" i="2"/>
  <c r="G1779" i="2"/>
  <c r="G1778" i="2"/>
  <c r="G1776" i="2"/>
  <c r="G1775" i="2"/>
  <c r="G1774" i="2"/>
  <c r="G1772" i="2"/>
  <c r="G1771" i="2"/>
  <c r="G1770" i="2"/>
  <c r="G1768" i="2"/>
  <c r="G1767" i="2"/>
  <c r="G1766" i="2"/>
  <c r="G1764" i="2"/>
  <c r="G1763" i="2"/>
  <c r="G1762" i="2"/>
  <c r="G1760" i="2"/>
  <c r="G1759" i="2"/>
  <c r="G1758" i="2"/>
  <c r="G1756" i="2"/>
  <c r="G1755" i="2"/>
  <c r="G1754" i="2"/>
  <c r="G1752" i="2"/>
  <c r="G1751" i="2"/>
  <c r="G1750" i="2"/>
  <c r="G1748" i="2"/>
  <c r="G1747" i="2"/>
  <c r="G1746" i="2"/>
  <c r="G1744" i="2"/>
  <c r="G1743" i="2"/>
  <c r="G1742" i="2"/>
  <c r="G1740" i="2"/>
  <c r="G1739" i="2"/>
  <c r="G1738" i="2"/>
  <c r="G1736" i="2"/>
  <c r="G1735" i="2"/>
  <c r="G1734" i="2"/>
  <c r="G1732" i="2"/>
  <c r="G1731" i="2"/>
  <c r="G1730" i="2"/>
  <c r="G1728" i="2"/>
  <c r="G1727" i="2"/>
  <c r="G1726" i="2"/>
  <c r="G1724" i="2"/>
  <c r="G1723" i="2"/>
  <c r="G1722" i="2"/>
  <c r="G1720" i="2"/>
  <c r="G1719" i="2"/>
  <c r="G1718" i="2"/>
  <c r="G1716" i="2"/>
  <c r="G1715" i="2"/>
  <c r="G1714" i="2"/>
  <c r="G1712" i="2"/>
  <c r="G1711" i="2"/>
  <c r="G1710" i="2"/>
  <c r="G1708" i="2"/>
  <c r="G1707" i="2"/>
  <c r="G1706" i="2"/>
  <c r="G1704" i="2"/>
  <c r="G1703" i="2"/>
  <c r="G1702" i="2"/>
  <c r="G1700" i="2"/>
  <c r="G1699" i="2"/>
  <c r="G1698" i="2"/>
  <c r="G1696" i="2"/>
  <c r="G1695" i="2"/>
  <c r="G1694" i="2"/>
  <c r="G1692" i="2"/>
  <c r="G1691" i="2"/>
  <c r="G1690" i="2"/>
  <c r="G1688" i="2"/>
  <c r="G1687" i="2"/>
  <c r="G1686" i="2"/>
  <c r="G1684" i="2"/>
  <c r="G1683" i="2"/>
  <c r="G1682" i="2"/>
  <c r="G1680" i="2"/>
  <c r="G1679" i="2"/>
  <c r="G1678" i="2"/>
  <c r="G1676" i="2"/>
  <c r="G1675" i="2"/>
  <c r="G1674" i="2"/>
  <c r="G1672" i="2"/>
  <c r="G1671" i="2"/>
  <c r="G1670" i="2"/>
  <c r="G1668" i="2"/>
  <c r="G1667" i="2"/>
  <c r="G1666" i="2"/>
  <c r="G1664" i="2"/>
  <c r="G1663" i="2"/>
  <c r="G1662" i="2"/>
  <c r="G1660" i="2"/>
  <c r="G1659" i="2"/>
  <c r="G1658" i="2"/>
  <c r="G1656" i="2"/>
  <c r="G1655" i="2"/>
  <c r="G1654" i="2"/>
  <c r="G1652" i="2"/>
  <c r="G1651" i="2"/>
  <c r="G1650" i="2"/>
  <c r="G1648" i="2"/>
  <c r="G1647" i="2"/>
  <c r="G1646" i="2"/>
  <c r="G1644" i="2"/>
  <c r="G1643" i="2"/>
  <c r="G1642" i="2"/>
  <c r="G1640" i="2"/>
  <c r="G1639" i="2"/>
  <c r="G1638" i="2"/>
  <c r="G1636" i="2"/>
  <c r="G1635" i="2"/>
  <c r="G1634" i="2"/>
  <c r="G1632" i="2"/>
  <c r="G1631" i="2"/>
  <c r="G1630" i="2"/>
  <c r="G1628" i="2"/>
  <c r="G1627" i="2"/>
  <c r="G1626" i="2"/>
  <c r="G1624" i="2"/>
  <c r="G1623" i="2"/>
  <c r="G1622" i="2"/>
  <c r="G1620" i="2"/>
  <c r="G1619" i="2"/>
  <c r="G1618" i="2"/>
  <c r="G1616" i="2"/>
  <c r="G1615" i="2"/>
  <c r="G1614" i="2"/>
  <c r="G1612" i="2"/>
  <c r="G1611" i="2"/>
  <c r="G1610" i="2"/>
  <c r="G1608" i="2"/>
  <c r="G1607" i="2"/>
  <c r="G1606" i="2"/>
  <c r="G1604" i="2"/>
  <c r="G1603" i="2"/>
  <c r="G1602" i="2"/>
  <c r="G1600" i="2"/>
  <c r="G1599" i="2"/>
  <c r="G1598" i="2"/>
  <c r="G1596" i="2"/>
  <c r="G1595" i="2"/>
  <c r="G1594" i="2"/>
  <c r="G1592" i="2"/>
  <c r="G1591" i="2"/>
  <c r="G1590" i="2"/>
  <c r="G1588" i="2"/>
  <c r="G1587" i="2"/>
  <c r="G1586" i="2"/>
  <c r="G1584" i="2"/>
  <c r="G1583" i="2"/>
  <c r="G1582" i="2"/>
  <c r="G1580" i="2"/>
  <c r="G1579" i="2"/>
  <c r="G1578" i="2"/>
  <c r="G1576" i="2"/>
  <c r="G1575" i="2"/>
  <c r="G1574" i="2"/>
  <c r="G1572" i="2"/>
  <c r="G1571" i="2"/>
  <c r="G1570" i="2"/>
  <c r="G1568" i="2"/>
  <c r="G1567" i="2"/>
  <c r="G1566" i="2"/>
  <c r="G1564" i="2"/>
  <c r="G1563" i="2"/>
  <c r="G1562" i="2"/>
  <c r="G1560" i="2"/>
  <c r="G1559" i="2"/>
  <c r="G1558" i="2"/>
  <c r="G1556" i="2"/>
  <c r="G1555" i="2"/>
  <c r="G1554" i="2"/>
  <c r="G1552" i="2"/>
  <c r="G1551" i="2"/>
  <c r="G1550" i="2"/>
  <c r="G1548" i="2"/>
  <c r="G1547" i="2"/>
  <c r="G1546" i="2"/>
  <c r="G1544" i="2"/>
  <c r="G1543" i="2"/>
  <c r="G1542" i="2"/>
  <c r="G1540" i="2"/>
  <c r="G1539" i="2"/>
  <c r="G1538" i="2"/>
  <c r="G1536" i="2"/>
  <c r="G1535" i="2"/>
  <c r="G1534" i="2"/>
  <c r="G1532" i="2"/>
  <c r="G1531" i="2"/>
  <c r="G1530" i="2"/>
  <c r="G1528" i="2"/>
  <c r="G1527" i="2"/>
  <c r="G1526" i="2"/>
  <c r="G1524" i="2"/>
  <c r="G1523" i="2"/>
  <c r="G1522" i="2"/>
  <c r="G1520" i="2"/>
  <c r="G1519" i="2"/>
  <c r="G1518" i="2"/>
  <c r="G1516" i="2"/>
  <c r="G1515" i="2"/>
  <c r="G1514" i="2"/>
  <c r="G1512" i="2"/>
  <c r="G1511" i="2"/>
  <c r="G1510" i="2"/>
  <c r="G1508" i="2"/>
  <c r="G1507" i="2"/>
  <c r="G1506" i="2"/>
  <c r="G1504" i="2"/>
  <c r="G1503" i="2"/>
  <c r="G1502" i="2"/>
  <c r="G1500" i="2"/>
  <c r="G1499" i="2"/>
  <c r="G1498" i="2"/>
  <c r="G1496" i="2"/>
  <c r="G1495" i="2"/>
  <c r="G1494" i="2"/>
  <c r="G1492" i="2"/>
  <c r="G1491" i="2"/>
  <c r="G1490" i="2"/>
  <c r="G1488" i="2"/>
  <c r="G1487" i="2"/>
  <c r="G1486" i="2"/>
  <c r="G1484" i="2"/>
  <c r="G1483" i="2"/>
  <c r="G1482" i="2"/>
  <c r="G1480" i="2"/>
  <c r="G1479" i="2"/>
  <c r="G1478" i="2"/>
  <c r="G1476" i="2"/>
  <c r="G1475" i="2"/>
  <c r="G1474" i="2"/>
  <c r="G1472" i="2"/>
  <c r="G1471" i="2"/>
  <c r="G1470" i="2"/>
  <c r="G1468" i="2"/>
  <c r="G1467" i="2"/>
  <c r="G1466" i="2"/>
  <c r="G1464" i="2"/>
  <c r="G1463" i="2"/>
  <c r="G1462" i="2"/>
  <c r="G1460" i="2"/>
  <c r="G1459" i="2"/>
  <c r="G1458" i="2"/>
  <c r="G1456" i="2"/>
  <c r="G1455" i="2"/>
  <c r="G1454" i="2"/>
  <c r="G1452" i="2"/>
  <c r="G1451" i="2"/>
  <c r="G1450" i="2"/>
  <c r="G1448" i="2"/>
  <c r="G1447" i="2"/>
  <c r="G1446" i="2"/>
  <c r="G1444" i="2"/>
  <c r="G1443" i="2"/>
  <c r="G1442" i="2"/>
  <c r="G1440" i="2"/>
  <c r="G1439" i="2"/>
  <c r="G1438" i="2"/>
  <c r="G1436" i="2"/>
  <c r="G1435" i="2"/>
  <c r="G1434" i="2"/>
  <c r="G1432" i="2"/>
  <c r="G1431" i="2"/>
  <c r="G1430" i="2"/>
  <c r="G1428" i="2"/>
  <c r="G1427" i="2"/>
  <c r="G1426" i="2"/>
  <c r="G1424" i="2"/>
  <c r="G1423" i="2"/>
  <c r="G1422" i="2"/>
  <c r="G1420" i="2"/>
  <c r="G1419" i="2"/>
  <c r="G1418" i="2"/>
  <c r="G1416" i="2"/>
  <c r="G1415" i="2"/>
  <c r="G1414" i="2"/>
  <c r="G1412" i="2"/>
  <c r="G1411" i="2"/>
  <c r="G1410" i="2"/>
  <c r="G1408" i="2"/>
  <c r="G1407" i="2"/>
  <c r="G1406" i="2"/>
  <c r="G1404" i="2"/>
  <c r="G1403" i="2"/>
  <c r="G1402" i="2"/>
  <c r="G1400" i="2"/>
  <c r="G1399" i="2"/>
  <c r="G1398" i="2"/>
  <c r="G1396" i="2"/>
  <c r="G1395" i="2"/>
  <c r="G1394" i="2"/>
  <c r="G1392" i="2"/>
  <c r="G1391" i="2"/>
  <c r="G1390" i="2"/>
  <c r="G1388" i="2"/>
  <c r="G1387" i="2"/>
  <c r="G1386" i="2"/>
  <c r="G1384" i="2"/>
  <c r="G1383" i="2"/>
  <c r="G1382" i="2"/>
  <c r="G1380" i="2"/>
  <c r="G1379" i="2"/>
  <c r="G1378" i="2"/>
  <c r="G1376" i="2"/>
  <c r="G1375" i="2"/>
  <c r="G1374" i="2"/>
  <c r="G1372" i="2"/>
  <c r="G1371" i="2"/>
  <c r="G1370" i="2"/>
  <c r="G1368" i="2"/>
  <c r="G1367" i="2"/>
  <c r="G1366" i="2"/>
  <c r="G1364" i="2"/>
  <c r="G1363" i="2"/>
  <c r="G1362" i="2"/>
  <c r="G1360" i="2"/>
  <c r="G1359" i="2"/>
  <c r="G1358" i="2"/>
  <c r="G1356" i="2"/>
  <c r="G1355" i="2"/>
  <c r="G1354" i="2"/>
  <c r="G1352" i="2"/>
  <c r="G1351" i="2"/>
  <c r="G1350" i="2"/>
  <c r="G1348" i="2"/>
  <c r="G1347" i="2"/>
  <c r="G1346" i="2"/>
  <c r="G1344" i="2"/>
  <c r="G1343" i="2"/>
  <c r="G1342" i="2"/>
  <c r="G1340" i="2"/>
  <c r="G1339" i="2"/>
  <c r="G1338" i="2"/>
  <c r="G1336" i="2"/>
  <c r="G1335" i="2"/>
  <c r="G1334" i="2"/>
  <c r="G1332" i="2"/>
  <c r="G1331" i="2"/>
  <c r="G1330" i="2"/>
  <c r="G1328" i="2"/>
  <c r="G1327" i="2"/>
  <c r="G1326" i="2"/>
  <c r="G1324" i="2"/>
  <c r="G1323" i="2"/>
  <c r="G1322" i="2"/>
  <c r="G1320" i="2"/>
  <c r="G1319" i="2"/>
  <c r="G1318" i="2"/>
  <c r="G1316" i="2"/>
  <c r="G1315" i="2"/>
  <c r="G1314" i="2"/>
  <c r="G1312" i="2"/>
  <c r="G1311" i="2"/>
  <c r="G1310" i="2"/>
  <c r="G1309" i="2"/>
  <c r="G1308" i="2"/>
  <c r="G1307" i="2"/>
  <c r="G1306" i="2"/>
  <c r="G1305" i="2"/>
  <c r="G1304" i="2"/>
  <c r="G1303" i="2"/>
  <c r="G1302" i="2"/>
  <c r="G1301" i="2"/>
  <c r="G1300" i="2"/>
  <c r="G1299" i="2"/>
  <c r="G1298" i="2"/>
  <c r="G1297" i="2"/>
  <c r="G1296" i="2"/>
  <c r="G1295" i="2"/>
  <c r="G1294" i="2"/>
  <c r="G1293" i="2"/>
  <c r="G1292" i="2"/>
  <c r="G1291" i="2"/>
  <c r="G1290" i="2"/>
  <c r="G1289" i="2"/>
  <c r="G1288" i="2"/>
  <c r="G1287" i="2"/>
  <c r="G1286" i="2"/>
  <c r="G1285" i="2"/>
  <c r="G1284" i="2"/>
  <c r="G1283" i="2"/>
  <c r="G1282" i="2"/>
  <c r="G1281" i="2"/>
  <c r="G1280" i="2"/>
  <c r="G1279" i="2"/>
  <c r="G1278" i="2"/>
  <c r="G1277" i="2"/>
  <c r="G1276" i="2"/>
  <c r="G1275" i="2"/>
  <c r="G1274" i="2"/>
  <c r="G1273" i="2"/>
  <c r="G1272" i="2"/>
  <c r="G1271" i="2"/>
  <c r="G1270" i="2"/>
  <c r="G1269" i="2"/>
  <c r="G1268" i="2"/>
  <c r="G1267" i="2"/>
  <c r="G1266" i="2"/>
  <c r="G1265" i="2"/>
  <c r="G1264" i="2"/>
  <c r="G1263" i="2"/>
  <c r="G1262" i="2"/>
  <c r="G1261" i="2"/>
  <c r="G1260" i="2"/>
  <c r="G1259" i="2"/>
  <c r="G1258" i="2"/>
  <c r="G1257" i="2"/>
  <c r="G1256" i="2"/>
  <c r="G1255" i="2"/>
  <c r="G1254" i="2"/>
  <c r="G1253" i="2"/>
  <c r="G1252" i="2"/>
  <c r="G1251" i="2"/>
  <c r="G1250" i="2"/>
  <c r="G1249" i="2"/>
  <c r="G1248" i="2"/>
  <c r="G1247" i="2"/>
  <c r="G1246" i="2"/>
  <c r="G1245" i="2"/>
  <c r="G1244" i="2"/>
  <c r="G1243" i="2"/>
  <c r="G1242" i="2"/>
  <c r="G1241" i="2"/>
  <c r="G1240" i="2"/>
  <c r="G1239" i="2"/>
  <c r="G1238" i="2"/>
  <c r="G1237" i="2"/>
  <c r="G1236" i="2"/>
  <c r="G1235" i="2"/>
  <c r="G1234" i="2"/>
  <c r="G1233" i="2"/>
  <c r="G1232" i="2"/>
  <c r="G1231" i="2"/>
  <c r="G1230" i="2"/>
  <c r="G1229" i="2"/>
  <c r="G1228" i="2"/>
  <c r="G1227" i="2"/>
  <c r="G1226" i="2"/>
  <c r="G1225" i="2"/>
  <c r="G1224" i="2"/>
  <c r="G1223" i="2"/>
  <c r="G1222" i="2"/>
  <c r="G1221" i="2"/>
  <c r="G1220" i="2"/>
  <c r="G1219" i="2"/>
  <c r="G1218" i="2"/>
  <c r="G1217" i="2"/>
  <c r="G1216" i="2"/>
  <c r="G1215" i="2"/>
  <c r="G1214" i="2"/>
  <c r="G1213" i="2"/>
  <c r="G1212" i="2"/>
  <c r="G1211" i="2"/>
  <c r="G1210" i="2"/>
  <c r="G1209" i="2"/>
  <c r="G1208" i="2"/>
  <c r="G1207" i="2"/>
  <c r="G1206" i="2"/>
  <c r="G1205" i="2"/>
  <c r="G1204" i="2"/>
  <c r="G1203" i="2"/>
  <c r="G1202" i="2"/>
  <c r="G1201" i="2"/>
  <c r="G1200" i="2"/>
  <c r="G1199" i="2"/>
  <c r="G1198" i="2"/>
  <c r="G1197" i="2"/>
  <c r="G1196" i="2"/>
  <c r="G1195" i="2"/>
  <c r="G1194" i="2"/>
  <c r="G1193" i="2"/>
  <c r="G1192" i="2"/>
  <c r="G1191" i="2"/>
  <c r="G1190" i="2"/>
  <c r="G1189" i="2"/>
  <c r="G1188" i="2"/>
  <c r="G1187" i="2"/>
  <c r="G1186" i="2"/>
  <c r="G1185" i="2"/>
  <c r="G1184" i="2"/>
  <c r="G1183" i="2"/>
  <c r="G1182" i="2"/>
  <c r="G1181" i="2"/>
  <c r="G1180" i="2"/>
  <c r="G1179" i="2"/>
  <c r="G1178" i="2"/>
  <c r="G1177" i="2"/>
  <c r="G1176" i="2"/>
  <c r="G1175" i="2"/>
  <c r="G1174" i="2"/>
  <c r="G1173" i="2"/>
  <c r="G1172" i="2"/>
  <c r="G1171" i="2"/>
  <c r="G1170" i="2"/>
  <c r="G1169" i="2"/>
  <c r="G1168" i="2"/>
  <c r="G1167" i="2"/>
  <c r="G1166" i="2"/>
  <c r="G1165" i="2"/>
  <c r="G1164" i="2"/>
  <c r="G1163" i="2"/>
  <c r="G1162" i="2"/>
  <c r="G1161" i="2"/>
  <c r="G1160" i="2"/>
  <c r="G1159" i="2"/>
  <c r="G1158" i="2"/>
  <c r="G1157" i="2"/>
  <c r="G1156" i="2"/>
  <c r="G1155" i="2"/>
  <c r="G1154" i="2"/>
  <c r="G1153" i="2"/>
  <c r="G1152" i="2"/>
  <c r="G1151" i="2"/>
  <c r="G1150" i="2"/>
  <c r="G1149" i="2"/>
  <c r="G1148" i="2"/>
  <c r="G1147" i="2"/>
  <c r="G1146" i="2"/>
  <c r="G1145" i="2"/>
  <c r="G1144" i="2"/>
  <c r="G1143" i="2"/>
  <c r="G1142" i="2"/>
  <c r="G1141" i="2"/>
  <c r="G1140" i="2"/>
  <c r="G1139" i="2"/>
  <c r="G1138" i="2"/>
  <c r="G1137" i="2"/>
  <c r="G1136" i="2"/>
  <c r="G1135" i="2"/>
  <c r="G1134" i="2"/>
  <c r="G1133" i="2"/>
  <c r="G1132" i="2"/>
  <c r="G1131" i="2"/>
  <c r="G1130" i="2"/>
  <c r="G1129" i="2"/>
  <c r="G1128" i="2"/>
  <c r="G1127" i="2"/>
  <c r="G1126" i="2"/>
  <c r="G1125" i="2"/>
  <c r="G1124" i="2"/>
  <c r="G1123" i="2"/>
  <c r="G1122" i="2"/>
  <c r="G1121" i="2"/>
  <c r="G1120" i="2"/>
  <c r="G1119" i="2"/>
  <c r="G1118" i="2"/>
  <c r="G1117" i="2"/>
  <c r="G1116" i="2"/>
  <c r="G1115" i="2"/>
  <c r="G1114" i="2"/>
  <c r="G1113" i="2"/>
  <c r="G1112" i="2"/>
  <c r="G1111" i="2"/>
  <c r="G1110" i="2"/>
  <c r="G1109" i="2"/>
  <c r="G1108" i="2"/>
  <c r="G1107" i="2"/>
  <c r="G1106" i="2"/>
  <c r="G1105" i="2"/>
  <c r="G1104" i="2"/>
  <c r="G1103" i="2"/>
  <c r="G1102" i="2"/>
  <c r="G1101" i="2"/>
  <c r="G1100" i="2"/>
  <c r="G1099" i="2"/>
  <c r="G1098" i="2"/>
  <c r="G1097" i="2"/>
  <c r="G1096" i="2"/>
  <c r="G1095" i="2"/>
  <c r="G1094" i="2"/>
  <c r="G1093" i="2"/>
  <c r="G1092" i="2"/>
  <c r="G1091" i="2"/>
  <c r="G1090" i="2"/>
  <c r="G1089" i="2"/>
  <c r="G1088" i="2"/>
  <c r="G1087" i="2"/>
  <c r="G1086" i="2"/>
  <c r="G1085" i="2"/>
  <c r="G1084" i="2"/>
  <c r="G1083" i="2"/>
  <c r="G1082" i="2"/>
  <c r="G1081" i="2"/>
  <c r="G1080" i="2"/>
  <c r="G1079" i="2"/>
  <c r="G1078" i="2"/>
  <c r="G1077" i="2"/>
  <c r="G1076" i="2"/>
  <c r="G1075" i="2"/>
  <c r="G1074" i="2"/>
  <c r="G1073" i="2"/>
  <c r="G1072" i="2"/>
  <c r="G1071" i="2"/>
  <c r="G1070" i="2"/>
  <c r="G1069" i="2"/>
  <c r="G1068" i="2"/>
  <c r="G1067" i="2"/>
  <c r="G1066" i="2"/>
  <c r="G1065" i="2"/>
  <c r="G1064" i="2"/>
  <c r="G1063" i="2"/>
  <c r="G1062" i="2"/>
  <c r="G1061" i="2"/>
  <c r="G1060" i="2"/>
  <c r="G1059" i="2"/>
  <c r="G1058" i="2"/>
  <c r="G1057" i="2"/>
  <c r="G1056" i="2"/>
  <c r="G1055" i="2"/>
  <c r="G1054" i="2"/>
  <c r="G1053" i="2"/>
  <c r="G1052" i="2"/>
  <c r="G1051" i="2"/>
  <c r="G1050" i="2"/>
  <c r="G1049" i="2"/>
  <c r="G1048" i="2"/>
  <c r="G1047" i="2"/>
  <c r="G1046" i="2"/>
  <c r="G1045" i="2"/>
  <c r="G1044" i="2"/>
  <c r="G1043" i="2"/>
  <c r="G1042" i="2"/>
  <c r="G1041" i="2"/>
  <c r="G1040" i="2"/>
  <c r="G1039" i="2"/>
  <c r="G1038" i="2"/>
  <c r="G1037" i="2"/>
  <c r="G1036" i="2"/>
  <c r="G1035" i="2"/>
  <c r="G1034" i="2"/>
  <c r="G1033" i="2"/>
  <c r="G1032" i="2"/>
  <c r="G1031" i="2"/>
  <c r="G1030" i="2"/>
  <c r="G1029" i="2"/>
  <c r="G1028" i="2"/>
  <c r="G1027" i="2"/>
  <c r="G1026" i="2"/>
  <c r="G1025" i="2"/>
  <c r="G1024" i="2"/>
  <c r="G1023" i="2"/>
  <c r="G1022" i="2"/>
  <c r="G1021" i="2"/>
  <c r="G1020" i="2"/>
  <c r="G1019" i="2"/>
  <c r="G1018" i="2"/>
  <c r="G1017" i="2"/>
  <c r="G1016" i="2"/>
  <c r="G1015" i="2"/>
  <c r="G1014" i="2"/>
  <c r="G1013" i="2"/>
  <c r="G1012" i="2"/>
  <c r="G1011" i="2"/>
  <c r="G1010" i="2"/>
  <c r="G1009" i="2"/>
  <c r="G1008" i="2"/>
  <c r="G1007" i="2"/>
  <c r="G1006" i="2"/>
  <c r="G1005" i="2"/>
  <c r="G1004" i="2"/>
  <c r="G1003" i="2"/>
  <c r="G1002" i="2"/>
  <c r="G1001" i="2"/>
  <c r="G1000" i="2"/>
  <c r="G999" i="2"/>
  <c r="G998" i="2"/>
  <c r="G997" i="2"/>
  <c r="G996" i="2"/>
  <c r="G995" i="2"/>
  <c r="G994" i="2"/>
  <c r="G993" i="2"/>
  <c r="G992" i="2"/>
  <c r="G991" i="2"/>
  <c r="G990" i="2"/>
  <c r="G989" i="2"/>
  <c r="G988" i="2"/>
  <c r="G987" i="2"/>
  <c r="G986" i="2"/>
  <c r="G985" i="2"/>
  <c r="G984" i="2"/>
  <c r="G983" i="2"/>
  <c r="G982" i="2"/>
  <c r="G981" i="2"/>
  <c r="G980" i="2"/>
  <c r="G979" i="2"/>
  <c r="G978" i="2"/>
  <c r="G977" i="2"/>
  <c r="G976" i="2"/>
  <c r="G975" i="2"/>
  <c r="G974" i="2"/>
  <c r="G973" i="2"/>
  <c r="G972" i="2"/>
  <c r="G971" i="2"/>
  <c r="G970" i="2"/>
  <c r="G969" i="2"/>
  <c r="G968" i="2"/>
  <c r="G967" i="2"/>
  <c r="G966" i="2"/>
  <c r="G965" i="2"/>
  <c r="G964" i="2"/>
  <c r="G963" i="2"/>
  <c r="G962" i="2"/>
  <c r="G961" i="2"/>
  <c r="G960" i="2"/>
  <c r="G959" i="2"/>
  <c r="G958" i="2"/>
  <c r="G957" i="2"/>
  <c r="G956" i="2"/>
  <c r="G955" i="2"/>
  <c r="G954" i="2"/>
  <c r="G953" i="2"/>
  <c r="G952" i="2"/>
  <c r="G951" i="2"/>
  <c r="G950" i="2"/>
  <c r="G949" i="2"/>
  <c r="G948" i="2"/>
  <c r="G947" i="2"/>
  <c r="G946" i="2"/>
  <c r="G945" i="2"/>
  <c r="G944" i="2"/>
  <c r="G943" i="2"/>
  <c r="G942" i="2"/>
  <c r="G941" i="2"/>
  <c r="G940" i="2"/>
  <c r="G939" i="2"/>
  <c r="G938" i="2"/>
  <c r="G937" i="2"/>
  <c r="G936" i="2"/>
  <c r="G935" i="2"/>
  <c r="G934" i="2"/>
  <c r="G933" i="2"/>
  <c r="G932" i="2"/>
  <c r="G931" i="2"/>
  <c r="G930" i="2"/>
  <c r="G929" i="2"/>
  <c r="G928" i="2"/>
  <c r="G927" i="2"/>
  <c r="G926" i="2"/>
  <c r="G925" i="2"/>
  <c r="G924" i="2"/>
  <c r="G923" i="2"/>
  <c r="G922" i="2"/>
  <c r="G921" i="2"/>
  <c r="G920" i="2"/>
  <c r="G919" i="2"/>
  <c r="G918" i="2"/>
  <c r="G917" i="2"/>
  <c r="G916" i="2"/>
  <c r="G915" i="2"/>
  <c r="G914" i="2"/>
  <c r="G913" i="2"/>
  <c r="G912" i="2"/>
  <c r="G911" i="2"/>
  <c r="G910" i="2"/>
  <c r="G909" i="2"/>
  <c r="G908" i="2"/>
  <c r="G907" i="2"/>
  <c r="G906" i="2"/>
  <c r="G905" i="2"/>
  <c r="G904" i="2"/>
  <c r="G903" i="2"/>
  <c r="G902" i="2"/>
  <c r="G901" i="2"/>
  <c r="G900" i="2"/>
  <c r="G899" i="2"/>
  <c r="G898" i="2"/>
  <c r="G897" i="2"/>
  <c r="G896" i="2"/>
  <c r="G895" i="2"/>
  <c r="G894" i="2"/>
  <c r="G893" i="2"/>
  <c r="G892" i="2"/>
  <c r="G891" i="2"/>
  <c r="G890" i="2"/>
  <c r="G889" i="2"/>
  <c r="G888" i="2"/>
  <c r="G887" i="2"/>
  <c r="G886" i="2"/>
  <c r="G885" i="2"/>
  <c r="G884" i="2"/>
  <c r="G883" i="2"/>
  <c r="G882" i="2"/>
  <c r="G881" i="2"/>
  <c r="G880" i="2"/>
  <c r="G879" i="2"/>
  <c r="G878" i="2"/>
  <c r="G877" i="2"/>
  <c r="G876" i="2"/>
  <c r="G875" i="2"/>
  <c r="G874" i="2"/>
  <c r="G873" i="2"/>
  <c r="G872" i="2"/>
  <c r="G871" i="2"/>
  <c r="G870" i="2"/>
  <c r="G869" i="2"/>
  <c r="G868" i="2"/>
  <c r="G867" i="2"/>
  <c r="G866" i="2"/>
  <c r="G865" i="2"/>
  <c r="G864" i="2"/>
  <c r="G863" i="2"/>
  <c r="G862" i="2"/>
  <c r="G861" i="2"/>
  <c r="G860" i="2"/>
  <c r="G859" i="2"/>
  <c r="G858" i="2"/>
  <c r="G857" i="2"/>
  <c r="G856" i="2"/>
  <c r="G855" i="2"/>
  <c r="G854" i="2"/>
  <c r="G853" i="2"/>
  <c r="G852" i="2"/>
  <c r="G851" i="2"/>
  <c r="G850" i="2"/>
  <c r="G849" i="2"/>
  <c r="G848" i="2"/>
  <c r="G847" i="2"/>
  <c r="G846" i="2"/>
  <c r="G845" i="2"/>
  <c r="G844" i="2"/>
  <c r="G843" i="2"/>
  <c r="G842" i="2"/>
  <c r="G841" i="2"/>
  <c r="G840" i="2"/>
  <c r="G839" i="2"/>
  <c r="G838" i="2"/>
  <c r="G837" i="2"/>
  <c r="G836" i="2"/>
  <c r="G835" i="2"/>
  <c r="G834" i="2"/>
  <c r="G833" i="2"/>
  <c r="G832" i="2"/>
  <c r="G831" i="2"/>
  <c r="G830" i="2"/>
  <c r="G829" i="2"/>
  <c r="G828" i="2"/>
  <c r="G827" i="2"/>
  <c r="G826" i="2"/>
  <c r="G825" i="2"/>
  <c r="G824" i="2"/>
  <c r="G823" i="2"/>
  <c r="G822" i="2"/>
  <c r="G821" i="2"/>
  <c r="G820" i="2"/>
  <c r="G819" i="2"/>
  <c r="G818" i="2"/>
  <c r="G817" i="2"/>
  <c r="G816" i="2"/>
  <c r="G815" i="2"/>
  <c r="G814" i="2"/>
  <c r="G813" i="2"/>
  <c r="G812" i="2"/>
  <c r="G811" i="2"/>
  <c r="G810" i="2"/>
  <c r="G809" i="2"/>
  <c r="G808" i="2"/>
  <c r="G807" i="2"/>
  <c r="G806" i="2"/>
  <c r="G805" i="2"/>
  <c r="G804" i="2"/>
  <c r="G803" i="2"/>
  <c r="G802" i="2"/>
  <c r="G801" i="2"/>
  <c r="G800" i="2"/>
  <c r="G799" i="2"/>
  <c r="G798" i="2"/>
  <c r="G797" i="2"/>
  <c r="G796" i="2"/>
  <c r="G795" i="2"/>
  <c r="G794" i="2"/>
  <c r="G793" i="2"/>
  <c r="G792" i="2"/>
  <c r="G791" i="2"/>
  <c r="G790" i="2"/>
  <c r="G789" i="2"/>
  <c r="G788" i="2"/>
  <c r="G787" i="2"/>
  <c r="G786" i="2"/>
  <c r="G785" i="2"/>
  <c r="G784" i="2"/>
  <c r="G783" i="2"/>
  <c r="G782" i="2"/>
  <c r="G781" i="2"/>
  <c r="G780" i="2"/>
  <c r="G779" i="2"/>
  <c r="G778" i="2"/>
  <c r="G777" i="2"/>
  <c r="G776" i="2"/>
  <c r="G775" i="2"/>
  <c r="G774" i="2"/>
  <c r="G773" i="2"/>
  <c r="G772" i="2"/>
  <c r="G771" i="2"/>
  <c r="G770" i="2"/>
  <c r="G769" i="2"/>
  <c r="G768" i="2"/>
  <c r="G767" i="2"/>
  <c r="G766" i="2"/>
  <c r="G765" i="2"/>
  <c r="G764" i="2"/>
  <c r="G763" i="2"/>
  <c r="G762" i="2"/>
  <c r="G761" i="2"/>
  <c r="G760" i="2"/>
  <c r="G759" i="2"/>
  <c r="G758" i="2"/>
  <c r="G757" i="2"/>
  <c r="G756" i="2"/>
  <c r="G755" i="2"/>
  <c r="G754" i="2"/>
  <c r="G753" i="2"/>
  <c r="G752" i="2"/>
  <c r="G751" i="2"/>
  <c r="G750" i="2"/>
  <c r="G749" i="2"/>
  <c r="G748" i="2"/>
  <c r="G747" i="2"/>
  <c r="G746" i="2"/>
  <c r="G745" i="2"/>
  <c r="G744" i="2"/>
  <c r="G743" i="2"/>
  <c r="G742" i="2"/>
  <c r="G741" i="2"/>
  <c r="G740" i="2"/>
  <c r="G739" i="2"/>
  <c r="G738" i="2"/>
  <c r="G737" i="2"/>
  <c r="G736" i="2"/>
  <c r="G735" i="2"/>
  <c r="G734" i="2"/>
  <c r="G733" i="2"/>
  <c r="G732" i="2"/>
  <c r="G731" i="2"/>
  <c r="G730" i="2"/>
  <c r="G729" i="2"/>
  <c r="G728" i="2"/>
  <c r="G727" i="2"/>
  <c r="G726" i="2"/>
  <c r="G725" i="2"/>
  <c r="G724" i="2"/>
  <c r="G723" i="2"/>
  <c r="G722" i="2"/>
  <c r="G721" i="2"/>
  <c r="G720" i="2"/>
  <c r="G719" i="2"/>
  <c r="G718" i="2"/>
  <c r="G717" i="2"/>
  <c r="G716" i="2"/>
  <c r="G715" i="2"/>
  <c r="G714" i="2"/>
  <c r="G713" i="2"/>
  <c r="G712" i="2"/>
  <c r="G711" i="2"/>
  <c r="G710" i="2"/>
  <c r="G709" i="2"/>
  <c r="G708" i="2"/>
  <c r="G707" i="2"/>
  <c r="G706" i="2"/>
  <c r="G705" i="2"/>
  <c r="G704" i="2"/>
  <c r="G703" i="2"/>
  <c r="G702" i="2"/>
  <c r="G701" i="2"/>
  <c r="G700" i="2"/>
  <c r="G699" i="2"/>
  <c r="G698" i="2"/>
  <c r="G697" i="2"/>
  <c r="G696" i="2"/>
  <c r="G695" i="2"/>
  <c r="G694" i="2"/>
  <c r="G693" i="2"/>
  <c r="G692" i="2"/>
  <c r="G691" i="2"/>
  <c r="G690" i="2"/>
  <c r="G689" i="2"/>
  <c r="G688" i="2"/>
  <c r="G687" i="2"/>
  <c r="G686" i="2"/>
  <c r="G685" i="2"/>
  <c r="G684" i="2"/>
  <c r="G683" i="2"/>
  <c r="G682" i="2"/>
  <c r="G681" i="2"/>
  <c r="G680" i="2"/>
  <c r="G679" i="2"/>
  <c r="G678" i="2"/>
  <c r="G677" i="2"/>
  <c r="G676" i="2"/>
  <c r="G675" i="2"/>
  <c r="G674" i="2"/>
  <c r="G673" i="2"/>
  <c r="G672" i="2"/>
  <c r="G671" i="2"/>
  <c r="G670" i="2"/>
  <c r="G669" i="2"/>
  <c r="G668" i="2"/>
  <c r="G667" i="2"/>
  <c r="G666" i="2"/>
  <c r="G665" i="2"/>
  <c r="G664" i="2"/>
  <c r="G663" i="2"/>
  <c r="G662" i="2"/>
  <c r="G661" i="2"/>
  <c r="G660" i="2"/>
  <c r="G659" i="2"/>
  <c r="G658" i="2"/>
  <c r="G657" i="2"/>
  <c r="G656" i="2"/>
  <c r="G655" i="2"/>
  <c r="G654" i="2"/>
  <c r="G653" i="2"/>
  <c r="G652" i="2"/>
  <c r="G651" i="2"/>
  <c r="G650" i="2"/>
  <c r="G649" i="2"/>
  <c r="G648" i="2"/>
  <c r="G647" i="2"/>
  <c r="G646" i="2"/>
  <c r="G645" i="2"/>
  <c r="G644" i="2"/>
  <c r="G643" i="2"/>
  <c r="G642" i="2"/>
  <c r="G641" i="2"/>
  <c r="G640" i="2"/>
  <c r="G639" i="2"/>
  <c r="G638" i="2"/>
  <c r="G637" i="2"/>
  <c r="G636" i="2"/>
  <c r="G635" i="2"/>
  <c r="G634" i="2"/>
  <c r="G633" i="2"/>
  <c r="G632" i="2"/>
  <c r="G631" i="2"/>
  <c r="G630" i="2"/>
  <c r="G629" i="2"/>
  <c r="G628" i="2"/>
  <c r="G627" i="2"/>
  <c r="G626" i="2"/>
  <c r="G625" i="2"/>
  <c r="G624" i="2"/>
  <c r="G623" i="2"/>
  <c r="G622" i="2"/>
  <c r="G621" i="2"/>
  <c r="G620" i="2"/>
  <c r="G619" i="2"/>
  <c r="G618" i="2"/>
  <c r="G617" i="2"/>
  <c r="G616" i="2"/>
  <c r="G615" i="2"/>
  <c r="G614" i="2"/>
  <c r="G613" i="2"/>
  <c r="G612" i="2"/>
  <c r="G611" i="2"/>
  <c r="G610" i="2"/>
  <c r="G609" i="2"/>
  <c r="G608" i="2"/>
  <c r="G607" i="2"/>
  <c r="G606" i="2"/>
  <c r="G605" i="2"/>
  <c r="G604" i="2"/>
  <c r="G603" i="2"/>
  <c r="G602" i="2"/>
  <c r="G601" i="2"/>
  <c r="G600" i="2"/>
  <c r="G599" i="2"/>
  <c r="G598" i="2"/>
  <c r="G597" i="2"/>
  <c r="G596" i="2"/>
  <c r="G595" i="2"/>
  <c r="G594" i="2"/>
  <c r="G593" i="2"/>
  <c r="G592" i="2"/>
  <c r="G591" i="2"/>
  <c r="G590" i="2"/>
  <c r="G589" i="2"/>
  <c r="G588" i="2"/>
  <c r="G587" i="2"/>
  <c r="G586" i="2"/>
  <c r="G585" i="2"/>
  <c r="G584" i="2"/>
  <c r="G583" i="2"/>
  <c r="G582" i="2"/>
  <c r="G581" i="2"/>
  <c r="G580" i="2"/>
  <c r="G579" i="2"/>
  <c r="G578" i="2"/>
  <c r="G577" i="2"/>
  <c r="G576" i="2"/>
  <c r="G575" i="2"/>
  <c r="G574" i="2"/>
  <c r="G573" i="2"/>
  <c r="G572" i="2"/>
  <c r="G571" i="2"/>
  <c r="G570" i="2"/>
  <c r="G569" i="2"/>
  <c r="G568" i="2"/>
  <c r="G567" i="2"/>
  <c r="G566" i="2"/>
  <c r="G565" i="2"/>
  <c r="G564" i="2"/>
  <c r="G563" i="2"/>
  <c r="G562" i="2"/>
  <c r="G561" i="2"/>
  <c r="G560" i="2"/>
  <c r="G559" i="2"/>
  <c r="G558" i="2"/>
  <c r="G557" i="2"/>
  <c r="G556" i="2"/>
  <c r="G555" i="2"/>
  <c r="G554" i="2"/>
  <c r="G553" i="2"/>
  <c r="G552" i="2"/>
  <c r="G551" i="2"/>
  <c r="G550" i="2"/>
  <c r="G549" i="2"/>
  <c r="G548" i="2"/>
  <c r="G547" i="2"/>
  <c r="G546" i="2"/>
  <c r="G545" i="2"/>
  <c r="G544" i="2"/>
  <c r="G543" i="2"/>
  <c r="G542" i="2"/>
  <c r="G541" i="2"/>
  <c r="G540" i="2"/>
  <c r="G539" i="2"/>
  <c r="G538" i="2"/>
  <c r="G537" i="2"/>
  <c r="G536" i="2"/>
  <c r="G535" i="2"/>
  <c r="G534" i="2"/>
  <c r="G533" i="2"/>
  <c r="G532" i="2"/>
  <c r="G531" i="2"/>
  <c r="G530" i="2"/>
  <c r="G529" i="2"/>
  <c r="G528" i="2"/>
  <c r="G527" i="2"/>
  <c r="G526" i="2"/>
  <c r="G525" i="2"/>
  <c r="G524" i="2"/>
  <c r="G523" i="2"/>
  <c r="G522" i="2"/>
  <c r="G521" i="2"/>
  <c r="G520" i="2"/>
  <c r="G519" i="2"/>
  <c r="G518" i="2"/>
  <c r="G517" i="2"/>
  <c r="G516" i="2"/>
  <c r="G515" i="2"/>
  <c r="G514" i="2"/>
  <c r="G513" i="2"/>
  <c r="G512" i="2"/>
  <c r="G511" i="2"/>
  <c r="G510" i="2"/>
  <c r="G509" i="2"/>
  <c r="G508" i="2"/>
  <c r="G507" i="2"/>
  <c r="G506" i="2"/>
  <c r="G505" i="2"/>
  <c r="G504" i="2"/>
  <c r="G503" i="2"/>
  <c r="G502" i="2"/>
  <c r="G501" i="2"/>
  <c r="G500" i="2"/>
  <c r="G499" i="2"/>
  <c r="G498" i="2"/>
  <c r="G497" i="2"/>
  <c r="G496" i="2"/>
  <c r="G495" i="2"/>
  <c r="G494" i="2"/>
  <c r="G493" i="2"/>
  <c r="G492" i="2"/>
  <c r="G491" i="2"/>
  <c r="G490" i="2"/>
  <c r="G489" i="2"/>
  <c r="G488" i="2"/>
  <c r="G487" i="2"/>
  <c r="G486" i="2"/>
  <c r="G485" i="2"/>
  <c r="G484" i="2"/>
  <c r="G483" i="2"/>
  <c r="G482" i="2"/>
  <c r="G481" i="2"/>
  <c r="G480" i="2"/>
  <c r="G479" i="2"/>
  <c r="G478" i="2"/>
  <c r="G477" i="2"/>
  <c r="G476" i="2"/>
  <c r="G475" i="2"/>
  <c r="G474" i="2"/>
  <c r="G473" i="2"/>
  <c r="G472" i="2"/>
  <c r="G471" i="2"/>
  <c r="G470" i="2"/>
  <c r="G469" i="2"/>
  <c r="G468" i="2"/>
  <c r="G467" i="2"/>
  <c r="G466" i="2"/>
  <c r="G465" i="2"/>
  <c r="G464" i="2"/>
  <c r="G463" i="2"/>
  <c r="G462" i="2"/>
  <c r="G461" i="2"/>
  <c r="G460" i="2"/>
  <c r="G459" i="2"/>
  <c r="G458" i="2"/>
  <c r="G457" i="2"/>
  <c r="G456" i="2"/>
  <c r="G455" i="2"/>
  <c r="G454" i="2"/>
  <c r="G453" i="2"/>
  <c r="G452" i="2"/>
  <c r="G451" i="2"/>
  <c r="G450" i="2"/>
  <c r="G449" i="2"/>
  <c r="G448" i="2"/>
  <c r="G447" i="2"/>
  <c r="G446" i="2"/>
  <c r="G445" i="2"/>
  <c r="G444" i="2"/>
  <c r="G443" i="2"/>
  <c r="G442" i="2"/>
  <c r="G441" i="2"/>
  <c r="G440" i="2"/>
  <c r="G439" i="2"/>
  <c r="G438" i="2"/>
  <c r="G437" i="2"/>
  <c r="G436" i="2"/>
  <c r="G435" i="2"/>
  <c r="G434" i="2"/>
  <c r="G433" i="2"/>
  <c r="G432" i="2"/>
  <c r="G431" i="2"/>
  <c r="G430" i="2"/>
  <c r="G429" i="2"/>
  <c r="G428" i="2"/>
  <c r="G427" i="2"/>
  <c r="G426" i="2"/>
  <c r="G425" i="2"/>
  <c r="G424" i="2"/>
  <c r="G423" i="2"/>
  <c r="G422" i="2"/>
  <c r="G421" i="2"/>
  <c r="G420" i="2"/>
  <c r="G419" i="2"/>
  <c r="G418" i="2"/>
  <c r="G417" i="2"/>
  <c r="G416" i="2"/>
  <c r="G415" i="2"/>
  <c r="G414" i="2"/>
  <c r="G413" i="2"/>
  <c r="G412" i="2"/>
  <c r="G411" i="2"/>
  <c r="G410" i="2"/>
  <c r="G409" i="2"/>
  <c r="G408" i="2"/>
  <c r="G407" i="2"/>
  <c r="G406" i="2"/>
  <c r="G405" i="2"/>
  <c r="G404" i="2"/>
  <c r="G403" i="2"/>
  <c r="G402" i="2"/>
  <c r="G401" i="2"/>
  <c r="G400" i="2"/>
  <c r="G399" i="2"/>
  <c r="G398" i="2"/>
  <c r="G397" i="2"/>
  <c r="G396" i="2"/>
  <c r="G395" i="2"/>
  <c r="G394" i="2"/>
  <c r="G393" i="2"/>
  <c r="G392" i="2"/>
  <c r="G391" i="2"/>
  <c r="G390" i="2"/>
  <c r="G389" i="2"/>
  <c r="G388" i="2"/>
  <c r="G387" i="2"/>
  <c r="G386" i="2"/>
  <c r="G385" i="2"/>
  <c r="G384" i="2"/>
  <c r="G383" i="2"/>
  <c r="G382" i="2"/>
  <c r="G381" i="2"/>
  <c r="G380" i="2"/>
  <c r="G379" i="2"/>
  <c r="G378" i="2"/>
  <c r="G377" i="2"/>
  <c r="G376" i="2"/>
  <c r="G375" i="2"/>
  <c r="G374" i="2"/>
  <c r="G373" i="2"/>
  <c r="G372" i="2"/>
  <c r="G371" i="2"/>
  <c r="G370" i="2"/>
  <c r="G369" i="2"/>
  <c r="G368" i="2"/>
  <c r="G367" i="2"/>
  <c r="G366" i="2"/>
  <c r="G365" i="2"/>
  <c r="G364" i="2"/>
  <c r="G363" i="2"/>
  <c r="G362" i="2"/>
  <c r="G361" i="2"/>
  <c r="G360" i="2"/>
  <c r="G359" i="2"/>
  <c r="G358" i="2"/>
  <c r="G357" i="2"/>
  <c r="G356" i="2"/>
  <c r="G355" i="2"/>
  <c r="G354" i="2"/>
  <c r="G353" i="2"/>
  <c r="G352" i="2"/>
  <c r="G351" i="2"/>
  <c r="G350" i="2"/>
  <c r="G349" i="2"/>
  <c r="G348" i="2"/>
  <c r="G347" i="2"/>
  <c r="G346" i="2"/>
  <c r="G345" i="2"/>
  <c r="G344" i="2"/>
  <c r="G343" i="2"/>
  <c r="G342" i="2"/>
  <c r="G341" i="2"/>
  <c r="G340" i="2"/>
  <c r="G339" i="2"/>
  <c r="G338" i="2"/>
  <c r="G337" i="2"/>
  <c r="G336" i="2"/>
  <c r="G335" i="2"/>
  <c r="G334" i="2"/>
  <c r="G333" i="2"/>
  <c r="G332" i="2"/>
  <c r="G331" i="2"/>
  <c r="G330" i="2"/>
  <c r="G329" i="2"/>
  <c r="G328" i="2"/>
  <c r="G327" i="2"/>
  <c r="G326" i="2"/>
  <c r="G325" i="2"/>
  <c r="G324" i="2"/>
  <c r="G323" i="2"/>
  <c r="G322" i="2"/>
  <c r="G321" i="2"/>
  <c r="G320" i="2"/>
  <c r="G319" i="2"/>
  <c r="G318" i="2"/>
  <c r="G317" i="2"/>
  <c r="G316" i="2"/>
  <c r="G315" i="2"/>
  <c r="G314" i="2"/>
  <c r="G313" i="2"/>
  <c r="G312" i="2"/>
  <c r="G311" i="2"/>
  <c r="G310" i="2"/>
  <c r="G309" i="2"/>
  <c r="G308" i="2"/>
  <c r="G307" i="2"/>
  <c r="G306" i="2"/>
  <c r="G305" i="2"/>
  <c r="G304" i="2"/>
  <c r="G303" i="2"/>
  <c r="G302" i="2"/>
  <c r="G301" i="2"/>
  <c r="G300" i="2"/>
  <c r="G299" i="2"/>
  <c r="G298" i="2"/>
  <c r="G297" i="2"/>
  <c r="G296" i="2"/>
  <c r="G295" i="2"/>
  <c r="G294" i="2"/>
  <c r="G293" i="2"/>
  <c r="G292" i="2"/>
  <c r="G291" i="2"/>
  <c r="G290" i="2"/>
  <c r="G289" i="2"/>
  <c r="G288" i="2"/>
  <c r="G287" i="2"/>
  <c r="G286" i="2"/>
  <c r="G285" i="2"/>
  <c r="G284" i="2"/>
  <c r="G283" i="2"/>
  <c r="G282" i="2"/>
  <c r="G281" i="2"/>
  <c r="G280" i="2"/>
  <c r="G279" i="2"/>
  <c r="G278" i="2"/>
  <c r="G277" i="2"/>
  <c r="G276" i="2"/>
  <c r="G275" i="2"/>
  <c r="G274" i="2"/>
  <c r="G273" i="2"/>
  <c r="G272" i="2"/>
  <c r="G271" i="2"/>
  <c r="G270" i="2"/>
  <c r="G269" i="2"/>
  <c r="G268" i="2"/>
  <c r="G267" i="2"/>
  <c r="G266" i="2"/>
  <c r="G265" i="2"/>
  <c r="G264" i="2"/>
  <c r="G263" i="2"/>
  <c r="G262" i="2"/>
  <c r="G261" i="2"/>
  <c r="G260" i="2"/>
  <c r="G259" i="2"/>
  <c r="G258" i="2"/>
  <c r="G257" i="2"/>
  <c r="G256" i="2"/>
  <c r="G255" i="2"/>
  <c r="G254" i="2"/>
  <c r="G253" i="2"/>
  <c r="G252" i="2"/>
  <c r="G251" i="2"/>
  <c r="G250" i="2"/>
  <c r="G249" i="2"/>
  <c r="G248" i="2"/>
  <c r="G247" i="2"/>
  <c r="G246" i="2"/>
  <c r="G245" i="2"/>
  <c r="G244" i="2"/>
  <c r="G243" i="2"/>
  <c r="G242" i="2"/>
  <c r="G241" i="2"/>
  <c r="G240" i="2"/>
  <c r="G239" i="2"/>
  <c r="G238" i="2"/>
  <c r="G237" i="2"/>
  <c r="G236" i="2"/>
  <c r="G235" i="2"/>
  <c r="G234" i="2"/>
  <c r="G233" i="2"/>
  <c r="G232" i="2"/>
  <c r="G231" i="2"/>
  <c r="G230" i="2"/>
  <c r="G229" i="2"/>
  <c r="G228" i="2"/>
  <c r="G227" i="2"/>
  <c r="G226" i="2"/>
  <c r="G225" i="2"/>
  <c r="G224" i="2"/>
  <c r="G223" i="2"/>
  <c r="G222" i="2"/>
  <c r="G221" i="2"/>
  <c r="G220" i="2"/>
  <c r="G219" i="2"/>
  <c r="G218" i="2"/>
  <c r="G217" i="2"/>
  <c r="G216" i="2"/>
  <c r="G215" i="2"/>
  <c r="G214" i="2"/>
  <c r="G213" i="2"/>
  <c r="G212" i="2"/>
  <c r="G211" i="2"/>
  <c r="G210" i="2"/>
  <c r="G209" i="2"/>
  <c r="G208" i="2"/>
  <c r="G207" i="2"/>
  <c r="G206" i="2"/>
  <c r="G205" i="2"/>
  <c r="G204" i="2"/>
  <c r="G203" i="2"/>
  <c r="G202" i="2"/>
  <c r="G201" i="2"/>
  <c r="G200" i="2"/>
  <c r="G199" i="2"/>
  <c r="G198" i="2"/>
  <c r="G197" i="2"/>
  <c r="G196" i="2"/>
  <c r="G195" i="2"/>
  <c r="G194" i="2"/>
  <c r="G193" i="2"/>
  <c r="G192" i="2"/>
  <c r="G191" i="2"/>
  <c r="G190" i="2"/>
  <c r="G189" i="2"/>
  <c r="G188" i="2"/>
  <c r="G187" i="2"/>
  <c r="G186" i="2"/>
  <c r="G185" i="2"/>
  <c r="G184" i="2"/>
  <c r="G183" i="2"/>
  <c r="G182" i="2"/>
  <c r="G181" i="2"/>
  <c r="G180" i="2"/>
  <c r="G179" i="2"/>
  <c r="G178" i="2"/>
  <c r="G177" i="2"/>
  <c r="G176" i="2"/>
  <c r="G175" i="2"/>
  <c r="G174" i="2"/>
  <c r="G173" i="2"/>
  <c r="G172" i="2"/>
  <c r="G171" i="2"/>
  <c r="G170" i="2"/>
  <c r="G169" i="2"/>
  <c r="G168" i="2"/>
  <c r="G167" i="2"/>
  <c r="G166" i="2"/>
  <c r="G165" i="2"/>
  <c r="G164" i="2"/>
  <c r="G163" i="2"/>
  <c r="G162" i="2"/>
  <c r="G161" i="2"/>
  <c r="G160" i="2"/>
  <c r="G159" i="2"/>
  <c r="G158" i="2"/>
  <c r="G157" i="2"/>
  <c r="G156" i="2"/>
  <c r="G155" i="2"/>
  <c r="G154" i="2"/>
  <c r="G153" i="2"/>
  <c r="G152" i="2"/>
  <c r="G151" i="2"/>
  <c r="G150" i="2"/>
  <c r="G149" i="2"/>
  <c r="G148" i="2"/>
  <c r="G147" i="2"/>
  <c r="G146" i="2"/>
  <c r="G145" i="2"/>
  <c r="G144" i="2"/>
  <c r="G143" i="2"/>
  <c r="G142" i="2"/>
  <c r="G141" i="2"/>
  <c r="G140" i="2"/>
  <c r="G139" i="2"/>
  <c r="G138" i="2"/>
  <c r="G137" i="2"/>
  <c r="G136" i="2"/>
  <c r="G135" i="2"/>
  <c r="G134" i="2"/>
  <c r="G133" i="2"/>
  <c r="G132" i="2"/>
  <c r="G131" i="2"/>
  <c r="G130" i="2"/>
  <c r="G129" i="2"/>
  <c r="G128" i="2"/>
  <c r="G127" i="2"/>
  <c r="G126" i="2"/>
  <c r="G125" i="2"/>
  <c r="G124" i="2"/>
  <c r="G123" i="2"/>
  <c r="G122" i="2"/>
  <c r="G121" i="2"/>
  <c r="G120" i="2"/>
  <c r="G119" i="2"/>
  <c r="G118" i="2"/>
  <c r="G117" i="2"/>
  <c r="G116" i="2"/>
  <c r="G115" i="2"/>
  <c r="G114" i="2"/>
  <c r="G113" i="2"/>
  <c r="G112" i="2"/>
  <c r="G111" i="2"/>
  <c r="G110" i="2"/>
  <c r="G109" i="2"/>
  <c r="G108" i="2"/>
  <c r="G107" i="2"/>
  <c r="G106" i="2"/>
  <c r="G105" i="2"/>
  <c r="G104" i="2"/>
  <c r="G103" i="2"/>
  <c r="G102" i="2"/>
  <c r="G101" i="2"/>
  <c r="G100" i="2"/>
  <c r="G99" i="2"/>
  <c r="G98" i="2"/>
  <c r="G97" i="2"/>
  <c r="G96" i="2"/>
  <c r="G95" i="2"/>
  <c r="G94" i="2"/>
  <c r="G93" i="2"/>
  <c r="G92" i="2"/>
  <c r="G91" i="2"/>
  <c r="G90" i="2"/>
  <c r="G89" i="2"/>
  <c r="G88" i="2"/>
  <c r="G87" i="2"/>
  <c r="G86" i="2"/>
  <c r="G85" i="2"/>
  <c r="G84" i="2"/>
  <c r="G83" i="2"/>
  <c r="G82" i="2"/>
  <c r="G81" i="2"/>
  <c r="G80" i="2"/>
  <c r="G79" i="2"/>
  <c r="G78" i="2"/>
  <c r="G77" i="2"/>
  <c r="G76" i="2"/>
  <c r="G75" i="2"/>
  <c r="G74" i="2"/>
  <c r="G73" i="2"/>
  <c r="G72" i="2"/>
  <c r="G71" i="2"/>
  <c r="G70" i="2"/>
  <c r="G69" i="2"/>
  <c r="G68" i="2"/>
  <c r="G67" i="2"/>
  <c r="G66" i="2"/>
  <c r="G65" i="2"/>
  <c r="G64" i="2"/>
  <c r="G63" i="2"/>
  <c r="G62" i="2"/>
  <c r="G61" i="2"/>
  <c r="G60" i="2"/>
  <c r="G59" i="2"/>
  <c r="G58" i="2"/>
  <c r="G57" i="2"/>
  <c r="G56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G2" i="2"/>
  <c r="D2334" i="2"/>
  <c r="D2337" i="2" s="1"/>
  <c r="C2334" i="2"/>
  <c r="F2333" i="2"/>
  <c r="F2332" i="2"/>
  <c r="F2331" i="2"/>
  <c r="F2330" i="2"/>
  <c r="F2329" i="2"/>
  <c r="F2328" i="2"/>
  <c r="F2327" i="2"/>
  <c r="F2326" i="2"/>
  <c r="F2325" i="2"/>
  <c r="F2324" i="2"/>
  <c r="F2323" i="2"/>
  <c r="F2322" i="2"/>
  <c r="F2321" i="2"/>
  <c r="F2320" i="2"/>
  <c r="F2319" i="2"/>
  <c r="F2318" i="2"/>
  <c r="F2317" i="2"/>
  <c r="F2316" i="2"/>
  <c r="F2315" i="2"/>
  <c r="F2314" i="2"/>
  <c r="F2313" i="2"/>
  <c r="F2312" i="2"/>
  <c r="F2311" i="2"/>
  <c r="F2310" i="2"/>
  <c r="F2309" i="2"/>
  <c r="F2308" i="2"/>
  <c r="F2307" i="2"/>
  <c r="F2306" i="2"/>
  <c r="F2305" i="2"/>
  <c r="F2304" i="2"/>
  <c r="F2303" i="2"/>
  <c r="F2302" i="2"/>
  <c r="F2301" i="2"/>
  <c r="F2300" i="2"/>
  <c r="F2299" i="2"/>
  <c r="F2298" i="2"/>
  <c r="F2297" i="2"/>
  <c r="F2296" i="2"/>
  <c r="F2295" i="2"/>
  <c r="F2294" i="2"/>
  <c r="F2293" i="2"/>
  <c r="F2292" i="2"/>
  <c r="F2291" i="2"/>
  <c r="F2290" i="2"/>
  <c r="F2289" i="2"/>
  <c r="F2288" i="2"/>
  <c r="F2287" i="2"/>
  <c r="F2286" i="2"/>
  <c r="F2285" i="2"/>
  <c r="F2284" i="2"/>
  <c r="F2283" i="2"/>
  <c r="F2282" i="2"/>
  <c r="F2281" i="2"/>
  <c r="F2280" i="2"/>
  <c r="F2279" i="2"/>
  <c r="F2278" i="2"/>
  <c r="F2277" i="2"/>
  <c r="F2276" i="2"/>
  <c r="F2275" i="2"/>
  <c r="F2274" i="2"/>
  <c r="F2273" i="2"/>
  <c r="F2272" i="2"/>
  <c r="F2271" i="2"/>
  <c r="F2270" i="2"/>
  <c r="F2269" i="2"/>
  <c r="F2268" i="2"/>
  <c r="F2267" i="2"/>
  <c r="F2266" i="2"/>
  <c r="F2265" i="2"/>
  <c r="F2264" i="2"/>
  <c r="F2263" i="2"/>
  <c r="F2262" i="2"/>
  <c r="F2261" i="2"/>
  <c r="F2260" i="2"/>
  <c r="F2259" i="2"/>
  <c r="F2258" i="2"/>
  <c r="F2257" i="2"/>
  <c r="F2256" i="2"/>
  <c r="F2255" i="2"/>
  <c r="F2254" i="2"/>
  <c r="F2253" i="2"/>
  <c r="F2252" i="2"/>
  <c r="F2251" i="2"/>
  <c r="F2250" i="2"/>
  <c r="F2249" i="2"/>
  <c r="F2248" i="2"/>
  <c r="F2247" i="2"/>
  <c r="F2246" i="2"/>
  <c r="F2245" i="2"/>
  <c r="F2244" i="2"/>
  <c r="F2243" i="2"/>
  <c r="F2242" i="2"/>
  <c r="F2241" i="2"/>
  <c r="F2240" i="2"/>
  <c r="F2239" i="2"/>
  <c r="F2238" i="2"/>
  <c r="F2237" i="2"/>
  <c r="F2236" i="2"/>
  <c r="F2235" i="2"/>
  <c r="F2234" i="2"/>
  <c r="F2233" i="2"/>
  <c r="F2232" i="2"/>
  <c r="F2231" i="2"/>
  <c r="F2230" i="2"/>
  <c r="F2229" i="2"/>
  <c r="F2228" i="2"/>
  <c r="F2227" i="2"/>
  <c r="F2226" i="2"/>
  <c r="F2225" i="2"/>
  <c r="F2224" i="2"/>
  <c r="F2223" i="2"/>
  <c r="F2222" i="2"/>
  <c r="F2221" i="2"/>
  <c r="F2220" i="2"/>
  <c r="F2219" i="2"/>
  <c r="F2218" i="2"/>
  <c r="F2217" i="2"/>
  <c r="F2216" i="2"/>
  <c r="F2215" i="2"/>
  <c r="F2214" i="2"/>
  <c r="F2213" i="2"/>
  <c r="F2212" i="2"/>
  <c r="F2211" i="2"/>
  <c r="F2210" i="2"/>
  <c r="F2209" i="2"/>
  <c r="F2208" i="2"/>
  <c r="F2207" i="2"/>
  <c r="F2206" i="2"/>
  <c r="F2205" i="2"/>
  <c r="F2204" i="2"/>
  <c r="F2203" i="2"/>
  <c r="F2202" i="2"/>
  <c r="F2201" i="2"/>
  <c r="F2200" i="2"/>
  <c r="F2199" i="2"/>
  <c r="F2198" i="2"/>
  <c r="F2197" i="2"/>
  <c r="F2196" i="2"/>
  <c r="F2195" i="2"/>
  <c r="F2194" i="2"/>
  <c r="F2193" i="2"/>
  <c r="F2192" i="2"/>
  <c r="F2191" i="2"/>
  <c r="F2190" i="2"/>
  <c r="F2189" i="2"/>
  <c r="F2188" i="2"/>
  <c r="F2187" i="2"/>
  <c r="F2186" i="2"/>
  <c r="F2185" i="2"/>
  <c r="F2184" i="2"/>
  <c r="F2183" i="2"/>
  <c r="F2182" i="2"/>
  <c r="F2181" i="2"/>
  <c r="F2180" i="2"/>
  <c r="F2179" i="2"/>
  <c r="F2178" i="2"/>
  <c r="F2177" i="2"/>
  <c r="F2176" i="2"/>
  <c r="F2175" i="2"/>
  <c r="F2174" i="2"/>
  <c r="F2173" i="2"/>
  <c r="F2172" i="2"/>
  <c r="F2171" i="2"/>
  <c r="F2170" i="2"/>
  <c r="F2169" i="2"/>
  <c r="F2168" i="2"/>
  <c r="F2167" i="2"/>
  <c r="F2166" i="2"/>
  <c r="F2165" i="2"/>
  <c r="F2164" i="2"/>
  <c r="F2163" i="2"/>
  <c r="F2162" i="2"/>
  <c r="F2161" i="2"/>
  <c r="F2160" i="2"/>
  <c r="F2159" i="2"/>
  <c r="F2158" i="2"/>
  <c r="F2157" i="2"/>
  <c r="F2156" i="2"/>
  <c r="F2155" i="2"/>
  <c r="F2154" i="2"/>
  <c r="F2153" i="2"/>
  <c r="F2152" i="2"/>
  <c r="F2151" i="2"/>
  <c r="F2150" i="2"/>
  <c r="F2149" i="2"/>
  <c r="F2148" i="2"/>
  <c r="F2147" i="2"/>
  <c r="F2146" i="2"/>
  <c r="F2145" i="2"/>
  <c r="F2144" i="2"/>
  <c r="F2143" i="2"/>
  <c r="F2142" i="2"/>
  <c r="F2141" i="2"/>
  <c r="F2140" i="2"/>
  <c r="F2139" i="2"/>
  <c r="F2138" i="2"/>
  <c r="F2137" i="2"/>
  <c r="F2136" i="2"/>
  <c r="F2135" i="2"/>
  <c r="F2134" i="2"/>
  <c r="F2133" i="2"/>
  <c r="F2132" i="2"/>
  <c r="F2131" i="2"/>
  <c r="F2130" i="2"/>
  <c r="F2129" i="2"/>
  <c r="F2128" i="2"/>
  <c r="F2127" i="2"/>
  <c r="F2126" i="2"/>
  <c r="F2125" i="2"/>
  <c r="F2124" i="2"/>
  <c r="F2123" i="2"/>
  <c r="F2122" i="2"/>
  <c r="F2121" i="2"/>
  <c r="F2120" i="2"/>
  <c r="F2119" i="2"/>
  <c r="F2118" i="2"/>
  <c r="F2117" i="2"/>
  <c r="F2116" i="2"/>
  <c r="F2115" i="2"/>
  <c r="F2114" i="2"/>
  <c r="F2113" i="2"/>
  <c r="F2112" i="2"/>
  <c r="F2111" i="2"/>
  <c r="F2110" i="2"/>
  <c r="F2109" i="2"/>
  <c r="F2108" i="2"/>
  <c r="F2107" i="2"/>
  <c r="F2106" i="2"/>
  <c r="F2105" i="2"/>
  <c r="F2104" i="2"/>
  <c r="F2103" i="2"/>
  <c r="F2102" i="2"/>
  <c r="F2101" i="2"/>
  <c r="F2100" i="2"/>
  <c r="F2099" i="2"/>
  <c r="F2098" i="2"/>
  <c r="F2097" i="2"/>
  <c r="F2096" i="2"/>
  <c r="F2095" i="2"/>
  <c r="F2094" i="2"/>
  <c r="F2093" i="2"/>
  <c r="F2092" i="2"/>
  <c r="F2091" i="2"/>
  <c r="F2090" i="2"/>
  <c r="F2089" i="2"/>
  <c r="F2088" i="2"/>
  <c r="F2087" i="2"/>
  <c r="F2086" i="2"/>
  <c r="F2085" i="2"/>
  <c r="F2084" i="2"/>
  <c r="F2083" i="2"/>
  <c r="F2082" i="2"/>
  <c r="F2081" i="2"/>
  <c r="F2080" i="2"/>
  <c r="F2079" i="2"/>
  <c r="F2078" i="2"/>
  <c r="F2077" i="2"/>
  <c r="F2076" i="2"/>
  <c r="F2075" i="2"/>
  <c r="F2074" i="2"/>
  <c r="F2073" i="2"/>
  <c r="F2072" i="2"/>
  <c r="F2071" i="2"/>
  <c r="F2070" i="2"/>
  <c r="F2069" i="2"/>
  <c r="F2068" i="2"/>
  <c r="F2067" i="2"/>
  <c r="F2066" i="2"/>
  <c r="F2065" i="2"/>
  <c r="F2064" i="2"/>
  <c r="F2063" i="2"/>
  <c r="F2062" i="2"/>
  <c r="F2061" i="2"/>
  <c r="F2060" i="2"/>
  <c r="F2059" i="2"/>
  <c r="F2058" i="2"/>
  <c r="F2057" i="2"/>
  <c r="F2056" i="2"/>
  <c r="F2055" i="2"/>
  <c r="F2054" i="2"/>
  <c r="F2053" i="2"/>
  <c r="F2052" i="2"/>
  <c r="F2051" i="2"/>
  <c r="F2050" i="2"/>
  <c r="F2049" i="2"/>
  <c r="F2048" i="2"/>
  <c r="F2047" i="2"/>
  <c r="F2046" i="2"/>
  <c r="F2045" i="2"/>
  <c r="F2044" i="2"/>
  <c r="F2043" i="2"/>
  <c r="F2042" i="2"/>
  <c r="F2041" i="2"/>
  <c r="F2040" i="2"/>
  <c r="F2039" i="2"/>
  <c r="F2038" i="2"/>
  <c r="F2037" i="2"/>
  <c r="F2036" i="2"/>
  <c r="F2035" i="2"/>
  <c r="F2034" i="2"/>
  <c r="F2033" i="2"/>
  <c r="F2032" i="2"/>
  <c r="F2031" i="2"/>
  <c r="F2030" i="2"/>
  <c r="F2029" i="2"/>
  <c r="F2028" i="2"/>
  <c r="F2027" i="2"/>
  <c r="F2026" i="2"/>
  <c r="F2025" i="2"/>
  <c r="F2024" i="2"/>
  <c r="F2023" i="2"/>
  <c r="F2022" i="2"/>
  <c r="F2021" i="2"/>
  <c r="F2020" i="2"/>
  <c r="F2019" i="2"/>
  <c r="F2018" i="2"/>
  <c r="F2017" i="2"/>
  <c r="F2016" i="2"/>
  <c r="F2015" i="2"/>
  <c r="F2014" i="2"/>
  <c r="F2013" i="2"/>
  <c r="F2012" i="2"/>
  <c r="F2011" i="2"/>
  <c r="F2010" i="2"/>
  <c r="F2009" i="2"/>
  <c r="F2008" i="2"/>
  <c r="F2007" i="2"/>
  <c r="F2006" i="2"/>
  <c r="F2005" i="2"/>
  <c r="F2004" i="2"/>
  <c r="F2003" i="2"/>
  <c r="F2002" i="2"/>
  <c r="F2001" i="2"/>
  <c r="F2000" i="2"/>
  <c r="F1999" i="2"/>
  <c r="F1998" i="2"/>
  <c r="F1997" i="2"/>
  <c r="F1996" i="2"/>
  <c r="F1995" i="2"/>
  <c r="F1994" i="2"/>
  <c r="F1993" i="2"/>
  <c r="F1992" i="2"/>
  <c r="F1991" i="2"/>
  <c r="F1990" i="2"/>
  <c r="F1989" i="2"/>
  <c r="F1988" i="2"/>
  <c r="F1987" i="2"/>
  <c r="F1986" i="2"/>
  <c r="F1985" i="2"/>
  <c r="F1984" i="2"/>
  <c r="F1983" i="2"/>
  <c r="F1982" i="2"/>
  <c r="F1981" i="2"/>
  <c r="F1980" i="2"/>
  <c r="F1979" i="2"/>
  <c r="F1978" i="2"/>
  <c r="F1977" i="2"/>
  <c r="F1976" i="2"/>
  <c r="F1975" i="2"/>
  <c r="F1974" i="2"/>
  <c r="F1973" i="2"/>
  <c r="F1972" i="2"/>
  <c r="F1971" i="2"/>
  <c r="F1970" i="2"/>
  <c r="F1969" i="2"/>
  <c r="F1968" i="2"/>
  <c r="F1967" i="2"/>
  <c r="F1966" i="2"/>
  <c r="F1965" i="2"/>
  <c r="F1964" i="2"/>
  <c r="F1963" i="2"/>
  <c r="F1962" i="2"/>
  <c r="F1961" i="2"/>
  <c r="F1960" i="2"/>
  <c r="F1959" i="2"/>
  <c r="F1958" i="2"/>
  <c r="F1957" i="2"/>
  <c r="F1956" i="2"/>
  <c r="F1955" i="2"/>
  <c r="F1954" i="2"/>
  <c r="F1953" i="2"/>
  <c r="F1952" i="2"/>
  <c r="F1951" i="2"/>
  <c r="F1950" i="2"/>
  <c r="F1949" i="2"/>
  <c r="F1948" i="2"/>
  <c r="F1947" i="2"/>
  <c r="F1946" i="2"/>
  <c r="F1945" i="2"/>
  <c r="F1944" i="2"/>
  <c r="F1943" i="2"/>
  <c r="F1942" i="2"/>
  <c r="F1941" i="2"/>
  <c r="F1940" i="2"/>
  <c r="F1939" i="2"/>
  <c r="F1938" i="2"/>
  <c r="F1937" i="2"/>
  <c r="F1936" i="2"/>
  <c r="F1935" i="2"/>
  <c r="F1934" i="2"/>
  <c r="F1933" i="2"/>
  <c r="F1932" i="2"/>
  <c r="F1931" i="2"/>
  <c r="F1930" i="2"/>
  <c r="F1929" i="2"/>
  <c r="F1928" i="2"/>
  <c r="F1927" i="2"/>
  <c r="F1926" i="2"/>
  <c r="F1925" i="2"/>
  <c r="F1924" i="2"/>
  <c r="F1923" i="2"/>
  <c r="F1922" i="2"/>
  <c r="F1921" i="2"/>
  <c r="F1920" i="2"/>
  <c r="F1919" i="2"/>
  <c r="F1918" i="2"/>
  <c r="F1917" i="2"/>
  <c r="F1916" i="2"/>
  <c r="F1915" i="2"/>
  <c r="F1914" i="2"/>
  <c r="F1913" i="2"/>
  <c r="F1912" i="2"/>
  <c r="F1911" i="2"/>
  <c r="F1910" i="2"/>
  <c r="F1909" i="2"/>
  <c r="F1908" i="2"/>
  <c r="F1907" i="2"/>
  <c r="F1906" i="2"/>
  <c r="F1905" i="2"/>
  <c r="F1904" i="2"/>
  <c r="F1903" i="2"/>
  <c r="F1902" i="2"/>
  <c r="F1901" i="2"/>
  <c r="F1900" i="2"/>
  <c r="F1899" i="2"/>
  <c r="F1898" i="2"/>
  <c r="F1897" i="2"/>
  <c r="F1896" i="2"/>
  <c r="F1895" i="2"/>
  <c r="F1894" i="2"/>
  <c r="F1893" i="2"/>
  <c r="F1892" i="2"/>
  <c r="F1891" i="2"/>
  <c r="F1890" i="2"/>
  <c r="F1889" i="2"/>
  <c r="F1888" i="2"/>
  <c r="F1887" i="2"/>
  <c r="F1886" i="2"/>
  <c r="F1885" i="2"/>
  <c r="F1884" i="2"/>
  <c r="F1883" i="2"/>
  <c r="F1882" i="2"/>
  <c r="F1881" i="2"/>
  <c r="F1880" i="2"/>
  <c r="F1879" i="2"/>
  <c r="F1878" i="2"/>
  <c r="F1877" i="2"/>
  <c r="F1876" i="2"/>
  <c r="F1875" i="2"/>
  <c r="F1874" i="2"/>
  <c r="F1873" i="2"/>
  <c r="F1872" i="2"/>
  <c r="F1871" i="2"/>
  <c r="F1870" i="2"/>
  <c r="F1869" i="2"/>
  <c r="F1868" i="2"/>
  <c r="F1867" i="2"/>
  <c r="F1866" i="2"/>
  <c r="F1865" i="2"/>
  <c r="F1864" i="2"/>
  <c r="F1863" i="2"/>
  <c r="F1862" i="2"/>
  <c r="F1861" i="2"/>
  <c r="F1860" i="2"/>
  <c r="F1859" i="2"/>
  <c r="F1858" i="2"/>
  <c r="F1857" i="2"/>
  <c r="F1856" i="2"/>
  <c r="F1855" i="2"/>
  <c r="F1854" i="2"/>
  <c r="F1853" i="2"/>
  <c r="F1852" i="2"/>
  <c r="F1851" i="2"/>
  <c r="F1850" i="2"/>
  <c r="F1849" i="2"/>
  <c r="F1848" i="2"/>
  <c r="F1847" i="2"/>
  <c r="F1846" i="2"/>
  <c r="F1845" i="2"/>
  <c r="F1844" i="2"/>
  <c r="F1843" i="2"/>
  <c r="F1842" i="2"/>
  <c r="F1841" i="2"/>
  <c r="F1840" i="2"/>
  <c r="F1839" i="2"/>
  <c r="F1838" i="2"/>
  <c r="F1837" i="2"/>
  <c r="F1836" i="2"/>
  <c r="F1835" i="2"/>
  <c r="F1834" i="2"/>
  <c r="F1833" i="2"/>
  <c r="F1832" i="2"/>
  <c r="F1831" i="2"/>
  <c r="F1830" i="2"/>
  <c r="F1829" i="2"/>
  <c r="F1828" i="2"/>
  <c r="F1827" i="2"/>
  <c r="F1826" i="2"/>
  <c r="F1825" i="2"/>
  <c r="F1824" i="2"/>
  <c r="F1823" i="2"/>
  <c r="F1822" i="2"/>
  <c r="F1821" i="2"/>
  <c r="F1820" i="2"/>
  <c r="F1819" i="2"/>
  <c r="F1818" i="2"/>
  <c r="F1817" i="2"/>
  <c r="F1816" i="2"/>
  <c r="F1815" i="2"/>
  <c r="F1814" i="2"/>
  <c r="F1813" i="2"/>
  <c r="F1812" i="2"/>
  <c r="F1811" i="2"/>
  <c r="F1810" i="2"/>
  <c r="F1809" i="2"/>
  <c r="F1808" i="2"/>
  <c r="F1807" i="2"/>
  <c r="F1806" i="2"/>
  <c r="F1805" i="2"/>
  <c r="F1804" i="2"/>
  <c r="F1803" i="2"/>
  <c r="F1802" i="2"/>
  <c r="F1801" i="2"/>
  <c r="F1800" i="2"/>
  <c r="F1799" i="2"/>
  <c r="F1798" i="2"/>
  <c r="F1797" i="2"/>
  <c r="F1796" i="2"/>
  <c r="F1795" i="2"/>
  <c r="F1794" i="2"/>
  <c r="F1793" i="2"/>
  <c r="F1792" i="2"/>
  <c r="F1791" i="2"/>
  <c r="F1790" i="2"/>
  <c r="F1789" i="2"/>
  <c r="F1788" i="2"/>
  <c r="F1787" i="2"/>
  <c r="F1786" i="2"/>
  <c r="F1785" i="2"/>
  <c r="F1784" i="2"/>
  <c r="F1783" i="2"/>
  <c r="F1782" i="2"/>
  <c r="F1781" i="2"/>
  <c r="F1780" i="2"/>
  <c r="F1779" i="2"/>
  <c r="F1778" i="2"/>
  <c r="F1777" i="2"/>
  <c r="F1776" i="2"/>
  <c r="F1775" i="2"/>
  <c r="F1774" i="2"/>
  <c r="F1773" i="2"/>
  <c r="F1772" i="2"/>
  <c r="F1771" i="2"/>
  <c r="F1770" i="2"/>
  <c r="F1769" i="2"/>
  <c r="F1768" i="2"/>
  <c r="F1767" i="2"/>
  <c r="F1766" i="2"/>
  <c r="F1765" i="2"/>
  <c r="F1764" i="2"/>
  <c r="F1763" i="2"/>
  <c r="F1762" i="2"/>
  <c r="F1761" i="2"/>
  <c r="F1760" i="2"/>
  <c r="F1759" i="2"/>
  <c r="F1758" i="2"/>
  <c r="F1757" i="2"/>
  <c r="F1756" i="2"/>
  <c r="F1755" i="2"/>
  <c r="F1754" i="2"/>
  <c r="F1753" i="2"/>
  <c r="F1752" i="2"/>
  <c r="F1751" i="2"/>
  <c r="F1750" i="2"/>
  <c r="F1749" i="2"/>
  <c r="F1748" i="2"/>
  <c r="F1747" i="2"/>
  <c r="F1746" i="2"/>
  <c r="F1745" i="2"/>
  <c r="F1744" i="2"/>
  <c r="F1743" i="2"/>
  <c r="F1742" i="2"/>
  <c r="F1741" i="2"/>
  <c r="F1740" i="2"/>
  <c r="F1739" i="2"/>
  <c r="F1738" i="2"/>
  <c r="F1737" i="2"/>
  <c r="F1736" i="2"/>
  <c r="F1735" i="2"/>
  <c r="F1734" i="2"/>
  <c r="F1733" i="2"/>
  <c r="F1732" i="2"/>
  <c r="F1731" i="2"/>
  <c r="F1730" i="2"/>
  <c r="F1729" i="2"/>
  <c r="F1728" i="2"/>
  <c r="F1727" i="2"/>
  <c r="F1726" i="2"/>
  <c r="F1725" i="2"/>
  <c r="F1724" i="2"/>
  <c r="F1723" i="2"/>
  <c r="F1722" i="2"/>
  <c r="F1721" i="2"/>
  <c r="F1720" i="2"/>
  <c r="F1719" i="2"/>
  <c r="F1718" i="2"/>
  <c r="F1717" i="2"/>
  <c r="F1716" i="2"/>
  <c r="F1715" i="2"/>
  <c r="F1714" i="2"/>
  <c r="F1713" i="2"/>
  <c r="F1712" i="2"/>
  <c r="F1711" i="2"/>
  <c r="F1710" i="2"/>
  <c r="F1709" i="2"/>
  <c r="F1708" i="2"/>
  <c r="F1707" i="2"/>
  <c r="F1706" i="2"/>
  <c r="F1705" i="2"/>
  <c r="F1704" i="2"/>
  <c r="F1703" i="2"/>
  <c r="F1702" i="2"/>
  <c r="F1701" i="2"/>
  <c r="F1700" i="2"/>
  <c r="F1699" i="2"/>
  <c r="F1698" i="2"/>
  <c r="F1697" i="2"/>
  <c r="F1696" i="2"/>
  <c r="F1695" i="2"/>
  <c r="F1694" i="2"/>
  <c r="F1693" i="2"/>
  <c r="F1692" i="2"/>
  <c r="F1691" i="2"/>
  <c r="F1690" i="2"/>
  <c r="F1689" i="2"/>
  <c r="F1688" i="2"/>
  <c r="F1687" i="2"/>
  <c r="F1686" i="2"/>
  <c r="F1685" i="2"/>
  <c r="F1684" i="2"/>
  <c r="F1683" i="2"/>
  <c r="F1682" i="2"/>
  <c r="F1681" i="2"/>
  <c r="F1680" i="2"/>
  <c r="F1679" i="2"/>
  <c r="F1678" i="2"/>
  <c r="F1677" i="2"/>
  <c r="F1676" i="2"/>
  <c r="F1675" i="2"/>
  <c r="F1674" i="2"/>
  <c r="F1673" i="2"/>
  <c r="F1672" i="2"/>
  <c r="F1671" i="2"/>
  <c r="F1670" i="2"/>
  <c r="F1669" i="2"/>
  <c r="F1668" i="2"/>
  <c r="F1667" i="2"/>
  <c r="F1666" i="2"/>
  <c r="F1665" i="2"/>
  <c r="F1664" i="2"/>
  <c r="F1663" i="2"/>
  <c r="F1662" i="2"/>
  <c r="F1661" i="2"/>
  <c r="F1660" i="2"/>
  <c r="F1659" i="2"/>
  <c r="F1658" i="2"/>
  <c r="F1657" i="2"/>
  <c r="F1656" i="2"/>
  <c r="F1655" i="2"/>
  <c r="F1654" i="2"/>
  <c r="F1653" i="2"/>
  <c r="F1652" i="2"/>
  <c r="F1651" i="2"/>
  <c r="F1650" i="2"/>
  <c r="F1649" i="2"/>
  <c r="F1648" i="2"/>
  <c r="F1647" i="2"/>
  <c r="F1646" i="2"/>
  <c r="F1645" i="2"/>
  <c r="F1644" i="2"/>
  <c r="F1643" i="2"/>
  <c r="F1642" i="2"/>
  <c r="F1641" i="2"/>
  <c r="F1640" i="2"/>
  <c r="F1639" i="2"/>
  <c r="F1638" i="2"/>
  <c r="F1637" i="2"/>
  <c r="F1636" i="2"/>
  <c r="F1635" i="2"/>
  <c r="F1634" i="2"/>
  <c r="F1633" i="2"/>
  <c r="F1632" i="2"/>
  <c r="F1631" i="2"/>
  <c r="F1630" i="2"/>
  <c r="F1629" i="2"/>
  <c r="F1628" i="2"/>
  <c r="F1627" i="2"/>
  <c r="F1626" i="2"/>
  <c r="F1625" i="2"/>
  <c r="F1624" i="2"/>
  <c r="F1623" i="2"/>
  <c r="F1622" i="2"/>
  <c r="F1621" i="2"/>
  <c r="F1620" i="2"/>
  <c r="F1619" i="2"/>
  <c r="F1618" i="2"/>
  <c r="F1617" i="2"/>
  <c r="F1616" i="2"/>
  <c r="F1615" i="2"/>
  <c r="F1614" i="2"/>
  <c r="F1613" i="2"/>
  <c r="F1612" i="2"/>
  <c r="F1611" i="2"/>
  <c r="F1610" i="2"/>
  <c r="F1609" i="2"/>
  <c r="F1608" i="2"/>
  <c r="F1607" i="2"/>
  <c r="F1606" i="2"/>
  <c r="F1605" i="2"/>
  <c r="F1604" i="2"/>
  <c r="F1603" i="2"/>
  <c r="F1602" i="2"/>
  <c r="F1601" i="2"/>
  <c r="F1600" i="2"/>
  <c r="F1599" i="2"/>
  <c r="F1598" i="2"/>
  <c r="F1597" i="2"/>
  <c r="F1596" i="2"/>
  <c r="F1595" i="2"/>
  <c r="F1594" i="2"/>
  <c r="F1593" i="2"/>
  <c r="F1592" i="2"/>
  <c r="F1591" i="2"/>
  <c r="F1590" i="2"/>
  <c r="F1589" i="2"/>
  <c r="F1588" i="2"/>
  <c r="F1587" i="2"/>
  <c r="F1586" i="2"/>
  <c r="F1585" i="2"/>
  <c r="F1584" i="2"/>
  <c r="F1583" i="2"/>
  <c r="F1582" i="2"/>
  <c r="F1581" i="2"/>
  <c r="F1580" i="2"/>
  <c r="F1579" i="2"/>
  <c r="F1578" i="2"/>
  <c r="F1577" i="2"/>
  <c r="F1576" i="2"/>
  <c r="F1575" i="2"/>
  <c r="F1574" i="2"/>
  <c r="F1573" i="2"/>
  <c r="F1572" i="2"/>
  <c r="F1571" i="2"/>
  <c r="F1570" i="2"/>
  <c r="F1569" i="2"/>
  <c r="F1568" i="2"/>
  <c r="F1567" i="2"/>
  <c r="F1566" i="2"/>
  <c r="F1565" i="2"/>
  <c r="F1564" i="2"/>
  <c r="F1563" i="2"/>
  <c r="F1562" i="2"/>
  <c r="F1561" i="2"/>
  <c r="F1560" i="2"/>
  <c r="F1559" i="2"/>
  <c r="F1558" i="2"/>
  <c r="F1557" i="2"/>
  <c r="F1556" i="2"/>
  <c r="F1555" i="2"/>
  <c r="F1554" i="2"/>
  <c r="F1553" i="2"/>
  <c r="F1552" i="2"/>
  <c r="F1551" i="2"/>
  <c r="F1550" i="2"/>
  <c r="F1549" i="2"/>
  <c r="F1548" i="2"/>
  <c r="F1547" i="2"/>
  <c r="F1546" i="2"/>
  <c r="F1545" i="2"/>
  <c r="F1544" i="2"/>
  <c r="F1543" i="2"/>
  <c r="F1542" i="2"/>
  <c r="F1541" i="2"/>
  <c r="F1540" i="2"/>
  <c r="F1539" i="2"/>
  <c r="F1538" i="2"/>
  <c r="F1537" i="2"/>
  <c r="F1536" i="2"/>
  <c r="F1535" i="2"/>
  <c r="F1534" i="2"/>
  <c r="F1533" i="2"/>
  <c r="F1532" i="2"/>
  <c r="F1531" i="2"/>
  <c r="F1530" i="2"/>
  <c r="F1529" i="2"/>
  <c r="F1528" i="2"/>
  <c r="F1527" i="2"/>
  <c r="F1526" i="2"/>
  <c r="F1525" i="2"/>
  <c r="F1524" i="2"/>
  <c r="F1523" i="2"/>
  <c r="F1522" i="2"/>
  <c r="F1521" i="2"/>
  <c r="F1520" i="2"/>
  <c r="F1519" i="2"/>
  <c r="F1518" i="2"/>
  <c r="F1517" i="2"/>
  <c r="F1516" i="2"/>
  <c r="F1515" i="2"/>
  <c r="F1514" i="2"/>
  <c r="F1513" i="2"/>
  <c r="F1512" i="2"/>
  <c r="F1511" i="2"/>
  <c r="F1510" i="2"/>
  <c r="F1509" i="2"/>
  <c r="F1508" i="2"/>
  <c r="F1507" i="2"/>
  <c r="F1506" i="2"/>
  <c r="F1505" i="2"/>
  <c r="F1504" i="2"/>
  <c r="F1503" i="2"/>
  <c r="F1502" i="2"/>
  <c r="F1501" i="2"/>
  <c r="F1500" i="2"/>
  <c r="F1499" i="2"/>
  <c r="F1498" i="2"/>
  <c r="F1497" i="2"/>
  <c r="F1496" i="2"/>
  <c r="F1495" i="2"/>
  <c r="F1494" i="2"/>
  <c r="F1493" i="2"/>
  <c r="F1492" i="2"/>
  <c r="F1491" i="2"/>
  <c r="F1490" i="2"/>
  <c r="F1489" i="2"/>
  <c r="F1488" i="2"/>
  <c r="F1487" i="2"/>
  <c r="F1486" i="2"/>
  <c r="F1485" i="2"/>
  <c r="F1484" i="2"/>
  <c r="F1483" i="2"/>
  <c r="F1482" i="2"/>
  <c r="F1481" i="2"/>
  <c r="F1480" i="2"/>
  <c r="F1479" i="2"/>
  <c r="F1478" i="2"/>
  <c r="F1477" i="2"/>
  <c r="F1476" i="2"/>
  <c r="F1475" i="2"/>
  <c r="F1474" i="2"/>
  <c r="F1473" i="2"/>
  <c r="F1472" i="2"/>
  <c r="F1471" i="2"/>
  <c r="F1470" i="2"/>
  <c r="F1469" i="2"/>
  <c r="F1468" i="2"/>
  <c r="F1467" i="2"/>
  <c r="F1466" i="2"/>
  <c r="F1465" i="2"/>
  <c r="F1464" i="2"/>
  <c r="F1463" i="2"/>
  <c r="F1462" i="2"/>
  <c r="F1461" i="2"/>
  <c r="F1460" i="2"/>
  <c r="F1459" i="2"/>
  <c r="F1458" i="2"/>
  <c r="F1457" i="2"/>
  <c r="F1456" i="2"/>
  <c r="F1455" i="2"/>
  <c r="F1454" i="2"/>
  <c r="F1453" i="2"/>
  <c r="F1452" i="2"/>
  <c r="F1451" i="2"/>
  <c r="F1450" i="2"/>
  <c r="F1449" i="2"/>
  <c r="F1448" i="2"/>
  <c r="F1447" i="2"/>
  <c r="F1446" i="2"/>
  <c r="F1445" i="2"/>
  <c r="F1444" i="2"/>
  <c r="F1443" i="2"/>
  <c r="F1442" i="2"/>
  <c r="F1441" i="2"/>
  <c r="F1440" i="2"/>
  <c r="F1439" i="2"/>
  <c r="F1438" i="2"/>
  <c r="F1437" i="2"/>
  <c r="F1436" i="2"/>
  <c r="F1435" i="2"/>
  <c r="F1434" i="2"/>
  <c r="F1433" i="2"/>
  <c r="F1432" i="2"/>
  <c r="F1431" i="2"/>
  <c r="F1430" i="2"/>
  <c r="F1429" i="2"/>
  <c r="F1428" i="2"/>
  <c r="F1427" i="2"/>
  <c r="F1426" i="2"/>
  <c r="F1425" i="2"/>
  <c r="F1424" i="2"/>
  <c r="F1423" i="2"/>
  <c r="F1422" i="2"/>
  <c r="F1421" i="2"/>
  <c r="F1420" i="2"/>
  <c r="F1419" i="2"/>
  <c r="F1418" i="2"/>
  <c r="F1417" i="2"/>
  <c r="F1416" i="2"/>
  <c r="F1415" i="2"/>
  <c r="F1414" i="2"/>
  <c r="F1413" i="2"/>
  <c r="F1412" i="2"/>
  <c r="F1411" i="2"/>
  <c r="F1410" i="2"/>
  <c r="F1409" i="2"/>
  <c r="F1408" i="2"/>
  <c r="F1407" i="2"/>
  <c r="F1406" i="2"/>
  <c r="F1405" i="2"/>
  <c r="F1404" i="2"/>
  <c r="F1403" i="2"/>
  <c r="F1402" i="2"/>
  <c r="F1401" i="2"/>
  <c r="F1400" i="2"/>
  <c r="F1399" i="2"/>
  <c r="F1398" i="2"/>
  <c r="F1397" i="2"/>
  <c r="F1396" i="2"/>
  <c r="F1395" i="2"/>
  <c r="F1394" i="2"/>
  <c r="F1393" i="2"/>
  <c r="F1392" i="2"/>
  <c r="F1391" i="2"/>
  <c r="F1390" i="2"/>
  <c r="F1389" i="2"/>
  <c r="F1388" i="2"/>
  <c r="F1387" i="2"/>
  <c r="F1386" i="2"/>
  <c r="F1385" i="2"/>
  <c r="F1384" i="2"/>
  <c r="F1383" i="2"/>
  <c r="F1382" i="2"/>
  <c r="F1381" i="2"/>
  <c r="F1380" i="2"/>
  <c r="F1379" i="2"/>
  <c r="F1378" i="2"/>
  <c r="F1377" i="2"/>
  <c r="F1376" i="2"/>
  <c r="F1375" i="2"/>
  <c r="F1374" i="2"/>
  <c r="F1373" i="2"/>
  <c r="F1372" i="2"/>
  <c r="F1371" i="2"/>
  <c r="F1370" i="2"/>
  <c r="F1369" i="2"/>
  <c r="F1368" i="2"/>
  <c r="F1367" i="2"/>
  <c r="F1366" i="2"/>
  <c r="F1365" i="2"/>
  <c r="F1364" i="2"/>
  <c r="F1363" i="2"/>
  <c r="F1362" i="2"/>
  <c r="F1361" i="2"/>
  <c r="F1360" i="2"/>
  <c r="F1359" i="2"/>
  <c r="F1358" i="2"/>
  <c r="F1357" i="2"/>
  <c r="F1356" i="2"/>
  <c r="F1355" i="2"/>
  <c r="F1354" i="2"/>
  <c r="F1353" i="2"/>
  <c r="F1352" i="2"/>
  <c r="F1351" i="2"/>
  <c r="F1350" i="2"/>
  <c r="F1349" i="2"/>
  <c r="F1348" i="2"/>
  <c r="F1347" i="2"/>
  <c r="F1346" i="2"/>
  <c r="F1345" i="2"/>
  <c r="F1344" i="2"/>
  <c r="F1343" i="2"/>
  <c r="F1342" i="2"/>
  <c r="F1341" i="2"/>
  <c r="F1340" i="2"/>
  <c r="F1339" i="2"/>
  <c r="F1338" i="2"/>
  <c r="F1337" i="2"/>
  <c r="F1336" i="2"/>
  <c r="F1335" i="2"/>
  <c r="F1334" i="2"/>
  <c r="F1333" i="2"/>
  <c r="F1332" i="2"/>
  <c r="F1331" i="2"/>
  <c r="F1330" i="2"/>
  <c r="F1329" i="2"/>
  <c r="F1328" i="2"/>
  <c r="F1327" i="2"/>
  <c r="F1326" i="2"/>
  <c r="F1325" i="2"/>
  <c r="F1324" i="2"/>
  <c r="F1323" i="2"/>
  <c r="F1322" i="2"/>
  <c r="F1321" i="2"/>
  <c r="F1320" i="2"/>
  <c r="F1319" i="2"/>
  <c r="F1318" i="2"/>
  <c r="F1317" i="2"/>
  <c r="F1316" i="2"/>
  <c r="F1315" i="2"/>
  <c r="F1314" i="2"/>
  <c r="F1313" i="2"/>
  <c r="F1312" i="2"/>
  <c r="F1311" i="2"/>
  <c r="F1310" i="2"/>
  <c r="F1309" i="2"/>
  <c r="F1308" i="2"/>
  <c r="F1307" i="2"/>
  <c r="F1306" i="2"/>
  <c r="F1305" i="2"/>
  <c r="F1304" i="2"/>
  <c r="F1303" i="2"/>
  <c r="F1302" i="2"/>
  <c r="F1301" i="2"/>
  <c r="F1300" i="2"/>
  <c r="F1299" i="2"/>
  <c r="F1298" i="2"/>
  <c r="F1297" i="2"/>
  <c r="F1296" i="2"/>
  <c r="F1295" i="2"/>
  <c r="F1294" i="2"/>
  <c r="F1293" i="2"/>
  <c r="F1292" i="2"/>
  <c r="F1291" i="2"/>
  <c r="F1290" i="2"/>
  <c r="F1289" i="2"/>
  <c r="F1288" i="2"/>
  <c r="F1287" i="2"/>
  <c r="F1286" i="2"/>
  <c r="F1285" i="2"/>
  <c r="F1284" i="2"/>
  <c r="F1283" i="2"/>
  <c r="F1282" i="2"/>
  <c r="F1281" i="2"/>
  <c r="F1280" i="2"/>
  <c r="F1279" i="2"/>
  <c r="F1278" i="2"/>
  <c r="F1277" i="2"/>
  <c r="F1276" i="2"/>
  <c r="F1275" i="2"/>
  <c r="F1274" i="2"/>
  <c r="F1273" i="2"/>
  <c r="F1272" i="2"/>
  <c r="F1271" i="2"/>
  <c r="F1270" i="2"/>
  <c r="F1269" i="2"/>
  <c r="F1268" i="2"/>
  <c r="F1267" i="2"/>
  <c r="F1266" i="2"/>
  <c r="F1265" i="2"/>
  <c r="F1264" i="2"/>
  <c r="F1263" i="2"/>
  <c r="F1262" i="2"/>
  <c r="F1261" i="2"/>
  <c r="F1260" i="2"/>
  <c r="F1259" i="2"/>
  <c r="F1258" i="2"/>
  <c r="F1257" i="2"/>
  <c r="F1256" i="2"/>
  <c r="F1255" i="2"/>
  <c r="F1254" i="2"/>
  <c r="F1253" i="2"/>
  <c r="F1252" i="2"/>
  <c r="F1251" i="2"/>
  <c r="F1250" i="2"/>
  <c r="F1249" i="2"/>
  <c r="F1248" i="2"/>
  <c r="F1247" i="2"/>
  <c r="F1246" i="2"/>
  <c r="F1245" i="2"/>
  <c r="F1244" i="2"/>
  <c r="F1243" i="2"/>
  <c r="F1242" i="2"/>
  <c r="F1241" i="2"/>
  <c r="F1240" i="2"/>
  <c r="F1239" i="2"/>
  <c r="F1238" i="2"/>
  <c r="F1237" i="2"/>
  <c r="F1236" i="2"/>
  <c r="F1235" i="2"/>
  <c r="F1234" i="2"/>
  <c r="F1233" i="2"/>
  <c r="F1232" i="2"/>
  <c r="F1231" i="2"/>
  <c r="F1230" i="2"/>
  <c r="F1229" i="2"/>
  <c r="F1228" i="2"/>
  <c r="F1227" i="2"/>
  <c r="F1226" i="2"/>
  <c r="F1225" i="2"/>
  <c r="F1224" i="2"/>
  <c r="F1223" i="2"/>
  <c r="F1222" i="2"/>
  <c r="F1221" i="2"/>
  <c r="F1220" i="2"/>
  <c r="F1219" i="2"/>
  <c r="F1218" i="2"/>
  <c r="F1217" i="2"/>
  <c r="F1216" i="2"/>
  <c r="F1215" i="2"/>
  <c r="F1214" i="2"/>
  <c r="F1213" i="2"/>
  <c r="F1212" i="2"/>
  <c r="F1211" i="2"/>
  <c r="F1210" i="2"/>
  <c r="F1209" i="2"/>
  <c r="F1208" i="2"/>
  <c r="F1207" i="2"/>
  <c r="F1206" i="2"/>
  <c r="F1205" i="2"/>
  <c r="F1204" i="2"/>
  <c r="F1203" i="2"/>
  <c r="F1202" i="2"/>
  <c r="F1201" i="2"/>
  <c r="F1200" i="2"/>
  <c r="F1199" i="2"/>
  <c r="F1198" i="2"/>
  <c r="F1197" i="2"/>
  <c r="F1196" i="2"/>
  <c r="F1195" i="2"/>
  <c r="F1194" i="2"/>
  <c r="F1193" i="2"/>
  <c r="F1192" i="2"/>
  <c r="F1191" i="2"/>
  <c r="F1190" i="2"/>
  <c r="F1189" i="2"/>
  <c r="F1188" i="2"/>
  <c r="F1187" i="2"/>
  <c r="F1186" i="2"/>
  <c r="F1185" i="2"/>
  <c r="F1184" i="2"/>
  <c r="F1183" i="2"/>
  <c r="F1182" i="2"/>
  <c r="F1181" i="2"/>
  <c r="F1180" i="2"/>
  <c r="F1179" i="2"/>
  <c r="F1178" i="2"/>
  <c r="F1177" i="2"/>
  <c r="F1176" i="2"/>
  <c r="F1175" i="2"/>
  <c r="F1174" i="2"/>
  <c r="F1173" i="2"/>
  <c r="F1172" i="2"/>
  <c r="F1171" i="2"/>
  <c r="F1170" i="2"/>
  <c r="F1169" i="2"/>
  <c r="F1168" i="2"/>
  <c r="F1167" i="2"/>
  <c r="F1166" i="2"/>
  <c r="F1165" i="2"/>
  <c r="F1164" i="2"/>
  <c r="F1163" i="2"/>
  <c r="F1162" i="2"/>
  <c r="F1161" i="2"/>
  <c r="F1160" i="2"/>
  <c r="F1159" i="2"/>
  <c r="F1158" i="2"/>
  <c r="F1157" i="2"/>
  <c r="F1156" i="2"/>
  <c r="F1155" i="2"/>
  <c r="F1154" i="2"/>
  <c r="F1153" i="2"/>
  <c r="F1152" i="2"/>
  <c r="F1151" i="2"/>
  <c r="F1150" i="2"/>
  <c r="F1149" i="2"/>
  <c r="F1148" i="2"/>
  <c r="F1147" i="2"/>
  <c r="F1146" i="2"/>
  <c r="F1145" i="2"/>
  <c r="F1144" i="2"/>
  <c r="F1143" i="2"/>
  <c r="F1142" i="2"/>
  <c r="F1141" i="2"/>
  <c r="F1140" i="2"/>
  <c r="F1139" i="2"/>
  <c r="F1138" i="2"/>
  <c r="F1137" i="2"/>
  <c r="F1136" i="2"/>
  <c r="F1135" i="2"/>
  <c r="F1134" i="2"/>
  <c r="F1133" i="2"/>
  <c r="F1132" i="2"/>
  <c r="F1131" i="2"/>
  <c r="F1130" i="2"/>
  <c r="F1129" i="2"/>
  <c r="F1128" i="2"/>
  <c r="F1127" i="2"/>
  <c r="F1126" i="2"/>
  <c r="F1125" i="2"/>
  <c r="F1124" i="2"/>
  <c r="F1123" i="2"/>
  <c r="F1122" i="2"/>
  <c r="F1121" i="2"/>
  <c r="F1120" i="2"/>
  <c r="F1119" i="2"/>
  <c r="F1118" i="2"/>
  <c r="F1117" i="2"/>
  <c r="F1116" i="2"/>
  <c r="F1115" i="2"/>
  <c r="F1114" i="2"/>
  <c r="F1113" i="2"/>
  <c r="F1112" i="2"/>
  <c r="F1111" i="2"/>
  <c r="F1110" i="2"/>
  <c r="F1109" i="2"/>
  <c r="F1108" i="2"/>
  <c r="F1107" i="2"/>
  <c r="F1106" i="2"/>
  <c r="F1105" i="2"/>
  <c r="F1104" i="2"/>
  <c r="F1103" i="2"/>
  <c r="F1102" i="2"/>
  <c r="F1101" i="2"/>
  <c r="F1100" i="2"/>
  <c r="F1099" i="2"/>
  <c r="F1098" i="2"/>
  <c r="F1097" i="2"/>
  <c r="F1096" i="2"/>
  <c r="F1095" i="2"/>
  <c r="F1094" i="2"/>
  <c r="F1093" i="2"/>
  <c r="F1092" i="2"/>
  <c r="F1091" i="2"/>
  <c r="F1090" i="2"/>
  <c r="F1089" i="2"/>
  <c r="F1088" i="2"/>
  <c r="F1087" i="2"/>
  <c r="F1086" i="2"/>
  <c r="F1085" i="2"/>
  <c r="F1084" i="2"/>
  <c r="F1083" i="2"/>
  <c r="F1082" i="2"/>
  <c r="F1081" i="2"/>
  <c r="F1080" i="2"/>
  <c r="F1079" i="2"/>
  <c r="F1078" i="2"/>
  <c r="F1077" i="2"/>
  <c r="F1076" i="2"/>
  <c r="F1075" i="2"/>
  <c r="F1074" i="2"/>
  <c r="F1073" i="2"/>
  <c r="F1072" i="2"/>
  <c r="F1071" i="2"/>
  <c r="F1070" i="2"/>
  <c r="F1069" i="2"/>
  <c r="F1068" i="2"/>
  <c r="F1067" i="2"/>
  <c r="F1066" i="2"/>
  <c r="F1065" i="2"/>
  <c r="F1064" i="2"/>
  <c r="F1063" i="2"/>
  <c r="F1062" i="2"/>
  <c r="F1061" i="2"/>
  <c r="F1060" i="2"/>
  <c r="F1059" i="2"/>
  <c r="F1058" i="2"/>
  <c r="F1057" i="2"/>
  <c r="F1056" i="2"/>
  <c r="F1055" i="2"/>
  <c r="F1054" i="2"/>
  <c r="F1053" i="2"/>
  <c r="F1052" i="2"/>
  <c r="F1051" i="2"/>
  <c r="F1050" i="2"/>
  <c r="F1049" i="2"/>
  <c r="F1048" i="2"/>
  <c r="F1047" i="2"/>
  <c r="F1046" i="2"/>
  <c r="F1045" i="2"/>
  <c r="F1044" i="2"/>
  <c r="F1043" i="2"/>
  <c r="F1042" i="2"/>
  <c r="F1041" i="2"/>
  <c r="F1040" i="2"/>
  <c r="F1039" i="2"/>
  <c r="F1038" i="2"/>
  <c r="F1037" i="2"/>
  <c r="F1036" i="2"/>
  <c r="F1035" i="2"/>
  <c r="F1034" i="2"/>
  <c r="F1033" i="2"/>
  <c r="F1032" i="2"/>
  <c r="F1031" i="2"/>
  <c r="F1030" i="2"/>
  <c r="F1029" i="2"/>
  <c r="F1028" i="2"/>
  <c r="F1027" i="2"/>
  <c r="F1026" i="2"/>
  <c r="F1025" i="2"/>
  <c r="F1024" i="2"/>
  <c r="F1023" i="2"/>
  <c r="F1022" i="2"/>
  <c r="F1021" i="2"/>
  <c r="F1020" i="2"/>
  <c r="F1019" i="2"/>
  <c r="F1018" i="2"/>
  <c r="F1017" i="2"/>
  <c r="F1016" i="2"/>
  <c r="F1015" i="2"/>
  <c r="F1014" i="2"/>
  <c r="F1013" i="2"/>
  <c r="F1012" i="2"/>
  <c r="F1011" i="2"/>
  <c r="F1010" i="2"/>
  <c r="F1009" i="2"/>
  <c r="F1008" i="2"/>
  <c r="F1007" i="2"/>
  <c r="F1006" i="2"/>
  <c r="F1005" i="2"/>
  <c r="F1004" i="2"/>
  <c r="F1003" i="2"/>
  <c r="F1002" i="2"/>
  <c r="F1001" i="2"/>
  <c r="F1000" i="2"/>
  <c r="F999" i="2"/>
  <c r="F998" i="2"/>
  <c r="F997" i="2"/>
  <c r="F996" i="2"/>
  <c r="F995" i="2"/>
  <c r="F994" i="2"/>
  <c r="F993" i="2"/>
  <c r="F992" i="2"/>
  <c r="F991" i="2"/>
  <c r="F990" i="2"/>
  <c r="F989" i="2"/>
  <c r="F988" i="2"/>
  <c r="F987" i="2"/>
  <c r="F986" i="2"/>
  <c r="F985" i="2"/>
  <c r="F984" i="2"/>
  <c r="F983" i="2"/>
  <c r="F982" i="2"/>
  <c r="F981" i="2"/>
  <c r="F980" i="2"/>
  <c r="F979" i="2"/>
  <c r="F978" i="2"/>
  <c r="F977" i="2"/>
  <c r="F976" i="2"/>
  <c r="F975" i="2"/>
  <c r="F974" i="2"/>
  <c r="F973" i="2"/>
  <c r="F972" i="2"/>
  <c r="F971" i="2"/>
  <c r="F970" i="2"/>
  <c r="F969" i="2"/>
  <c r="F968" i="2"/>
  <c r="F967" i="2"/>
  <c r="F966" i="2"/>
  <c r="F965" i="2"/>
  <c r="F964" i="2"/>
  <c r="F963" i="2"/>
  <c r="F962" i="2"/>
  <c r="F961" i="2"/>
  <c r="F960" i="2"/>
  <c r="F959" i="2"/>
  <c r="F958" i="2"/>
  <c r="F957" i="2"/>
  <c r="F956" i="2"/>
  <c r="F955" i="2"/>
  <c r="F954" i="2"/>
  <c r="F953" i="2"/>
  <c r="F952" i="2"/>
  <c r="F951" i="2"/>
  <c r="F950" i="2"/>
  <c r="F949" i="2"/>
  <c r="F948" i="2"/>
  <c r="F947" i="2"/>
  <c r="F946" i="2"/>
  <c r="F945" i="2"/>
  <c r="F944" i="2"/>
  <c r="F943" i="2"/>
  <c r="F942" i="2"/>
  <c r="F941" i="2"/>
  <c r="F940" i="2"/>
  <c r="F939" i="2"/>
  <c r="F938" i="2"/>
  <c r="F937" i="2"/>
  <c r="F936" i="2"/>
  <c r="F935" i="2"/>
  <c r="F934" i="2"/>
  <c r="F933" i="2"/>
  <c r="F932" i="2"/>
  <c r="F931" i="2"/>
  <c r="F930" i="2"/>
  <c r="F929" i="2"/>
  <c r="F928" i="2"/>
  <c r="F927" i="2"/>
  <c r="F926" i="2"/>
  <c r="F925" i="2"/>
  <c r="F924" i="2"/>
  <c r="F923" i="2"/>
  <c r="F922" i="2"/>
  <c r="F921" i="2"/>
  <c r="F920" i="2"/>
  <c r="F919" i="2"/>
  <c r="F918" i="2"/>
  <c r="F917" i="2"/>
  <c r="F916" i="2"/>
  <c r="F915" i="2"/>
  <c r="F914" i="2"/>
  <c r="F913" i="2"/>
  <c r="F912" i="2"/>
  <c r="F911" i="2"/>
  <c r="F910" i="2"/>
  <c r="F909" i="2"/>
  <c r="F908" i="2"/>
  <c r="F907" i="2"/>
  <c r="F906" i="2"/>
  <c r="F905" i="2"/>
  <c r="F904" i="2"/>
  <c r="F903" i="2"/>
  <c r="F902" i="2"/>
  <c r="F901" i="2"/>
  <c r="F900" i="2"/>
  <c r="F899" i="2"/>
  <c r="F898" i="2"/>
  <c r="F897" i="2"/>
  <c r="F896" i="2"/>
  <c r="F895" i="2"/>
  <c r="F894" i="2"/>
  <c r="F893" i="2"/>
  <c r="F892" i="2"/>
  <c r="F891" i="2"/>
  <c r="F890" i="2"/>
  <c r="F889" i="2"/>
  <c r="F888" i="2"/>
  <c r="F887" i="2"/>
  <c r="F886" i="2"/>
  <c r="F885" i="2"/>
  <c r="F884" i="2"/>
  <c r="F883" i="2"/>
  <c r="F882" i="2"/>
  <c r="F881" i="2"/>
  <c r="F880" i="2"/>
  <c r="F879" i="2"/>
  <c r="F878" i="2"/>
  <c r="F877" i="2"/>
  <c r="F876" i="2"/>
  <c r="F875" i="2"/>
  <c r="F874" i="2"/>
  <c r="F873" i="2"/>
  <c r="F872" i="2"/>
  <c r="F871" i="2"/>
  <c r="F870" i="2"/>
  <c r="F869" i="2"/>
  <c r="F868" i="2"/>
  <c r="F867" i="2"/>
  <c r="F866" i="2"/>
  <c r="F865" i="2"/>
  <c r="F864" i="2"/>
  <c r="F863" i="2"/>
  <c r="F862" i="2"/>
  <c r="F861" i="2"/>
  <c r="F860" i="2"/>
  <c r="F859" i="2"/>
  <c r="F858" i="2"/>
  <c r="F857" i="2"/>
  <c r="F856" i="2"/>
  <c r="F855" i="2"/>
  <c r="F854" i="2"/>
  <c r="F853" i="2"/>
  <c r="F852" i="2"/>
  <c r="F851" i="2"/>
  <c r="F850" i="2"/>
  <c r="F849" i="2"/>
  <c r="F848" i="2"/>
  <c r="F847" i="2"/>
  <c r="F846" i="2"/>
  <c r="F845" i="2"/>
  <c r="F844" i="2"/>
  <c r="F843" i="2"/>
  <c r="F842" i="2"/>
  <c r="F841" i="2"/>
  <c r="F840" i="2"/>
  <c r="F839" i="2"/>
  <c r="F838" i="2"/>
  <c r="F837" i="2"/>
  <c r="F836" i="2"/>
  <c r="F835" i="2"/>
  <c r="F834" i="2"/>
  <c r="F833" i="2"/>
  <c r="F832" i="2"/>
  <c r="F831" i="2"/>
  <c r="F830" i="2"/>
  <c r="F829" i="2"/>
  <c r="F828" i="2"/>
  <c r="F827" i="2"/>
  <c r="F826" i="2"/>
  <c r="F825" i="2"/>
  <c r="F824" i="2"/>
  <c r="F823" i="2"/>
  <c r="F822" i="2"/>
  <c r="F821" i="2"/>
  <c r="F820" i="2"/>
  <c r="F819" i="2"/>
  <c r="F818" i="2"/>
  <c r="F817" i="2"/>
  <c r="F816" i="2"/>
  <c r="F815" i="2"/>
  <c r="F814" i="2"/>
  <c r="F813" i="2"/>
  <c r="F812" i="2"/>
  <c r="F811" i="2"/>
  <c r="F810" i="2"/>
  <c r="F809" i="2"/>
  <c r="F808" i="2"/>
  <c r="F807" i="2"/>
  <c r="F806" i="2"/>
  <c r="F805" i="2"/>
  <c r="F804" i="2"/>
  <c r="F803" i="2"/>
  <c r="F802" i="2"/>
  <c r="F801" i="2"/>
  <c r="F800" i="2"/>
  <c r="F799" i="2"/>
  <c r="F798" i="2"/>
  <c r="F797" i="2"/>
  <c r="F796" i="2"/>
  <c r="F795" i="2"/>
  <c r="F794" i="2"/>
  <c r="F793" i="2"/>
  <c r="F792" i="2"/>
  <c r="F791" i="2"/>
  <c r="F790" i="2"/>
  <c r="F789" i="2"/>
  <c r="F788" i="2"/>
  <c r="F787" i="2"/>
  <c r="F786" i="2"/>
  <c r="F785" i="2"/>
  <c r="F784" i="2"/>
  <c r="F783" i="2"/>
  <c r="F782" i="2"/>
  <c r="F781" i="2"/>
  <c r="F780" i="2"/>
  <c r="F779" i="2"/>
  <c r="F778" i="2"/>
  <c r="F777" i="2"/>
  <c r="F776" i="2"/>
  <c r="F775" i="2"/>
  <c r="F774" i="2"/>
  <c r="F773" i="2"/>
  <c r="F772" i="2"/>
  <c r="F771" i="2"/>
  <c r="F770" i="2"/>
  <c r="F769" i="2"/>
  <c r="F768" i="2"/>
  <c r="F767" i="2"/>
  <c r="F766" i="2"/>
  <c r="F765" i="2"/>
  <c r="F764" i="2"/>
  <c r="F763" i="2"/>
  <c r="F762" i="2"/>
  <c r="F761" i="2"/>
  <c r="F760" i="2"/>
  <c r="F759" i="2"/>
  <c r="F758" i="2"/>
  <c r="F757" i="2"/>
  <c r="F756" i="2"/>
  <c r="F755" i="2"/>
  <c r="F754" i="2"/>
  <c r="F753" i="2"/>
  <c r="F752" i="2"/>
  <c r="F751" i="2"/>
  <c r="F750" i="2"/>
  <c r="F749" i="2"/>
  <c r="F748" i="2"/>
  <c r="F747" i="2"/>
  <c r="F746" i="2"/>
  <c r="F745" i="2"/>
  <c r="F744" i="2"/>
  <c r="F743" i="2"/>
  <c r="F742" i="2"/>
  <c r="F741" i="2"/>
  <c r="F740" i="2"/>
  <c r="F739" i="2"/>
  <c r="F738" i="2"/>
  <c r="F737" i="2"/>
  <c r="F736" i="2"/>
  <c r="F735" i="2"/>
  <c r="F734" i="2"/>
  <c r="F733" i="2"/>
  <c r="F732" i="2"/>
  <c r="F731" i="2"/>
  <c r="F730" i="2"/>
  <c r="F729" i="2"/>
  <c r="F728" i="2"/>
  <c r="F727" i="2"/>
  <c r="F726" i="2"/>
  <c r="F725" i="2"/>
  <c r="F724" i="2"/>
  <c r="F723" i="2"/>
  <c r="F722" i="2"/>
  <c r="F721" i="2"/>
  <c r="F720" i="2"/>
  <c r="F719" i="2"/>
  <c r="F718" i="2"/>
  <c r="F717" i="2"/>
  <c r="F716" i="2"/>
  <c r="F715" i="2"/>
  <c r="F714" i="2"/>
  <c r="F713" i="2"/>
  <c r="F712" i="2"/>
  <c r="F711" i="2"/>
  <c r="F710" i="2"/>
  <c r="F709" i="2"/>
  <c r="F708" i="2"/>
  <c r="F707" i="2"/>
  <c r="F706" i="2"/>
  <c r="F705" i="2"/>
  <c r="F704" i="2"/>
  <c r="F703" i="2"/>
  <c r="F702" i="2"/>
  <c r="F701" i="2"/>
  <c r="F700" i="2"/>
  <c r="F699" i="2"/>
  <c r="F698" i="2"/>
  <c r="F697" i="2"/>
  <c r="F696" i="2"/>
  <c r="F695" i="2"/>
  <c r="F694" i="2"/>
  <c r="F693" i="2"/>
  <c r="F692" i="2"/>
  <c r="F691" i="2"/>
  <c r="F690" i="2"/>
  <c r="F689" i="2"/>
  <c r="F688" i="2"/>
  <c r="F687" i="2"/>
  <c r="F686" i="2"/>
  <c r="F685" i="2"/>
  <c r="F684" i="2"/>
  <c r="F683" i="2"/>
  <c r="F682" i="2"/>
  <c r="F681" i="2"/>
  <c r="F680" i="2"/>
  <c r="F679" i="2"/>
  <c r="F678" i="2"/>
  <c r="F677" i="2"/>
  <c r="F676" i="2"/>
  <c r="F675" i="2"/>
  <c r="F674" i="2"/>
  <c r="F673" i="2"/>
  <c r="F672" i="2"/>
  <c r="F671" i="2"/>
  <c r="F670" i="2"/>
  <c r="F669" i="2"/>
  <c r="F668" i="2"/>
  <c r="F667" i="2"/>
  <c r="F666" i="2"/>
  <c r="F665" i="2"/>
  <c r="F664" i="2"/>
  <c r="F663" i="2"/>
  <c r="F662" i="2"/>
  <c r="F661" i="2"/>
  <c r="F660" i="2"/>
  <c r="F659" i="2"/>
  <c r="F658" i="2"/>
  <c r="F657" i="2"/>
  <c r="F656" i="2"/>
  <c r="F655" i="2"/>
  <c r="F654" i="2"/>
  <c r="F653" i="2"/>
  <c r="F652" i="2"/>
  <c r="F651" i="2"/>
  <c r="F650" i="2"/>
  <c r="F649" i="2"/>
  <c r="F648" i="2"/>
  <c r="F647" i="2"/>
  <c r="F646" i="2"/>
  <c r="F645" i="2"/>
  <c r="F644" i="2"/>
  <c r="F643" i="2"/>
  <c r="F642" i="2"/>
  <c r="F641" i="2"/>
  <c r="F640" i="2"/>
  <c r="F639" i="2"/>
  <c r="F638" i="2"/>
  <c r="F637" i="2"/>
  <c r="F636" i="2"/>
  <c r="F635" i="2"/>
  <c r="F634" i="2"/>
  <c r="F633" i="2"/>
  <c r="F632" i="2"/>
  <c r="F631" i="2"/>
  <c r="F630" i="2"/>
  <c r="F629" i="2"/>
  <c r="F628" i="2"/>
  <c r="F627" i="2"/>
  <c r="F626" i="2"/>
  <c r="F625" i="2"/>
  <c r="F624" i="2"/>
  <c r="F623" i="2"/>
  <c r="F622" i="2"/>
  <c r="F621" i="2"/>
  <c r="F620" i="2"/>
  <c r="F619" i="2"/>
  <c r="F618" i="2"/>
  <c r="F617" i="2"/>
  <c r="F616" i="2"/>
  <c r="F615" i="2"/>
  <c r="F614" i="2"/>
  <c r="F613" i="2"/>
  <c r="F612" i="2"/>
  <c r="F611" i="2"/>
  <c r="F610" i="2"/>
  <c r="F609" i="2"/>
  <c r="F608" i="2"/>
  <c r="F607" i="2"/>
  <c r="F606" i="2"/>
  <c r="F605" i="2"/>
  <c r="F604" i="2"/>
  <c r="F603" i="2"/>
  <c r="F602" i="2"/>
  <c r="F601" i="2"/>
  <c r="F600" i="2"/>
  <c r="F599" i="2"/>
  <c r="F598" i="2"/>
  <c r="F597" i="2"/>
  <c r="F596" i="2"/>
  <c r="F595" i="2"/>
  <c r="F594" i="2"/>
  <c r="F593" i="2"/>
  <c r="F592" i="2"/>
  <c r="F591" i="2"/>
  <c r="F590" i="2"/>
  <c r="F589" i="2"/>
  <c r="F588" i="2"/>
  <c r="F587" i="2"/>
  <c r="F586" i="2"/>
  <c r="F585" i="2"/>
  <c r="F584" i="2"/>
  <c r="F583" i="2"/>
  <c r="F582" i="2"/>
  <c r="F581" i="2"/>
  <c r="F580" i="2"/>
  <c r="F579" i="2"/>
  <c r="F578" i="2"/>
  <c r="F577" i="2"/>
  <c r="F576" i="2"/>
  <c r="F575" i="2"/>
  <c r="F574" i="2"/>
  <c r="F573" i="2"/>
  <c r="F572" i="2"/>
  <c r="F571" i="2"/>
  <c r="F570" i="2"/>
  <c r="F569" i="2"/>
  <c r="F568" i="2"/>
  <c r="F567" i="2"/>
  <c r="F566" i="2"/>
  <c r="F565" i="2"/>
  <c r="F564" i="2"/>
  <c r="F563" i="2"/>
  <c r="F562" i="2"/>
  <c r="F561" i="2"/>
  <c r="F560" i="2"/>
  <c r="F559" i="2"/>
  <c r="F558" i="2"/>
  <c r="F557" i="2"/>
  <c r="F556" i="2"/>
  <c r="F555" i="2"/>
  <c r="F554" i="2"/>
  <c r="F553" i="2"/>
  <c r="F552" i="2"/>
  <c r="F551" i="2"/>
  <c r="F550" i="2"/>
  <c r="F549" i="2"/>
  <c r="F548" i="2"/>
  <c r="F547" i="2"/>
  <c r="F546" i="2"/>
  <c r="F545" i="2"/>
  <c r="F544" i="2"/>
  <c r="F543" i="2"/>
  <c r="F542" i="2"/>
  <c r="F541" i="2"/>
  <c r="F540" i="2"/>
  <c r="F539" i="2"/>
  <c r="F538" i="2"/>
  <c r="F537" i="2"/>
  <c r="F536" i="2"/>
  <c r="F535" i="2"/>
  <c r="F534" i="2"/>
  <c r="F533" i="2"/>
  <c r="F532" i="2"/>
  <c r="F531" i="2"/>
  <c r="F530" i="2"/>
  <c r="F529" i="2"/>
  <c r="F528" i="2"/>
  <c r="F527" i="2"/>
  <c r="F526" i="2"/>
  <c r="F525" i="2"/>
  <c r="F524" i="2"/>
  <c r="F523" i="2"/>
  <c r="F522" i="2"/>
  <c r="F521" i="2"/>
  <c r="F520" i="2"/>
  <c r="F519" i="2"/>
  <c r="F518" i="2"/>
  <c r="F517" i="2"/>
  <c r="F516" i="2"/>
  <c r="F515" i="2"/>
  <c r="F514" i="2"/>
  <c r="F513" i="2"/>
  <c r="F512" i="2"/>
  <c r="F511" i="2"/>
  <c r="F510" i="2"/>
  <c r="F509" i="2"/>
  <c r="F508" i="2"/>
  <c r="F507" i="2"/>
  <c r="F506" i="2"/>
  <c r="F505" i="2"/>
  <c r="F504" i="2"/>
  <c r="F503" i="2"/>
  <c r="F502" i="2"/>
  <c r="F501" i="2"/>
  <c r="F500" i="2"/>
  <c r="F499" i="2"/>
  <c r="F498" i="2"/>
  <c r="F497" i="2"/>
  <c r="F496" i="2"/>
  <c r="F495" i="2"/>
  <c r="F494" i="2"/>
  <c r="F493" i="2"/>
  <c r="F492" i="2"/>
  <c r="F491" i="2"/>
  <c r="F490" i="2"/>
  <c r="F489" i="2"/>
  <c r="F488" i="2"/>
  <c r="F487" i="2"/>
  <c r="F486" i="2"/>
  <c r="F485" i="2"/>
  <c r="F484" i="2"/>
  <c r="F483" i="2"/>
  <c r="F482" i="2"/>
  <c r="F481" i="2"/>
  <c r="F480" i="2"/>
  <c r="F479" i="2"/>
  <c r="F478" i="2"/>
  <c r="F477" i="2"/>
  <c r="F476" i="2"/>
  <c r="F475" i="2"/>
  <c r="F474" i="2"/>
  <c r="F473" i="2"/>
  <c r="F472" i="2"/>
  <c r="F471" i="2"/>
  <c r="F470" i="2"/>
  <c r="F469" i="2"/>
  <c r="F468" i="2"/>
  <c r="F467" i="2"/>
  <c r="F466" i="2"/>
  <c r="F465" i="2"/>
  <c r="F464" i="2"/>
  <c r="F463" i="2"/>
  <c r="F462" i="2"/>
  <c r="F461" i="2"/>
  <c r="F460" i="2"/>
  <c r="F459" i="2"/>
  <c r="F458" i="2"/>
  <c r="F457" i="2"/>
  <c r="F456" i="2"/>
  <c r="F455" i="2"/>
  <c r="F454" i="2"/>
  <c r="F453" i="2"/>
  <c r="F452" i="2"/>
  <c r="F451" i="2"/>
  <c r="F450" i="2"/>
  <c r="F449" i="2"/>
  <c r="F448" i="2"/>
  <c r="F447" i="2"/>
  <c r="F446" i="2"/>
  <c r="F445" i="2"/>
  <c r="F444" i="2"/>
  <c r="F443" i="2"/>
  <c r="F442" i="2"/>
  <c r="F441" i="2"/>
  <c r="F440" i="2"/>
  <c r="F439" i="2"/>
  <c r="F438" i="2"/>
  <c r="F437" i="2"/>
  <c r="F436" i="2"/>
  <c r="F435" i="2"/>
  <c r="F434" i="2"/>
  <c r="F433" i="2"/>
  <c r="F432" i="2"/>
  <c r="F431" i="2"/>
  <c r="F430" i="2"/>
  <c r="F429" i="2"/>
  <c r="F428" i="2"/>
  <c r="F427" i="2"/>
  <c r="F426" i="2"/>
  <c r="F425" i="2"/>
  <c r="F424" i="2"/>
  <c r="F423" i="2"/>
  <c r="F422" i="2"/>
  <c r="F421" i="2"/>
  <c r="F420" i="2"/>
  <c r="F419" i="2"/>
  <c r="F418" i="2"/>
  <c r="F417" i="2"/>
  <c r="F416" i="2"/>
  <c r="F415" i="2"/>
  <c r="F414" i="2"/>
  <c r="F413" i="2"/>
  <c r="F412" i="2"/>
  <c r="F411" i="2"/>
  <c r="F410" i="2"/>
  <c r="F409" i="2"/>
  <c r="F408" i="2"/>
  <c r="F407" i="2"/>
  <c r="F406" i="2"/>
  <c r="F405" i="2"/>
  <c r="F404" i="2"/>
  <c r="F403" i="2"/>
  <c r="F402" i="2"/>
  <c r="F401" i="2"/>
  <c r="F400" i="2"/>
  <c r="F399" i="2"/>
  <c r="F398" i="2"/>
  <c r="F397" i="2"/>
  <c r="F396" i="2"/>
  <c r="F395" i="2"/>
  <c r="F394" i="2"/>
  <c r="F393" i="2"/>
  <c r="F392" i="2"/>
  <c r="F391" i="2"/>
  <c r="F390" i="2"/>
  <c r="F389" i="2"/>
  <c r="F388" i="2"/>
  <c r="F387" i="2"/>
  <c r="F386" i="2"/>
  <c r="F385" i="2"/>
  <c r="F384" i="2"/>
  <c r="F383" i="2"/>
  <c r="F382" i="2"/>
  <c r="F381" i="2"/>
  <c r="F380" i="2"/>
  <c r="F379" i="2"/>
  <c r="F378" i="2"/>
  <c r="F377" i="2"/>
  <c r="F376" i="2"/>
  <c r="F375" i="2"/>
  <c r="F374" i="2"/>
  <c r="F373" i="2"/>
  <c r="F372" i="2"/>
  <c r="F371" i="2"/>
  <c r="F370" i="2"/>
  <c r="F369" i="2"/>
  <c r="F368" i="2"/>
  <c r="F367" i="2"/>
  <c r="F366" i="2"/>
  <c r="F365" i="2"/>
  <c r="F364" i="2"/>
  <c r="F363" i="2"/>
  <c r="F362" i="2"/>
  <c r="F361" i="2"/>
  <c r="F360" i="2"/>
  <c r="F359" i="2"/>
  <c r="F358" i="2"/>
  <c r="F357" i="2"/>
  <c r="F356" i="2"/>
  <c r="F355" i="2"/>
  <c r="F354" i="2"/>
  <c r="F353" i="2"/>
  <c r="F352" i="2"/>
  <c r="F351" i="2"/>
  <c r="F350" i="2"/>
  <c r="F349" i="2"/>
  <c r="F348" i="2"/>
  <c r="F347" i="2"/>
  <c r="F346" i="2"/>
  <c r="F345" i="2"/>
  <c r="F344" i="2"/>
  <c r="F343" i="2"/>
  <c r="F342" i="2"/>
  <c r="F341" i="2"/>
  <c r="F340" i="2"/>
  <c r="F339" i="2"/>
  <c r="F338" i="2"/>
  <c r="F337" i="2"/>
  <c r="F336" i="2"/>
  <c r="F335" i="2"/>
  <c r="F334" i="2"/>
  <c r="F333" i="2"/>
  <c r="F332" i="2"/>
  <c r="F331" i="2"/>
  <c r="F330" i="2"/>
  <c r="F329" i="2"/>
  <c r="F328" i="2"/>
  <c r="F327" i="2"/>
  <c r="F326" i="2"/>
  <c r="F325" i="2"/>
  <c r="F324" i="2"/>
  <c r="F323" i="2"/>
  <c r="F322" i="2"/>
  <c r="F321" i="2"/>
  <c r="F320" i="2"/>
  <c r="F319" i="2"/>
  <c r="F318" i="2"/>
  <c r="F317" i="2"/>
  <c r="F316" i="2"/>
  <c r="F315" i="2"/>
  <c r="F314" i="2"/>
  <c r="F313" i="2"/>
  <c r="F312" i="2"/>
  <c r="F311" i="2"/>
  <c r="F310" i="2"/>
  <c r="F309" i="2"/>
  <c r="F308" i="2"/>
  <c r="F307" i="2"/>
  <c r="F306" i="2"/>
  <c r="F305" i="2"/>
  <c r="F304" i="2"/>
  <c r="F303" i="2"/>
  <c r="F302" i="2"/>
  <c r="F301" i="2"/>
  <c r="F300" i="2"/>
  <c r="F299" i="2"/>
  <c r="F298" i="2"/>
  <c r="F297" i="2"/>
  <c r="F296" i="2"/>
  <c r="F295" i="2"/>
  <c r="F294" i="2"/>
  <c r="F293" i="2"/>
  <c r="F292" i="2"/>
  <c r="F291" i="2"/>
  <c r="F290" i="2"/>
  <c r="F289" i="2"/>
  <c r="F288" i="2"/>
  <c r="F287" i="2"/>
  <c r="F286" i="2"/>
  <c r="F285" i="2"/>
  <c r="F284" i="2"/>
  <c r="F283" i="2"/>
  <c r="F282" i="2"/>
  <c r="F281" i="2"/>
  <c r="F280" i="2"/>
  <c r="F279" i="2"/>
  <c r="F278" i="2"/>
  <c r="F277" i="2"/>
  <c r="F276" i="2"/>
  <c r="F275" i="2"/>
  <c r="F274" i="2"/>
  <c r="F273" i="2"/>
  <c r="F272" i="2"/>
  <c r="F271" i="2"/>
  <c r="F270" i="2"/>
  <c r="F269" i="2"/>
  <c r="F268" i="2"/>
  <c r="F267" i="2"/>
  <c r="F266" i="2"/>
  <c r="F265" i="2"/>
  <c r="F264" i="2"/>
  <c r="F263" i="2"/>
  <c r="F262" i="2"/>
  <c r="F261" i="2"/>
  <c r="F260" i="2"/>
  <c r="F259" i="2"/>
  <c r="F258" i="2"/>
  <c r="F257" i="2"/>
  <c r="F256" i="2"/>
  <c r="F255" i="2"/>
  <c r="F254" i="2"/>
  <c r="F253" i="2"/>
  <c r="F252" i="2"/>
  <c r="F251" i="2"/>
  <c r="F250" i="2"/>
  <c r="F249" i="2"/>
  <c r="F248" i="2"/>
  <c r="F247" i="2"/>
  <c r="F246" i="2"/>
  <c r="F245" i="2"/>
  <c r="F244" i="2"/>
  <c r="F243" i="2"/>
  <c r="F242" i="2"/>
  <c r="F241" i="2"/>
  <c r="F240" i="2"/>
  <c r="F239" i="2"/>
  <c r="F238" i="2"/>
  <c r="F237" i="2"/>
  <c r="F236" i="2"/>
  <c r="F235" i="2"/>
  <c r="F234" i="2"/>
  <c r="F233" i="2"/>
  <c r="F232" i="2"/>
  <c r="F231" i="2"/>
  <c r="F230" i="2"/>
  <c r="F229" i="2"/>
  <c r="F228" i="2"/>
  <c r="F227" i="2"/>
  <c r="F226" i="2"/>
  <c r="F225" i="2"/>
  <c r="F224" i="2"/>
  <c r="F223" i="2"/>
  <c r="F222" i="2"/>
  <c r="F221" i="2"/>
  <c r="F220" i="2"/>
  <c r="F219" i="2"/>
  <c r="F218" i="2"/>
  <c r="F217" i="2"/>
  <c r="F216" i="2"/>
  <c r="F215" i="2"/>
  <c r="F214" i="2"/>
  <c r="F213" i="2"/>
  <c r="F212" i="2"/>
  <c r="F211" i="2"/>
  <c r="F210" i="2"/>
  <c r="F209" i="2"/>
  <c r="F208" i="2"/>
  <c r="F207" i="2"/>
  <c r="F206" i="2"/>
  <c r="F205" i="2"/>
  <c r="F204" i="2"/>
  <c r="F203" i="2"/>
  <c r="F202" i="2"/>
  <c r="F201" i="2"/>
  <c r="F200" i="2"/>
  <c r="F199" i="2"/>
  <c r="F198" i="2"/>
  <c r="F197" i="2"/>
  <c r="F196" i="2"/>
  <c r="F195" i="2"/>
  <c r="F194" i="2"/>
  <c r="F193" i="2"/>
  <c r="F192" i="2"/>
  <c r="F191" i="2"/>
  <c r="F190" i="2"/>
  <c r="F189" i="2"/>
  <c r="F188" i="2"/>
  <c r="F187" i="2"/>
  <c r="F186" i="2"/>
  <c r="F185" i="2"/>
  <c r="F184" i="2"/>
  <c r="F183" i="2"/>
  <c r="F182" i="2"/>
  <c r="F181" i="2"/>
  <c r="F180" i="2"/>
  <c r="F179" i="2"/>
  <c r="F178" i="2"/>
  <c r="F177" i="2"/>
  <c r="F176" i="2"/>
  <c r="F175" i="2"/>
  <c r="F174" i="2"/>
  <c r="F173" i="2"/>
  <c r="F172" i="2"/>
  <c r="F171" i="2"/>
  <c r="F170" i="2"/>
  <c r="F169" i="2"/>
  <c r="F168" i="2"/>
  <c r="F167" i="2"/>
  <c r="F166" i="2"/>
  <c r="F165" i="2"/>
  <c r="F164" i="2"/>
  <c r="F163" i="2"/>
  <c r="F162" i="2"/>
  <c r="F161" i="2"/>
  <c r="F160" i="2"/>
  <c r="F159" i="2"/>
  <c r="F158" i="2"/>
  <c r="F157" i="2"/>
  <c r="F156" i="2"/>
  <c r="F155" i="2"/>
  <c r="F154" i="2"/>
  <c r="F153" i="2"/>
  <c r="F152" i="2"/>
  <c r="F151" i="2"/>
  <c r="F150" i="2"/>
  <c r="F149" i="2"/>
  <c r="F148" i="2"/>
  <c r="F147" i="2"/>
  <c r="F146" i="2"/>
  <c r="F145" i="2"/>
  <c r="F144" i="2"/>
  <c r="F143" i="2"/>
  <c r="F142" i="2"/>
  <c r="F141" i="2"/>
  <c r="F140" i="2"/>
  <c r="F139" i="2"/>
  <c r="F138" i="2"/>
  <c r="F137" i="2"/>
  <c r="F136" i="2"/>
  <c r="F135" i="2"/>
  <c r="F134" i="2"/>
  <c r="F133" i="2"/>
  <c r="F132" i="2"/>
  <c r="F131" i="2"/>
  <c r="F130" i="2"/>
  <c r="F129" i="2"/>
  <c r="F128" i="2"/>
  <c r="F127" i="2"/>
  <c r="F126" i="2"/>
  <c r="F125" i="2"/>
  <c r="F124" i="2"/>
  <c r="F123" i="2"/>
  <c r="F122" i="2"/>
  <c r="F121" i="2"/>
  <c r="F120" i="2"/>
  <c r="F119" i="2"/>
  <c r="F118" i="2"/>
  <c r="F117" i="2"/>
  <c r="F116" i="2"/>
  <c r="F115" i="2"/>
  <c r="F114" i="2"/>
  <c r="F113" i="2"/>
  <c r="F112" i="2"/>
  <c r="F111" i="2"/>
  <c r="F110" i="2"/>
  <c r="F109" i="2"/>
  <c r="F108" i="2"/>
  <c r="F107" i="2"/>
  <c r="F106" i="2"/>
  <c r="F105" i="2"/>
  <c r="F104" i="2"/>
  <c r="F103" i="2"/>
  <c r="F102" i="2"/>
  <c r="F101" i="2"/>
  <c r="F100" i="2"/>
  <c r="F99" i="2"/>
  <c r="F98" i="2"/>
  <c r="F97" i="2"/>
  <c r="F96" i="2"/>
  <c r="F95" i="2"/>
  <c r="F94" i="2"/>
  <c r="F93" i="2"/>
  <c r="F92" i="2"/>
  <c r="F91" i="2"/>
  <c r="F90" i="2"/>
  <c r="F89" i="2"/>
  <c r="F88" i="2"/>
  <c r="F87" i="2"/>
  <c r="F86" i="2"/>
  <c r="F85" i="2"/>
  <c r="F84" i="2"/>
  <c r="F83" i="2"/>
  <c r="F82" i="2"/>
  <c r="F81" i="2"/>
  <c r="F80" i="2"/>
  <c r="F79" i="2"/>
  <c r="F78" i="2"/>
  <c r="F77" i="2"/>
  <c r="F76" i="2"/>
  <c r="F75" i="2"/>
  <c r="F74" i="2"/>
  <c r="F73" i="2"/>
  <c r="F72" i="2"/>
  <c r="F71" i="2"/>
  <c r="F70" i="2"/>
  <c r="F69" i="2"/>
  <c r="F68" i="2"/>
  <c r="F67" i="2"/>
  <c r="F66" i="2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B3" i="2"/>
  <c r="B4" i="2"/>
  <c r="H4" i="2" s="1"/>
  <c r="B5" i="2"/>
  <c r="B6" i="2"/>
  <c r="B7" i="2"/>
  <c r="B8" i="2"/>
  <c r="H8" i="2" s="1"/>
  <c r="B9" i="2"/>
  <c r="B10" i="2"/>
  <c r="B11" i="2"/>
  <c r="B12" i="2"/>
  <c r="H12" i="2" s="1"/>
  <c r="B13" i="2"/>
  <c r="B14" i="2"/>
  <c r="B15" i="2"/>
  <c r="B16" i="2"/>
  <c r="H16" i="2" s="1"/>
  <c r="B17" i="2"/>
  <c r="B18" i="2"/>
  <c r="B19" i="2"/>
  <c r="B20" i="2"/>
  <c r="H20" i="2" s="1"/>
  <c r="B21" i="2"/>
  <c r="B22" i="2"/>
  <c r="B23" i="2"/>
  <c r="B24" i="2"/>
  <c r="H24" i="2" s="1"/>
  <c r="B25" i="2"/>
  <c r="B26" i="2"/>
  <c r="B27" i="2"/>
  <c r="B28" i="2"/>
  <c r="H28" i="2" s="1"/>
  <c r="B29" i="2"/>
  <c r="B30" i="2"/>
  <c r="B31" i="2"/>
  <c r="B32" i="2"/>
  <c r="H32" i="2" s="1"/>
  <c r="B33" i="2"/>
  <c r="B34" i="2"/>
  <c r="B35" i="2"/>
  <c r="B36" i="2"/>
  <c r="H36" i="2" s="1"/>
  <c r="B37" i="2"/>
  <c r="B38" i="2"/>
  <c r="B39" i="2"/>
  <c r="B40" i="2"/>
  <c r="H40" i="2" s="1"/>
  <c r="B41" i="2"/>
  <c r="B42" i="2"/>
  <c r="B43" i="2"/>
  <c r="B44" i="2"/>
  <c r="H44" i="2" s="1"/>
  <c r="B45" i="2"/>
  <c r="B46" i="2"/>
  <c r="B47" i="2"/>
  <c r="B48" i="2"/>
  <c r="H48" i="2" s="1"/>
  <c r="B49" i="2"/>
  <c r="B50" i="2"/>
  <c r="B51" i="2"/>
  <c r="B52" i="2"/>
  <c r="H52" i="2" s="1"/>
  <c r="B53" i="2"/>
  <c r="B54" i="2"/>
  <c r="B55" i="2"/>
  <c r="B56" i="2"/>
  <c r="H56" i="2" s="1"/>
  <c r="B57" i="2"/>
  <c r="B58" i="2"/>
  <c r="B59" i="2"/>
  <c r="B60" i="2"/>
  <c r="H60" i="2" s="1"/>
  <c r="B61" i="2"/>
  <c r="B62" i="2"/>
  <c r="B63" i="2"/>
  <c r="B64" i="2"/>
  <c r="H64" i="2" s="1"/>
  <c r="B65" i="2"/>
  <c r="B66" i="2"/>
  <c r="B67" i="2"/>
  <c r="B68" i="2"/>
  <c r="H68" i="2" s="1"/>
  <c r="B69" i="2"/>
  <c r="B70" i="2"/>
  <c r="B71" i="2"/>
  <c r="B72" i="2"/>
  <c r="H72" i="2" s="1"/>
  <c r="B73" i="2"/>
  <c r="B74" i="2"/>
  <c r="B75" i="2"/>
  <c r="B76" i="2"/>
  <c r="H76" i="2" s="1"/>
  <c r="B77" i="2"/>
  <c r="B78" i="2"/>
  <c r="B79" i="2"/>
  <c r="B80" i="2"/>
  <c r="H80" i="2" s="1"/>
  <c r="B81" i="2"/>
  <c r="B82" i="2"/>
  <c r="B83" i="2"/>
  <c r="B84" i="2"/>
  <c r="H84" i="2" s="1"/>
  <c r="B85" i="2"/>
  <c r="B86" i="2"/>
  <c r="B87" i="2"/>
  <c r="B88" i="2"/>
  <c r="H88" i="2" s="1"/>
  <c r="B89" i="2"/>
  <c r="B90" i="2"/>
  <c r="B91" i="2"/>
  <c r="B92" i="2"/>
  <c r="H92" i="2" s="1"/>
  <c r="B93" i="2"/>
  <c r="B94" i="2"/>
  <c r="B95" i="2"/>
  <c r="B96" i="2"/>
  <c r="H96" i="2" s="1"/>
  <c r="B97" i="2"/>
  <c r="B98" i="2"/>
  <c r="B99" i="2"/>
  <c r="B100" i="2"/>
  <c r="H100" i="2" s="1"/>
  <c r="B101" i="2"/>
  <c r="B102" i="2"/>
  <c r="B103" i="2"/>
  <c r="B104" i="2"/>
  <c r="H104" i="2" s="1"/>
  <c r="B105" i="2"/>
  <c r="B106" i="2"/>
  <c r="B107" i="2"/>
  <c r="B108" i="2"/>
  <c r="H108" i="2" s="1"/>
  <c r="B109" i="2"/>
  <c r="B110" i="2"/>
  <c r="B111" i="2"/>
  <c r="B112" i="2"/>
  <c r="H112" i="2" s="1"/>
  <c r="B113" i="2"/>
  <c r="B114" i="2"/>
  <c r="B115" i="2"/>
  <c r="B116" i="2"/>
  <c r="H116" i="2" s="1"/>
  <c r="B117" i="2"/>
  <c r="B118" i="2"/>
  <c r="B119" i="2"/>
  <c r="H119" i="2" s="1"/>
  <c r="B120" i="2"/>
  <c r="H120" i="2" s="1"/>
  <c r="B121" i="2"/>
  <c r="B122" i="2"/>
  <c r="B123" i="2"/>
  <c r="H123" i="2" s="1"/>
  <c r="B124" i="2"/>
  <c r="H124" i="2" s="1"/>
  <c r="B125" i="2"/>
  <c r="B126" i="2"/>
  <c r="B127" i="2"/>
  <c r="H127" i="2" s="1"/>
  <c r="B128" i="2"/>
  <c r="H128" i="2" s="1"/>
  <c r="B129" i="2"/>
  <c r="B130" i="2"/>
  <c r="B131" i="2"/>
  <c r="H131" i="2" s="1"/>
  <c r="B132" i="2"/>
  <c r="H132" i="2" s="1"/>
  <c r="B133" i="2"/>
  <c r="B134" i="2"/>
  <c r="B135" i="2"/>
  <c r="H135" i="2" s="1"/>
  <c r="B136" i="2"/>
  <c r="H136" i="2" s="1"/>
  <c r="B137" i="2"/>
  <c r="B138" i="2"/>
  <c r="B139" i="2"/>
  <c r="H139" i="2" s="1"/>
  <c r="B140" i="2"/>
  <c r="H140" i="2" s="1"/>
  <c r="B141" i="2"/>
  <c r="B142" i="2"/>
  <c r="B143" i="2"/>
  <c r="H143" i="2" s="1"/>
  <c r="B144" i="2"/>
  <c r="H144" i="2" s="1"/>
  <c r="B145" i="2"/>
  <c r="B146" i="2"/>
  <c r="B147" i="2"/>
  <c r="H147" i="2" s="1"/>
  <c r="B148" i="2"/>
  <c r="H148" i="2" s="1"/>
  <c r="B149" i="2"/>
  <c r="B150" i="2"/>
  <c r="B151" i="2"/>
  <c r="H151" i="2" s="1"/>
  <c r="B152" i="2"/>
  <c r="H152" i="2" s="1"/>
  <c r="B153" i="2"/>
  <c r="B154" i="2"/>
  <c r="B155" i="2"/>
  <c r="H155" i="2" s="1"/>
  <c r="B156" i="2"/>
  <c r="H156" i="2" s="1"/>
  <c r="B157" i="2"/>
  <c r="B158" i="2"/>
  <c r="B159" i="2"/>
  <c r="H159" i="2" s="1"/>
  <c r="B160" i="2"/>
  <c r="H160" i="2" s="1"/>
  <c r="B161" i="2"/>
  <c r="B162" i="2"/>
  <c r="B163" i="2"/>
  <c r="H163" i="2" s="1"/>
  <c r="B164" i="2"/>
  <c r="H164" i="2" s="1"/>
  <c r="B165" i="2"/>
  <c r="B166" i="2"/>
  <c r="B167" i="2"/>
  <c r="H167" i="2" s="1"/>
  <c r="B168" i="2"/>
  <c r="H168" i="2" s="1"/>
  <c r="B169" i="2"/>
  <c r="B170" i="2"/>
  <c r="B171" i="2"/>
  <c r="H171" i="2" s="1"/>
  <c r="B172" i="2"/>
  <c r="H172" i="2" s="1"/>
  <c r="B173" i="2"/>
  <c r="B174" i="2"/>
  <c r="B175" i="2"/>
  <c r="H175" i="2" s="1"/>
  <c r="B176" i="2"/>
  <c r="H176" i="2" s="1"/>
  <c r="B177" i="2"/>
  <c r="B178" i="2"/>
  <c r="B179" i="2"/>
  <c r="H179" i="2" s="1"/>
  <c r="B180" i="2"/>
  <c r="H180" i="2" s="1"/>
  <c r="B181" i="2"/>
  <c r="B182" i="2"/>
  <c r="B183" i="2"/>
  <c r="H183" i="2" s="1"/>
  <c r="B184" i="2"/>
  <c r="H184" i="2" s="1"/>
  <c r="B185" i="2"/>
  <c r="B186" i="2"/>
  <c r="B187" i="2"/>
  <c r="H187" i="2" s="1"/>
  <c r="B188" i="2"/>
  <c r="H188" i="2" s="1"/>
  <c r="B189" i="2"/>
  <c r="B190" i="2"/>
  <c r="B191" i="2"/>
  <c r="H191" i="2" s="1"/>
  <c r="B192" i="2"/>
  <c r="H192" i="2" s="1"/>
  <c r="B193" i="2"/>
  <c r="B194" i="2"/>
  <c r="B195" i="2"/>
  <c r="H195" i="2" s="1"/>
  <c r="B196" i="2"/>
  <c r="H196" i="2" s="1"/>
  <c r="B197" i="2"/>
  <c r="B198" i="2"/>
  <c r="B199" i="2"/>
  <c r="H199" i="2" s="1"/>
  <c r="B200" i="2"/>
  <c r="H200" i="2" s="1"/>
  <c r="B201" i="2"/>
  <c r="B202" i="2"/>
  <c r="B203" i="2"/>
  <c r="H203" i="2" s="1"/>
  <c r="B204" i="2"/>
  <c r="H204" i="2" s="1"/>
  <c r="B205" i="2"/>
  <c r="B206" i="2"/>
  <c r="B207" i="2"/>
  <c r="H207" i="2" s="1"/>
  <c r="B208" i="2"/>
  <c r="H208" i="2" s="1"/>
  <c r="B209" i="2"/>
  <c r="B210" i="2"/>
  <c r="B211" i="2"/>
  <c r="H211" i="2" s="1"/>
  <c r="B212" i="2"/>
  <c r="H212" i="2" s="1"/>
  <c r="B213" i="2"/>
  <c r="B214" i="2"/>
  <c r="B215" i="2"/>
  <c r="H215" i="2" s="1"/>
  <c r="B216" i="2"/>
  <c r="H216" i="2" s="1"/>
  <c r="B217" i="2"/>
  <c r="B218" i="2"/>
  <c r="B219" i="2"/>
  <c r="H219" i="2" s="1"/>
  <c r="B220" i="2"/>
  <c r="H220" i="2" s="1"/>
  <c r="B221" i="2"/>
  <c r="B222" i="2"/>
  <c r="B223" i="2"/>
  <c r="H223" i="2" s="1"/>
  <c r="B224" i="2"/>
  <c r="H224" i="2" s="1"/>
  <c r="B225" i="2"/>
  <c r="B226" i="2"/>
  <c r="B227" i="2"/>
  <c r="H227" i="2" s="1"/>
  <c r="B228" i="2"/>
  <c r="H228" i="2" s="1"/>
  <c r="B229" i="2"/>
  <c r="B230" i="2"/>
  <c r="B231" i="2"/>
  <c r="H231" i="2" s="1"/>
  <c r="B232" i="2"/>
  <c r="H232" i="2" s="1"/>
  <c r="B233" i="2"/>
  <c r="B234" i="2"/>
  <c r="B235" i="2"/>
  <c r="H235" i="2" s="1"/>
  <c r="B236" i="2"/>
  <c r="H236" i="2" s="1"/>
  <c r="B237" i="2"/>
  <c r="B238" i="2"/>
  <c r="B239" i="2"/>
  <c r="H239" i="2" s="1"/>
  <c r="B240" i="2"/>
  <c r="H240" i="2" s="1"/>
  <c r="B241" i="2"/>
  <c r="B242" i="2"/>
  <c r="B243" i="2"/>
  <c r="H243" i="2" s="1"/>
  <c r="B244" i="2"/>
  <c r="H244" i="2" s="1"/>
  <c r="B245" i="2"/>
  <c r="B246" i="2"/>
  <c r="B247" i="2"/>
  <c r="H247" i="2" s="1"/>
  <c r="B248" i="2"/>
  <c r="H248" i="2" s="1"/>
  <c r="B249" i="2"/>
  <c r="B250" i="2"/>
  <c r="B251" i="2"/>
  <c r="H251" i="2" s="1"/>
  <c r="B252" i="2"/>
  <c r="H252" i="2" s="1"/>
  <c r="B253" i="2"/>
  <c r="B254" i="2"/>
  <c r="B255" i="2"/>
  <c r="H255" i="2" s="1"/>
  <c r="B256" i="2"/>
  <c r="H256" i="2" s="1"/>
  <c r="B257" i="2"/>
  <c r="B258" i="2"/>
  <c r="B259" i="2"/>
  <c r="H259" i="2" s="1"/>
  <c r="B260" i="2"/>
  <c r="H260" i="2" s="1"/>
  <c r="B261" i="2"/>
  <c r="B262" i="2"/>
  <c r="B263" i="2"/>
  <c r="H263" i="2" s="1"/>
  <c r="B264" i="2"/>
  <c r="H264" i="2" s="1"/>
  <c r="B265" i="2"/>
  <c r="B266" i="2"/>
  <c r="B267" i="2"/>
  <c r="H267" i="2" s="1"/>
  <c r="B268" i="2"/>
  <c r="H268" i="2" s="1"/>
  <c r="B269" i="2"/>
  <c r="B270" i="2"/>
  <c r="B271" i="2"/>
  <c r="H271" i="2" s="1"/>
  <c r="B272" i="2"/>
  <c r="H272" i="2" s="1"/>
  <c r="B273" i="2"/>
  <c r="B274" i="2"/>
  <c r="B275" i="2"/>
  <c r="H275" i="2" s="1"/>
  <c r="B276" i="2"/>
  <c r="H276" i="2" s="1"/>
  <c r="B277" i="2"/>
  <c r="B278" i="2"/>
  <c r="B279" i="2"/>
  <c r="H279" i="2" s="1"/>
  <c r="B280" i="2"/>
  <c r="H280" i="2" s="1"/>
  <c r="B281" i="2"/>
  <c r="B282" i="2"/>
  <c r="B283" i="2"/>
  <c r="H283" i="2" s="1"/>
  <c r="B284" i="2"/>
  <c r="H284" i="2" s="1"/>
  <c r="B285" i="2"/>
  <c r="B286" i="2"/>
  <c r="B287" i="2"/>
  <c r="H287" i="2" s="1"/>
  <c r="B288" i="2"/>
  <c r="H288" i="2" s="1"/>
  <c r="B289" i="2"/>
  <c r="B290" i="2"/>
  <c r="B291" i="2"/>
  <c r="H291" i="2" s="1"/>
  <c r="B292" i="2"/>
  <c r="H292" i="2" s="1"/>
  <c r="B293" i="2"/>
  <c r="B294" i="2"/>
  <c r="B295" i="2"/>
  <c r="H295" i="2" s="1"/>
  <c r="B296" i="2"/>
  <c r="H296" i="2" s="1"/>
  <c r="B297" i="2"/>
  <c r="B298" i="2"/>
  <c r="B299" i="2"/>
  <c r="H299" i="2" s="1"/>
  <c r="B300" i="2"/>
  <c r="H300" i="2" s="1"/>
  <c r="B301" i="2"/>
  <c r="B302" i="2"/>
  <c r="B303" i="2"/>
  <c r="H303" i="2" s="1"/>
  <c r="B304" i="2"/>
  <c r="H304" i="2" s="1"/>
  <c r="B305" i="2"/>
  <c r="B306" i="2"/>
  <c r="B307" i="2"/>
  <c r="H307" i="2" s="1"/>
  <c r="B308" i="2"/>
  <c r="H308" i="2" s="1"/>
  <c r="B309" i="2"/>
  <c r="B310" i="2"/>
  <c r="B311" i="2"/>
  <c r="H311" i="2" s="1"/>
  <c r="B312" i="2"/>
  <c r="H312" i="2" s="1"/>
  <c r="B313" i="2"/>
  <c r="B314" i="2"/>
  <c r="B315" i="2"/>
  <c r="H315" i="2" s="1"/>
  <c r="B316" i="2"/>
  <c r="H316" i="2" s="1"/>
  <c r="B317" i="2"/>
  <c r="B318" i="2"/>
  <c r="B319" i="2"/>
  <c r="H319" i="2" s="1"/>
  <c r="B320" i="2"/>
  <c r="H320" i="2" s="1"/>
  <c r="B321" i="2"/>
  <c r="B322" i="2"/>
  <c r="B323" i="2"/>
  <c r="H323" i="2" s="1"/>
  <c r="B324" i="2"/>
  <c r="H324" i="2" s="1"/>
  <c r="B325" i="2"/>
  <c r="B326" i="2"/>
  <c r="B327" i="2"/>
  <c r="H327" i="2" s="1"/>
  <c r="B328" i="2"/>
  <c r="H328" i="2" s="1"/>
  <c r="B329" i="2"/>
  <c r="B330" i="2"/>
  <c r="B331" i="2"/>
  <c r="H331" i="2" s="1"/>
  <c r="B332" i="2"/>
  <c r="H332" i="2" s="1"/>
  <c r="B333" i="2"/>
  <c r="B334" i="2"/>
  <c r="B335" i="2"/>
  <c r="H335" i="2" s="1"/>
  <c r="B336" i="2"/>
  <c r="H336" i="2" s="1"/>
  <c r="B337" i="2"/>
  <c r="B338" i="2"/>
  <c r="B339" i="2"/>
  <c r="H339" i="2" s="1"/>
  <c r="B340" i="2"/>
  <c r="H340" i="2" s="1"/>
  <c r="B341" i="2"/>
  <c r="B342" i="2"/>
  <c r="B343" i="2"/>
  <c r="H343" i="2" s="1"/>
  <c r="B344" i="2"/>
  <c r="H344" i="2" s="1"/>
  <c r="B345" i="2"/>
  <c r="B346" i="2"/>
  <c r="B347" i="2"/>
  <c r="H347" i="2" s="1"/>
  <c r="B348" i="2"/>
  <c r="H348" i="2" s="1"/>
  <c r="B349" i="2"/>
  <c r="B350" i="2"/>
  <c r="B351" i="2"/>
  <c r="H351" i="2" s="1"/>
  <c r="B352" i="2"/>
  <c r="H352" i="2" s="1"/>
  <c r="B353" i="2"/>
  <c r="B354" i="2"/>
  <c r="B355" i="2"/>
  <c r="H355" i="2" s="1"/>
  <c r="B356" i="2"/>
  <c r="H356" i="2" s="1"/>
  <c r="B357" i="2"/>
  <c r="B358" i="2"/>
  <c r="B359" i="2"/>
  <c r="H359" i="2" s="1"/>
  <c r="B360" i="2"/>
  <c r="H360" i="2" s="1"/>
  <c r="B361" i="2"/>
  <c r="B362" i="2"/>
  <c r="B363" i="2"/>
  <c r="H363" i="2" s="1"/>
  <c r="B364" i="2"/>
  <c r="H364" i="2" s="1"/>
  <c r="B365" i="2"/>
  <c r="B366" i="2"/>
  <c r="B367" i="2"/>
  <c r="H367" i="2" s="1"/>
  <c r="B368" i="2"/>
  <c r="H368" i="2" s="1"/>
  <c r="B369" i="2"/>
  <c r="B370" i="2"/>
  <c r="B371" i="2"/>
  <c r="H371" i="2" s="1"/>
  <c r="B372" i="2"/>
  <c r="H372" i="2" s="1"/>
  <c r="B373" i="2"/>
  <c r="B374" i="2"/>
  <c r="B375" i="2"/>
  <c r="H375" i="2" s="1"/>
  <c r="B376" i="2"/>
  <c r="H376" i="2" s="1"/>
  <c r="B377" i="2"/>
  <c r="B378" i="2"/>
  <c r="B379" i="2"/>
  <c r="H379" i="2" s="1"/>
  <c r="B380" i="2"/>
  <c r="H380" i="2" s="1"/>
  <c r="B381" i="2"/>
  <c r="B382" i="2"/>
  <c r="B383" i="2"/>
  <c r="H383" i="2" s="1"/>
  <c r="B384" i="2"/>
  <c r="H384" i="2" s="1"/>
  <c r="B385" i="2"/>
  <c r="B386" i="2"/>
  <c r="B387" i="2"/>
  <c r="H387" i="2" s="1"/>
  <c r="B388" i="2"/>
  <c r="H388" i="2" s="1"/>
  <c r="B389" i="2"/>
  <c r="B390" i="2"/>
  <c r="B391" i="2"/>
  <c r="H391" i="2" s="1"/>
  <c r="B392" i="2"/>
  <c r="H392" i="2" s="1"/>
  <c r="B393" i="2"/>
  <c r="B394" i="2"/>
  <c r="B395" i="2"/>
  <c r="H395" i="2" s="1"/>
  <c r="B396" i="2"/>
  <c r="H396" i="2" s="1"/>
  <c r="B397" i="2"/>
  <c r="B398" i="2"/>
  <c r="B399" i="2"/>
  <c r="H399" i="2" s="1"/>
  <c r="B400" i="2"/>
  <c r="H400" i="2" s="1"/>
  <c r="B401" i="2"/>
  <c r="B402" i="2"/>
  <c r="B403" i="2"/>
  <c r="H403" i="2" s="1"/>
  <c r="B404" i="2"/>
  <c r="H404" i="2" s="1"/>
  <c r="B405" i="2"/>
  <c r="B406" i="2"/>
  <c r="B407" i="2"/>
  <c r="H407" i="2" s="1"/>
  <c r="B408" i="2"/>
  <c r="H408" i="2" s="1"/>
  <c r="B409" i="2"/>
  <c r="B410" i="2"/>
  <c r="B411" i="2"/>
  <c r="H411" i="2" s="1"/>
  <c r="B412" i="2"/>
  <c r="H412" i="2" s="1"/>
  <c r="B413" i="2"/>
  <c r="B414" i="2"/>
  <c r="B415" i="2"/>
  <c r="H415" i="2" s="1"/>
  <c r="B416" i="2"/>
  <c r="H416" i="2" s="1"/>
  <c r="B417" i="2"/>
  <c r="B418" i="2"/>
  <c r="B419" i="2"/>
  <c r="H419" i="2" s="1"/>
  <c r="B420" i="2"/>
  <c r="H420" i="2" s="1"/>
  <c r="B421" i="2"/>
  <c r="B422" i="2"/>
  <c r="B423" i="2"/>
  <c r="H423" i="2" s="1"/>
  <c r="B424" i="2"/>
  <c r="H424" i="2" s="1"/>
  <c r="B425" i="2"/>
  <c r="B426" i="2"/>
  <c r="B427" i="2"/>
  <c r="H427" i="2" s="1"/>
  <c r="B428" i="2"/>
  <c r="H428" i="2" s="1"/>
  <c r="B429" i="2"/>
  <c r="B430" i="2"/>
  <c r="B431" i="2"/>
  <c r="H431" i="2" s="1"/>
  <c r="B432" i="2"/>
  <c r="H432" i="2" s="1"/>
  <c r="B433" i="2"/>
  <c r="B434" i="2"/>
  <c r="B435" i="2"/>
  <c r="H435" i="2" s="1"/>
  <c r="B436" i="2"/>
  <c r="H436" i="2" s="1"/>
  <c r="B437" i="2"/>
  <c r="B438" i="2"/>
  <c r="B439" i="2"/>
  <c r="H439" i="2" s="1"/>
  <c r="B440" i="2"/>
  <c r="H440" i="2" s="1"/>
  <c r="B441" i="2"/>
  <c r="B442" i="2"/>
  <c r="B443" i="2"/>
  <c r="H443" i="2" s="1"/>
  <c r="B444" i="2"/>
  <c r="H444" i="2" s="1"/>
  <c r="B445" i="2"/>
  <c r="B446" i="2"/>
  <c r="B447" i="2"/>
  <c r="H447" i="2" s="1"/>
  <c r="B448" i="2"/>
  <c r="H448" i="2" s="1"/>
  <c r="B449" i="2"/>
  <c r="B450" i="2"/>
  <c r="B451" i="2"/>
  <c r="H451" i="2" s="1"/>
  <c r="B452" i="2"/>
  <c r="H452" i="2" s="1"/>
  <c r="B453" i="2"/>
  <c r="B454" i="2"/>
  <c r="B455" i="2"/>
  <c r="H455" i="2" s="1"/>
  <c r="B456" i="2"/>
  <c r="H456" i="2" s="1"/>
  <c r="B457" i="2"/>
  <c r="B458" i="2"/>
  <c r="B459" i="2"/>
  <c r="H459" i="2" s="1"/>
  <c r="B460" i="2"/>
  <c r="H460" i="2" s="1"/>
  <c r="B461" i="2"/>
  <c r="B462" i="2"/>
  <c r="B463" i="2"/>
  <c r="H463" i="2" s="1"/>
  <c r="B464" i="2"/>
  <c r="H464" i="2" s="1"/>
  <c r="B465" i="2"/>
  <c r="B466" i="2"/>
  <c r="B467" i="2"/>
  <c r="H467" i="2" s="1"/>
  <c r="B468" i="2"/>
  <c r="H468" i="2" s="1"/>
  <c r="B469" i="2"/>
  <c r="B470" i="2"/>
  <c r="B471" i="2"/>
  <c r="H471" i="2" s="1"/>
  <c r="B472" i="2"/>
  <c r="H472" i="2" s="1"/>
  <c r="B473" i="2"/>
  <c r="B474" i="2"/>
  <c r="B475" i="2"/>
  <c r="H475" i="2" s="1"/>
  <c r="B476" i="2"/>
  <c r="H476" i="2" s="1"/>
  <c r="B477" i="2"/>
  <c r="B478" i="2"/>
  <c r="B479" i="2"/>
  <c r="H479" i="2" s="1"/>
  <c r="B480" i="2"/>
  <c r="H480" i="2" s="1"/>
  <c r="B481" i="2"/>
  <c r="B482" i="2"/>
  <c r="B483" i="2"/>
  <c r="H483" i="2" s="1"/>
  <c r="B484" i="2"/>
  <c r="H484" i="2" s="1"/>
  <c r="B485" i="2"/>
  <c r="B486" i="2"/>
  <c r="B487" i="2"/>
  <c r="H487" i="2" s="1"/>
  <c r="B488" i="2"/>
  <c r="H488" i="2" s="1"/>
  <c r="B489" i="2"/>
  <c r="B490" i="2"/>
  <c r="B491" i="2"/>
  <c r="H491" i="2" s="1"/>
  <c r="B492" i="2"/>
  <c r="H492" i="2" s="1"/>
  <c r="B493" i="2"/>
  <c r="B494" i="2"/>
  <c r="B495" i="2"/>
  <c r="H495" i="2" s="1"/>
  <c r="B496" i="2"/>
  <c r="H496" i="2" s="1"/>
  <c r="B497" i="2"/>
  <c r="B498" i="2"/>
  <c r="B499" i="2"/>
  <c r="H499" i="2" s="1"/>
  <c r="B500" i="2"/>
  <c r="H500" i="2" s="1"/>
  <c r="B501" i="2"/>
  <c r="B502" i="2"/>
  <c r="B503" i="2"/>
  <c r="H503" i="2" s="1"/>
  <c r="B504" i="2"/>
  <c r="H504" i="2" s="1"/>
  <c r="B505" i="2"/>
  <c r="B506" i="2"/>
  <c r="B507" i="2"/>
  <c r="H507" i="2" s="1"/>
  <c r="B508" i="2"/>
  <c r="H508" i="2" s="1"/>
  <c r="B509" i="2"/>
  <c r="B510" i="2"/>
  <c r="B511" i="2"/>
  <c r="H511" i="2" s="1"/>
  <c r="B512" i="2"/>
  <c r="H512" i="2" s="1"/>
  <c r="B513" i="2"/>
  <c r="B514" i="2"/>
  <c r="B515" i="2"/>
  <c r="H515" i="2" s="1"/>
  <c r="B516" i="2"/>
  <c r="H516" i="2" s="1"/>
  <c r="B517" i="2"/>
  <c r="B518" i="2"/>
  <c r="B519" i="2"/>
  <c r="H519" i="2" s="1"/>
  <c r="B520" i="2"/>
  <c r="H520" i="2" s="1"/>
  <c r="B521" i="2"/>
  <c r="B522" i="2"/>
  <c r="B523" i="2"/>
  <c r="H523" i="2" s="1"/>
  <c r="B524" i="2"/>
  <c r="H524" i="2" s="1"/>
  <c r="B525" i="2"/>
  <c r="B526" i="2"/>
  <c r="B527" i="2"/>
  <c r="H527" i="2" s="1"/>
  <c r="B528" i="2"/>
  <c r="H528" i="2" s="1"/>
  <c r="B529" i="2"/>
  <c r="B530" i="2"/>
  <c r="B531" i="2"/>
  <c r="H531" i="2" s="1"/>
  <c r="B532" i="2"/>
  <c r="H532" i="2" s="1"/>
  <c r="B533" i="2"/>
  <c r="B534" i="2"/>
  <c r="B535" i="2"/>
  <c r="H535" i="2" s="1"/>
  <c r="B536" i="2"/>
  <c r="H536" i="2" s="1"/>
  <c r="B537" i="2"/>
  <c r="B538" i="2"/>
  <c r="B539" i="2"/>
  <c r="H539" i="2" s="1"/>
  <c r="B540" i="2"/>
  <c r="H540" i="2" s="1"/>
  <c r="B541" i="2"/>
  <c r="B542" i="2"/>
  <c r="B543" i="2"/>
  <c r="H543" i="2" s="1"/>
  <c r="B544" i="2"/>
  <c r="H544" i="2" s="1"/>
  <c r="B545" i="2"/>
  <c r="B546" i="2"/>
  <c r="B547" i="2"/>
  <c r="H547" i="2" s="1"/>
  <c r="B548" i="2"/>
  <c r="H548" i="2" s="1"/>
  <c r="B549" i="2"/>
  <c r="B550" i="2"/>
  <c r="B551" i="2"/>
  <c r="H551" i="2" s="1"/>
  <c r="B552" i="2"/>
  <c r="H552" i="2" s="1"/>
  <c r="B553" i="2"/>
  <c r="B554" i="2"/>
  <c r="B555" i="2"/>
  <c r="H555" i="2" s="1"/>
  <c r="B556" i="2"/>
  <c r="H556" i="2" s="1"/>
  <c r="B557" i="2"/>
  <c r="B558" i="2"/>
  <c r="B559" i="2"/>
  <c r="H559" i="2" s="1"/>
  <c r="B560" i="2"/>
  <c r="H560" i="2" s="1"/>
  <c r="B561" i="2"/>
  <c r="B562" i="2"/>
  <c r="B563" i="2"/>
  <c r="H563" i="2" s="1"/>
  <c r="B564" i="2"/>
  <c r="H564" i="2" s="1"/>
  <c r="B565" i="2"/>
  <c r="B566" i="2"/>
  <c r="B567" i="2"/>
  <c r="H567" i="2" s="1"/>
  <c r="B568" i="2"/>
  <c r="H568" i="2" s="1"/>
  <c r="B569" i="2"/>
  <c r="B570" i="2"/>
  <c r="B571" i="2"/>
  <c r="H571" i="2" s="1"/>
  <c r="B572" i="2"/>
  <c r="H572" i="2" s="1"/>
  <c r="B573" i="2"/>
  <c r="B574" i="2"/>
  <c r="B575" i="2"/>
  <c r="H575" i="2" s="1"/>
  <c r="B576" i="2"/>
  <c r="H576" i="2" s="1"/>
  <c r="B577" i="2"/>
  <c r="B578" i="2"/>
  <c r="B579" i="2"/>
  <c r="H579" i="2" s="1"/>
  <c r="B580" i="2"/>
  <c r="H580" i="2" s="1"/>
  <c r="B581" i="2"/>
  <c r="B582" i="2"/>
  <c r="B583" i="2"/>
  <c r="H583" i="2" s="1"/>
  <c r="B584" i="2"/>
  <c r="H584" i="2" s="1"/>
  <c r="B585" i="2"/>
  <c r="B586" i="2"/>
  <c r="B587" i="2"/>
  <c r="H587" i="2" s="1"/>
  <c r="B588" i="2"/>
  <c r="H588" i="2" s="1"/>
  <c r="B589" i="2"/>
  <c r="B590" i="2"/>
  <c r="B591" i="2"/>
  <c r="H591" i="2" s="1"/>
  <c r="B592" i="2"/>
  <c r="H592" i="2" s="1"/>
  <c r="B593" i="2"/>
  <c r="B594" i="2"/>
  <c r="B595" i="2"/>
  <c r="H595" i="2" s="1"/>
  <c r="B596" i="2"/>
  <c r="H596" i="2" s="1"/>
  <c r="B597" i="2"/>
  <c r="B598" i="2"/>
  <c r="B599" i="2"/>
  <c r="H599" i="2" s="1"/>
  <c r="B600" i="2"/>
  <c r="H600" i="2" s="1"/>
  <c r="B601" i="2"/>
  <c r="B602" i="2"/>
  <c r="B603" i="2"/>
  <c r="H603" i="2" s="1"/>
  <c r="B604" i="2"/>
  <c r="H604" i="2" s="1"/>
  <c r="B605" i="2"/>
  <c r="B606" i="2"/>
  <c r="B607" i="2"/>
  <c r="H607" i="2" s="1"/>
  <c r="B608" i="2"/>
  <c r="H608" i="2" s="1"/>
  <c r="B609" i="2"/>
  <c r="B610" i="2"/>
  <c r="B611" i="2"/>
  <c r="H611" i="2" s="1"/>
  <c r="B612" i="2"/>
  <c r="H612" i="2" s="1"/>
  <c r="B613" i="2"/>
  <c r="B614" i="2"/>
  <c r="B615" i="2"/>
  <c r="H615" i="2" s="1"/>
  <c r="B616" i="2"/>
  <c r="H616" i="2" s="1"/>
  <c r="B617" i="2"/>
  <c r="B618" i="2"/>
  <c r="B619" i="2"/>
  <c r="H619" i="2" s="1"/>
  <c r="B620" i="2"/>
  <c r="H620" i="2" s="1"/>
  <c r="B621" i="2"/>
  <c r="B622" i="2"/>
  <c r="B623" i="2"/>
  <c r="H623" i="2" s="1"/>
  <c r="B624" i="2"/>
  <c r="H624" i="2" s="1"/>
  <c r="B625" i="2"/>
  <c r="B626" i="2"/>
  <c r="B627" i="2"/>
  <c r="H627" i="2" s="1"/>
  <c r="B628" i="2"/>
  <c r="H628" i="2" s="1"/>
  <c r="B629" i="2"/>
  <c r="B630" i="2"/>
  <c r="B631" i="2"/>
  <c r="H631" i="2" s="1"/>
  <c r="B632" i="2"/>
  <c r="H632" i="2" s="1"/>
  <c r="B633" i="2"/>
  <c r="B634" i="2"/>
  <c r="B635" i="2"/>
  <c r="H635" i="2" s="1"/>
  <c r="B636" i="2"/>
  <c r="H636" i="2" s="1"/>
  <c r="B637" i="2"/>
  <c r="B638" i="2"/>
  <c r="B639" i="2"/>
  <c r="H639" i="2" s="1"/>
  <c r="B640" i="2"/>
  <c r="H640" i="2" s="1"/>
  <c r="B641" i="2"/>
  <c r="B642" i="2"/>
  <c r="B643" i="2"/>
  <c r="H643" i="2" s="1"/>
  <c r="B644" i="2"/>
  <c r="H644" i="2" s="1"/>
  <c r="B645" i="2"/>
  <c r="B646" i="2"/>
  <c r="B647" i="2"/>
  <c r="H647" i="2" s="1"/>
  <c r="B648" i="2"/>
  <c r="H648" i="2" s="1"/>
  <c r="B649" i="2"/>
  <c r="B650" i="2"/>
  <c r="B651" i="2"/>
  <c r="H651" i="2" s="1"/>
  <c r="B652" i="2"/>
  <c r="H652" i="2" s="1"/>
  <c r="B653" i="2"/>
  <c r="B654" i="2"/>
  <c r="B655" i="2"/>
  <c r="H655" i="2" s="1"/>
  <c r="B656" i="2"/>
  <c r="H656" i="2" s="1"/>
  <c r="B657" i="2"/>
  <c r="B658" i="2"/>
  <c r="B659" i="2"/>
  <c r="H659" i="2" s="1"/>
  <c r="B660" i="2"/>
  <c r="H660" i="2" s="1"/>
  <c r="B661" i="2"/>
  <c r="B662" i="2"/>
  <c r="B663" i="2"/>
  <c r="H663" i="2" s="1"/>
  <c r="B664" i="2"/>
  <c r="H664" i="2" s="1"/>
  <c r="B665" i="2"/>
  <c r="B666" i="2"/>
  <c r="B667" i="2"/>
  <c r="H667" i="2" s="1"/>
  <c r="B668" i="2"/>
  <c r="H668" i="2" s="1"/>
  <c r="B669" i="2"/>
  <c r="B670" i="2"/>
  <c r="B671" i="2"/>
  <c r="H671" i="2" s="1"/>
  <c r="B672" i="2"/>
  <c r="H672" i="2" s="1"/>
  <c r="B673" i="2"/>
  <c r="B674" i="2"/>
  <c r="B675" i="2"/>
  <c r="H675" i="2" s="1"/>
  <c r="B676" i="2"/>
  <c r="H676" i="2" s="1"/>
  <c r="B677" i="2"/>
  <c r="B678" i="2"/>
  <c r="B679" i="2"/>
  <c r="H679" i="2" s="1"/>
  <c r="B680" i="2"/>
  <c r="H680" i="2" s="1"/>
  <c r="B681" i="2"/>
  <c r="B682" i="2"/>
  <c r="B683" i="2"/>
  <c r="H683" i="2" s="1"/>
  <c r="B684" i="2"/>
  <c r="H684" i="2" s="1"/>
  <c r="B685" i="2"/>
  <c r="B686" i="2"/>
  <c r="B687" i="2"/>
  <c r="H687" i="2" s="1"/>
  <c r="B688" i="2"/>
  <c r="H688" i="2" s="1"/>
  <c r="B689" i="2"/>
  <c r="B690" i="2"/>
  <c r="B691" i="2"/>
  <c r="H691" i="2" s="1"/>
  <c r="B692" i="2"/>
  <c r="H692" i="2" s="1"/>
  <c r="B693" i="2"/>
  <c r="B694" i="2"/>
  <c r="B695" i="2"/>
  <c r="H695" i="2" s="1"/>
  <c r="B696" i="2"/>
  <c r="H696" i="2" s="1"/>
  <c r="B697" i="2"/>
  <c r="B698" i="2"/>
  <c r="B699" i="2"/>
  <c r="H699" i="2" s="1"/>
  <c r="B700" i="2"/>
  <c r="H700" i="2" s="1"/>
  <c r="B701" i="2"/>
  <c r="B702" i="2"/>
  <c r="B703" i="2"/>
  <c r="H703" i="2" s="1"/>
  <c r="B704" i="2"/>
  <c r="H704" i="2" s="1"/>
  <c r="B705" i="2"/>
  <c r="B706" i="2"/>
  <c r="B707" i="2"/>
  <c r="H707" i="2" s="1"/>
  <c r="B708" i="2"/>
  <c r="H708" i="2" s="1"/>
  <c r="B709" i="2"/>
  <c r="B710" i="2"/>
  <c r="B711" i="2"/>
  <c r="H711" i="2" s="1"/>
  <c r="B712" i="2"/>
  <c r="H712" i="2" s="1"/>
  <c r="B713" i="2"/>
  <c r="B714" i="2"/>
  <c r="B715" i="2"/>
  <c r="H715" i="2" s="1"/>
  <c r="B716" i="2"/>
  <c r="H716" i="2" s="1"/>
  <c r="B717" i="2"/>
  <c r="B718" i="2"/>
  <c r="B719" i="2"/>
  <c r="H719" i="2" s="1"/>
  <c r="B720" i="2"/>
  <c r="H720" i="2" s="1"/>
  <c r="B721" i="2"/>
  <c r="B722" i="2"/>
  <c r="B723" i="2"/>
  <c r="H723" i="2" s="1"/>
  <c r="B724" i="2"/>
  <c r="H724" i="2" s="1"/>
  <c r="B725" i="2"/>
  <c r="B726" i="2"/>
  <c r="B727" i="2"/>
  <c r="H727" i="2" s="1"/>
  <c r="B728" i="2"/>
  <c r="H728" i="2" s="1"/>
  <c r="B729" i="2"/>
  <c r="B730" i="2"/>
  <c r="B731" i="2"/>
  <c r="H731" i="2" s="1"/>
  <c r="B732" i="2"/>
  <c r="H732" i="2" s="1"/>
  <c r="B733" i="2"/>
  <c r="B734" i="2"/>
  <c r="B735" i="2"/>
  <c r="H735" i="2" s="1"/>
  <c r="B736" i="2"/>
  <c r="H736" i="2" s="1"/>
  <c r="B737" i="2"/>
  <c r="B738" i="2"/>
  <c r="B739" i="2"/>
  <c r="H739" i="2" s="1"/>
  <c r="B740" i="2"/>
  <c r="H740" i="2" s="1"/>
  <c r="B741" i="2"/>
  <c r="B742" i="2"/>
  <c r="B743" i="2"/>
  <c r="H743" i="2" s="1"/>
  <c r="B744" i="2"/>
  <c r="H744" i="2" s="1"/>
  <c r="B745" i="2"/>
  <c r="B746" i="2"/>
  <c r="B747" i="2"/>
  <c r="H747" i="2" s="1"/>
  <c r="B748" i="2"/>
  <c r="H748" i="2" s="1"/>
  <c r="B749" i="2"/>
  <c r="B750" i="2"/>
  <c r="B751" i="2"/>
  <c r="H751" i="2" s="1"/>
  <c r="B752" i="2"/>
  <c r="H752" i="2" s="1"/>
  <c r="B753" i="2"/>
  <c r="B754" i="2"/>
  <c r="B755" i="2"/>
  <c r="H755" i="2" s="1"/>
  <c r="B756" i="2"/>
  <c r="H756" i="2" s="1"/>
  <c r="B757" i="2"/>
  <c r="B758" i="2"/>
  <c r="B759" i="2"/>
  <c r="H759" i="2" s="1"/>
  <c r="B760" i="2"/>
  <c r="H760" i="2" s="1"/>
  <c r="B761" i="2"/>
  <c r="B762" i="2"/>
  <c r="B763" i="2"/>
  <c r="H763" i="2" s="1"/>
  <c r="B764" i="2"/>
  <c r="H764" i="2" s="1"/>
  <c r="B765" i="2"/>
  <c r="B766" i="2"/>
  <c r="B767" i="2"/>
  <c r="H767" i="2" s="1"/>
  <c r="B768" i="2"/>
  <c r="H768" i="2" s="1"/>
  <c r="B769" i="2"/>
  <c r="B770" i="2"/>
  <c r="B771" i="2"/>
  <c r="H771" i="2" s="1"/>
  <c r="B772" i="2"/>
  <c r="H772" i="2" s="1"/>
  <c r="B773" i="2"/>
  <c r="B774" i="2"/>
  <c r="B775" i="2"/>
  <c r="H775" i="2" s="1"/>
  <c r="B776" i="2"/>
  <c r="H776" i="2" s="1"/>
  <c r="B777" i="2"/>
  <c r="B778" i="2"/>
  <c r="B779" i="2"/>
  <c r="H779" i="2" s="1"/>
  <c r="B780" i="2"/>
  <c r="H780" i="2" s="1"/>
  <c r="B781" i="2"/>
  <c r="B782" i="2"/>
  <c r="B783" i="2"/>
  <c r="H783" i="2" s="1"/>
  <c r="B784" i="2"/>
  <c r="H784" i="2" s="1"/>
  <c r="B785" i="2"/>
  <c r="B786" i="2"/>
  <c r="B787" i="2"/>
  <c r="H787" i="2" s="1"/>
  <c r="B788" i="2"/>
  <c r="H788" i="2" s="1"/>
  <c r="B789" i="2"/>
  <c r="B790" i="2"/>
  <c r="B791" i="2"/>
  <c r="H791" i="2" s="1"/>
  <c r="B792" i="2"/>
  <c r="H792" i="2" s="1"/>
  <c r="B793" i="2"/>
  <c r="B794" i="2"/>
  <c r="B795" i="2"/>
  <c r="H795" i="2" s="1"/>
  <c r="B796" i="2"/>
  <c r="H796" i="2" s="1"/>
  <c r="B797" i="2"/>
  <c r="B798" i="2"/>
  <c r="B799" i="2"/>
  <c r="H799" i="2" s="1"/>
  <c r="B800" i="2"/>
  <c r="H800" i="2" s="1"/>
  <c r="B801" i="2"/>
  <c r="B802" i="2"/>
  <c r="B803" i="2"/>
  <c r="H803" i="2" s="1"/>
  <c r="B804" i="2"/>
  <c r="H804" i="2" s="1"/>
  <c r="B805" i="2"/>
  <c r="B806" i="2"/>
  <c r="B807" i="2"/>
  <c r="H807" i="2" s="1"/>
  <c r="B808" i="2"/>
  <c r="H808" i="2" s="1"/>
  <c r="B809" i="2"/>
  <c r="B810" i="2"/>
  <c r="B811" i="2"/>
  <c r="H811" i="2" s="1"/>
  <c r="B812" i="2"/>
  <c r="H812" i="2" s="1"/>
  <c r="B813" i="2"/>
  <c r="B814" i="2"/>
  <c r="B815" i="2"/>
  <c r="H815" i="2" s="1"/>
  <c r="B816" i="2"/>
  <c r="H816" i="2" s="1"/>
  <c r="B817" i="2"/>
  <c r="B818" i="2"/>
  <c r="B819" i="2"/>
  <c r="H819" i="2" s="1"/>
  <c r="B820" i="2"/>
  <c r="H820" i="2" s="1"/>
  <c r="B821" i="2"/>
  <c r="B822" i="2"/>
  <c r="B823" i="2"/>
  <c r="H823" i="2" s="1"/>
  <c r="B824" i="2"/>
  <c r="H824" i="2" s="1"/>
  <c r="B825" i="2"/>
  <c r="B826" i="2"/>
  <c r="B827" i="2"/>
  <c r="H827" i="2" s="1"/>
  <c r="B828" i="2"/>
  <c r="H828" i="2" s="1"/>
  <c r="B829" i="2"/>
  <c r="B830" i="2"/>
  <c r="B831" i="2"/>
  <c r="H831" i="2" s="1"/>
  <c r="B832" i="2"/>
  <c r="H832" i="2" s="1"/>
  <c r="B833" i="2"/>
  <c r="B834" i="2"/>
  <c r="B835" i="2"/>
  <c r="H835" i="2" s="1"/>
  <c r="B836" i="2"/>
  <c r="H836" i="2" s="1"/>
  <c r="B837" i="2"/>
  <c r="B838" i="2"/>
  <c r="B839" i="2"/>
  <c r="H839" i="2" s="1"/>
  <c r="B840" i="2"/>
  <c r="H840" i="2" s="1"/>
  <c r="B841" i="2"/>
  <c r="B842" i="2"/>
  <c r="B843" i="2"/>
  <c r="H843" i="2" s="1"/>
  <c r="B844" i="2"/>
  <c r="H844" i="2" s="1"/>
  <c r="B845" i="2"/>
  <c r="B846" i="2"/>
  <c r="B847" i="2"/>
  <c r="H847" i="2" s="1"/>
  <c r="B848" i="2"/>
  <c r="H848" i="2" s="1"/>
  <c r="B849" i="2"/>
  <c r="B850" i="2"/>
  <c r="B851" i="2"/>
  <c r="H851" i="2" s="1"/>
  <c r="B852" i="2"/>
  <c r="H852" i="2" s="1"/>
  <c r="B853" i="2"/>
  <c r="B854" i="2"/>
  <c r="B855" i="2"/>
  <c r="H855" i="2" s="1"/>
  <c r="B856" i="2"/>
  <c r="H856" i="2" s="1"/>
  <c r="B857" i="2"/>
  <c r="B858" i="2"/>
  <c r="B859" i="2"/>
  <c r="H859" i="2" s="1"/>
  <c r="B860" i="2"/>
  <c r="H860" i="2" s="1"/>
  <c r="B861" i="2"/>
  <c r="B862" i="2"/>
  <c r="B863" i="2"/>
  <c r="H863" i="2" s="1"/>
  <c r="B864" i="2"/>
  <c r="H864" i="2" s="1"/>
  <c r="B865" i="2"/>
  <c r="B866" i="2"/>
  <c r="B867" i="2"/>
  <c r="H867" i="2" s="1"/>
  <c r="B868" i="2"/>
  <c r="H868" i="2" s="1"/>
  <c r="B869" i="2"/>
  <c r="B870" i="2"/>
  <c r="B871" i="2"/>
  <c r="H871" i="2" s="1"/>
  <c r="B872" i="2"/>
  <c r="H872" i="2" s="1"/>
  <c r="B873" i="2"/>
  <c r="B874" i="2"/>
  <c r="B875" i="2"/>
  <c r="H875" i="2" s="1"/>
  <c r="B876" i="2"/>
  <c r="H876" i="2" s="1"/>
  <c r="B877" i="2"/>
  <c r="B878" i="2"/>
  <c r="B879" i="2"/>
  <c r="H879" i="2" s="1"/>
  <c r="B880" i="2"/>
  <c r="H880" i="2" s="1"/>
  <c r="B881" i="2"/>
  <c r="B882" i="2"/>
  <c r="B883" i="2"/>
  <c r="H883" i="2" s="1"/>
  <c r="B884" i="2"/>
  <c r="H884" i="2" s="1"/>
  <c r="B885" i="2"/>
  <c r="B886" i="2"/>
  <c r="B887" i="2"/>
  <c r="H887" i="2" s="1"/>
  <c r="B888" i="2"/>
  <c r="H888" i="2" s="1"/>
  <c r="B889" i="2"/>
  <c r="B890" i="2"/>
  <c r="B891" i="2"/>
  <c r="H891" i="2" s="1"/>
  <c r="B892" i="2"/>
  <c r="H892" i="2" s="1"/>
  <c r="B893" i="2"/>
  <c r="B894" i="2"/>
  <c r="B895" i="2"/>
  <c r="H895" i="2" s="1"/>
  <c r="B896" i="2"/>
  <c r="H896" i="2" s="1"/>
  <c r="B897" i="2"/>
  <c r="B898" i="2"/>
  <c r="B899" i="2"/>
  <c r="H899" i="2" s="1"/>
  <c r="B900" i="2"/>
  <c r="H900" i="2" s="1"/>
  <c r="B901" i="2"/>
  <c r="B902" i="2"/>
  <c r="B903" i="2"/>
  <c r="H903" i="2" s="1"/>
  <c r="B904" i="2"/>
  <c r="H904" i="2" s="1"/>
  <c r="B905" i="2"/>
  <c r="B906" i="2"/>
  <c r="B907" i="2"/>
  <c r="H907" i="2" s="1"/>
  <c r="B908" i="2"/>
  <c r="H908" i="2" s="1"/>
  <c r="B909" i="2"/>
  <c r="B910" i="2"/>
  <c r="B911" i="2"/>
  <c r="H911" i="2" s="1"/>
  <c r="B912" i="2"/>
  <c r="H912" i="2" s="1"/>
  <c r="B913" i="2"/>
  <c r="B914" i="2"/>
  <c r="B915" i="2"/>
  <c r="H915" i="2" s="1"/>
  <c r="B916" i="2"/>
  <c r="H916" i="2" s="1"/>
  <c r="B917" i="2"/>
  <c r="B918" i="2"/>
  <c r="B919" i="2"/>
  <c r="H919" i="2" s="1"/>
  <c r="B920" i="2"/>
  <c r="H920" i="2" s="1"/>
  <c r="B921" i="2"/>
  <c r="B922" i="2"/>
  <c r="B923" i="2"/>
  <c r="H923" i="2" s="1"/>
  <c r="B924" i="2"/>
  <c r="H924" i="2" s="1"/>
  <c r="B925" i="2"/>
  <c r="B926" i="2"/>
  <c r="B927" i="2"/>
  <c r="H927" i="2" s="1"/>
  <c r="B928" i="2"/>
  <c r="H928" i="2" s="1"/>
  <c r="B929" i="2"/>
  <c r="B930" i="2"/>
  <c r="B931" i="2"/>
  <c r="H931" i="2" s="1"/>
  <c r="B932" i="2"/>
  <c r="H932" i="2" s="1"/>
  <c r="B933" i="2"/>
  <c r="B934" i="2"/>
  <c r="B935" i="2"/>
  <c r="H935" i="2" s="1"/>
  <c r="B936" i="2"/>
  <c r="H936" i="2" s="1"/>
  <c r="B937" i="2"/>
  <c r="B938" i="2"/>
  <c r="B939" i="2"/>
  <c r="H939" i="2" s="1"/>
  <c r="B940" i="2"/>
  <c r="H940" i="2" s="1"/>
  <c r="B941" i="2"/>
  <c r="B942" i="2"/>
  <c r="B943" i="2"/>
  <c r="H943" i="2" s="1"/>
  <c r="B944" i="2"/>
  <c r="H944" i="2" s="1"/>
  <c r="B945" i="2"/>
  <c r="B946" i="2"/>
  <c r="B947" i="2"/>
  <c r="H947" i="2" s="1"/>
  <c r="B948" i="2"/>
  <c r="H948" i="2" s="1"/>
  <c r="B949" i="2"/>
  <c r="B950" i="2"/>
  <c r="B951" i="2"/>
  <c r="H951" i="2" s="1"/>
  <c r="B952" i="2"/>
  <c r="H952" i="2" s="1"/>
  <c r="B953" i="2"/>
  <c r="B954" i="2"/>
  <c r="B955" i="2"/>
  <c r="H955" i="2" s="1"/>
  <c r="B956" i="2"/>
  <c r="H956" i="2" s="1"/>
  <c r="B957" i="2"/>
  <c r="B958" i="2"/>
  <c r="B959" i="2"/>
  <c r="H959" i="2" s="1"/>
  <c r="B960" i="2"/>
  <c r="H960" i="2" s="1"/>
  <c r="B961" i="2"/>
  <c r="B962" i="2"/>
  <c r="B963" i="2"/>
  <c r="H963" i="2" s="1"/>
  <c r="B964" i="2"/>
  <c r="H964" i="2" s="1"/>
  <c r="B965" i="2"/>
  <c r="B966" i="2"/>
  <c r="B967" i="2"/>
  <c r="H967" i="2" s="1"/>
  <c r="B968" i="2"/>
  <c r="H968" i="2" s="1"/>
  <c r="B969" i="2"/>
  <c r="B970" i="2"/>
  <c r="B971" i="2"/>
  <c r="H971" i="2" s="1"/>
  <c r="B972" i="2"/>
  <c r="H972" i="2" s="1"/>
  <c r="B973" i="2"/>
  <c r="B974" i="2"/>
  <c r="B975" i="2"/>
  <c r="H975" i="2" s="1"/>
  <c r="B976" i="2"/>
  <c r="H976" i="2" s="1"/>
  <c r="B977" i="2"/>
  <c r="B978" i="2"/>
  <c r="B979" i="2"/>
  <c r="H979" i="2" s="1"/>
  <c r="B980" i="2"/>
  <c r="H980" i="2" s="1"/>
  <c r="B981" i="2"/>
  <c r="B982" i="2"/>
  <c r="B983" i="2"/>
  <c r="H983" i="2" s="1"/>
  <c r="B984" i="2"/>
  <c r="H984" i="2" s="1"/>
  <c r="B985" i="2"/>
  <c r="B986" i="2"/>
  <c r="B987" i="2"/>
  <c r="H987" i="2" s="1"/>
  <c r="B988" i="2"/>
  <c r="H988" i="2" s="1"/>
  <c r="B989" i="2"/>
  <c r="B990" i="2"/>
  <c r="B991" i="2"/>
  <c r="H991" i="2" s="1"/>
  <c r="B992" i="2"/>
  <c r="H992" i="2" s="1"/>
  <c r="B993" i="2"/>
  <c r="B994" i="2"/>
  <c r="B995" i="2"/>
  <c r="H995" i="2" s="1"/>
  <c r="B996" i="2"/>
  <c r="H996" i="2" s="1"/>
  <c r="B997" i="2"/>
  <c r="B998" i="2"/>
  <c r="B999" i="2"/>
  <c r="H999" i="2" s="1"/>
  <c r="B1000" i="2"/>
  <c r="H1000" i="2" s="1"/>
  <c r="B1001" i="2"/>
  <c r="B1002" i="2"/>
  <c r="B1003" i="2"/>
  <c r="H1003" i="2" s="1"/>
  <c r="B1004" i="2"/>
  <c r="H1004" i="2" s="1"/>
  <c r="B1005" i="2"/>
  <c r="B1006" i="2"/>
  <c r="B1007" i="2"/>
  <c r="H1007" i="2" s="1"/>
  <c r="B1008" i="2"/>
  <c r="H1008" i="2" s="1"/>
  <c r="B1009" i="2"/>
  <c r="B1010" i="2"/>
  <c r="B1011" i="2"/>
  <c r="H1011" i="2" s="1"/>
  <c r="B1012" i="2"/>
  <c r="H1012" i="2" s="1"/>
  <c r="B1013" i="2"/>
  <c r="B1014" i="2"/>
  <c r="B1015" i="2"/>
  <c r="H1015" i="2" s="1"/>
  <c r="B1016" i="2"/>
  <c r="H1016" i="2" s="1"/>
  <c r="B1017" i="2"/>
  <c r="B1018" i="2"/>
  <c r="B1019" i="2"/>
  <c r="H1019" i="2" s="1"/>
  <c r="B1020" i="2"/>
  <c r="H1020" i="2" s="1"/>
  <c r="B1021" i="2"/>
  <c r="B1022" i="2"/>
  <c r="B1023" i="2"/>
  <c r="H1023" i="2" s="1"/>
  <c r="B1024" i="2"/>
  <c r="H1024" i="2" s="1"/>
  <c r="B1025" i="2"/>
  <c r="B1026" i="2"/>
  <c r="B1027" i="2"/>
  <c r="H1027" i="2" s="1"/>
  <c r="B1028" i="2"/>
  <c r="H1028" i="2" s="1"/>
  <c r="B1029" i="2"/>
  <c r="B1030" i="2"/>
  <c r="B1031" i="2"/>
  <c r="H1031" i="2" s="1"/>
  <c r="B1032" i="2"/>
  <c r="H1032" i="2" s="1"/>
  <c r="B1033" i="2"/>
  <c r="B1034" i="2"/>
  <c r="B1035" i="2"/>
  <c r="H1035" i="2" s="1"/>
  <c r="B1036" i="2"/>
  <c r="H1036" i="2" s="1"/>
  <c r="B1037" i="2"/>
  <c r="B1038" i="2"/>
  <c r="B1039" i="2"/>
  <c r="H1039" i="2" s="1"/>
  <c r="B1040" i="2"/>
  <c r="H1040" i="2" s="1"/>
  <c r="B1041" i="2"/>
  <c r="B1042" i="2"/>
  <c r="B1043" i="2"/>
  <c r="H1043" i="2" s="1"/>
  <c r="B1044" i="2"/>
  <c r="H1044" i="2" s="1"/>
  <c r="B1045" i="2"/>
  <c r="B1046" i="2"/>
  <c r="B1047" i="2"/>
  <c r="H1047" i="2" s="1"/>
  <c r="B1048" i="2"/>
  <c r="H1048" i="2" s="1"/>
  <c r="B1049" i="2"/>
  <c r="B1050" i="2"/>
  <c r="B1051" i="2"/>
  <c r="H1051" i="2" s="1"/>
  <c r="B1052" i="2"/>
  <c r="H1052" i="2" s="1"/>
  <c r="B1053" i="2"/>
  <c r="B1054" i="2"/>
  <c r="B1055" i="2"/>
  <c r="H1055" i="2" s="1"/>
  <c r="B1056" i="2"/>
  <c r="H1056" i="2" s="1"/>
  <c r="B1057" i="2"/>
  <c r="B1058" i="2"/>
  <c r="B1059" i="2"/>
  <c r="H1059" i="2" s="1"/>
  <c r="B1060" i="2"/>
  <c r="H1060" i="2" s="1"/>
  <c r="B1061" i="2"/>
  <c r="B1062" i="2"/>
  <c r="B1063" i="2"/>
  <c r="H1063" i="2" s="1"/>
  <c r="B1064" i="2"/>
  <c r="H1064" i="2" s="1"/>
  <c r="B1065" i="2"/>
  <c r="B1066" i="2"/>
  <c r="B1067" i="2"/>
  <c r="H1067" i="2" s="1"/>
  <c r="B1068" i="2"/>
  <c r="H1068" i="2" s="1"/>
  <c r="B1069" i="2"/>
  <c r="B1070" i="2"/>
  <c r="B1071" i="2"/>
  <c r="H1071" i="2" s="1"/>
  <c r="B1072" i="2"/>
  <c r="H1072" i="2" s="1"/>
  <c r="B1073" i="2"/>
  <c r="B1074" i="2"/>
  <c r="B1075" i="2"/>
  <c r="H1075" i="2" s="1"/>
  <c r="B1076" i="2"/>
  <c r="H1076" i="2" s="1"/>
  <c r="B1077" i="2"/>
  <c r="B1078" i="2"/>
  <c r="B1079" i="2"/>
  <c r="H1079" i="2" s="1"/>
  <c r="B1080" i="2"/>
  <c r="H1080" i="2" s="1"/>
  <c r="B1081" i="2"/>
  <c r="B1082" i="2"/>
  <c r="B1083" i="2"/>
  <c r="H1083" i="2" s="1"/>
  <c r="B1084" i="2"/>
  <c r="H1084" i="2" s="1"/>
  <c r="B1085" i="2"/>
  <c r="B1086" i="2"/>
  <c r="B1087" i="2"/>
  <c r="H1087" i="2" s="1"/>
  <c r="B1088" i="2"/>
  <c r="H1088" i="2" s="1"/>
  <c r="B1089" i="2"/>
  <c r="B1090" i="2"/>
  <c r="B1091" i="2"/>
  <c r="H1091" i="2" s="1"/>
  <c r="B1092" i="2"/>
  <c r="H1092" i="2" s="1"/>
  <c r="B1093" i="2"/>
  <c r="B1094" i="2"/>
  <c r="B1095" i="2"/>
  <c r="H1095" i="2" s="1"/>
  <c r="B1096" i="2"/>
  <c r="H1096" i="2" s="1"/>
  <c r="B1097" i="2"/>
  <c r="B1098" i="2"/>
  <c r="B1099" i="2"/>
  <c r="H1099" i="2" s="1"/>
  <c r="B1100" i="2"/>
  <c r="H1100" i="2" s="1"/>
  <c r="B1101" i="2"/>
  <c r="B1102" i="2"/>
  <c r="B1103" i="2"/>
  <c r="H1103" i="2" s="1"/>
  <c r="B1104" i="2"/>
  <c r="H1104" i="2" s="1"/>
  <c r="B1105" i="2"/>
  <c r="B1106" i="2"/>
  <c r="B1107" i="2"/>
  <c r="H1107" i="2" s="1"/>
  <c r="B1108" i="2"/>
  <c r="H1108" i="2" s="1"/>
  <c r="B1109" i="2"/>
  <c r="B1110" i="2"/>
  <c r="B1111" i="2"/>
  <c r="H1111" i="2" s="1"/>
  <c r="B1112" i="2"/>
  <c r="H1112" i="2" s="1"/>
  <c r="B1113" i="2"/>
  <c r="B1114" i="2"/>
  <c r="B1115" i="2"/>
  <c r="H1115" i="2" s="1"/>
  <c r="B1116" i="2"/>
  <c r="H1116" i="2" s="1"/>
  <c r="B1117" i="2"/>
  <c r="B1118" i="2"/>
  <c r="B1119" i="2"/>
  <c r="H1119" i="2" s="1"/>
  <c r="B1120" i="2"/>
  <c r="H1120" i="2" s="1"/>
  <c r="B1121" i="2"/>
  <c r="B1122" i="2"/>
  <c r="B1123" i="2"/>
  <c r="H1123" i="2" s="1"/>
  <c r="B1124" i="2"/>
  <c r="H1124" i="2" s="1"/>
  <c r="B1125" i="2"/>
  <c r="B1126" i="2"/>
  <c r="B1127" i="2"/>
  <c r="H1127" i="2" s="1"/>
  <c r="B1128" i="2"/>
  <c r="H1128" i="2" s="1"/>
  <c r="B1129" i="2"/>
  <c r="B1130" i="2"/>
  <c r="B1131" i="2"/>
  <c r="H1131" i="2" s="1"/>
  <c r="B1132" i="2"/>
  <c r="H1132" i="2" s="1"/>
  <c r="B1133" i="2"/>
  <c r="B1134" i="2"/>
  <c r="B1135" i="2"/>
  <c r="H1135" i="2" s="1"/>
  <c r="B1136" i="2"/>
  <c r="H1136" i="2" s="1"/>
  <c r="B1137" i="2"/>
  <c r="B1138" i="2"/>
  <c r="B1139" i="2"/>
  <c r="H1139" i="2" s="1"/>
  <c r="B1140" i="2"/>
  <c r="H1140" i="2" s="1"/>
  <c r="B1141" i="2"/>
  <c r="B1142" i="2"/>
  <c r="B1143" i="2"/>
  <c r="H1143" i="2" s="1"/>
  <c r="B1144" i="2"/>
  <c r="H1144" i="2" s="1"/>
  <c r="B1145" i="2"/>
  <c r="B1146" i="2"/>
  <c r="B1147" i="2"/>
  <c r="H1147" i="2" s="1"/>
  <c r="B1148" i="2"/>
  <c r="H1148" i="2" s="1"/>
  <c r="B1149" i="2"/>
  <c r="B1150" i="2"/>
  <c r="B1151" i="2"/>
  <c r="H1151" i="2" s="1"/>
  <c r="B1152" i="2"/>
  <c r="H1152" i="2" s="1"/>
  <c r="B1153" i="2"/>
  <c r="B1154" i="2"/>
  <c r="B1155" i="2"/>
  <c r="H1155" i="2" s="1"/>
  <c r="B1156" i="2"/>
  <c r="H1156" i="2" s="1"/>
  <c r="B1157" i="2"/>
  <c r="B1158" i="2"/>
  <c r="B1159" i="2"/>
  <c r="H1159" i="2" s="1"/>
  <c r="B1160" i="2"/>
  <c r="H1160" i="2" s="1"/>
  <c r="B1161" i="2"/>
  <c r="B1162" i="2"/>
  <c r="B1163" i="2"/>
  <c r="H1163" i="2" s="1"/>
  <c r="B1164" i="2"/>
  <c r="H1164" i="2" s="1"/>
  <c r="B1165" i="2"/>
  <c r="B1166" i="2"/>
  <c r="B1167" i="2"/>
  <c r="H1167" i="2" s="1"/>
  <c r="B1168" i="2"/>
  <c r="H1168" i="2" s="1"/>
  <c r="B1169" i="2"/>
  <c r="B1170" i="2"/>
  <c r="B1171" i="2"/>
  <c r="H1171" i="2" s="1"/>
  <c r="B1172" i="2"/>
  <c r="H1172" i="2" s="1"/>
  <c r="B1173" i="2"/>
  <c r="B1174" i="2"/>
  <c r="B1175" i="2"/>
  <c r="H1175" i="2" s="1"/>
  <c r="B1176" i="2"/>
  <c r="H1176" i="2" s="1"/>
  <c r="B1177" i="2"/>
  <c r="B1178" i="2"/>
  <c r="B1179" i="2"/>
  <c r="H1179" i="2" s="1"/>
  <c r="B1180" i="2"/>
  <c r="H1180" i="2" s="1"/>
  <c r="B1181" i="2"/>
  <c r="B1182" i="2"/>
  <c r="B1183" i="2"/>
  <c r="H1183" i="2" s="1"/>
  <c r="B1184" i="2"/>
  <c r="H1184" i="2" s="1"/>
  <c r="B1185" i="2"/>
  <c r="B1186" i="2"/>
  <c r="B1187" i="2"/>
  <c r="H1187" i="2" s="1"/>
  <c r="B1188" i="2"/>
  <c r="H1188" i="2" s="1"/>
  <c r="B1189" i="2"/>
  <c r="B1190" i="2"/>
  <c r="B1191" i="2"/>
  <c r="H1191" i="2" s="1"/>
  <c r="B1192" i="2"/>
  <c r="H1192" i="2" s="1"/>
  <c r="B1193" i="2"/>
  <c r="B1194" i="2"/>
  <c r="B1195" i="2"/>
  <c r="H1195" i="2" s="1"/>
  <c r="B1196" i="2"/>
  <c r="H1196" i="2" s="1"/>
  <c r="B1197" i="2"/>
  <c r="B1198" i="2"/>
  <c r="B1199" i="2"/>
  <c r="H1199" i="2" s="1"/>
  <c r="B1200" i="2"/>
  <c r="H1200" i="2" s="1"/>
  <c r="B1201" i="2"/>
  <c r="B1202" i="2"/>
  <c r="B1203" i="2"/>
  <c r="H1203" i="2" s="1"/>
  <c r="B1204" i="2"/>
  <c r="H1204" i="2" s="1"/>
  <c r="B1205" i="2"/>
  <c r="B1206" i="2"/>
  <c r="B1207" i="2"/>
  <c r="H1207" i="2" s="1"/>
  <c r="B1208" i="2"/>
  <c r="H1208" i="2" s="1"/>
  <c r="B1209" i="2"/>
  <c r="B1210" i="2"/>
  <c r="B1211" i="2"/>
  <c r="H1211" i="2" s="1"/>
  <c r="B1212" i="2"/>
  <c r="H1212" i="2" s="1"/>
  <c r="B1213" i="2"/>
  <c r="B1214" i="2"/>
  <c r="B1215" i="2"/>
  <c r="H1215" i="2" s="1"/>
  <c r="B1216" i="2"/>
  <c r="H1216" i="2" s="1"/>
  <c r="B1217" i="2"/>
  <c r="B1218" i="2"/>
  <c r="B1219" i="2"/>
  <c r="H1219" i="2" s="1"/>
  <c r="B1220" i="2"/>
  <c r="H1220" i="2" s="1"/>
  <c r="B1221" i="2"/>
  <c r="B1222" i="2"/>
  <c r="B1223" i="2"/>
  <c r="H1223" i="2" s="1"/>
  <c r="B1224" i="2"/>
  <c r="H1224" i="2" s="1"/>
  <c r="B1225" i="2"/>
  <c r="B1226" i="2"/>
  <c r="B1227" i="2"/>
  <c r="H1227" i="2" s="1"/>
  <c r="B1228" i="2"/>
  <c r="H1228" i="2" s="1"/>
  <c r="B1229" i="2"/>
  <c r="B1230" i="2"/>
  <c r="B1231" i="2"/>
  <c r="H1231" i="2" s="1"/>
  <c r="B1232" i="2"/>
  <c r="H1232" i="2" s="1"/>
  <c r="B1233" i="2"/>
  <c r="B1234" i="2"/>
  <c r="B1235" i="2"/>
  <c r="H1235" i="2" s="1"/>
  <c r="B1236" i="2"/>
  <c r="H1236" i="2" s="1"/>
  <c r="B1237" i="2"/>
  <c r="B1238" i="2"/>
  <c r="B1239" i="2"/>
  <c r="H1239" i="2" s="1"/>
  <c r="B1240" i="2"/>
  <c r="H1240" i="2" s="1"/>
  <c r="B1241" i="2"/>
  <c r="B1242" i="2"/>
  <c r="B1243" i="2"/>
  <c r="H1243" i="2" s="1"/>
  <c r="B1244" i="2"/>
  <c r="H1244" i="2" s="1"/>
  <c r="B1245" i="2"/>
  <c r="B1246" i="2"/>
  <c r="B1247" i="2"/>
  <c r="H1247" i="2" s="1"/>
  <c r="B1248" i="2"/>
  <c r="H1248" i="2" s="1"/>
  <c r="B1249" i="2"/>
  <c r="B1250" i="2"/>
  <c r="B1251" i="2"/>
  <c r="H1251" i="2" s="1"/>
  <c r="B1252" i="2"/>
  <c r="H1252" i="2" s="1"/>
  <c r="B1253" i="2"/>
  <c r="B1254" i="2"/>
  <c r="B1255" i="2"/>
  <c r="H1255" i="2" s="1"/>
  <c r="B1256" i="2"/>
  <c r="H1256" i="2" s="1"/>
  <c r="B1257" i="2"/>
  <c r="B1258" i="2"/>
  <c r="B1259" i="2"/>
  <c r="H1259" i="2" s="1"/>
  <c r="B1260" i="2"/>
  <c r="H1260" i="2" s="1"/>
  <c r="B1261" i="2"/>
  <c r="B1262" i="2"/>
  <c r="B1263" i="2"/>
  <c r="H1263" i="2" s="1"/>
  <c r="B1264" i="2"/>
  <c r="H1264" i="2" s="1"/>
  <c r="B1265" i="2"/>
  <c r="B1266" i="2"/>
  <c r="B1267" i="2"/>
  <c r="H1267" i="2" s="1"/>
  <c r="B1268" i="2"/>
  <c r="H1268" i="2" s="1"/>
  <c r="B1269" i="2"/>
  <c r="B1270" i="2"/>
  <c r="B1271" i="2"/>
  <c r="H1271" i="2" s="1"/>
  <c r="B1272" i="2"/>
  <c r="H1272" i="2" s="1"/>
  <c r="B1273" i="2"/>
  <c r="B1274" i="2"/>
  <c r="B1275" i="2"/>
  <c r="H1275" i="2" s="1"/>
  <c r="B1276" i="2"/>
  <c r="H1276" i="2" s="1"/>
  <c r="B1277" i="2"/>
  <c r="B1278" i="2"/>
  <c r="B1279" i="2"/>
  <c r="H1279" i="2" s="1"/>
  <c r="B1280" i="2"/>
  <c r="H1280" i="2" s="1"/>
  <c r="B1281" i="2"/>
  <c r="B1282" i="2"/>
  <c r="B1283" i="2"/>
  <c r="H1283" i="2" s="1"/>
  <c r="B1284" i="2"/>
  <c r="H1284" i="2" s="1"/>
  <c r="B1285" i="2"/>
  <c r="B1286" i="2"/>
  <c r="B1287" i="2"/>
  <c r="H1287" i="2" s="1"/>
  <c r="B1288" i="2"/>
  <c r="H1288" i="2" s="1"/>
  <c r="B1289" i="2"/>
  <c r="B1290" i="2"/>
  <c r="B1291" i="2"/>
  <c r="H1291" i="2" s="1"/>
  <c r="B1292" i="2"/>
  <c r="H1292" i="2" s="1"/>
  <c r="B1293" i="2"/>
  <c r="B1294" i="2"/>
  <c r="B1295" i="2"/>
  <c r="H1295" i="2" s="1"/>
  <c r="B1296" i="2"/>
  <c r="H1296" i="2" s="1"/>
  <c r="B1297" i="2"/>
  <c r="B1298" i="2"/>
  <c r="B1299" i="2"/>
  <c r="H1299" i="2" s="1"/>
  <c r="B1300" i="2"/>
  <c r="H1300" i="2" s="1"/>
  <c r="B1301" i="2"/>
  <c r="B1302" i="2"/>
  <c r="B1303" i="2"/>
  <c r="H1303" i="2" s="1"/>
  <c r="B1304" i="2"/>
  <c r="H1304" i="2" s="1"/>
  <c r="B1305" i="2"/>
  <c r="B1306" i="2"/>
  <c r="B1307" i="2"/>
  <c r="H1307" i="2" s="1"/>
  <c r="B1308" i="2"/>
  <c r="H1308" i="2" s="1"/>
  <c r="B1309" i="2"/>
  <c r="B1310" i="2"/>
  <c r="B1311" i="2"/>
  <c r="H1311" i="2" s="1"/>
  <c r="B1312" i="2"/>
  <c r="H1312" i="2" s="1"/>
  <c r="B1313" i="2"/>
  <c r="B1314" i="2"/>
  <c r="B1315" i="2"/>
  <c r="H1315" i="2" s="1"/>
  <c r="B1316" i="2"/>
  <c r="H1316" i="2" s="1"/>
  <c r="B1317" i="2"/>
  <c r="B1318" i="2"/>
  <c r="B1319" i="2"/>
  <c r="B1320" i="2"/>
  <c r="H1320" i="2" s="1"/>
  <c r="B1321" i="2"/>
  <c r="B1322" i="2"/>
  <c r="B1323" i="2"/>
  <c r="H1323" i="2" s="1"/>
  <c r="B1324" i="2"/>
  <c r="B1325" i="2"/>
  <c r="B1326" i="2"/>
  <c r="B1327" i="2"/>
  <c r="H1327" i="2" s="1"/>
  <c r="B1328" i="2"/>
  <c r="H1328" i="2" s="1"/>
  <c r="B1329" i="2"/>
  <c r="B1330" i="2"/>
  <c r="B1331" i="2"/>
  <c r="H1331" i="2" s="1"/>
  <c r="B1332" i="2"/>
  <c r="H1332" i="2" s="1"/>
  <c r="B1333" i="2"/>
  <c r="B1334" i="2"/>
  <c r="B1335" i="2"/>
  <c r="B1336" i="2"/>
  <c r="H1336" i="2" s="1"/>
  <c r="B1337" i="2"/>
  <c r="B1338" i="2"/>
  <c r="B1339" i="2"/>
  <c r="H1339" i="2" s="1"/>
  <c r="B1340" i="2"/>
  <c r="B1341" i="2"/>
  <c r="B1342" i="2"/>
  <c r="B1343" i="2"/>
  <c r="H1343" i="2" s="1"/>
  <c r="B1344" i="2"/>
  <c r="H1344" i="2" s="1"/>
  <c r="B1345" i="2"/>
  <c r="B1346" i="2"/>
  <c r="B1347" i="2"/>
  <c r="H1347" i="2" s="1"/>
  <c r="B1348" i="2"/>
  <c r="H1348" i="2" s="1"/>
  <c r="B1349" i="2"/>
  <c r="B1350" i="2"/>
  <c r="B1351" i="2"/>
  <c r="B1352" i="2"/>
  <c r="H1352" i="2" s="1"/>
  <c r="B1353" i="2"/>
  <c r="B1354" i="2"/>
  <c r="B1355" i="2"/>
  <c r="H1355" i="2" s="1"/>
  <c r="B1356" i="2"/>
  <c r="B1357" i="2"/>
  <c r="B1358" i="2"/>
  <c r="B1359" i="2"/>
  <c r="H1359" i="2" s="1"/>
  <c r="B1360" i="2"/>
  <c r="H1360" i="2" s="1"/>
  <c r="B1361" i="2"/>
  <c r="B1362" i="2"/>
  <c r="B1363" i="2"/>
  <c r="H1363" i="2" s="1"/>
  <c r="B1364" i="2"/>
  <c r="H1364" i="2" s="1"/>
  <c r="B1365" i="2"/>
  <c r="B1366" i="2"/>
  <c r="B1367" i="2"/>
  <c r="B1368" i="2"/>
  <c r="H1368" i="2" s="1"/>
  <c r="B1369" i="2"/>
  <c r="B1370" i="2"/>
  <c r="B1371" i="2"/>
  <c r="H1371" i="2" s="1"/>
  <c r="B1372" i="2"/>
  <c r="B1373" i="2"/>
  <c r="B1374" i="2"/>
  <c r="B1375" i="2"/>
  <c r="H1375" i="2" s="1"/>
  <c r="B1376" i="2"/>
  <c r="H1376" i="2" s="1"/>
  <c r="B1377" i="2"/>
  <c r="B1378" i="2"/>
  <c r="B1379" i="2"/>
  <c r="H1379" i="2" s="1"/>
  <c r="B1380" i="2"/>
  <c r="H1380" i="2" s="1"/>
  <c r="B1381" i="2"/>
  <c r="B1382" i="2"/>
  <c r="B1383" i="2"/>
  <c r="B1384" i="2"/>
  <c r="H1384" i="2" s="1"/>
  <c r="B1385" i="2"/>
  <c r="B1386" i="2"/>
  <c r="B1387" i="2"/>
  <c r="H1387" i="2" s="1"/>
  <c r="B1388" i="2"/>
  <c r="B1389" i="2"/>
  <c r="B1390" i="2"/>
  <c r="B1391" i="2"/>
  <c r="H1391" i="2" s="1"/>
  <c r="B1392" i="2"/>
  <c r="H1392" i="2" s="1"/>
  <c r="B1393" i="2"/>
  <c r="B1394" i="2"/>
  <c r="B1395" i="2"/>
  <c r="H1395" i="2" s="1"/>
  <c r="B1396" i="2"/>
  <c r="H1396" i="2" s="1"/>
  <c r="B1397" i="2"/>
  <c r="B1398" i="2"/>
  <c r="B1399" i="2"/>
  <c r="B1400" i="2"/>
  <c r="H1400" i="2" s="1"/>
  <c r="B1401" i="2"/>
  <c r="B1402" i="2"/>
  <c r="B1403" i="2"/>
  <c r="H1403" i="2" s="1"/>
  <c r="B1404" i="2"/>
  <c r="B1405" i="2"/>
  <c r="B1406" i="2"/>
  <c r="B1407" i="2"/>
  <c r="H1407" i="2" s="1"/>
  <c r="B1408" i="2"/>
  <c r="H1408" i="2" s="1"/>
  <c r="B1409" i="2"/>
  <c r="B1410" i="2"/>
  <c r="B1411" i="2"/>
  <c r="H1411" i="2" s="1"/>
  <c r="B1412" i="2"/>
  <c r="H1412" i="2" s="1"/>
  <c r="B1413" i="2"/>
  <c r="B1414" i="2"/>
  <c r="B1415" i="2"/>
  <c r="B1416" i="2"/>
  <c r="H1416" i="2" s="1"/>
  <c r="B1417" i="2"/>
  <c r="B1418" i="2"/>
  <c r="B1419" i="2"/>
  <c r="H1419" i="2" s="1"/>
  <c r="B1420" i="2"/>
  <c r="B1421" i="2"/>
  <c r="B1422" i="2"/>
  <c r="B1423" i="2"/>
  <c r="H1423" i="2" s="1"/>
  <c r="B1424" i="2"/>
  <c r="H1424" i="2" s="1"/>
  <c r="B1425" i="2"/>
  <c r="B1426" i="2"/>
  <c r="B1427" i="2"/>
  <c r="H1427" i="2" s="1"/>
  <c r="B1428" i="2"/>
  <c r="H1428" i="2" s="1"/>
  <c r="B1429" i="2"/>
  <c r="B1430" i="2"/>
  <c r="B1431" i="2"/>
  <c r="B1432" i="2"/>
  <c r="H1432" i="2" s="1"/>
  <c r="B1433" i="2"/>
  <c r="B1434" i="2"/>
  <c r="B1435" i="2"/>
  <c r="H1435" i="2" s="1"/>
  <c r="B1436" i="2"/>
  <c r="B1437" i="2"/>
  <c r="B1438" i="2"/>
  <c r="B1439" i="2"/>
  <c r="H1439" i="2" s="1"/>
  <c r="B1440" i="2"/>
  <c r="H1440" i="2" s="1"/>
  <c r="B1441" i="2"/>
  <c r="B1442" i="2"/>
  <c r="B1443" i="2"/>
  <c r="H1443" i="2" s="1"/>
  <c r="B1444" i="2"/>
  <c r="H1444" i="2" s="1"/>
  <c r="B1445" i="2"/>
  <c r="B1446" i="2"/>
  <c r="B1447" i="2"/>
  <c r="B1448" i="2"/>
  <c r="H1448" i="2" s="1"/>
  <c r="B1449" i="2"/>
  <c r="B1450" i="2"/>
  <c r="B1451" i="2"/>
  <c r="H1451" i="2" s="1"/>
  <c r="B1452" i="2"/>
  <c r="B1453" i="2"/>
  <c r="B1454" i="2"/>
  <c r="B1455" i="2"/>
  <c r="H1455" i="2" s="1"/>
  <c r="B1456" i="2"/>
  <c r="H1456" i="2" s="1"/>
  <c r="B1457" i="2"/>
  <c r="B1458" i="2"/>
  <c r="B1459" i="2"/>
  <c r="H1459" i="2" s="1"/>
  <c r="B1460" i="2"/>
  <c r="H1460" i="2" s="1"/>
  <c r="B1461" i="2"/>
  <c r="B1462" i="2"/>
  <c r="B1463" i="2"/>
  <c r="B1464" i="2"/>
  <c r="H1464" i="2" s="1"/>
  <c r="B1465" i="2"/>
  <c r="B1466" i="2"/>
  <c r="B1467" i="2"/>
  <c r="H1467" i="2" s="1"/>
  <c r="B1468" i="2"/>
  <c r="B1469" i="2"/>
  <c r="B1470" i="2"/>
  <c r="B1471" i="2"/>
  <c r="H1471" i="2" s="1"/>
  <c r="B1472" i="2"/>
  <c r="H1472" i="2" s="1"/>
  <c r="B1473" i="2"/>
  <c r="B1474" i="2"/>
  <c r="B1475" i="2"/>
  <c r="H1475" i="2" s="1"/>
  <c r="B1476" i="2"/>
  <c r="H1476" i="2" s="1"/>
  <c r="B1477" i="2"/>
  <c r="B1478" i="2"/>
  <c r="B1479" i="2"/>
  <c r="B1480" i="2"/>
  <c r="H1480" i="2" s="1"/>
  <c r="B1481" i="2"/>
  <c r="B1482" i="2"/>
  <c r="B1483" i="2"/>
  <c r="H1483" i="2" s="1"/>
  <c r="B1484" i="2"/>
  <c r="B1485" i="2"/>
  <c r="B1486" i="2"/>
  <c r="B1487" i="2"/>
  <c r="H1487" i="2" s="1"/>
  <c r="B1488" i="2"/>
  <c r="H1488" i="2" s="1"/>
  <c r="B1489" i="2"/>
  <c r="B1490" i="2"/>
  <c r="B1491" i="2"/>
  <c r="H1491" i="2" s="1"/>
  <c r="B1492" i="2"/>
  <c r="H1492" i="2" s="1"/>
  <c r="B1493" i="2"/>
  <c r="B1494" i="2"/>
  <c r="B1495" i="2"/>
  <c r="B1496" i="2"/>
  <c r="H1496" i="2" s="1"/>
  <c r="B1497" i="2"/>
  <c r="B1498" i="2"/>
  <c r="B1499" i="2"/>
  <c r="H1499" i="2" s="1"/>
  <c r="B1500" i="2"/>
  <c r="B1501" i="2"/>
  <c r="B1502" i="2"/>
  <c r="B1503" i="2"/>
  <c r="H1503" i="2" s="1"/>
  <c r="B1504" i="2"/>
  <c r="H1504" i="2" s="1"/>
  <c r="B1505" i="2"/>
  <c r="B1506" i="2"/>
  <c r="B1507" i="2"/>
  <c r="H1507" i="2" s="1"/>
  <c r="B1508" i="2"/>
  <c r="H1508" i="2" s="1"/>
  <c r="B1509" i="2"/>
  <c r="B1510" i="2"/>
  <c r="B1511" i="2"/>
  <c r="B1512" i="2"/>
  <c r="H1512" i="2" s="1"/>
  <c r="B1513" i="2"/>
  <c r="B1514" i="2"/>
  <c r="B1515" i="2"/>
  <c r="H1515" i="2" s="1"/>
  <c r="B1516" i="2"/>
  <c r="B1517" i="2"/>
  <c r="B1518" i="2"/>
  <c r="B1519" i="2"/>
  <c r="H1519" i="2" s="1"/>
  <c r="B1520" i="2"/>
  <c r="H1520" i="2" s="1"/>
  <c r="B1521" i="2"/>
  <c r="B1522" i="2"/>
  <c r="B1523" i="2"/>
  <c r="H1523" i="2" s="1"/>
  <c r="B1524" i="2"/>
  <c r="H1524" i="2" s="1"/>
  <c r="B1525" i="2"/>
  <c r="B1526" i="2"/>
  <c r="B1527" i="2"/>
  <c r="B1528" i="2"/>
  <c r="H1528" i="2" s="1"/>
  <c r="B1529" i="2"/>
  <c r="B1530" i="2"/>
  <c r="B1531" i="2"/>
  <c r="H1531" i="2" s="1"/>
  <c r="B1532" i="2"/>
  <c r="H1532" i="2" s="1"/>
  <c r="B1533" i="2"/>
  <c r="B1534" i="2"/>
  <c r="B1535" i="2"/>
  <c r="H1535" i="2" s="1"/>
  <c r="B1536" i="2"/>
  <c r="H1536" i="2" s="1"/>
  <c r="B1537" i="2"/>
  <c r="B1538" i="2"/>
  <c r="B1539" i="2"/>
  <c r="H1539" i="2" s="1"/>
  <c r="B1540" i="2"/>
  <c r="H1540" i="2" s="1"/>
  <c r="B1541" i="2"/>
  <c r="B1542" i="2"/>
  <c r="B1543" i="2"/>
  <c r="B1544" i="2"/>
  <c r="H1544" i="2" s="1"/>
  <c r="B1545" i="2"/>
  <c r="B1546" i="2"/>
  <c r="B1547" i="2"/>
  <c r="H1547" i="2" s="1"/>
  <c r="B1548" i="2"/>
  <c r="H1548" i="2" s="1"/>
  <c r="B1549" i="2"/>
  <c r="B1550" i="2"/>
  <c r="B1551" i="2"/>
  <c r="H1551" i="2" s="1"/>
  <c r="B1552" i="2"/>
  <c r="H1552" i="2" s="1"/>
  <c r="B1553" i="2"/>
  <c r="B1554" i="2"/>
  <c r="B1555" i="2"/>
  <c r="H1555" i="2" s="1"/>
  <c r="B1556" i="2"/>
  <c r="H1556" i="2" s="1"/>
  <c r="B1557" i="2"/>
  <c r="B1558" i="2"/>
  <c r="B1559" i="2"/>
  <c r="B1560" i="2"/>
  <c r="H1560" i="2" s="1"/>
  <c r="B1561" i="2"/>
  <c r="B1562" i="2"/>
  <c r="B1563" i="2"/>
  <c r="H1563" i="2" s="1"/>
  <c r="B1564" i="2"/>
  <c r="H1564" i="2" s="1"/>
  <c r="B1565" i="2"/>
  <c r="B1566" i="2"/>
  <c r="B1567" i="2"/>
  <c r="H1567" i="2" s="1"/>
  <c r="B1568" i="2"/>
  <c r="H1568" i="2" s="1"/>
  <c r="B1569" i="2"/>
  <c r="B1570" i="2"/>
  <c r="B1571" i="2"/>
  <c r="H1571" i="2" s="1"/>
  <c r="B1572" i="2"/>
  <c r="H1572" i="2" s="1"/>
  <c r="B1573" i="2"/>
  <c r="B1574" i="2"/>
  <c r="B1575" i="2"/>
  <c r="B1576" i="2"/>
  <c r="H1576" i="2" s="1"/>
  <c r="B1577" i="2"/>
  <c r="B1578" i="2"/>
  <c r="B1579" i="2"/>
  <c r="H1579" i="2" s="1"/>
  <c r="B1580" i="2"/>
  <c r="H1580" i="2" s="1"/>
  <c r="B1581" i="2"/>
  <c r="B1582" i="2"/>
  <c r="B1583" i="2"/>
  <c r="H1583" i="2" s="1"/>
  <c r="B1584" i="2"/>
  <c r="H1584" i="2" s="1"/>
  <c r="B1585" i="2"/>
  <c r="B1586" i="2"/>
  <c r="B1587" i="2"/>
  <c r="H1587" i="2" s="1"/>
  <c r="B1588" i="2"/>
  <c r="H1588" i="2" s="1"/>
  <c r="B1589" i="2"/>
  <c r="B1590" i="2"/>
  <c r="B1591" i="2"/>
  <c r="B1592" i="2"/>
  <c r="H1592" i="2" s="1"/>
  <c r="B1593" i="2"/>
  <c r="B1594" i="2"/>
  <c r="B1595" i="2"/>
  <c r="H1595" i="2" s="1"/>
  <c r="B1596" i="2"/>
  <c r="H1596" i="2" s="1"/>
  <c r="B1597" i="2"/>
  <c r="B1598" i="2"/>
  <c r="B1599" i="2"/>
  <c r="H1599" i="2" s="1"/>
  <c r="B1600" i="2"/>
  <c r="H1600" i="2" s="1"/>
  <c r="B1601" i="2"/>
  <c r="B1602" i="2"/>
  <c r="B1603" i="2"/>
  <c r="H1603" i="2" s="1"/>
  <c r="B1604" i="2"/>
  <c r="H1604" i="2" s="1"/>
  <c r="B1605" i="2"/>
  <c r="B1606" i="2"/>
  <c r="B1607" i="2"/>
  <c r="B1608" i="2"/>
  <c r="H1608" i="2" s="1"/>
  <c r="B1609" i="2"/>
  <c r="B1610" i="2"/>
  <c r="B1611" i="2"/>
  <c r="H1611" i="2" s="1"/>
  <c r="B1612" i="2"/>
  <c r="H1612" i="2" s="1"/>
  <c r="B1613" i="2"/>
  <c r="B1614" i="2"/>
  <c r="B1615" i="2"/>
  <c r="H1615" i="2" s="1"/>
  <c r="B1616" i="2"/>
  <c r="H1616" i="2" s="1"/>
  <c r="B1617" i="2"/>
  <c r="B1618" i="2"/>
  <c r="B1619" i="2"/>
  <c r="H1619" i="2" s="1"/>
  <c r="B1620" i="2"/>
  <c r="H1620" i="2" s="1"/>
  <c r="B1621" i="2"/>
  <c r="B1622" i="2"/>
  <c r="B1623" i="2"/>
  <c r="H1623" i="2" s="1"/>
  <c r="B1624" i="2"/>
  <c r="H1624" i="2" s="1"/>
  <c r="B1625" i="2"/>
  <c r="B1626" i="2"/>
  <c r="B1627" i="2"/>
  <c r="H1627" i="2" s="1"/>
  <c r="B1628" i="2"/>
  <c r="H1628" i="2" s="1"/>
  <c r="B1629" i="2"/>
  <c r="B1630" i="2"/>
  <c r="B1631" i="2"/>
  <c r="H1631" i="2" s="1"/>
  <c r="B1632" i="2"/>
  <c r="H1632" i="2" s="1"/>
  <c r="B1633" i="2"/>
  <c r="B1634" i="2"/>
  <c r="B1635" i="2"/>
  <c r="H1635" i="2" s="1"/>
  <c r="B1636" i="2"/>
  <c r="H1636" i="2" s="1"/>
  <c r="B1637" i="2"/>
  <c r="B1638" i="2"/>
  <c r="B1639" i="2"/>
  <c r="H1639" i="2" s="1"/>
  <c r="B1640" i="2"/>
  <c r="H1640" i="2" s="1"/>
  <c r="B1641" i="2"/>
  <c r="B1642" i="2"/>
  <c r="B1643" i="2"/>
  <c r="H1643" i="2" s="1"/>
  <c r="B1644" i="2"/>
  <c r="H1644" i="2" s="1"/>
  <c r="B1645" i="2"/>
  <c r="B1646" i="2"/>
  <c r="B1647" i="2"/>
  <c r="H1647" i="2" s="1"/>
  <c r="B1648" i="2"/>
  <c r="H1648" i="2" s="1"/>
  <c r="B1649" i="2"/>
  <c r="B1650" i="2"/>
  <c r="B1651" i="2"/>
  <c r="H1651" i="2" s="1"/>
  <c r="B1652" i="2"/>
  <c r="H1652" i="2" s="1"/>
  <c r="B1653" i="2"/>
  <c r="B1654" i="2"/>
  <c r="B1655" i="2"/>
  <c r="B1656" i="2"/>
  <c r="H1656" i="2" s="1"/>
  <c r="B1657" i="2"/>
  <c r="B1658" i="2"/>
  <c r="B1659" i="2"/>
  <c r="H1659" i="2" s="1"/>
  <c r="B1660" i="2"/>
  <c r="B1661" i="2"/>
  <c r="B1662" i="2"/>
  <c r="B1663" i="2"/>
  <c r="H1663" i="2" s="1"/>
  <c r="B1664" i="2"/>
  <c r="H1664" i="2" s="1"/>
  <c r="B1665" i="2"/>
  <c r="B1666" i="2"/>
  <c r="B1667" i="2"/>
  <c r="H1667" i="2" s="1"/>
  <c r="B1668" i="2"/>
  <c r="H1668" i="2" s="1"/>
  <c r="B1669" i="2"/>
  <c r="B1670" i="2"/>
  <c r="B1671" i="2"/>
  <c r="B1672" i="2"/>
  <c r="H1672" i="2" s="1"/>
  <c r="B1673" i="2"/>
  <c r="B1674" i="2"/>
  <c r="B1675" i="2"/>
  <c r="H1675" i="2" s="1"/>
  <c r="B1676" i="2"/>
  <c r="B1677" i="2"/>
  <c r="B1678" i="2"/>
  <c r="B1679" i="2"/>
  <c r="H1679" i="2" s="1"/>
  <c r="B1680" i="2"/>
  <c r="H1680" i="2" s="1"/>
  <c r="B1681" i="2"/>
  <c r="B1682" i="2"/>
  <c r="B1683" i="2"/>
  <c r="H1683" i="2" s="1"/>
  <c r="B1684" i="2"/>
  <c r="H1684" i="2" s="1"/>
  <c r="B1685" i="2"/>
  <c r="B1686" i="2"/>
  <c r="B1687" i="2"/>
  <c r="B1688" i="2"/>
  <c r="H1688" i="2" s="1"/>
  <c r="B1689" i="2"/>
  <c r="B1690" i="2"/>
  <c r="B1691" i="2"/>
  <c r="H1691" i="2" s="1"/>
  <c r="B1692" i="2"/>
  <c r="B1693" i="2"/>
  <c r="B1694" i="2"/>
  <c r="B1695" i="2"/>
  <c r="H1695" i="2" s="1"/>
  <c r="B1696" i="2"/>
  <c r="H1696" i="2" s="1"/>
  <c r="B1697" i="2"/>
  <c r="B1698" i="2"/>
  <c r="B1699" i="2"/>
  <c r="H1699" i="2" s="1"/>
  <c r="B1700" i="2"/>
  <c r="H1700" i="2" s="1"/>
  <c r="B1701" i="2"/>
  <c r="B1702" i="2"/>
  <c r="B1703" i="2"/>
  <c r="B1704" i="2"/>
  <c r="H1704" i="2" s="1"/>
  <c r="B1705" i="2"/>
  <c r="B1706" i="2"/>
  <c r="B1707" i="2"/>
  <c r="H1707" i="2" s="1"/>
  <c r="B1708" i="2"/>
  <c r="B1709" i="2"/>
  <c r="B1710" i="2"/>
  <c r="B1711" i="2"/>
  <c r="H1711" i="2" s="1"/>
  <c r="B1712" i="2"/>
  <c r="H1712" i="2" s="1"/>
  <c r="B1713" i="2"/>
  <c r="B1714" i="2"/>
  <c r="B1715" i="2"/>
  <c r="H1715" i="2" s="1"/>
  <c r="B1716" i="2"/>
  <c r="H1716" i="2" s="1"/>
  <c r="B1717" i="2"/>
  <c r="B1718" i="2"/>
  <c r="B1719" i="2"/>
  <c r="B1720" i="2"/>
  <c r="H1720" i="2" s="1"/>
  <c r="B1721" i="2"/>
  <c r="B1722" i="2"/>
  <c r="B1723" i="2"/>
  <c r="H1723" i="2" s="1"/>
  <c r="B1724" i="2"/>
  <c r="B1725" i="2"/>
  <c r="B1726" i="2"/>
  <c r="B1727" i="2"/>
  <c r="H1727" i="2" s="1"/>
  <c r="B1728" i="2"/>
  <c r="H1728" i="2" s="1"/>
  <c r="B1729" i="2"/>
  <c r="B1730" i="2"/>
  <c r="B1731" i="2"/>
  <c r="H1731" i="2" s="1"/>
  <c r="B1732" i="2"/>
  <c r="H1732" i="2" s="1"/>
  <c r="B1733" i="2"/>
  <c r="B1734" i="2"/>
  <c r="B1735" i="2"/>
  <c r="B1736" i="2"/>
  <c r="H1736" i="2" s="1"/>
  <c r="B1737" i="2"/>
  <c r="B1738" i="2"/>
  <c r="B1739" i="2"/>
  <c r="H1739" i="2" s="1"/>
  <c r="B1740" i="2"/>
  <c r="B1741" i="2"/>
  <c r="B1742" i="2"/>
  <c r="B1743" i="2"/>
  <c r="H1743" i="2" s="1"/>
  <c r="B1744" i="2"/>
  <c r="H1744" i="2" s="1"/>
  <c r="B1745" i="2"/>
  <c r="B1746" i="2"/>
  <c r="B1747" i="2"/>
  <c r="H1747" i="2" s="1"/>
  <c r="B1748" i="2"/>
  <c r="H1748" i="2" s="1"/>
  <c r="B1749" i="2"/>
  <c r="B1750" i="2"/>
  <c r="B1751" i="2"/>
  <c r="B1752" i="2"/>
  <c r="H1752" i="2" s="1"/>
  <c r="B1753" i="2"/>
  <c r="B1754" i="2"/>
  <c r="B1755" i="2"/>
  <c r="H1755" i="2" s="1"/>
  <c r="B1756" i="2"/>
  <c r="B1757" i="2"/>
  <c r="B1758" i="2"/>
  <c r="B1759" i="2"/>
  <c r="H1759" i="2" s="1"/>
  <c r="B1760" i="2"/>
  <c r="H1760" i="2" s="1"/>
  <c r="B1761" i="2"/>
  <c r="B1762" i="2"/>
  <c r="B1763" i="2"/>
  <c r="H1763" i="2" s="1"/>
  <c r="B1764" i="2"/>
  <c r="H1764" i="2" s="1"/>
  <c r="B1765" i="2"/>
  <c r="B1766" i="2"/>
  <c r="B1767" i="2"/>
  <c r="B1768" i="2"/>
  <c r="H1768" i="2" s="1"/>
  <c r="B1769" i="2"/>
  <c r="B1770" i="2"/>
  <c r="B1771" i="2"/>
  <c r="H1771" i="2" s="1"/>
  <c r="B1772" i="2"/>
  <c r="B1773" i="2"/>
  <c r="B1774" i="2"/>
  <c r="B1775" i="2"/>
  <c r="H1775" i="2" s="1"/>
  <c r="B1776" i="2"/>
  <c r="H1776" i="2" s="1"/>
  <c r="B1777" i="2"/>
  <c r="B1778" i="2"/>
  <c r="B1779" i="2"/>
  <c r="H1779" i="2" s="1"/>
  <c r="B1780" i="2"/>
  <c r="H1780" i="2" s="1"/>
  <c r="B1781" i="2"/>
  <c r="B1782" i="2"/>
  <c r="B1783" i="2"/>
  <c r="B1784" i="2"/>
  <c r="H1784" i="2" s="1"/>
  <c r="B1785" i="2"/>
  <c r="B1786" i="2"/>
  <c r="B1787" i="2"/>
  <c r="H1787" i="2" s="1"/>
  <c r="B1788" i="2"/>
  <c r="B1789" i="2"/>
  <c r="B1790" i="2"/>
  <c r="B1791" i="2"/>
  <c r="H1791" i="2" s="1"/>
  <c r="B1792" i="2"/>
  <c r="H1792" i="2" s="1"/>
  <c r="B1793" i="2"/>
  <c r="B1794" i="2"/>
  <c r="B1795" i="2"/>
  <c r="H1795" i="2" s="1"/>
  <c r="B1796" i="2"/>
  <c r="H1796" i="2" s="1"/>
  <c r="B1797" i="2"/>
  <c r="B1798" i="2"/>
  <c r="B1799" i="2"/>
  <c r="B1800" i="2"/>
  <c r="H1800" i="2" s="1"/>
  <c r="B1801" i="2"/>
  <c r="B1802" i="2"/>
  <c r="B1803" i="2"/>
  <c r="H1803" i="2" s="1"/>
  <c r="B1804" i="2"/>
  <c r="B1805" i="2"/>
  <c r="B1806" i="2"/>
  <c r="B1807" i="2"/>
  <c r="H1807" i="2" s="1"/>
  <c r="B1808" i="2"/>
  <c r="H1808" i="2" s="1"/>
  <c r="B1809" i="2"/>
  <c r="B1810" i="2"/>
  <c r="B1811" i="2"/>
  <c r="H1811" i="2" s="1"/>
  <c r="B1812" i="2"/>
  <c r="H1812" i="2" s="1"/>
  <c r="B1813" i="2"/>
  <c r="B1814" i="2"/>
  <c r="B1815" i="2"/>
  <c r="B1816" i="2"/>
  <c r="H1816" i="2" s="1"/>
  <c r="B1817" i="2"/>
  <c r="B1818" i="2"/>
  <c r="B1819" i="2"/>
  <c r="H1819" i="2" s="1"/>
  <c r="B1820" i="2"/>
  <c r="B1821" i="2"/>
  <c r="B1822" i="2"/>
  <c r="B1823" i="2"/>
  <c r="H1823" i="2" s="1"/>
  <c r="B1824" i="2"/>
  <c r="H1824" i="2" s="1"/>
  <c r="B1825" i="2"/>
  <c r="B1826" i="2"/>
  <c r="B1827" i="2"/>
  <c r="H1827" i="2" s="1"/>
  <c r="B1828" i="2"/>
  <c r="H1828" i="2" s="1"/>
  <c r="B1829" i="2"/>
  <c r="B1830" i="2"/>
  <c r="B1831" i="2"/>
  <c r="B1832" i="2"/>
  <c r="H1832" i="2" s="1"/>
  <c r="B1833" i="2"/>
  <c r="B1834" i="2"/>
  <c r="B1835" i="2"/>
  <c r="H1835" i="2" s="1"/>
  <c r="B1836" i="2"/>
  <c r="H1836" i="2" s="1"/>
  <c r="B1837" i="2"/>
  <c r="B1838" i="2"/>
  <c r="B1839" i="2"/>
  <c r="H1839" i="2" s="1"/>
  <c r="B1840" i="2"/>
  <c r="H1840" i="2" s="1"/>
  <c r="B1841" i="2"/>
  <c r="B1842" i="2"/>
  <c r="B1843" i="2"/>
  <c r="H1843" i="2" s="1"/>
  <c r="B1844" i="2"/>
  <c r="H1844" i="2" s="1"/>
  <c r="B1845" i="2"/>
  <c r="B1846" i="2"/>
  <c r="B1847" i="2"/>
  <c r="B1848" i="2"/>
  <c r="H1848" i="2" s="1"/>
  <c r="B1849" i="2"/>
  <c r="B1850" i="2"/>
  <c r="B1851" i="2"/>
  <c r="H1851" i="2" s="1"/>
  <c r="B1852" i="2"/>
  <c r="H1852" i="2" s="1"/>
  <c r="B1853" i="2"/>
  <c r="B1854" i="2"/>
  <c r="B1855" i="2"/>
  <c r="H1855" i="2" s="1"/>
  <c r="B1856" i="2"/>
  <c r="H1856" i="2" s="1"/>
  <c r="B1857" i="2"/>
  <c r="B1858" i="2"/>
  <c r="B1859" i="2"/>
  <c r="H1859" i="2" s="1"/>
  <c r="B1860" i="2"/>
  <c r="H1860" i="2" s="1"/>
  <c r="B1861" i="2"/>
  <c r="B1862" i="2"/>
  <c r="B1863" i="2"/>
  <c r="B1864" i="2"/>
  <c r="H1864" i="2" s="1"/>
  <c r="B1865" i="2"/>
  <c r="B1866" i="2"/>
  <c r="B1867" i="2"/>
  <c r="H1867" i="2" s="1"/>
  <c r="B1868" i="2"/>
  <c r="H1868" i="2" s="1"/>
  <c r="B1869" i="2"/>
  <c r="B1870" i="2"/>
  <c r="B1871" i="2"/>
  <c r="H1871" i="2" s="1"/>
  <c r="B1872" i="2"/>
  <c r="H1872" i="2" s="1"/>
  <c r="B1873" i="2"/>
  <c r="B1874" i="2"/>
  <c r="B1875" i="2"/>
  <c r="H1875" i="2" s="1"/>
  <c r="B1876" i="2"/>
  <c r="H1876" i="2" s="1"/>
  <c r="B1877" i="2"/>
  <c r="B1878" i="2"/>
  <c r="B1879" i="2"/>
  <c r="B1880" i="2"/>
  <c r="H1880" i="2" s="1"/>
  <c r="B1881" i="2"/>
  <c r="B1882" i="2"/>
  <c r="B1883" i="2"/>
  <c r="H1883" i="2" s="1"/>
  <c r="B1884" i="2"/>
  <c r="H1884" i="2" s="1"/>
  <c r="B1885" i="2"/>
  <c r="B1886" i="2"/>
  <c r="B1887" i="2"/>
  <c r="H1887" i="2" s="1"/>
  <c r="B1888" i="2"/>
  <c r="H1888" i="2" s="1"/>
  <c r="B1889" i="2"/>
  <c r="B1890" i="2"/>
  <c r="B1891" i="2"/>
  <c r="H1891" i="2" s="1"/>
  <c r="B1892" i="2"/>
  <c r="H1892" i="2" s="1"/>
  <c r="B1893" i="2"/>
  <c r="B1894" i="2"/>
  <c r="B1895" i="2"/>
  <c r="B1896" i="2"/>
  <c r="H1896" i="2" s="1"/>
  <c r="B1897" i="2"/>
  <c r="B1898" i="2"/>
  <c r="B1899" i="2"/>
  <c r="H1899" i="2" s="1"/>
  <c r="B1900" i="2"/>
  <c r="H1900" i="2" s="1"/>
  <c r="B1901" i="2"/>
  <c r="B1902" i="2"/>
  <c r="B1903" i="2"/>
  <c r="H1903" i="2" s="1"/>
  <c r="B1904" i="2"/>
  <c r="H1904" i="2" s="1"/>
  <c r="B1905" i="2"/>
  <c r="B1906" i="2"/>
  <c r="B1907" i="2"/>
  <c r="H1907" i="2" s="1"/>
  <c r="B1908" i="2"/>
  <c r="H1908" i="2" s="1"/>
  <c r="B1909" i="2"/>
  <c r="B1910" i="2"/>
  <c r="B1911" i="2"/>
  <c r="B1912" i="2"/>
  <c r="H1912" i="2" s="1"/>
  <c r="B1913" i="2"/>
  <c r="B1914" i="2"/>
  <c r="B1915" i="2"/>
  <c r="H1915" i="2" s="1"/>
  <c r="B1916" i="2"/>
  <c r="H1916" i="2" s="1"/>
  <c r="B1917" i="2"/>
  <c r="B1918" i="2"/>
  <c r="B1919" i="2"/>
  <c r="H1919" i="2" s="1"/>
  <c r="B1920" i="2"/>
  <c r="H1920" i="2" s="1"/>
  <c r="B1921" i="2"/>
  <c r="B1922" i="2"/>
  <c r="B1923" i="2"/>
  <c r="H1923" i="2" s="1"/>
  <c r="B1924" i="2"/>
  <c r="H1924" i="2" s="1"/>
  <c r="B1925" i="2"/>
  <c r="B1926" i="2"/>
  <c r="B1927" i="2"/>
  <c r="B1928" i="2"/>
  <c r="H1928" i="2" s="1"/>
  <c r="B1929" i="2"/>
  <c r="B1930" i="2"/>
  <c r="B1931" i="2"/>
  <c r="H1931" i="2" s="1"/>
  <c r="B1932" i="2"/>
  <c r="H1932" i="2" s="1"/>
  <c r="B1933" i="2"/>
  <c r="B1934" i="2"/>
  <c r="B1935" i="2"/>
  <c r="H1935" i="2" s="1"/>
  <c r="B1936" i="2"/>
  <c r="H1936" i="2" s="1"/>
  <c r="B1937" i="2"/>
  <c r="B1938" i="2"/>
  <c r="B1939" i="2"/>
  <c r="H1939" i="2" s="1"/>
  <c r="B1940" i="2"/>
  <c r="H1940" i="2" s="1"/>
  <c r="B1941" i="2"/>
  <c r="B1942" i="2"/>
  <c r="B1943" i="2"/>
  <c r="B1944" i="2"/>
  <c r="H1944" i="2" s="1"/>
  <c r="B1945" i="2"/>
  <c r="B1946" i="2"/>
  <c r="B1947" i="2"/>
  <c r="H1947" i="2" s="1"/>
  <c r="B1948" i="2"/>
  <c r="H1948" i="2" s="1"/>
  <c r="B1949" i="2"/>
  <c r="B1950" i="2"/>
  <c r="B1951" i="2"/>
  <c r="H1951" i="2" s="1"/>
  <c r="B1952" i="2"/>
  <c r="H1952" i="2" s="1"/>
  <c r="B1953" i="2"/>
  <c r="B1954" i="2"/>
  <c r="B1955" i="2"/>
  <c r="H1955" i="2" s="1"/>
  <c r="B1956" i="2"/>
  <c r="H1956" i="2" s="1"/>
  <c r="B1957" i="2"/>
  <c r="B1958" i="2"/>
  <c r="B1959" i="2"/>
  <c r="B1960" i="2"/>
  <c r="H1960" i="2" s="1"/>
  <c r="B1961" i="2"/>
  <c r="B1962" i="2"/>
  <c r="B1963" i="2"/>
  <c r="H1963" i="2" s="1"/>
  <c r="B1964" i="2"/>
  <c r="H1964" i="2" s="1"/>
  <c r="B1965" i="2"/>
  <c r="B1966" i="2"/>
  <c r="B1967" i="2"/>
  <c r="H1967" i="2" s="1"/>
  <c r="B1968" i="2"/>
  <c r="H1968" i="2" s="1"/>
  <c r="B1969" i="2"/>
  <c r="B1970" i="2"/>
  <c r="B1971" i="2"/>
  <c r="H1971" i="2" s="1"/>
  <c r="B1972" i="2"/>
  <c r="H1972" i="2" s="1"/>
  <c r="B1973" i="2"/>
  <c r="B1974" i="2"/>
  <c r="B1975" i="2"/>
  <c r="B1976" i="2"/>
  <c r="H1976" i="2" s="1"/>
  <c r="B1977" i="2"/>
  <c r="B1978" i="2"/>
  <c r="B1979" i="2"/>
  <c r="H1979" i="2" s="1"/>
  <c r="B1980" i="2"/>
  <c r="H1980" i="2" s="1"/>
  <c r="B1981" i="2"/>
  <c r="B1982" i="2"/>
  <c r="B1983" i="2"/>
  <c r="H1983" i="2" s="1"/>
  <c r="B1984" i="2"/>
  <c r="H1984" i="2" s="1"/>
  <c r="B1985" i="2"/>
  <c r="B1986" i="2"/>
  <c r="B1987" i="2"/>
  <c r="H1987" i="2" s="1"/>
  <c r="B1988" i="2"/>
  <c r="H1988" i="2" s="1"/>
  <c r="B1989" i="2"/>
  <c r="B1990" i="2"/>
  <c r="B1991" i="2"/>
  <c r="B1992" i="2"/>
  <c r="H1992" i="2" s="1"/>
  <c r="B1993" i="2"/>
  <c r="B1994" i="2"/>
  <c r="B1995" i="2"/>
  <c r="H1995" i="2" s="1"/>
  <c r="B1996" i="2"/>
  <c r="B1997" i="2"/>
  <c r="B1998" i="2"/>
  <c r="B1999" i="2"/>
  <c r="H1999" i="2" s="1"/>
  <c r="B2000" i="2"/>
  <c r="H2000" i="2" s="1"/>
  <c r="B2001" i="2"/>
  <c r="B2002" i="2"/>
  <c r="B2003" i="2"/>
  <c r="H2003" i="2" s="1"/>
  <c r="B2004" i="2"/>
  <c r="H2004" i="2" s="1"/>
  <c r="B2005" i="2"/>
  <c r="B2006" i="2"/>
  <c r="B2007" i="2"/>
  <c r="B2008" i="2"/>
  <c r="H2008" i="2" s="1"/>
  <c r="B2009" i="2"/>
  <c r="B2010" i="2"/>
  <c r="B2011" i="2"/>
  <c r="H2011" i="2" s="1"/>
  <c r="B2012" i="2"/>
  <c r="B2013" i="2"/>
  <c r="B2014" i="2"/>
  <c r="B2015" i="2"/>
  <c r="H2015" i="2" s="1"/>
  <c r="B2016" i="2"/>
  <c r="H2016" i="2" s="1"/>
  <c r="B2017" i="2"/>
  <c r="B2018" i="2"/>
  <c r="B2019" i="2"/>
  <c r="H2019" i="2" s="1"/>
  <c r="B2020" i="2"/>
  <c r="H2020" i="2" s="1"/>
  <c r="B2021" i="2"/>
  <c r="B2022" i="2"/>
  <c r="B2023" i="2"/>
  <c r="B2024" i="2"/>
  <c r="H2024" i="2" s="1"/>
  <c r="B2025" i="2"/>
  <c r="B2026" i="2"/>
  <c r="B2027" i="2"/>
  <c r="H2027" i="2" s="1"/>
  <c r="B2028" i="2"/>
  <c r="B2029" i="2"/>
  <c r="B2030" i="2"/>
  <c r="B2031" i="2"/>
  <c r="H2031" i="2" s="1"/>
  <c r="B2032" i="2"/>
  <c r="H2032" i="2" s="1"/>
  <c r="B2033" i="2"/>
  <c r="B2034" i="2"/>
  <c r="B2035" i="2"/>
  <c r="H2035" i="2" s="1"/>
  <c r="B2036" i="2"/>
  <c r="H2036" i="2" s="1"/>
  <c r="B2037" i="2"/>
  <c r="B2038" i="2"/>
  <c r="B2039" i="2"/>
  <c r="B2040" i="2"/>
  <c r="H2040" i="2" s="1"/>
  <c r="B2041" i="2"/>
  <c r="B2042" i="2"/>
  <c r="B2043" i="2"/>
  <c r="H2043" i="2" s="1"/>
  <c r="B2044" i="2"/>
  <c r="B2045" i="2"/>
  <c r="B2046" i="2"/>
  <c r="B2047" i="2"/>
  <c r="H2047" i="2" s="1"/>
  <c r="B2048" i="2"/>
  <c r="H2048" i="2" s="1"/>
  <c r="B2049" i="2"/>
  <c r="B2050" i="2"/>
  <c r="B2051" i="2"/>
  <c r="H2051" i="2" s="1"/>
  <c r="B2052" i="2"/>
  <c r="H2052" i="2" s="1"/>
  <c r="B2053" i="2"/>
  <c r="B2054" i="2"/>
  <c r="B2055" i="2"/>
  <c r="B2056" i="2"/>
  <c r="H2056" i="2" s="1"/>
  <c r="B2057" i="2"/>
  <c r="B2058" i="2"/>
  <c r="B2059" i="2"/>
  <c r="H2059" i="2" s="1"/>
  <c r="B2060" i="2"/>
  <c r="B2061" i="2"/>
  <c r="B2062" i="2"/>
  <c r="B2063" i="2"/>
  <c r="H2063" i="2" s="1"/>
  <c r="B2064" i="2"/>
  <c r="H2064" i="2" s="1"/>
  <c r="B2065" i="2"/>
  <c r="B2066" i="2"/>
  <c r="B2067" i="2"/>
  <c r="H2067" i="2" s="1"/>
  <c r="B2068" i="2"/>
  <c r="H2068" i="2" s="1"/>
  <c r="B2069" i="2"/>
  <c r="B2070" i="2"/>
  <c r="B2071" i="2"/>
  <c r="B2072" i="2"/>
  <c r="H2072" i="2" s="1"/>
  <c r="B2073" i="2"/>
  <c r="B2074" i="2"/>
  <c r="B2075" i="2"/>
  <c r="H2075" i="2" s="1"/>
  <c r="B2076" i="2"/>
  <c r="B2077" i="2"/>
  <c r="B2078" i="2"/>
  <c r="B2079" i="2"/>
  <c r="H2079" i="2" s="1"/>
  <c r="B2080" i="2"/>
  <c r="H2080" i="2" s="1"/>
  <c r="B2081" i="2"/>
  <c r="B2082" i="2"/>
  <c r="B2083" i="2"/>
  <c r="H2083" i="2" s="1"/>
  <c r="B2084" i="2"/>
  <c r="H2084" i="2" s="1"/>
  <c r="B2085" i="2"/>
  <c r="B2086" i="2"/>
  <c r="B2087" i="2"/>
  <c r="B2088" i="2"/>
  <c r="H2088" i="2" s="1"/>
  <c r="B2089" i="2"/>
  <c r="B2090" i="2"/>
  <c r="B2091" i="2"/>
  <c r="H2091" i="2" s="1"/>
  <c r="B2092" i="2"/>
  <c r="B2093" i="2"/>
  <c r="B2094" i="2"/>
  <c r="B2095" i="2"/>
  <c r="H2095" i="2" s="1"/>
  <c r="B2096" i="2"/>
  <c r="H2096" i="2" s="1"/>
  <c r="B2097" i="2"/>
  <c r="B2098" i="2"/>
  <c r="B2099" i="2"/>
  <c r="H2099" i="2" s="1"/>
  <c r="B2100" i="2"/>
  <c r="H2100" i="2" s="1"/>
  <c r="B2101" i="2"/>
  <c r="B2102" i="2"/>
  <c r="B2103" i="2"/>
  <c r="B2104" i="2"/>
  <c r="H2104" i="2" s="1"/>
  <c r="B2105" i="2"/>
  <c r="B2106" i="2"/>
  <c r="B2107" i="2"/>
  <c r="H2107" i="2" s="1"/>
  <c r="B2108" i="2"/>
  <c r="B2109" i="2"/>
  <c r="B2110" i="2"/>
  <c r="B2111" i="2"/>
  <c r="H2111" i="2" s="1"/>
  <c r="B2112" i="2"/>
  <c r="H2112" i="2" s="1"/>
  <c r="B2113" i="2"/>
  <c r="B2114" i="2"/>
  <c r="B2115" i="2"/>
  <c r="H2115" i="2" s="1"/>
  <c r="B2116" i="2"/>
  <c r="H2116" i="2" s="1"/>
  <c r="B2117" i="2"/>
  <c r="B2118" i="2"/>
  <c r="B2119" i="2"/>
  <c r="B2120" i="2"/>
  <c r="H2120" i="2" s="1"/>
  <c r="B2121" i="2"/>
  <c r="B2122" i="2"/>
  <c r="B2123" i="2"/>
  <c r="H2123" i="2" s="1"/>
  <c r="B2124" i="2"/>
  <c r="B2125" i="2"/>
  <c r="B2126" i="2"/>
  <c r="B2127" i="2"/>
  <c r="H2127" i="2" s="1"/>
  <c r="B2128" i="2"/>
  <c r="H2128" i="2" s="1"/>
  <c r="B2129" i="2"/>
  <c r="B2130" i="2"/>
  <c r="B2131" i="2"/>
  <c r="H2131" i="2" s="1"/>
  <c r="B2132" i="2"/>
  <c r="H2132" i="2" s="1"/>
  <c r="B2133" i="2"/>
  <c r="B2134" i="2"/>
  <c r="B2135" i="2"/>
  <c r="B2136" i="2"/>
  <c r="H2136" i="2" s="1"/>
  <c r="B2137" i="2"/>
  <c r="B2138" i="2"/>
  <c r="B2139" i="2"/>
  <c r="H2139" i="2" s="1"/>
  <c r="B2140" i="2"/>
  <c r="B2141" i="2"/>
  <c r="B2142" i="2"/>
  <c r="B2143" i="2"/>
  <c r="H2143" i="2" s="1"/>
  <c r="B2144" i="2"/>
  <c r="H2144" i="2" s="1"/>
  <c r="B2145" i="2"/>
  <c r="B2146" i="2"/>
  <c r="B2147" i="2"/>
  <c r="H2147" i="2" s="1"/>
  <c r="B2148" i="2"/>
  <c r="H2148" i="2" s="1"/>
  <c r="B2149" i="2"/>
  <c r="B2150" i="2"/>
  <c r="B2151" i="2"/>
  <c r="B2152" i="2"/>
  <c r="H2152" i="2" s="1"/>
  <c r="B2153" i="2"/>
  <c r="B2154" i="2"/>
  <c r="B2155" i="2"/>
  <c r="H2155" i="2" s="1"/>
  <c r="B2156" i="2"/>
  <c r="B2157" i="2"/>
  <c r="B2158" i="2"/>
  <c r="B2159" i="2"/>
  <c r="H2159" i="2" s="1"/>
  <c r="B2160" i="2"/>
  <c r="H2160" i="2" s="1"/>
  <c r="B2161" i="2"/>
  <c r="B2162" i="2"/>
  <c r="B2163" i="2"/>
  <c r="H2163" i="2" s="1"/>
  <c r="B2164" i="2"/>
  <c r="H2164" i="2" s="1"/>
  <c r="B2165" i="2"/>
  <c r="B2166" i="2"/>
  <c r="B2167" i="2"/>
  <c r="B2168" i="2"/>
  <c r="H2168" i="2" s="1"/>
  <c r="B2169" i="2"/>
  <c r="B2170" i="2"/>
  <c r="B2171" i="2"/>
  <c r="H2171" i="2" s="1"/>
  <c r="B2172" i="2"/>
  <c r="B2173" i="2"/>
  <c r="B2174" i="2"/>
  <c r="B2175" i="2"/>
  <c r="H2175" i="2" s="1"/>
  <c r="B2176" i="2"/>
  <c r="H2176" i="2" s="1"/>
  <c r="B2177" i="2"/>
  <c r="B2178" i="2"/>
  <c r="B2179" i="2"/>
  <c r="H2179" i="2" s="1"/>
  <c r="B2180" i="2"/>
  <c r="H2180" i="2" s="1"/>
  <c r="B2181" i="2"/>
  <c r="B2182" i="2"/>
  <c r="B2183" i="2"/>
  <c r="B2184" i="2"/>
  <c r="H2184" i="2" s="1"/>
  <c r="B2185" i="2"/>
  <c r="B2186" i="2"/>
  <c r="B2187" i="2"/>
  <c r="H2187" i="2" s="1"/>
  <c r="B2188" i="2"/>
  <c r="B2189" i="2"/>
  <c r="B2190" i="2"/>
  <c r="B2191" i="2"/>
  <c r="H2191" i="2" s="1"/>
  <c r="B2192" i="2"/>
  <c r="H2192" i="2" s="1"/>
  <c r="B2193" i="2"/>
  <c r="B2194" i="2"/>
  <c r="B2195" i="2"/>
  <c r="H2195" i="2" s="1"/>
  <c r="B2196" i="2"/>
  <c r="H2196" i="2" s="1"/>
  <c r="B2197" i="2"/>
  <c r="B2198" i="2"/>
  <c r="B2199" i="2"/>
  <c r="B2200" i="2"/>
  <c r="H2200" i="2" s="1"/>
  <c r="B2201" i="2"/>
  <c r="B2202" i="2"/>
  <c r="B2203" i="2"/>
  <c r="H2203" i="2" s="1"/>
  <c r="B2204" i="2"/>
  <c r="B2205" i="2"/>
  <c r="B2206" i="2"/>
  <c r="B2207" i="2"/>
  <c r="H2207" i="2" s="1"/>
  <c r="B2208" i="2"/>
  <c r="H2208" i="2" s="1"/>
  <c r="B2209" i="2"/>
  <c r="B2210" i="2"/>
  <c r="B2211" i="2"/>
  <c r="H2211" i="2" s="1"/>
  <c r="B2212" i="2"/>
  <c r="H2212" i="2" s="1"/>
  <c r="B2213" i="2"/>
  <c r="B2214" i="2"/>
  <c r="B2215" i="2"/>
  <c r="H2215" i="2" s="1"/>
  <c r="B2216" i="2"/>
  <c r="H2216" i="2" s="1"/>
  <c r="B2217" i="2"/>
  <c r="B2218" i="2"/>
  <c r="B2219" i="2"/>
  <c r="H2219" i="2" s="1"/>
  <c r="B2220" i="2"/>
  <c r="B2221" i="2"/>
  <c r="B2222" i="2"/>
  <c r="B2223" i="2"/>
  <c r="H2223" i="2" s="1"/>
  <c r="B2224" i="2"/>
  <c r="H2224" i="2" s="1"/>
  <c r="B2225" i="2"/>
  <c r="B2226" i="2"/>
  <c r="B2227" i="2"/>
  <c r="H2227" i="2" s="1"/>
  <c r="B2228" i="2"/>
  <c r="H2228" i="2" s="1"/>
  <c r="B2229" i="2"/>
  <c r="B2230" i="2"/>
  <c r="B2231" i="2"/>
  <c r="H2231" i="2" s="1"/>
  <c r="B2232" i="2"/>
  <c r="H2232" i="2" s="1"/>
  <c r="B2233" i="2"/>
  <c r="B2234" i="2"/>
  <c r="B2235" i="2"/>
  <c r="H2235" i="2" s="1"/>
  <c r="B2236" i="2"/>
  <c r="B2237" i="2"/>
  <c r="B2238" i="2"/>
  <c r="B2239" i="2"/>
  <c r="H2239" i="2" s="1"/>
  <c r="B2240" i="2"/>
  <c r="H2240" i="2" s="1"/>
  <c r="B2241" i="2"/>
  <c r="B2242" i="2"/>
  <c r="B2243" i="2"/>
  <c r="H2243" i="2" s="1"/>
  <c r="B2244" i="2"/>
  <c r="H2244" i="2" s="1"/>
  <c r="B2245" i="2"/>
  <c r="B2246" i="2"/>
  <c r="B2247" i="2"/>
  <c r="H2247" i="2" s="1"/>
  <c r="B2248" i="2"/>
  <c r="H2248" i="2" s="1"/>
  <c r="B2249" i="2"/>
  <c r="B2250" i="2"/>
  <c r="B2251" i="2"/>
  <c r="H2251" i="2" s="1"/>
  <c r="B2252" i="2"/>
  <c r="B2253" i="2"/>
  <c r="B2254" i="2"/>
  <c r="B2255" i="2"/>
  <c r="H2255" i="2" s="1"/>
  <c r="B2256" i="2"/>
  <c r="H2256" i="2" s="1"/>
  <c r="B2257" i="2"/>
  <c r="B2258" i="2"/>
  <c r="B2259" i="2"/>
  <c r="H2259" i="2" s="1"/>
  <c r="B2260" i="2"/>
  <c r="H2260" i="2" s="1"/>
  <c r="B2261" i="2"/>
  <c r="B2262" i="2"/>
  <c r="B2263" i="2"/>
  <c r="H2263" i="2" s="1"/>
  <c r="B2264" i="2"/>
  <c r="H2264" i="2" s="1"/>
  <c r="B2265" i="2"/>
  <c r="B2266" i="2"/>
  <c r="B2267" i="2"/>
  <c r="H2267" i="2" s="1"/>
  <c r="B2268" i="2"/>
  <c r="G2268" i="2" s="1"/>
  <c r="H2268" i="2" s="1"/>
  <c r="B2269" i="2"/>
  <c r="B2270" i="2"/>
  <c r="B2271" i="2"/>
  <c r="H2271" i="2" s="1"/>
  <c r="B2272" i="2"/>
  <c r="H2272" i="2" s="1"/>
  <c r="B2273" i="2"/>
  <c r="H2273" i="2" s="1"/>
  <c r="B2274" i="2"/>
  <c r="B2275" i="2"/>
  <c r="H2275" i="2" s="1"/>
  <c r="B2276" i="2"/>
  <c r="H2276" i="2" s="1"/>
  <c r="B2277" i="2"/>
  <c r="H2277" i="2" s="1"/>
  <c r="B2278" i="2"/>
  <c r="B2279" i="2"/>
  <c r="H2279" i="2" s="1"/>
  <c r="B2280" i="2"/>
  <c r="H2280" i="2" s="1"/>
  <c r="B2281" i="2"/>
  <c r="H2281" i="2" s="1"/>
  <c r="B2282" i="2"/>
  <c r="B2283" i="2"/>
  <c r="H2283" i="2" s="1"/>
  <c r="B2284" i="2"/>
  <c r="H2284" i="2" s="1"/>
  <c r="B2285" i="2"/>
  <c r="B2286" i="2"/>
  <c r="B2287" i="2"/>
  <c r="H2287" i="2" s="1"/>
  <c r="B2288" i="2"/>
  <c r="H2288" i="2" s="1"/>
  <c r="B2289" i="2"/>
  <c r="H2289" i="2" s="1"/>
  <c r="B2290" i="2"/>
  <c r="B2291" i="2"/>
  <c r="H2291" i="2" s="1"/>
  <c r="B2292" i="2"/>
  <c r="H2292" i="2" s="1"/>
  <c r="B2293" i="2"/>
  <c r="H2293" i="2" s="1"/>
  <c r="B2294" i="2"/>
  <c r="B2295" i="2"/>
  <c r="H2295" i="2" s="1"/>
  <c r="B2296" i="2"/>
  <c r="H2296" i="2" s="1"/>
  <c r="B2297" i="2"/>
  <c r="H2297" i="2" s="1"/>
  <c r="B2298" i="2"/>
  <c r="B2299" i="2"/>
  <c r="H2299" i="2" s="1"/>
  <c r="B2300" i="2"/>
  <c r="H2300" i="2" s="1"/>
  <c r="B2301" i="2"/>
  <c r="B2302" i="2"/>
  <c r="B2303" i="2"/>
  <c r="H2303" i="2" s="1"/>
  <c r="B2304" i="2"/>
  <c r="H2304" i="2" s="1"/>
  <c r="B2305" i="2"/>
  <c r="H2305" i="2" s="1"/>
  <c r="B2306" i="2"/>
  <c r="B2307" i="2"/>
  <c r="H2307" i="2" s="1"/>
  <c r="B2308" i="2"/>
  <c r="H2308" i="2" s="1"/>
  <c r="B2309" i="2"/>
  <c r="H2309" i="2" s="1"/>
  <c r="B2310" i="2"/>
  <c r="B2311" i="2"/>
  <c r="H2311" i="2" s="1"/>
  <c r="B2312" i="2"/>
  <c r="H2312" i="2" s="1"/>
  <c r="B2313" i="2"/>
  <c r="H2313" i="2" s="1"/>
  <c r="B2314" i="2"/>
  <c r="B2315" i="2"/>
  <c r="H2315" i="2" s="1"/>
  <c r="B2316" i="2"/>
  <c r="H2316" i="2" s="1"/>
  <c r="B2317" i="2"/>
  <c r="B2318" i="2"/>
  <c r="B2319" i="2"/>
  <c r="H2319" i="2" s="1"/>
  <c r="B2320" i="2"/>
  <c r="H2320" i="2" s="1"/>
  <c r="B2321" i="2"/>
  <c r="H2321" i="2" s="1"/>
  <c r="B2322" i="2"/>
  <c r="B2323" i="2"/>
  <c r="H2323" i="2" s="1"/>
  <c r="B2324" i="2"/>
  <c r="H2324" i="2" s="1"/>
  <c r="B2325" i="2"/>
  <c r="H2325" i="2" s="1"/>
  <c r="B2326" i="2"/>
  <c r="B2327" i="2"/>
  <c r="H2327" i="2" s="1"/>
  <c r="B2328" i="2"/>
  <c r="H2328" i="2" s="1"/>
  <c r="B2329" i="2"/>
  <c r="H2329" i="2" s="1"/>
  <c r="B2330" i="2"/>
  <c r="B2331" i="2"/>
  <c r="H2331" i="2" s="1"/>
  <c r="B2332" i="2"/>
  <c r="H2332" i="2" s="1"/>
  <c r="B2333" i="2"/>
  <c r="B2" i="2"/>
  <c r="F2" i="2"/>
  <c r="J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4" i="5"/>
  <c r="J85" i="5"/>
  <c r="J86" i="5"/>
  <c r="J87" i="5"/>
  <c r="J88" i="5"/>
  <c r="J89" i="5"/>
  <c r="J90" i="5"/>
  <c r="J91" i="5"/>
  <c r="J92" i="5"/>
  <c r="J93" i="5"/>
  <c r="J94" i="5"/>
  <c r="J95" i="5"/>
  <c r="J96" i="5"/>
  <c r="J97" i="5"/>
  <c r="J98" i="5"/>
  <c r="J99" i="5"/>
  <c r="J100" i="5"/>
  <c r="J101" i="5"/>
  <c r="J102" i="5"/>
  <c r="J103" i="5"/>
  <c r="J104" i="5"/>
  <c r="J105" i="5"/>
  <c r="J106" i="5"/>
  <c r="J107" i="5"/>
  <c r="J108" i="5"/>
  <c r="J109" i="5"/>
  <c r="J110" i="5"/>
  <c r="J111" i="5"/>
  <c r="J112" i="5"/>
  <c r="J113" i="5"/>
  <c r="J114" i="5"/>
  <c r="J115" i="5"/>
  <c r="J116" i="5"/>
  <c r="J117" i="5"/>
  <c r="J118" i="5"/>
  <c r="J119" i="5"/>
  <c r="J120" i="5"/>
  <c r="J121" i="5"/>
  <c r="J122" i="5"/>
  <c r="J123" i="5"/>
  <c r="J124" i="5"/>
  <c r="J125" i="5"/>
  <c r="J126" i="5"/>
  <c r="J127" i="5"/>
  <c r="J128" i="5"/>
  <c r="J129" i="5"/>
  <c r="J130" i="5"/>
  <c r="J131" i="5"/>
  <c r="J132" i="5"/>
  <c r="J133" i="5"/>
  <c r="J134" i="5"/>
  <c r="J135" i="5"/>
  <c r="J136" i="5"/>
  <c r="J137" i="5"/>
  <c r="J138" i="5"/>
  <c r="J139" i="5"/>
  <c r="J140" i="5"/>
  <c r="J141" i="5"/>
  <c r="J142" i="5"/>
  <c r="J143" i="5"/>
  <c r="J144" i="5"/>
  <c r="J145" i="5"/>
  <c r="J146" i="5"/>
  <c r="J147" i="5"/>
  <c r="J148" i="5"/>
  <c r="J149" i="5"/>
  <c r="J150" i="5"/>
  <c r="J151" i="5"/>
  <c r="J152" i="5"/>
  <c r="J153" i="5"/>
  <c r="J154" i="5"/>
  <c r="J155" i="5"/>
  <c r="J156" i="5"/>
  <c r="J157" i="5"/>
  <c r="J158" i="5"/>
  <c r="J159" i="5"/>
  <c r="J160" i="5"/>
  <c r="J161" i="5"/>
  <c r="J162" i="5"/>
  <c r="J163" i="5"/>
  <c r="J164" i="5"/>
  <c r="J165" i="5"/>
  <c r="J166" i="5"/>
  <c r="J167" i="5"/>
  <c r="J168" i="5"/>
  <c r="J169" i="5"/>
  <c r="J170" i="5"/>
  <c r="J171" i="5"/>
  <c r="J172" i="5"/>
  <c r="J173" i="5"/>
  <c r="J174" i="5"/>
  <c r="J175" i="5"/>
  <c r="J176" i="5"/>
  <c r="J177" i="5"/>
  <c r="J178" i="5"/>
  <c r="J179" i="5"/>
  <c r="J180" i="5"/>
  <c r="J181" i="5"/>
  <c r="J182" i="5"/>
  <c r="J183" i="5"/>
  <c r="J184" i="5"/>
  <c r="J185" i="5"/>
  <c r="J186" i="5"/>
  <c r="J187" i="5"/>
  <c r="J188" i="5"/>
  <c r="J189" i="5"/>
  <c r="J190" i="5"/>
  <c r="J191" i="5"/>
  <c r="J192" i="5"/>
  <c r="J193" i="5"/>
  <c r="J194" i="5"/>
  <c r="J195" i="5"/>
  <c r="J196" i="5"/>
  <c r="J197" i="5"/>
  <c r="J198" i="5"/>
  <c r="J199" i="5"/>
  <c r="J200" i="5"/>
  <c r="J201" i="5"/>
  <c r="J202" i="5"/>
  <c r="J203" i="5"/>
  <c r="J204" i="5"/>
  <c r="J205" i="5"/>
  <c r="J206" i="5"/>
  <c r="J207" i="5"/>
  <c r="J208" i="5"/>
  <c r="J209" i="5"/>
  <c r="J210" i="5"/>
  <c r="J211" i="5"/>
  <c r="J212" i="5"/>
  <c r="J213" i="5"/>
  <c r="J214" i="5"/>
  <c r="J215" i="5"/>
  <c r="J216" i="5"/>
  <c r="J217" i="5"/>
  <c r="J218" i="5"/>
  <c r="J219" i="5"/>
  <c r="J220" i="5"/>
  <c r="J221" i="5"/>
  <c r="J222" i="5"/>
  <c r="J223" i="5"/>
  <c r="J224" i="5"/>
  <c r="J225" i="5"/>
  <c r="J226" i="5"/>
  <c r="J227" i="5"/>
  <c r="J228" i="5"/>
  <c r="J229" i="5"/>
  <c r="J230" i="5"/>
  <c r="J231" i="5"/>
  <c r="J232" i="5"/>
  <c r="J233" i="5"/>
  <c r="J234" i="5"/>
  <c r="J235" i="5"/>
  <c r="J236" i="5"/>
  <c r="J237" i="5"/>
  <c r="J238" i="5"/>
  <c r="J239" i="5"/>
  <c r="J240" i="5"/>
  <c r="J241" i="5"/>
  <c r="J242" i="5"/>
  <c r="J243" i="5"/>
  <c r="J244" i="5"/>
  <c r="J245" i="5"/>
  <c r="J246" i="5"/>
  <c r="J247" i="5"/>
  <c r="J248" i="5"/>
  <c r="J249" i="5"/>
  <c r="J250" i="5"/>
  <c r="J251" i="5"/>
  <c r="J252" i="5"/>
  <c r="J253" i="5"/>
  <c r="J254" i="5"/>
  <c r="J255" i="5"/>
  <c r="J256" i="5"/>
  <c r="J257" i="5"/>
  <c r="J258" i="5"/>
  <c r="J259" i="5"/>
  <c r="J260" i="5"/>
  <c r="J261" i="5"/>
  <c r="J262" i="5"/>
  <c r="J263" i="5"/>
  <c r="J264" i="5"/>
  <c r="J265" i="5"/>
  <c r="J266" i="5"/>
  <c r="J267" i="5"/>
  <c r="J268" i="5"/>
  <c r="J269" i="5"/>
  <c r="J270" i="5"/>
  <c r="J271" i="5"/>
  <c r="J272" i="5"/>
  <c r="J273" i="5"/>
  <c r="J274" i="5"/>
  <c r="J275" i="5"/>
  <c r="J276" i="5"/>
  <c r="J277" i="5"/>
  <c r="J278" i="5"/>
  <c r="J279" i="5"/>
  <c r="J280" i="5"/>
  <c r="J281" i="5"/>
  <c r="J282" i="5"/>
  <c r="J283" i="5"/>
  <c r="J284" i="5"/>
  <c r="J285" i="5"/>
  <c r="J286" i="5"/>
  <c r="J287" i="5"/>
  <c r="J288" i="5"/>
  <c r="J289" i="5"/>
  <c r="J290" i="5"/>
  <c r="J291" i="5"/>
  <c r="J292" i="5"/>
  <c r="J293" i="5"/>
  <c r="J294" i="5"/>
  <c r="J295" i="5"/>
  <c r="J296" i="5"/>
  <c r="J297" i="5"/>
  <c r="J298" i="5"/>
  <c r="J299" i="5"/>
  <c r="J300" i="5"/>
  <c r="J301" i="5"/>
  <c r="J302" i="5"/>
  <c r="J303" i="5"/>
  <c r="J304" i="5"/>
  <c r="J305" i="5"/>
  <c r="J306" i="5"/>
  <c r="J307" i="5"/>
  <c r="J308" i="5"/>
  <c r="J309" i="5"/>
  <c r="J310" i="5"/>
  <c r="J311" i="5"/>
  <c r="J312" i="5"/>
  <c r="J313" i="5"/>
  <c r="J314" i="5"/>
  <c r="J315" i="5"/>
  <c r="J316" i="5"/>
  <c r="J317" i="5"/>
  <c r="J318" i="5"/>
  <c r="J319" i="5"/>
  <c r="J320" i="5"/>
  <c r="J321" i="5"/>
  <c r="J322" i="5"/>
  <c r="J323" i="5"/>
  <c r="J324" i="5"/>
  <c r="J325" i="5"/>
  <c r="J326" i="5"/>
  <c r="J327" i="5"/>
  <c r="J328" i="5"/>
  <c r="J329" i="5"/>
  <c r="J330" i="5"/>
  <c r="J331" i="5"/>
  <c r="J332" i="5"/>
  <c r="J333" i="5"/>
  <c r="J334" i="5"/>
  <c r="J335" i="5"/>
  <c r="J336" i="5"/>
  <c r="J337" i="5"/>
  <c r="J338" i="5"/>
  <c r="J339" i="5"/>
  <c r="J2" i="5"/>
  <c r="E2268" i="3"/>
  <c r="E2267" i="3"/>
  <c r="E2266" i="3"/>
  <c r="E2265" i="3"/>
  <c r="E2264" i="3"/>
  <c r="E2263" i="3"/>
  <c r="E2262" i="3"/>
  <c r="E2261" i="3"/>
  <c r="E2260" i="3"/>
  <c r="E2259" i="3"/>
  <c r="E2258" i="3"/>
  <c r="E2257" i="3"/>
  <c r="E2256" i="3"/>
  <c r="E2255" i="3"/>
  <c r="E2254" i="3"/>
  <c r="E2253" i="3"/>
  <c r="E2252" i="3"/>
  <c r="E2251" i="3"/>
  <c r="E2250" i="3"/>
  <c r="E2249" i="3"/>
  <c r="E2248" i="3"/>
  <c r="E2247" i="3"/>
  <c r="E2246" i="3"/>
  <c r="E2245" i="3"/>
  <c r="E2244" i="3"/>
  <c r="E2243" i="3"/>
  <c r="E2242" i="3"/>
  <c r="E2241" i="3"/>
  <c r="E2240" i="3"/>
  <c r="E2239" i="3"/>
  <c r="E2238" i="3"/>
  <c r="E2237" i="3"/>
  <c r="E2236" i="3"/>
  <c r="E2235" i="3"/>
  <c r="E2234" i="3"/>
  <c r="E2233" i="3"/>
  <c r="E2232" i="3"/>
  <c r="E2231" i="3"/>
  <c r="E2230" i="3"/>
  <c r="E2229" i="3"/>
  <c r="E2228" i="3"/>
  <c r="E2227" i="3"/>
  <c r="E2226" i="3"/>
  <c r="E2225" i="3"/>
  <c r="E2224" i="3"/>
  <c r="E2223" i="3"/>
  <c r="E2222" i="3"/>
  <c r="E2221" i="3"/>
  <c r="E2220" i="3"/>
  <c r="E2219" i="3"/>
  <c r="E2218" i="3"/>
  <c r="E2217" i="3"/>
  <c r="E2216" i="3"/>
  <c r="E2215" i="3"/>
  <c r="E2214" i="3"/>
  <c r="E2213" i="3"/>
  <c r="E2212" i="3"/>
  <c r="E2211" i="3"/>
  <c r="E2210" i="3"/>
  <c r="E2209" i="3"/>
  <c r="E2208" i="3"/>
  <c r="E2207" i="3"/>
  <c r="E2206" i="3"/>
  <c r="E2205" i="3"/>
  <c r="E2204" i="3"/>
  <c r="E2202" i="3"/>
  <c r="E2201" i="3"/>
  <c r="E2200" i="3"/>
  <c r="E2199" i="3"/>
  <c r="E2198" i="3"/>
  <c r="E2197" i="3"/>
  <c r="E2196" i="3"/>
  <c r="E2195" i="3"/>
  <c r="E2194" i="3"/>
  <c r="E2193" i="3"/>
  <c r="E2192" i="3"/>
  <c r="E2191" i="3"/>
  <c r="E2190" i="3"/>
  <c r="E2189" i="3"/>
  <c r="E2188" i="3"/>
  <c r="E2187" i="3"/>
  <c r="E2186" i="3"/>
  <c r="E2185" i="3"/>
  <c r="E2184" i="3"/>
  <c r="E2183" i="3"/>
  <c r="E2182" i="3"/>
  <c r="E2181" i="3"/>
  <c r="E2180" i="3"/>
  <c r="E2179" i="3"/>
  <c r="E2178" i="3"/>
  <c r="E2177" i="3"/>
  <c r="E2176" i="3"/>
  <c r="E2175" i="3"/>
  <c r="E2174" i="3"/>
  <c r="E2173" i="3"/>
  <c r="E2172" i="3"/>
  <c r="E2171" i="3"/>
  <c r="E2170" i="3"/>
  <c r="E2169" i="3"/>
  <c r="E2168" i="3"/>
  <c r="E2167" i="3"/>
  <c r="E2166" i="3"/>
  <c r="E2165" i="3"/>
  <c r="E2164" i="3"/>
  <c r="E2163" i="3"/>
  <c r="E2162" i="3"/>
  <c r="E2161" i="3"/>
  <c r="E2160" i="3"/>
  <c r="E2159" i="3"/>
  <c r="E2158" i="3"/>
  <c r="E2157" i="3"/>
  <c r="E2156" i="3"/>
  <c r="E2155" i="3"/>
  <c r="E2154" i="3"/>
  <c r="E2153" i="3"/>
  <c r="E2152" i="3"/>
  <c r="E2151" i="3"/>
  <c r="E2150" i="3"/>
  <c r="E2149" i="3"/>
  <c r="E2148" i="3"/>
  <c r="E2147" i="3"/>
  <c r="E2146" i="3"/>
  <c r="E2145" i="3"/>
  <c r="E2144" i="3"/>
  <c r="E2143" i="3"/>
  <c r="E2142" i="3"/>
  <c r="E2141" i="3"/>
  <c r="E2140" i="3"/>
  <c r="E2139" i="3"/>
  <c r="E2138" i="3"/>
  <c r="E2137" i="3"/>
  <c r="E2136" i="3"/>
  <c r="E2135" i="3"/>
  <c r="E2134" i="3"/>
  <c r="E2133" i="3"/>
  <c r="E2132" i="3"/>
  <c r="E2131" i="3"/>
  <c r="E2130" i="3"/>
  <c r="E2129" i="3"/>
  <c r="E2128" i="3"/>
  <c r="E2127" i="3"/>
  <c r="E2126" i="3"/>
  <c r="E2125" i="3"/>
  <c r="E2124" i="3"/>
  <c r="E2123" i="3"/>
  <c r="E2122" i="3"/>
  <c r="E2121" i="3"/>
  <c r="E2120" i="3"/>
  <c r="E2119" i="3"/>
  <c r="E2118" i="3"/>
  <c r="E2117" i="3"/>
  <c r="E2116" i="3"/>
  <c r="E2115" i="3"/>
  <c r="E2114" i="3"/>
  <c r="E2113" i="3"/>
  <c r="E2112" i="3"/>
  <c r="E2111" i="3"/>
  <c r="E2110" i="3"/>
  <c r="E2109" i="3"/>
  <c r="E2108" i="3"/>
  <c r="E2107" i="3"/>
  <c r="E2106" i="3"/>
  <c r="E2104" i="3"/>
  <c r="E2103" i="3"/>
  <c r="E2102" i="3"/>
  <c r="E2100" i="3"/>
  <c r="E2099" i="3"/>
  <c r="E2097" i="3"/>
  <c r="E2096" i="3"/>
  <c r="E2095" i="3"/>
  <c r="E2092" i="3"/>
  <c r="E2091" i="3"/>
  <c r="E2090" i="3"/>
  <c r="E2089" i="3"/>
  <c r="E2088" i="3"/>
  <c r="E2087" i="3"/>
  <c r="E2085" i="3"/>
  <c r="E2084" i="3"/>
  <c r="E2083" i="3"/>
  <c r="E2082" i="3"/>
  <c r="E2081" i="3"/>
  <c r="E2080" i="3"/>
  <c r="E2079" i="3"/>
  <c r="E2078" i="3"/>
  <c r="E2077" i="3"/>
  <c r="E2076" i="3"/>
  <c r="E2075" i="3"/>
  <c r="E2074" i="3"/>
  <c r="E2073" i="3"/>
  <c r="E2072" i="3"/>
  <c r="E2071" i="3"/>
  <c r="E2070" i="3"/>
  <c r="E2068" i="3"/>
  <c r="E2067" i="3"/>
  <c r="E2066" i="3"/>
  <c r="E2065" i="3"/>
  <c r="E2064" i="3"/>
  <c r="E2063" i="3"/>
  <c r="E2062" i="3"/>
  <c r="E2060" i="3"/>
  <c r="E2059" i="3"/>
  <c r="E2058" i="3"/>
  <c r="E2057" i="3"/>
  <c r="E2056" i="3"/>
  <c r="E2055" i="3"/>
  <c r="E2054" i="3"/>
  <c r="E2053" i="3"/>
  <c r="E2052" i="3"/>
  <c r="E2051" i="3"/>
  <c r="E2050" i="3"/>
  <c r="E2048" i="3"/>
  <c r="E2047" i="3"/>
  <c r="E2046" i="3"/>
  <c r="E2044" i="3"/>
  <c r="E2043" i="3"/>
  <c r="E2042" i="3"/>
  <c r="E2041" i="3"/>
  <c r="E2040" i="3"/>
  <c r="E2039" i="3"/>
  <c r="E2038" i="3"/>
  <c r="E2037" i="3"/>
  <c r="E2036" i="3"/>
  <c r="E2035" i="3"/>
  <c r="E2034" i="3"/>
  <c r="E2033" i="3"/>
  <c r="E2032" i="3"/>
  <c r="E2031" i="3"/>
  <c r="E2030" i="3"/>
  <c r="E2029" i="3"/>
  <c r="E2028" i="3"/>
  <c r="E2027" i="3"/>
  <c r="E2026" i="3"/>
  <c r="E2025" i="3"/>
  <c r="E2024" i="3"/>
  <c r="E2023" i="3"/>
  <c r="E2022" i="3"/>
  <c r="E2021" i="3"/>
  <c r="E2020" i="3"/>
  <c r="E2019" i="3"/>
  <c r="E2018" i="3"/>
  <c r="E2017" i="3"/>
  <c r="E2016" i="3"/>
  <c r="E2015" i="3"/>
  <c r="E2014" i="3"/>
  <c r="E2013" i="3"/>
  <c r="E2012" i="3"/>
  <c r="E2011" i="3"/>
  <c r="E2010" i="3"/>
  <c r="E2009" i="3"/>
  <c r="E2008" i="3"/>
  <c r="E2007" i="3"/>
  <c r="E2006" i="3"/>
  <c r="E2005" i="3"/>
  <c r="E2004" i="3"/>
  <c r="E2003" i="3"/>
  <c r="E2002" i="3"/>
  <c r="E2001" i="3"/>
  <c r="E2000" i="3"/>
  <c r="E1999" i="3"/>
  <c r="E1998" i="3"/>
  <c r="E1997" i="3"/>
  <c r="E1996" i="3"/>
  <c r="E1995" i="3"/>
  <c r="E1994" i="3"/>
  <c r="E1993" i="3"/>
  <c r="E1992" i="3"/>
  <c r="E1991" i="3"/>
  <c r="E1990" i="3"/>
  <c r="E1989" i="3"/>
  <c r="E1988" i="3"/>
  <c r="E1987" i="3"/>
  <c r="E1986" i="3"/>
  <c r="E1985" i="3"/>
  <c r="E1984" i="3"/>
  <c r="E1983" i="3"/>
  <c r="E1982" i="3"/>
  <c r="E1981" i="3"/>
  <c r="E1980" i="3"/>
  <c r="E1979" i="3"/>
  <c r="E1978" i="3"/>
  <c r="E1977" i="3"/>
  <c r="E1976" i="3"/>
  <c r="E1975" i="3"/>
  <c r="E1974" i="3"/>
  <c r="E1973" i="3"/>
  <c r="E1972" i="3"/>
  <c r="E1971" i="3"/>
  <c r="E1970" i="3"/>
  <c r="E1969" i="3"/>
  <c r="E1968" i="3"/>
  <c r="E1967" i="3"/>
  <c r="E1966" i="3"/>
  <c r="E1965" i="3"/>
  <c r="E1964" i="3"/>
  <c r="E1963" i="3"/>
  <c r="E1960" i="3"/>
  <c r="E1959" i="3"/>
  <c r="E1958" i="3"/>
  <c r="E1957" i="3"/>
  <c r="E1956" i="3"/>
  <c r="E1953" i="3"/>
  <c r="E1951" i="3"/>
  <c r="E1950" i="3"/>
  <c r="E1949" i="3"/>
  <c r="E1948" i="3"/>
  <c r="E1947" i="3"/>
  <c r="E1946" i="3"/>
  <c r="E1945" i="3"/>
  <c r="E1944" i="3"/>
  <c r="E1943" i="3"/>
  <c r="E1942" i="3"/>
  <c r="E1941" i="3"/>
  <c r="E1940" i="3"/>
  <c r="E1938" i="3"/>
  <c r="E1936" i="3"/>
  <c r="E1935" i="3"/>
  <c r="E1934" i="3"/>
  <c r="E1933" i="3"/>
  <c r="E1932" i="3"/>
  <c r="E1931" i="3"/>
  <c r="E1929" i="3"/>
  <c r="E1928" i="3"/>
  <c r="E1927" i="3"/>
  <c r="E1926" i="3"/>
  <c r="E1925" i="3"/>
  <c r="E1924" i="3"/>
  <c r="E1923" i="3"/>
  <c r="E1922" i="3"/>
  <c r="E1921" i="3"/>
  <c r="E1920" i="3"/>
  <c r="E1917" i="3"/>
  <c r="E1916" i="3"/>
  <c r="E1915" i="3"/>
  <c r="E1914" i="3"/>
  <c r="E1913" i="3"/>
  <c r="E1912" i="3"/>
  <c r="E1911" i="3"/>
  <c r="E1910" i="3"/>
  <c r="E1909" i="3"/>
  <c r="E1908" i="3"/>
  <c r="E1907" i="3"/>
  <c r="E1906" i="3"/>
  <c r="E1905" i="3"/>
  <c r="E1904" i="3"/>
  <c r="E1903" i="3"/>
  <c r="E1902" i="3"/>
  <c r="E1901" i="3"/>
  <c r="E1900" i="3"/>
  <c r="E1899" i="3"/>
  <c r="E1898" i="3"/>
  <c r="E1897" i="3"/>
  <c r="E1896" i="3"/>
  <c r="E1895" i="3"/>
  <c r="E1894" i="3"/>
  <c r="E1893" i="3"/>
  <c r="E1892" i="3"/>
  <c r="E1891" i="3"/>
  <c r="E1890" i="3"/>
  <c r="E1889" i="3"/>
  <c r="E1888" i="3"/>
  <c r="E1887" i="3"/>
  <c r="E1886" i="3"/>
  <c r="E1885" i="3"/>
  <c r="E1884" i="3"/>
  <c r="E1883" i="3"/>
  <c r="E1882" i="3"/>
  <c r="E1881" i="3"/>
  <c r="E1880" i="3"/>
  <c r="E1879" i="3"/>
  <c r="E1878" i="3"/>
  <c r="E1877" i="3"/>
  <c r="E1876" i="3"/>
  <c r="E1875" i="3"/>
  <c r="E1874" i="3"/>
  <c r="E1873" i="3"/>
  <c r="E1872" i="3"/>
  <c r="E1871" i="3"/>
  <c r="E1870" i="3"/>
  <c r="E1869" i="3"/>
  <c r="E1867" i="3"/>
  <c r="E1866" i="3"/>
  <c r="E1861" i="3"/>
  <c r="E1860" i="3"/>
  <c r="E1859" i="3"/>
  <c r="E1858" i="3"/>
  <c r="E1857" i="3"/>
  <c r="E1856" i="3"/>
  <c r="E1855" i="3"/>
  <c r="E1854" i="3"/>
  <c r="E1853" i="3"/>
  <c r="E1852" i="3"/>
  <c r="E1851" i="3"/>
  <c r="E1850" i="3"/>
  <c r="E1849" i="3"/>
  <c r="E1848" i="3"/>
  <c r="E1847" i="3"/>
  <c r="E1846" i="3"/>
  <c r="E1845" i="3"/>
  <c r="E1844" i="3"/>
  <c r="E1843" i="3"/>
  <c r="E1842" i="3"/>
  <c r="E1841" i="3"/>
  <c r="E1840" i="3"/>
  <c r="E1839" i="3"/>
  <c r="E1838" i="3"/>
  <c r="E1837" i="3"/>
  <c r="E1836" i="3"/>
  <c r="E1835" i="3"/>
  <c r="E1834" i="3"/>
  <c r="E1833" i="3"/>
  <c r="E1832" i="3"/>
  <c r="E1831" i="3"/>
  <c r="E1830" i="3"/>
  <c r="E1829" i="3"/>
  <c r="E1828" i="3"/>
  <c r="E1827" i="3"/>
  <c r="E1826" i="3"/>
  <c r="E1825" i="3"/>
  <c r="E1824" i="3"/>
  <c r="E1823" i="3"/>
  <c r="E1822" i="3"/>
  <c r="E1821" i="3"/>
  <c r="E1820" i="3"/>
  <c r="E1819" i="3"/>
  <c r="E1818" i="3"/>
  <c r="E1817" i="3"/>
  <c r="E1816" i="3"/>
  <c r="E1815" i="3"/>
  <c r="E1814" i="3"/>
  <c r="E1813" i="3"/>
  <c r="E1812" i="3"/>
  <c r="E1811" i="3"/>
  <c r="E1810" i="3"/>
  <c r="E1809" i="3"/>
  <c r="E1808" i="3"/>
  <c r="E1807" i="3"/>
  <c r="E1806" i="3"/>
  <c r="E1805" i="3"/>
  <c r="E1804" i="3"/>
  <c r="E1803" i="3"/>
  <c r="E1802" i="3"/>
  <c r="E1801" i="3"/>
  <c r="E1800" i="3"/>
  <c r="E1799" i="3"/>
  <c r="E1798" i="3"/>
  <c r="E1797" i="3"/>
  <c r="E1796" i="3"/>
  <c r="E1795" i="3"/>
  <c r="E1793" i="3"/>
  <c r="E1791" i="3"/>
  <c r="E1790" i="3"/>
  <c r="E1789" i="3"/>
  <c r="E1787" i="3"/>
  <c r="E1786" i="3"/>
  <c r="E1785" i="3"/>
  <c r="E1783" i="3"/>
  <c r="E1780" i="3"/>
  <c r="E1779" i="3"/>
  <c r="E1778" i="3"/>
  <c r="E1777" i="3"/>
  <c r="E1776" i="3"/>
  <c r="E1775" i="3"/>
  <c r="E1774" i="3"/>
  <c r="E1773" i="3"/>
  <c r="E1772" i="3"/>
  <c r="E1771" i="3"/>
  <c r="E1770" i="3"/>
  <c r="E1769" i="3"/>
  <c r="E1768" i="3"/>
  <c r="E1767" i="3"/>
  <c r="E1766" i="3"/>
  <c r="E1765" i="3"/>
  <c r="E1764" i="3"/>
  <c r="E1763" i="3"/>
  <c r="E1762" i="3"/>
  <c r="E1761" i="3"/>
  <c r="E1760" i="3"/>
  <c r="E1759" i="3"/>
  <c r="E1758" i="3"/>
  <c r="E1757" i="3"/>
  <c r="E1756" i="3"/>
  <c r="E1755" i="3"/>
  <c r="E1754" i="3"/>
  <c r="E1753" i="3"/>
  <c r="E1752" i="3"/>
  <c r="E1751" i="3"/>
  <c r="E1750" i="3"/>
  <c r="E1749" i="3"/>
  <c r="E1748" i="3"/>
  <c r="E1747" i="3"/>
  <c r="E1746" i="3"/>
  <c r="E1745" i="3"/>
  <c r="E1744" i="3"/>
  <c r="E1743" i="3"/>
  <c r="E1742" i="3"/>
  <c r="E1741" i="3"/>
  <c r="E1740" i="3"/>
  <c r="E1739" i="3"/>
  <c r="E1738" i="3"/>
  <c r="E1737" i="3"/>
  <c r="E1736" i="3"/>
  <c r="E1735" i="3"/>
  <c r="E1734" i="3"/>
  <c r="E1733" i="3"/>
  <c r="E1732" i="3"/>
  <c r="E1731" i="3"/>
  <c r="E1730" i="3"/>
  <c r="E1729" i="3"/>
  <c r="E1728" i="3"/>
  <c r="E1727" i="3"/>
  <c r="E1726" i="3"/>
  <c r="E1725" i="3"/>
  <c r="E1724" i="3"/>
  <c r="E1723" i="3"/>
  <c r="E1722" i="3"/>
  <c r="E1721" i="3"/>
  <c r="E1720" i="3"/>
  <c r="E1719" i="3"/>
  <c r="E1718" i="3"/>
  <c r="E1717" i="3"/>
  <c r="E1716" i="3"/>
  <c r="E1715" i="3"/>
  <c r="E1714" i="3"/>
  <c r="E1713" i="3"/>
  <c r="E1712" i="3"/>
  <c r="E1711" i="3"/>
  <c r="E1710" i="3"/>
  <c r="E1709" i="3"/>
  <c r="E1708" i="3"/>
  <c r="E1707" i="3"/>
  <c r="E1706" i="3"/>
  <c r="E1705" i="3"/>
  <c r="E1704" i="3"/>
  <c r="E1703" i="3"/>
  <c r="E1702" i="3"/>
  <c r="E1701" i="3"/>
  <c r="E1700" i="3"/>
  <c r="E1699" i="3"/>
  <c r="E1698" i="3"/>
  <c r="E1697" i="3"/>
  <c r="E1696" i="3"/>
  <c r="E1695" i="3"/>
  <c r="E1694" i="3"/>
  <c r="E1693" i="3"/>
  <c r="E1692" i="3"/>
  <c r="E1691" i="3"/>
  <c r="E1690" i="3"/>
  <c r="E1689" i="3"/>
  <c r="E1688" i="3"/>
  <c r="E1687" i="3"/>
  <c r="E1686" i="3"/>
  <c r="E1685" i="3"/>
  <c r="E1684" i="3"/>
  <c r="E1683" i="3"/>
  <c r="E1682" i="3"/>
  <c r="E1681" i="3"/>
  <c r="E1680" i="3"/>
  <c r="E1679" i="3"/>
  <c r="E1678" i="3"/>
  <c r="E1677" i="3"/>
  <c r="E1676" i="3"/>
  <c r="E1675" i="3"/>
  <c r="E1674" i="3"/>
  <c r="E1673" i="3"/>
  <c r="E1672" i="3"/>
  <c r="E1671" i="3"/>
  <c r="E1670" i="3"/>
  <c r="E1669" i="3"/>
  <c r="E1668" i="3"/>
  <c r="E1667" i="3"/>
  <c r="E1666" i="3"/>
  <c r="E1665" i="3"/>
  <c r="E1664" i="3"/>
  <c r="E1663" i="3"/>
  <c r="E1662" i="3"/>
  <c r="E1661" i="3"/>
  <c r="E1660" i="3"/>
  <c r="E1659" i="3"/>
  <c r="E1658" i="3"/>
  <c r="E1657" i="3"/>
  <c r="E1656" i="3"/>
  <c r="E1655" i="3"/>
  <c r="E1654" i="3"/>
  <c r="E1653" i="3"/>
  <c r="E1652" i="3"/>
  <c r="E1651" i="3"/>
  <c r="E1650" i="3"/>
  <c r="E1649" i="3"/>
  <c r="E1648" i="3"/>
  <c r="E1647" i="3"/>
  <c r="E1646" i="3"/>
  <c r="E1645" i="3"/>
  <c r="E1644" i="3"/>
  <c r="E1643" i="3"/>
  <c r="E1642" i="3"/>
  <c r="E1641" i="3"/>
  <c r="E1640" i="3"/>
  <c r="E1639" i="3"/>
  <c r="E1638" i="3"/>
  <c r="E1637" i="3"/>
  <c r="E1636" i="3"/>
  <c r="E1635" i="3"/>
  <c r="E1634" i="3"/>
  <c r="E1633" i="3"/>
  <c r="E1632" i="3"/>
  <c r="E1631" i="3"/>
  <c r="E1630" i="3"/>
  <c r="E1629" i="3"/>
  <c r="E1628" i="3"/>
  <c r="E1627" i="3"/>
  <c r="E1626" i="3"/>
  <c r="E1625" i="3"/>
  <c r="E1624" i="3"/>
  <c r="E1623" i="3"/>
  <c r="E1622" i="3"/>
  <c r="E1621" i="3"/>
  <c r="E1620" i="3"/>
  <c r="E1619" i="3"/>
  <c r="E1618" i="3"/>
  <c r="E1617" i="3"/>
  <c r="E1616" i="3"/>
  <c r="E1615" i="3"/>
  <c r="E1614" i="3"/>
  <c r="E1613" i="3"/>
  <c r="E1612" i="3"/>
  <c r="E1611" i="3"/>
  <c r="E1610" i="3"/>
  <c r="E1609" i="3"/>
  <c r="E1608" i="3"/>
  <c r="E1607" i="3"/>
  <c r="E1606" i="3"/>
  <c r="E1605" i="3"/>
  <c r="E1604" i="3"/>
  <c r="E1603" i="3"/>
  <c r="E1602" i="3"/>
  <c r="E1601" i="3"/>
  <c r="E1600" i="3"/>
  <c r="E1599" i="3"/>
  <c r="E1598" i="3"/>
  <c r="E1597" i="3"/>
  <c r="E1596" i="3"/>
  <c r="E1595" i="3"/>
  <c r="E1594" i="3"/>
  <c r="E1593" i="3"/>
  <c r="E1592" i="3"/>
  <c r="E1591" i="3"/>
  <c r="E1590" i="3"/>
  <c r="E1589" i="3"/>
  <c r="E1588" i="3"/>
  <c r="E1587" i="3"/>
  <c r="E1586" i="3"/>
  <c r="E1585" i="3"/>
  <c r="E1584" i="3"/>
  <c r="E1583" i="3"/>
  <c r="E1582" i="3"/>
  <c r="E1581" i="3"/>
  <c r="E1580" i="3"/>
  <c r="E1579" i="3"/>
  <c r="E1578" i="3"/>
  <c r="E1577" i="3"/>
  <c r="E1576" i="3"/>
  <c r="E1575" i="3"/>
  <c r="E1574" i="3"/>
  <c r="E1573" i="3"/>
  <c r="E1572" i="3"/>
  <c r="E1571" i="3"/>
  <c r="E1570" i="3"/>
  <c r="E1569" i="3"/>
  <c r="E1568" i="3"/>
  <c r="E1567" i="3"/>
  <c r="E1566" i="3"/>
  <c r="E1565" i="3"/>
  <c r="E1564" i="3"/>
  <c r="E1563" i="3"/>
  <c r="E1562" i="3"/>
  <c r="E1561" i="3"/>
  <c r="E1560" i="3"/>
  <c r="E1559" i="3"/>
  <c r="E1558" i="3"/>
  <c r="E1557" i="3"/>
  <c r="E1556" i="3"/>
  <c r="E1555" i="3"/>
  <c r="E1554" i="3"/>
  <c r="E1553" i="3"/>
  <c r="E1552" i="3"/>
  <c r="E1551" i="3"/>
  <c r="E1550" i="3"/>
  <c r="E1549" i="3"/>
  <c r="E1548" i="3"/>
  <c r="E1547" i="3"/>
  <c r="E1546" i="3"/>
  <c r="E1545" i="3"/>
  <c r="E1544" i="3"/>
  <c r="E1543" i="3"/>
  <c r="E1542" i="3"/>
  <c r="E1541" i="3"/>
  <c r="E1540" i="3"/>
  <c r="E1539" i="3"/>
  <c r="E1538" i="3"/>
  <c r="E1537" i="3"/>
  <c r="E1536" i="3"/>
  <c r="E1535" i="3"/>
  <c r="E1534" i="3"/>
  <c r="E1533" i="3"/>
  <c r="E1532" i="3"/>
  <c r="E1531" i="3"/>
  <c r="E1530" i="3"/>
  <c r="E1529" i="3"/>
  <c r="E1528" i="3"/>
  <c r="E1527" i="3"/>
  <c r="E1526" i="3"/>
  <c r="E1525" i="3"/>
  <c r="E1524" i="3"/>
  <c r="E1523" i="3"/>
  <c r="E1522" i="3"/>
  <c r="E1521" i="3"/>
  <c r="E1520" i="3"/>
  <c r="E1519" i="3"/>
  <c r="E1518" i="3"/>
  <c r="E1517" i="3"/>
  <c r="E1516" i="3"/>
  <c r="E1515" i="3"/>
  <c r="E1514" i="3"/>
  <c r="E1513" i="3"/>
  <c r="E1512" i="3"/>
  <c r="E1511" i="3"/>
  <c r="E1510" i="3"/>
  <c r="E1509" i="3"/>
  <c r="E1508" i="3"/>
  <c r="E1507" i="3"/>
  <c r="E1506" i="3"/>
  <c r="E1505" i="3"/>
  <c r="E1504" i="3"/>
  <c r="E1503" i="3"/>
  <c r="E1502" i="3"/>
  <c r="E1501" i="3"/>
  <c r="E1500" i="3"/>
  <c r="E1499" i="3"/>
  <c r="E1498" i="3"/>
  <c r="E1497" i="3"/>
  <c r="E1496" i="3"/>
  <c r="E1495" i="3"/>
  <c r="E1494" i="3"/>
  <c r="E1493" i="3"/>
  <c r="E1492" i="3"/>
  <c r="E1491" i="3"/>
  <c r="E1487" i="3"/>
  <c r="E1486" i="3"/>
  <c r="E1484" i="3"/>
  <c r="E1482" i="3"/>
  <c r="E1477" i="3"/>
  <c r="E1473" i="3"/>
  <c r="E1471" i="3"/>
  <c r="E1470" i="3"/>
  <c r="E1456" i="3"/>
  <c r="E1416" i="3"/>
  <c r="E1400" i="3"/>
  <c r="E1379" i="3"/>
  <c r="E1377" i="3"/>
  <c r="E1376" i="3"/>
  <c r="E1374" i="3"/>
  <c r="E1371" i="3"/>
  <c r="E1369" i="3"/>
  <c r="E1366" i="3"/>
  <c r="E1362" i="3"/>
  <c r="E1350" i="3"/>
  <c r="E1348" i="3"/>
  <c r="E1343" i="3"/>
  <c r="E1342" i="3"/>
  <c r="E1331" i="3"/>
  <c r="E1329" i="3"/>
  <c r="E1322" i="3"/>
  <c r="E1320" i="3"/>
  <c r="E1318" i="3"/>
  <c r="E1316" i="3"/>
  <c r="E1312" i="3"/>
  <c r="E1310" i="3"/>
  <c r="E1309" i="3"/>
  <c r="E1307" i="3"/>
  <c r="E1303" i="3"/>
  <c r="E1291" i="3"/>
  <c r="E1290" i="3"/>
  <c r="E1287" i="3"/>
  <c r="E1286" i="3"/>
  <c r="E1285" i="3"/>
  <c r="E1284" i="3"/>
  <c r="E1282" i="3"/>
  <c r="E1277" i="3"/>
  <c r="E1274" i="3"/>
  <c r="E1271" i="3"/>
  <c r="E1270" i="3"/>
  <c r="E1269" i="3"/>
  <c r="E1268" i="3"/>
  <c r="E1267" i="3"/>
  <c r="E1266" i="3"/>
  <c r="E1265" i="3"/>
  <c r="E1264" i="3"/>
  <c r="E1263" i="3"/>
  <c r="E1262" i="3"/>
  <c r="E1261" i="3"/>
  <c r="E1260" i="3"/>
  <c r="E1259" i="3"/>
  <c r="E1258" i="3"/>
  <c r="E1257" i="3"/>
  <c r="E1256" i="3"/>
  <c r="E1255" i="3"/>
  <c r="E1254" i="3"/>
  <c r="E1253" i="3"/>
  <c r="E1252" i="3"/>
  <c r="E1251" i="3"/>
  <c r="E1250" i="3"/>
  <c r="E1249" i="3"/>
  <c r="E1248" i="3"/>
  <c r="E1247" i="3"/>
  <c r="E1246" i="3"/>
  <c r="E1245" i="3"/>
  <c r="E1244" i="3"/>
  <c r="E1243" i="3"/>
  <c r="E1242" i="3"/>
  <c r="E1241" i="3"/>
  <c r="E1240" i="3"/>
  <c r="E1239" i="3"/>
  <c r="E1238" i="3"/>
  <c r="E1237" i="3"/>
  <c r="E1236" i="3"/>
  <c r="E1235" i="3"/>
  <c r="E1234" i="3"/>
  <c r="E1233" i="3"/>
  <c r="E1232" i="3"/>
  <c r="E1231" i="3"/>
  <c r="E1230" i="3"/>
  <c r="E1229" i="3"/>
  <c r="E1228" i="3"/>
  <c r="E1227" i="3"/>
  <c r="E1226" i="3"/>
  <c r="E1225" i="3"/>
  <c r="E1224" i="3"/>
  <c r="E1223" i="3"/>
  <c r="E1222" i="3"/>
  <c r="E1221" i="3"/>
  <c r="E1220" i="3"/>
  <c r="E1219" i="3"/>
  <c r="E1218" i="3"/>
  <c r="E1217" i="3"/>
  <c r="E1216" i="3"/>
  <c r="E1215" i="3"/>
  <c r="E1214" i="3"/>
  <c r="E1213" i="3"/>
  <c r="E1212" i="3"/>
  <c r="E1211" i="3"/>
  <c r="E1210" i="3"/>
  <c r="E1209" i="3"/>
  <c r="E1208" i="3"/>
  <c r="E1207" i="3"/>
  <c r="E1206" i="3"/>
  <c r="E1205" i="3"/>
  <c r="E1204" i="3"/>
  <c r="E1203" i="3"/>
  <c r="E1202" i="3"/>
  <c r="E1201" i="3"/>
  <c r="E1200" i="3"/>
  <c r="E1199" i="3"/>
  <c r="E1198" i="3"/>
  <c r="E1197" i="3"/>
  <c r="E1196" i="3"/>
  <c r="E1195" i="3"/>
  <c r="E1194" i="3"/>
  <c r="E1193" i="3"/>
  <c r="E1192" i="3"/>
  <c r="E1191" i="3"/>
  <c r="E1190" i="3"/>
  <c r="E1189" i="3"/>
  <c r="E1188" i="3"/>
  <c r="E1187" i="3"/>
  <c r="E1186" i="3"/>
  <c r="E1185" i="3"/>
  <c r="E1184" i="3"/>
  <c r="E1183" i="3"/>
  <c r="E1182" i="3"/>
  <c r="E1181" i="3"/>
  <c r="E1180" i="3"/>
  <c r="E1179" i="3"/>
  <c r="E1178" i="3"/>
  <c r="E1177" i="3"/>
  <c r="E1176" i="3"/>
  <c r="E1175" i="3"/>
  <c r="E1174" i="3"/>
  <c r="E1173" i="3"/>
  <c r="E1172" i="3"/>
  <c r="E1171" i="3"/>
  <c r="E1170" i="3"/>
  <c r="E1169" i="3"/>
  <c r="E1168" i="3"/>
  <c r="E1167" i="3"/>
  <c r="E1166" i="3"/>
  <c r="E1165" i="3"/>
  <c r="E1164" i="3"/>
  <c r="E1163" i="3"/>
  <c r="E1162" i="3"/>
  <c r="E1161" i="3"/>
  <c r="E1160" i="3"/>
  <c r="E1159" i="3"/>
  <c r="E1158" i="3"/>
  <c r="E1157" i="3"/>
  <c r="E1156" i="3"/>
  <c r="E1155" i="3"/>
  <c r="E1154" i="3"/>
  <c r="E1153" i="3"/>
  <c r="E1152" i="3"/>
  <c r="E1151" i="3"/>
  <c r="E1150" i="3"/>
  <c r="E1149" i="3"/>
  <c r="E1148" i="3"/>
  <c r="E1147" i="3"/>
  <c r="E1146" i="3"/>
  <c r="E1145" i="3"/>
  <c r="E1144" i="3"/>
  <c r="E1143" i="3"/>
  <c r="E1142" i="3"/>
  <c r="E1141" i="3"/>
  <c r="E1140" i="3"/>
  <c r="E1139" i="3"/>
  <c r="E1138" i="3"/>
  <c r="E1137" i="3"/>
  <c r="E1136" i="3"/>
  <c r="E1135" i="3"/>
  <c r="E1134" i="3"/>
  <c r="E1133" i="3"/>
  <c r="E1132" i="3"/>
  <c r="E1131" i="3"/>
  <c r="E1130" i="3"/>
  <c r="E1129" i="3"/>
  <c r="E1128" i="3"/>
  <c r="E1127" i="3"/>
  <c r="E1126" i="3"/>
  <c r="E1125" i="3"/>
  <c r="E1124" i="3"/>
  <c r="E1123" i="3"/>
  <c r="E1122" i="3"/>
  <c r="E1121" i="3"/>
  <c r="E1120" i="3"/>
  <c r="E1119" i="3"/>
  <c r="E1118" i="3"/>
  <c r="E1117" i="3"/>
  <c r="E1116" i="3"/>
  <c r="E1115" i="3"/>
  <c r="E1114" i="3"/>
  <c r="E1113" i="3"/>
  <c r="E1112" i="3"/>
  <c r="E1111" i="3"/>
  <c r="E1110" i="3"/>
  <c r="E1109" i="3"/>
  <c r="E1108" i="3"/>
  <c r="E1107" i="3"/>
  <c r="E1106" i="3"/>
  <c r="E1105" i="3"/>
  <c r="E1104" i="3"/>
  <c r="E1103" i="3"/>
  <c r="E1102" i="3"/>
  <c r="E1101" i="3"/>
  <c r="E1100" i="3"/>
  <c r="E1099" i="3"/>
  <c r="E1098" i="3"/>
  <c r="E1097" i="3"/>
  <c r="E1096" i="3"/>
  <c r="E1095" i="3"/>
  <c r="E1094" i="3"/>
  <c r="E1093" i="3"/>
  <c r="E1092" i="3"/>
  <c r="E1091" i="3"/>
  <c r="E1090" i="3"/>
  <c r="E1089" i="3"/>
  <c r="E1088" i="3"/>
  <c r="E1087" i="3"/>
  <c r="E1086" i="3"/>
  <c r="E1085" i="3"/>
  <c r="E1084" i="3"/>
  <c r="E1083" i="3"/>
  <c r="E1082" i="3"/>
  <c r="E1081" i="3"/>
  <c r="E1080" i="3"/>
  <c r="E1079" i="3"/>
  <c r="E1078" i="3"/>
  <c r="E1077" i="3"/>
  <c r="E1076" i="3"/>
  <c r="E1075" i="3"/>
  <c r="E1074" i="3"/>
  <c r="E1073" i="3"/>
  <c r="E1072" i="3"/>
  <c r="E1071" i="3"/>
  <c r="E1070" i="3"/>
  <c r="E1069" i="3"/>
  <c r="E1068" i="3"/>
  <c r="E1067" i="3"/>
  <c r="E1066" i="3"/>
  <c r="E1065" i="3"/>
  <c r="E1064" i="3"/>
  <c r="E1063" i="3"/>
  <c r="E1062" i="3"/>
  <c r="E1061" i="3"/>
  <c r="E1060" i="3"/>
  <c r="E1059" i="3"/>
  <c r="E1058" i="3"/>
  <c r="E1057" i="3"/>
  <c r="E1056" i="3"/>
  <c r="E1055" i="3"/>
  <c r="E1054" i="3"/>
  <c r="E1053" i="3"/>
  <c r="E1052" i="3"/>
  <c r="E1051" i="3"/>
  <c r="E1050" i="3"/>
  <c r="E1049" i="3"/>
  <c r="E1048" i="3"/>
  <c r="E1047" i="3"/>
  <c r="E1046" i="3"/>
  <c r="E1045" i="3"/>
  <c r="E1044" i="3"/>
  <c r="E1043" i="3"/>
  <c r="E1042" i="3"/>
  <c r="E1041" i="3"/>
  <c r="E1040" i="3"/>
  <c r="E1039" i="3"/>
  <c r="E1038" i="3"/>
  <c r="E1037" i="3"/>
  <c r="E1036" i="3"/>
  <c r="E1035" i="3"/>
  <c r="E1034" i="3"/>
  <c r="E1033" i="3"/>
  <c r="E1032" i="3"/>
  <c r="E1031" i="3"/>
  <c r="E1030" i="3"/>
  <c r="E1029" i="3"/>
  <c r="E1028" i="3"/>
  <c r="E1027" i="3"/>
  <c r="E1026" i="3"/>
  <c r="E1025" i="3"/>
  <c r="E1024" i="3"/>
  <c r="E1023" i="3"/>
  <c r="E1022" i="3"/>
  <c r="E1021" i="3"/>
  <c r="E1020" i="3"/>
  <c r="E1019" i="3"/>
  <c r="E1018" i="3"/>
  <c r="E1017" i="3"/>
  <c r="E1016" i="3"/>
  <c r="E1015" i="3"/>
  <c r="E1014" i="3"/>
  <c r="E1013" i="3"/>
  <c r="E1012" i="3"/>
  <c r="E1011" i="3"/>
  <c r="E1010" i="3"/>
  <c r="E1009" i="3"/>
  <c r="E1008" i="3"/>
  <c r="E1007" i="3"/>
  <c r="E1006" i="3"/>
  <c r="E1005" i="3"/>
  <c r="E1004" i="3"/>
  <c r="E1003" i="3"/>
  <c r="E1002" i="3"/>
  <c r="E1001" i="3"/>
  <c r="E1000" i="3"/>
  <c r="E999" i="3"/>
  <c r="E998" i="3"/>
  <c r="E997" i="3"/>
  <c r="E996" i="3"/>
  <c r="E995" i="3"/>
  <c r="E994" i="3"/>
  <c r="E993" i="3"/>
  <c r="E992" i="3"/>
  <c r="E991" i="3"/>
  <c r="E990" i="3"/>
  <c r="E989" i="3"/>
  <c r="E988" i="3"/>
  <c r="E987" i="3"/>
  <c r="E986" i="3"/>
  <c r="E985" i="3"/>
  <c r="E984" i="3"/>
  <c r="E983" i="3"/>
  <c r="E982" i="3"/>
  <c r="E981" i="3"/>
  <c r="E980" i="3"/>
  <c r="E979" i="3"/>
  <c r="E978" i="3"/>
  <c r="E977" i="3"/>
  <c r="E976" i="3"/>
  <c r="E975" i="3"/>
  <c r="E974" i="3"/>
  <c r="E973" i="3"/>
  <c r="E972" i="3"/>
  <c r="E971" i="3"/>
  <c r="E970" i="3"/>
  <c r="E969" i="3"/>
  <c r="E968" i="3"/>
  <c r="E967" i="3"/>
  <c r="E966" i="3"/>
  <c r="E965" i="3"/>
  <c r="E964" i="3"/>
  <c r="E963" i="3"/>
  <c r="E962" i="3"/>
  <c r="E961" i="3"/>
  <c r="E960" i="3"/>
  <c r="E959" i="3"/>
  <c r="E958" i="3"/>
  <c r="E957" i="3"/>
  <c r="E956" i="3"/>
  <c r="E955" i="3"/>
  <c r="E954" i="3"/>
  <c r="E953" i="3"/>
  <c r="E952" i="3"/>
  <c r="E951" i="3"/>
  <c r="E950" i="3"/>
  <c r="E949" i="3"/>
  <c r="E948" i="3"/>
  <c r="E947" i="3"/>
  <c r="E946" i="3"/>
  <c r="E945" i="3"/>
  <c r="E944" i="3"/>
  <c r="E943" i="3"/>
  <c r="E942" i="3"/>
  <c r="E941" i="3"/>
  <c r="E940" i="3"/>
  <c r="E939" i="3"/>
  <c r="E938" i="3"/>
  <c r="E937" i="3"/>
  <c r="E936" i="3"/>
  <c r="E935" i="3"/>
  <c r="E934" i="3"/>
  <c r="E933" i="3"/>
  <c r="E932" i="3"/>
  <c r="E931" i="3"/>
  <c r="E930" i="3"/>
  <c r="E929" i="3"/>
  <c r="E928" i="3"/>
  <c r="E927" i="3"/>
  <c r="E926" i="3"/>
  <c r="E925" i="3"/>
  <c r="E924" i="3"/>
  <c r="E923" i="3"/>
  <c r="E922" i="3"/>
  <c r="E921" i="3"/>
  <c r="E920" i="3"/>
  <c r="E919" i="3"/>
  <c r="E918" i="3"/>
  <c r="E917" i="3"/>
  <c r="E916" i="3"/>
  <c r="E915" i="3"/>
  <c r="E914" i="3"/>
  <c r="E913" i="3"/>
  <c r="E912" i="3"/>
  <c r="E911" i="3"/>
  <c r="E910" i="3"/>
  <c r="E909" i="3"/>
  <c r="E908" i="3"/>
  <c r="E907" i="3"/>
  <c r="E906" i="3"/>
  <c r="E905" i="3"/>
  <c r="E904" i="3"/>
  <c r="E903" i="3"/>
  <c r="E902" i="3"/>
  <c r="E901" i="3"/>
  <c r="E900" i="3"/>
  <c r="E899" i="3"/>
  <c r="E898" i="3"/>
  <c r="E897" i="3"/>
  <c r="E896" i="3"/>
  <c r="E895" i="3"/>
  <c r="E894" i="3"/>
  <c r="E893" i="3"/>
  <c r="E892" i="3"/>
  <c r="E891" i="3"/>
  <c r="E890" i="3"/>
  <c r="E889" i="3"/>
  <c r="E888" i="3"/>
  <c r="E887" i="3"/>
  <c r="E886" i="3"/>
  <c r="E885" i="3"/>
  <c r="E884" i="3"/>
  <c r="E883" i="3"/>
  <c r="E882" i="3"/>
  <c r="E881" i="3"/>
  <c r="E880" i="3"/>
  <c r="E879" i="3"/>
  <c r="E878" i="3"/>
  <c r="E877" i="3"/>
  <c r="E876" i="3"/>
  <c r="E875" i="3"/>
  <c r="E874" i="3"/>
  <c r="E873" i="3"/>
  <c r="E872" i="3"/>
  <c r="E871" i="3"/>
  <c r="E870" i="3"/>
  <c r="E869" i="3"/>
  <c r="E868" i="3"/>
  <c r="E867" i="3"/>
  <c r="E866" i="3"/>
  <c r="E865" i="3"/>
  <c r="E864" i="3"/>
  <c r="E863" i="3"/>
  <c r="E862" i="3"/>
  <c r="E861" i="3"/>
  <c r="E860" i="3"/>
  <c r="E859" i="3"/>
  <c r="E858" i="3"/>
  <c r="E857" i="3"/>
  <c r="E856" i="3"/>
  <c r="E855" i="3"/>
  <c r="E854" i="3"/>
  <c r="E853" i="3"/>
  <c r="E852" i="3"/>
  <c r="E851" i="3"/>
  <c r="E850" i="3"/>
  <c r="E849" i="3"/>
  <c r="E848" i="3"/>
  <c r="E847" i="3"/>
  <c r="E846" i="3"/>
  <c r="E845" i="3"/>
  <c r="E844" i="3"/>
  <c r="E843" i="3"/>
  <c r="E842" i="3"/>
  <c r="E841" i="3"/>
  <c r="E840" i="3"/>
  <c r="E839" i="3"/>
  <c r="E838" i="3"/>
  <c r="E837" i="3"/>
  <c r="E836" i="3"/>
  <c r="E835" i="3"/>
  <c r="E834" i="3"/>
  <c r="E833" i="3"/>
  <c r="E832" i="3"/>
  <c r="E831" i="3"/>
  <c r="E830" i="3"/>
  <c r="E828" i="3"/>
  <c r="E826" i="3"/>
  <c r="E823" i="3"/>
  <c r="E821" i="3"/>
  <c r="E820" i="3"/>
  <c r="E819" i="3"/>
  <c r="E818" i="3"/>
  <c r="E817" i="3"/>
  <c r="E816" i="3"/>
  <c r="E815" i="3"/>
  <c r="E814" i="3"/>
  <c r="E813" i="3"/>
  <c r="E812" i="3"/>
  <c r="E811" i="3"/>
  <c r="E810" i="3"/>
  <c r="E809" i="3"/>
  <c r="E807" i="3"/>
  <c r="E806" i="3"/>
  <c r="E805" i="3"/>
  <c r="E803" i="3"/>
  <c r="E802" i="3"/>
  <c r="E801" i="3"/>
  <c r="E800" i="3"/>
  <c r="E799" i="3"/>
  <c r="E798" i="3"/>
  <c r="E797" i="3"/>
  <c r="E796" i="3"/>
  <c r="E795" i="3"/>
  <c r="E794" i="3"/>
  <c r="E793" i="3"/>
  <c r="E792" i="3"/>
  <c r="E791" i="3"/>
  <c r="E790" i="3"/>
  <c r="E789" i="3"/>
  <c r="E788" i="3"/>
  <c r="E787" i="3"/>
  <c r="E786" i="3"/>
  <c r="E785" i="3"/>
  <c r="E784" i="3"/>
  <c r="E783" i="3"/>
  <c r="E782" i="3"/>
  <c r="E781" i="3"/>
  <c r="E779" i="3"/>
  <c r="E777" i="3"/>
  <c r="E775" i="3"/>
  <c r="E774" i="3"/>
  <c r="E773" i="3"/>
  <c r="E771" i="3"/>
  <c r="E769" i="3"/>
  <c r="E768" i="3"/>
  <c r="E767" i="3"/>
  <c r="E766" i="3"/>
  <c r="E765" i="3"/>
  <c r="E764" i="3"/>
  <c r="E763" i="3"/>
  <c r="E762" i="3"/>
  <c r="E761" i="3"/>
  <c r="E760" i="3"/>
  <c r="E759" i="3"/>
  <c r="E758" i="3"/>
  <c r="E757" i="3"/>
  <c r="E756" i="3"/>
  <c r="E755" i="3"/>
  <c r="E754" i="3"/>
  <c r="E753" i="3"/>
  <c r="E752" i="3"/>
  <c r="E751" i="3"/>
  <c r="E750" i="3"/>
  <c r="E749" i="3"/>
  <c r="E748" i="3"/>
  <c r="E747" i="3"/>
  <c r="E746" i="3"/>
  <c r="E745" i="3"/>
  <c r="E744" i="3"/>
  <c r="E743" i="3"/>
  <c r="E742" i="3"/>
  <c r="E741" i="3"/>
  <c r="E740" i="3"/>
  <c r="E739" i="3"/>
  <c r="E738" i="3"/>
  <c r="E737" i="3"/>
  <c r="E736" i="3"/>
  <c r="E735" i="3"/>
  <c r="E734" i="3"/>
  <c r="E733" i="3"/>
  <c r="E732" i="3"/>
  <c r="E731" i="3"/>
  <c r="E730" i="3"/>
  <c r="E729" i="3"/>
  <c r="E728" i="3"/>
  <c r="E727" i="3"/>
  <c r="E726" i="3"/>
  <c r="E725" i="3"/>
  <c r="E724" i="3"/>
  <c r="E723" i="3"/>
  <c r="E721" i="3"/>
  <c r="E719" i="3"/>
  <c r="E717" i="3"/>
  <c r="E715" i="3"/>
  <c r="E713" i="3"/>
  <c r="E712" i="3"/>
  <c r="E711" i="3"/>
  <c r="E710" i="3"/>
  <c r="E709" i="3"/>
  <c r="E708" i="3"/>
  <c r="E707" i="3"/>
  <c r="E706" i="3"/>
  <c r="E705" i="3"/>
  <c r="E703" i="3"/>
  <c r="E701" i="3"/>
  <c r="E699" i="3"/>
  <c r="E697" i="3"/>
  <c r="E696" i="3"/>
  <c r="E695" i="3"/>
  <c r="E694" i="3"/>
  <c r="E693" i="3"/>
  <c r="E692" i="3"/>
  <c r="E691" i="3"/>
  <c r="E690" i="3"/>
  <c r="E689" i="3"/>
  <c r="E688" i="3"/>
  <c r="E687" i="3"/>
  <c r="E686" i="3"/>
  <c r="E685" i="3"/>
  <c r="E684" i="3"/>
  <c r="E683" i="3"/>
  <c r="E682" i="3"/>
  <c r="E681" i="3"/>
  <c r="E680" i="3"/>
  <c r="E679" i="3"/>
  <c r="E678" i="3"/>
  <c r="E677" i="3"/>
  <c r="E676" i="3"/>
  <c r="E675" i="3"/>
  <c r="E674" i="3"/>
  <c r="E673" i="3"/>
  <c r="E672" i="3"/>
  <c r="E671" i="3"/>
  <c r="E670" i="3"/>
  <c r="E669" i="3"/>
  <c r="E668" i="3"/>
  <c r="E667" i="3"/>
  <c r="E666" i="3"/>
  <c r="E665" i="3"/>
  <c r="E664" i="3"/>
  <c r="E663" i="3"/>
  <c r="E662" i="3"/>
  <c r="E661" i="3"/>
  <c r="E660" i="3"/>
  <c r="E659" i="3"/>
  <c r="E658" i="3"/>
  <c r="E657" i="3"/>
  <c r="E656" i="3"/>
  <c r="E655" i="3"/>
  <c r="E654" i="3"/>
  <c r="E653" i="3"/>
  <c r="E652" i="3"/>
  <c r="E651" i="3"/>
  <c r="E650" i="3"/>
  <c r="E649" i="3"/>
  <c r="E648" i="3"/>
  <c r="E647" i="3"/>
  <c r="E646" i="3"/>
  <c r="E645" i="3"/>
  <c r="E644" i="3"/>
  <c r="E643" i="3"/>
  <c r="E642" i="3"/>
  <c r="E641" i="3"/>
  <c r="E640" i="3"/>
  <c r="E639" i="3"/>
  <c r="E638" i="3"/>
  <c r="E637" i="3"/>
  <c r="E636" i="3"/>
  <c r="E635" i="3"/>
  <c r="E634" i="3"/>
  <c r="E633" i="3"/>
  <c r="E632" i="3"/>
  <c r="E631" i="3"/>
  <c r="E630" i="3"/>
  <c r="E629" i="3"/>
  <c r="E628" i="3"/>
  <c r="E627" i="3"/>
  <c r="E625" i="3"/>
  <c r="E624" i="3"/>
  <c r="E623" i="3"/>
  <c r="E622" i="3"/>
  <c r="E621" i="3"/>
  <c r="E620" i="3"/>
  <c r="E619" i="3"/>
  <c r="E618" i="3"/>
  <c r="E617" i="3"/>
  <c r="E616" i="3"/>
  <c r="E615" i="3"/>
  <c r="E614" i="3"/>
  <c r="E613" i="3"/>
  <c r="E612" i="3"/>
  <c r="E611" i="3"/>
  <c r="E610" i="3"/>
  <c r="E609" i="3"/>
  <c r="E608" i="3"/>
  <c r="E607" i="3"/>
  <c r="E606" i="3"/>
  <c r="E605" i="3"/>
  <c r="E604" i="3"/>
  <c r="E603" i="3"/>
  <c r="E601" i="3"/>
  <c r="E599" i="3"/>
  <c r="E597" i="3"/>
  <c r="E595" i="3"/>
  <c r="E593" i="3"/>
  <c r="E591" i="3"/>
  <c r="E589" i="3"/>
  <c r="E587" i="3"/>
  <c r="E585" i="3"/>
  <c r="E584" i="3"/>
  <c r="E583" i="3"/>
  <c r="E581" i="3"/>
  <c r="E579" i="3"/>
  <c r="E577" i="3"/>
  <c r="E575" i="3"/>
  <c r="E573" i="3"/>
  <c r="E571" i="3"/>
  <c r="E569" i="3"/>
  <c r="E567" i="3"/>
  <c r="E565" i="3"/>
  <c r="E563" i="3"/>
  <c r="E562" i="3"/>
  <c r="E561" i="3"/>
  <c r="E559" i="3"/>
  <c r="E557" i="3"/>
  <c r="E555" i="3"/>
  <c r="E553" i="3"/>
  <c r="E551" i="3"/>
  <c r="E549" i="3"/>
  <c r="E547" i="3"/>
  <c r="E545" i="3"/>
  <c r="E543" i="3"/>
  <c r="E541" i="3"/>
  <c r="E539" i="3"/>
  <c r="E537" i="3"/>
  <c r="E535" i="3"/>
  <c r="E533" i="3"/>
  <c r="E531" i="3"/>
  <c r="E529" i="3"/>
  <c r="E527" i="3"/>
  <c r="E525" i="3"/>
  <c r="E523" i="3"/>
  <c r="E521" i="3"/>
  <c r="E519" i="3"/>
  <c r="E517" i="3"/>
  <c r="E515" i="3"/>
  <c r="E513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2" i="3"/>
  <c r="H2333" i="2" l="1"/>
  <c r="H2317" i="2"/>
  <c r="H2301" i="2"/>
  <c r="H2285" i="2"/>
  <c r="H2269" i="2"/>
  <c r="H2265" i="2"/>
  <c r="H2261" i="2"/>
  <c r="H2257" i="2"/>
  <c r="H2253" i="2"/>
  <c r="H2249" i="2"/>
  <c r="H2245" i="2"/>
  <c r="H2241" i="2"/>
  <c r="H2237" i="2"/>
  <c r="H2233" i="2"/>
  <c r="H2229" i="2"/>
  <c r="H2225" i="2"/>
  <c r="H2221" i="2"/>
  <c r="H2217" i="2"/>
  <c r="H2213" i="2"/>
  <c r="H2209" i="2"/>
  <c r="H2205" i="2"/>
  <c r="H2201" i="2"/>
  <c r="H2197" i="2"/>
  <c r="H2193" i="2"/>
  <c r="H2189" i="2"/>
  <c r="H2185" i="2"/>
  <c r="H2181" i="2"/>
  <c r="H2177" i="2"/>
  <c r="H2173" i="2"/>
  <c r="H2169" i="2"/>
  <c r="H2165" i="2"/>
  <c r="H2161" i="2"/>
  <c r="H2157" i="2"/>
  <c r="H2153" i="2"/>
  <c r="H2149" i="2"/>
  <c r="H2145" i="2"/>
  <c r="H2141" i="2"/>
  <c r="H2137" i="2"/>
  <c r="H2133" i="2"/>
  <c r="H2129" i="2"/>
  <c r="H2125" i="2"/>
  <c r="H2121" i="2"/>
  <c r="H2117" i="2"/>
  <c r="H2113" i="2"/>
  <c r="H2109" i="2"/>
  <c r="H2105" i="2"/>
  <c r="H2101" i="2"/>
  <c r="H2097" i="2"/>
  <c r="H2093" i="2"/>
  <c r="H2089" i="2"/>
  <c r="H2085" i="2"/>
  <c r="H2081" i="2"/>
  <c r="H2077" i="2"/>
  <c r="H2073" i="2"/>
  <c r="H2069" i="2"/>
  <c r="H2065" i="2"/>
  <c r="H2061" i="2"/>
  <c r="H2057" i="2"/>
  <c r="H2252" i="2"/>
  <c r="H2108" i="2"/>
  <c r="H2076" i="2"/>
  <c r="H2044" i="2"/>
  <c r="H1996" i="2"/>
  <c r="H1820" i="2"/>
  <c r="H1788" i="2"/>
  <c r="H1740" i="2"/>
  <c r="H1724" i="2"/>
  <c r="H1708" i="2"/>
  <c r="H1692" i="2"/>
  <c r="H1676" i="2"/>
  <c r="H1660" i="2"/>
  <c r="H1516" i="2"/>
  <c r="H1500" i="2"/>
  <c r="H1484" i="2"/>
  <c r="H1468" i="2"/>
  <c r="H1452" i="2"/>
  <c r="H1436" i="2"/>
  <c r="H1420" i="2"/>
  <c r="H1404" i="2"/>
  <c r="H1388" i="2"/>
  <c r="H1372" i="2"/>
  <c r="H1356" i="2"/>
  <c r="H1340" i="2"/>
  <c r="H1324" i="2"/>
  <c r="H2236" i="2"/>
  <c r="H2220" i="2"/>
  <c r="H2204" i="2"/>
  <c r="H2188" i="2"/>
  <c r="H2172" i="2"/>
  <c r="H2156" i="2"/>
  <c r="H2140" i="2"/>
  <c r="H2124" i="2"/>
  <c r="H2092" i="2"/>
  <c r="H2060" i="2"/>
  <c r="H2028" i="2"/>
  <c r="H2012" i="2"/>
  <c r="H1804" i="2"/>
  <c r="H1772" i="2"/>
  <c r="H1756" i="2"/>
  <c r="H2199" i="2"/>
  <c r="H2183" i="2"/>
  <c r="H2167" i="2"/>
  <c r="H2053" i="2"/>
  <c r="H2049" i="2"/>
  <c r="H2045" i="2"/>
  <c r="H2041" i="2"/>
  <c r="H2037" i="2"/>
  <c r="H2033" i="2"/>
  <c r="H2029" i="2"/>
  <c r="H2025" i="2"/>
  <c r="H2021" i="2"/>
  <c r="H2017" i="2"/>
  <c r="H2013" i="2"/>
  <c r="H2009" i="2"/>
  <c r="H2005" i="2"/>
  <c r="H2001" i="2"/>
  <c r="H1997" i="2"/>
  <c r="H1993" i="2"/>
  <c r="H1989" i="2"/>
  <c r="H1985" i="2"/>
  <c r="H1981" i="2"/>
  <c r="H1977" i="2"/>
  <c r="H1973" i="2"/>
  <c r="H1969" i="2"/>
  <c r="H1965" i="2"/>
  <c r="H1961" i="2"/>
  <c r="H1957" i="2"/>
  <c r="H1953" i="2"/>
  <c r="H1949" i="2"/>
  <c r="H1945" i="2"/>
  <c r="H1941" i="2"/>
  <c r="H1937" i="2"/>
  <c r="H1933" i="2"/>
  <c r="H1929" i="2"/>
  <c r="H1925" i="2"/>
  <c r="H1921" i="2"/>
  <c r="H1917" i="2"/>
  <c r="H1913" i="2"/>
  <c r="H1909" i="2"/>
  <c r="H1905" i="2"/>
  <c r="H1901" i="2"/>
  <c r="H1897" i="2"/>
  <c r="H1893" i="2"/>
  <c r="H1889" i="2"/>
  <c r="H1885" i="2"/>
  <c r="H1881" i="2"/>
  <c r="H1877" i="2"/>
  <c r="H1873" i="2"/>
  <c r="H1869" i="2"/>
  <c r="H1865" i="2"/>
  <c r="H1861" i="2"/>
  <c r="H1857" i="2"/>
  <c r="H1853" i="2"/>
  <c r="H1849" i="2"/>
  <c r="H1845" i="2"/>
  <c r="H1841" i="2"/>
  <c r="H1837" i="2"/>
  <c r="H1833" i="2"/>
  <c r="H1829" i="2"/>
  <c r="H1825" i="2"/>
  <c r="H1821" i="2"/>
  <c r="H1817" i="2"/>
  <c r="H1813" i="2"/>
  <c r="H1809" i="2"/>
  <c r="H1805" i="2"/>
  <c r="H1801" i="2"/>
  <c r="H1797" i="2"/>
  <c r="H1793" i="2"/>
  <c r="H1789" i="2"/>
  <c r="H1785" i="2"/>
  <c r="H1781" i="2"/>
  <c r="H1777" i="2"/>
  <c r="H1773" i="2"/>
  <c r="H1769" i="2"/>
  <c r="H1765" i="2"/>
  <c r="H1761" i="2"/>
  <c r="H1757" i="2"/>
  <c r="H1753" i="2"/>
  <c r="H1749" i="2"/>
  <c r="H1745" i="2"/>
  <c r="H1741" i="2"/>
  <c r="H1737" i="2"/>
  <c r="H1733" i="2"/>
  <c r="H1729" i="2"/>
  <c r="H1725" i="2"/>
  <c r="H1721" i="2"/>
  <c r="H1717" i="2"/>
  <c r="H1713" i="2"/>
  <c r="H1709" i="2"/>
  <c r="H1705" i="2"/>
  <c r="H1701" i="2"/>
  <c r="H1697" i="2"/>
  <c r="H1693" i="2"/>
  <c r="H1689" i="2"/>
  <c r="H1685" i="2"/>
  <c r="H1681" i="2"/>
  <c r="H1677" i="2"/>
  <c r="H1673" i="2"/>
  <c r="H1669" i="2"/>
  <c r="H1665" i="2"/>
  <c r="H1661" i="2"/>
  <c r="H1657" i="2"/>
  <c r="H1653" i="2"/>
  <c r="H1649" i="2"/>
  <c r="H1645" i="2"/>
  <c r="H1641" i="2"/>
  <c r="H1637" i="2"/>
  <c r="H1633" i="2"/>
  <c r="H1629" i="2"/>
  <c r="H1625" i="2"/>
  <c r="H1621" i="2"/>
  <c r="H1617" i="2"/>
  <c r="H1613" i="2"/>
  <c r="H1609" i="2"/>
  <c r="H1605" i="2"/>
  <c r="H1601" i="2"/>
  <c r="H1597" i="2"/>
  <c r="H1593" i="2"/>
  <c r="H1589" i="2"/>
  <c r="H1585" i="2"/>
  <c r="H1581" i="2"/>
  <c r="H1577" i="2"/>
  <c r="H1573" i="2"/>
  <c r="H1569" i="2"/>
  <c r="H1565" i="2"/>
  <c r="H1561" i="2"/>
  <c r="H1557" i="2"/>
  <c r="H1553" i="2"/>
  <c r="H1549" i="2"/>
  <c r="H1545" i="2"/>
  <c r="H1541" i="2"/>
  <c r="H1537" i="2"/>
  <c r="H1533" i="2"/>
  <c r="H1529" i="2"/>
  <c r="H1525" i="2"/>
  <c r="H1521" i="2"/>
  <c r="H1517" i="2"/>
  <c r="H1513" i="2"/>
  <c r="H1509" i="2"/>
  <c r="H1505" i="2"/>
  <c r="H1501" i="2"/>
  <c r="H1497" i="2"/>
  <c r="H1493" i="2"/>
  <c r="H1489" i="2"/>
  <c r="H1485" i="2"/>
  <c r="H1481" i="2"/>
  <c r="H1477" i="2"/>
  <c r="H1473" i="2"/>
  <c r="H1469" i="2"/>
  <c r="H1465" i="2"/>
  <c r="H1461" i="2"/>
  <c r="H1457" i="2"/>
  <c r="H1453" i="2"/>
  <c r="H1449" i="2"/>
  <c r="H1445" i="2"/>
  <c r="H1441" i="2"/>
  <c r="H1437" i="2"/>
  <c r="H1433" i="2"/>
  <c r="H1429" i="2"/>
  <c r="H1425" i="2"/>
  <c r="H1421" i="2"/>
  <c r="H1417" i="2"/>
  <c r="H1413" i="2"/>
  <c r="H1409" i="2"/>
  <c r="H1405" i="2"/>
  <c r="H1401" i="2"/>
  <c r="H1397" i="2"/>
  <c r="H1393" i="2"/>
  <c r="H1389" i="2"/>
  <c r="H1385" i="2"/>
  <c r="H1381" i="2"/>
  <c r="H1377" i="2"/>
  <c r="H1373" i="2"/>
  <c r="H1369" i="2"/>
  <c r="H1361" i="2"/>
  <c r="H1357" i="2"/>
  <c r="H1353" i="2"/>
  <c r="H1349" i="2"/>
  <c r="H1345" i="2"/>
  <c r="H1337" i="2"/>
  <c r="H1333" i="2"/>
  <c r="H1329" i="2"/>
  <c r="H1325" i="2"/>
  <c r="H1321" i="2"/>
  <c r="H1317" i="2"/>
  <c r="H1313" i="2"/>
  <c r="H1309" i="2"/>
  <c r="H1305" i="2"/>
  <c r="H1301" i="2"/>
  <c r="H1297" i="2"/>
  <c r="H1293" i="2"/>
  <c r="H1289" i="2"/>
  <c r="H1285" i="2"/>
  <c r="H1281" i="2"/>
  <c r="H1277" i="2"/>
  <c r="H1273" i="2"/>
  <c r="H1269" i="2"/>
  <c r="H1265" i="2"/>
  <c r="H1261" i="2"/>
  <c r="H1257" i="2"/>
  <c r="H1253" i="2"/>
  <c r="H1249" i="2"/>
  <c r="H1245" i="2"/>
  <c r="H1241" i="2"/>
  <c r="H1237" i="2"/>
  <c r="H1233" i="2"/>
  <c r="H1229" i="2"/>
  <c r="H1225" i="2"/>
  <c r="H1221" i="2"/>
  <c r="H1217" i="2"/>
  <c r="H1213" i="2"/>
  <c r="H1209" i="2"/>
  <c r="H1205" i="2"/>
  <c r="H1201" i="2"/>
  <c r="H1197" i="2"/>
  <c r="H1193" i="2"/>
  <c r="H1189" i="2"/>
  <c r="H1185" i="2"/>
  <c r="H1181" i="2"/>
  <c r="H1177" i="2"/>
  <c r="H1173" i="2"/>
  <c r="H1169" i="2"/>
  <c r="H1165" i="2"/>
  <c r="H1161" i="2"/>
  <c r="H1157" i="2"/>
  <c r="H1153" i="2"/>
  <c r="H1149" i="2"/>
  <c r="H1145" i="2"/>
  <c r="H1141" i="2"/>
  <c r="H1137" i="2"/>
  <c r="H1133" i="2"/>
  <c r="H1129" i="2"/>
  <c r="H1125" i="2"/>
  <c r="H1121" i="2"/>
  <c r="H1117" i="2"/>
  <c r="H1113" i="2"/>
  <c r="H1109" i="2"/>
  <c r="H1105" i="2"/>
  <c r="H1101" i="2"/>
  <c r="H1097" i="2"/>
  <c r="H1093" i="2"/>
  <c r="H1089" i="2"/>
  <c r="H1085" i="2"/>
  <c r="H1081" i="2"/>
  <c r="H1077" i="2"/>
  <c r="H1073" i="2"/>
  <c r="H1069" i="2"/>
  <c r="H1065" i="2"/>
  <c r="H1061" i="2"/>
  <c r="H1057" i="2"/>
  <c r="H1053" i="2"/>
  <c r="H1049" i="2"/>
  <c r="H1045" i="2"/>
  <c r="H1041" i="2"/>
  <c r="H1037" i="2"/>
  <c r="H1033" i="2"/>
  <c r="H1029" i="2"/>
  <c r="H1025" i="2"/>
  <c r="H1021" i="2"/>
  <c r="H1017" i="2"/>
  <c r="H1013" i="2"/>
  <c r="H1009" i="2"/>
  <c r="H1005" i="2"/>
  <c r="H1001" i="2"/>
  <c r="H997" i="2"/>
  <c r="H993" i="2"/>
  <c r="H989" i="2"/>
  <c r="H985" i="2"/>
  <c r="H981" i="2"/>
  <c r="H977" i="2"/>
  <c r="H973" i="2"/>
  <c r="H969" i="2"/>
  <c r="H965" i="2"/>
  <c r="H961" i="2"/>
  <c r="H957" i="2"/>
  <c r="H953" i="2"/>
  <c r="H949" i="2"/>
  <c r="H945" i="2"/>
  <c r="H941" i="2"/>
  <c r="H937" i="2"/>
  <c r="H933" i="2"/>
  <c r="H929" i="2"/>
  <c r="H925" i="2"/>
  <c r="H921" i="2"/>
  <c r="H917" i="2"/>
  <c r="H913" i="2"/>
  <c r="H909" i="2"/>
  <c r="H905" i="2"/>
  <c r="H901" i="2"/>
  <c r="H897" i="2"/>
  <c r="H893" i="2"/>
  <c r="H889" i="2"/>
  <c r="H885" i="2"/>
  <c r="H881" i="2"/>
  <c r="H877" i="2"/>
  <c r="H873" i="2"/>
  <c r="H869" i="2"/>
  <c r="H865" i="2"/>
  <c r="H861" i="2"/>
  <c r="H857" i="2"/>
  <c r="H853" i="2"/>
  <c r="H849" i="2"/>
  <c r="H845" i="2"/>
  <c r="H841" i="2"/>
  <c r="H837" i="2"/>
  <c r="H833" i="2"/>
  <c r="H829" i="2"/>
  <c r="H825" i="2"/>
  <c r="H821" i="2"/>
  <c r="H817" i="2"/>
  <c r="H813" i="2"/>
  <c r="H809" i="2"/>
  <c r="H805" i="2"/>
  <c r="H801" i="2"/>
  <c r="H797" i="2"/>
  <c r="H793" i="2"/>
  <c r="H789" i="2"/>
  <c r="H785" i="2"/>
  <c r="H781" i="2"/>
  <c r="H777" i="2"/>
  <c r="H773" i="2"/>
  <c r="H769" i="2"/>
  <c r="H765" i="2"/>
  <c r="H761" i="2"/>
  <c r="H757" i="2"/>
  <c r="H753" i="2"/>
  <c r="H749" i="2"/>
  <c r="H745" i="2"/>
  <c r="H741" i="2"/>
  <c r="H737" i="2"/>
  <c r="H733" i="2"/>
  <c r="H729" i="2"/>
  <c r="H725" i="2"/>
  <c r="H721" i="2"/>
  <c r="H717" i="2"/>
  <c r="H713" i="2"/>
  <c r="H709" i="2"/>
  <c r="H705" i="2"/>
  <c r="H701" i="2"/>
  <c r="H697" i="2"/>
  <c r="H693" i="2"/>
  <c r="H689" i="2"/>
  <c r="H685" i="2"/>
  <c r="H2151" i="2"/>
  <c r="H2135" i="2"/>
  <c r="H2119" i="2"/>
  <c r="H2103" i="2"/>
  <c r="H2087" i="2"/>
  <c r="H2071" i="2"/>
  <c r="H2055" i="2"/>
  <c r="H2039" i="2"/>
  <c r="H2023" i="2"/>
  <c r="H2007" i="2"/>
  <c r="H1991" i="2"/>
  <c r="H1975" i="2"/>
  <c r="H1959" i="2"/>
  <c r="H1943" i="2"/>
  <c r="H1927" i="2"/>
  <c r="H1911" i="2"/>
  <c r="H1895" i="2"/>
  <c r="H1879" i="2"/>
  <c r="H1863" i="2"/>
  <c r="H1847" i="2"/>
  <c r="H1831" i="2"/>
  <c r="H1815" i="2"/>
  <c r="H1799" i="2"/>
  <c r="H1783" i="2"/>
  <c r="H1767" i="2"/>
  <c r="H1751" i="2"/>
  <c r="H1735" i="2"/>
  <c r="H1719" i="2"/>
  <c r="H1703" i="2"/>
  <c r="H1687" i="2"/>
  <c r="H1671" i="2"/>
  <c r="H1655" i="2"/>
  <c r="H1607" i="2"/>
  <c r="H1591" i="2"/>
  <c r="H1575" i="2"/>
  <c r="H1559" i="2"/>
  <c r="H1543" i="2"/>
  <c r="H1527" i="2"/>
  <c r="H1511" i="2"/>
  <c r="H1495" i="2"/>
  <c r="H1479" i="2"/>
  <c r="H1463" i="2"/>
  <c r="H1447" i="2"/>
  <c r="H1431" i="2"/>
  <c r="H1415" i="2"/>
  <c r="H1399" i="2"/>
  <c r="H1383" i="2"/>
  <c r="H1367" i="2"/>
  <c r="H1351" i="2"/>
  <c r="H1335" i="2"/>
  <c r="H1319" i="2"/>
  <c r="H681" i="2"/>
  <c r="H677" i="2"/>
  <c r="H673" i="2"/>
  <c r="H669" i="2"/>
  <c r="H665" i="2"/>
  <c r="H661" i="2"/>
  <c r="H657" i="2"/>
  <c r="H653" i="2"/>
  <c r="H649" i="2"/>
  <c r="H645" i="2"/>
  <c r="H641" i="2"/>
  <c r="H637" i="2"/>
  <c r="H633" i="2"/>
  <c r="H629" i="2"/>
  <c r="H625" i="2"/>
  <c r="H621" i="2"/>
  <c r="H617" i="2"/>
  <c r="H613" i="2"/>
  <c r="H609" i="2"/>
  <c r="H605" i="2"/>
  <c r="H601" i="2"/>
  <c r="H597" i="2"/>
  <c r="H593" i="2"/>
  <c r="H589" i="2"/>
  <c r="H585" i="2"/>
  <c r="H581" i="2"/>
  <c r="H577" i="2"/>
  <c r="H573" i="2"/>
  <c r="H569" i="2"/>
  <c r="H565" i="2"/>
  <c r="H561" i="2"/>
  <c r="H557" i="2"/>
  <c r="H553" i="2"/>
  <c r="H549" i="2"/>
  <c r="H545" i="2"/>
  <c r="H541" i="2"/>
  <c r="H537" i="2"/>
  <c r="H533" i="2"/>
  <c r="H529" i="2"/>
  <c r="H525" i="2"/>
  <c r="H521" i="2"/>
  <c r="H517" i="2"/>
  <c r="H513" i="2"/>
  <c r="H509" i="2"/>
  <c r="H505" i="2"/>
  <c r="H501" i="2"/>
  <c r="H497" i="2"/>
  <c r="H493" i="2"/>
  <c r="H489" i="2"/>
  <c r="H485" i="2"/>
  <c r="H481" i="2"/>
  <c r="H477" i="2"/>
  <c r="H473" i="2"/>
  <c r="H469" i="2"/>
  <c r="H465" i="2"/>
  <c r="H461" i="2"/>
  <c r="H457" i="2"/>
  <c r="H453" i="2"/>
  <c r="H449" i="2"/>
  <c r="H445" i="2"/>
  <c r="H441" i="2"/>
  <c r="H437" i="2"/>
  <c r="H433" i="2"/>
  <c r="H429" i="2"/>
  <c r="H425" i="2"/>
  <c r="H421" i="2"/>
  <c r="H417" i="2"/>
  <c r="H413" i="2"/>
  <c r="H409" i="2"/>
  <c r="H405" i="2"/>
  <c r="H401" i="2"/>
  <c r="H397" i="2"/>
  <c r="H393" i="2"/>
  <c r="H389" i="2"/>
  <c r="H385" i="2"/>
  <c r="H381" i="2"/>
  <c r="H377" i="2"/>
  <c r="H373" i="2"/>
  <c r="H369" i="2"/>
  <c r="H365" i="2"/>
  <c r="H361" i="2"/>
  <c r="H357" i="2"/>
  <c r="H353" i="2"/>
  <c r="H349" i="2"/>
  <c r="H345" i="2"/>
  <c r="H341" i="2"/>
  <c r="H337" i="2"/>
  <c r="H333" i="2"/>
  <c r="H329" i="2"/>
  <c r="H325" i="2"/>
  <c r="H321" i="2"/>
  <c r="H317" i="2"/>
  <c r="H313" i="2"/>
  <c r="H309" i="2"/>
  <c r="H305" i="2"/>
  <c r="H301" i="2"/>
  <c r="H297" i="2"/>
  <c r="H293" i="2"/>
  <c r="H289" i="2"/>
  <c r="H285" i="2"/>
  <c r="H281" i="2"/>
  <c r="H277" i="2"/>
  <c r="H273" i="2"/>
  <c r="H269" i="2"/>
  <c r="H265" i="2"/>
  <c r="H261" i="2"/>
  <c r="H257" i="2"/>
  <c r="H253" i="2"/>
  <c r="H249" i="2"/>
  <c r="H245" i="2"/>
  <c r="H241" i="2"/>
  <c r="H237" i="2"/>
  <c r="H233" i="2"/>
  <c r="H229" i="2"/>
  <c r="H225" i="2"/>
  <c r="H221" i="2"/>
  <c r="H217" i="2"/>
  <c r="H213" i="2"/>
  <c r="H209" i="2"/>
  <c r="H205" i="2"/>
  <c r="H201" i="2"/>
  <c r="H197" i="2"/>
  <c r="H193" i="2"/>
  <c r="H189" i="2"/>
  <c r="H185" i="2"/>
  <c r="H181" i="2"/>
  <c r="H177" i="2"/>
  <c r="H173" i="2"/>
  <c r="H169" i="2"/>
  <c r="H165" i="2"/>
  <c r="H161" i="2"/>
  <c r="H157" i="2"/>
  <c r="H153" i="2"/>
  <c r="H149" i="2"/>
  <c r="H145" i="2"/>
  <c r="H141" i="2"/>
  <c r="H137" i="2"/>
  <c r="H133" i="2"/>
  <c r="H129" i="2"/>
  <c r="H125" i="2"/>
  <c r="H121" i="2"/>
  <c r="H117" i="2"/>
  <c r="H113" i="2"/>
  <c r="H109" i="2"/>
  <c r="H105" i="2"/>
  <c r="H101" i="2"/>
  <c r="H97" i="2"/>
  <c r="H93" i="2"/>
  <c r="H89" i="2"/>
  <c r="H85" i="2"/>
  <c r="H81" i="2"/>
  <c r="H77" i="2"/>
  <c r="H73" i="2"/>
  <c r="H69" i="2"/>
  <c r="H65" i="2"/>
  <c r="H61" i="2"/>
  <c r="H57" i="2"/>
  <c r="H53" i="2"/>
  <c r="H49" i="2"/>
  <c r="H45" i="2"/>
  <c r="H41" i="2"/>
  <c r="H37" i="2"/>
  <c r="H33" i="2"/>
  <c r="H29" i="2"/>
  <c r="H25" i="2"/>
  <c r="H21" i="2"/>
  <c r="H17" i="2"/>
  <c r="H13" i="2"/>
  <c r="H9" i="2"/>
  <c r="H5" i="2"/>
  <c r="H115" i="2"/>
  <c r="H111" i="2"/>
  <c r="H107" i="2"/>
  <c r="H103" i="2"/>
  <c r="H99" i="2"/>
  <c r="H95" i="2"/>
  <c r="H91" i="2"/>
  <c r="H87" i="2"/>
  <c r="H83" i="2"/>
  <c r="H79" i="2"/>
  <c r="H75" i="2"/>
  <c r="H71" i="2"/>
  <c r="H67" i="2"/>
  <c r="H63" i="2"/>
  <c r="H59" i="2"/>
  <c r="H55" i="2"/>
  <c r="H51" i="2"/>
  <c r="H47" i="2"/>
  <c r="H43" i="2"/>
  <c r="H39" i="2"/>
  <c r="H35" i="2"/>
  <c r="H31" i="2"/>
  <c r="H27" i="2"/>
  <c r="H23" i="2"/>
  <c r="H19" i="2"/>
  <c r="H15" i="2"/>
  <c r="H11" i="2"/>
  <c r="H7" i="2"/>
  <c r="H3" i="2"/>
  <c r="H1365" i="2"/>
  <c r="H1341" i="2"/>
  <c r="H2330" i="2"/>
  <c r="H2326" i="2"/>
  <c r="H2322" i="2"/>
  <c r="H2318" i="2"/>
  <c r="H2314" i="2"/>
  <c r="H2310" i="2"/>
  <c r="H2306" i="2"/>
  <c r="H2302" i="2"/>
  <c r="H2298" i="2"/>
  <c r="H2294" i="2"/>
  <c r="H2290" i="2"/>
  <c r="H2286" i="2"/>
  <c r="H2282" i="2"/>
  <c r="H2278" i="2"/>
  <c r="H2274" i="2"/>
  <c r="H2270" i="2"/>
  <c r="H2266" i="2"/>
  <c r="H2262" i="2"/>
  <c r="H2258" i="2"/>
  <c r="H2254" i="2"/>
  <c r="H2250" i="2"/>
  <c r="H2246" i="2"/>
  <c r="H2242" i="2"/>
  <c r="H2238" i="2"/>
  <c r="H2234" i="2"/>
  <c r="H2230" i="2"/>
  <c r="H2226" i="2"/>
  <c r="H2222" i="2"/>
  <c r="H2218" i="2"/>
  <c r="H2214" i="2"/>
  <c r="H2210" i="2"/>
  <c r="H2206" i="2"/>
  <c r="H2202" i="2"/>
  <c r="H2198" i="2"/>
  <c r="H2194" i="2"/>
  <c r="H2190" i="2"/>
  <c r="H2186" i="2"/>
  <c r="H2182" i="2"/>
  <c r="H2178" i="2"/>
  <c r="H2174" i="2"/>
  <c r="H2170" i="2"/>
  <c r="H2166" i="2"/>
  <c r="H2162" i="2"/>
  <c r="H2158" i="2"/>
  <c r="H2154" i="2"/>
  <c r="H2150" i="2"/>
  <c r="H2146" i="2"/>
  <c r="H2142" i="2"/>
  <c r="H2138" i="2"/>
  <c r="H2134" i="2"/>
  <c r="H2130" i="2"/>
  <c r="H2126" i="2"/>
  <c r="H2122" i="2"/>
  <c r="H2118" i="2"/>
  <c r="H2114" i="2"/>
  <c r="H2110" i="2"/>
  <c r="H2106" i="2"/>
  <c r="H2102" i="2"/>
  <c r="H2098" i="2"/>
  <c r="H2094" i="2"/>
  <c r="H2090" i="2"/>
  <c r="H2086" i="2"/>
  <c r="H2082" i="2"/>
  <c r="H2078" i="2"/>
  <c r="H2074" i="2"/>
  <c r="H2070" i="2"/>
  <c r="H2066" i="2"/>
  <c r="H2062" i="2"/>
  <c r="H2058" i="2"/>
  <c r="H2054" i="2"/>
  <c r="H2050" i="2"/>
  <c r="H2046" i="2"/>
  <c r="H2042" i="2"/>
  <c r="H2038" i="2"/>
  <c r="H2034" i="2"/>
  <c r="H2030" i="2"/>
  <c r="H2026" i="2"/>
  <c r="H2022" i="2"/>
  <c r="H2018" i="2"/>
  <c r="H2014" i="2"/>
  <c r="H2010" i="2"/>
  <c r="H2006" i="2"/>
  <c r="H2002" i="2"/>
  <c r="H1998" i="2"/>
  <c r="H1994" i="2"/>
  <c r="H1990" i="2"/>
  <c r="H1986" i="2"/>
  <c r="H1982" i="2"/>
  <c r="H1978" i="2"/>
  <c r="H1974" i="2"/>
  <c r="H1970" i="2"/>
  <c r="H1966" i="2"/>
  <c r="H1962" i="2"/>
  <c r="H1958" i="2"/>
  <c r="H1954" i="2"/>
  <c r="H1950" i="2"/>
  <c r="H1946" i="2"/>
  <c r="H1942" i="2"/>
  <c r="H1938" i="2"/>
  <c r="H1934" i="2"/>
  <c r="H1930" i="2"/>
  <c r="H1926" i="2"/>
  <c r="H1922" i="2"/>
  <c r="H1918" i="2"/>
  <c r="H1914" i="2"/>
  <c r="H1910" i="2"/>
  <c r="H1906" i="2"/>
  <c r="H1902" i="2"/>
  <c r="H1898" i="2"/>
  <c r="H1894" i="2"/>
  <c r="H1890" i="2"/>
  <c r="H1886" i="2"/>
  <c r="H1882" i="2"/>
  <c r="H1878" i="2"/>
  <c r="H1874" i="2"/>
  <c r="H1870" i="2"/>
  <c r="H1866" i="2"/>
  <c r="H1862" i="2"/>
  <c r="H1858" i="2"/>
  <c r="H1854" i="2"/>
  <c r="H1850" i="2"/>
  <c r="H1846" i="2"/>
  <c r="H1842" i="2"/>
  <c r="H1838" i="2"/>
  <c r="H1834" i="2"/>
  <c r="H1830" i="2"/>
  <c r="H1826" i="2"/>
  <c r="H1822" i="2"/>
  <c r="H1818" i="2"/>
  <c r="H1814" i="2"/>
  <c r="H1810" i="2"/>
  <c r="H1806" i="2"/>
  <c r="H1802" i="2"/>
  <c r="H1798" i="2"/>
  <c r="H1794" i="2"/>
  <c r="H1790" i="2"/>
  <c r="H1786" i="2"/>
  <c r="H1782" i="2"/>
  <c r="H1778" i="2"/>
  <c r="H1774" i="2"/>
  <c r="H1770" i="2"/>
  <c r="H1766" i="2"/>
  <c r="H1762" i="2"/>
  <c r="H1758" i="2"/>
  <c r="H1754" i="2"/>
  <c r="H1750" i="2"/>
  <c r="H1746" i="2"/>
  <c r="H1742" i="2"/>
  <c r="H1738" i="2"/>
  <c r="H1734" i="2"/>
  <c r="H1730" i="2"/>
  <c r="H1726" i="2"/>
  <c r="H1722" i="2"/>
  <c r="H1718" i="2"/>
  <c r="H1714" i="2"/>
  <c r="H1710" i="2"/>
  <c r="H1706" i="2"/>
  <c r="H1702" i="2"/>
  <c r="H1698" i="2"/>
  <c r="H1694" i="2"/>
  <c r="H1690" i="2"/>
  <c r="H1686" i="2"/>
  <c r="H1682" i="2"/>
  <c r="H1678" i="2"/>
  <c r="H1674" i="2"/>
  <c r="H1670" i="2"/>
  <c r="H1666" i="2"/>
  <c r="H1662" i="2"/>
  <c r="H1658" i="2"/>
  <c r="H1654" i="2"/>
  <c r="H1650" i="2"/>
  <c r="H1646" i="2"/>
  <c r="H1642" i="2"/>
  <c r="H1638" i="2"/>
  <c r="H1634" i="2"/>
  <c r="H1630" i="2"/>
  <c r="H1626" i="2"/>
  <c r="H1622" i="2"/>
  <c r="H1618" i="2"/>
  <c r="H1614" i="2"/>
  <c r="H1610" i="2"/>
  <c r="H1606" i="2"/>
  <c r="H1602" i="2"/>
  <c r="H1598" i="2"/>
  <c r="H1594" i="2"/>
  <c r="H1590" i="2"/>
  <c r="H1586" i="2"/>
  <c r="H1582" i="2"/>
  <c r="H1578" i="2"/>
  <c r="H1574" i="2"/>
  <c r="H1570" i="2"/>
  <c r="H1566" i="2"/>
  <c r="H1562" i="2"/>
  <c r="H1558" i="2"/>
  <c r="H1554" i="2"/>
  <c r="H1550" i="2"/>
  <c r="H1546" i="2"/>
  <c r="H1542" i="2"/>
  <c r="H1538" i="2"/>
  <c r="H1534" i="2"/>
  <c r="H1530" i="2"/>
  <c r="H1526" i="2"/>
  <c r="H1522" i="2"/>
  <c r="H1518" i="2"/>
  <c r="H1514" i="2"/>
  <c r="H1510" i="2"/>
  <c r="H1506" i="2"/>
  <c r="H1502" i="2"/>
  <c r="H1498" i="2"/>
  <c r="H1494" i="2"/>
  <c r="H1490" i="2"/>
  <c r="H1486" i="2"/>
  <c r="H1482" i="2"/>
  <c r="H1478" i="2"/>
  <c r="H1474" i="2"/>
  <c r="H1470" i="2"/>
  <c r="H1466" i="2"/>
  <c r="H1462" i="2"/>
  <c r="H1458" i="2"/>
  <c r="H1454" i="2"/>
  <c r="H1450" i="2"/>
  <c r="H1446" i="2"/>
  <c r="H1442" i="2"/>
  <c r="H1438" i="2"/>
  <c r="H1434" i="2"/>
  <c r="H1430" i="2"/>
  <c r="H1426" i="2"/>
  <c r="H1422" i="2"/>
  <c r="H1418" i="2"/>
  <c r="H1414" i="2"/>
  <c r="H1410" i="2"/>
  <c r="H1406" i="2"/>
  <c r="H1402" i="2"/>
  <c r="H1398" i="2"/>
  <c r="H1394" i="2"/>
  <c r="H1390" i="2"/>
  <c r="H1386" i="2"/>
  <c r="H1382" i="2"/>
  <c r="H1378" i="2"/>
  <c r="H1374" i="2"/>
  <c r="H1370" i="2"/>
  <c r="H1366" i="2"/>
  <c r="H1362" i="2"/>
  <c r="H1358" i="2"/>
  <c r="H1354" i="2"/>
  <c r="H1350" i="2"/>
  <c r="H1346" i="2"/>
  <c r="H1342" i="2"/>
  <c r="H1338" i="2"/>
  <c r="H1334" i="2"/>
  <c r="H1330" i="2"/>
  <c r="H1326" i="2"/>
  <c r="H1322" i="2"/>
  <c r="H1318" i="2"/>
  <c r="H1314" i="2"/>
  <c r="H1310" i="2"/>
  <c r="H1306" i="2"/>
  <c r="H1302" i="2"/>
  <c r="H1298" i="2"/>
  <c r="H1294" i="2"/>
  <c r="H1290" i="2"/>
  <c r="H1286" i="2"/>
  <c r="H1282" i="2"/>
  <c r="H1278" i="2"/>
  <c r="H1274" i="2"/>
  <c r="H1270" i="2"/>
  <c r="H1266" i="2"/>
  <c r="H1262" i="2"/>
  <c r="H1258" i="2"/>
  <c r="H1254" i="2"/>
  <c r="H1250" i="2"/>
  <c r="H1246" i="2"/>
  <c r="H1242" i="2"/>
  <c r="H1238" i="2"/>
  <c r="H1234" i="2"/>
  <c r="H1230" i="2"/>
  <c r="H1226" i="2"/>
  <c r="H1222" i="2"/>
  <c r="H1218" i="2"/>
  <c r="H1214" i="2"/>
  <c r="H1210" i="2"/>
  <c r="H1206" i="2"/>
  <c r="H1202" i="2"/>
  <c r="H1198" i="2"/>
  <c r="H1194" i="2"/>
  <c r="H1190" i="2"/>
  <c r="H1186" i="2"/>
  <c r="H1182" i="2"/>
  <c r="H1178" i="2"/>
  <c r="H1174" i="2"/>
  <c r="H1170" i="2"/>
  <c r="H1166" i="2"/>
  <c r="H1162" i="2"/>
  <c r="H1158" i="2"/>
  <c r="H1154" i="2"/>
  <c r="H1150" i="2"/>
  <c r="H1146" i="2"/>
  <c r="H1142" i="2"/>
  <c r="H1138" i="2"/>
  <c r="H1134" i="2"/>
  <c r="H1130" i="2"/>
  <c r="H1126" i="2"/>
  <c r="H1122" i="2"/>
  <c r="H1118" i="2"/>
  <c r="H1114" i="2"/>
  <c r="H1110" i="2"/>
  <c r="H1106" i="2"/>
  <c r="H1102" i="2"/>
  <c r="H1098" i="2"/>
  <c r="H1094" i="2"/>
  <c r="H1090" i="2"/>
  <c r="H1086" i="2"/>
  <c r="H1082" i="2"/>
  <c r="H1078" i="2"/>
  <c r="H1074" i="2"/>
  <c r="H1070" i="2"/>
  <c r="H1066" i="2"/>
  <c r="H1062" i="2"/>
  <c r="H1058" i="2"/>
  <c r="H1054" i="2"/>
  <c r="H1050" i="2"/>
  <c r="H1046" i="2"/>
  <c r="H1042" i="2"/>
  <c r="H1038" i="2"/>
  <c r="H1034" i="2"/>
  <c r="H1030" i="2"/>
  <c r="H1026" i="2"/>
  <c r="H1022" i="2"/>
  <c r="H1018" i="2"/>
  <c r="H1014" i="2"/>
  <c r="H1010" i="2"/>
  <c r="H1006" i="2"/>
  <c r="H1002" i="2"/>
  <c r="H998" i="2"/>
  <c r="H994" i="2"/>
  <c r="H990" i="2"/>
  <c r="H986" i="2"/>
  <c r="H982" i="2"/>
  <c r="H978" i="2"/>
  <c r="H974" i="2"/>
  <c r="H970" i="2"/>
  <c r="H966" i="2"/>
  <c r="H962" i="2"/>
  <c r="H958" i="2"/>
  <c r="H954" i="2"/>
  <c r="H950" i="2"/>
  <c r="H946" i="2"/>
  <c r="H942" i="2"/>
  <c r="H938" i="2"/>
  <c r="H934" i="2"/>
  <c r="H930" i="2"/>
  <c r="H926" i="2"/>
  <c r="H922" i="2"/>
  <c r="H918" i="2"/>
  <c r="H914" i="2"/>
  <c r="H910" i="2"/>
  <c r="H906" i="2"/>
  <c r="H902" i="2"/>
  <c r="H898" i="2"/>
  <c r="H894" i="2"/>
  <c r="H890" i="2"/>
  <c r="H886" i="2"/>
  <c r="H882" i="2"/>
  <c r="H878" i="2"/>
  <c r="H874" i="2"/>
  <c r="H870" i="2"/>
  <c r="H866" i="2"/>
  <c r="H862" i="2"/>
  <c r="H858" i="2"/>
  <c r="H854" i="2"/>
  <c r="H850" i="2"/>
  <c r="H846" i="2"/>
  <c r="H842" i="2"/>
  <c r="H838" i="2"/>
  <c r="H834" i="2"/>
  <c r="H830" i="2"/>
  <c r="H826" i="2"/>
  <c r="H822" i="2"/>
  <c r="H818" i="2"/>
  <c r="H814" i="2"/>
  <c r="H810" i="2"/>
  <c r="H806" i="2"/>
  <c r="H802" i="2"/>
  <c r="H798" i="2"/>
  <c r="H794" i="2"/>
  <c r="H790" i="2"/>
  <c r="H786" i="2"/>
  <c r="H782" i="2"/>
  <c r="H778" i="2"/>
  <c r="H774" i="2"/>
  <c r="H770" i="2"/>
  <c r="H766" i="2"/>
  <c r="H762" i="2"/>
  <c r="H758" i="2"/>
  <c r="H754" i="2"/>
  <c r="H750" i="2"/>
  <c r="H746" i="2"/>
  <c r="H742" i="2"/>
  <c r="H738" i="2"/>
  <c r="H734" i="2"/>
  <c r="H730" i="2"/>
  <c r="H726" i="2"/>
  <c r="H722" i="2"/>
  <c r="H718" i="2"/>
  <c r="H714" i="2"/>
  <c r="H710" i="2"/>
  <c r="H706" i="2"/>
  <c r="H702" i="2"/>
  <c r="H698" i="2"/>
  <c r="H694" i="2"/>
  <c r="H690" i="2"/>
  <c r="H686" i="2"/>
  <c r="H682" i="2"/>
  <c r="H678" i="2"/>
  <c r="H674" i="2"/>
  <c r="H670" i="2"/>
  <c r="H666" i="2"/>
  <c r="H662" i="2"/>
  <c r="H658" i="2"/>
  <c r="H654" i="2"/>
  <c r="H650" i="2"/>
  <c r="H646" i="2"/>
  <c r="H642" i="2"/>
  <c r="H638" i="2"/>
  <c r="H634" i="2"/>
  <c r="H630" i="2"/>
  <c r="H626" i="2"/>
  <c r="H622" i="2"/>
  <c r="H618" i="2"/>
  <c r="H614" i="2"/>
  <c r="H610" i="2"/>
  <c r="H606" i="2"/>
  <c r="H602" i="2"/>
  <c r="H598" i="2"/>
  <c r="H594" i="2"/>
  <c r="H590" i="2"/>
  <c r="H586" i="2"/>
  <c r="H582" i="2"/>
  <c r="H578" i="2"/>
  <c r="H574" i="2"/>
  <c r="H570" i="2"/>
  <c r="H566" i="2"/>
  <c r="H562" i="2"/>
  <c r="H558" i="2"/>
  <c r="H554" i="2"/>
  <c r="H550" i="2"/>
  <c r="H546" i="2"/>
  <c r="H542" i="2"/>
  <c r="H538" i="2"/>
  <c r="H534" i="2"/>
  <c r="H530" i="2"/>
  <c r="H526" i="2"/>
  <c r="H522" i="2"/>
  <c r="H518" i="2"/>
  <c r="H514" i="2"/>
  <c r="H510" i="2"/>
  <c r="H506" i="2"/>
  <c r="H502" i="2"/>
  <c r="H498" i="2"/>
  <c r="H494" i="2"/>
  <c r="H490" i="2"/>
  <c r="H486" i="2"/>
  <c r="H482" i="2"/>
  <c r="H478" i="2"/>
  <c r="H474" i="2"/>
  <c r="H470" i="2"/>
  <c r="H466" i="2"/>
  <c r="H462" i="2"/>
  <c r="H458" i="2"/>
  <c r="H454" i="2"/>
  <c r="H450" i="2"/>
  <c r="H446" i="2"/>
  <c r="H442" i="2"/>
  <c r="H438" i="2"/>
  <c r="H434" i="2"/>
  <c r="H430" i="2"/>
  <c r="H426" i="2"/>
  <c r="H422" i="2"/>
  <c r="H418" i="2"/>
  <c r="H414" i="2"/>
  <c r="H410" i="2"/>
  <c r="H406" i="2"/>
  <c r="H402" i="2"/>
  <c r="H398" i="2"/>
  <c r="H394" i="2"/>
  <c r="H390" i="2"/>
  <c r="H386" i="2"/>
  <c r="H382" i="2"/>
  <c r="H378" i="2"/>
  <c r="H374" i="2"/>
  <c r="H370" i="2"/>
  <c r="H366" i="2"/>
  <c r="H362" i="2"/>
  <c r="H358" i="2"/>
  <c r="H354" i="2"/>
  <c r="H350" i="2"/>
  <c r="H346" i="2"/>
  <c r="H342" i="2"/>
  <c r="H338" i="2"/>
  <c r="H334" i="2"/>
  <c r="H330" i="2"/>
  <c r="H326" i="2"/>
  <c r="H322" i="2"/>
  <c r="H318" i="2"/>
  <c r="H314" i="2"/>
  <c r="H310" i="2"/>
  <c r="H306" i="2"/>
  <c r="H302" i="2"/>
  <c r="H298" i="2"/>
  <c r="H294" i="2"/>
  <c r="H290" i="2"/>
  <c r="H286" i="2"/>
  <c r="H282" i="2"/>
  <c r="H278" i="2"/>
  <c r="H274" i="2"/>
  <c r="H270" i="2"/>
  <c r="H266" i="2"/>
  <c r="H262" i="2"/>
  <c r="H258" i="2"/>
  <c r="H254" i="2"/>
  <c r="H250" i="2"/>
  <c r="H246" i="2"/>
  <c r="H242" i="2"/>
  <c r="H238" i="2"/>
  <c r="H234" i="2"/>
  <c r="H230" i="2"/>
  <c r="H226" i="2"/>
  <c r="H222" i="2"/>
  <c r="H218" i="2"/>
  <c r="H214" i="2"/>
  <c r="H210" i="2"/>
  <c r="H206" i="2"/>
  <c r="H202" i="2"/>
  <c r="H198" i="2"/>
  <c r="H194" i="2"/>
  <c r="H190" i="2"/>
  <c r="H186" i="2"/>
  <c r="H182" i="2"/>
  <c r="H178" i="2"/>
  <c r="H174" i="2"/>
  <c r="H170" i="2"/>
  <c r="H166" i="2"/>
  <c r="H162" i="2"/>
  <c r="H158" i="2"/>
  <c r="H154" i="2"/>
  <c r="H150" i="2"/>
  <c r="H146" i="2"/>
  <c r="H142" i="2"/>
  <c r="H138" i="2"/>
  <c r="H134" i="2"/>
  <c r="H130" i="2"/>
  <c r="H126" i="2"/>
  <c r="H122" i="2"/>
  <c r="H118" i="2"/>
  <c r="H114" i="2"/>
  <c r="H110" i="2"/>
  <c r="H106" i="2"/>
  <c r="H102" i="2"/>
  <c r="H98" i="2"/>
  <c r="H94" i="2"/>
  <c r="H90" i="2"/>
  <c r="H86" i="2"/>
  <c r="H82" i="2"/>
  <c r="H78" i="2"/>
  <c r="H74" i="2"/>
  <c r="H70" i="2"/>
  <c r="H66" i="2"/>
  <c r="H62" i="2"/>
  <c r="H58" i="2"/>
  <c r="H54" i="2"/>
  <c r="H50" i="2"/>
  <c r="H46" i="2"/>
  <c r="H42" i="2"/>
  <c r="H38" i="2"/>
  <c r="H34" i="2"/>
  <c r="H30" i="2"/>
  <c r="H26" i="2"/>
  <c r="H22" i="2"/>
  <c r="H18" i="2"/>
  <c r="H14" i="2"/>
  <c r="H10" i="2"/>
  <c r="H6" i="2"/>
  <c r="D2335" i="2"/>
  <c r="H2" i="2"/>
  <c r="N347" i="5" l="1"/>
  <c r="B2334" i="1"/>
</calcChain>
</file>

<file path=xl/sharedStrings.xml><?xml version="1.0" encoding="utf-8"?>
<sst xmlns="http://schemas.openxmlformats.org/spreadsheetml/2006/main" count="22485" uniqueCount="8346">
  <si>
    <t>POLICIES A</t>
  </si>
  <si>
    <t>AMT A</t>
  </si>
  <si>
    <t>KHI/HO/D/MO/PC COMP/C/62063/54/07/2022</t>
  </si>
  <si>
    <t>KHI/HO/D/MI/TRI/P/9702/03/2023</t>
  </si>
  <si>
    <t>KHI/HO/D/MI/LST/P/40/07/2022</t>
  </si>
  <si>
    <t>KHI/HO/D/MI/LST/P/42/07/2022</t>
  </si>
  <si>
    <t>KHI/HO/D/FR/ND/P/17729/02/2023</t>
  </si>
  <si>
    <t>LHR/LHR/F/MO/PC COMP/P/70605/05/2023</t>
  </si>
  <si>
    <t>KHI/HO/D/MR/IMPORTS/C/19481/03/2024</t>
  </si>
  <si>
    <t>KHI/HO/D/MO/PD COMP/P/67739/02/2023</t>
  </si>
  <si>
    <t>KHI/HO/D/MI/PA/P/3343/09/2023</t>
  </si>
  <si>
    <t>KHI/HO/D/MI/PA/P/3348/09/2023</t>
  </si>
  <si>
    <t>KHI/HO/D/MI/PA/P/3349/09/2023</t>
  </si>
  <si>
    <t>KHI/HO/D/HLGRP HEALTH/P/518/03/2020</t>
  </si>
  <si>
    <t>KHI/HO/D/MI/PA/P/3350/09/2023</t>
  </si>
  <si>
    <t>KHI/HO/D/MI/PA/P/3324/09/2023</t>
  </si>
  <si>
    <t>KHI/HO/D/MI/PA/P/3356/09/2023</t>
  </si>
  <si>
    <t>KHI/HO/D/MI/PA/P/3327/09/2023</t>
  </si>
  <si>
    <t>KHI/HO/D/MI/PA/P/3291/09/2023</t>
  </si>
  <si>
    <t>KHI/HO/D/MI/PA/P/3342/09/2023</t>
  </si>
  <si>
    <t>KHI/HO/D/MI/PA/P/3321/09/2023</t>
  </si>
  <si>
    <t>KHI/HO/D/MI/PA/P/3344/09/2023</t>
  </si>
  <si>
    <t>KHI/HO/D/MI/PA/P/3282/09/2023</t>
  </si>
  <si>
    <t>KHI/HO/D/MI/PA/P/3345/09/2023</t>
  </si>
  <si>
    <t>KHI/HO/D/MI/PA/P/3323/09/2023</t>
  </si>
  <si>
    <t>KHI/HO/D/HLGRP HEALTH/P/517/03/2020</t>
  </si>
  <si>
    <t>KHI/HO/D/MI/PA/P/3295/09/2023</t>
  </si>
  <si>
    <t>KHI/HO/D/MI/PA/P/3355/09/2023</t>
  </si>
  <si>
    <t>KHI/HO/F/MI/TRR/P/321/09/2024</t>
  </si>
  <si>
    <t>KHI/HO/D/MR/IMPORTS/C/19473/03/2024</t>
  </si>
  <si>
    <t>KHI/HO/F/MR/IMPORTS/P/42744/06/2024</t>
  </si>
  <si>
    <t>KHI/HO/D/MO/PD COMP/P/73304/07/2023</t>
  </si>
  <si>
    <t>MUL/MUL/F/FR/ND/P/18830/06/2023</t>
  </si>
  <si>
    <t>LHR/LHR/F/MO/PC COMP/P/74980/09/2023</t>
  </si>
  <si>
    <t>LHR/LHR/D/MO/PC COMP/P/94891/08/2024</t>
  </si>
  <si>
    <t>KHI/HO/D/MR/IMPORTS/C/19475/03/2024</t>
  </si>
  <si>
    <t>LHR/LHR/F/FR/ND/P/22061/04/2024</t>
  </si>
  <si>
    <t>MUL/MUL/F/FR/ND/P/17953/03/2023</t>
  </si>
  <si>
    <t>MUL/MUL/F/FR/ND/P/17110/12/2022</t>
  </si>
  <si>
    <t>KHI/HO/F/MR/IMPORTS/P/38955/02/2023</t>
  </si>
  <si>
    <t>LHR/LHR/F/MO/PC COMP/P/70284/05/2023</t>
  </si>
  <si>
    <t>MUL/MUL/F/FR/ND/P/13625/01/2022</t>
  </si>
  <si>
    <t>KHI/HO/F/MR/IMPORTS/P/39002/02/2023</t>
  </si>
  <si>
    <t>KHI/HO/F/MR/IMPORTS/P/38688/01/2023</t>
  </si>
  <si>
    <t>MUL/MUL/F/FR/ND/P/15322/08/2022</t>
  </si>
  <si>
    <t>MUL/MUL/F/FR/ND/P/13612/01/2022</t>
  </si>
  <si>
    <t>MUL/MUL/F/FR/ND/P/12600/10/2021</t>
  </si>
  <si>
    <t>MUL/MUL/F/FR/ND/P/16800/11/2022</t>
  </si>
  <si>
    <t>MUL/MUL/F/MI/CT/P/1964/01/2022</t>
  </si>
  <si>
    <t>KHI/HO/D/HLGRP HEALTH/P/2320/02/2023</t>
  </si>
  <si>
    <t>KHI/HO/D/HLGRP HEALTH/P/2626/08/2023</t>
  </si>
  <si>
    <t>KHI/HO/D/MI/CRP/C/2504/04/2024</t>
  </si>
  <si>
    <t>KHI/HO/D/HLGRP HEALTH/P/3289/08/2024</t>
  </si>
  <si>
    <t>KHI/HO/D/HLGRP HEALTH/P/3157/04/2024</t>
  </si>
  <si>
    <t>KHI/HO/D/MO/PC COMP/C/89125/1/05/2024</t>
  </si>
  <si>
    <t>KHI/HO/D/MO/PC COMP/C/97805/126/09/2024</t>
  </si>
  <si>
    <t>KHI/HO/D/MO/PC COMP/C/97805/59/09/2024</t>
  </si>
  <si>
    <t>KHI/HO/D/MO/PD COMP/P/69846/04/2023</t>
  </si>
  <si>
    <t>KHI/HO/F/MR/IMPORTS/C/17792/02/2023</t>
  </si>
  <si>
    <t>KHI/HO/D/MO/PC COMP/C/97805/320/09/2024</t>
  </si>
  <si>
    <t>KHI/HO/D/MO/PC COMP/C/97805/123/09/2024</t>
  </si>
  <si>
    <t>KHI/HO/D/MO/PC COMP/C/97805/197/09/2024</t>
  </si>
  <si>
    <t>KHI/HO/D/MO/PC COMP/C/97805/260/09/2024</t>
  </si>
  <si>
    <t>KHI/HO/D/MO/PC COMP/C/97805/326/09/2024</t>
  </si>
  <si>
    <t>KHI/HO/D/MO/PC COMP/C/97805/5/09/2024</t>
  </si>
  <si>
    <t>KHI/HO/D/MO/PC COMP/C/97805/113/09/2024</t>
  </si>
  <si>
    <t>KHI/HO/D/MO/PC COMP/C/97805/296/09/2024</t>
  </si>
  <si>
    <t>KHI/HO/D/MO/PC COMP/C/97805/210/09/2024</t>
  </si>
  <si>
    <t>KHI/HO/F/MR/IMPORTS/C/16946/06/2022</t>
  </si>
  <si>
    <t>KHI/HO/D/MO/PC COMP/C/89123/2/05/2024</t>
  </si>
  <si>
    <t>KHI/HO/F/MR/IMPORTS/C/17750/02/2023</t>
  </si>
  <si>
    <t>KHI/HO/D/MO/PC COMP/C/97805/63/09/2024</t>
  </si>
  <si>
    <t>KHI/HO/F/MR/IMPORTS/C/17787/02/2023</t>
  </si>
  <si>
    <t>LHR/LHR/D/MI/CRP/C/652/07/2023</t>
  </si>
  <si>
    <t>LHR/LHR/F/FR/ND/P/16498/10/2022</t>
  </si>
  <si>
    <t>KHI/HO/F/MR/IMPORTS/P/38854/01/2023</t>
  </si>
  <si>
    <t>KHI/HO/F/MR/IMPORTS/P/38761/01/2023</t>
  </si>
  <si>
    <t>KHI/HO/F/MR/IMPORTS/P/38687/01/2023</t>
  </si>
  <si>
    <t>LHR/LHR/F/MO/MC COMP/P/71413/05/2023</t>
  </si>
  <si>
    <t>KHI/HO/F/MR/IMPORTS/P/38708/01/2023</t>
  </si>
  <si>
    <t>LHR/LHR/F/MO/MC COMP/P/71824/06/2023</t>
  </si>
  <si>
    <t>KHI/HO/F/MR/IMPORTS/P/42813/06/2024</t>
  </si>
  <si>
    <t>LHR/LHR/F/MO/PC COMP/P/69862/04/2023</t>
  </si>
  <si>
    <t>KHI/HO/F/MR/IMPORTS/P/42819/06/2024</t>
  </si>
  <si>
    <t>KHI/HO/F/MR/IMPORTS/P/38804/01/2023</t>
  </si>
  <si>
    <t>KHI/HO/F/MR/IMPORTS/P/42829/06/2024</t>
  </si>
  <si>
    <t>KHI/HO/F/MR/IMPORTS/P/38844/01/2023</t>
  </si>
  <si>
    <t>KHI/HO/F/MR/IMPORTS/P/42896/06/2024</t>
  </si>
  <si>
    <t>LHR/LHR/F/MO/PC COMP/P/70811/05/2023</t>
  </si>
  <si>
    <t>KHI/HO/F/MR/IMPORTS/P/42924/06/2024</t>
  </si>
  <si>
    <t>LHR/LHR/F/MO/PC COMP/P/70864/05/2023</t>
  </si>
  <si>
    <t>KHI/HO/F/MR/IMPORTS/P/42956/06/2024</t>
  </si>
  <si>
    <t>LHR/LHR/F/MO/PC COMP/P/71220/05/2023</t>
  </si>
  <si>
    <t>LHR/LHR/D/MI/CRP/C/521/07/2023</t>
  </si>
  <si>
    <t>LHR/LHR/F/MO/PC COMP/P/71255/05/2023</t>
  </si>
  <si>
    <t>LHR/LHR/D/MI/CRP/C/531/07/2023</t>
  </si>
  <si>
    <t>LHR/LHR/F/MO/PC COMP/P/71256/05/2023</t>
  </si>
  <si>
    <t>LHR/LHR/D/MI/CRP/C/540/07/2023</t>
  </si>
  <si>
    <t>LHR/LHR/F/MO/PC COMP/P/71471/05/2023</t>
  </si>
  <si>
    <t>LHR/LHR/D/MI/CRP/C/559/07/2023</t>
  </si>
  <si>
    <t>LHR/LHR/F/MO/PC COMP/P/72188/06/2023</t>
  </si>
  <si>
    <t>LHR/LHR/D/MI/CRP/C/566/07/2023</t>
  </si>
  <si>
    <t>LHR/LHR/F/MO/PC COMP/P/72194/06/2023</t>
  </si>
  <si>
    <t>LHR/LHR/D/MI/CRP/C/572/07/2023</t>
  </si>
  <si>
    <t>LHR/LHR/F/MO/PC COMP/P/72210/06/2023</t>
  </si>
  <si>
    <t>LHR/LHR/D/MI/CRP/C/590/07/2023</t>
  </si>
  <si>
    <t>LHR/LHR/F/MO/PC COMP/P/72229/06/2023</t>
  </si>
  <si>
    <t>LHR/LHR/D/MI/CRP/C/599/07/2023</t>
  </si>
  <si>
    <t>KHI/HO/F/MR/IMPORTS/P/38848/01/2023</t>
  </si>
  <si>
    <t>LHR/LHR/D/MI/CRP/C/601/07/2023</t>
  </si>
  <si>
    <t>LHR/LHR/F/MO/PC COMP/P/82952/02/2024</t>
  </si>
  <si>
    <t>LHR/LHR/D/MI/CRP/C/627/07/2023</t>
  </si>
  <si>
    <t>LHR/LHR/F/MO/PC COMP/P/83643/02/2024</t>
  </si>
  <si>
    <t>MUL/MUL/F/FR/D/P/19493/08/2023</t>
  </si>
  <si>
    <t>LHR/LHR/F/MO/PC COMP/P/83656/02/2024</t>
  </si>
  <si>
    <t>LHR/LHR/D/MI/CRP/C/657/07/2023</t>
  </si>
  <si>
    <t>LHR/LHR/F/MO/PC COMP/P/83718/02/2024</t>
  </si>
  <si>
    <t>KHI/HO/F/MR/IMPORTS/P/38743/01/2023</t>
  </si>
  <si>
    <t>LHR/LHR/F/MO/PC COMP/P/83922/02/2024</t>
  </si>
  <si>
    <t>KHI/HO/F/MR/IMPORTS/P/38875/01/2023</t>
  </si>
  <si>
    <t>LHR/LHR/F/MO/PC COMP/P/83938/02/2024</t>
  </si>
  <si>
    <t>KHI/HO/F/MR/IMPORTS/P/42807/06/2024</t>
  </si>
  <si>
    <t>LHR/LHR/F/MO/PC COMP/P/83946/02/2024</t>
  </si>
  <si>
    <t>KHI/HO/F/MR/IMPORTS/P/42822/06/2024</t>
  </si>
  <si>
    <t>MUL/MUL/F/EG/EET/P/1006/08/2023</t>
  </si>
  <si>
    <t>KHI/HO/F/MR/IMPORTS/P/42922/06/2024</t>
  </si>
  <si>
    <t>MUL/MUL/F/EG/EET/P/812/09/2022</t>
  </si>
  <si>
    <t>LHR/LHR/D/MI/CRP/C/2373/01/2024</t>
  </si>
  <si>
    <t>MUL/MUL/F/EG/EET/P/921/03/2023</t>
  </si>
  <si>
    <t>LHR/LHR/D/MI/CRP/C/536/07/2023</t>
  </si>
  <si>
    <t>MUL/MUL/F/EG/EET/P/952/04/2023</t>
  </si>
  <si>
    <t>LHR/LHR/D/MI/CRP/C/563/07/2023</t>
  </si>
  <si>
    <t>MUL/MUL/F/EG/MBD/P/753/02/2022</t>
  </si>
  <si>
    <t>LHR/LHR/D/MI/CRP/C/578/07/2023</t>
  </si>
  <si>
    <t>MUL/MUL/F/EG/MBD/P/837/10/2022</t>
  </si>
  <si>
    <t>LHR/LHR/D/MI/CRP/C/600/07/2023</t>
  </si>
  <si>
    <t>MUL/MUL/F/EG/MBD/P/880/02/2023</t>
  </si>
  <si>
    <t>LHR/LHR/D/MI/CRP/C/632/07/2023</t>
  </si>
  <si>
    <t>MUL/MUL/F/EG/MBD/P/899/03/2023</t>
  </si>
  <si>
    <t>LHR/LHR/D/MI/CRP/C/671/07/2023</t>
  </si>
  <si>
    <t>MUL/MUL/F/EG/MBD/P/972/05/2023</t>
  </si>
  <si>
    <t>KHI/HO/F/MR/IMPORTS/P/38671/01/2023</t>
  </si>
  <si>
    <t>MUL/MUL/F/FR/D/P/13805/04/2022</t>
  </si>
  <si>
    <t>KHI/HO/F/MR/IMPORTS/P/42854/06/2024</t>
  </si>
  <si>
    <t>MUL/MUL/F/FR/D/P/15074/07/2022</t>
  </si>
  <si>
    <t>LHR/LHR/D/MI/CRP/C/527/07/2023</t>
  </si>
  <si>
    <t>MUL/MUL/F/FR/D/P/16296/10/2022</t>
  </si>
  <si>
    <t>LHR/LHR/D/MI/CRP/C/570/07/2023</t>
  </si>
  <si>
    <t>MUL/MUL/F/FR/D/P/16302/10/2022</t>
  </si>
  <si>
    <t>LHR/LHR/D/MI/CRP/C/621/07/2023</t>
  </si>
  <si>
    <t>MUL/MUL/F/FR/D/P/16640/11/2022</t>
  </si>
  <si>
    <t>KHI/HO/F/MR/IMPORTS/P/38744/01/2023</t>
  </si>
  <si>
    <t>MUL/MUL/F/FR/D/P/16836/11/2022</t>
  </si>
  <si>
    <t>KHI/HO/F/MR/IMPORTS/P/42955/06/2024</t>
  </si>
  <si>
    <t>MUL/MUL/F/FR/D/P/17566/02/2023</t>
  </si>
  <si>
    <t>LHR/LHR/D/MI/CRP/C/591/07/2023</t>
  </si>
  <si>
    <t>MUL/MUL/F/FR/D/P/17895/03/2023</t>
  </si>
  <si>
    <t>KHI/HO/F/MR/IMPORTS/P/42817/06/2024</t>
  </si>
  <si>
    <t>MUL/MUL/F/FR/D/P/17897/03/2023</t>
  </si>
  <si>
    <t>LHR/LHR/D/MI/CRP/C/656/07/2023</t>
  </si>
  <si>
    <t>MUL/MUL/F/FR/D/P/17957/03/2023</t>
  </si>
  <si>
    <t>LHR/LHR/D/MI/CRP/C/553/07/2023</t>
  </si>
  <si>
    <t>MUL/MUL/F/FR/D/P/18009/03/2023</t>
  </si>
  <si>
    <t>MUL/MUL/F/FR/ND/P/17986/03/2023</t>
  </si>
  <si>
    <t>MUL/MUL/F/FR/ND/P/18015/03/2023</t>
  </si>
  <si>
    <t>MUL/MUL/F/FR/ND/P/18006/03/2023</t>
  </si>
  <si>
    <t>MUL/MUL/F/MR/INLAND TRANSIT/P/39059/02/2023</t>
  </si>
  <si>
    <t>MUL/MUL/F/FR/ND/P/18014/03/2023</t>
  </si>
  <si>
    <t>MUL/MUL/F/FR/ND/P/13250/12/2021</t>
  </si>
  <si>
    <t>MUL/MUL/F/FR/ND/P/18211/03/2023</t>
  </si>
  <si>
    <t>MUL/MUL/F/FR/ND/P/13731/03/2022</t>
  </si>
  <si>
    <t>MUL/MUL/F/FR/ND/P/18248/04/2023</t>
  </si>
  <si>
    <t>MUL/MUL/F/FR/ND/P/15258/08/2022</t>
  </si>
  <si>
    <t>MUL/MUL/F/FR/ND/P/18250/04/2023</t>
  </si>
  <si>
    <t>MUL/MUL/F/FR/ND/P/15829/09/2022</t>
  </si>
  <si>
    <t>MUL/MUL/F/FR/ND/P/18254/04/2023</t>
  </si>
  <si>
    <t>MUL/MUL/F/FR/ND/P/15911/09/2022</t>
  </si>
  <si>
    <t>MUL/MUL/F/FR/ND/P/18269/04/2023</t>
  </si>
  <si>
    <t>MUL/MUL/F/FR/ND/P/16120/09/2022</t>
  </si>
  <si>
    <t>MUL/MUL/F/FR/ND/P/18282/04/2023</t>
  </si>
  <si>
    <t>MUL/MUL/F/FR/ND/P/16144/09/2022</t>
  </si>
  <si>
    <t>MUL/MUL/F/FR/ND/P/18285/04/2023</t>
  </si>
  <si>
    <t>MUL/MUL/F/FR/ND/P/16596/11/2022</t>
  </si>
  <si>
    <t>MUL/MUL/F/FR/ND/P/18291/04/2023</t>
  </si>
  <si>
    <t>MUL/MUL/F/FR/ND/P/16600/11/2022</t>
  </si>
  <si>
    <t>MUL/MUL/F/FR/ND/P/18496/05/2023</t>
  </si>
  <si>
    <t>MUL/MUL/F/FR/ND/P/16641/11/2022</t>
  </si>
  <si>
    <t>MUL/MUL/F/FR/ND/P/18521/05/2023</t>
  </si>
  <si>
    <t>MUL/MUL/F/FR/ND/P/16804/11/2022</t>
  </si>
  <si>
    <t>MUL/MUL/F/FR/ND/P/18525/05/2023</t>
  </si>
  <si>
    <t>MUL/MUL/F/FR/ND/P/16827/11/2022</t>
  </si>
  <si>
    <t>MUL/MUL/F/FR/ND/P/18625/05/2023</t>
  </si>
  <si>
    <t>MUL/MUL/F/FR/ND/P/16833/11/2022</t>
  </si>
  <si>
    <t>MUL/MUL/F/FR/ND/P/19013/06/2023</t>
  </si>
  <si>
    <t>MUL/MUL/F/FR/ND/P/17119/12/2022</t>
  </si>
  <si>
    <t>MUL/MUL/F/MI/CT/P/2262/11/2022</t>
  </si>
  <si>
    <t>MUL/MUL/F/FR/ND/P/17137/12/2022</t>
  </si>
  <si>
    <t>MUL/MUL/F/MI/CT/P/2642/03/2023</t>
  </si>
  <si>
    <t>MUL/MUL/F/FR/ND/P/17206/12/2022</t>
  </si>
  <si>
    <t>MUL/MUL/F/MI/CT/P/2660/03/2023</t>
  </si>
  <si>
    <t>MUL/MUL/F/FR/ND/P/17590/02/2023</t>
  </si>
  <si>
    <t>MUL/MUL/F/MI/MP/P/2248/10/2022</t>
  </si>
  <si>
    <t>MUL/MUL/F/FR/ND/P/17883/02/2023</t>
  </si>
  <si>
    <t>MUL/MUL/F/MI/MP/P/2456/01/2023</t>
  </si>
  <si>
    <t>MUL/MUL/F/FR/ND/P/17952/03/2023</t>
  </si>
  <si>
    <t>MUL/MUL/F/MI/MP/P/2713/04/2023</t>
  </si>
  <si>
    <t>MUL/MUL/F/FR/ND/P/17959/03/2023</t>
  </si>
  <si>
    <t>MUL/MUL/F/MI/TRR/P/206/02/2023</t>
  </si>
  <si>
    <t>MUL/MUL/F/FR/ND/P/17991/03/2023</t>
  </si>
  <si>
    <t>MUL/MUL/F/MR/IMPORTS/P/37679/10/2022</t>
  </si>
  <si>
    <t>MUL/MUL/F/FR/ND/P/13667/01/2022</t>
  </si>
  <si>
    <t>MUL/MUL/F/MR/IMPORTS/P/38053/11/2022</t>
  </si>
  <si>
    <t>MUL/MUL/F/FR/ND/P/15335/08/2022</t>
  </si>
  <si>
    <t>MUL/MUL/F/MR/IMPORTS/P/38162/11/2022</t>
  </si>
  <si>
    <t>MUL/MUL/F/FR/ND/P/15961/09/2022</t>
  </si>
  <si>
    <t>MUL/MUL/F/MR/IMPORTS/P/38192/11/2022</t>
  </si>
  <si>
    <t>MUL/MUL/F/FR/ND/P/16203/10/2022</t>
  </si>
  <si>
    <t>MUL/MUL/F/MR/IMPORTS/P/38214/11/2022</t>
  </si>
  <si>
    <t>MUL/MUL/F/FR/ND/P/16626/11/2022</t>
  </si>
  <si>
    <t>MUL/MUL/F/MR/IMPORTS/P/38216/11/2022</t>
  </si>
  <si>
    <t>MUL/MUL/F/FR/ND/P/16820/11/2022</t>
  </si>
  <si>
    <t>MUL/MUL/F/MR/IMPORTS/P/38581/12/2022</t>
  </si>
  <si>
    <t>MUL/MUL/F/FR/ND/P/17076/12/2022</t>
  </si>
  <si>
    <t>MUL/MUL/F/MR/IMPORTS/P/39042/02/2023</t>
  </si>
  <si>
    <t>MUL/MUL/F/FR/ND/P/17146/12/2022</t>
  </si>
  <si>
    <t>MUL/MUL/F/MR/IMPORTS/P/39043/02/2023</t>
  </si>
  <si>
    <t>MUL/MUL/F/FR/ND/P/17882/02/2023</t>
  </si>
  <si>
    <t>MUL/MUL/F/MR/IMPORTS/P/39073/03/2023</t>
  </si>
  <si>
    <t>MUL/MUL/F/FR/ND/P/17955/03/2023</t>
  </si>
  <si>
    <t>MUL/MUL/F/MR/IMPORTS/P/39074/03/2023</t>
  </si>
  <si>
    <t>MUL/MUL/F/FR/ND/P/12983/11/2021</t>
  </si>
  <si>
    <t>MUL/MUL/F/MR/IMPORTS/P/39105/03/2023</t>
  </si>
  <si>
    <t>MUL/MUL/F/FR/ND/P/15830/09/2022</t>
  </si>
  <si>
    <t>MUL/MUL/F/MR/IMPORTS/P/39109/03/2023</t>
  </si>
  <si>
    <t>MUL/MUL/F/FR/ND/P/16597/11/2022</t>
  </si>
  <si>
    <t>MUL/MUL/F/MR/IMPORTS/P/39518/05/2023</t>
  </si>
  <si>
    <t>MUL/MUL/F/FR/ND/P/16832/11/2022</t>
  </si>
  <si>
    <t>MUL/MUL/F/MR/IMPORTS/P/39609/05/2023</t>
  </si>
  <si>
    <t>MUL/MUL/F/FR/ND/P/17392/01/2023</t>
  </si>
  <si>
    <t>MUL/MUL/F/MR/IMPORTS/P/40495/10/2023</t>
  </si>
  <si>
    <t>MUL/MUL/F/FR/ND/P/17990/03/2023</t>
  </si>
  <si>
    <t>MUL/MUL/F/MR/IMPORTS/P/40513/10/2023</t>
  </si>
  <si>
    <t>MUL/MUL/F/FR/ND/P/16130/09/2022</t>
  </si>
  <si>
    <t>MUL/MUL/F/MR/IMPORTS/P/40525/10/2023</t>
  </si>
  <si>
    <t>MUL/MUL/F/FR/ND/P/17132/12/2022</t>
  </si>
  <si>
    <t>MUL/MUL/F/MR/IMPORTS/P/40548/10/2023</t>
  </si>
  <si>
    <t>MUL/MUL/F/FR/ND/P/15058/07/2022</t>
  </si>
  <si>
    <t>MUL/MUL/F/MR/INLAND TRANSIT/P/39052/02/2023</t>
  </si>
  <si>
    <t>MUL/MUL/F/FR/ND/P/17943/03/2023</t>
  </si>
  <si>
    <t>MUL/MUL/F/MR/INLAND TRANSIT/P/39055/02/2023</t>
  </si>
  <si>
    <t>MUL/MUL/F/FR/ND/P/16801/11/2022</t>
  </si>
  <si>
    <t>MUL/MUL/F/MR/INLAND TRANSIT/P/39057/02/2023</t>
  </si>
  <si>
    <t>KHI/HO/D/MI/TRI/P/9924/07/2023</t>
  </si>
  <si>
    <t>KHI/HO/D/MI/TRI/P/7727/12/2022</t>
  </si>
  <si>
    <t>KHI/HO/D/MI/TRI/P/7839/12/2022</t>
  </si>
  <si>
    <t>KHI/HO/D/MI/TRI/P/6052/10/2022</t>
  </si>
  <si>
    <t>KHI/HO/D/MI/TRI/P/9140/02/2023</t>
  </si>
  <si>
    <t>KHI/HO/D/MI/TRI/P/7726/12/2022</t>
  </si>
  <si>
    <t>KHI/HO/D/MI/TRI/P/4194/08/2022</t>
  </si>
  <si>
    <t>KHI/HO/D/MI/TRI/P/9853/06/2023</t>
  </si>
  <si>
    <t>KHI/HO/D/MI/TRI/P/6045/10/2022</t>
  </si>
  <si>
    <t>KHI/HO/D/MI/TRI/P/10385/08/2024</t>
  </si>
  <si>
    <t>KHI/HO/D/MI/TRI/P/9758/05/2023</t>
  </si>
  <si>
    <t>KHI/HO/D/MI/TRI/P/6511/11/2022</t>
  </si>
  <si>
    <t>KHI/HO/D/MO/MC COMP/P/92269/07/2024</t>
  </si>
  <si>
    <t>KHI/HO/D/MO/MC COMP/P/94397/08/2024</t>
  </si>
  <si>
    <t>KHI/HO/D/MO/MC COMP/P/94398/08/2024</t>
  </si>
  <si>
    <t>KHI/HO/D/FR/ND/P/9754/02/2020</t>
  </si>
  <si>
    <t>KHI/HO/D/MO/MC COMP/P/94405/08/2024</t>
  </si>
  <si>
    <t>KHI/HO/D/MI/LST/P/67/02/2023</t>
  </si>
  <si>
    <t>KHI/HO/D/MO/MC COMP/P/94416/08/2024</t>
  </si>
  <si>
    <t>KHI/HO/D/MI/MP/P/1489/12/2019</t>
  </si>
  <si>
    <t>KHI/HO/D/MO/MC COMP/P/94417/08/2024</t>
  </si>
  <si>
    <t>KHI/HO/D/MI/MP/P/2636/03/2023</t>
  </si>
  <si>
    <t>KHI/HO/D/MO/MC COMP/P/94432/08/2024</t>
  </si>
  <si>
    <t>KHI/HO/D/HLGRP HEALTH/P/1694/07/2022</t>
  </si>
  <si>
    <t>KHI/HO/D/MO/MC COMP/P/94433/08/2024</t>
  </si>
  <si>
    <t>KHI/HO/D/HLGRP HEALTH/P/2058/01/2023</t>
  </si>
  <si>
    <t>KHI/HO/D/MO/MC COMP/P/94437/08/2024</t>
  </si>
  <si>
    <t>KHI/HO/D/HLGRP HEALTH/P/2354/02/2023</t>
  </si>
  <si>
    <t>KHI/HO/D/MO/MC COMP/P/94438/08/2024</t>
  </si>
  <si>
    <t>KHI/HO/D/HLGRP HEALTH/P/2554/06/2023</t>
  </si>
  <si>
    <t>KHI/HO/D/MO/MC COMP/P/94461/08/2024</t>
  </si>
  <si>
    <t>KHI/HO/D/HLGRP HEALTH/P/2638/08/2023</t>
  </si>
  <si>
    <t>KHI/HO/D/MO/MC COMP/P/94462/08/2024</t>
  </si>
  <si>
    <t>KHI/HO/D/HLGRP HEALTH/P/2679/09/2023</t>
  </si>
  <si>
    <t>KHI/HO/D/MO/MC COMP/P/94463/08/2024</t>
  </si>
  <si>
    <t>KHI/HO/D/HLGRP HEALTH/P/3256/07/2024</t>
  </si>
  <si>
    <t>KHI/HO/D/MO/MC COMP/P/94467/08/2024</t>
  </si>
  <si>
    <t>KHI/HO/D/HLGRP HEALTH/P/503/02/2020</t>
  </si>
  <si>
    <t>KHI/HO/D/MO/MC COMP/P/94468/08/2024</t>
  </si>
  <si>
    <t>KHI/HO/D/MO/MC COMP/P/94469/08/2024</t>
  </si>
  <si>
    <t>KHI/HO/D/MO/MC COMP/P/94470/08/2024</t>
  </si>
  <si>
    <t>KHI/HO/D/MI/TRI/P/10258/01/2024</t>
  </si>
  <si>
    <t>KHI/HO/D/MO/MC COMP/P/94473/08/2024</t>
  </si>
  <si>
    <t>KHI/HO/D/MI/TRI/P/10260/01/2024</t>
  </si>
  <si>
    <t>KHI/HO/D/MO/MC COMP/P/94474/08/2024</t>
  </si>
  <si>
    <t>KHI/HO/D/MI/TRI/P/10262/01/2024</t>
  </si>
  <si>
    <t>KHI/HO/D/MO/MC COMP/P/94486/08/2024</t>
  </si>
  <si>
    <t>KHI/HO/D/MI/TRI/P/10264/01/2024</t>
  </si>
  <si>
    <t>KHI/HO/D/MO/MC COMP/P/94492/08/2024</t>
  </si>
  <si>
    <t>KHI/HO/D/MI/TRI/P/10266/01/2024</t>
  </si>
  <si>
    <t>KHI/HO/D/MO/MC COMP/P/94493/08/2024</t>
  </si>
  <si>
    <t>KHI/HO/D/MI/TRI/P/10268/01/2024</t>
  </si>
  <si>
    <t>KHI/HO/D/MO/MC COMP/P/94497/08/2024</t>
  </si>
  <si>
    <t>KHI/HO/D/MI/TRI/P/10270/01/2024</t>
  </si>
  <si>
    <t>KHI/HO/D/MO/MC COMP/P/94498/08/2024</t>
  </si>
  <si>
    <t>KHI/HO/D/MI/TRI/P/10272/01/2024</t>
  </si>
  <si>
    <t>KHI/HO/D/MO/MC COMP/P/94520/08/2024</t>
  </si>
  <si>
    <t>KHI/HO/D/MI/TRI/P/10290/02/2024</t>
  </si>
  <si>
    <t>KHI/HO/D/MO/MC COMP/P/94521/08/2024</t>
  </si>
  <si>
    <t>KHI/HO/D/MI/TRI/P/3430/08/2022</t>
  </si>
  <si>
    <t>KHI/HO/D/MO/PC COMP/C/85888/1/03/2024</t>
  </si>
  <si>
    <t>KHI/HO/D/MO/MC COMP/P/94522/08/2024</t>
  </si>
  <si>
    <t>KHI/HO/D/MI/TRI/P/4438/09/2022</t>
  </si>
  <si>
    <t>KHI/HO/D/MO/MC COMP/P/94523/08/2024</t>
  </si>
  <si>
    <t>KHI/HO/D/MI/AWC/P/2006/02/2022</t>
  </si>
  <si>
    <t>KHI/HO/D/MO/MC COMP/P/94524/08/2024</t>
  </si>
  <si>
    <t>KHI/HO/D/MI/TRI/P/6310/11/2022</t>
  </si>
  <si>
    <t>KHI/HO/D/MO/MC COMP/P/94525/08/2024</t>
  </si>
  <si>
    <t>KHI/HO/D/MI/TRI/P/6433/11/2022</t>
  </si>
  <si>
    <t>KHI/HO/D/MO/MC COMP/P/94529/08/2024</t>
  </si>
  <si>
    <t>KHI/HO/D/MI/TRI/P/6933/11/2022</t>
  </si>
  <si>
    <t>KHI/HO/D/MO/MC COMP/P/94531/08/2024</t>
  </si>
  <si>
    <t>KHI/HO/D/MI/TRI/P/6983/11/2022</t>
  </si>
  <si>
    <t>KHI/HO/D/MO/MC COMP/P/94532/08/2024</t>
  </si>
  <si>
    <t>KHI/HO/D/MI/TRI/P/7054/11/2022</t>
  </si>
  <si>
    <t>KHI/HO/D/MO/MC COMP/P/94534/08/2024</t>
  </si>
  <si>
    <t>KHI/HO/D/MI/TRI/P/7069/11/2022</t>
  </si>
  <si>
    <t>KHI/HO/D/MO/MC COMP/P/94535/08/2024</t>
  </si>
  <si>
    <t>KHI/HO/D/MI/TRI/P/7110/11/2022</t>
  </si>
  <si>
    <t>KHI/HO/D/MO/MC COMP/P/94537/08/2024</t>
  </si>
  <si>
    <t>KHI/HO/D/MI/TRI/P/7224/11/2022</t>
  </si>
  <si>
    <t>KHI/HO/D/MO/MC COMP/P/94541/08/2024</t>
  </si>
  <si>
    <t>KHI/HO/D/MI/TRI/P/7305/11/2022</t>
  </si>
  <si>
    <t>KHI/HO/D/MO/MC COMP/P/94542/08/2024</t>
  </si>
  <si>
    <t>KHI/HO/D/MI/TRI/P/7328/11/2022</t>
  </si>
  <si>
    <t>KHI/HO/D/MO/MC COMP/P/94545/08/2024</t>
  </si>
  <si>
    <t>KHI/HO/D/MI/TRI/P/7373/12/2022</t>
  </si>
  <si>
    <t>KHI/HO/D/MO/MC COMP/P/94546/08/2024</t>
  </si>
  <si>
    <t>KHI/HO/D/MI/TRI/P/7409/12/2022</t>
  </si>
  <si>
    <t>KHI/HO/D/MO/MC COMP/P/94547/08/2024</t>
  </si>
  <si>
    <t>KHI/HO/D/MI/TRI/P/7541/12/2022</t>
  </si>
  <si>
    <t>KHI/HO/D/MO/MC COMP/P/94548/08/2024</t>
  </si>
  <si>
    <t>KHI/HO/D/MI/TRI/P/7662/12/2022</t>
  </si>
  <si>
    <t>KHI/HO/D/MO/MC COMP/P/94549/08/2024</t>
  </si>
  <si>
    <t>KHI/HO/D/FR/ND/P/19457/07/2023</t>
  </si>
  <si>
    <t>KHI/HO/D/MO/MC COMP/P/94550/08/2024</t>
  </si>
  <si>
    <t>KHI/HO/D/MI/TRI/P/7859/12/2022</t>
  </si>
  <si>
    <t>KHI/HO/D/MO/MC COMP/P/94551/08/2024</t>
  </si>
  <si>
    <t>KHI/HO/D/MI/TRI/P/7923/12/2022</t>
  </si>
  <si>
    <t>KHI/HO/D/MO/MC COMP/P/94552/08/2024</t>
  </si>
  <si>
    <t>KHI/HO/D/MI/TRI/P/8204/01/2023</t>
  </si>
  <si>
    <t>KHI/HO/D/MO/MC COMP/P/94554/08/2024</t>
  </si>
  <si>
    <t>KHI/HO/D/MI/TRI/P/8210/01/2023</t>
  </si>
  <si>
    <t>KHI/HO/D/MO/MC COMP/P/94555/08/2024</t>
  </si>
  <si>
    <t>KHI/HO/D/MI/TRI/P/8216/01/2023</t>
  </si>
  <si>
    <t>KHI/HO/D/MO/MC COMP/P/94591/08/2024</t>
  </si>
  <si>
    <t>KHI/HO/D/MI/TRI/P/8243/01/2023</t>
  </si>
  <si>
    <t>KHI/HO/D/MO/MC COMP/P/94592/08/2024</t>
  </si>
  <si>
    <t>KHI/HO/D/MI/TRI/P/8314/01/2023</t>
  </si>
  <si>
    <t>KHI/HO/D/MO/MC COMP/P/94593/08/2024</t>
  </si>
  <si>
    <t>KHI/HO/D/MI/TRI/P/8380/01/2023</t>
  </si>
  <si>
    <t>KHI/HO/D/MO/MC COMP/P/94595/08/2024</t>
  </si>
  <si>
    <t>KHI/HO/D/MI/TRI/P/8658/01/2023</t>
  </si>
  <si>
    <t>KHI/HO/D/MO/MC COMP/P/94598/08/2024</t>
  </si>
  <si>
    <t>KHI/HO/D/MI/TRI/P/8668/01/2023</t>
  </si>
  <si>
    <t>KHI/HO/D/MO/MC COMP/P/94599/08/2024</t>
  </si>
  <si>
    <t>KHI/HO/D/MI/TRI/P/8742/01/2023</t>
  </si>
  <si>
    <t>KHI/HO/D/MO/MC COMP/P/94634/08/2024</t>
  </si>
  <si>
    <t>KHI/HO/D/MI/TRI/P/8808/01/2023</t>
  </si>
  <si>
    <t>KHI/HO/D/MO/MC COMP/P/94646/08/2024</t>
  </si>
  <si>
    <t>KHI/HO/D/MI/TRI/P/8812/01/2023</t>
  </si>
  <si>
    <t>KHI/HO/D/MO/MC COMP/P/94650/08/2024</t>
  </si>
  <si>
    <t>KHI/HO/D/MI/TRI/P/9024/02/2023</t>
  </si>
  <si>
    <t>KHI/HO/D/MO/MC COMP/P/94658/08/2024</t>
  </si>
  <si>
    <t>KHI/HO/D/MI/TRI/P/9066/02/2023</t>
  </si>
  <si>
    <t>KHI/HO/D/MO/MC COMP/P/94659/08/2024</t>
  </si>
  <si>
    <t>KHI/HO/D/MI/CRP/C/2771/10/2024</t>
  </si>
  <si>
    <t>KHI/HO/D/MO/MC COMP/P/94660/08/2024</t>
  </si>
  <si>
    <t>KHI/HO/D/MI/TRI/P/9318/02/2023</t>
  </si>
  <si>
    <t>KHI/HO/D/MO/MC COMP/P/94661/08/2024</t>
  </si>
  <si>
    <t>KHI/HO/D/MI/TRI/P/9337/02/2023</t>
  </si>
  <si>
    <t>KHI/HO/D/MO/MC COMP/P/94662/08/2024</t>
  </si>
  <si>
    <t>KHI/HO/D/MI/TRI/P/9405/02/2023</t>
  </si>
  <si>
    <t>KHI/HO/D/MO/MC COMP/P/94663/08/2024</t>
  </si>
  <si>
    <t>KHI/HO/D/MI/TRI/P/9440/02/2023</t>
  </si>
  <si>
    <t>KHI/HO/D/MO/MC COMP/P/94664/08/2024</t>
  </si>
  <si>
    <t>KHI/HO/D/MI/TRI/P/9603/02/2023</t>
  </si>
  <si>
    <t>KHI/HO/D/MO/MC COMP/P/94665/08/2024</t>
  </si>
  <si>
    <t>KHI/HO/D/MI/TRI/P/9646/02/2023</t>
  </si>
  <si>
    <t>KHI/HO/D/MO/MC COMP/P/94666/08/2024</t>
  </si>
  <si>
    <t>KHI/HO/D/MI/TRI/P/9694/03/2023</t>
  </si>
  <si>
    <t>KHI/HO/D/MO/MC COMP/P/94669/08/2024</t>
  </si>
  <si>
    <t>KHI/HO/D/MI/TRI/P/9698/03/2023</t>
  </si>
  <si>
    <t>KHI/HO/D/MO/MC COMP/P/94670/08/2024</t>
  </si>
  <si>
    <t>KHI/HO/D/MI/TRI/P/9708/03/2023</t>
  </si>
  <si>
    <t>KHI/HO/D/MO/MC COMP/P/94672/08/2024</t>
  </si>
  <si>
    <t>KHI/HO/D/MI/TRI/P/9711/03/2023</t>
  </si>
  <si>
    <t>KHI/HO/D/MO/MC COMP/P/94673/08/2024</t>
  </si>
  <si>
    <t>KHI/HO/D/MI/TRI/P/9713/03/2023</t>
  </si>
  <si>
    <t>KHI/HO/D/MO/MC COMP/P/94674/08/2024</t>
  </si>
  <si>
    <t>KHI/HO/D/MI/TRI/P/9715/03/2023</t>
  </si>
  <si>
    <t>KHI/HO/D/MO/MC COMP/P/94675/08/2024</t>
  </si>
  <si>
    <t>KHI/HO/D/MI/TRI/P/9717/03/2023</t>
  </si>
  <si>
    <t>KHI/HO/D/MO/MC COMP/P/94676/08/2024</t>
  </si>
  <si>
    <t>KHI/HO/D/MI/TRI/P/9719/03/2023</t>
  </si>
  <si>
    <t>KHI/HO/D/MO/MC COMP/P/94677/08/2024</t>
  </si>
  <si>
    <t>KHI/HO/D/MI/TRI/P/9731/03/2023</t>
  </si>
  <si>
    <t>KHI/HO/D/MO/MC COMP/P/94678/08/2024</t>
  </si>
  <si>
    <t>KHI/HO/D/MI/CRP/C/2809/10/2024</t>
  </si>
  <si>
    <t>KHI/HO/D/MO/MC COMP/P/94679/08/2024</t>
  </si>
  <si>
    <t>KHI/HO/D/MI/TRI/P/9899/06/2023</t>
  </si>
  <si>
    <t>KHI/HO/D/MO/MC COMP/P/94680/08/2024</t>
  </si>
  <si>
    <t>KHI/HO/D/MI/CTC/P/3817/01/2024</t>
  </si>
  <si>
    <t>KHI/HO/D/MO/MC COMP/P/94681/08/2024</t>
  </si>
  <si>
    <t>KHI/HO/D/MI/TRI/P/9974/07/2023</t>
  </si>
  <si>
    <t>KHI/HO/D/MO/MC COMP/P/94682/08/2024</t>
  </si>
  <si>
    <t>KHI/HO/D/MI/TRR/P/227/06/2023</t>
  </si>
  <si>
    <t>KHI/HO/D/MO/MC COMP/P/94683/08/2024</t>
  </si>
  <si>
    <t>KHI/HO/D/MI/TRR/P/259/12/2023</t>
  </si>
  <si>
    <t>KHI/HO/D/MO/MC COMP/P/94684/08/2024</t>
  </si>
  <si>
    <t>KHI/HO/D/MO/CV/P/68105/02/2023</t>
  </si>
  <si>
    <t>KHI/HO/D/MO/MC COMP/P/94685/08/2024</t>
  </si>
  <si>
    <t>KHI/HO/D/MO/CV/P/70153/04/2023</t>
  </si>
  <si>
    <t>KHI/HO/D/MO/MC COMP/P/94686/08/2024</t>
  </si>
  <si>
    <t>KHI/HO/D/MO/PC COMP/C/86663/3/04/2024</t>
  </si>
  <si>
    <t>KHI/HO/D/MO/MC COMP/P/94687/08/2024</t>
  </si>
  <si>
    <t>KHI/HO/D/MO/MC COMP/P/92683/07/2024</t>
  </si>
  <si>
    <t>KHI/HO/D/MO/MC COMP/P/94688/08/2024</t>
  </si>
  <si>
    <t>KHI/HO/D/MO/MC COMP/P/92785/07/2024</t>
  </si>
  <si>
    <t>KHI/HO/D/MO/MC COMP/P/94689/08/2024</t>
  </si>
  <si>
    <t>KHI/HO/D/MO/MC COMP/P/93082/07/2024</t>
  </si>
  <si>
    <t>KHI/HO/D/MO/MC COMP/P/94690/08/2024</t>
  </si>
  <si>
    <t>KHI/HO/D/MO/MC COMP/P/93518/07/2024</t>
  </si>
  <si>
    <t>KHI/HO/D/MO/MC COMP/P/94691/08/2024</t>
  </si>
  <si>
    <t>KHI/HO/D/MO/MC COMP/P/94382/08/2024</t>
  </si>
  <si>
    <t>KHI/HO/D/MO/MC COMP/P/94692/08/2024</t>
  </si>
  <si>
    <t>KHI/HO/D/MO/MC COMP/P/94385/08/2024</t>
  </si>
  <si>
    <t>KHI/HO/D/MO/MC COMP/P/94693/08/2024</t>
  </si>
  <si>
    <t>KHI/HO/D/MO/MC COMP/P/94388/08/2024</t>
  </si>
  <si>
    <t>KHI/HO/D/MO/MC COMP/P/94750/08/2024</t>
  </si>
  <si>
    <t>KHI/HO/D/MO/MC COMP/P/94391/08/2024</t>
  </si>
  <si>
    <t>KHI/HO/D/MO/MC COMP/P/94751/08/2024</t>
  </si>
  <si>
    <t>KHI/HO/D/MO/MC COMP/P/94396/08/2024</t>
  </si>
  <si>
    <t>KHI/HO/D/MO/MC COMP/P/94752/08/2024</t>
  </si>
  <si>
    <t>KHI/HO/D/MI/LST/P/48/08/2022</t>
  </si>
  <si>
    <t>KHI/HO/D/MO/MC COMP/P/94770/08/2024</t>
  </si>
  <si>
    <t>KHI/HO/D/MI/MP/P/2589/03/2023</t>
  </si>
  <si>
    <t>KHI/HO/D/MO/MC COMP/P/94771/08/2024</t>
  </si>
  <si>
    <t>KHI/HO/D/HLGRP HEALTH/P/2020/12/2022</t>
  </si>
  <si>
    <t>KHI/HO/D/MO/MC COMP/P/94772/08/2024</t>
  </si>
  <si>
    <t>KHI/HO/D/HLGRP HEALTH/P/2553/06/2023</t>
  </si>
  <si>
    <t>KHI/HO/D/MO/MC COMP/P/94773/08/2024</t>
  </si>
  <si>
    <t>KHI/HO/D/HLGRP HEALTH/P/2648/08/2023</t>
  </si>
  <si>
    <t>KHI/HO/D/MO/MC COMP/P/94774/08/2024</t>
  </si>
  <si>
    <t>KHI/HO/D/FR/ND/P/17403/01/2023</t>
  </si>
  <si>
    <t>KHI/HO/D/MO/MC COMP/P/95024/08/2024</t>
  </si>
  <si>
    <t>KHI/HO/D/MI/TRI/P/10257/01/2024</t>
  </si>
  <si>
    <t>KHI/HO/D/MO/MC COMP/P/95025/08/2024</t>
  </si>
  <si>
    <t>KHI/HO/D/MI/TRI/P/10259/01/2024</t>
  </si>
  <si>
    <t>KHI/HO/D/MO/MC COMP/P/95068/08/2024</t>
  </si>
  <si>
    <t>KHI/HO/D/MI/TRI/P/10263/01/2024</t>
  </si>
  <si>
    <t>KHI/HO/D/MO/MC COMP/P/95069/08/2024</t>
  </si>
  <si>
    <t>KHI/HO/D/MI/TRI/P/10267/01/2024</t>
  </si>
  <si>
    <t>KHI/HO/D/MO/MC COMP/P/98385/09/2024</t>
  </si>
  <si>
    <t>KHI/HO/D/MI/TRI/P/10271/01/2024</t>
  </si>
  <si>
    <t>KHI/HO/D/MO/MC COMP/P/98386/09/2024</t>
  </si>
  <si>
    <t>KHI/HO/D/EG/EET/P/585/02/2020</t>
  </si>
  <si>
    <t>KHI/HO/D/MO/MC COMP/P/98570/09/2024</t>
  </si>
  <si>
    <t>KHI/HO/D/MI/TRI/P/5644/10/2022</t>
  </si>
  <si>
    <t>KHI/HO/D/MO/MC TTT/P/56682/11/2021</t>
  </si>
  <si>
    <t>KHI/HO/D/MI/TRI/P/6373/11/2022</t>
  </si>
  <si>
    <t>KHI/HO/D/MO/MC TTT/P/61515/06/2022</t>
  </si>
  <si>
    <t>KHI/HO/D/MI/TRI/P/6941/11/2022</t>
  </si>
  <si>
    <t>KHI/HO/D/MO/MC TTT/P/63322/09/2022</t>
  </si>
  <si>
    <t>KHI/HO/D/MI/TRI/P/7058/11/2022</t>
  </si>
  <si>
    <t>KHI/HO/D/MO/MC TTT/P/65358/11/2022</t>
  </si>
  <si>
    <t>KHI/HO/D/MI/TRI/P/7217/11/2022</t>
  </si>
  <si>
    <t>KHI/HO/D/MO/MC TTT/P/87609/04/2024</t>
  </si>
  <si>
    <t>KHI/HO/D/MI/TRI/P/7327/11/2022</t>
  </si>
  <si>
    <t>KHI/HO/D/MO/MC TTT/P/92448/07/2024</t>
  </si>
  <si>
    <t>KHI/HO/D/MI/TRI/P/7407/12/2022</t>
  </si>
  <si>
    <t>KHI/HO/D/MO/PC COMP/C/100194/7/10/2024</t>
  </si>
  <si>
    <t>KHI/HO/D/MI/TRI/P/7561/12/2022</t>
  </si>
  <si>
    <t>KHI/HO/D/MO/PC COMP/C/59626/35/03/2022</t>
  </si>
  <si>
    <t>KHI/HO/D/MI/CRP/C/2770/10/2024</t>
  </si>
  <si>
    <t>KHI/HO/D/MI/LST/P/39/07/2022</t>
  </si>
  <si>
    <t>KHI/HO/D/MI/TRI/P/8200/01/2023</t>
  </si>
  <si>
    <t>KHI/HO/D/MO/PC COMP/C/63072/47/08/2022</t>
  </si>
  <si>
    <t>KHI/HO/D/MI/TRI/P/8213/01/2023</t>
  </si>
  <si>
    <t>KHI/HO/D/MO/PC COMP/C/64082/19/10/2022</t>
  </si>
  <si>
    <t>KHI/HO/D/MI/TRI/P/8313/01/2023</t>
  </si>
  <si>
    <t>KHI/HO/D/MO/PC COMP/C/65057/351/11/2022</t>
  </si>
  <si>
    <t>KHI/HO/D/MI/TRI/P/8596/01/2023</t>
  </si>
  <si>
    <t>KHI/HO/D/MO/PC COMP/C/65500/16/12/2022</t>
  </si>
  <si>
    <t>KHI/HO/D/MI/TRI/P/8708/01/2023</t>
  </si>
  <si>
    <t>KHI/HO/D/MO/PC COMP/C/65602/584/12/2022</t>
  </si>
  <si>
    <t>KHI/HO/D/MI/TRI/P/8809/01/2023</t>
  </si>
  <si>
    <t>KHI/HO/D/MO/PC COMP/C/65883/7/12/2022</t>
  </si>
  <si>
    <t>KHI/HO/D/MI/TRI/P/9030/02/2023</t>
  </si>
  <si>
    <t>KHI/HO/D/MO/PC COMP/C/66572/18/01/2023</t>
  </si>
  <si>
    <t>KHI/HO/D/MO/PC COMP/C/85858/4/03/2024</t>
  </si>
  <si>
    <t>KHI/HO/D/MO/PC COMP/C/66791/105/01/2023</t>
  </si>
  <si>
    <t>KHI/HO/D/MI/TRI/P/9370/02/2023</t>
  </si>
  <si>
    <t>KHI/HO/D/MO/PC COMP/C/68220/291/02/2023</t>
  </si>
  <si>
    <t>KHI/HO/D/MI/TRI/P/9479/02/2023</t>
  </si>
  <si>
    <t>KHI/HO/D/MO/PC COMP/C/68593/30/03/2023</t>
  </si>
  <si>
    <t>KHI/HO/D/MI/TRI/P/9648/02/2023</t>
  </si>
  <si>
    <t>KHI/HO/D/MO/PC COMP/C/68699/38/03/2023</t>
  </si>
  <si>
    <t>KHI/HO/D/MI/CRP/C/2808/10/2024</t>
  </si>
  <si>
    <t>KHI/HO/D/MO/PC COMP/C/68827/2/03/2023</t>
  </si>
  <si>
    <t>KHI/HO/D/MI/TRI/P/9712/03/2023</t>
  </si>
  <si>
    <t>KHI/HO/D/MO/PC COMP/C/69014/9/03/2023</t>
  </si>
  <si>
    <t>KHI/HO/D/MI/TRI/P/9716/03/2023</t>
  </si>
  <si>
    <t>KHI/HO/D/MO/PC COMP/C/69252/7/03/2023</t>
  </si>
  <si>
    <t>KHI/HO/D/MI/TRI/P/9728/03/2023</t>
  </si>
  <si>
    <t>KHI/HO/D/MO/PC COMP/C/69943/102/04/2023</t>
  </si>
  <si>
    <t>KHI/HO/D/MI/CRP/C/2814/10/2024</t>
  </si>
  <si>
    <t>KHI/HO/D/MO/PC COMP/C/69943/111/04/2023</t>
  </si>
  <si>
    <t>KHI/HO/D/MI/TRI/P/9938/07/2023</t>
  </si>
  <si>
    <t>KHI/HO/D/MO/PC COMP/C/69943/135/04/2023</t>
  </si>
  <si>
    <t>KHI/HO/D/MI/TRR/P/238/07/2023</t>
  </si>
  <si>
    <t>KHI/HO/D/MO/PC COMP/C/69943/14/04/2023</t>
  </si>
  <si>
    <t>KHI/HO/D/MO/CV/P/68447/03/2023</t>
  </si>
  <si>
    <t>KHI/HO/D/MO/PC COMP/C/69943/16/04/2023</t>
  </si>
  <si>
    <t>KHI/HO/D/MO/MC COMP/P/92293/07/2024</t>
  </si>
  <si>
    <t>KHI/HO/D/MO/PC COMP/C/69943/182/04/2023</t>
  </si>
  <si>
    <t>KHI/HO/D/MO/MC COMP/P/93026/07/2024</t>
  </si>
  <si>
    <t>KHI/HO/D/MO/PC COMP/C/69943/184/04/2023</t>
  </si>
  <si>
    <t>KHI/HO/D/MO/MC COMP/P/93519/07/2024</t>
  </si>
  <si>
    <t>KHI/HO/D/MO/PC COMP/C/69943/187/04/2023</t>
  </si>
  <si>
    <t>KHI/HO/D/MO/MC COMP/P/94386/08/2024</t>
  </si>
  <si>
    <t>KHI/HO/D/MO/PC COMP/C/69943/201/04/2023</t>
  </si>
  <si>
    <t>KHI/HO/D/MO/MC COMP/P/94392/08/2024</t>
  </si>
  <si>
    <t>KHI/HO/D/MO/PC COMP/C/69943/206/04/2023</t>
  </si>
  <si>
    <t>KHI/HO/D/MI/MP/C/271/09/2024</t>
  </si>
  <si>
    <t>KHI/HO/D/MO/PC COMP/C/69943/226/04/2023</t>
  </si>
  <si>
    <t>KHI/HO/D/EG/EET/P/875/01/2023</t>
  </si>
  <si>
    <t>KHI/HO/D/MO/PC COMP/C/69943/229/04/2023</t>
  </si>
  <si>
    <t>KHI/HO/D/EG/MBD/P/708/12/2021</t>
  </si>
  <si>
    <t>KHI/HO/D/MO/PC COMP/C/69943/230/04/2023</t>
  </si>
  <si>
    <t>KHI/HO/D/MO/PC COMP/C/86550/39/04/2024</t>
  </si>
  <si>
    <t>KHI/HO/D/MO/PC COMP/C/69943/232/04/2023</t>
  </si>
  <si>
    <t>KHI/HO/D/MI/TRI/P/10265/01/2024</t>
  </si>
  <si>
    <t>KHI/HO/D/MO/PC COMP/C/69943/236/04/2023</t>
  </si>
  <si>
    <t>KHI/HO/D/MI/TRI/P/10273/01/2024</t>
  </si>
  <si>
    <t>KHI/HO/D/MO/PC COMP/C/69943/239/04/2023</t>
  </si>
  <si>
    <t>KHI/HO/D/MI/BB/P/2649/03/2023</t>
  </si>
  <si>
    <t>KHI/HO/D/MO/PC COMP/C/69943/25/04/2023</t>
  </si>
  <si>
    <t>KHI/HO/D/MI/TRI/P/7016/11/2022</t>
  </si>
  <si>
    <t>KHI/HO/D/MO/PC COMP/C/69943/250/04/2023</t>
  </si>
  <si>
    <t>KHI/HO/D/MI/TRI/P/7241/11/2022</t>
  </si>
  <si>
    <t>KHI/HO/D/MO/PC COMP/C/69943/254/04/2023</t>
  </si>
  <si>
    <t>KHI/HO/D/MI/TRI/P/7497/12/2022</t>
  </si>
  <si>
    <t>KHI/HO/D/MO/PC COMP/C/69943/260/04/2023</t>
  </si>
  <si>
    <t>KHI/HO/D/MI/TRI/P/7879/12/2022</t>
  </si>
  <si>
    <t>KHI/HO/D/MO/PC COMP/C/69943/266/04/2023</t>
  </si>
  <si>
    <t>KHI/HO/D/MI/TRI/P/8238/01/2023</t>
  </si>
  <si>
    <t>KHI/HO/D/MO/PC COMP/C/69943/267/04/2023</t>
  </si>
  <si>
    <t>KHI/HO/D/MI/TRI/P/8663/01/2023</t>
  </si>
  <si>
    <t>KHI/HO/D/MO/PC COMP/C/69943/276/04/2023</t>
  </si>
  <si>
    <t>KHI/HO/D/MI/TRI/P/8922/01/2023</t>
  </si>
  <si>
    <t>KHI/HO/D/MO/PC COMP/C/69943/314/04/2023</t>
  </si>
  <si>
    <t>KHI/HO/D/MI/TRI/P/9334/02/2023</t>
  </si>
  <si>
    <t>KHI/HO/D/MO/PC COMP/C/69943/36/04/2023</t>
  </si>
  <si>
    <t>KHI/HO/D/MI/TRI/P/9623/02/2023</t>
  </si>
  <si>
    <t>KHI/HO/D/MO/PC COMP/C/69943/43/04/2023</t>
  </si>
  <si>
    <t>KHI/HO/D/MI/TRI/P/9709/03/2023</t>
  </si>
  <si>
    <t>KHI/HO/D/MO/PC COMP/C/69943/49/04/2023</t>
  </si>
  <si>
    <t>KHI/HO/D/MI/TRI/P/9718/03/2023</t>
  </si>
  <si>
    <t>KHI/HO/D/MO/PC COMP/C/69943/60/04/2023</t>
  </si>
  <si>
    <t>KHI/HO/D/MI/TRI/P/9912/07/2023</t>
  </si>
  <si>
    <t>KHI/HO/D/MO/PC COMP/C/69943/63/04/2023</t>
  </si>
  <si>
    <t>KHI/HO/D/MI/TRR/P/60/01/2020</t>
  </si>
  <si>
    <t>KHI/HO/D/MO/PC COMP/C/70036/63/04/2023</t>
  </si>
  <si>
    <t>KHI/HO/D/MO/MC COMP/P/92784/07/2024</t>
  </si>
  <si>
    <t>KHI/HO/D/MO/PC COMP/C/70057/296/04/2023</t>
  </si>
  <si>
    <t>KHI/HO/D/MO/MC COMP/P/94383/08/2024</t>
  </si>
  <si>
    <t>KHI/HO/D/MO/PC COMP/C/70057/321/04/2023</t>
  </si>
  <si>
    <t>KHI/HO/D/FR/ND/P/22772/07/2024</t>
  </si>
  <si>
    <t>KHI/HO/D/MO/PC COMP/C/71203/113/05/2023</t>
  </si>
  <si>
    <t>KHI/HO/D/EG/EET/P/984/06/2023</t>
  </si>
  <si>
    <t>KHI/HO/D/MO/PC COMP/C/71203/120/05/2023</t>
  </si>
  <si>
    <t>KHI/HO/D/MI/TRI/P/10261/01/2024</t>
  </si>
  <si>
    <t>KHI/HO/D/MO/PC COMP/C/71203/145/05/2023</t>
  </si>
  <si>
    <t>KHI/HO/D/FR/ND/P/19253/06/2023</t>
  </si>
  <si>
    <t>KHI/HO/D/MO/PC COMP/C/71203/161/05/2023</t>
  </si>
  <si>
    <t>KHI/HO/D/MI/TRI/P/7083/11/2022</t>
  </si>
  <si>
    <t>KHI/HO/D/MO/PC COMP/C/71203/20/05/2023</t>
  </si>
  <si>
    <t>KHI/HO/D/MI/CRP/C/1621/09/2023</t>
  </si>
  <si>
    <t>KHI/HO/D/MO/PC COMP/C/71203/43/05/2023</t>
  </si>
  <si>
    <t>KHI/HO/D/MI/TRI/P/8316/01/2023</t>
  </si>
  <si>
    <t>KHI/HO/D/MO/PC COMP/C/71203/50/05/2023</t>
  </si>
  <si>
    <t>KHI/HO/D/MI/TRI/P/9067/02/2023</t>
  </si>
  <si>
    <t>KHI/HO/D/MO/PC COMP/C/71203/53/05/2023</t>
  </si>
  <si>
    <t>KHI/HO/D/MI/TRI/P/9696/03/2023</t>
  </si>
  <si>
    <t>KHI/HO/D/MO/PC COMP/C/71203/66/05/2023</t>
  </si>
  <si>
    <t>KHI/HO/D/MI/TRI/P/9753/05/2023</t>
  </si>
  <si>
    <t>KHI/HO/D/MO/PC COMP/C/71203/86/05/2023</t>
  </si>
  <si>
    <t>KHI/HO/D/MO/MC COMP/P/90069/06/2024</t>
  </si>
  <si>
    <t>KHI/HO/D/MO/PC COMP/C/71203/95/05/2023</t>
  </si>
  <si>
    <t>KHI/HO/D/MO/MC COMP/P/94389/08/2024</t>
  </si>
  <si>
    <t>KHI/HO/D/MO/PC COMP/C/73807/6/08/2023</t>
  </si>
  <si>
    <t>KHI/HO/D/MI/TRI/P/10025/08/2023</t>
  </si>
  <si>
    <t>KHI/HO/D/MO/PC COMP/C/76277/1/10/2023</t>
  </si>
  <si>
    <t>KHI/HO/D/MI/CRP/C/1620/09/2023</t>
  </si>
  <si>
    <t>KHI/HO/D/MO/PC COMP/C/79259/2/12/2023</t>
  </si>
  <si>
    <t>KHI/HO/D/MI/TRI/P/8208/01/2023</t>
  </si>
  <si>
    <t>KHI/HO/D/MO/PC COMP/C/80040/5/12/2023</t>
  </si>
  <si>
    <t>KHI/HO/D/MI/TRI/P/9432/02/2023</t>
  </si>
  <si>
    <t>KHI/HO/D/MO/PC COMP/C/80798/4/01/2024</t>
  </si>
  <si>
    <t>KHI/HO/D/MI/TRR/P/200/01/2023</t>
  </si>
  <si>
    <t>KHI/HO/D/MO/PC COMP/C/81320/2/01/2024</t>
  </si>
  <si>
    <t>KHI/HO/D/HLGRP HEALTH/P/1114/08/2021</t>
  </si>
  <si>
    <t>KHI/HO/D/MO/PC COMP/C/83423/1/02/2024</t>
  </si>
  <si>
    <t>KHI/HO/D/MI/TRI/P/7339/11/2022</t>
  </si>
  <si>
    <t>KHI/HO/D/MO/PC COMP/C/83748/2/02/2024</t>
  </si>
  <si>
    <t>KHI/HO/D/MI/TRI/P/9714/03/2023</t>
  </si>
  <si>
    <t>KHI/HO/D/MO/PC COMP/C/84469/8/02/2024</t>
  </si>
  <si>
    <t>KHI/HO/D/MI/TRI/P/10269/01/2024</t>
  </si>
  <si>
    <t>KHI/HO/D/MO/PC COMP/C/85065/12/03/2024</t>
  </si>
  <si>
    <t>KHI/HO/D/MO/MC COMP/P/93166/07/2024</t>
  </si>
  <si>
    <t>KHI/HO/D/MO/PC COMP/C/85858/2/03/2024</t>
  </si>
  <si>
    <t>KHI/HO/D/MI/TRI/P/8804/01/2023</t>
  </si>
  <si>
    <t>KHI/HO/D/MO/PC COMP/C/85858/3/03/2024</t>
  </si>
  <si>
    <t>KHI/HO/D/MO/PD COMP/P/58224/01/2022</t>
  </si>
  <si>
    <t>KHI/HO/D/MO/PD COMP/P/66391/01/2023</t>
  </si>
  <si>
    <t>KHI/HO/D/MO/PD COMP/P/70010/04/2023</t>
  </si>
  <si>
    <t>KHI/HO/D/MO/PC COMP/C/87875/104/04/2024</t>
  </si>
  <si>
    <t>KHI/HO/D/MO/PD COMP/P/70051/04/2023</t>
  </si>
  <si>
    <t>KHI/HO/D/MO/PC COMP/C/87875/183/04/2024</t>
  </si>
  <si>
    <t>KHI/HO/D/MO/PD COMP/P/70101/04/2023</t>
  </si>
  <si>
    <t>KHI/HO/D/MO/PC COMP/C/87875/187/04/2024</t>
  </si>
  <si>
    <t>KHI/HO/D/MO/PD COMP/P/70104/04/2023</t>
  </si>
  <si>
    <t>KHI/HO/D/MO/PC COMP/C/87875/84/04/2024</t>
  </si>
  <si>
    <t>KHI/HO/D/MO/PD COMP/P/70152/04/2023</t>
  </si>
  <si>
    <t>KHI/HO/D/MO/PC COMP/C/87875/93/04/2024</t>
  </si>
  <si>
    <t>KHI/HO/D/MO/PD COMP/P/70172/04/2023</t>
  </si>
  <si>
    <t>KHI/HO/D/MO/PC COMP/C/87875/95/04/2024</t>
  </si>
  <si>
    <t>KHI/HO/D/MO/PD COMP/P/70290/05/2023</t>
  </si>
  <si>
    <t>KHI/HO/D/MO/PC COMP/C/87875/98/04/2024</t>
  </si>
  <si>
    <t>KHI/HO/D/MO/PD COMP/P/70298/05/2023</t>
  </si>
  <si>
    <t>KHI/HO/D/MO/PC COMP/C/87891/17/04/2024</t>
  </si>
  <si>
    <t>KHI/HO/D/MO/PD COMP/P/70377/05/2023</t>
  </si>
  <si>
    <t>KHI/HO/D/MO/PC COMP/C/88626/78/05/2024</t>
  </si>
  <si>
    <t>KHI/HO/D/MO/PD COMP/P/70401/05/2023</t>
  </si>
  <si>
    <t>KHI/HO/D/MO/PC COMP/C/87535/6/04/2024</t>
  </si>
  <si>
    <t>KHI/HO/D/MO/PD COMP/P/70443/05/2023</t>
  </si>
  <si>
    <t>KHI/HO/D/MO/PD COMP/P/71036/05/2023</t>
  </si>
  <si>
    <t>KHI/HO/D/MO/PD COMP/P/71106/05/2023</t>
  </si>
  <si>
    <t>KHI/HO/D/MO/PC COMP/C/90321/3/06/2024</t>
  </si>
  <si>
    <t>KHI/HO/D/MO/PD COMP/P/71391/05/2023</t>
  </si>
  <si>
    <t>KHI/HO/D/MO/PC COMP/C/90875/4/06/2024</t>
  </si>
  <si>
    <t>KHI/HO/D/MO/PD COMP/P/71395/05/2023</t>
  </si>
  <si>
    <t>KHI/HO/D/MO/PC COMP/C/90920/5/06/2024</t>
  </si>
  <si>
    <t>KHI/HO/D/MO/PD COMP/P/71440/05/2023</t>
  </si>
  <si>
    <t>KHI/HO/D/MO/PC COMP/C/92800/1/07/2024</t>
  </si>
  <si>
    <t>KHI/HO/D/MO/PD COMP/P/71497/05/2023</t>
  </si>
  <si>
    <t>KHI/HO/D/MO/PC COMP/C/94384/1/08/2024</t>
  </si>
  <si>
    <t>KHI/HO/D/MO/PD COMP/P/71526/05/2023</t>
  </si>
  <si>
    <t>KHI/HO/D/MO/PC COMP/C/94440/6/08/2024</t>
  </si>
  <si>
    <t>KHI/HO/D/MO/PD COMP/P/71527/05/2023</t>
  </si>
  <si>
    <t>KHI/HO/D/MO/PC COMP/C/95603/184/08/2024</t>
  </si>
  <si>
    <t>KHI/HO/D/MO/PD COMP/P/71550/05/2023</t>
  </si>
  <si>
    <t>KHI/HO/D/MO/PC COMP/C/96638/37/09/2024</t>
  </si>
  <si>
    <t>KHI/HO/D/MO/PD COMP/P/71571/06/2023</t>
  </si>
  <si>
    <t>KHI/HO/D/MO/PC COMP/C/96876/2/09/2024</t>
  </si>
  <si>
    <t>KHI/HO/D/MO/PD COMP/P/71769/06/2023</t>
  </si>
  <si>
    <t>KHI/HO/D/MO/PC COMP/P/59748/03/2022</t>
  </si>
  <si>
    <t>KHI/HO/D/MO/PD COMP/P/71775/06/2023</t>
  </si>
  <si>
    <t>KHI/HO/D/MO/PC COMP/P/61644/06/2022</t>
  </si>
  <si>
    <t>KHI/HO/D/MO/PD COMP/P/71823/06/2023</t>
  </si>
  <si>
    <t>KHI/HO/D/MO/PC COMP/P/62941/08/2022</t>
  </si>
  <si>
    <t>KHI/HO/D/MO/PD COMP/P/71830/06/2023</t>
  </si>
  <si>
    <t>KHI/HO/D/MO/PC COMP/P/64394/10/2022</t>
  </si>
  <si>
    <t>KHI/HO/D/MO/PD COMP/P/71844/06/2023</t>
  </si>
  <si>
    <t>KHI/HO/D/MO/PC COMP/P/66705/01/2023</t>
  </si>
  <si>
    <t>KHI/HO/D/MO/PD COMP/P/71917/06/2023</t>
  </si>
  <si>
    <t>KHI/HO/D/MO/PC COMP/P/69193/03/2023</t>
  </si>
  <si>
    <t>KHI/HO/D/MO/PD COMP/P/72034/06/2023</t>
  </si>
  <si>
    <t>KHI/HO/D/MO/PC COMP/P/73118/07/2023</t>
  </si>
  <si>
    <t>KHI/HO/D/MO/PD COMP/P/72086/06/2023</t>
  </si>
  <si>
    <t>KHI/HO/D/MO/PC COMP/P/76939/10/2023</t>
  </si>
  <si>
    <t>KHI/HO/D/MO/PD COMP/P/72147/06/2023</t>
  </si>
  <si>
    <t>KHI/HO/D/MO/PC COMP/P/79797/12/2023</t>
  </si>
  <si>
    <t>KHI/HO/D/MO/PD COMP/P/72254/06/2023</t>
  </si>
  <si>
    <t>KHI/HO/D/MO/PC COMP/P/89258/05/2024</t>
  </si>
  <si>
    <t>KHI/HO/D/MO/PD COMP/P/72269/06/2023</t>
  </si>
  <si>
    <t>KHI/HO/D/MO/PC COMP/P/92450/07/2024</t>
  </si>
  <si>
    <t>KHI/HO/D/MO/PD COMP/P/72287/06/2023</t>
  </si>
  <si>
    <t>KHI/HO/D/MO/PC TP/C/90237/5/06/2024</t>
  </si>
  <si>
    <t>KHI/HO/D/MO/PD COMP/P/72357/06/2023</t>
  </si>
  <si>
    <t>KHI/HO/D/MO/PC TPP/P/69945/04/2023</t>
  </si>
  <si>
    <t>KHI/HO/D/MO/PD COMP/P/72374/06/2023</t>
  </si>
  <si>
    <t>KHI/HO/D/MO/PC TPP/P/69949/04/2023</t>
  </si>
  <si>
    <t>KHI/HO/D/MO/PD COMP/P/72452/06/2023</t>
  </si>
  <si>
    <t>KHI/HO/D/MO/PC TPP/P/70126/04/2023</t>
  </si>
  <si>
    <t>KHI/HO/D/MO/PD COMP/P/72453/06/2023</t>
  </si>
  <si>
    <t>KHI/HO/D/MO/PD COMP/P/58677/02/2022</t>
  </si>
  <si>
    <t>KHI/HO/D/MO/PD COMP/P/72496/06/2023</t>
  </si>
  <si>
    <t>KHI/HO/D/MO/PD COMP/P/59606/03/2022</t>
  </si>
  <si>
    <t>KHI/HO/D/MO/PD COMP/P/72544/07/2023</t>
  </si>
  <si>
    <t>KHI/HO/D/MO/PD COMP/P/60538/05/2022</t>
  </si>
  <si>
    <t>KHI/HO/D/MO/PD COMP/P/72630/07/2023</t>
  </si>
  <si>
    <t>KHI/HO/D/MO/PD COMP/P/60632/05/2022</t>
  </si>
  <si>
    <t>KHI/HO/D/MO/PD COMP/P/72637/07/2023</t>
  </si>
  <si>
    <t>KHI/HO/D/MO/PD COMP/P/62694/08/2022</t>
  </si>
  <si>
    <t>KHI/HO/D/MO/PD COMP/P/72640/07/2023</t>
  </si>
  <si>
    <t>KHI/HO/D/MO/PD COMP/P/63305/09/2022</t>
  </si>
  <si>
    <t>KHI/HO/D/MO/PD COMP/P/73026/07/2023</t>
  </si>
  <si>
    <t>KHI/HO/D/MO/PD COMP/P/65852/12/2022</t>
  </si>
  <si>
    <t>KHI/HO/D/MO/PD COMP/P/73090/07/2023</t>
  </si>
  <si>
    <t>KHI/HO/D/MO/PD COMP/P/66188/12/2022</t>
  </si>
  <si>
    <t>KHI/HO/D/MO/PD COMP/P/73243/07/2023</t>
  </si>
  <si>
    <t>KHI/HO/D/MO/PD COMP/P/66493/01/2023</t>
  </si>
  <si>
    <t>KHI/HO/D/MO/PD COMP/P/73674/08/2023</t>
  </si>
  <si>
    <t>KHI/HO/D/MO/PD COMP/P/66635/01/2023</t>
  </si>
  <si>
    <t>KHI/HO/D/MO/PD COMP/P/73715/08/2023</t>
  </si>
  <si>
    <t>KHI/HO/D/MO/PD COMP/P/66820/01/2023</t>
  </si>
  <si>
    <t>KHI/HO/D/MO/PD COMP/P/73717/08/2023</t>
  </si>
  <si>
    <t>KHI/HO/D/MO/PD COMP/P/66907/01/2023</t>
  </si>
  <si>
    <t>KHI/HO/D/MO/PD COMP/P/73754/08/2023</t>
  </si>
  <si>
    <t>KHI/HO/D/MO/PD COMP/P/66962/01/2023</t>
  </si>
  <si>
    <t>KHI/HO/D/MO/PD COMP/P/73801/08/2023</t>
  </si>
  <si>
    <t>KHI/HO/D/MO/PD COMP/P/66983/01/2023</t>
  </si>
  <si>
    <t>KHI/HO/D/MO/PD COMP/P/73868/08/2023</t>
  </si>
  <si>
    <t>KHI/HO/D/MO/PD COMP/P/67193/01/2023</t>
  </si>
  <si>
    <t>KHI/HO/D/MO/PD COMP/P/73919/08/2023</t>
  </si>
  <si>
    <t>KHI/HO/D/MO/PD COMP/P/67420/02/2023</t>
  </si>
  <si>
    <t>KHI/HO/D/MO/PD COMP/P/74078/08/2023</t>
  </si>
  <si>
    <t>KHI/HO/D/MO/PD COMP/P/67577/02/2023</t>
  </si>
  <si>
    <t>KHI/HO/D/MO/PD COMP/P/74086/08/2023</t>
  </si>
  <si>
    <t>KHI/HO/D/MO/PD COMP/P/68015/02/2023</t>
  </si>
  <si>
    <t>KHI/HO/D/MO/PD COMP/P/74186/08/2023</t>
  </si>
  <si>
    <t>KHI/HO/D/MO/PD COMP/P/68197/02/2023</t>
  </si>
  <si>
    <t>KHI/HO/D/MO/PD COMP/P/74210/08/2023</t>
  </si>
  <si>
    <t>KHI/HO/D/MO/PD COMP/P/68479/03/2023</t>
  </si>
  <si>
    <t>KHI/HO/D/MO/PD COMP/P/74216/08/2023</t>
  </si>
  <si>
    <t>KHI/HO/D/MO/PD COMP/P/68658/03/2023</t>
  </si>
  <si>
    <t>KHI/HO/D/MO/PD COMP/P/74543/08/2023</t>
  </si>
  <si>
    <t>KHI/HO/D/MO/PD COMP/P/68763/03/2023</t>
  </si>
  <si>
    <t>KHI/HO/D/MO/PD COMP/P/74810/09/2023</t>
  </si>
  <si>
    <t>KHI/HO/D/MO/PD COMP/P/68829/03/2023</t>
  </si>
  <si>
    <t>KHI/HO/D/MO/PD COMP/P/74876/09/2023</t>
  </si>
  <si>
    <t>KHI/HO/D/MO/PD COMP/P/68970/03/2023</t>
  </si>
  <si>
    <t>KHI/HO/D/MO/PD COMP/P/74894/09/2023</t>
  </si>
  <si>
    <t>KHI/HO/D/MO/PD COMP/P/69016/03/2023</t>
  </si>
  <si>
    <t>KHI/HO/D/MO/PD COMP/P/74911/09/2023</t>
  </si>
  <si>
    <t>KHI/HO/D/MO/PD COMP/P/69082/03/2023</t>
  </si>
  <si>
    <t>KHI/HO/D/MO/PD COMP/P/75012/09/2023</t>
  </si>
  <si>
    <t>KHI/HO/D/MO/PD COMP/P/69179/03/2023</t>
  </si>
  <si>
    <t>KHI/HO/D/MO/PD COMP/P/75077/09/2023</t>
  </si>
  <si>
    <t>KHI/HO/D/MO/PD COMP/P/69456/04/2023</t>
  </si>
  <si>
    <t>KHI/HO/D/MO/PD COMP/P/75107/09/2023</t>
  </si>
  <si>
    <t>KHI/HO/D/MO/PD COMP/P/69489/04/2023</t>
  </si>
  <si>
    <t>KHI/HO/D/MO/PD COMP/P/75196/09/2023</t>
  </si>
  <si>
    <t>KHI/HO/D/MO/PD COMP/P/69672/04/2023</t>
  </si>
  <si>
    <t>KHI/HO/D/MO/PD COMP/P/75280/09/2023</t>
  </si>
  <si>
    <t>KHI/HO/D/MO/PD COMP/P/69859/04/2023</t>
  </si>
  <si>
    <t>KHI/HO/D/MO/PD COMP/P/75338/09/2023</t>
  </si>
  <si>
    <t>KHI/HO/D/MO/PD COMP/P/69941/04/2023</t>
  </si>
  <si>
    <t>KHI/HO/D/MO/PD COMP/P/75393/09/2023</t>
  </si>
  <si>
    <t>KHI/HO/D/MO/PC COMP/C/87875/182/04/2024</t>
  </si>
  <si>
    <t>KHI/HO/D/MO/PD COMP/P/75398/09/2023</t>
  </si>
  <si>
    <t>KHI/HO/D/MO/PC COMP/C/87875/189/04/2024</t>
  </si>
  <si>
    <t>KHI/HO/D/MO/PD COMP/P/75461/09/2023</t>
  </si>
  <si>
    <t>KHI/HO/D/MO/PC COMP/C/87875/94/04/2024</t>
  </si>
  <si>
    <t>KHI/HO/D/MO/PD COMP/P/75467/09/2023</t>
  </si>
  <si>
    <t>KHI/HO/D/MO/PC COMP/C/87875/99/04/2024</t>
  </si>
  <si>
    <t>KHI/HO/D/MO/PD COMP/P/75482/09/2023</t>
  </si>
  <si>
    <t>KHI/HO/D/MO/PD COMP/P/70465/05/2023</t>
  </si>
  <si>
    <t>KHI/HO/D/MO/PD COMP/P/75557/09/2023</t>
  </si>
  <si>
    <t>KHI/HO/D/MO/PD COMP/P/70540/05/2023</t>
  </si>
  <si>
    <t>KHI/HO/D/MO/PD COMP/P/75612/09/2023</t>
  </si>
  <si>
    <t>KHI/HO/D/MO/PD COMP/P/70768/05/2023</t>
  </si>
  <si>
    <t>KHI/HO/D/MO/PD COMP/P/75664/09/2023</t>
  </si>
  <si>
    <t>KHI/HO/F/MO/PC COMP/P/75008/09/2023</t>
  </si>
  <si>
    <t>KHI/HO/D/MO/PD COMP/P/75686/09/2023</t>
  </si>
  <si>
    <t>KHI/HO/D/MO/PC COMP/C/90919/112/06/2024</t>
  </si>
  <si>
    <t>KHI/HO/D/MO/PD COMP/P/75766/09/2023</t>
  </si>
  <si>
    <t>KHI/HO/D/MO/PC COMP/C/92801/1/07/2024</t>
  </si>
  <si>
    <t>KHI/HO/D/MO/PD COMP/P/75790/09/2023</t>
  </si>
  <si>
    <t>KHI/HO/D/MO/PC COMP/C/95603/14/08/2024</t>
  </si>
  <si>
    <t>KHI/HO/D/MO/PD COMP/P/75813/09/2023</t>
  </si>
  <si>
    <t>KHI/HO/D/MO/PC COMP/C/96638/45/09/2024</t>
  </si>
  <si>
    <t>KHI/HO/D/MO/PD COMP/P/75904/09/2023</t>
  </si>
  <si>
    <t>KHI/HO/D/MO/PC COMP/C/87875/103/04/2024</t>
  </si>
  <si>
    <t>KHI/HO/D/MO/PD COMP/P/75909/09/2023</t>
  </si>
  <si>
    <t>KHI/HO/D/MO/PC COMP/P/63320/09/2022</t>
  </si>
  <si>
    <t>KHI/HO/D/MO/PD COMP/P/75922/09/2023</t>
  </si>
  <si>
    <t>KHI/HO/D/MO/PC COMP/P/66872/01/2023</t>
  </si>
  <si>
    <t>KHI/HO/D/MO/PD COMP/P/76064/10/2023</t>
  </si>
  <si>
    <t>KHI/HO/D/MO/PC COMP/P/74222/08/2023</t>
  </si>
  <si>
    <t>KHI/HO/D/MO/PD COMP/P/76102/10/2023</t>
  </si>
  <si>
    <t>KHI/HO/D/MO/PC COMP/P/82392/01/2024</t>
  </si>
  <si>
    <t>KHI/HO/D/MO/PD COMP/P/76133/10/2023</t>
  </si>
  <si>
    <t>KHI/HO/D/MO/PC COMP/P/92452/07/2024</t>
  </si>
  <si>
    <t>KHI/HO/D/MO/PD COMP/P/76244/10/2023</t>
  </si>
  <si>
    <t>KHI/HO/D/MO/PC TPP/P/69947/04/2023</t>
  </si>
  <si>
    <t>KHI/HO/D/MO/PD COMP/P/76260/10/2023</t>
  </si>
  <si>
    <t>KHI/HO/D/MO/PD COMP/P/56936/11/2021</t>
  </si>
  <si>
    <t>KHI/HO/D/MO/PD COMP/P/76396/10/2023</t>
  </si>
  <si>
    <t>KHI/HO/D/MO/PD COMP/P/60210/04/2022</t>
  </si>
  <si>
    <t>KHI/HO/D/MO/PD COMP/P/76483/10/2023</t>
  </si>
  <si>
    <t>KHI/HO/D/MO/PD COMP/P/61418/06/2022</t>
  </si>
  <si>
    <t>KHI/HO/D/MO/PD COMP/P/76741/10/2023</t>
  </si>
  <si>
    <t>KHI/HO/D/MO/PD COMP/P/63469/09/2022</t>
  </si>
  <si>
    <t>KHI/HO/D/MO/PD COMP/P/77184/10/2023</t>
  </si>
  <si>
    <t>KHI/HO/D/MO/PD COMP/P/66476/01/2023</t>
  </si>
  <si>
    <t>KHI/HO/D/MO/PD COMP/P/77505/11/2023</t>
  </si>
  <si>
    <t>KHI/HO/D/MO/PD COMP/P/66812/01/2023</t>
  </si>
  <si>
    <t>KHI/HO/D/MO/PD COMP/P/77728/11/2023</t>
  </si>
  <si>
    <t>KHI/HO/D/MO/PD COMP/P/66955/01/2023</t>
  </si>
  <si>
    <t>KHI/HO/D/MO/PD COMP/P/78627/11/2023</t>
  </si>
  <si>
    <t>KHI/HO/D/MO/PD COMP/P/67015/01/2023</t>
  </si>
  <si>
    <t>KHI/HO/D/MO/PD COMP/P/79264/12/2023</t>
  </si>
  <si>
    <t>KHI/HO/D/MO/PD COMP/P/67508/02/2023</t>
  </si>
  <si>
    <t>KHI/HO/D/MO/PD COMP/P/79346/12/2023</t>
  </si>
  <si>
    <t>KHI/HO/D/MO/PD COMP/P/68043/02/2023</t>
  </si>
  <si>
    <t>KHI/HO/D/MO/PD COMP/P/79777/12/2023</t>
  </si>
  <si>
    <t>KHI/HO/D/MO/PD COMP/P/68491/03/2023</t>
  </si>
  <si>
    <t>KHI/HO/D/MO/PD COMP/P/79778/12/2023</t>
  </si>
  <si>
    <t>KHI/HO/D/MO/PD COMP/P/68786/03/2023</t>
  </si>
  <si>
    <t>KHI/HO/D/MO/PD COMP/P/79786/12/2023</t>
  </si>
  <si>
    <t>KHI/HO/D/MO/PD COMP/P/68985/03/2023</t>
  </si>
  <si>
    <t>KHI/HO/D/MO/PD COMP/P/79995/12/2023</t>
  </si>
  <si>
    <t>KHI/HO/D/MO/PD COMP/P/69150/03/2023</t>
  </si>
  <si>
    <t>KHI/HO/D/MO/PD COMP/P/80099/12/2023</t>
  </si>
  <si>
    <t>KHI/HO/D/MO/PD COMP/P/69487/04/2023</t>
  </si>
  <si>
    <t>KHI/HO/D/MO/PD COMP/P/80386/12/2023</t>
  </si>
  <si>
    <t>KHI/HO/D/MO/PD COMP/P/69754/04/2023</t>
  </si>
  <si>
    <t>KHI/HO/D/MO/PD COMP/P/80398/12/2023</t>
  </si>
  <si>
    <t>KHI/HO/D/MO/PD COMP/P/69965/04/2023</t>
  </si>
  <si>
    <t>KHI/HO/D/MO/PD COMP/P/80460/12/2023</t>
  </si>
  <si>
    <t>KHI/HO/D/MO/PC COMP/C/87875/91/04/2024</t>
  </si>
  <si>
    <t>KHI/HO/D/MO/PD COMP/P/82038/01/2024</t>
  </si>
  <si>
    <t>KHI/HO/D/MO/PC COMP/C/88626/1/05/2024</t>
  </si>
  <si>
    <t>KHI/HO/D/MO/PD COMP/P/82341/01/2024</t>
  </si>
  <si>
    <t>KHI/HO/D/MO/PD COMP/P/70759/05/2023</t>
  </si>
  <si>
    <t>KHI/HO/D/MO/PD COMP/P/83084/02/2024</t>
  </si>
  <si>
    <t>KHI/HO/D/MO/PC COMP/C/90833/1/06/2024</t>
  </si>
  <si>
    <t>KHI/HO/D/MO/PD COMP/P/83150/02/2024</t>
  </si>
  <si>
    <t>KHI/HO/D/MO/PC COMP/C/94384/2/08/2024</t>
  </si>
  <si>
    <t>KHI/HO/D/MO/PD COMP/P/83798/02/2024</t>
  </si>
  <si>
    <t>KHI/HO/D/MO/PC COMP/C/97302/1/09/2024</t>
  </si>
  <si>
    <t>KHI/HO/D/MO/PD COMP/P/84310/02/2024</t>
  </si>
  <si>
    <t>KHI/HO/D/MO/PC COMP/P/66675/01/2023</t>
  </si>
  <si>
    <t>KHI/HO/D/MO/PD COMP/P/84474/02/2024</t>
  </si>
  <si>
    <t>KHI/HO/D/MO/PC COMP/P/79517/12/2023</t>
  </si>
  <si>
    <t>KHI/HO/D/MO/PD COMP/P/85404/03/2024</t>
  </si>
  <si>
    <t>KHI/HO/D/MO/PC TPP/P/66544/01/2023</t>
  </si>
  <si>
    <t>KHI/HO/D/MO/PD COMP/P/85659/03/2024</t>
  </si>
  <si>
    <t>KHI/HO/D/MO/PD COMP/P/58795/02/2022</t>
  </si>
  <si>
    <t>KHI/HO/D/MO/PD COMP/P/85957/03/2024</t>
  </si>
  <si>
    <t>KHI/HO/D/MO/PD COMP/P/62893/08/2022</t>
  </si>
  <si>
    <t>KHI/HO/D/MO/PD COMP/P/87330/04/2024</t>
  </si>
  <si>
    <t>KHI/HO/D/MO/PD COMP/P/66530/01/2023</t>
  </si>
  <si>
    <t>KHI/HO/D/MO/PD COMP/P/87332/04/2024</t>
  </si>
  <si>
    <t>KHI/HO/D/MO/PD COMP/P/66982/01/2023</t>
  </si>
  <si>
    <t>KHI/HO/D/MO/PD COMP/P/87773/04/2024</t>
  </si>
  <si>
    <t>KHI/HO/D/MO/PD COMP/P/67752/02/2023</t>
  </si>
  <si>
    <t>KHI/HO/D/MO/PD COMP/P/88019/04/2024</t>
  </si>
  <si>
    <t>KHI/HO/D/MO/PD COMP/P/68755/03/2023</t>
  </si>
  <si>
    <t>KHI/HO/D/MO/PD COMP/P/88233/05/2024</t>
  </si>
  <si>
    <t>KHI/HO/D/MO/PD COMP/P/69075/03/2023</t>
  </si>
  <si>
    <t>KHI/HO/D/MO/PD COMP/P/88544/05/2024</t>
  </si>
  <si>
    <t>KHI/HO/D/MO/PD COMP/P/69644/04/2023</t>
  </si>
  <si>
    <t>KHI/HO/D/MO/PD COMP/P/88809/05/2024</t>
  </si>
  <si>
    <t>KHI/HO/D/MO/PC COMP/C/87875/186/04/2024</t>
  </si>
  <si>
    <t>KHI/HO/D/MO/PD COMP/P/90023/05/2024</t>
  </si>
  <si>
    <t>KHI/HO/D/MO/PD COMP/P/70476/05/2023</t>
  </si>
  <si>
    <t>KHI/HO/D/MO/PD COMP/P/90147/06/2024</t>
  </si>
  <si>
    <t>KHI/HO/D/MO/PC COMP/C/92394/8/07/2024</t>
  </si>
  <si>
    <t>KHI/HO/D/MO/PD COMP/P/90772/06/2024</t>
  </si>
  <si>
    <t>KHI/HO/D/MO/PC COMP/P/62558/07/2022</t>
  </si>
  <si>
    <t>KHI/HO/D/MO/PD COMP/P/92076/07/2024</t>
  </si>
  <si>
    <t>KHI/HO/D/MO/PC COMP/P/92449/07/2024</t>
  </si>
  <si>
    <t>KHI/HO/D/MO/PD COMP/P/93592/07/2024</t>
  </si>
  <si>
    <t>KHI/HO/D/MO/PD COMP/P/60617/05/2022</t>
  </si>
  <si>
    <t>KHI/HO/D/MR/EXPORTS/P/38469/12/2022</t>
  </si>
  <si>
    <t>KHI/HO/D/MO/PD COMP/P/66853/01/2023</t>
  </si>
  <si>
    <t>KHI/HO/D/MR/EXPORTS/P/40543/10/2023</t>
  </si>
  <si>
    <t>KHI/HO/D/MO/PD COMP/P/68451/03/2023</t>
  </si>
  <si>
    <t>KHI/HO/D/MR/EXPORTS/P/43341/08/2024</t>
  </si>
  <si>
    <t>KHI/HO/D/MO/PD COMP/P/69313/03/2023</t>
  </si>
  <si>
    <t>KHI/HO/D/MR/EXPORTS/P/43517/09/2024</t>
  </si>
  <si>
    <t>KHI/HO/D/MO/PC COMP/C/87875/96/04/2024</t>
  </si>
  <si>
    <t>KHI/HO/D/MR/IMPORTS/C/18263/06/2023</t>
  </si>
  <si>
    <t>KHI/HO/D/MO/PC COMP/C/95603/3/08/2024</t>
  </si>
  <si>
    <t>KHI/HO/D/MO/PC COMP/C/87875/100/04/2024</t>
  </si>
  <si>
    <t>KHI/HO/D/MO/PC TPP/P/69968/04/2023</t>
  </si>
  <si>
    <t>KHI/HO/D/MO/PC COMP/C/87875/101/04/2024</t>
  </si>
  <si>
    <t>KHI/HO/D/MO/PD COMP/P/67223/01/2023</t>
  </si>
  <si>
    <t>KHI/HO/D/MO/PC COMP/C/87875/102/04/2024</t>
  </si>
  <si>
    <t>KHI/HO/D/MO/PD COMP/P/69889/04/2023</t>
  </si>
  <si>
    <t>KHI/HO/D/MR/IMPORTS/C/19670/05/2024</t>
  </si>
  <si>
    <t>KHI/HO/D/MO/PC COMP/P/69597/04/2023</t>
  </si>
  <si>
    <t>KHI/HO/D/MR/IMPORTS/P/39344/04/2023</t>
  </si>
  <si>
    <t>KHI/HO/D/MO/PD COMP/P/68967/03/2023</t>
  </si>
  <si>
    <t>KHI/HO/D/MR/IMPORTS/P/43618/10/2024</t>
  </si>
  <si>
    <t>KHI/HO/D/MO/PD COMP/P/66045/12/2022</t>
  </si>
  <si>
    <t>KHI/HO/D/MR/INLAND TRANSIT/C/17656/01/2023</t>
  </si>
  <si>
    <t>KHI/HO/D/MO/PD COMP/P/70921/05/2023</t>
  </si>
  <si>
    <t>KHI/HO/D/MR/INLAND TRANSIT/C/17959/04/2023</t>
  </si>
  <si>
    <t>LHR/LHR/F/MO/PC COMP/P/61769/06/2022</t>
  </si>
  <si>
    <t>LHR/LHR/F/MR/INLAND TRANSIT/P/39992/07/2023</t>
  </si>
  <si>
    <t>MUL/MUL/F/EG/BPV/P/679/11/2021</t>
  </si>
  <si>
    <t>LHR/LHR/F/MO/PC COMP/P/56991/11/2021</t>
  </si>
  <si>
    <t>MUL/MUL/F/EG/BPV/P/683/11/2021</t>
  </si>
  <si>
    <t>LHR/LHR/F/MO/PC COMP/P/57034/11/2021</t>
  </si>
  <si>
    <t>MUL/MUL/F/EG/BPV/P/689/11/2021</t>
  </si>
  <si>
    <t>LHR/LHR/F/MO/PC COMP/P/58282/01/2022</t>
  </si>
  <si>
    <t>LHR/LHR/D/MO/PC COMP/P/69245/03/2023</t>
  </si>
  <si>
    <t>LHR/LHR/F/MO/PC COMP/P/58637/02/2022</t>
  </si>
  <si>
    <t>MUL/MUL/F/EG/EET/P/769/04/2022</t>
  </si>
  <si>
    <t>LHR/LHR/F/MO/PC COMP/P/59448/03/2022</t>
  </si>
  <si>
    <t>KHI/HO/L/FR/ND/P/22949/09/2024</t>
  </si>
  <si>
    <t>LHR/LHR/F/MO/PC COMP/P/59633/03/2022</t>
  </si>
  <si>
    <t>LHR/LHR/D/MO/PC COMP/P/99222/10/2024</t>
  </si>
  <si>
    <t>LHR/LHR/F/MO/PC COMP/P/59766/03/2022</t>
  </si>
  <si>
    <t>LHR/LHR/D/MO/PD COMP/P/72469/06/2023</t>
  </si>
  <si>
    <t>LHR/LHR/F/MO/PC COMP/P/59778/03/2022</t>
  </si>
  <si>
    <t>MUL/MUL/F/EG/MBD/P/1008/08/2023</t>
  </si>
  <si>
    <t>LHR/LHR/F/MO/PC COMP/P/59788/03/2022</t>
  </si>
  <si>
    <t>MUL/MUL/F/EG/MBD/P/1010/08/2023</t>
  </si>
  <si>
    <t>LHR/LHR/F/MO/PC COMP/P/59796/03/2022</t>
  </si>
  <si>
    <t>MUL/MUL/F/EG/MBD/P/1024/09/2023</t>
  </si>
  <si>
    <t>LHR/LHR/F/MO/PC COMP/P/60042/04/2022</t>
  </si>
  <si>
    <t>MUL/MUL/F/EG/MBD/P/1141/02/2024</t>
  </si>
  <si>
    <t>LHR/LHR/F/MO/PC COMP/P/60076/04/2022</t>
  </si>
  <si>
    <t>MUL/MUL/F/EG/MBD/P/1157/02/2024</t>
  </si>
  <si>
    <t>LHR/LHR/F/MO/PC COMP/P/60872/05/2022</t>
  </si>
  <si>
    <t>MUL/MUL/F/EG/MBD/P/682/11/2021</t>
  </si>
  <si>
    <t>LHR/LHR/F/MO/PC COMP/P/61369/06/2022</t>
  </si>
  <si>
    <t>MUL/MUL/F/EG/MBD/P/684/11/2021</t>
  </si>
  <si>
    <t>LHR/LHR/F/MO/PC COMP/P/61724/06/2022</t>
  </si>
  <si>
    <t>MUL/MUL/F/EG/MBD/P/688/11/2021</t>
  </si>
  <si>
    <t>LHR/LHR/F/MO/PC COMP/P/62222/07/2022</t>
  </si>
  <si>
    <t>MUL/MUL/F/EG/MBD/P/701/12/2021</t>
  </si>
  <si>
    <t>LHR/LHR/F/MO/PC COMP/P/62634/07/2022</t>
  </si>
  <si>
    <t>MUL/MUL/F/EG/MBD/P/702/12/2021</t>
  </si>
  <si>
    <t>LHR/LHR/F/MO/PC COMP/P/63760/09/2022</t>
  </si>
  <si>
    <t>MUL/MUL/F/EG/MBD/P/723/01/2022</t>
  </si>
  <si>
    <t>KHI/HO/L/MO/CV/P/62461/07/2022</t>
  </si>
  <si>
    <t>MUL/MUL/F/EG/MBD/P/732/01/2022</t>
  </si>
  <si>
    <t>LHR/LHR/F/MO/PC COMP/P/70483/05/2023</t>
  </si>
  <si>
    <t>MUL/MUL/F/EG/MBD/P/737/01/2022</t>
  </si>
  <si>
    <t>KHI/HO/L/MO/CV/P/62467/07/2022</t>
  </si>
  <si>
    <t>MUL/MUL/F/EG/MBD/P/746/01/2022</t>
  </si>
  <si>
    <t>KHI/HO/L/MO/CV/P/62472/07/2022</t>
  </si>
  <si>
    <t>LHR/LHR/F/EG/BPV/P/1176/04/2024</t>
  </si>
  <si>
    <t>KHI/HO/L/MO/PC COMP/P/54995/06/2021</t>
  </si>
  <si>
    <t>MUL/MUL/F/EG/MBD/P/780/05/2022</t>
  </si>
  <si>
    <t>KHI/HO/L/MO/PC COMP/P/62463/07/2022</t>
  </si>
  <si>
    <t>MUL/MUL/F/EG/MBD/P/789/05/2022</t>
  </si>
  <si>
    <t>KHI/HO/L/MO/PC COMP/P/62469/07/2022</t>
  </si>
  <si>
    <t>MUL/MUL/F/EG/MBD/P/820/09/2022</t>
  </si>
  <si>
    <t>KHI/HO/L/MR/IMPORTS/P/39205/03/2023</t>
  </si>
  <si>
    <t>MUL/MUL/F/EG/MBD/P/826/09/2022</t>
  </si>
  <si>
    <t>KHI/HO/L/MR/IMPORTS/P/39322/04/2023</t>
  </si>
  <si>
    <t>LHR/LHR/F/FR/D/P/15329/08/2022</t>
  </si>
  <si>
    <t>KHI/HO/L/MR/IMPORTS/P/39751/06/2023</t>
  </si>
  <si>
    <t>LHR/LHR/F/FR/D/P/22062/04/2024</t>
  </si>
  <si>
    <t>LHR/LHR/F/MO/PC COMP/P/83704/02/2024</t>
  </si>
  <si>
    <t>LHR/LHR/F/FR/ND/P/10325/07/2020</t>
  </si>
  <si>
    <t>LHR/LHR/F/MO/PC COMP/P/83921/02/2024</t>
  </si>
  <si>
    <t>LHR/LHR/F/FR/ND/P/15136/07/2022</t>
  </si>
  <si>
    <t>LHR/LHR/F/MO/PC COMP/P/83926/02/2024</t>
  </si>
  <si>
    <t>MUL/MUL/F/FR/D/P/12118/08/2021</t>
  </si>
  <si>
    <t>KHI/HO/F/MR/INLAND TRANSIT/P/39996/07/2023</t>
  </si>
  <si>
    <t>MUL/MUL/F/FR/D/P/12450/09/2021</t>
  </si>
  <si>
    <t>LHR/LHR/F/MO/PC COMP/P/85876/03/2024</t>
  </si>
  <si>
    <t>MUL/MUL/F/FR/D/P/12471/09/2021</t>
  </si>
  <si>
    <t>LHR/LHR/F/MO/PC COMP/P/86502/04/2024</t>
  </si>
  <si>
    <t>MUL/MUL/F/FR/D/P/12500/09/2021</t>
  </si>
  <si>
    <t>LHR/LHR/F/MO/PC COMP/P/91240/06/2024</t>
  </si>
  <si>
    <t>MUL/MUL/F/FR/D/P/12968/11/2021</t>
  </si>
  <si>
    <t>LHR/LHR/F/MO/PC COMP/P/91385/06/2024</t>
  </si>
  <si>
    <t>MUL/MUL/F/FR/D/P/13087/11/2021</t>
  </si>
  <si>
    <t>LHR/LHR/F/MO/PC COMP/P/92309/07/2024</t>
  </si>
  <si>
    <t>MUL/MUL/F/FR/D/P/13120/11/2021</t>
  </si>
  <si>
    <t>LHR/LHR/F/MO/PC COMP/P/92374/07/2024</t>
  </si>
  <si>
    <t>MUL/MUL/F/FR/D/P/13230/12/2021</t>
  </si>
  <si>
    <t>LHR/LHR/F/MO/PC COMP/P/97507/09/2024</t>
  </si>
  <si>
    <t>MUL/MUL/F/FR/D/P/13247/12/2021</t>
  </si>
  <si>
    <t>LHR/LHR/F/MR/IMPORTS/P/38354/12/2022</t>
  </si>
  <si>
    <t>MUL/MUL/F/FR/D/P/13571/12/2021</t>
  </si>
  <si>
    <t>LHR/LHR/F/MO/PC COMP/P/57015/11/2021</t>
  </si>
  <si>
    <t>MUL/MUL/F/FR/D/P/13572/12/2021</t>
  </si>
  <si>
    <t>LHR/LHR/F/MO/PC COMP/P/58613/02/2022</t>
  </si>
  <si>
    <t>MUL/MUL/F/FR/D/P/13574/12/2021</t>
  </si>
  <si>
    <t>LHR/LHR/F/MO/PC COMP/P/59629/03/2022</t>
  </si>
  <si>
    <t>KHI/HO/L/FR/ND/P/22950/09/2024</t>
  </si>
  <si>
    <t>LHR/LHR/F/MO/PC COMP/P/59768/03/2022</t>
  </si>
  <si>
    <t>MUL/MUL/F/FR/D/P/13817/04/2022</t>
  </si>
  <si>
    <t>LHR/LHR/F/MO/PC COMP/P/59789/03/2022</t>
  </si>
  <si>
    <t>MUL/MUL/F/FR/D/P/13882/04/2022</t>
  </si>
  <si>
    <t>LHR/LHR/F/MO/PC COMP/P/60052/04/2022</t>
  </si>
  <si>
    <t>MUL/MUL/F/FR/D/P/13939/05/2022</t>
  </si>
  <si>
    <t>LHR/LHR/F/MO/PC COMP/P/61034/05/2022</t>
  </si>
  <si>
    <t>MUL/MUL/F/FR/D/P/13942/05/2022</t>
  </si>
  <si>
    <t>MUL/MUL/F/FR/ND/P/11990/07/2021</t>
  </si>
  <si>
    <t>MUL/MUL/F/FR/D/P/13980/05/2022</t>
  </si>
  <si>
    <t>LHR/LHR/F/MO/PC COMP/P/63701/09/2022</t>
  </si>
  <si>
    <t>LHR/LHR/F/FR/ND/P/20388/10/2023</t>
  </si>
  <si>
    <t>KHI/HO/L/MO/CV/P/62466/07/2022</t>
  </si>
  <si>
    <t>MUL/MUL/F/FR/D/P/15217/08/2022</t>
  </si>
  <si>
    <t>KHI/HO/L/MO/CV/P/62468/07/2022</t>
  </si>
  <si>
    <t>MUL/MUL/F/FR/D/P/15319/08/2022</t>
  </si>
  <si>
    <t>KHI/HO/L/MO/PC COMP/P/55040/06/2021</t>
  </si>
  <si>
    <t>MUL/MUL/F/FR/D/P/15565/08/2022</t>
  </si>
  <si>
    <t>KHI/HO/L/MO/PC COMP/P/73050/07/2023</t>
  </si>
  <si>
    <t>MUL/MUL/F/FR/D/P/15811/09/2022</t>
  </si>
  <si>
    <t>KHI/HO/L/MR/IMPORTS/P/39414/04/2023</t>
  </si>
  <si>
    <t>MUL/MUL/F/FR/D/P/15812/09/2022</t>
  </si>
  <si>
    <t>KHI/HO/L/MR/IMPORTS/P/39752/06/2023</t>
  </si>
  <si>
    <t>MUL/MUL/F/FR/D/P/16122/09/2022</t>
  </si>
  <si>
    <t>LHR/LHR/D/MO/PC COMP/P/60625/05/2022</t>
  </si>
  <si>
    <t>KHI/HO/L/FR/ND/P/22951/09/2024</t>
  </si>
  <si>
    <t>LHR/LHR/F/MO/PC COMP/P/86486/04/2024</t>
  </si>
  <si>
    <t>LHR/LHR/F/MO/CV/P/57024/11/2021</t>
  </si>
  <si>
    <t>LHR/LHR/F/MO/PC COMP/P/91328/06/2024</t>
  </si>
  <si>
    <t>LHR/LHR/F/MO/CV/P/59121/02/2022</t>
  </si>
  <si>
    <t>LHR/LHR/F/MO/PC COMP/P/92338/07/2024</t>
  </si>
  <si>
    <t>MUL/MUL/F/FR/D/P/16648/11/2022</t>
  </si>
  <si>
    <t>LHR/LHR/F/MO/PC COMP/P/97607/09/2024</t>
  </si>
  <si>
    <t>LHR/LHR/F/MO/CV/P/59147/02/2022</t>
  </si>
  <si>
    <t>LHR/LHR/F/MO/PC COMP/P/58092/01/2022</t>
  </si>
  <si>
    <t>LHR/LHR/F/MO/MC COMP/P/70880/05/2023</t>
  </si>
  <si>
    <t>LHR/LHR/F/MO/PC COMP/P/59713/03/2022</t>
  </si>
  <si>
    <t>KHI/HO/L/MI/CYBR/P/2053/05/2022</t>
  </si>
  <si>
    <t>LHR/LHR/F/MO/PC COMP/P/60028/04/2022</t>
  </si>
  <si>
    <t>KHI/HO/L/MO/CV/P/62457/07/2022</t>
  </si>
  <si>
    <t>LHR/LHR/F/MO/PC COMP/P/61714/06/2022</t>
  </si>
  <si>
    <t>LHR/LHR/F/MO/MC COMP/P/97459/09/2024</t>
  </si>
  <si>
    <t>LHR/LHR/F/MO/PC COMP/P/63835/09/2022</t>
  </si>
  <si>
    <t>LHR/LHR/F/MO/PC COMP/P/56338/10/2021</t>
  </si>
  <si>
    <t>KHI/HO/L/MO/CV/P/62473/07/2022</t>
  </si>
  <si>
    <t>LHR/LHR/F/MO/PC COMP/P/56604/11/2021</t>
  </si>
  <si>
    <t>KHI/HO/L/MR/IMPORTS/P/39320/04/2023</t>
  </si>
  <si>
    <t>MUL/MUL/F/FR/D/P/19625/08/2023</t>
  </si>
  <si>
    <t>KHI/HO/L/MR/IMPORTS/P/40255/09/2023</t>
  </si>
  <si>
    <t>MUL/MUL/F/FR/D/P/19627/08/2023</t>
  </si>
  <si>
    <t>LHR/LHR/F/MO/PC COMP/P/90640/06/2024</t>
  </si>
  <si>
    <t>MUL/MUL/F/FR/D/P/20919/12/2023</t>
  </si>
  <si>
    <t>LHR/LHR/F/MO/PC COMP/P/97397/09/2024</t>
  </si>
  <si>
    <t>MUL/MUL/F/FR/D/P/20926/12/2023</t>
  </si>
  <si>
    <t>LHR/LHR/F/MO/PC COMP/P/59068/02/2022</t>
  </si>
  <si>
    <t>MUL/MUL/F/FR/ND/P/11683/06/2021</t>
  </si>
  <si>
    <t>LHR/LHR/F/MO/PC COMP/P/60870/05/2022</t>
  </si>
  <si>
    <t>MUL/MUL/F/FR/ND/P/11686/06/2021</t>
  </si>
  <si>
    <t>LHR/LHR/F/MO/PC COMP/P/70549/05/2023</t>
  </si>
  <si>
    <t>MUL/MUL/F/FR/ND/P/11688/06/2021</t>
  </si>
  <si>
    <t>LHR/LHR/F/MO/PC COMP/P/83689/02/2024</t>
  </si>
  <si>
    <t>MUL/MUL/F/FR/ND/P/11706/06/2021</t>
  </si>
  <si>
    <t>LHR/LHR/F/MO/PC COMP/P/92302/07/2024</t>
  </si>
  <si>
    <t>MUL/MUL/F/FR/ND/P/11709/06/2021</t>
  </si>
  <si>
    <t>LHR/LHR/F/MO/PC COMP/P/59785/03/2022</t>
  </si>
  <si>
    <t>MUL/MUL/F/FR/ND/P/11713/06/2021</t>
  </si>
  <si>
    <t>KHI/HO/L/MO/PC COMP/P/62464/07/2022</t>
  </si>
  <si>
    <t>MUL/MUL/F/FR/ND/P/11983/07/2021</t>
  </si>
  <si>
    <t>LHR/LHR/F/MO/PC COMP/P/56651/11/2021</t>
  </si>
  <si>
    <t>MUL/MUL/F/FR/ND/P/11984/07/2021</t>
  </si>
  <si>
    <t>LHR/LHR/F/MO/PC COMP/P/85414/03/2024</t>
  </si>
  <si>
    <t>MUL/MUL/F/FR/ND/P/11985/07/2021</t>
  </si>
  <si>
    <t>LHR/LHR/F/MO/PC COMP/P/62327/07/2022</t>
  </si>
  <si>
    <t>MUL/MUL/F/FR/ND/P/11989/07/2021</t>
  </si>
  <si>
    <t>MUL/MUL/F/FR/ND/P/12499/09/2021</t>
  </si>
  <si>
    <t>MUL/MUL/F/FR/ND/P/20842/12/2023</t>
  </si>
  <si>
    <t>MUL/MUL/F/FR/ND/P/21068/12/2023</t>
  </si>
  <si>
    <t>MUL/MUL/F/FR/ND/P/15164/07/2022</t>
  </si>
  <si>
    <t>MUL/MUL/F/FR/ND/P/21079/12/2023</t>
  </si>
  <si>
    <t>MUL/MUL/F/FR/ND/P/15188/08/2022</t>
  </si>
  <si>
    <t>MUL/MUL/F/FR/ND/P/21213/01/2024</t>
  </si>
  <si>
    <t>MUL/MUL/F/FR/ND/P/12005/07/2021</t>
  </si>
  <si>
    <t>MUL/MUL/F/FR/ND/P/21214/01/2024</t>
  </si>
  <si>
    <t>MUL/MUL/F/FR/ND/P/15283/08/2022</t>
  </si>
  <si>
    <t>MUL/MUL/F/FR/ND/P/21450/02/2024</t>
  </si>
  <si>
    <t>MUL/MUL/F/FR/ND/P/15299/08/2022</t>
  </si>
  <si>
    <t>MUL/MUL/F/FR/ND/P/22541/06/2024</t>
  </si>
  <si>
    <t>MUL/MUL/F/FR/ND/P/12457/09/2021</t>
  </si>
  <si>
    <t>MUL/MUL/F/MI/ARC/P/1995/02/2022</t>
  </si>
  <si>
    <t>MUL/MUL/F/FR/ND/P/15326/08/2022</t>
  </si>
  <si>
    <t>MUL/MUL/F/MI/ARC/P/1996/02/2022</t>
  </si>
  <si>
    <t>MUL/MUL/F/FR/ND/P/15336/08/2022</t>
  </si>
  <si>
    <t>MUL/MUL/F/MI/CT/P/1706/08/2021</t>
  </si>
  <si>
    <t>MUL/MUL/F/FR/ND/P/15755/09/2022</t>
  </si>
  <si>
    <t>MUL/MUL/F/MI/CT/P/1743/08/2021</t>
  </si>
  <si>
    <t>MUL/MUL/F/FR/ND/P/15825/09/2022</t>
  </si>
  <si>
    <t>MUL/MUL/F/MI/CT/P/1744/08/2021</t>
  </si>
  <si>
    <t>MUL/MUL/F/FR/ND/P/12629/10/2021</t>
  </si>
  <si>
    <t>MUL/MUL/F/MI/CT/P/1745/08/2021</t>
  </si>
  <si>
    <t>MUL/MUL/F/FR/ND/P/15909/09/2022</t>
  </si>
  <si>
    <t>MUL/MUL/F/MI/CT/P/1750/08/2021</t>
  </si>
  <si>
    <t>MUL/MUL/F/FR/ND/P/15918/09/2022</t>
  </si>
  <si>
    <t>MUL/MUL/F/MI/CT/P/1754/08/2021</t>
  </si>
  <si>
    <t>MUL/MUL/F/FR/ND/P/15954/09/2022</t>
  </si>
  <si>
    <t>MUL/MUL/F/MI/CT/P/1792/09/2021</t>
  </si>
  <si>
    <t>MUL/MUL/F/FR/ND/P/12635/10/2021</t>
  </si>
  <si>
    <t>MUL/MUL/F/MI/CT/P/1796/09/2021</t>
  </si>
  <si>
    <t>MUL/MUL/F/FR/ND/P/12963/11/2021</t>
  </si>
  <si>
    <t>MUL/MUL/F/MI/CT/P/1854/11/2021</t>
  </si>
  <si>
    <t>MUL/MUL/F/FR/ND/P/16139/09/2022</t>
  </si>
  <si>
    <t>MUL/MUL/F/MI/CT/P/1880/12/2021</t>
  </si>
  <si>
    <t>MUL/MUL/F/FR/ND/P/16147/09/2022</t>
  </si>
  <si>
    <t>MUL/MUL/F/FR/ND/P/12494/09/2021</t>
  </si>
  <si>
    <t>MUL/MUL/F/FR/ND/P/12966/11/2021</t>
  </si>
  <si>
    <t>MUL/MUL/F/MI/CT/P/1984/02/2022</t>
  </si>
  <si>
    <t>MUL/MUL/F/FR/ND/P/12969/11/2021</t>
  </si>
  <si>
    <t>MUL/MUL/F/MI/CT/P/2120/08/2022</t>
  </si>
  <si>
    <t>MUL/MUL/F/FR/ND/P/16599/11/2022</t>
  </si>
  <si>
    <t>MUL/MUL/F/MI/CT/P/2138/08/2022</t>
  </si>
  <si>
    <t>MUL/MUL/F/FR/ND/P/16604/11/2022</t>
  </si>
  <si>
    <t>MUL/MUL/F/MI/CT/P/2170/08/2022</t>
  </si>
  <si>
    <t>MUL/MUL/F/FR/ND/P/12988/11/2021</t>
  </si>
  <si>
    <t>MUL/MUL/F/MI/CT/P/2219/09/2022</t>
  </si>
  <si>
    <t>MUL/MUL/F/FR/ND/P/12458/09/2021</t>
  </si>
  <si>
    <t>MUL/MUL/F/MI/CT/P/2249/10/2022</t>
  </si>
  <si>
    <t>MUL/MUL/F/FR/ND/P/12994/11/2021</t>
  </si>
  <si>
    <t>MUL/MUL/F/FR/ND/P/12524/09/2021</t>
  </si>
  <si>
    <t>MUL/MUL/F/FR/ND/P/13000/11/2021</t>
  </si>
  <si>
    <t>MUL/MUL/F/MI/CT/P/2313/12/2022</t>
  </si>
  <si>
    <t>MUL/MUL/F/FR/ND/P/13004/11/2021</t>
  </si>
  <si>
    <t>MUL/MUL/F/MI/CT/P/2455/01/2023</t>
  </si>
  <si>
    <t>MUL/MUL/F/FR/ND/P/13013/11/2021</t>
  </si>
  <si>
    <t>MUL/MUL/F/FR/ND/P/13252/12/2021</t>
  </si>
  <si>
    <t>MUL/MUL/F/FR/ND/P/17080/12/2022</t>
  </si>
  <si>
    <t>MUL/MUL/F/FR/ND/P/13256/12/2021</t>
  </si>
  <si>
    <t>MUL/MUL/F/FR/ND/P/13023/11/2021</t>
  </si>
  <si>
    <t>MUL/MUL/F/MI/CT/P/2989/07/2023</t>
  </si>
  <si>
    <t>MUL/MUL/F/FR/ND/P/13057/11/2021</t>
  </si>
  <si>
    <t>MUL/MUL/F/MI/CT/P/2990/07/2023</t>
  </si>
  <si>
    <t>MUL/MUL/F/FR/ND/P/11992/07/2021</t>
  </si>
  <si>
    <t>MUL/MUL/F/MI/CT/P/2993/07/2023</t>
  </si>
  <si>
    <t>MUL/MUL/F/FR/ND/P/13060/11/2021</t>
  </si>
  <si>
    <t>MUL/MUL/F/MI/CT/P/2998/07/2023</t>
  </si>
  <si>
    <t>MUL/MUL/F/FR/ND/P/13063/11/2021</t>
  </si>
  <si>
    <t>MUL/MUL/F/MI/CT/P/2999/07/2023</t>
  </si>
  <si>
    <t>MUL/MUL/F/FR/ND/P/17397/01/2023</t>
  </si>
  <si>
    <t>MUL/MUL/F/MI/FG/P/1703/07/2021</t>
  </si>
  <si>
    <t>MUL/MUL/F/FR/ND/P/13066/11/2021</t>
  </si>
  <si>
    <t>MUL/MUL/F/MI/FG/P/1741/08/2021</t>
  </si>
  <si>
    <t>MUL/MUL/F/FR/ND/P/13067/11/2021</t>
  </si>
  <si>
    <t>MUL/MUL/F/MI/FG/P/1794/09/2021</t>
  </si>
  <si>
    <t>MUL/MUL/F/FR/ND/P/17935/03/2023</t>
  </si>
  <si>
    <t>MUL/MUL/F/MI/FG/P/1874/12/2021</t>
  </si>
  <si>
    <t>MUL/MUL/F/FR/ND/P/13084/11/2021</t>
  </si>
  <si>
    <t>MUL/MUL/F/MI/FG/P/1881/12/2021</t>
  </si>
  <si>
    <t>MUL/MUL/F/FR/ND/P/12481/09/2021</t>
  </si>
  <si>
    <t>MUL/MUL/F/MI/FG/P/1882/12/2021</t>
  </si>
  <si>
    <t>MUL/MUL/F/FR/ND/P/13094/11/2021</t>
  </si>
  <si>
    <t>MUL/MUL/F/MI/FG/P/1884/12/2021</t>
  </si>
  <si>
    <t>MUL/MUL/F/FR/ND/P/13098/11/2021</t>
  </si>
  <si>
    <t>MUL/MUL/F/MI/FG/P/1885/12/2021</t>
  </si>
  <si>
    <t>MUL/MUL/F/FR/ND/P/13110/11/2021</t>
  </si>
  <si>
    <t>MUL/MUL/F/MI/FG/P/1889/12/2021</t>
  </si>
  <si>
    <t>MUL/MUL/F/FR/ND/P/12522/09/2021</t>
  </si>
  <si>
    <t>MUL/MUL/F/MI/FG/P/1902/12/2021</t>
  </si>
  <si>
    <t>MUL/MUL/F/FR/ND/P/13113/11/2021</t>
  </si>
  <si>
    <t>MUL/MUL/F/MI/FG/P/1925/12/2021</t>
  </si>
  <si>
    <t>MUL/MUL/F/FR/ND/P/13115/11/2021</t>
  </si>
  <si>
    <t>MUL/MUL/F/MI/FG/P/2984/07/2023</t>
  </si>
  <si>
    <t>MUL/MUL/F/FR/ND/P/13118/11/2021</t>
  </si>
  <si>
    <t>MUL/MUL/F/MI/FG/P/2985/07/2023</t>
  </si>
  <si>
    <t>MUL/MUL/F/FR/ND/P/13124/11/2021</t>
  </si>
  <si>
    <t>MUL/MUL/F/MI/FG/P/2986/07/2023</t>
  </si>
  <si>
    <t>MUL/MUL/F/FR/ND/P/13195/12/2021</t>
  </si>
  <si>
    <t>MUL/MUL/F/MI/FG/P/2988/07/2023</t>
  </si>
  <si>
    <t>MUL/MUL/F/FR/ND/P/18524/05/2023</t>
  </si>
  <si>
    <t>MUL/MUL/F/MI/FG/P/2992/07/2023</t>
  </si>
  <si>
    <t>MUL/MUL/F/FR/ND/P/13212/12/2021</t>
  </si>
  <si>
    <t>MUL/MUL/F/MI/MP/P/1716/08/2021</t>
  </si>
  <si>
    <t>MUL/MUL/F/FR/ND/P/18831/06/2023</t>
  </si>
  <si>
    <t>MUL/MUL/F/MI/MP/P/1871/12/2021</t>
  </si>
  <si>
    <t>MUL/MUL/F/FR/ND/P/19019/06/2023</t>
  </si>
  <si>
    <t>MUL/MUL/F/MI/MP/P/2216/09/2022</t>
  </si>
  <si>
    <t>MUL/MUL/F/FR/ND/P/19480/08/2023</t>
  </si>
  <si>
    <t>MUL/MUL/F/FR/ND/P/13561/12/2021</t>
  </si>
  <si>
    <t>MUL/MUL/F/FR/ND/P/19484/08/2023</t>
  </si>
  <si>
    <t>MUL/MUL/F/MI/MP/P/2454/01/2023</t>
  </si>
  <si>
    <t>MUL/MUL/F/FR/ND/P/19488/08/2023</t>
  </si>
  <si>
    <t>MUL/MUL/F/FR/ND/P/13565/12/2021</t>
  </si>
  <si>
    <t>MUL/MUL/F/FR/ND/P/19491/08/2023</t>
  </si>
  <si>
    <t>MUL/MUL/F/FR/ND/P/12430/09/2021</t>
  </si>
  <si>
    <t>MUL/MUL/F/FR/ND/P/19511/08/2023</t>
  </si>
  <si>
    <t>MUL/MUL/F/MI/MP/P/4463/06/2024</t>
  </si>
  <si>
    <t>MUL/MUL/F/FR/ND/P/19628/08/2023</t>
  </si>
  <si>
    <t>MUL/MUL/F/FR/ND/P/13622/01/2022</t>
  </si>
  <si>
    <t>MUL/MUL/F/FR/ND/P/19631/08/2023</t>
  </si>
  <si>
    <t>MUL/MUL/F/MR/IMPORTS/P/35566/12/2021</t>
  </si>
  <si>
    <t>MUL/MUL/F/FR/ND/P/20157/09/2023</t>
  </si>
  <si>
    <t>MUL/MUL/F/MR/IMPORTS/P/35654/12/2021</t>
  </si>
  <si>
    <t>MUL/MUL/F/FR/ND/P/20316/10/2023</t>
  </si>
  <si>
    <t>MUL/MUL/F/MR/IMPORTS/P/35655/12/2021</t>
  </si>
  <si>
    <t>MUL/MUL/F/FR/ND/P/20342/10/2023</t>
  </si>
  <si>
    <t>MUL/MUL/F/MR/IMPORTS/P/36128/02/2022</t>
  </si>
  <si>
    <t>MUL/MUL/F/FR/ND/P/20383/10/2023</t>
  </si>
  <si>
    <t>MUL/MUL/F/MR/IMPORTS/P/36772/06/2022</t>
  </si>
  <si>
    <t>MUL/MUL/F/FR/ND/P/20618/11/2023</t>
  </si>
  <si>
    <t>MUL/MUL/F/MR/IMPORTS/P/36773/06/2022</t>
  </si>
  <si>
    <t>MUL/MUL/F/FR/ND/P/15151/07/2022</t>
  </si>
  <si>
    <t>MUL/MUL/F/MR/IMPORTS/P/37052/06/2022</t>
  </si>
  <si>
    <t>MUL/MUL/F/FR/ND/P/15209/08/2022</t>
  </si>
  <si>
    <t>MUL/MUL/F/MR/IMPORTS/P/37275/08/2022</t>
  </si>
  <si>
    <t>MUL/MUL/F/FR/ND/P/15284/08/2022</t>
  </si>
  <si>
    <t>MUL/MUL/F/MR/IMPORTS/P/37461/09/2022</t>
  </si>
  <si>
    <t>MUL/MUL/F/FR/ND/P/15323/08/2022</t>
  </si>
  <si>
    <t>MUL/MUL/F/MR/IMPORTS/P/37480/09/2022</t>
  </si>
  <si>
    <t>MUL/MUL/F/FR/ND/P/15377/08/2022</t>
  </si>
  <si>
    <t>MUL/MUL/F/MR/IMPORTS/P/37481/09/2022</t>
  </si>
  <si>
    <t>MUL/MUL/F/FR/ND/P/12619/10/2021</t>
  </si>
  <si>
    <t>MUL/MUL/F/MR/IMPORTS/P/37521/09/2022</t>
  </si>
  <si>
    <t>MUL/MUL/F/FR/ND/P/12634/10/2021</t>
  </si>
  <si>
    <t>MUL/MUL/F/MR/IMPORTS/P/37525/09/2022</t>
  </si>
  <si>
    <t>MUL/MUL/F/FR/ND/P/15960/09/2022</t>
  </si>
  <si>
    <t>MUL/MUL/F/FR/ND/P/13623/01/2022</t>
  </si>
  <si>
    <t>MUL/MUL/F/FR/ND/P/16135/09/2022</t>
  </si>
  <si>
    <t>MUL/MUL/F/FR/ND/P/12455/09/2021</t>
  </si>
  <si>
    <t>MUL/MUL/F/FR/ND/P/16182/09/2022</t>
  </si>
  <si>
    <t>MUL/MUL/F/FR/ND/P/13632/01/2022</t>
  </si>
  <si>
    <t>MUL/MUL/F/FR/ND/P/12980/11/2021</t>
  </si>
  <si>
    <t>MUL/MUL/F/FR/ND/P/13635/01/2022</t>
  </si>
  <si>
    <t>MUL/MUL/F/FR/ND/P/12985/11/2021</t>
  </si>
  <si>
    <t>MUL/MUL/F/FR/ND/P/13654/01/2022</t>
  </si>
  <si>
    <t>MUL/MUL/F/FR/ND/P/12993/11/2021</t>
  </si>
  <si>
    <t>MUL/MUL/F/FR/ND/P/12529/09/2021</t>
  </si>
  <si>
    <t>MUL/MUL/F/FR/ND/P/16826/11/2022</t>
  </si>
  <si>
    <t>MUL/MUL/F/FR/ND/P/13674/02/2022</t>
  </si>
  <si>
    <t>MUL/MUL/F/FR/ND/P/13018/11/2021</t>
  </si>
  <si>
    <t>MUL/MUL/F/FR/ND/P/13687/02/2022</t>
  </si>
  <si>
    <t>MUL/MUL/F/FR/ND/P/13025/11/2021</t>
  </si>
  <si>
    <t>MUL/MUL/F/FR/ND/P/13688/02/2022</t>
  </si>
  <si>
    <t>MUL/MUL/F/FR/ND/P/17162/12/2022</t>
  </si>
  <si>
    <t>MUL/MUL/F/FR/ND/P/12597/10/2021</t>
  </si>
  <si>
    <t>MUL/MUL/F/FR/ND/P/17396/01/2023</t>
  </si>
  <si>
    <t>MUL/MUL/F/FR/ND/P/13737/03/2022</t>
  </si>
  <si>
    <t>MUL/MUL/F/FR/ND/P/17591/02/2023</t>
  </si>
  <si>
    <t>MUL/MUL/F/FR/ND/P/13745/03/2022</t>
  </si>
  <si>
    <t>MUL/MUL/F/FR/ND/P/17936/03/2023</t>
  </si>
  <si>
    <t>MUL/MUL/F/FR/ND/P/13775/03/2022</t>
  </si>
  <si>
    <t>MUL/MUL/F/FR/ND/P/13092/11/2021</t>
  </si>
  <si>
    <t>MUL/MUL/F/FR/ND/P/13783/03/2022</t>
  </si>
  <si>
    <t>MUL/MUL/F/FR/ND/P/13103/11/2021</t>
  </si>
  <si>
    <t>MUL/MUL/F/FR/ND/P/13855/04/2022</t>
  </si>
  <si>
    <t>MUL/MUL/F/FR/ND/P/18201/03/2023</t>
  </si>
  <si>
    <t>MUL/MUL/F/MR/IMPORTS/P/39616/05/2023</t>
  </si>
  <si>
    <t>MUL/MUL/F/FR/ND/P/13116/11/2021</t>
  </si>
  <si>
    <t>MUL/MUL/F/MR/IMPORTS/P/39617/05/2023</t>
  </si>
  <si>
    <t>MUL/MUL/F/FR/ND/P/13125/11/2021</t>
  </si>
  <si>
    <t>MUL/MUL/F/MR/IMPORTS/P/39619/05/2023</t>
  </si>
  <si>
    <t>MUL/MUL/F/FR/ND/P/13205/12/2021</t>
  </si>
  <si>
    <t>MUL/MUL/F/MR/IMPORTS/P/39630/05/2023</t>
  </si>
  <si>
    <t>MUL/MUL/F/FR/ND/P/13240/12/2021</t>
  </si>
  <si>
    <t>MUL/MUL/F/MR/IMPORTS/P/39642/05/2023</t>
  </si>
  <si>
    <t>MUL/MUL/F/FR/ND/P/19481/08/2023</t>
  </si>
  <si>
    <t>MUL/MUL/F/MR/IMPORTS/P/39643/05/2023</t>
  </si>
  <si>
    <t>MUL/MUL/F/FR/ND/P/19489/08/2023</t>
  </si>
  <si>
    <t>MUL/MUL/F/MR/IMPORTS/P/39644/05/2023</t>
  </si>
  <si>
    <t>MUL/MUL/F/FR/ND/P/19516/08/2023</t>
  </si>
  <si>
    <t>MUL/MUL/F/MR/IMPORTS/P/39646/05/2023</t>
  </si>
  <si>
    <t>MUL/MUL/F/FR/ND/P/20154/09/2023</t>
  </si>
  <si>
    <t>MUL/MUL/F/MR/IMPORTS/P/40013/07/2023</t>
  </si>
  <si>
    <t>MUL/MUL/F/FR/ND/P/20318/10/2023</t>
  </si>
  <si>
    <t>MUL/MUL/F/MR/IMPORTS/P/40014/07/2023</t>
  </si>
  <si>
    <t>MUL/MUL/F/FR/ND/P/20601/11/2023</t>
  </si>
  <si>
    <t>MUL/MUL/F/FR/ND/P/13889/04/2022</t>
  </si>
  <si>
    <t>MUL/MUL/F/FR/ND/P/15167/07/2022</t>
  </si>
  <si>
    <t>MUL/MUL/F/FR/ND/P/13896/04/2022</t>
  </si>
  <si>
    <t>MUL/MUL/F/FR/ND/P/15318/08/2022</t>
  </si>
  <si>
    <t>MUL/MUL/F/FR/ND/P/15016/06/2022</t>
  </si>
  <si>
    <t>MUL/MUL/F/FR/ND/P/15756/09/2022</t>
  </si>
  <si>
    <t>MUL/MUL/F/FR/ND/P/15046/07/2022</t>
  </si>
  <si>
    <t>MUL/MUL/F/FR/ND/P/15924/09/2022</t>
  </si>
  <si>
    <t>MUL/MUL/F/MR/INLAND TRANSIT/P/34687/07/2021</t>
  </si>
  <si>
    <t>MUL/MUL/F/FR/ND/P/12964/11/2021</t>
  </si>
  <si>
    <t>MUL/MUL/F/MR/INLAND TRANSIT/P/34776/08/2021</t>
  </si>
  <si>
    <t>MUL/MUL/F/FR/ND/P/12523/09/2021</t>
  </si>
  <si>
    <t>MUL/MUL/F/MR/INLAND TRANSIT/P/35393/11/2021</t>
  </si>
  <si>
    <t>MUL/MUL/F/FR/ND/P/16818/11/2022</t>
  </si>
  <si>
    <t>MUL/MUL/F/MR/INLAND TRANSIT/P/35558/12/2021</t>
  </si>
  <si>
    <t>MUL/MUL/F/FR/ND/P/12465/09/2021</t>
  </si>
  <si>
    <t>MUL/MUL/F/MR/INLAND TRANSIT/P/35562/12/2021</t>
  </si>
  <si>
    <t>MUL/MUL/F/FR/ND/P/17391/01/2023</t>
  </si>
  <si>
    <t>MUL/MUL/F/MR/INLAND TRANSIT/P/35564/12/2021</t>
  </si>
  <si>
    <t>MUL/MUL/F/FR/ND/P/13081/11/2021</t>
  </si>
  <si>
    <t>MUL/MUL/F/MR/INLAND TRANSIT/P/35565/12/2021</t>
  </si>
  <si>
    <t>SKT/SKT/L/FR/ND/P/17985/03/2023</t>
  </si>
  <si>
    <t>MUL/MUL/F/MR/INLAND TRANSIT/P/35946/01/2022</t>
  </si>
  <si>
    <t>MUL/MUL/F/FR/ND/P/13114/11/2021</t>
  </si>
  <si>
    <t>MUL/MUL/F/MR/INLAND TRANSIT/P/36031/01/2022</t>
  </si>
  <si>
    <t>MUL/MUL/F/FR/ND/P/13196/12/2021</t>
  </si>
  <si>
    <t>MUL/MUL/F/MR/INLAND TRANSIT/P/36034/01/2022</t>
  </si>
  <si>
    <t>MUL/MUL/F/FR/ND/P/19251/07/2023</t>
  </si>
  <si>
    <t>MUL/MUL/F/MR/INLAND TRANSIT/P/36040/01/2022</t>
  </si>
  <si>
    <t>MUL/MUL/F/FR/ND/P/19508/08/2023</t>
  </si>
  <si>
    <t>MUL/MUL/F/MR/INLAND TRANSIT/P/36151/02/2022</t>
  </si>
  <si>
    <t>MUL/MUL/F/FR/ND/P/20286/09/2023</t>
  </si>
  <si>
    <t>MUL/MUL/F/MR/INLAND TRANSIT/P/37277/08/2022</t>
  </si>
  <si>
    <t>MUL/MUL/F/FR/ND/P/20822/11/2023</t>
  </si>
  <si>
    <t>MUL/MUL/F/MR/INLAND TRANSIT/P/37289/08/2022</t>
  </si>
  <si>
    <t>MUL/MUL/F/FR/ND/P/12611/10/2021</t>
  </si>
  <si>
    <t>MUL/MUL/F/MR/INLAND TRANSIT/P/37291/08/2022</t>
  </si>
  <si>
    <t>MUL/MUL/F/FR/ND/P/12637/10/2021</t>
  </si>
  <si>
    <t>MUL/MUL/F/MR/INLAND TRANSIT/P/37296/08/2022</t>
  </si>
  <si>
    <t>MUL/MUL/F/FR/ND/P/16647/11/2022</t>
  </si>
  <si>
    <t>MUL/MUL/F/MR/INLAND TRANSIT/P/37366/08/2022</t>
  </si>
  <si>
    <t>MUL/MUL/F/FR/ND/P/13059/11/2021</t>
  </si>
  <si>
    <t>MUL/MUL/F/MR/INLAND TRANSIT/P/39040/02/2023</t>
  </si>
  <si>
    <t>MUL/MUL/F/FR/ND/P/13086/11/2021</t>
  </si>
  <si>
    <t>MUL/MUL/F/MR/INLAND TRANSIT/P/39041/02/2023</t>
  </si>
  <si>
    <t>MUL/MUL/F/FR/ND/P/13122/11/2021</t>
  </si>
  <si>
    <t>MUL/MUL/F/FR/ND/P/12598/10/2021</t>
  </si>
  <si>
    <t>MUL/MUL/F/FR/ND/P/19487/08/2023</t>
  </si>
  <si>
    <t>MUL/MUL/F/FR/ND/P/15083/07/2022</t>
  </si>
  <si>
    <t>MUL/MUL/F/FR/ND/P/20343/10/2023</t>
  </si>
  <si>
    <t>MUL/MUL/F/FR/ND/P/15094/07/2022</t>
  </si>
  <si>
    <t>MUL/MUL/F/FR/ND/P/15901/09/2022</t>
  </si>
  <si>
    <t>MUL/MUL/F/FR/ND/P/15109/07/2022</t>
  </si>
  <si>
    <t>MUL/MUL/F/FR/ND/P/13007/11/2021</t>
  </si>
  <si>
    <t>MUL/MUL/F/MR/INLAND TRANSIT/P/39961/07/2023</t>
  </si>
  <si>
    <t>MUL/MUL/F/FR/ND/P/13112/11/2021</t>
  </si>
  <si>
    <t>MUL/MUL/F/MR/INLAND TRANSIT/P/40079/08/2023</t>
  </si>
  <si>
    <t>MUL/MUL/F/FR/ND/P/19630/08/2023</t>
  </si>
  <si>
    <t>MUL/MUL/F/MR/INLAND TRANSIT/P/40492/10/2023</t>
  </si>
  <si>
    <t>MUL/MUL/F/FR/ND/P/16543/10/2022</t>
  </si>
  <si>
    <t>MUL/MUL/F/MR/INLAND TRANSIT/P/40577/10/2023</t>
  </si>
  <si>
    <t>MUL/MUL/F/FR/ND/P/12487/09/2021</t>
  </si>
  <si>
    <t>MUL/MUL/L/FR/ND/P/19217/06/2023</t>
  </si>
  <si>
    <t>MUL/MUL/F/FR/ND/P/17583/02/2023</t>
  </si>
  <si>
    <t>MUL/MUL/L/MI/CT/P/2871/06/2023</t>
  </si>
  <si>
    <t>MUL/MUL/F/FR/ND/P/15282/08/2022</t>
  </si>
  <si>
    <t>SKT/SKT/D/MR/EXPORTS/P/43444/09/2024</t>
  </si>
  <si>
    <t>KHI/HO/D/MO/PC COMP/P/54805/06/2021</t>
  </si>
  <si>
    <t>KHI/HO/D/MI/TRI/P/9106/02/2023</t>
  </si>
  <si>
    <t>KHI/HO/D/MI/TRI/P/9995/07/2023</t>
  </si>
  <si>
    <t>KHI/HO/D/MI/TRI/P/9837/06/2023</t>
  </si>
  <si>
    <t>KHI/HO/D/MO/PC COMP/C/89983/3/05/2024</t>
  </si>
  <si>
    <t>KHI/HO/D/MO/PC COMP/C/85398/5/03/2024</t>
  </si>
  <si>
    <t>KHI/HO/D/MI/TRI/P/10421/09/2024</t>
  </si>
  <si>
    <t>KHI/HO/D/MO/PC COMP/C/89983/2/05/2024</t>
  </si>
  <si>
    <t>KHI/HO/D/MO/PC COMP/C/89983/1/05/2024</t>
  </si>
  <si>
    <t>KHI/HO/D/MI/TRI/P/10035/08/2023</t>
  </si>
  <si>
    <t>KHI/HO/D/MO/PC COMP/C/85398/3/03/2024</t>
  </si>
  <si>
    <t>KHI/HO/D/MO/PC COMP/C/85398/4/03/2024</t>
  </si>
  <si>
    <t>KHI/HO/D/MO/PC COMP/C/87443/5/04/2024</t>
  </si>
  <si>
    <t>KHI/HO/D/MO/PC COMP/C/95101/1/08/2024</t>
  </si>
  <si>
    <t>KHI/HO/D/MI/TRI/P/9857/06/2023</t>
  </si>
  <si>
    <t>KHI/HO/D/MO/PC COMP/C/93631/4/07/2024</t>
  </si>
  <si>
    <t>KHI/HO/D/MI/TRI/P/6418/11/2022</t>
  </si>
  <si>
    <t>KHI/HO/D/MI/TRI/P/6417/11/2022</t>
  </si>
  <si>
    <t>KHI/HO/D/MI/TRI/P/6416/11/2022</t>
  </si>
  <si>
    <t>KHI/HO/D/MI/TRI/P/9910/06/2023</t>
  </si>
  <si>
    <t>KHI/HO/D/MO/PC COMP/C/90006/5/05/2024</t>
  </si>
  <si>
    <t>KHI/HO/D/MO/PC COMP/C/90006/7/05/2024</t>
  </si>
  <si>
    <t>KHI/HO/D/MI/TRI/P/9868/06/2023</t>
  </si>
  <si>
    <t>KHI/HO/D/MI/TRI/P/9867/06/2023</t>
  </si>
  <si>
    <t>KHI/HO/D/MO/PC COMP/C/81879/4/01/2024</t>
  </si>
  <si>
    <t>KHI/HO/D/MO/PC COMP/C/85399/3/03/2024</t>
  </si>
  <si>
    <t>KHI/HO/D/MO/PC COMP/C/97068/1/09/2024</t>
  </si>
  <si>
    <t>KHI/HO/D/MO/PC COMP/C/83424/3/02/2024</t>
  </si>
  <si>
    <t>KHI/HO/D/MO/PC COMP/C/89985/1/05/2024</t>
  </si>
  <si>
    <t>KHI/HO/D/MO/PC COMP/C/89985/3/05/2024</t>
  </si>
  <si>
    <t>KHI/HO/D/MO/PC COMP/C/97067/1/09/2024</t>
  </si>
  <si>
    <t>KHI/HO/D/MO/PC COMP/C/87443/4/04/2024</t>
  </si>
  <si>
    <t>KHI/HO/D/MO/PC COMP/C/87443/1/04/2024</t>
  </si>
  <si>
    <t>KHI/HO/D/MO/PC COMP/C/92047/2/06/2024</t>
  </si>
  <si>
    <t>KHI/HO/D/MO/PC COMP/C/92047/1/06/2024</t>
  </si>
  <si>
    <t>KHI/HO/D/MI/TRI/P/1565/06/2022</t>
  </si>
  <si>
    <t>KHI/HO/D/MO/PC COMP/C/90005/2/05/2024</t>
  </si>
  <si>
    <t>KHI/HO/D/MO/PC COMP/C/90007/1/05/2024</t>
  </si>
  <si>
    <t>KHI/HO/D/MO/PC COMP/C/85398/1/03/2024</t>
  </si>
  <si>
    <t>KHI/HO/D/HLGRP HEALTH/P/1529/04/2022</t>
  </si>
  <si>
    <t>KHI/HO/D/MO/PC COMP/C/77973/100/11/2023</t>
  </si>
  <si>
    <t>KHI/HO/D/HLGRP HEALTH/P/2682/09/2023</t>
  </si>
  <si>
    <t>KHI/HO/D/FR/ND/P/22067/04/2024</t>
  </si>
  <si>
    <t>KHI/HO/D/MO/PC COMP/C/82214/1/01/2024</t>
  </si>
  <si>
    <t>KHI/HO/D/FR/ND/P/22513/06/2024</t>
  </si>
  <si>
    <t>KHI/HO/D/MO/PC COMP/C/82215/11/01/2024</t>
  </si>
  <si>
    <t>KHI/HO/D/MO/PC COMP/C/71203/13/05/2023</t>
  </si>
  <si>
    <t>KHI/HO/D/MO/PC COMP/C/82215/12/01/2024</t>
  </si>
  <si>
    <t>FSD/FSD/D/MR/IMPORTS/P/43371/09/2024</t>
  </si>
  <si>
    <t>KHI/HO/D/MO/PC COMP/C/82215/3/01/2024</t>
  </si>
  <si>
    <t>FSD/FSD/D/FR/ND/P/17171/12/2022</t>
  </si>
  <si>
    <t>KHI/HO/D/MO/PC COMP/C/82335/234/01/2024</t>
  </si>
  <si>
    <t>KHI/HO/D/HLGRP HEALTH/P/1430/02/2022</t>
  </si>
  <si>
    <t>KHI/HO/D/MO/PC COMP/C/82442/1/01/2024</t>
  </si>
  <si>
    <t>KHI/HO/D/HLGRP HEALTH/P/1679/07/2022</t>
  </si>
  <si>
    <t>KHI/HO/D/MO/PC COMP/C/82587/276/01/2024</t>
  </si>
  <si>
    <t>KHI/HO/D/MO/PC COMP/C/72136/81/06/2023</t>
  </si>
  <si>
    <t>KHI/HO/D/MO/PC COMP/C/82917/9/02/2024</t>
  </si>
  <si>
    <t>KHI/HO/D/MO/PC COMP/C/73571/280/08/2023</t>
  </si>
  <si>
    <t>KHI/HO/D/MO/PC COMP/C/83022/1/02/2024</t>
  </si>
  <si>
    <t>KHI/HO/D/MO/PC COMP/C/74098/217/08/2023</t>
  </si>
  <si>
    <t>KHI/HO/D/HLGRP HEALTH/P/3072/02/2024</t>
  </si>
  <si>
    <t>KHI/HO/D/MO/PC COMP/C/75858/150/09/2023</t>
  </si>
  <si>
    <t>KHI/HO/D/HLGRP HEALTH/P/1731/08/2022</t>
  </si>
  <si>
    <t>KHI/HO/D/MO/PC COMP/C/76438/13/10/2023</t>
  </si>
  <si>
    <t>KHI/HO/D/MO/PC COMP/C/83428/11/02/2024</t>
  </si>
  <si>
    <t>KHI/HO/D/MO/PC COMP/C/86138/158/03/2024</t>
  </si>
  <si>
    <t>KHI/HO/D/MO/PC COMP/C/83428/8/02/2024</t>
  </si>
  <si>
    <t>KHI/HO/D/MO/PC COMP/C/77973/192/11/2023</t>
  </si>
  <si>
    <t>KHI/HO/D/MO/PC COMP/C/83428/9/02/2024</t>
  </si>
  <si>
    <t>KHI/HO/D/MO/PC COMP/C/77973/33/11/2023</t>
  </si>
  <si>
    <t>KHI/HO/D/MO/PC COMP/C/83429/15/02/2024</t>
  </si>
  <si>
    <t>KHI/HO/D/MO/PC COMP/C/78152/22/11/2023</t>
  </si>
  <si>
    <t>KHI/HO/D/MO/PC COMP/C/83429/6/02/2024</t>
  </si>
  <si>
    <t>KHI/HO/D/FR/ND/P/17967/03/2023</t>
  </si>
  <si>
    <t>KHI/HO/D/HLGRP HEALTH/P/1747/09/2022</t>
  </si>
  <si>
    <t>KHI/HO/D/MO/PC COMP/C/81049/9/01/2024</t>
  </si>
  <si>
    <t>KHI/HO/D/MO/PC COMP/C/84011/8/02/2024</t>
  </si>
  <si>
    <t>KHI/HO/D/MO/PC COMP/C/100718/1/10/2024</t>
  </si>
  <si>
    <t>KHI/HO/D/MO/PC COMP/C/84019/117/02/2024</t>
  </si>
  <si>
    <t>KHI/HO/D/MI/CT/P/3082/08/2023</t>
  </si>
  <si>
    <t>KHI/HO/D/MO/PC COMP/C/84360/3/02/2024</t>
  </si>
  <si>
    <t>KHI/HO/D/MO/MC COMP/P/91660/06/2024</t>
  </si>
  <si>
    <t>KHI/HO/D/MO/PC COMP/C/84602/2/02/2024</t>
  </si>
  <si>
    <t>KHI/HO/D/MO/PC COMP/C/72988/249/07/2023</t>
  </si>
  <si>
    <t>KHI/HO/D/MO/PC COMP/C/85327/1/03/2024</t>
  </si>
  <si>
    <t>KHI/HO/D/MO/PC COMP/C/74283/10/08/2023</t>
  </si>
  <si>
    <t>KHI/HO/D/MO/PC COMP/C/85373/10/03/2024</t>
  </si>
  <si>
    <t>KHI/HO/D/MO/PC COMP/C/77949/13/11/2023</t>
  </si>
  <si>
    <t>KHI/HO/D/MO/PC COMP/C/85373/13/03/2024</t>
  </si>
  <si>
    <t>KHI/HO/D/MO/PC COMP/C/77973/287/11/2023</t>
  </si>
  <si>
    <t>KHI/HO/D/MO/PC COMP/C/85373/3/03/2024</t>
  </si>
  <si>
    <t>KHI/HO/D/MO/PC COMP/C/78152/8/11/2023</t>
  </si>
  <si>
    <t>KHI/HO/D/MO/PC COMP/C/85373/6/03/2024</t>
  </si>
  <si>
    <t>KHI/HO/D/FR/ND/P/22080/04/2024</t>
  </si>
  <si>
    <t>KHI/HO/D/MO/PC COMP/C/85373/9/03/2024</t>
  </si>
  <si>
    <t>KHI/HO/D/MO/PC COMP/C/85944/105/03/2024</t>
  </si>
  <si>
    <t>KHI/HO/D/MO/PC COMP/C/85390/2/03/2024</t>
  </si>
  <si>
    <t>FSD/FSD/F/MI/CT/P/4626/08/2024</t>
  </si>
  <si>
    <t>KHI/HO/D/MO/PC COMP/C/85390/3/03/2024</t>
  </si>
  <si>
    <t>KHI/HO/D/MO/PC COMP/C/77973/12/11/2023</t>
  </si>
  <si>
    <t>KHI/HO/D/FR/ND/P/16850/11/2022</t>
  </si>
  <si>
    <t>KHI/HO/D/MO/PC COMP/C/80441/55/12/2023</t>
  </si>
  <si>
    <t>KHI/HO/D/FR/CMFTP/13831/04/2022</t>
  </si>
  <si>
    <t>KHI/HO/D/MO/PC COMP/C/71697/28/06/2023</t>
  </si>
  <si>
    <t>KHI/HO/D/MO/PC COMP/C/77973/426/11/2023</t>
  </si>
  <si>
    <t>KHI/HO/D/MI/CRP/C/2713/08/2024</t>
  </si>
  <si>
    <t>KHI/HO/D/MO/PC COMP/C/76429/39/10/2023</t>
  </si>
  <si>
    <t>KHI/HO/D/MI/CRP/C/2715/08/2024</t>
  </si>
  <si>
    <t>KHI/HO/D/HLGRP HEALTH/P/2542/06/2023</t>
  </si>
  <si>
    <t>KHI/HO/D/MO/PC COMP/C/87875/116/04/2024</t>
  </si>
  <si>
    <t>KHI/HO/F/MR/IMPORTS/C/18020/04/2023</t>
  </si>
  <si>
    <t>KHI/HO/D/MO/PC COMP/C/87875/66/04/2024</t>
  </si>
  <si>
    <t>KHI/HO/D/MO/PC COMP/C/88600/2/05/2024</t>
  </si>
  <si>
    <t>KHI/HO/D/MO/PC COMP/C/87875/153/04/2024</t>
  </si>
  <si>
    <t>KHI/HO/D/MO/PC COMP/C/95516/2/08/2024</t>
  </si>
  <si>
    <t>KHI/HO/D/MO/PC COMP/C/88466/2/05/2024</t>
  </si>
  <si>
    <t>KHI/HO/D/MO/PC COMP/C/87790/2/04/2024</t>
  </si>
  <si>
    <t>KHI/HO/D/MO/PC COMP/C/88600/1/05/2024</t>
  </si>
  <si>
    <t>KHI/HO/D/MO/PC COMP/C/95518/2/08/2024</t>
  </si>
  <si>
    <t>KHI/HO/D/MO/PC COMP/C/87875/87/04/2024</t>
  </si>
  <si>
    <t>KHI/HO/D/MO/PC COMP/C/88600/6/05/2024</t>
  </si>
  <si>
    <t>KHI/HO/D/MO/PC COMP/C/87799/2/04/2024</t>
  </si>
  <si>
    <t>KHI/HO/D/MO/PC COMP/C/87875/109/04/2024</t>
  </si>
  <si>
    <t>KHI/HO/D/MO/PC COMP/C/88601/5/05/2024</t>
  </si>
  <si>
    <t>KHI/HO/D/MO/PC COMP/C/88197/134/04/2024</t>
  </si>
  <si>
    <t>KHI/HO/D/MO/PC COMP/C/88604/1/05/2024</t>
  </si>
  <si>
    <t>KHI/HO/D/MO/PC COMP/C/88604/4/05/2024</t>
  </si>
  <si>
    <t>KHI/HO/D/MO/PC COMP/C/87617/18/04/2024</t>
  </si>
  <si>
    <t>KHI/HO/D/MO/PC COMP/C/97805/146/09/2024</t>
  </si>
  <si>
    <t>KHI/HO/D/MO/PC COMP/C/97805/180/09/2024</t>
  </si>
  <si>
    <t>KHI/HO/D/MO/PC COMP/C/87617/5/04/2024</t>
  </si>
  <si>
    <t>KHI/HO/D/MO/PC COMP/P/87881/04/2024</t>
  </si>
  <si>
    <t>KHI/HO/D/MO/PC COMP/C/97805/220/09/2024</t>
  </si>
  <si>
    <t>KHI/HO/D/MO/PC COMP/C/87689/1/04/2024</t>
  </si>
  <si>
    <t>KHI/HO/D/MO/PC COMP/C/97805/280/09/2024</t>
  </si>
  <si>
    <t>KHI/HO/D/MO/PC COMP/C/87710/1/04/2024</t>
  </si>
  <si>
    <t>KHI/HO/D/MO/PC COMP/C/87715/7/04/2024</t>
  </si>
  <si>
    <t>KHI/HO/D/MO/PC COMP/C/87875/167/04/2024</t>
  </si>
  <si>
    <t>KHI/HO/D/MO/PC COMP/C/87861/8/04/2024</t>
  </si>
  <si>
    <t>KHI/HO/D/MO/PC COMP/C/97805/52/09/2024</t>
  </si>
  <si>
    <t>KHI/HO/D/MO/PC COMP/C/87772/1/04/2024</t>
  </si>
  <si>
    <t>KHI/HO/D/MO/PC COMP/C/87772/2/04/2024</t>
  </si>
  <si>
    <t>KHI/HO/D/MO/PC COMP/C/97805/76/09/2024</t>
  </si>
  <si>
    <t>KHI/HO/D/MO/PC COMP/C/87875/169/04/2024</t>
  </si>
  <si>
    <t>KHI/HO/D/MO/PC COMP/C/87875/170/04/2024</t>
  </si>
  <si>
    <t>KHI/HO/D/MO/PC COMP/C/90833/219/06/2024</t>
  </si>
  <si>
    <t>KHI/HO/D/MO/PC COMP/C/88615/2/05/2024</t>
  </si>
  <si>
    <t>KHI/HO/D/MO/PC COMP/P/95752/08/2024</t>
  </si>
  <si>
    <t>KHI/HO/D/MO/PC COMP/C/88615/3/05/2024</t>
  </si>
  <si>
    <t>KHI/HO/D/MO/PC COMP/C/87875/191/04/2024</t>
  </si>
  <si>
    <t>KHI/HO/D/MO/PC COMP/C/87875/41/04/2024</t>
  </si>
  <si>
    <t>KHI/HO/D/MO/PC COMP/C/87777/3/04/2024</t>
  </si>
  <si>
    <t>KHI/HO/D/MO/PC COMP/C/89428/144/05/2024</t>
  </si>
  <si>
    <t>KHI/HO/D/MO/PC COMP/C/87875/46/04/2024</t>
  </si>
  <si>
    <t>KHI/HO/D/MO/PC COMP/C/87875/51/04/2024</t>
  </si>
  <si>
    <t>KHI/HO/D/MO/PC COMP/C/87875/121/04/2024</t>
  </si>
  <si>
    <t>KHI/HO/D/MO/PC COMP/C/87875/135/04/2024</t>
  </si>
  <si>
    <t>KHI/HO/D/MO/PC COMP/C/87875/11/04/2024</t>
  </si>
  <si>
    <t>KHI/HO/D/MO/PC COMP/C/90919/160/06/2024</t>
  </si>
  <si>
    <t>KHI/HO/D/MO/PC COMP/C/95518/12/08/2024</t>
  </si>
  <si>
    <t>KHI/HO/D/MO/PC COMP/C/87875/139/04/2024</t>
  </si>
  <si>
    <t>KHI/HO/D/MO/PC COMP/C/88600/5/05/2024</t>
  </si>
  <si>
    <t>KHI/HO/D/MO/PC COMP/C/91563/11/06/2024</t>
  </si>
  <si>
    <t>KHI/HO/D/MO/PC COMP/C/88601/4/05/2024</t>
  </si>
  <si>
    <t>KHI/HO/D/MO/PC COMP/C/91563/15/06/2024</t>
  </si>
  <si>
    <t>KHI/HO/D/MO/PC COMP/C/88604/3/05/2024</t>
  </si>
  <si>
    <t>KHI/HO/D/MO/PC COMP/C/91563/17/06/2024</t>
  </si>
  <si>
    <t>KHI/HO/D/MO/PC COMP/C/87617/20/04/2024</t>
  </si>
  <si>
    <t>KHI/HO/D/MO/PC COMP/C/97805/195/09/2024</t>
  </si>
  <si>
    <t>KHI/HO/D/MO/PC COMP/C/97805/223/09/2024</t>
  </si>
  <si>
    <t>KHI/HO/D/MO/PC COMP/C/87689/3/04/2024</t>
  </si>
  <si>
    <t>KHI/HO/D/MO/PC COMP/C/97805/44/09/2024</t>
  </si>
  <si>
    <t>KHI/HO/D/MO/PC COMP/C/87785/3/04/2024</t>
  </si>
  <si>
    <t>KHI/HO/D/MO/PC COMP/C/87875/108/04/2024</t>
  </si>
  <si>
    <t>KHI/HO/D/MO/PC COMP/C/91563/18/06/2024</t>
  </si>
  <si>
    <t>KHI/HO/D/MO/PC COMP/C/91563/2/06/2024</t>
  </si>
  <si>
    <t>KHI/HO/D/MO/PC COMP/C/87777/2/04/2024</t>
  </si>
  <si>
    <t>KHI/HO/D/MO/PC COMP/C/91563/7/06/2024</t>
  </si>
  <si>
    <t>KHI/HO/D/MO/PC COMP/C/87875/2/04/2024</t>
  </si>
  <si>
    <t>KHI/HO/D/MO/PC COMP/C/91948/18/06/2024</t>
  </si>
  <si>
    <t>KHI/HO/D/MO/PC COMP/C/89142/1/05/2024</t>
  </si>
  <si>
    <t>KHI/HO/D/MO/PC COMP/C/91972/1/06/2024</t>
  </si>
  <si>
    <t>KHI/HO/D/MO/PC COMP/C/87875/47/04/2024</t>
  </si>
  <si>
    <t>KHI/HO/D/MO/PC COMP/C/91973/1/06/2024</t>
  </si>
  <si>
    <t>KHI/HO/D/MO/PC COMP/C/87875/52/04/2024</t>
  </si>
  <si>
    <t>KHI/HO/D/MO/PC COMP/C/87875/147/04/2024</t>
  </si>
  <si>
    <t>KHI/HO/D/MO/PC COMP/C/87875/1/04/2024</t>
  </si>
  <si>
    <t>KHI/HO/D/MR/EXPORTS/P/40332/09/2023</t>
  </si>
  <si>
    <t>KHI/HO/D/MO/PC COMP/C/95513/10/08/2024</t>
  </si>
  <si>
    <t>KHI/HO/D/MO/PC COMP/C/87876/12/04/2024</t>
  </si>
  <si>
    <t>KHI/HO/D/MO/PC COMP/C/88600/8/05/2024</t>
  </si>
  <si>
    <t>KHI/HO/D/MO/PC COMP/C/87875/151/04/2024</t>
  </si>
  <si>
    <t>KHI/HO/D/MO/PC COMP/C/87617/10/04/2024</t>
  </si>
  <si>
    <t>KHI/HO/D/MO/PC COMP/C/87911/4/04/2024</t>
  </si>
  <si>
    <t>KHI/HO/D/MO/PC COMP/C/87617/8/04/2024</t>
  </si>
  <si>
    <t>KHI/HO/D/MO/PC COMP/C/92800/2/07/2024</t>
  </si>
  <si>
    <t>KHI/HO/D/MO/PC COMP/C/97805/322/09/2024</t>
  </si>
  <si>
    <t>KHI/HO/D/MO/PC COMP/C/92800/9/07/2024</t>
  </si>
  <si>
    <t>KHI/HO/D/MO/PC COMP/C/98270/2/09/2024</t>
  </si>
  <si>
    <t>KHI/HO/D/MO/PC COMP/C/87911/5/04/2024</t>
  </si>
  <si>
    <t>KHI/HO/D/MO/PC COMP/C/88615/1/05/2024</t>
  </si>
  <si>
    <t>KHI/HO/D/MR/IMPORTS/P/38798/01/2023</t>
  </si>
  <si>
    <t>KHI/HO/D/MO/PD COMP/P/66017/12/2022</t>
  </si>
  <si>
    <t>KHI/HO/D/MO/PC COMP/C/87785/2/04/2024</t>
  </si>
  <si>
    <t>KHI/HO/D/MR/IMPORTS/P/40949/11/2023</t>
  </si>
  <si>
    <t>KHI/HO/D/MO/PC COMP/C/87875/53/04/2024</t>
  </si>
  <si>
    <t>KHI/HO/D/MO/PC COMP/C/92801/3/07/2024</t>
  </si>
  <si>
    <t>KHI/HO/D/MO/PC COMP/C/88603/3/05/2024</t>
  </si>
  <si>
    <t>KHI/HO/D/MR/IMPORTS/P/43657/10/2024</t>
  </si>
  <si>
    <t>KHI/HO/D/MO/PC COMP/C/97805/278/09/2024</t>
  </si>
  <si>
    <t>KHI/HO/D/MO/PC COMP/C/93577/172/07/2024</t>
  </si>
  <si>
    <t>KHI/HO/D/MO/PC COMP/C/87875/118/04/2024</t>
  </si>
  <si>
    <t>KHI/HO/D/MO/PC COMP/C/87780/6/04/2024</t>
  </si>
  <si>
    <t>KHI/HO/F/EG/EAR/P/1018/09/2023</t>
  </si>
  <si>
    <t>KHI/HO/D/MO/PC COMP/C/87791/2/04/2024</t>
  </si>
  <si>
    <t>KHI/HO/F/FR/CMFTP/19010/06/2023</t>
  </si>
  <si>
    <t>KHI/HO/D/MO/PC COMP/C/87723/2/04/2024</t>
  </si>
  <si>
    <t>KHI/HO/F/MI/TRR/P/242/08/2023</t>
  </si>
  <si>
    <t>KHI/HO/F/MR/IMPORTS/C/16841/05/2022</t>
  </si>
  <si>
    <t>KHI/HO/D/MO/PC COMP/C/87875/19/04/2024</t>
  </si>
  <si>
    <t>KHI/HO/D/MO/PC COMP/C/88197/13/04/2024</t>
  </si>
  <si>
    <t>KHI/HO/D/MO/PC COMP/C/97805/15/09/2024</t>
  </si>
  <si>
    <t>KHI/HO/F/MR/IMPORTS/C/16947/06/2022</t>
  </si>
  <si>
    <t>LHR/LHR/F/MO/PC COMP/P/59622/03/2022</t>
  </si>
  <si>
    <t>LHR/LHR/F/MO/PC COMP/P/83701/02/2024</t>
  </si>
  <si>
    <t>KHI/HO/F/MR/IMPORTS/P/38678/01/2023</t>
  </si>
  <si>
    <t>LHR/LHR/F/MO/PC COMP/P/83651/02/2024</t>
  </si>
  <si>
    <t>LHR/LHR/F/MO/PC COMP/P/83675/02/2024</t>
  </si>
  <si>
    <t>LHR/LHR/D/MR/IMPORTS/P/39549/05/2023</t>
  </si>
  <si>
    <t>LHR/LHR/F/MO/PC COMP/P/83691/02/2024</t>
  </si>
  <si>
    <t>LHR/LHR/D/MR/INLAND TRANSIT/P/43196/08/2024</t>
  </si>
  <si>
    <t>LHR/LHR/F/MO/PC COMP/P/83705/02/2024</t>
  </si>
  <si>
    <t>KHI/HO/F/MR/IMPORTS/P/38690/01/2023</t>
  </si>
  <si>
    <t>LHR/LHR/F/MO/PC COMP/P/83929/02/2024</t>
  </si>
  <si>
    <t>LHR/LHR/F/FR/LOP/P/17940/03/2023</t>
  </si>
  <si>
    <t>LHR/LHR/F/MO/PC COMP/P/84369/02/2024</t>
  </si>
  <si>
    <t>KHI/HO/F/MR/IMPORTS/P/38705/01/2023</t>
  </si>
  <si>
    <t>LHR/LHR/D/FR/ND/P/15039/07/2022</t>
  </si>
  <si>
    <t>LHR/LHR/F/FR/ND/P/16502/10/2022</t>
  </si>
  <si>
    <t>LHR/LHR/D/FR/ND/P/19299/07/2023</t>
  </si>
  <si>
    <t>KHI/HO/F/MR/IMPORTS/P/38754/01/2023</t>
  </si>
  <si>
    <t>LHR/LHR/F/MO/CV/P/59683/03/2022</t>
  </si>
  <si>
    <t>LHR/LHR/F/EG/EET/P/1052/10/2023</t>
  </si>
  <si>
    <t>KHI/HO/F/MR/IMPORTS/P/38697/01/2023</t>
  </si>
  <si>
    <t>KHI/HO/F/MR/IMPORTS/P/38806/01/2023</t>
  </si>
  <si>
    <t>KHI/HO/F/MR/IMPORTS/P/38698/01/2023</t>
  </si>
  <si>
    <t>KHI/HO/F/MR/IMPORTS/P/38809/01/2023</t>
  </si>
  <si>
    <t>LHR/LHR/F/FR/ND/P/16501/10/2022</t>
  </si>
  <si>
    <t>LHR/LHR/D/MO/PC COMP/P/77385/10/2023</t>
  </si>
  <si>
    <t>KHI/HO/F/MR/IMPORTS/P/38808/01/2023</t>
  </si>
  <si>
    <t>KHI/HO/F/MR/IMPORTS/P/42894/06/2024</t>
  </si>
  <si>
    <t>KHI/HO/F/MR/IMPORTS/P/42815/06/2024</t>
  </si>
  <si>
    <t>KHI/HO/F/MR/IMPORTS/P/42915/06/2024</t>
  </si>
  <si>
    <t>KHI/HO/F/MR/IMPORTS/P/38753/01/2023</t>
  </si>
  <si>
    <t>KHI/HO/F/MR/IMPORTS/P/42921/06/2024</t>
  </si>
  <si>
    <t>LHR/LHR/F/MO/CV/P/59679/03/2022</t>
  </si>
  <si>
    <t>KHI/HO/F/MR/IMPORTS/P/42940/06/2024</t>
  </si>
  <si>
    <t>LHR/LHR/F/MO/CV/P/84237/02/2024</t>
  </si>
  <si>
    <t>KHI/HO/F/MR/IMPORTS/P/42950/06/2024</t>
  </si>
  <si>
    <t>MUL/F/FR/ND/P/4563/06/2010</t>
  </si>
  <si>
    <t>LHR/LHR/F/MO/PC COMP/P/63771/09/2022</t>
  </si>
  <si>
    <t>MUL/MUL/D/MO/PC COMP/P/73470/07/2023</t>
  </si>
  <si>
    <t>LHR/LHR/F/MO/PC COMP/P/63959/09/2022</t>
  </si>
  <si>
    <t>MUL/MUL/F/EG/BPV/P/741/01/2022</t>
  </si>
  <si>
    <t>LHR/LHR/F/MO/PC COMP/P/63961/09/2022</t>
  </si>
  <si>
    <t>MUL/MUL/F/EG/BPV/P/846/10/2022</t>
  </si>
  <si>
    <t>LHR/LHR/F/MO/PC COMP/P/68117/02/2023</t>
  </si>
  <si>
    <t>MUL/MUL/F/EG/BPV/P/908/03/2023</t>
  </si>
  <si>
    <t>LHR/LHR/F/MO/PC COMP/P/69708/04/2023</t>
  </si>
  <si>
    <t>MUL/MUL/F/EG/EET/P/924/03/2023</t>
  </si>
  <si>
    <t>LHR/LHR/F/MO/PC COMP/P/70283/05/2023</t>
  </si>
  <si>
    <t>MUL/MUL/F/EG/EET/P/995/08/2023</t>
  </si>
  <si>
    <t>LHR/LHR/F/MO/PC COMP/P/70294/05/2023</t>
  </si>
  <si>
    <t>LHR/LHR/D/MI/CRP/C/530/07/2023</t>
  </si>
  <si>
    <t>LHR/LHR/F/MO/PC COMP/P/70479/05/2023</t>
  </si>
  <si>
    <t>MUL/MUL/F/EG/MBD/P/736/01/2022</t>
  </si>
  <si>
    <t>LHR/LHR/F/MO/PC COMP/P/70504/05/2023</t>
  </si>
  <si>
    <t>LHR/LHR/D/MI/CRP/C/544/07/2023</t>
  </si>
  <si>
    <t>LHR/LHR/F/MO/PC COMP/P/70786/05/2023</t>
  </si>
  <si>
    <t>LHR/LHR/D/MI/CRP/C/545/07/2023</t>
  </si>
  <si>
    <t>LHR/LHR/F/MO/PC COMP/P/70871/05/2023</t>
  </si>
  <si>
    <t>LHR/LHR/D/MI/CRP/C/547/07/2023</t>
  </si>
  <si>
    <t>LHR/LHR/F/MO/PC COMP/P/70873/05/2023</t>
  </si>
  <si>
    <t>LHR/LHR/D/MI/CRP/C/552/07/2023</t>
  </si>
  <si>
    <t>LHR/LHR/F/MO/PC COMP/P/71148/05/2023</t>
  </si>
  <si>
    <t>MUL/MUL/F/EG/MBD/P/804/08/2022</t>
  </si>
  <si>
    <t>LHR/LHR/F/MO/PC COMP/P/71231/05/2023</t>
  </si>
  <si>
    <t>MUL/MUL/F/EG/MBD/P/811/09/2022</t>
  </si>
  <si>
    <t>LHR/LHR/F/MO/PC COMP/P/71385/05/2023</t>
  </si>
  <si>
    <t>LHR/LHR/D/MI/CRP/C/554/07/2023</t>
  </si>
  <si>
    <t>LHR/LHR/F/MO/PC COMP/P/71450/05/2023</t>
  </si>
  <si>
    <t>MUL/MUL/F/EG/MBD/P/834/10/2022</t>
  </si>
  <si>
    <t>LHR/LHR/F/MO/PC COMP/P/71453/05/2023</t>
  </si>
  <si>
    <t>MUL/MUL/F/EG/MBD/P/835/10/2022</t>
  </si>
  <si>
    <t>LHR/LHR/F/MO/PC COMP/P/71819/06/2023</t>
  </si>
  <si>
    <t>LHR/LHR/D/MI/CRP/C/555/07/2023</t>
  </si>
  <si>
    <t>LHR/LHR/F/MO/PC COMP/P/71891/06/2023</t>
  </si>
  <si>
    <t>MUL/MUL/F/EG/MBD/P/862/12/2022</t>
  </si>
  <si>
    <t>LHR/LHR/F/MO/PC COMP/P/72122/06/2023</t>
  </si>
  <si>
    <t>LHR/LHR/D/MI/CRP/C/558/07/2023</t>
  </si>
  <si>
    <t>LHR/LHR/F/MO/PC COMP/P/73013/07/2023</t>
  </si>
  <si>
    <t>MUL/MUL/F/EG/MBD/P/895/03/2023</t>
  </si>
  <si>
    <t>LHR/LHR/F/MO/PC COMP/P/82974/02/2024</t>
  </si>
  <si>
    <t>MUL/MUL/F/EG/MBD/P/896/03/2023</t>
  </si>
  <si>
    <t>LHR/LHR/F/MO/PC COMP/P/83365/02/2024</t>
  </si>
  <si>
    <t>MUL/MUL/F/EG/MBD/P/902/03/2023</t>
  </si>
  <si>
    <t>LHR/LHR/F/MO/PC COMP/P/83574/02/2024</t>
  </si>
  <si>
    <t>MUL/MUL/F/EG/MBD/P/904/03/2023</t>
  </si>
  <si>
    <t>LHR/LHR/F/MO/PC COMP/P/83581/02/2024</t>
  </si>
  <si>
    <t>MUL/MUL/F/EG/MBD/P/912/03/2023</t>
  </si>
  <si>
    <t>LHR/LHR/F/MO/PC COMP/P/83616/02/2024</t>
  </si>
  <si>
    <t>MUL/MUL/F/EG/MBD/P/916/03/2023</t>
  </si>
  <si>
    <t>LHR/LHR/F/MO/PC COMP/P/83618/02/2024</t>
  </si>
  <si>
    <t>MUL/MUL/F/EG/MBD/P/932/03/2023</t>
  </si>
  <si>
    <t>LHR/LHR/F/MO/PC COMP/P/83647/02/2024</t>
  </si>
  <si>
    <t>MUL/MUL/F/EG/MBD/P/975/06/2023</t>
  </si>
  <si>
    <t>KHI/HO/F/MR/IMPORTS/P/38668/01/2023</t>
  </si>
  <si>
    <t>LHR/LHR/D/MI/CRP/C/565/07/2023</t>
  </si>
  <si>
    <t>KHI/HO/F/MR/IMPORTS/P/42916/06/2024</t>
  </si>
  <si>
    <t>LHR/LHR/D/MI/CRP/C/571/07/2023</t>
  </si>
  <si>
    <t>KHI/HO/F/MR/IMPORTS/P/42941/06/2024</t>
  </si>
  <si>
    <t>LHR/LHR/D/MI/CRP/C/580/07/2023</t>
  </si>
  <si>
    <t>KHI/HO/F/MR/IMPORTS/P/42953/06/2024</t>
  </si>
  <si>
    <t>LHR/LHR/D/MI/CRP/C/584/07/2023</t>
  </si>
  <si>
    <t>LHR/LHR/F/MO/PC COMP/P/67651/02/2023</t>
  </si>
  <si>
    <t>LHR/LHR/D/MI/CRP/C/592/07/2023</t>
  </si>
  <si>
    <t>LHR/LHR/F/MO/PC COMP/P/69858/04/2023</t>
  </si>
  <si>
    <t>LHR/LHR/D/MI/CRP/C/596/07/2023</t>
  </si>
  <si>
    <t>LHR/LHR/F/MO/PC COMP/P/70468/05/2023</t>
  </si>
  <si>
    <t>LHR/LHR/D/MI/CRP/C/598/07/2023</t>
  </si>
  <si>
    <t>LHR/LHR/F/MO/PC COMP/P/70785/05/2023</t>
  </si>
  <si>
    <t>MUL/MUL/F/FR/D/P/13813/04/2022</t>
  </si>
  <si>
    <t>LHR/LHR/F/MO/PC COMP/P/70872/05/2023</t>
  </si>
  <si>
    <t>MUL/MUL/F/FR/D/P/13863/04/2022</t>
  </si>
  <si>
    <t>LHR/LHR/F/MO/PC COMP/P/71149/05/2023</t>
  </si>
  <si>
    <t>LHR/LHR/D/MI/CRP/C/602/07/2023</t>
  </si>
  <si>
    <t>LHR/LHR/F/MO/PC COMP/P/71448/05/2023</t>
  </si>
  <si>
    <t>LHR/LHR/D/MI/CRP/C/604/07/2023</t>
  </si>
  <si>
    <t>LHR/LHR/F/MO/PC COMP/P/71474/05/2023</t>
  </si>
  <si>
    <t>MUL/MUL/F/FR/D/P/14054/06/2022</t>
  </si>
  <si>
    <t>LHR/LHR/F/MO/PC COMP/P/71900/06/2023</t>
  </si>
  <si>
    <t>LHR/LHR/D/MI/CRP/C/607/07/2023</t>
  </si>
  <si>
    <t>LHR/LHR/F/MO/PC COMP/P/82972/02/2024</t>
  </si>
  <si>
    <t>MUL/MUL/F/FR/D/P/15142/07/2022</t>
  </si>
  <si>
    <t>LHR/LHR/F/MO/PC COMP/P/83571/02/2024</t>
  </si>
  <si>
    <t>LHR/LHR/D/MI/CRP/C/610/07/2023</t>
  </si>
  <si>
    <t>LHR/LHR/F/MO/PC COMP/P/83603/02/2024</t>
  </si>
  <si>
    <t>LHR/LHR/D/MI/CRP/C/611/07/2023</t>
  </si>
  <si>
    <t>LHR/LHR/F/MO/PC COMP/P/83620/02/2024</t>
  </si>
  <si>
    <t>LHR/LHR/D/MI/CRP/C/612/07/2023</t>
  </si>
  <si>
    <t>KHI/HO/F/MR/IMPORTS/P/42911/06/2024</t>
  </si>
  <si>
    <t>LHR/LHR/D/MI/CRP/C/616/07/2023</t>
  </si>
  <si>
    <t>KHI/HO/F/MR/IMPORTS/P/42951/06/2024</t>
  </si>
  <si>
    <t>LHR/LHR/D/MI/CRP/C/617/07/2023</t>
  </si>
  <si>
    <t>LHR/LHR/F/MO/PC COMP/P/69670/04/2023</t>
  </si>
  <si>
    <t>LHR/LHR/D/MI/CRP/C/619/07/2023</t>
  </si>
  <si>
    <t>KHI/HO/F/MR/IMPORTS/P/42959/06/2024</t>
  </si>
  <si>
    <t>MUL/MUL/F/FR/D/P/17177/12/2022</t>
  </si>
  <si>
    <t>LHR/LHR/F/MO/PC COMP/P/71136/05/2023</t>
  </si>
  <si>
    <t>MUL/MUL/F/FR/D/P/17880/02/2023</t>
  </si>
  <si>
    <t>LHR/LHR/F/MO/PC COMP/P/71451/05/2023</t>
  </si>
  <si>
    <t>LHR/LHR/D/MI/CRP/C/658/07/2023</t>
  </si>
  <si>
    <t>LHR/LHR/F/MO/PC COMP/P/72192/06/2023</t>
  </si>
  <si>
    <t>LHR/LHR/D/MI/CRP/C/660/07/2023</t>
  </si>
  <si>
    <t>LHR/LHR/F/MO/PC COMP/P/83576/02/2024</t>
  </si>
  <si>
    <t>MUL/MUL/F/FR/D/P/17949/03/2023</t>
  </si>
  <si>
    <t>LHR/LHR/D/MR/IMPORTS/P/39550/05/2023</t>
  </si>
  <si>
    <t>MUL/MUL/F/FR/D/P/17950/03/2023</t>
  </si>
  <si>
    <t>LHR/LHR/F/MO/PC COMP/P/63960/09/2022</t>
  </si>
  <si>
    <t>LHR/LHR/D/MI/CRP/C/661/07/2023</t>
  </si>
  <si>
    <t>LHR/LHR/F/MO/PC COMP/P/70869/05/2023</t>
  </si>
  <si>
    <t>LHR/LHR/D/MI/CRP/C/670/07/2023</t>
  </si>
  <si>
    <t>LHR/LHR/F/MO/PC COMP/P/71825/06/2023</t>
  </si>
  <si>
    <t>MUL/MUL/F/FR/D/P/18257/04/2023</t>
  </si>
  <si>
    <t>LHR/LHR/F/MO/PC COMP/P/83617/02/2024</t>
  </si>
  <si>
    <t>MUL/MUL/F/FR/D/P/18795/05/2023</t>
  </si>
  <si>
    <t>LHR/LHR/F/MO/PC COMP/P/70289/05/2023</t>
  </si>
  <si>
    <t>LHR/LHR/D/MI/CRP/C/674/07/2023</t>
  </si>
  <si>
    <t>LHR/LHR/F/MO/PC COMP/P/82977/02/2024</t>
  </si>
  <si>
    <t>LHR/LHR/F/MO/PC COMP/P/71384/05/2023</t>
  </si>
  <si>
    <t>LHR/LHR/F/MO/PC COMP/P/62102/07/2022</t>
  </si>
  <si>
    <t>LHR/LHR/D/MO/PC COMP/P/64140/10/2022</t>
  </si>
  <si>
    <t>MUL/MUL/F/FR/ND/P/17153/12/2022</t>
  </si>
  <si>
    <t>MUL/MUL/F/FR/ND/P/16642/11/2022</t>
  </si>
  <si>
    <t>MUL/MUL/F/MI/FG/P/2224/09/2022</t>
  </si>
  <si>
    <t>MUL/MUL/F/FR/ND/P/15161/07/2022</t>
  </si>
  <si>
    <t>MUL/MUL/F/FR/ND/P/18497/05/2023</t>
  </si>
  <si>
    <t>MUL/MUL/F/FR/ND/P/18519/05/2023</t>
  </si>
  <si>
    <t>MUL/MUL/F/FR/ND/P/16797/11/2022</t>
  </si>
  <si>
    <t>MUL/MUL/F/FR/ND/P/13899/05/2022</t>
  </si>
  <si>
    <t>MUL/MUL/F/FR/ND/P/15206/08/2022</t>
  </si>
  <si>
    <t>MUL/MUL/F/FR/ND/P/13908/05/2022</t>
  </si>
  <si>
    <t>MUL/MUL/F/FR/ND/P/18642/05/2023</t>
  </si>
  <si>
    <t>MUL/MUL/F/FR/ND/P/16813/11/2022</t>
  </si>
  <si>
    <t>MUL/MUL/F/FR/ND/P/15225/08/2022</t>
  </si>
  <si>
    <t>MUL/MUL/F/MI/MP/P/2337/12/2022</t>
  </si>
  <si>
    <t>MUL/MUL/F/FR/ND/P/15251/08/2022</t>
  </si>
  <si>
    <t>MUL/MUL/F/FR/ND/P/13920/05/2022</t>
  </si>
  <si>
    <t>MUL/MUL/F/FR/ND/P/19474/07/2023</t>
  </si>
  <si>
    <t>MUL/MUL/F/MI/MP/P/2720/04/2023</t>
  </si>
  <si>
    <t>MUL/MUL/F/FR/ND/P/15264/08/2022</t>
  </si>
  <si>
    <t>MUL/MUL/F/MI/WC/P/2245/10/2022</t>
  </si>
  <si>
    <t>MUL/MUL/F/FR/ND/P/15278/08/2022</t>
  </si>
  <si>
    <t>MUL/MUL/F/MI/WC/P/2626/03/2023</t>
  </si>
  <si>
    <t>MUL/MUL/F/FR/ND/P/19500/08/2023</t>
  </si>
  <si>
    <t>MUL/MUL/F/FR/ND/P/13947/05/2022</t>
  </si>
  <si>
    <t>MUL/MUL/F/FR/ND/P/13619/01/2022</t>
  </si>
  <si>
    <t>MUL/MUL/F/FR/ND/P/16881/12/2022</t>
  </si>
  <si>
    <t>MUL/MUL/F/FR/ND/P/13194/12/2021</t>
  </si>
  <si>
    <t>MUL/MUL/F/FR/ND/P/13954/05/2022</t>
  </si>
  <si>
    <t>MUL/MUL/F/FR/ND/P/13065/11/2021</t>
  </si>
  <si>
    <t>MUL/MUL/F/FR/ND/P/17079/12/2022</t>
  </si>
  <si>
    <t>MUL/MUL/F/FR/ND/P/20846/12/2023</t>
  </si>
  <si>
    <t>MUL/MUL/F/MR/IMPORTS/P/36778/06/2022</t>
  </si>
  <si>
    <t>MUL/MUL/F/FR/ND/P/15833/09/2022</t>
  </si>
  <si>
    <t>MUL/MUL/F/MR/IMPORTS/P/36861/06/2022</t>
  </si>
  <si>
    <t>MUL/MUL/F/FR/ND/P/15907/09/2022</t>
  </si>
  <si>
    <t>MUL/MUL/F/MR/IMPORTS/P/37285/08/2022</t>
  </si>
  <si>
    <t>MUL/MUL/F/MI/CT/P/1852/11/2021</t>
  </si>
  <si>
    <t>MUL/MUL/F/MR/IMPORTS/P/37464/09/2022</t>
  </si>
  <si>
    <t>MUL/MUL/F/MI/CT/P/1953/01/2022</t>
  </si>
  <si>
    <t>MUL/MUL/F/FR/ND/P/17122/12/2022</t>
  </si>
  <si>
    <t>MUL/MUL/F/MI/CT/P/2102/07/2022</t>
  </si>
  <si>
    <t>MUL/MUL/F/MR/IMPORTS/P/37520/09/2022</t>
  </si>
  <si>
    <t>MUL/MUL/F/MI/CT/P/2251/10/2022</t>
  </si>
  <si>
    <t>MUL/MUL/F/MR/IMPORTS/P/37549/10/2022</t>
  </si>
  <si>
    <t>MUL/MUL/F/MI/CT/P/2596/03/2023</t>
  </si>
  <si>
    <t>MUL/MUL/F/MR/IMPORTS/P/37552/10/2022</t>
  </si>
  <si>
    <t>MUL/MUL/F/MI/CT/P/2628/03/2023</t>
  </si>
  <si>
    <t>MUL/MUL/F/FR/ND/P/14033/06/2022</t>
  </si>
  <si>
    <t>MUL/MUL/F/FR/ND/P/13845/04/2022</t>
  </si>
  <si>
    <t>MUL/MUL/F/MR/IMPORTS/P/37708/10/2022</t>
  </si>
  <si>
    <t>MUL/MUL/F/MI/CT/P/3008/07/2023</t>
  </si>
  <si>
    <t>MUL/MUL/F/MR/IMPORTS/P/37716/10/2022</t>
  </si>
  <si>
    <t>MUL/MUL/F/FR/ND/P/13867/04/2022</t>
  </si>
  <si>
    <t>MUL/MUL/F/MR/IMPORTS/P/37720/10/2022</t>
  </si>
  <si>
    <t>MUL/MUL/F/MI/FG/P/1851/11/2021</t>
  </si>
  <si>
    <t>MUL/MUL/F/MR/IMPORTS/P/37853/11/2022</t>
  </si>
  <si>
    <t>MUL/MUL/F/MI/FG/P/1878/12/2021</t>
  </si>
  <si>
    <t>MUL/MUL/F/MR/IMPORTS/P/38051/11/2022</t>
  </si>
  <si>
    <t>MUL/MUL/F/MI/FG/P/1887/12/2021</t>
  </si>
  <si>
    <t>MUL/MUL/F/FR/ND/P/17142/12/2022</t>
  </si>
  <si>
    <t>MUL/MUL/F/MI/FG/P/1900/12/2021</t>
  </si>
  <si>
    <t>MUL/MUL/F/MR/IMPORTS/P/38148/11/2022</t>
  </si>
  <si>
    <t>MUL/MUL/F/FR/ND/P/12986/11/2021</t>
  </si>
  <si>
    <t>MUL/MUL/F/MR/IMPORTS/P/38149/11/2022</t>
  </si>
  <si>
    <t>MUL/MUL/F/FR/ND/P/18516/05/2023</t>
  </si>
  <si>
    <t>MUL/MUL/F/MR/IMPORTS/P/38157/11/2022</t>
  </si>
  <si>
    <t>MUL/MUL/F/FR/ND/P/13560/12/2021</t>
  </si>
  <si>
    <t>MUL/MUL/F/FR/ND/P/14044/06/2022</t>
  </si>
  <si>
    <t>MUL/MUL/F/FR/ND/P/15159/07/2022</t>
  </si>
  <si>
    <t>MUL/MUL/F/MR/IMPORTS/P/38182/11/2022</t>
  </si>
  <si>
    <t>MUL/MUL/F/FR/ND/P/18811/06/2023</t>
  </si>
  <si>
    <t>MUL/MUL/F/MR/IMPORTS/P/38184/11/2022</t>
  </si>
  <si>
    <t>MUL/MUL/F/FR/ND/P/19283/07/2023</t>
  </si>
  <si>
    <t>MUL/MUL/F/FR/ND/P/17149/12/2022</t>
  </si>
  <si>
    <t>MUL/MUL/F/FR/ND/P/15277/08/2022</t>
  </si>
  <si>
    <t>MUL/MUL/F/MR/IMPORTS/P/38195/11/2022</t>
  </si>
  <si>
    <t>MUL/MUL/F/FR/ND/P/13100/11/2021</t>
  </si>
  <si>
    <t>MUL/MUL/F/FR/ND/P/14053/06/2022</t>
  </si>
  <si>
    <t>MUL/MUL/F/FR/ND/P/13626/01/2022</t>
  </si>
  <si>
    <t>MUL/MUL/F/FR/ND/P/17156/12/2022</t>
  </si>
  <si>
    <t>MUL/MUL/F/FR/ND/P/15817/09/2022</t>
  </si>
  <si>
    <t>MUL/MUL/F/FR/ND/P/15012/06/2022</t>
  </si>
  <si>
    <t>MUL/MUL/F/FR/ND/P/15936/09/2022</t>
  </si>
  <si>
    <t>MUL/MUL/F/FR/ND/P/17163/12/2022</t>
  </si>
  <si>
    <t>MUL/MUL/F/MI/CT/P/2033/03/2022</t>
  </si>
  <si>
    <t>MUL/MUL/F/FR/ND/P/17184/12/2022</t>
  </si>
  <si>
    <t>MUL/MUL/F/FR/ND/P/13806/04/2022</t>
  </si>
  <si>
    <t>MUL/MUL/F/MR/IMPORTS/P/39044/02/2023</t>
  </si>
  <si>
    <t>MUL/MUL/F/MI/CT/P/2631/03/2023</t>
  </si>
  <si>
    <t>MUL/MUL/F/FR/ND/P/17188/12/2022</t>
  </si>
  <si>
    <t>MUL/MUL/F/MI/CT/P/3041/08/2023</t>
  </si>
  <si>
    <t>MUL/MUL/F/FR/ND/P/15025/06/2022</t>
  </si>
  <si>
    <t>MUL/MUL/F/FR/ND/P/16602/11/2022</t>
  </si>
  <si>
    <t>MUL/MUL/F/MR/IMPORTS/P/39422/04/2023</t>
  </si>
  <si>
    <t>MUL/MUL/F/MI/FG/P/1898/12/2021</t>
  </si>
  <si>
    <t>MUL/MUL/F/MR/IMPORTS/P/39606/05/2023</t>
  </si>
  <si>
    <t>MUL/MUL/F/MI/FG/P/2205/09/2022</t>
  </si>
  <si>
    <t>MUL/MUL/F/MR/IMPORTS/P/39615/05/2023</t>
  </si>
  <si>
    <t>MUL/MUL/F/FR/ND/P/16791/11/2022</t>
  </si>
  <si>
    <t>MUL/MUL/F/FR/ND/P/17399/01/2023</t>
  </si>
  <si>
    <t>MUL/MUL/F/FR/ND/P/15248/08/2022</t>
  </si>
  <si>
    <t>MUL/MUL/F/FR/ND/P/15052/07/2022</t>
  </si>
  <si>
    <t>MUL/MUL/F/FR/ND/P/13567/12/2021</t>
  </si>
  <si>
    <t>MUL/MUL/F/FR/ND/P/17671/02/2023</t>
  </si>
  <si>
    <t>MUL/MUL/F/FR/ND/P/13211/12/2021</t>
  </si>
  <si>
    <t>MUL/MUL/F/FR/ND/P/17886/02/2023</t>
  </si>
  <si>
    <t>MUL/MUL/F/FR/ND/P/13733/03/2022</t>
  </si>
  <si>
    <t>MUL/MUL/F/FR/ND/P/17892/03/2023</t>
  </si>
  <si>
    <t>MUL/MUL/F/MI/CT/P/2627/03/2023</t>
  </si>
  <si>
    <t>MUL/MUL/F/FR/ND/P/17893/03/2023</t>
  </si>
  <si>
    <t>MUL/MUL/F/FR/ND/P/13868/04/2022</t>
  </si>
  <si>
    <t>MUL/MUL/F/FR/ND/P/15076/07/2022</t>
  </si>
  <si>
    <t>MUL/MUL/F/MI/FG/P/2157/08/2022</t>
  </si>
  <si>
    <t>MUL/MUL/F/FR/ND/P/17951/03/2023</t>
  </si>
  <si>
    <t>MUL/MUL/F/FR/ND/P/15207/08/2022</t>
  </si>
  <si>
    <t>MUL/MUL/F/FR/ND/P/15096/07/2022</t>
  </si>
  <si>
    <t>MUL/MUL/F/FR/ND/P/15293/08/2022</t>
  </si>
  <si>
    <t>MUL/MUL/F/MR/INLAND TRANSIT/P/37365/08/2022</t>
  </si>
  <si>
    <t>MUL/MUL/F/FR/ND/P/13773/03/2022</t>
  </si>
  <si>
    <t>MUL/MUL/F/MR/INLAND TRANSIT/P/37462/09/2022</t>
  </si>
  <si>
    <t>MUL/MUL/F/FR/ND/P/16603/11/2022</t>
  </si>
  <si>
    <t>MUL/MUL/F/FR/ND/P/18016/03/2023</t>
  </si>
  <si>
    <t>MUL/MUL/F/FR/ND/P/15252/08/2022</t>
  </si>
  <si>
    <t>MUL/MUL/F/MR/INLAND TRANSIT/P/39060/02/2023</t>
  </si>
  <si>
    <t>MUL/MUL/F/FR/ND/P/13864/04/2022</t>
  </si>
  <si>
    <t>MUL/MUL/F/FR/ND/P/18241/04/2023</t>
  </si>
  <si>
    <t>MUL/MUL/F/FR/ND/P/15899/09/2022</t>
  </si>
  <si>
    <t>MUL/MUL/F/FR/ND/P/15149/07/2022</t>
  </si>
  <si>
    <t>MUL/MUL/F/FR/ND/P/15186/08/2022</t>
  </si>
  <si>
    <t>MUL/MUL/F/FR/ND/P/15158/07/2022</t>
  </si>
  <si>
    <t>KHI/HO/D/MO/PC COMP/C/100980/3/10/2024</t>
  </si>
  <si>
    <t>KHI/HO/D/MO/PC COMP/C/93731/1/07/2024</t>
  </si>
  <si>
    <t>KHI/HO/D/FR/ND/P/18994/06/2023</t>
  </si>
  <si>
    <t>KHI/HO/D/MO/PC COMP/C/96305/1/08/2024</t>
  </si>
  <si>
    <t>KHI/HO/D/FR/ND/P/20372/10/2023</t>
  </si>
  <si>
    <t>KHI/HO/D/HLGRP HEALTH/P/1880/11/2022</t>
  </si>
  <si>
    <t>KHI/HO/D/FR/ND/C/30/09/2024</t>
  </si>
  <si>
    <t>KHI/HO/D/MO/PC COMP/C/75519/1/09/2023</t>
  </si>
  <si>
    <t>KHI/HO/D/FR/ND/P/21146/01/2024</t>
  </si>
  <si>
    <t>KHI/HO/F/MR/IMPORTS/C/17789/02/2023</t>
  </si>
  <si>
    <t>KHI/HO/D/MO/PD COMP/P/66986/01/2023</t>
  </si>
  <si>
    <t>KHI/HO/D/MO/PC COMP/C/95513/15/08/2024</t>
  </si>
  <si>
    <t>KHI/HO/D/MO/PD COMP/P/71235/05/2023</t>
  </si>
  <si>
    <t>KHI/HO/D/MO/PC COMP/C/95513/16/08/2024</t>
  </si>
  <si>
    <t>LHR/LHR/F/MO/PC COMP/P/59063/02/2022</t>
  </si>
  <si>
    <t>LHR/LHR/F/MO/PC COMP/P/60577/05/2022</t>
  </si>
  <si>
    <t>MUL/MUL/F/EG/MBD/P/727/01/2022</t>
  </si>
  <si>
    <t>LHR/LHR/F/MO/MC COMP/P/62736/08/2022</t>
  </si>
  <si>
    <t>LHR/LHR/F/MO/PC COMP/P/61370/06/2022</t>
  </si>
  <si>
    <t>MUL/MUL/F/FR/D/P/15566/08/2022</t>
  </si>
  <si>
    <t>MUL/MUL/F/FR/D/P/15216/08/2022</t>
  </si>
  <si>
    <t>MUL/MUL/F/FR/D/P/13883/04/2022</t>
  </si>
  <si>
    <t>MUL/MUL/F/FR/D/P/15305/08/2022</t>
  </si>
  <si>
    <t>LHR/LHR/F/MO/PC COMP/P/60575/05/2022</t>
  </si>
  <si>
    <t>LHR/LHR/F/MO/PC COMP/P/63766/09/2022</t>
  </si>
  <si>
    <t>MUL/MUL/F/FR/D/P/15819/09/2022</t>
  </si>
  <si>
    <t>LHR/LHR/F/MO/PC COMP/P/58293/01/2022</t>
  </si>
  <si>
    <t>MUL/MUL/F/FR/D/P/15959/09/2022</t>
  </si>
  <si>
    <t>LHR/LHR/F/MO/PC COMP/P/61605/06/2022</t>
  </si>
  <si>
    <t>MUL/MUL/F/FR/D/P/13968/05/2022</t>
  </si>
  <si>
    <t>MUL/MUL/F/FR/ND/P/13239/12/2021</t>
  </si>
  <si>
    <t>MUL/MUL/F/MI/CT/P/2142/08/2022</t>
  </si>
  <si>
    <t>MUL/MUL/F/FR/ND/P/13884/04/2022</t>
  </si>
  <si>
    <t>MUL/MUL/F/FR/ND/P/13225/12/2021</t>
  </si>
  <si>
    <t>MUL/MUL/F/FR/ND/P/17602/02/2023</t>
  </si>
  <si>
    <t>MUL/MUL/F/FR/ND/P/13659/01/2022</t>
  </si>
  <si>
    <t>MUL/MUL/F/FR/ND/P/17108/12/2022</t>
  </si>
  <si>
    <t>MUL/MUL/F/FR/ND/P/13828/04/2022</t>
  </si>
  <si>
    <t>MUL/MUL/F/FR/ND/P/13244/12/2021</t>
  </si>
  <si>
    <t>MUL/MUL/F/MI/CT/P/1899/12/2021</t>
  </si>
  <si>
    <t>MUL/MUL/F/FR/ND/P/13969/05/2022</t>
  </si>
  <si>
    <t>MUL/MUL/F/MI/CT/P/1903/12/2021</t>
  </si>
  <si>
    <t>MUL/MUL/F/MI/CT/P/2160/08/2022</t>
  </si>
  <si>
    <t>MUL/MUL/F/FR/ND/P/13193/12/2021</t>
  </si>
  <si>
    <t>MUL/MUL/F/FR/ND/P/13981/05/2022</t>
  </si>
  <si>
    <t>MUL/MUL/F/FR/ND/P/13227/12/2021</t>
  </si>
  <si>
    <t>MUL/MUL/F/FR/ND/P/13238/12/2021</t>
  </si>
  <si>
    <t>MUL/MUL/F/FR/ND/P/15292/08/2022</t>
  </si>
  <si>
    <t>MUL/MUL/F/MI/FG/P/1892/12/2021</t>
  </si>
  <si>
    <t>MUL/MUL/F/FR/ND/P/15256/08/2022</t>
  </si>
  <si>
    <t>MUL/MUL/F/FR/ND/P/15086/07/2022</t>
  </si>
  <si>
    <t>MUL/MUL/F/FR/ND/P/16118/09/2022</t>
  </si>
  <si>
    <t>MUL/MUL/F/FR/ND/P/13215/12/2021</t>
  </si>
  <si>
    <t>MUL/MUL/F/MI/CT/P/2121/08/2022</t>
  </si>
  <si>
    <t>MUL/MUL/F/FR/ND/P/15102/07/2022</t>
  </si>
  <si>
    <t>MUL/MUL/F/FR/ND/P/13965/05/2022</t>
  </si>
  <si>
    <t>MUL/MUL/F/FR/ND/P/17989/03/2023</t>
  </si>
  <si>
    <t>MUL/MUL/F/FR/ND/P/13630/01/2022</t>
  </si>
  <si>
    <t>MUL/MUL/F/FR/ND/P/18002/03/2023</t>
  </si>
  <si>
    <t>MUL/MUL/F/MI/MP/P/2314/12/2022</t>
  </si>
  <si>
    <t>MUL/MUL/F/FR/ND/P/17135/12/2022</t>
  </si>
  <si>
    <t>MUL/MUL/F/FR/ND/P/16825/11/2022</t>
  </si>
  <si>
    <t>MUL/MUL/F/MI/CT/P/2171/08/2022</t>
  </si>
  <si>
    <t>MUL/MUL/F/FR/ND/P/13231/12/2021</t>
  </si>
  <si>
    <t>MUL/MUL/F/FR/ND/P/15122/07/2022</t>
  </si>
  <si>
    <t>MUL/MUL/F/FR/ND/P/13243/12/2021</t>
  </si>
  <si>
    <t>MUL/MUL/F/FR/ND/P/13892/04/2022</t>
  </si>
  <si>
    <t>MUL/MUL/F/FR/ND/P/15051/07/2022</t>
  </si>
  <si>
    <t>MUL/MUL/F/FR/ND/P/15144/07/2022</t>
  </si>
  <si>
    <t>MUL/MUL/F/FR/ND/P/13663/01/2022</t>
  </si>
  <si>
    <t>MUL/MUL/F/MI/CT/P/2220/09/2022</t>
  </si>
  <si>
    <t>MUL/MUL/F/FR/ND/P/13943/05/2022</t>
  </si>
  <si>
    <t>MUL/MUL/F/MI/CT/P/2223/09/2022</t>
  </si>
  <si>
    <t>MUL/MUL/F/FR/ND/P/15047/07/2022</t>
  </si>
  <si>
    <t>MUL/MUL/F/FR/ND/P/13234/12/2021</t>
  </si>
  <si>
    <t>MUL/MUL/F/FR/ND/P/16819/11/2022</t>
  </si>
  <si>
    <t>MUL/MUL/F/FR/ND/P/15157/07/2022</t>
  </si>
  <si>
    <t>MUL/MUL/F/FR/ND/P/13224/12/2021</t>
  </si>
  <si>
    <t>MUL/MUL/F/FR/ND/P/13223/12/2021</t>
  </si>
  <si>
    <t>MUL/MUL/F/FR/ND/P/13952/05/2022</t>
  </si>
  <si>
    <t>MUL/MUL/F/FR/ND/P/13786/03/2022</t>
  </si>
  <si>
    <t>KHI/HO/D/MO/PC COMP/C/92255/2/07/2024</t>
  </si>
  <si>
    <t>KHI/HO/D/MO/PC COMP/C/98363/9/09/2024</t>
  </si>
  <si>
    <t>KHI/HO/D/MO/PC COMP/C/84630/2/02/2024</t>
  </si>
  <si>
    <t>KHI/HO/D/MO/PC COMP/C/77027/549/10/2023</t>
  </si>
  <si>
    <t>KHI/HO/D/FR/ND/P/16204/10/2022</t>
  </si>
  <si>
    <t>KHI/HO/F/MI/ARC/P/1776/08/2021</t>
  </si>
  <si>
    <t>KHI/HO/D/MO/PC COMP/C/92053/9/06/2024</t>
  </si>
  <si>
    <t>LHR/LHR/D/MI/CRP/C/2340/12/2023</t>
  </si>
  <si>
    <t>MUL/MUL/F/FR/D/P/15059/07/2022</t>
  </si>
  <si>
    <t>MUL/MUL/F/FR/D/P/15906/09/2022</t>
  </si>
  <si>
    <t>MUL/MUL/F/EG/MBD/P/729/01/2022</t>
  </si>
  <si>
    <t>MUL/MUL/F/FR/D/P/15071/07/2022</t>
  </si>
  <si>
    <t>MUL/MUL/F/FR/D/P/14021/06/2022</t>
  </si>
  <si>
    <t>MUL/MUL/F/FR/D/P/13874/04/2022</t>
  </si>
  <si>
    <t>MUL/MUL/F/FR/D/P/13873/04/2022</t>
  </si>
  <si>
    <t>LHR/LHR/D/MO/PC COMP/P/64132/10/2022</t>
  </si>
  <si>
    <t>MUL/MUL/F/FR/D/P/13869/04/2022</t>
  </si>
  <si>
    <t>MUL/MUL/F/FR/D/P/14022/06/2022</t>
  </si>
  <si>
    <t>MUL/MUL/F/FR/D/P/13893/04/2022</t>
  </si>
  <si>
    <t>MUL/MUL/F/EG/BPV/P/796/06/2022</t>
  </si>
  <si>
    <t>MUL/MUL/F/MI/FG/P/2174/08/2022</t>
  </si>
  <si>
    <t>MUL/MUL/F/FR/ND/P/13236/12/2021</t>
  </si>
  <si>
    <t>MUL/MUL/F/MI/CT/P/2122/08/2022</t>
  </si>
  <si>
    <t>MUL/MUL/F/FR/ND/P/13061/11/2021</t>
  </si>
  <si>
    <t>MUL/MUL/F/MR/IMPORTS/P/35881/01/2022</t>
  </si>
  <si>
    <t>MUL/MUL/F/FR/ND/P/15296/08/2022</t>
  </si>
  <si>
    <t>MUL/MUL/F/MI/FG/P/1896/12/2021</t>
  </si>
  <si>
    <t>MUL/MUL/F/FR/ND/P/13249/12/2021</t>
  </si>
  <si>
    <t>MUL/MUL/F/FR/ND/P/15375/08/2022</t>
  </si>
  <si>
    <t>MUL/MUL/F/MR/INLAND TRANSIT/P/36026/01/2022</t>
  </si>
  <si>
    <t>MUL/MUL/F/MI/FG/P/2129/08/2022</t>
  </si>
  <si>
    <t>MUL/MUL/F/FR/ND/P/13907/05/2022</t>
  </si>
  <si>
    <t>MUL/MUL/F/FR/ND/P/15053/07/2022</t>
  </si>
  <si>
    <t>MUL/MUL/F/FR/ND/P/16119/09/2022</t>
  </si>
  <si>
    <t>MUL/MUL/F/FR/ND/P/14009/06/2022</t>
  </si>
  <si>
    <t>MUL/MUL/F/FR/ND/P/15120/07/2022</t>
  </si>
  <si>
    <t>MUL/MUL/F/FR/ND/P/13832/04/2022</t>
  </si>
  <si>
    <t>MUL/MUL/F/FR/ND/P/15285/08/2022</t>
  </si>
  <si>
    <t>MUL/MUL/F/FR/ND/P/13245/12/2021</t>
  </si>
  <si>
    <t>MUL/MUL/F/MR/INLAND TRANSIT/P/37290/08/2022</t>
  </si>
  <si>
    <t>MUL/MUL/F/FR/ND/P/13633/01/2022</t>
  </si>
  <si>
    <t>MUL/MUL/F/FR/ND/P/13913/05/2022</t>
  </si>
  <si>
    <t>MUL/MUL/F/MI/FG/P/1962/01/2022</t>
  </si>
  <si>
    <t>MUL/MUL/F/MI/CT/P/2144/08/2022</t>
  </si>
  <si>
    <t>MUL/MUL/F/FR/ND/P/15057/07/2022</t>
  </si>
  <si>
    <t>MUL/MUL/F/FR/ND/P/15126/07/2022</t>
  </si>
  <si>
    <t>MUL/MUL/F/FR/ND/P/15082/07/2022</t>
  </si>
  <si>
    <t>MUL/MUL/F/FR/ND/P/12965/11/2021</t>
  </si>
  <si>
    <t>MUL/MUL/F/FR/ND/P/16142/09/2022</t>
  </si>
  <si>
    <t>MUL/MUL/F/FR/ND/P/13658/01/2022</t>
  </si>
  <si>
    <t>MUL/MUL/F/FR/ND/P/15923/09/2022</t>
  </si>
  <si>
    <t>MUL/MUL/F/FR/ND/P/13233/12/2021</t>
  </si>
  <si>
    <t>MUL/MUL/F/MI/FG/P/2131/08/2022</t>
  </si>
  <si>
    <t>MUL/MUL/F/FR/ND/P/13940/05/2022</t>
  </si>
  <si>
    <t>MUL/MUL/F/FR/ND/P/15955/09/2022</t>
  </si>
  <si>
    <t>MUL/MUL/F/FR/ND/P/13003/11/2021</t>
  </si>
  <si>
    <t>KHI/HO/D/MO/MC COMP/C/96781/3/09/2024</t>
  </si>
  <si>
    <t>KHI/HO/D/MO/PC COMP/C/93602/187/07/2024</t>
  </si>
  <si>
    <t>MUL/MUL/F/FR/ND/P/15092/07/2022</t>
  </si>
  <si>
    <t>MUL/MUL/F/FR/ND/P/13642/01/2022</t>
  </si>
  <si>
    <t>MUL/MUL/F/FR/ND/P/15948/09/2022</t>
  </si>
  <si>
    <t>MUL/MUL/F/FR/ND/P/15568/08/2022</t>
  </si>
  <si>
    <t>MUL/MUL/F/FR/ND/P/16605/11/2022</t>
  </si>
  <si>
    <t>MUL/MUL/F/FR/ND/P/16606/11/2022</t>
  </si>
  <si>
    <t>MUL/MUL/F/FR/ND/P/15121/07/2022</t>
  </si>
  <si>
    <t>MUL/MUL/F/FR/ND/P/15215/08/2022</t>
  </si>
  <si>
    <t>MUL/MUL/F/FR/ND/P/17419/01/2023</t>
  </si>
  <si>
    <t>MUL/MUL/F/FR/ND/P/15075/07/2022</t>
  </si>
  <si>
    <t>KHI/HO/D/MO/PC COMP/C/72136/192/06/2023</t>
  </si>
  <si>
    <t>KHI/HO/D/MO/CV/P/72999/07/2023</t>
  </si>
  <si>
    <t>KHI/HO/F/FR/ND/P/19554/08/2023</t>
  </si>
  <si>
    <t>KHI/HO/D/MO/PC COMP/P/71343/05/2023</t>
  </si>
  <si>
    <t>KHI/HO/F/MR/IMPORTS/P/43110/07/2024</t>
  </si>
  <si>
    <t>KHI/HO/F/MR/IMPORTS/C/19952/06/2024</t>
  </si>
  <si>
    <t>KHI/HO/D/FR/ND/P/14909/06/2022</t>
  </si>
  <si>
    <t>KHI/HO/D/MO/PC COMP/C/74098/460/08/2023</t>
  </si>
  <si>
    <t>KHI/HO/D/MO/MC COMP/P/82827/01/2024</t>
  </si>
  <si>
    <t>KHI/HO/D/MO/PC COMP/C/97611/6/09/2024</t>
  </si>
  <si>
    <t>MUL/MUL/F/FR/ND/P/17400/01/2023</t>
  </si>
  <si>
    <t>MUL/MUL/F/FR/ND/P/12978/11/2021</t>
  </si>
  <si>
    <t>MUL/MUL/F/MR/INLAND TRANSIT/P/36929/06/2022</t>
  </si>
  <si>
    <t>MUL/MUL/F/FR/ND/P/16160/09/2022</t>
  </si>
  <si>
    <t>KHI/HO/D/HLGRP HEALTH/P/3048/02/2024</t>
  </si>
  <si>
    <t>KHI/HO/D/HLGRP HEALTH/P/1725/08/2022</t>
  </si>
  <si>
    <t>KHI/HO/F/EG/BPV/P/1161/02/2024</t>
  </si>
  <si>
    <t>KHI/HO/F/FR/ND/P/15769/09/2022</t>
  </si>
  <si>
    <t>MUL/MUL/F/FR/ND/P/12624/10/2021</t>
  </si>
  <si>
    <t>MUL/MUL/F/MR/IMPORTS/P/36931/06/2022</t>
  </si>
  <si>
    <t>MUL/MUL/F/FR/ND/P/12623/10/2021</t>
  </si>
  <si>
    <t>SKT/SKT/D/MR/EXPORTS/P/37356/08/2022</t>
  </si>
  <si>
    <t>KHI/HO/D/MO/PC COMP/C/96638/53/09/2024</t>
  </si>
  <si>
    <t>MUL/MUL/F/MI/CT/P/2137/08/2022</t>
  </si>
  <si>
    <t>KHI/HO/D/MO/PC COMP/C/79901/196/12/2023</t>
  </si>
  <si>
    <t>KHI/HO/D/MO/PC COMP/C/79901/492/12/2023</t>
  </si>
  <si>
    <t>KHI/HO/D/FR/ND/C/327/10/2024</t>
  </si>
  <si>
    <t>KHI/HO/D/MR/INLAND TRANSIT/P/42767/06/2024</t>
  </si>
  <si>
    <t>LHR/LHR/D/FR/ND/P/22866/08/2024</t>
  </si>
  <si>
    <t>LHR/LHR/D/MI/CRP/C/2628/06/2024</t>
  </si>
  <si>
    <t>LHR/LHR/D/MI/CRP/C/2607/06/2024</t>
  </si>
  <si>
    <t>KHI/HO/D/MO/PC COMP/C/79901/22/12/2023</t>
  </si>
  <si>
    <t>KHI/HO/D/MO/PC COMP/C/79901/78/12/2023</t>
  </si>
  <si>
    <t>KHI/HO/F/MR/IMPORTS/P/43119/07/2024</t>
  </si>
  <si>
    <t>MUL/MUL/F/FR/ND/P/12998/11/2021</t>
  </si>
  <si>
    <t>KHI/HO/D/MO/PC COMP/P/62053/06/2022</t>
  </si>
  <si>
    <t>KHI/HO/D/MI/CRP/C/2594/06/2024</t>
  </si>
  <si>
    <t>LHR/LHR/F/MO/PC COMP/P/63714/09/2022</t>
  </si>
  <si>
    <t>LHR/LHR/D/MI/CRP/C/2610/06/2024</t>
  </si>
  <si>
    <t>KHI/HO/D/FR/ND/C/362/10/2024</t>
  </si>
  <si>
    <t>MUL/MUL/F/FR/ND/P/16636/11/2022</t>
  </si>
  <si>
    <t>MUL/MUL/F/FR/ND/P/13866/04/2022</t>
  </si>
  <si>
    <t>KHI/HO/F/MR/IMPORTS/C/18184/06/2023</t>
  </si>
  <si>
    <t>KHI/HO/F/MR/IMPORTS/C/18183/06/2023</t>
  </si>
  <si>
    <t>KHI/HO/F/MI/TRR/P/323/09/2024</t>
  </si>
  <si>
    <t>KHI/HO/F/MR/IMPORTS/C/18101/05/2023</t>
  </si>
  <si>
    <t>KHI/HO/F/MR/IMPORTS/C/18094/05/2023</t>
  </si>
  <si>
    <t>KHI/HO/F/MR/IMPORTS/C/18072/05/2023</t>
  </si>
  <si>
    <t>KHI/HO/F/MR/IMPORTS/C/19012/12/2023</t>
  </si>
  <si>
    <t>KHI/HO/F/MR/IMPORTS/C/18967/12/2023</t>
  </si>
  <si>
    <t>KHI/HO/F/MR/IMPORTS/C/18455/08/2023</t>
  </si>
  <si>
    <t>KHI/HO/F/MR/IMPORTS/C/19068/12/2023</t>
  </si>
  <si>
    <t>KHI/HO/F/MR/IMPORTS/C/19045/12/2023</t>
  </si>
  <si>
    <t>KHI/HO/F/MR/IMPORTS/C/18986/12/2023</t>
  </si>
  <si>
    <t>KHI/HO/F/MR/IMPORTS/C/19042/12/2023</t>
  </si>
  <si>
    <t>KHI/HO/F/MR/IMPORTS/C/18989/12/2023</t>
  </si>
  <si>
    <t>KHI/HO/F/MR/IMPORTS/C/19574/04/2024</t>
  </si>
  <si>
    <t>KHI/HO/F/MR/IMPORTS/C/19006/12/2023</t>
  </si>
  <si>
    <t>KHI/HO/F/MR/IMPORTS/C/18449/08/2023</t>
  </si>
  <si>
    <t>KHI/HO/F/MR/IMPORTS/C/18425/08/2023</t>
  </si>
  <si>
    <t>KHI/HO/F/MI/TRR/P/322/09/2024</t>
  </si>
  <si>
    <t>KHI/HO/D/MO/PC COMP/P/74602/08/2023</t>
  </si>
  <si>
    <t>KHI/HO/F/EG/EET/P/885/02/2023</t>
  </si>
  <si>
    <t>KHI/HO/F/MR/IMPORTS/C/18097/05/2023</t>
  </si>
  <si>
    <t>KHI/HO/F/MR/IMPORTS/C/18100/05/2023</t>
  </si>
  <si>
    <t>KHI/HO/F/MR/IMPORTS/C/18966/12/2023</t>
  </si>
  <si>
    <t>KHI/HO/F/MR/IMPORTS/C/19930/06/2024</t>
  </si>
  <si>
    <t>ISD/ISD/D/MI/PA/P/4274/04/2024</t>
  </si>
  <si>
    <t>KHI/HO/D/MI/CRP/C/2585/06/2024</t>
  </si>
  <si>
    <t>KHI/HO/D/FR/ND/P/20933/12/2023</t>
  </si>
  <si>
    <t>ISD/ISD/D/MI/PA/P/4262/03/2024</t>
  </si>
  <si>
    <t>KHI/HO/D/MR/IMPORTS/O/260/01/2023</t>
  </si>
  <si>
    <t>KHI/HO/D/MR/IMPORTS/O/302/10/2024</t>
  </si>
  <si>
    <t>KHI/HO/D/MR/IMPORTS/O/282/04/2024</t>
  </si>
  <si>
    <t>KHI/HO/D/MR/IMPORTS/O/283/04/2024</t>
  </si>
  <si>
    <t>KHI/HO/F/EG/EET/P/1043/10/2023</t>
  </si>
  <si>
    <t>KHI/HO/D/MR/IMPORTS/O/251/02/2022</t>
  </si>
  <si>
    <t>KHI/HO/D/MR/IMPORTS/O/278/01/2024</t>
  </si>
  <si>
    <t>LHR/LHR/D/FR/ND/P/20386/10/2023</t>
  </si>
  <si>
    <t>LHR/LHR/F/MO/PC COMP/P/69784/04/2023</t>
  </si>
  <si>
    <t>LHR/LHR/D/MR/IMPORTS/O/290/08/2024</t>
  </si>
  <si>
    <t>LHR/LHR/D/MI/CRP/C/2614/06/2024</t>
  </si>
  <si>
    <t>LHR/LHR/D/MI/CRP/C/2617/06/2024</t>
  </si>
  <si>
    <t>PEW/PEW/D/FR/ND/P/22343/05/2024</t>
  </si>
  <si>
    <t>KHI/HO/F/MI/TRR/P/245/08/2023</t>
  </si>
  <si>
    <t>KHI/HO/F/MR/IMPORTS/C/18198/06/2023</t>
  </si>
  <si>
    <t>KHI/HO/F/MR/IMPORTS/C/19024/12/2023</t>
  </si>
  <si>
    <t>KHI/HO/F/MR/IMPORTS/C/19044/12/2023</t>
  </si>
  <si>
    <t>PEW/PEW/F/FR/ND/P/22583/06/2024</t>
  </si>
  <si>
    <t>KHI/HO/F/MR/IMPORTS/C/18192/06/2023</t>
  </si>
  <si>
    <t>KHI/HO/F/MR/IMPORTS/C/19848/06/2024</t>
  </si>
  <si>
    <t>KHI/HO/F/MR/IMPORTS/P/43212/08/2024</t>
  </si>
  <si>
    <t>MUL/MUL/F/FR/ND/P/17976/03/2023</t>
  </si>
  <si>
    <t>KHI/HO/F/MR/IMPORTS/C/18096/05/2023</t>
  </si>
  <si>
    <t>KHI/HO/F/MR/IMPORTS/C/18525/08/2023</t>
  </si>
  <si>
    <t>KHI/HO/F/MR/IMPORTS/C/20136/07/2024</t>
  </si>
  <si>
    <t>KHI/HO/F/MR/IMPORTS/C/18188/06/2023</t>
  </si>
  <si>
    <t>MUL/MUL/F/FR/D/P/15810/09/2022</t>
  </si>
  <si>
    <t>KHI/HO/D/MI/CRP/C/2584/06/2024</t>
  </si>
  <si>
    <t>KHI/HO/D/MI/CRP/C/2573/06/2024</t>
  </si>
  <si>
    <t>KHI/HO/D/MI/CRP/C/2586/06/2024</t>
  </si>
  <si>
    <t>KHI/HO/D/MO/PC COMP/P/80474/12/2023</t>
  </si>
  <si>
    <t>KHI/HO/F/MR/IMPORTS/C/18068/05/2023</t>
  </si>
  <si>
    <t>KHI/HO/F/MR/IMPORTS/C/19040/12/2023</t>
  </si>
  <si>
    <t>MUL/MUL/D/MI/CRP/C/1872/10/2023</t>
  </si>
  <si>
    <t>MUL/MUL/D/MI/CRP/C/1871/10/2023</t>
  </si>
  <si>
    <t>MUL/MUL/D/MI/CRP/C/1891/10/2023</t>
  </si>
  <si>
    <t>KHI/HO/F/MR/IMPORTS/P/41514/12/2023</t>
  </si>
  <si>
    <t>KHI/HO/F/MR/IMPORTS/C/18070/05/2023</t>
  </si>
  <si>
    <t>KHI/HO/F/MR/IMPORTS/C/18422/08/2023</t>
  </si>
  <si>
    <t>KHI/HO/F/MR/IMPORTS/C/19956/06/2024</t>
  </si>
  <si>
    <t>KHI/HO/D/MI/CRP/C/2577/06/2024</t>
  </si>
  <si>
    <t>KHI/HO/D/MI/CRP/C/2582/06/2024</t>
  </si>
  <si>
    <t>KHI/HO/F/MR/IMPORTS/C/19619/04/2024</t>
  </si>
  <si>
    <t>KHI/HO/F/MR/IMPORTS/C/19093/12/2023</t>
  </si>
  <si>
    <t>KHI/HO/D/MO/PC COMP/C/93577/46/07/2024</t>
  </si>
  <si>
    <t>KHI/HO/F/MR/IMPORTS/C/19575/04/2024</t>
  </si>
  <si>
    <t>KHI/HO/F/MR/IMPORTS/C/18190/06/2023</t>
  </si>
  <si>
    <t>KHI/HO/F/MR/IMPORTS/C/20126/07/2024</t>
  </si>
  <si>
    <t>KHI/HO/D/MO/PC COMP/C/89429/150/05/2024</t>
  </si>
  <si>
    <t>KHI/HO/F/MR/IMPORTS/P/43108/07/2024</t>
  </si>
  <si>
    <t>KHI/HO/F/MR/IMPORTS/C/19018/12/2023</t>
  </si>
  <si>
    <t>KHI/HO/D/MI/CRP/C/2576/06/2024</t>
  </si>
  <si>
    <t>KHI/HO/F/MR/IMPORTS/C/18177/06/2023</t>
  </si>
  <si>
    <t>KHI/HO/F/MR/IMPORTS/C/18985/12/2023</t>
  </si>
  <si>
    <t>KHI/HO/F/MR/IMPORTS/P/42017/03/2024</t>
  </si>
  <si>
    <t>KHI/HO/F/MR/IMPORTS/C/18199/06/2023</t>
  </si>
  <si>
    <t>KHI/HO/D/MI/TRI/P/9729/03/2023</t>
  </si>
  <si>
    <t>KHI/HO/D/MO/MC COMP/P/99416/10/2024</t>
  </si>
  <si>
    <t>KHI/HO/F/MR/IMPORTS/C/18406/08/2023</t>
  </si>
  <si>
    <t>KHI/HO/F/MR/IMPORTS/C/20141/07/2024</t>
  </si>
  <si>
    <t>KHI/HO/D/MO/PC COMP/C/53504/342/04/2021</t>
  </si>
  <si>
    <t>KHI/HO/D/FR/ND/C/328/10/2024</t>
  </si>
  <si>
    <t>KHI/HO/F/MR/IMPORTS/C/18960/12/2023</t>
  </si>
  <si>
    <t>KHI/HO/F/MR/IMPORTS/C/18393/07/2023</t>
  </si>
  <si>
    <t>KHI/HO/F/MR/IMPORTS/C/20134/07/2024</t>
  </si>
  <si>
    <t>KHI/HO/F/MR/IMPORTS/C/20140/07/2024</t>
  </si>
  <si>
    <t>KHI/HO/F/MR/IMPORTS/C/19089/12/2023</t>
  </si>
  <si>
    <t>KHI/HO/D/FR/ND/P/21994/03/2024</t>
  </si>
  <si>
    <t>KHI/HO/D/MO/PC COMP/C/79901/261/12/2023</t>
  </si>
  <si>
    <t>KHI/HO/D/FR/ND/C/363/10/2024</t>
  </si>
  <si>
    <t>KHI/HO/F/MR/IMPORTS/P/40607/10/2023</t>
  </si>
  <si>
    <t>KHI/HO/F/MR/IMPORTS/P/43096/07/2024</t>
  </si>
  <si>
    <t>FSD/FSD/F/EG/BPV/P/1236/07/2024</t>
  </si>
  <si>
    <t>LHR/LHR/D/MI/CRP/C/2606/06/2024</t>
  </si>
  <si>
    <t>LHR/LHR/D/MR/IMPORTS/P/39153/03/2023</t>
  </si>
  <si>
    <t>KHI/HO/D/MI/CRP/C/2583/06/2024</t>
  </si>
  <si>
    <t>KHI/HO/D/MO/PC COMP/P/69563/04/2023</t>
  </si>
  <si>
    <t>MUL/MUL/F/FR/ND/P/13275/12/2021</t>
  </si>
  <si>
    <t>KHI/HO/D/FR/ND/C/364/10/2024</t>
  </si>
  <si>
    <t>KHI/HO/F/MR/IMPORTS/P/41570/01/2024</t>
  </si>
  <si>
    <t>KHI/HO/F/MR/IMPORTS/C/19067/12/2023</t>
  </si>
  <si>
    <t>KHI/HO/D/MO/MC COMP/P/72786/07/2023</t>
  </si>
  <si>
    <t>KHI/HO/F/MR/IMPORTS/C/19702/05/2024</t>
  </si>
  <si>
    <t>KHI/HO/F/MR/IMPORTS/P/43097/07/2024</t>
  </si>
  <si>
    <t>MUL/MUL/F/FR/ND/P/18010/03/2023</t>
  </si>
  <si>
    <t>KHI/HO/D/MO/PC COMP/C/97850/9/09/2024</t>
  </si>
  <si>
    <t>KHI/HO/F/MR/IMPORTS/C/18191/06/2023</t>
  </si>
  <si>
    <t>KHI/HO/F/MR/IMPORTS/C/20146/07/2024</t>
  </si>
  <si>
    <t>LHR/LHR/F/MI/TRR/P/249/10/2023</t>
  </si>
  <si>
    <t>KHI/HO/F/MI/TRR/P/188/11/2022</t>
  </si>
  <si>
    <t>KHI/HO/F/MR/IMPORTS/C/19078/12/2023</t>
  </si>
  <si>
    <t>KHI/HO/F/MR/IMPORTS/C/18484/08/2023</t>
  </si>
  <si>
    <t>KHI/HO/D/MO/PC COMP/C/80337/1/12/2023</t>
  </si>
  <si>
    <t>KHI/HO/D/MO/PC COMP/C/79706/1/12/2023</t>
  </si>
  <si>
    <t>KHI/HO/D/HLGRP HEALTH/P/2580/07/2023</t>
  </si>
  <si>
    <t>KHI/HO/D/HLGRP HEALTH/P/1828/10/2022</t>
  </si>
  <si>
    <t>KHI/HO/D/MI/BH/P/4235/03/2024</t>
  </si>
  <si>
    <t>KHI/HO/D/MO/PC COMP/C/78152/72/11/2023</t>
  </si>
  <si>
    <t>KHI/HO/D/MI/LST/P/26/03/2022</t>
  </si>
  <si>
    <t>KHI/HO/D/HLGRP HEALTH/P/987/04/2021</t>
  </si>
  <si>
    <t>KHI/HO/D/MO/PC COMP/C/75024/1/09/2023</t>
  </si>
  <si>
    <t>KHI/HO/D/MI/FG/P/2070/06/2022</t>
  </si>
  <si>
    <t>KHI/HO/D/FR/ND/P/11699/06/2021</t>
  </si>
  <si>
    <t>KHI/HO/D/HLGRP HEALTH/P/1773/09/2022</t>
  </si>
  <si>
    <t>KHI/HO/D/MO/PC COMP/C/77065/1/10/2023</t>
  </si>
  <si>
    <t>KHI/HO/D/MO/PC COMP/P/90360/06/2024</t>
  </si>
  <si>
    <t>KHI/HO/D/MO/PD COMP/P/84757/03/2024</t>
  </si>
  <si>
    <t>KHI/HO/D/MR/INLAND TRANSIT/O/280/02/2024</t>
  </si>
  <si>
    <t>KHI/HO/D/MR/INLAND TRANSIT/P/41095/12/2023</t>
  </si>
  <si>
    <t>KHI/HO/D/MO/PD COMP/P/89605/05/2024</t>
  </si>
  <si>
    <t>KHI/HO/D/MR/INLAND TRANSIT/P/41527/12/2023</t>
  </si>
  <si>
    <t>KHI/HO/D/MO/PD COMP/P/89745/05/2024</t>
  </si>
  <si>
    <t>KHI/HO/D/MR/INLAND TRANSIT/O/281/04/2024</t>
  </si>
  <si>
    <t>KHI/HO/D/MR/INLAND TRANSIT/O/264/03/2023</t>
  </si>
  <si>
    <t>KHI/HO/D/MR/INLAND TRANSIT/P/41096/12/2023</t>
  </si>
  <si>
    <t>KHI/HO/D/MR/INLAND TRANSIT/O/274/10/2023</t>
  </si>
  <si>
    <t>KHI/HO/D/MO/PC COMP/P/90278/06/2024</t>
  </si>
  <si>
    <t>KHI/HO/D/MO/PD COMP/P/83524/02/2024</t>
  </si>
  <si>
    <t>KHI/HO/D/MR/INLAND TRANSIT/O/276/11/2023</t>
  </si>
  <si>
    <t>KHI/HO/D/MO/PD COMP/P/81240/01/2024</t>
  </si>
  <si>
    <t>KHI/HO/D/MO/PD COMP/P/91674/06/2024</t>
  </si>
  <si>
    <t>KHI/HO/D/MO/PD COMP/P/87178/04/2024</t>
  </si>
  <si>
    <t>KHI/HO/D/MO/PD COMP/P/85528/03/2024</t>
  </si>
  <si>
    <t>KHI/HO/D/MR/INLAND TRANSIT/O/262/02/2023</t>
  </si>
  <si>
    <t>KHI/HO/D/MR/INLAND TRANSIT/O/254/09/2022</t>
  </si>
  <si>
    <t>KHI/HO/D/MR/INLAND TRANSIT/O/259/01/2023</t>
  </si>
  <si>
    <t>KHI/HO/D/MR/INLAND TRANSIT/O/261/02/2023</t>
  </si>
  <si>
    <t>KHI/HO/F/MR/IMPORTS/C/19704/05/2024</t>
  </si>
  <si>
    <t>KHI/HO/F/MR/IMPORTS/C/19583/04/2024</t>
  </si>
  <si>
    <t>LHR/LHR/D/MI/CRP/C/2624/06/2024</t>
  </si>
  <si>
    <t>KHI/HO/D/FR/ND/C/365/10/2024</t>
  </si>
  <si>
    <t>KHI/HO/F/MR/IMPORTS/P/41499/12/2023</t>
  </si>
  <si>
    <t>KHI/HO/F/MR/IMPORTS/C/19584/04/2024</t>
  </si>
  <si>
    <t>KHI/HO/D/FR/ND/C/329/10/2024</t>
  </si>
  <si>
    <t>KHI/HO/F/MR/IMPORTS/P/43211/08/2024</t>
  </si>
  <si>
    <t>KHI/HO/F/MR/IMPORTS/C/18988/12/2023</t>
  </si>
  <si>
    <t>MUL/MUL/D/MI/CRP/C/2223/11/2023</t>
  </si>
  <si>
    <t>MUL/MUL/D/MI/CRP/C/911/07/2023</t>
  </si>
  <si>
    <t>KHI/HO/F/MR/IMPORTS/C/18959/12/2023</t>
  </si>
  <si>
    <t>MUL/MUL/D/MI/CRP/C/1896/10/2023</t>
  </si>
  <si>
    <t>MUL/MUL/D/MI/CRP/C/1659/09/2023</t>
  </si>
  <si>
    <t>MUL/MUL/D/MI/CRP/C/1908/10/2023</t>
  </si>
  <si>
    <t>MUL/MUL/D/MI/CRP/C/1673/09/2023</t>
  </si>
  <si>
    <t>MUL/MUL/D/MI/CRP/C/1940/10/2023</t>
  </si>
  <si>
    <t>MUL/MUL/D/MI/CRP/C/1804/10/2023</t>
  </si>
  <si>
    <t>MUL/MUL/D/MI/CRP/C/1975/10/2023</t>
  </si>
  <si>
    <t>MUL/MUL/D/MI/CRP/C/1860/10/2023</t>
  </si>
  <si>
    <t>MUL/MUL/D/MI/CRP/C/1977/10/2023</t>
  </si>
  <si>
    <t>MUL/MUL/D/MI/CRP/C/1868/10/2023</t>
  </si>
  <si>
    <t>MUL/MUL/D/MI/CRP/C/2001/10/2023</t>
  </si>
  <si>
    <t>MUL/MUL/D/MI/CRP/C/1870/10/2023</t>
  </si>
  <si>
    <t>MUL/MUL/D/MI/CRP/C/2021/10/2023</t>
  </si>
  <si>
    <t>MUL/MUL/D/MI/CRP/C/1671/09/2023</t>
  </si>
  <si>
    <t>MUL/MUL/D/MI/CRP/C/2035/10/2023</t>
  </si>
  <si>
    <t>MUL/MUL/D/MI/CRP/C/1859/10/2023</t>
  </si>
  <si>
    <t>MUL/MUL/D/MI/CRP/C/2124/11/2023</t>
  </si>
  <si>
    <t>MUL/MUL/D/MI/CRP/C/1869/10/2023</t>
  </si>
  <si>
    <t>MUL/MUL/D/MI/CRP/C/2251/11/2023</t>
  </si>
  <si>
    <t>MUL/MUL/D/MI/CRP/C/1773/10/2023</t>
  </si>
  <si>
    <t>MUL/MUL/D/MI/CRP/C/455/07/2023</t>
  </si>
  <si>
    <t>MUL/MUL/D/MI/CRP/C/1358/08/2023</t>
  </si>
  <si>
    <t>MUL/MUL/D/MI/CRP/C/1608/09/2023</t>
  </si>
  <si>
    <t>MUL/MUL/D/MI/CRP/C/1861/10/2023</t>
  </si>
  <si>
    <t>MUL/MUL/D/MI/CRP/C/1274/08/2023</t>
  </si>
  <si>
    <t>MUL/MUL/D/MI/CRP/C/995/08/2023</t>
  </si>
  <si>
    <t>MUL/MUL/D/MI/CRP/C/1023/08/2023</t>
  </si>
  <si>
    <t>MUL/MUL/D/MI/CRP/C/1016/08/2023</t>
  </si>
  <si>
    <t>MUL/MUL/D/MI/CRP/C/1078/08/2023</t>
  </si>
  <si>
    <t>LHR/LHR/F/FR/ND/P/22739/07/2024</t>
  </si>
  <si>
    <t>MUL/MUL/D/MI/CRP/C/1353/08/2023</t>
  </si>
  <si>
    <t>KHI/HO/F/MR/IMPORTS/P/41524/12/2023</t>
  </si>
  <si>
    <t>KHI/HO/F/MR/IMPORTS/C/19577/04/2024</t>
  </si>
  <si>
    <t>KHI/HO/F/MR/IMPORTS/C/19063/12/2023</t>
  </si>
  <si>
    <t>KHI/HO/D/MI/LST/P/50/09/2022</t>
  </si>
  <si>
    <t>KHI/HO/D/MI/MP/C/312/10/2024</t>
  </si>
  <si>
    <t>KHI/HO/F/MR/IMPORTS/C/19032/12/2023</t>
  </si>
  <si>
    <t>KHI/HO/D/FR/ND/C/457/10/2024</t>
  </si>
  <si>
    <t>KHI/HO/F/MR/IMPORTS/C/19703/05/2024</t>
  </si>
  <si>
    <t>MUL/MUL/F/FR/ND/P/17123/12/2022</t>
  </si>
  <si>
    <t>KHI/HO/F/MR/IMPORTS/C/18450/08/2023</t>
  </si>
  <si>
    <t>KHI/HO/F/MR/IMPORTS/P/41569/01/2024</t>
  </si>
  <si>
    <t>KHI/HO/F/MR/IMPORTS/C/18074/05/2023</t>
  </si>
  <si>
    <t>KHI/HO/F/MR/IMPORTS/C/19020/12/2023</t>
  </si>
  <si>
    <t>SKT/SKT/D/MR/INLAND TRANSIT/P/38620/01/2023</t>
  </si>
  <si>
    <t>MUL/MUL/F/FR/ND/P/13015/11/2021</t>
  </si>
  <si>
    <t>KHI/HO/F/MR/IMPORTS/C/19086/12/2023</t>
  </si>
  <si>
    <t>KHI/HO/F/MR/IMPORTS/C/19034/12/2023</t>
  </si>
  <si>
    <t>KHI/HO/D/FR/ND/C/330/10/2024</t>
  </si>
  <si>
    <t>KHI/HO/F/MR/IMPORTS/C/18075/05/2023</t>
  </si>
  <si>
    <t>KHI/HO/F/MR/IMPORTS/C/20133/07/2024</t>
  </si>
  <si>
    <t>KHI/HO/F/MR/IMPORTS/C/18194/06/2023</t>
  </si>
  <si>
    <t>KHI/HO/F/MR/IMPORTS/C/19022/12/2023</t>
  </si>
  <si>
    <t>KHI/HO/F/MR/IMPORTS/C/19065/12/2023</t>
  </si>
  <si>
    <t>KHI/HO/D/MR/IMPORTS/P/38914/02/2023</t>
  </si>
  <si>
    <t>KHI/HO/F/MR/IMPORTS/C/19039/12/2023</t>
  </si>
  <si>
    <t>KHI/HO/D/FR/ND/C/331/10/2024</t>
  </si>
  <si>
    <t>KHI/HO/F/MR/IMPORTS/C/18099/05/2023</t>
  </si>
  <si>
    <t>MUL/MUL/F/FR/ND/P/15147/07/2022</t>
  </si>
  <si>
    <t>LHR/LHR/D/MI/CRP/C/2618/06/2024</t>
  </si>
  <si>
    <t>KHI/HO/F/MR/IMPORTS/C/18957/12/2023</t>
  </si>
  <si>
    <t>SKT/SKT/D/MR/IMPORTS/P/43673/10/2024</t>
  </si>
  <si>
    <t>KHI/HO/D/MI/CRP/C/2568/06/2024</t>
  </si>
  <si>
    <t>KHI/HO/</t>
  </si>
  <si>
    <t>KHI/HO/D/MI/CRP/C/2566/06/2024</t>
  </si>
  <si>
    <t>KHI/HO/D/MI/CRP/C/2567/06/2024</t>
  </si>
  <si>
    <t>LHR/LHR/D/MI/CRP/C/2626/06/2024</t>
  </si>
  <si>
    <t>LHR/LHR/D/MI/CRP/C/2611/06/2024</t>
  </si>
  <si>
    <t>KHI/HO/F/MR/IMPORTS/P/41564/01/2024</t>
  </si>
  <si>
    <t>LHR/LHR/D/MI/CRP/C/2599/06/2024</t>
  </si>
  <si>
    <t>KHI/HO/F/MR/IMPORTS/P/41525/12/2023</t>
  </si>
  <si>
    <t>KHI/HO/F/MR/IMPORTS/P/41502/12/2023</t>
  </si>
  <si>
    <t>KHI/HO/F/MR/IMPORTS/P/43122/07/2024</t>
  </si>
  <si>
    <t>KHI/HO/D/MR/IMPORTS/P/39278/04/2023</t>
  </si>
  <si>
    <t>KHI/HO/F/MR/IMPORTS/P/43181/08/2024</t>
  </si>
  <si>
    <t>KHI/HO/D/MI/TRI/P/10374/07/2024</t>
  </si>
  <si>
    <t>MUL/MUL/F/FR/ND/P/16165/09/2022</t>
  </si>
  <si>
    <t>KHI/HO/F/MR/IMPORTS/C/19079/12/2023</t>
  </si>
  <si>
    <t>KHI/HO/F/MR/IMPORTS/C/19925/06/2024</t>
  </si>
  <si>
    <t>KHI/HO/F/MR/IMPORTS/C/19935/06/2024</t>
  </si>
  <si>
    <t>KHI/HO/F/MR/IMPORTS/C/19080/12/2023</t>
  </si>
  <si>
    <t>MUL/MUL/F/FR/ND/P/18225/03/2023</t>
  </si>
  <si>
    <t>LHR/LHR/D/MI/CRP/C/2602/06/2024</t>
  </si>
  <si>
    <t>KHI/HO/F/MR/IMPORTS/C/18958/12/2023</t>
  </si>
  <si>
    <t>KHI/HO/D/FR/ND/C/366/10/2024</t>
  </si>
  <si>
    <t>KHI/HO/D/MO/PD COMP/P/87945/04/2024</t>
  </si>
  <si>
    <t>MUL/MUL/D/MI/CRP/C/2243/11/2023</t>
  </si>
  <si>
    <t>MUL/MUL/D/MI/CRP/C/1605/09/2023</t>
  </si>
  <si>
    <t>MUL/MUL/D/MI/CRP/C/1079/08/2023</t>
  </si>
  <si>
    <t>KHI/HO/F/MR/IMPORTS/C/18193/06/2023</t>
  </si>
  <si>
    <t>KHI/HO/F/MR/IMPORTS/C/18423/08/2023</t>
  </si>
  <si>
    <t>KHI/HO/D/FR/ND/C/332/10/2024</t>
  </si>
  <si>
    <t>KHI/HO/F/MR/IMPORTS/P/43121/07/2024</t>
  </si>
  <si>
    <t>KHI/HO/F/MR/IMPORTS/C/18952/12/2023</t>
  </si>
  <si>
    <t>KHI/HO/F/MR/IMPORTS/C/20131/07/2024</t>
  </si>
  <si>
    <t>KHI/HO/F/MR/IMPORTS/P/41565/01/2024</t>
  </si>
  <si>
    <t>KHI/HO/F/MR/IMPORTS/P/43120/07/2024</t>
  </si>
  <si>
    <t>MUL/MUL/F/FR/ND/P/18011/03/2023</t>
  </si>
  <si>
    <t>KHI/HO/F/MR/IMPORTS/C/18098/05/2023</t>
  </si>
  <si>
    <t>KHI/HO/F/MR/IMPORTS/C/18403/08/2023</t>
  </si>
  <si>
    <t>KHI/HO/F/MR/IMPORTS/C/19091/12/2023</t>
  </si>
  <si>
    <t>KHI/HO/D/FR/ND/P/19908/08/2023</t>
  </si>
  <si>
    <t>KHI/HO/D/FR/ND/C/333/10/2024</t>
  </si>
  <si>
    <t>MUL/MUL/F/FR/ND/P/15813/09/2022</t>
  </si>
  <si>
    <t>KHI/HO/D/MI/PA/P/4211/03/2024</t>
  </si>
  <si>
    <t>KHI/HO/D/MI/PA/P/4345/04/2024</t>
  </si>
  <si>
    <t>KHI/HO/D/MI/PA/P/4518/06/2024</t>
  </si>
  <si>
    <t>KHI/HO/D/MI/PA/P/4346/04/2024</t>
  </si>
  <si>
    <t>KHI/HO/D/MI/PA/P/4194/03/2024</t>
  </si>
  <si>
    <t>KHI/HO/D/MI/CT/P/3546/11/2023</t>
  </si>
  <si>
    <t>KHI/HO/D/MI/PA/P/4197/03/2024</t>
  </si>
  <si>
    <t>KHI/HO/D/MI/PA/P/4347/04/2024</t>
  </si>
  <si>
    <t>KHI/HO/D/MI/CRP/C/2589/06/2024</t>
  </si>
  <si>
    <t>KHI/HO/D/MI/PA/P/4353/04/2024</t>
  </si>
  <si>
    <t>KHI/HO/D/MI/PA/P/4398/05/2024</t>
  </si>
  <si>
    <t>KHI/HO/D/MI/PA/P/4391/05/2024</t>
  </si>
  <si>
    <t>KHI/HO/D/MI/PA/P/4196/03/2024</t>
  </si>
  <si>
    <t>KHI/HO/D/MI/PA/P/4387/05/2024</t>
  </si>
  <si>
    <t>KHI/HO/D/MI/PA/P/4212/03/2024</t>
  </si>
  <si>
    <t>KHI/HO/D/MI/PA/P/4389/05/2024</t>
  </si>
  <si>
    <t>KHI/HO/D/MI/PA/P/4199/03/2024</t>
  </si>
  <si>
    <t>KHI/HO/D/MI/PA/P/4390/05/2024</t>
  </si>
  <si>
    <t>KHI/HO/D/MI/PA/P/4397/05/2024</t>
  </si>
  <si>
    <t>KHI/HO/D/MI/CRP/C/2587/06/2024</t>
  </si>
  <si>
    <t>KHI/HO/F/MR/IMPORTS/C/18186/06/2023</t>
  </si>
  <si>
    <t>KHI/HO/F/MR/IMPORTS/C/18976/12/2023</t>
  </si>
  <si>
    <t>LHR/LHR/D/MI/CRP/C/2609/06/2024</t>
  </si>
  <si>
    <t>LHR/LHR/D/MI/CRP/C/2616/06/2024</t>
  </si>
  <si>
    <t>MUL/MUL/F/FR/ND/P/17599/02/2023</t>
  </si>
  <si>
    <t>Grand Total</t>
  </si>
  <si>
    <t>-07-2022</t>
  </si>
  <si>
    <t>-03-2023</t>
  </si>
  <si>
    <t>-02-2023</t>
  </si>
  <si>
    <t>-05-2023</t>
  </si>
  <si>
    <t>-03-2024</t>
  </si>
  <si>
    <t>-09-2023</t>
  </si>
  <si>
    <t>-03-2020</t>
  </si>
  <si>
    <t>-09-2024</t>
  </si>
  <si>
    <t>-06-2024</t>
  </si>
  <si>
    <t>-07-2023</t>
  </si>
  <si>
    <t>-06-2023</t>
  </si>
  <si>
    <t>-08-2024</t>
  </si>
  <si>
    <t>-04-2024</t>
  </si>
  <si>
    <t>-12-2022</t>
  </si>
  <si>
    <t>-01-2022</t>
  </si>
  <si>
    <t>-01-2023</t>
  </si>
  <si>
    <t>-08-2022</t>
  </si>
  <si>
    <t>-10-2021</t>
  </si>
  <si>
    <t>-11-2022</t>
  </si>
  <si>
    <t>-08-2023</t>
  </si>
  <si>
    <t>-05-2024</t>
  </si>
  <si>
    <t>-04-2023</t>
  </si>
  <si>
    <t>-06-2022</t>
  </si>
  <si>
    <t>-10-2022</t>
  </si>
  <si>
    <t>-02-2024</t>
  </si>
  <si>
    <t>-09-2022</t>
  </si>
  <si>
    <t>-01-2024</t>
  </si>
  <si>
    <t>-02-2022</t>
  </si>
  <si>
    <t>-04-2022</t>
  </si>
  <si>
    <t>-12-2021</t>
  </si>
  <si>
    <t>-03-2022</t>
  </si>
  <si>
    <t>-11-2021</t>
  </si>
  <si>
    <t>-10-2023</t>
  </si>
  <si>
    <t>-07-2024</t>
  </si>
  <si>
    <t>-02-2020</t>
  </si>
  <si>
    <t>-12-2019</t>
  </si>
  <si>
    <t>-10-2024</t>
  </si>
  <si>
    <t>-12-2023</t>
  </si>
  <si>
    <t>-01-2020</t>
  </si>
  <si>
    <t>-08-2021</t>
  </si>
  <si>
    <t>-05-2022</t>
  </si>
  <si>
    <t>-11-2023</t>
  </si>
  <si>
    <t>-06-2021</t>
  </si>
  <si>
    <t>-07-2020</t>
  </si>
  <si>
    <t>-09-2021</t>
  </si>
  <si>
    <t>-07-2021</t>
  </si>
  <si>
    <t>-06-2010</t>
  </si>
  <si>
    <t>-04-2021</t>
  </si>
  <si>
    <t>KHI-HO-</t>
  </si>
  <si>
    <t>C</t>
  </si>
  <si>
    <t>P</t>
  </si>
  <si>
    <t>d</t>
  </si>
  <si>
    <t>00054</t>
  </si>
  <si>
    <t>00001</t>
  </si>
  <si>
    <t>00126</t>
  </si>
  <si>
    <t>00059</t>
  </si>
  <si>
    <t>00320</t>
  </si>
  <si>
    <t>00123</t>
  </si>
  <si>
    <t>00197</t>
  </si>
  <si>
    <t>00260</t>
  </si>
  <si>
    <t>00326</t>
  </si>
  <si>
    <t>00005</t>
  </si>
  <si>
    <t>00113</t>
  </si>
  <si>
    <t>00296</t>
  </si>
  <si>
    <t>00210</t>
  </si>
  <si>
    <t>00002</t>
  </si>
  <si>
    <t>00063</t>
  </si>
  <si>
    <t>00003</t>
  </si>
  <si>
    <t>00007</t>
  </si>
  <si>
    <t>00035</t>
  </si>
  <si>
    <t>00047</t>
  </si>
  <si>
    <t>00019</t>
  </si>
  <si>
    <t>00351</t>
  </si>
  <si>
    <t>00016</t>
  </si>
  <si>
    <t>00584</t>
  </si>
  <si>
    <t>00018</t>
  </si>
  <si>
    <t>00004</t>
  </si>
  <si>
    <t>00105</t>
  </si>
  <si>
    <t>00291</t>
  </si>
  <si>
    <t>00030</t>
  </si>
  <si>
    <t>00038</t>
  </si>
  <si>
    <t>00009</t>
  </si>
  <si>
    <t>00102</t>
  </si>
  <si>
    <t>00111</t>
  </si>
  <si>
    <t>00135</t>
  </si>
  <si>
    <t>00014</t>
  </si>
  <si>
    <t>00182</t>
  </si>
  <si>
    <t>00184</t>
  </si>
  <si>
    <t>00187</t>
  </si>
  <si>
    <t>00201</t>
  </si>
  <si>
    <t>00206</t>
  </si>
  <si>
    <t>00226</t>
  </si>
  <si>
    <t>00229</t>
  </si>
  <si>
    <t>00230</t>
  </si>
  <si>
    <t>00039</t>
  </si>
  <si>
    <t>00232</t>
  </si>
  <si>
    <t>00236</t>
  </si>
  <si>
    <t>00239</t>
  </si>
  <si>
    <t>00025</t>
  </si>
  <si>
    <t>00250</t>
  </si>
  <si>
    <t>00254</t>
  </si>
  <si>
    <t>00266</t>
  </si>
  <si>
    <t>00267</t>
  </si>
  <si>
    <t>00276</t>
  </si>
  <si>
    <t>00314</t>
  </si>
  <si>
    <t>00036</t>
  </si>
  <si>
    <t>00043</t>
  </si>
  <si>
    <t>00049</t>
  </si>
  <si>
    <t>00060</t>
  </si>
  <si>
    <t>00321</t>
  </si>
  <si>
    <t>00120</t>
  </si>
  <si>
    <t>00145</t>
  </si>
  <si>
    <t>00161</t>
  </si>
  <si>
    <t>00020</t>
  </si>
  <si>
    <t>00050</t>
  </si>
  <si>
    <t>00053</t>
  </si>
  <si>
    <t>00066</t>
  </si>
  <si>
    <t>00086</t>
  </si>
  <si>
    <t>00095</t>
  </si>
  <si>
    <t>00006</t>
  </si>
  <si>
    <t>00008</t>
  </si>
  <si>
    <t>00012</t>
  </si>
  <si>
    <t>00104</t>
  </si>
  <si>
    <t>00183</t>
  </si>
  <si>
    <t>00084</t>
  </si>
  <si>
    <t>00093</t>
  </si>
  <si>
    <t>00098</t>
  </si>
  <si>
    <t>00017</t>
  </si>
  <si>
    <t>00078</t>
  </si>
  <si>
    <t>00037</t>
  </si>
  <si>
    <t>00189</t>
  </si>
  <si>
    <t>00094</t>
  </si>
  <si>
    <t>00099</t>
  </si>
  <si>
    <t>00112</t>
  </si>
  <si>
    <t>00045</t>
  </si>
  <si>
    <t>00103</t>
  </si>
  <si>
    <t>00091</t>
  </si>
  <si>
    <t>00186</t>
  </si>
  <si>
    <t>00096</t>
  </si>
  <si>
    <t>00100</t>
  </si>
  <si>
    <t>00101</t>
  </si>
  <si>
    <t>00011</t>
  </si>
  <si>
    <t>00013</t>
  </si>
  <si>
    <t>00234</t>
  </si>
  <si>
    <t>00081</t>
  </si>
  <si>
    <t>00280</t>
  </si>
  <si>
    <t>00217</t>
  </si>
  <si>
    <t>00150</t>
  </si>
  <si>
    <t>00158</t>
  </si>
  <si>
    <t>00192</t>
  </si>
  <si>
    <t>00033</t>
  </si>
  <si>
    <t>00015</t>
  </si>
  <si>
    <t>00022</t>
  </si>
  <si>
    <t>00117</t>
  </si>
  <si>
    <t>00249</t>
  </si>
  <si>
    <t>00010</t>
  </si>
  <si>
    <t>00287</t>
  </si>
  <si>
    <t>00055</t>
  </si>
  <si>
    <t>00028</t>
  </si>
  <si>
    <t>00426</t>
  </si>
  <si>
    <t>00116</t>
  </si>
  <si>
    <t>00153</t>
  </si>
  <si>
    <t>00087</t>
  </si>
  <si>
    <t>00109</t>
  </si>
  <si>
    <t>00134</t>
  </si>
  <si>
    <t>00146</t>
  </si>
  <si>
    <t>00180</t>
  </si>
  <si>
    <t>00220</t>
  </si>
  <si>
    <t>00167</t>
  </si>
  <si>
    <t>00052</t>
  </si>
  <si>
    <t>00076</t>
  </si>
  <si>
    <t>00169</t>
  </si>
  <si>
    <t>00170</t>
  </si>
  <si>
    <t>00219</t>
  </si>
  <si>
    <t>00191</t>
  </si>
  <si>
    <t>00041</t>
  </si>
  <si>
    <t>00144</t>
  </si>
  <si>
    <t>00046</t>
  </si>
  <si>
    <t>00051</t>
  </si>
  <si>
    <t>00121</t>
  </si>
  <si>
    <t>00160</t>
  </si>
  <si>
    <t>00139</t>
  </si>
  <si>
    <t>00195</t>
  </si>
  <si>
    <t>00223</t>
  </si>
  <si>
    <t>00044</t>
  </si>
  <si>
    <t>00108</t>
  </si>
  <si>
    <t>00147</t>
  </si>
  <si>
    <t>00151</t>
  </si>
  <si>
    <t>00322</t>
  </si>
  <si>
    <t>00278</t>
  </si>
  <si>
    <t>00172</t>
  </si>
  <si>
    <t>00118</t>
  </si>
  <si>
    <t>00549</t>
  </si>
  <si>
    <t>00460</t>
  </si>
  <si>
    <t>00196</t>
  </si>
  <si>
    <t>00492</t>
  </si>
  <si>
    <t>00342</t>
  </si>
  <si>
    <t>00261</t>
  </si>
  <si>
    <t>00072</t>
  </si>
  <si>
    <t xml:space="preserve">   </t>
  </si>
  <si>
    <t>FUNC_ASSORTED_STRING(IA.ASSORTED_CODE)</t>
  </si>
  <si>
    <t>ASSORTED_CODE</t>
  </si>
  <si>
    <t>040000026470</t>
  </si>
  <si>
    <t>KHI/HO/D/MR/IMPORTS/C/14960/01/2020</t>
  </si>
  <si>
    <t>020000016240</t>
  </si>
  <si>
    <t>040000093375</t>
  </si>
  <si>
    <t>KHI/HO/D/MO/PC COMP/R/50247/60/01/2020</t>
  </si>
  <si>
    <t>080000095427</t>
  </si>
  <si>
    <t>KHI/HO/D/MO/PC COMP/C/51704/60/01/2020</t>
  </si>
  <si>
    <t>070000038715</t>
  </si>
  <si>
    <t>040000097124</t>
  </si>
  <si>
    <t>KHI/HO/D/HLGRP HEALTH/E/4360/01/2020</t>
  </si>
  <si>
    <t>050000243501</t>
  </si>
  <si>
    <t>KHI/HO/D/HLGRP HEALTH/P/460/01/2020</t>
  </si>
  <si>
    <t>040000094157</t>
  </si>
  <si>
    <t>KHI/HO/D/MR/IMPORTS/P/30860/01/2020</t>
  </si>
  <si>
    <t>040000094148</t>
  </si>
  <si>
    <t>KHI/HO/D/MO/PC COMP/R/50503/02/2020</t>
  </si>
  <si>
    <t>080000096654</t>
  </si>
  <si>
    <t>040000095469</t>
  </si>
  <si>
    <t>040000095467</t>
  </si>
  <si>
    <t>KHI/HO/D/MO/PC COMP/C/51670/60/01/2020</t>
  </si>
  <si>
    <t>070000038760</t>
  </si>
  <si>
    <t>040000094807</t>
  </si>
  <si>
    <t>040000094371</t>
  </si>
  <si>
    <t>KHI/HO/D/HLGRP HEALTH/E/4260/01/2020</t>
  </si>
  <si>
    <t>050000236942</t>
  </si>
  <si>
    <t>KHI/HO/D/MO/PC COMP/C/51789/60/01/2020</t>
  </si>
  <si>
    <t>070000040347</t>
  </si>
  <si>
    <t>KHI/HO/D/MO/PC COMP/C/51769/260/01/2020</t>
  </si>
  <si>
    <t>070000039964</t>
  </si>
  <si>
    <t>040000094802</t>
  </si>
  <si>
    <t>KHI/HO/D/MO/PC COMP/C/51769/160/01/2020</t>
  </si>
  <si>
    <t>070000039864</t>
  </si>
  <si>
    <t>KHI/HO/D/MO/PC COMP/C/51789/160/01/2020</t>
  </si>
  <si>
    <t>070000040447</t>
  </si>
  <si>
    <t>KHI/HO/D/MO/PC COMP/C/51769/60/01/2020</t>
  </si>
  <si>
    <t>070000039764</t>
  </si>
  <si>
    <t>KHI/HO/D/MR/EXPORTS/P/30960/01/2020</t>
  </si>
  <si>
    <t>040000094421</t>
  </si>
  <si>
    <t>KHI/HO/D/MO/PC COMP/C/51769/360/01/2020</t>
  </si>
  <si>
    <t>070000040064</t>
  </si>
  <si>
    <t>KHI/HO/D/MO/PC COMP/R/50298/160/01/2020</t>
  </si>
  <si>
    <t>080000095798</t>
  </si>
  <si>
    <t>KHI/HO/D/MO/PC COMP/R/50298/260/01/2020</t>
  </si>
  <si>
    <t>080000095898</t>
  </si>
  <si>
    <t>KHI/HO/D/MO/PC COMP/R/50298/360/01/2020</t>
  </si>
  <si>
    <t>080000095998</t>
  </si>
  <si>
    <t>KHI/HO/D/MO/PC COMP/R/50298/60/01/2020</t>
  </si>
  <si>
    <t>080000095698</t>
  </si>
  <si>
    <t>PEW/PEW/D/FR/ND/P/9660/01/2020</t>
  </si>
  <si>
    <t>040000094425</t>
  </si>
  <si>
    <t>KHI/HO/D/MO/PC COMP/C/51765/60/01/2020</t>
  </si>
  <si>
    <t>070000039144</t>
  </si>
  <si>
    <t>KHI/HO/F/MI/BB/E/1460/01/2020</t>
  </si>
  <si>
    <t>050000240395</t>
  </si>
  <si>
    <t>KHI/HO/D/MO/PC COMP/R/50238/60/01/2020</t>
  </si>
  <si>
    <t>080000095621</t>
  </si>
  <si>
    <t>KHI/HO/D/MO/PC COMP/R/50298/460/01/2020</t>
  </si>
  <si>
    <t>080000096098</t>
  </si>
  <si>
    <t>KHI/HO/D/MO/PC COMP/C/51670/160/01/2020</t>
  </si>
  <si>
    <t>070000040502</t>
  </si>
  <si>
    <t>KHI/HO/D/MO/PC COMP/R/50371/60/01/2020</t>
  </si>
  <si>
    <t>080000095522</t>
  </si>
  <si>
    <t>KHI/HO/D/MR/IMPORTS/C/11160/01/2020</t>
  </si>
  <si>
    <t>070000040664</t>
  </si>
  <si>
    <t>KHI/HO/D/MO/PC COMP/R/50302/60/01/2020</t>
  </si>
  <si>
    <t>080000096313</t>
  </si>
  <si>
    <t>KHI/HO/D/MO/PC COMP/R/50302/160/01/2020</t>
  </si>
  <si>
    <t>080000096413</t>
  </si>
  <si>
    <t>KHI/HO/D/HLGRP HEALTH/E/4503/02/2020</t>
  </si>
  <si>
    <t>050000251349</t>
  </si>
  <si>
    <t>KHI/HO/D/MO/PC COMP/E/14460/01/2020</t>
  </si>
  <si>
    <t>050000240191</t>
  </si>
  <si>
    <t>KHI/HO/D/MR/IMPORTS/C/15060/01/2020</t>
  </si>
  <si>
    <t>020000016356</t>
  </si>
  <si>
    <t>KHI/HO/D/MO/PC COMP/C/1260/01/2020</t>
  </si>
  <si>
    <t>020000016228</t>
  </si>
  <si>
    <t>KHI/HO/D/MO/PC COMP/P/51760/01/2020</t>
  </si>
  <si>
    <t>040000094299</t>
  </si>
  <si>
    <t>KHI/HO/D/MO/PC COMP/R/50245/60/01/2020</t>
  </si>
  <si>
    <t>080000096188</t>
  </si>
  <si>
    <t>040000094864</t>
  </si>
  <si>
    <t>KHI/HO/D/MO/PC COMP/C/51784/60/01/2020</t>
  </si>
  <si>
    <t>070000040204</t>
  </si>
  <si>
    <t>KHI/HO/D/MO/PC COMP/E/14360/01/2020</t>
  </si>
  <si>
    <t>050000232790</t>
  </si>
  <si>
    <t>KHI/HO/D/MO/PC COMP/E/14585/02/2020</t>
  </si>
  <si>
    <t>050000249024</t>
  </si>
  <si>
    <t>KHI/HO/D/MO/PC COMP/C/3679/11/2021</t>
  </si>
  <si>
    <t>020000022258</t>
  </si>
  <si>
    <t>040000106840</t>
  </si>
  <si>
    <t>040000106309</t>
  </si>
  <si>
    <t>040000106302</t>
  </si>
  <si>
    <t>LHR/LHR/D/MO/PC COMP/P/56683/11/2021</t>
  </si>
  <si>
    <t>040000108495</t>
  </si>
  <si>
    <t>040000108687</t>
  </si>
  <si>
    <t>040000108510</t>
  </si>
  <si>
    <t>KHI/HO/D/MR/IMPORTS/P/33987/04/2021</t>
  </si>
  <si>
    <t>040000102669</t>
  </si>
  <si>
    <t>040000110482</t>
  </si>
  <si>
    <t>040000106518</t>
  </si>
  <si>
    <t>040000106523</t>
  </si>
  <si>
    <t>040000110029</t>
  </si>
  <si>
    <t>040000110033</t>
  </si>
  <si>
    <t>040000110034</t>
  </si>
  <si>
    <t>040000110036</t>
  </si>
  <si>
    <t>040000107751</t>
  </si>
  <si>
    <t>040000112394</t>
  </si>
  <si>
    <t>040000114760</t>
  </si>
  <si>
    <t>040000110038</t>
  </si>
  <si>
    <t>KHI/HO/D/HLGRP HEALTH/R/826/03/2022</t>
  </si>
  <si>
    <t>080000120902</t>
  </si>
  <si>
    <t>MUL/MUL/F/FR/ND/E/5753/02/2022</t>
  </si>
  <si>
    <t>050000445647</t>
  </si>
  <si>
    <t>KHI/HO/D/MI/CRP/C/26/03/2022</t>
  </si>
  <si>
    <t>070000097065</t>
  </si>
  <si>
    <t>040000111633</t>
  </si>
  <si>
    <t>040000114340</t>
  </si>
  <si>
    <t>040000114898</t>
  </si>
  <si>
    <t>KHI/HO/D/MO/PD COMP/C/4741/01/2022</t>
  </si>
  <si>
    <t>020000023619</t>
  </si>
  <si>
    <t>040000106531</t>
  </si>
  <si>
    <t>040000102356</t>
  </si>
  <si>
    <t>040000103612</t>
  </si>
  <si>
    <t>KHI/HO/D/MO/PC COMP/P/59426/03/2022</t>
  </si>
  <si>
    <t>040000113667</t>
  </si>
  <si>
    <t>KHI/HO/D/MO/PC COMP/C/59280/126/03/2022</t>
  </si>
  <si>
    <t>070000097151</t>
  </si>
  <si>
    <t>040000108917</t>
  </si>
  <si>
    <t>KHI/HO/L/MI/BB/E/1753/02/2022</t>
  </si>
  <si>
    <t>050000440767</t>
  </si>
  <si>
    <t>KHI/HO/D/MO/PC COMP/P/58753/02/2022</t>
  </si>
  <si>
    <t>040000112513</t>
  </si>
  <si>
    <t>KHI/HO/D/MI/TRI/P/4826/09/2022</t>
  </si>
  <si>
    <t>040000126789</t>
  </si>
  <si>
    <t>KHI/HO/D/HLGRP HEALTH/R/926/03/2022</t>
  </si>
  <si>
    <t>080000121020</t>
  </si>
  <si>
    <t>040000109092</t>
  </si>
  <si>
    <t>040000105493</t>
  </si>
  <si>
    <t>060000000310</t>
  </si>
  <si>
    <t>040000108655</t>
  </si>
  <si>
    <t>LHR/LHR/D/MO/PC COMP/E/18753/02/2022</t>
  </si>
  <si>
    <t>050000445307</t>
  </si>
  <si>
    <t>040000110677</t>
  </si>
  <si>
    <t>040000108321</t>
  </si>
  <si>
    <t>040000108326</t>
  </si>
  <si>
    <t>040000108369</t>
  </si>
  <si>
    <t>MUL/MUL/F/MI/FG/E/1688/11/2021</t>
  </si>
  <si>
    <t>050000420893</t>
  </si>
  <si>
    <t>040000109061</t>
  </si>
  <si>
    <t>040000109114</t>
  </si>
  <si>
    <t>040000144233</t>
  </si>
  <si>
    <t>040000109731</t>
  </si>
  <si>
    <t>040000105447</t>
  </si>
  <si>
    <t>040000105448</t>
  </si>
  <si>
    <t>040000108443</t>
  </si>
  <si>
    <t>LHR/LHR/D/MO/PC COMP/C/3688/11/2021</t>
  </si>
  <si>
    <t>020000022268</t>
  </si>
  <si>
    <t>LHR/LHR/D/MO/PC COMP/C/3689/11/2021</t>
  </si>
  <si>
    <t>020000022270</t>
  </si>
  <si>
    <t>040000108692</t>
  </si>
  <si>
    <t>040000105442</t>
  </si>
  <si>
    <t>040000104577</t>
  </si>
  <si>
    <t>040000108290</t>
  </si>
  <si>
    <t>040000107600</t>
  </si>
  <si>
    <t>040000108317</t>
  </si>
  <si>
    <t>KHI/HO/D/MO/MC TTT/C/3682/11/2021</t>
  </si>
  <si>
    <t>020000022261</t>
  </si>
  <si>
    <t>040000107626</t>
  </si>
  <si>
    <t>040000108696</t>
  </si>
  <si>
    <t>040000105456</t>
  </si>
  <si>
    <t>040000105461</t>
  </si>
  <si>
    <t>040000105215</t>
  </si>
  <si>
    <t>040000108350</t>
  </si>
  <si>
    <t>KHI/HO/D/MR/IMPORTS/C/18723/01/2022</t>
  </si>
  <si>
    <t>020000023560</t>
  </si>
  <si>
    <t>040000105096</t>
  </si>
  <si>
    <t>040000112643</t>
  </si>
  <si>
    <t>040000108379</t>
  </si>
  <si>
    <t>040000108384</t>
  </si>
  <si>
    <t>040000108330</t>
  </si>
  <si>
    <t>KHI/HO/D/MR/IMPORTS/C/13987/04/2021</t>
  </si>
  <si>
    <t>070000068200</t>
  </si>
  <si>
    <t>040000103856</t>
  </si>
  <si>
    <t>KHI/HO/D/MO/MC TTT/R/3701/12/2021</t>
  </si>
  <si>
    <t>080000117100</t>
  </si>
  <si>
    <t>040000112973</t>
  </si>
  <si>
    <t>040000112339</t>
  </si>
  <si>
    <t>040000107594</t>
  </si>
  <si>
    <t>KHI/HO/D/MO/PC COMP/R/3708/12/2021</t>
  </si>
  <si>
    <t>080000117105</t>
  </si>
  <si>
    <t>040000106424</t>
  </si>
  <si>
    <t>040000109064</t>
  </si>
  <si>
    <t>040000109083</t>
  </si>
  <si>
    <t>040000109076</t>
  </si>
  <si>
    <t>040000109079</t>
  </si>
  <si>
    <t>LHR/LHR/D/MO/PC COMP/C/4727/01/2022</t>
  </si>
  <si>
    <t>020000023602</t>
  </si>
  <si>
    <t>KHI/HO/D/MO/PC COMP/C/4737/01/2022</t>
  </si>
  <si>
    <t>020000023615</t>
  </si>
  <si>
    <t>KHI/HO/D/MR/HULL/C/18737/01/2022</t>
  </si>
  <si>
    <t>020000023654</t>
  </si>
  <si>
    <t>040000108490</t>
  </si>
  <si>
    <t>040000109740</t>
  </si>
  <si>
    <t>040000109958</t>
  </si>
  <si>
    <t>040000110000</t>
  </si>
  <si>
    <t>040000110003</t>
  </si>
  <si>
    <t>040000105557</t>
  </si>
  <si>
    <t>040000111797</t>
  </si>
  <si>
    <t>KHI/HO/D/MR/IMPORTS/P/35702/12/2021</t>
  </si>
  <si>
    <t>040000110620</t>
  </si>
  <si>
    <t>040000115209</t>
  </si>
  <si>
    <t>040000113997</t>
  </si>
  <si>
    <t>040000111755</t>
  </si>
  <si>
    <t>040000104633</t>
  </si>
  <si>
    <t>MUL/MUL/F/MI/CT/E/1689/11/2021</t>
  </si>
  <si>
    <t>050000420894</t>
  </si>
  <si>
    <t>040000111683</t>
  </si>
  <si>
    <t>040000109989</t>
  </si>
  <si>
    <t>KHI/HO/D/MO/MC TTT/C/5251/02/2022</t>
  </si>
  <si>
    <t>020000024249</t>
  </si>
  <si>
    <t>040000108966</t>
  </si>
  <si>
    <t>040000103872</t>
  </si>
  <si>
    <t>040000104578</t>
  </si>
  <si>
    <t>040000110832</t>
  </si>
  <si>
    <t>040000110043</t>
  </si>
  <si>
    <t>KHI/HO/D/MO/PC COMP/C/4729/01/2022</t>
  </si>
  <si>
    <t>020000023604</t>
  </si>
  <si>
    <t>040000106329</t>
  </si>
  <si>
    <t>040000106339</t>
  </si>
  <si>
    <t>040000111856</t>
  </si>
  <si>
    <t>KHI/HO/D/HLGRP HEALTH/E/13745/03/2022</t>
  </si>
  <si>
    <t>050000450703</t>
  </si>
  <si>
    <t>040000104740</t>
  </si>
  <si>
    <t>040000108631</t>
  </si>
  <si>
    <t>040000108680</t>
  </si>
  <si>
    <t>LHR/LHR/D/MO/PC COMP/P/56684/11/2021</t>
  </si>
  <si>
    <t>040000108496</t>
  </si>
  <si>
    <t>040000104923</t>
  </si>
  <si>
    <t>KHI/HO/D/HLGRP HEALTH/E/11689/11/2021</t>
  </si>
  <si>
    <t>050000419682</t>
  </si>
  <si>
    <t>040000108975</t>
  </si>
  <si>
    <t>040000112388</t>
  </si>
  <si>
    <t>040000109973</t>
  </si>
  <si>
    <t>040000103479</t>
  </si>
  <si>
    <t>040000109970</t>
  </si>
  <si>
    <t>KHI/HO/D/HLGRP HEALTH/Q/1760/01/2020</t>
  </si>
  <si>
    <t>010000001825</t>
  </si>
  <si>
    <t>KHI/HO/D/HLGRP HEALTH/P/1811/09/2022</t>
  </si>
  <si>
    <t>040000127574</t>
  </si>
  <si>
    <t>040000139309</t>
  </si>
  <si>
    <t>040000140712</t>
  </si>
  <si>
    <t>KHI/HO/D/MI/TRI/P/3848/08/2022</t>
  </si>
  <si>
    <t>040000123835</t>
  </si>
  <si>
    <t>KHI/HO/D/MO/MC TTT/R/57305/11/2022</t>
  </si>
  <si>
    <t>080000130698</t>
  </si>
  <si>
    <t>KHI/HO/D/MO/PC COMP/R/57327/11/2022</t>
  </si>
  <si>
    <t>080000130705</t>
  </si>
  <si>
    <t>KHI/HO/D/MO/PC COMP/R/57339/11/2022</t>
  </si>
  <si>
    <t>080000130714</t>
  </si>
  <si>
    <t>040000141012</t>
  </si>
  <si>
    <t>KHI/HO/D/HLGRP HEALTH/E/18924/03/2023</t>
  </si>
  <si>
    <t>050000572653</t>
  </si>
  <si>
    <t>040000141015</t>
  </si>
  <si>
    <t>040000141016</t>
  </si>
  <si>
    <t>040000141017</t>
  </si>
  <si>
    <t>040000141018</t>
  </si>
  <si>
    <t>040000141019</t>
  </si>
  <si>
    <t>040000141020</t>
  </si>
  <si>
    <t>040000123704</t>
  </si>
  <si>
    <t>040000131053</t>
  </si>
  <si>
    <t>040000123710</t>
  </si>
  <si>
    <t>040000124068</t>
  </si>
  <si>
    <t>040000127115</t>
  </si>
  <si>
    <t>040000124351</t>
  </si>
  <si>
    <t>040000128371</t>
  </si>
  <si>
    <t>KHI/HO/D/MO/PC COMP/R/55579/254/09/2022</t>
  </si>
  <si>
    <t>080000128350</t>
  </si>
  <si>
    <t>040000123639</t>
  </si>
  <si>
    <t>KHI/HO/F/FR/ND/P/17567/02/2023</t>
  </si>
  <si>
    <t>040000138488</t>
  </si>
  <si>
    <t>040000130666</t>
  </si>
  <si>
    <t>040000131563</t>
  </si>
  <si>
    <t>040000139494</t>
  </si>
  <si>
    <t>KHI/HO/D/HLGRP HEALTH/E/16119/09/2022</t>
  </si>
  <si>
    <t>050000498904</t>
  </si>
  <si>
    <t>KHI/HO/D/MI/TRI/P/4820/09/2022</t>
  </si>
  <si>
    <t>040000126778</t>
  </si>
  <si>
    <t>KHI/HO/D/MO/PC COMP/R/55579/150/09/2022</t>
  </si>
  <si>
    <t>080000128246</t>
  </si>
  <si>
    <t>040000138950</t>
  </si>
  <si>
    <t>040000144239</t>
  </si>
  <si>
    <t>SKT/SKT/D/MR/IMPORTS/C/19811/09/2022</t>
  </si>
  <si>
    <t>020000028341</t>
  </si>
  <si>
    <t>KHI/HO/D/MI/BB/E/2050/09/2022</t>
  </si>
  <si>
    <t>050000504630</t>
  </si>
  <si>
    <t>040000129994</t>
  </si>
  <si>
    <t>040000128005</t>
  </si>
  <si>
    <t>040000141887</t>
  </si>
  <si>
    <t>040000125656</t>
  </si>
  <si>
    <t>KHI/HO/D/MI/BB/E/2260/01/2023</t>
  </si>
  <si>
    <t>050000550454</t>
  </si>
  <si>
    <t>040000138430</t>
  </si>
  <si>
    <t>040000140738</t>
  </si>
  <si>
    <t>040000132881</t>
  </si>
  <si>
    <t>040000126390</t>
  </si>
  <si>
    <t>040000144234</t>
  </si>
  <si>
    <t>KHI/HO/D/HLGRP HEALTH/E/18916/03/2023</t>
  </si>
  <si>
    <t>050000572597</t>
  </si>
  <si>
    <t>040000141919</t>
  </si>
  <si>
    <t>040000139450</t>
  </si>
  <si>
    <t>LHR/LHR/F/FR/D/E/6439/07/2022</t>
  </si>
  <si>
    <t>050000486892</t>
  </si>
  <si>
    <t>040000121233</t>
  </si>
  <si>
    <t>040000121680</t>
  </si>
  <si>
    <t>KHI/HO/D/MO/PC COMP/E/20542/07/2022</t>
  </si>
  <si>
    <t>050000481325</t>
  </si>
  <si>
    <t>KHI/HO/D/MO/PC COMP/R/55748/08/2022</t>
  </si>
  <si>
    <t>080000126016</t>
  </si>
  <si>
    <t>040000122545</t>
  </si>
  <si>
    <t>040000120853</t>
  </si>
  <si>
    <t>040000122494</t>
  </si>
  <si>
    <t>040000122980</t>
  </si>
  <si>
    <t>040000121478</t>
  </si>
  <si>
    <t>040000122089</t>
  </si>
  <si>
    <t>040000113998</t>
  </si>
  <si>
    <t>KHI/HO/D/MO/PC COMP/C/59294/126/03/2022</t>
  </si>
  <si>
    <t>070000096040</t>
  </si>
  <si>
    <t>KHI/HO/D/MO/MC COMP/C/62088/42/07/2022</t>
  </si>
  <si>
    <t>070000106967</t>
  </si>
  <si>
    <t>KHI/HO/D/MO/PC COMP/R/54206/26/03/2022</t>
  </si>
  <si>
    <t>080000120017</t>
  </si>
  <si>
    <t>KHI/HO/D/MO/PC COMP/C/62063/39/07/2022</t>
  </si>
  <si>
    <t>070000105414</t>
  </si>
  <si>
    <t>040000115689</t>
  </si>
  <si>
    <t>KHI/HO/D/MO/PC COMP/C/62524/139/07/2022</t>
  </si>
  <si>
    <t>070000106697</t>
  </si>
  <si>
    <t>040000118402</t>
  </si>
  <si>
    <t>KHI/HO/D/MI/TRI/P/2942/07/2022</t>
  </si>
  <si>
    <t>040000121726</t>
  </si>
  <si>
    <t>040000119047</t>
  </si>
  <si>
    <t>040000122436</t>
  </si>
  <si>
    <t>MUL/MUL/F/FR/ND/E/6240/07/2022</t>
  </si>
  <si>
    <t>050000482384</t>
  </si>
  <si>
    <t>040000122870</t>
  </si>
  <si>
    <t>040000120751</t>
  </si>
  <si>
    <t>KHI/HO/D/HLGRP HEALTH/E/15012/06/2022</t>
  </si>
  <si>
    <t>050000473766</t>
  </si>
  <si>
    <t>040000116263</t>
  </si>
  <si>
    <t>KHI/HO/D/MO/PC COMP/C/62524/140/07/2022</t>
  </si>
  <si>
    <t>070000106698</t>
  </si>
  <si>
    <t>LHR/LHR/D/MO/PC COMP/C/5426/03/2022</t>
  </si>
  <si>
    <t>020000024484</t>
  </si>
  <si>
    <t>040000116633</t>
  </si>
  <si>
    <t>040000122074</t>
  </si>
  <si>
    <t>KHI/HO/D/MI/TRI/P/3040/07/2022</t>
  </si>
  <si>
    <t>040000122012</t>
  </si>
  <si>
    <t>040000113859</t>
  </si>
  <si>
    <t>KHI/HO/D/MO/PC COMP/C/59032/251/02/2022</t>
  </si>
  <si>
    <t>070000094694</t>
  </si>
  <si>
    <t>KHI/HO/D/MO/PC COMP/E/19026/03/2022</t>
  </si>
  <si>
    <t>050000452779</t>
  </si>
  <si>
    <t>KHI/HO/D/MO/PC COMP/C/62524/242/07/2022</t>
  </si>
  <si>
    <t>070000106800</t>
  </si>
  <si>
    <t>KHI/HO/D/MO/PC COMP/R/55237/48/08/2022</t>
  </si>
  <si>
    <t>080000125790</t>
  </si>
  <si>
    <t>KHI/HO/D/MO/PC COMP/C/62524/39/07/2022</t>
  </si>
  <si>
    <t>070000106597</t>
  </si>
  <si>
    <t>KHI/HO/D/MO/PC COMP/C/62524/340/07/2022</t>
  </si>
  <si>
    <t>070000106898</t>
  </si>
  <si>
    <t>040000122335</t>
  </si>
  <si>
    <t>040000123106</t>
  </si>
  <si>
    <t>040000129631</t>
  </si>
  <si>
    <t>040000129527</t>
  </si>
  <si>
    <t>KHI/HO/F/MI/ARC/E/2188/11/2022</t>
  </si>
  <si>
    <t>050000531271</t>
  </si>
  <si>
    <t>KHI/HO/D/MI/TRI/P/5050/09/2022</t>
  </si>
  <si>
    <t>040000127319</t>
  </si>
  <si>
    <t>KHI/HO/D/HLGRP HEALTH/Q/5450/09/2022</t>
  </si>
  <si>
    <t>010000007252</t>
  </si>
  <si>
    <t>040000124713</t>
  </si>
  <si>
    <t>KHI/HO/D/MR/INLAND TRANSIT/A/1750/09/2022</t>
  </si>
  <si>
    <t>030000001759</t>
  </si>
  <si>
    <t>KHI/HO/D/MO/PC COMP/P/63248/08/2022</t>
  </si>
  <si>
    <t>040000125149</t>
  </si>
  <si>
    <t>KHI/HO/D/MR/EXPORTS/P/37450/09/2022</t>
  </si>
  <si>
    <t>040000125611</t>
  </si>
  <si>
    <t>KHI/HO/D/HLGRP HEALTH/Q/5644/10/2022</t>
  </si>
  <si>
    <t>010000007527</t>
  </si>
  <si>
    <t>KHI/HO/D/MR/IMPORTS/C/19826/09/2022</t>
  </si>
  <si>
    <t>020000028413</t>
  </si>
  <si>
    <t>KHI/HO/D/FR/ND/P/15748/08/2022</t>
  </si>
  <si>
    <t>040000125139</t>
  </si>
  <si>
    <t>040000132477</t>
  </si>
  <si>
    <t>KHI/HO/D/HLGRP HEALTH/E/16135/09/2022</t>
  </si>
  <si>
    <t>050000498936</t>
  </si>
  <si>
    <t>KHI/HO/D/MI/LST/Q/350/09/2022</t>
  </si>
  <si>
    <t>010000007318</t>
  </si>
  <si>
    <t>040000124922</t>
  </si>
  <si>
    <t>040000125381</t>
  </si>
  <si>
    <t>040000124741</t>
  </si>
  <si>
    <t>040000130709</t>
  </si>
  <si>
    <t>KHI/HO/D/FR/ND/P/15648/08/2022</t>
  </si>
  <si>
    <t>040000124995</t>
  </si>
  <si>
    <t>KHI/HO/D/HLGRP HEALTH/E/17541/12/2022</t>
  </si>
  <si>
    <t>050000537028</t>
  </si>
  <si>
    <t>KHI/HO/D/HLGRP HEALTH/E/12701/12/2021</t>
  </si>
  <si>
    <t>050000431000</t>
  </si>
  <si>
    <t>KHI/HO/D/HLGRP HEALTH/E/17217/11/2022</t>
  </si>
  <si>
    <t>050000528831</t>
  </si>
  <si>
    <t>040000130506</t>
  </si>
  <si>
    <t>KHI/HO/F/FR/ND/P/16150/09/2022</t>
  </si>
  <si>
    <t>040000127076</t>
  </si>
  <si>
    <t>KHI/HO/D/HLGRP HEALTH/E/15440/07/2022</t>
  </si>
  <si>
    <t>050000483714</t>
  </si>
  <si>
    <t>MUL/MUL/F/MR/IMPORTS/P/38188/11/2022</t>
  </si>
  <si>
    <t>040000132766</t>
  </si>
  <si>
    <t>KHI/HO/D/MO/MC TTT/C/8350/09/2022</t>
  </si>
  <si>
    <t>020000028402</t>
  </si>
  <si>
    <t>040000134275</t>
  </si>
  <si>
    <t>040000123625</t>
  </si>
  <si>
    <t>KHI/HO/D/HLGRP HEALTH/E/15342/07/2022</t>
  </si>
  <si>
    <t>050000480760</t>
  </si>
  <si>
    <t>040000123629</t>
  </si>
  <si>
    <t>KHI/HO/D/HLGRP HEALTH/E/15848/08/2022</t>
  </si>
  <si>
    <t>050000491283</t>
  </si>
  <si>
    <t>040000134050</t>
  </si>
  <si>
    <t>KHI/HO/D/FR/ND/P/15139/07/2022</t>
  </si>
  <si>
    <t>040000122340</t>
  </si>
  <si>
    <t>KHI/HO/D/MI/TRI/P/3142/07/2022</t>
  </si>
  <si>
    <t>040000122238</t>
  </si>
  <si>
    <t>040000113179</t>
  </si>
  <si>
    <t>040000121277</t>
  </si>
  <si>
    <t>KHI/HO/D/MO/PC COMP/E/19780/05/2022</t>
  </si>
  <si>
    <t>050000465682</t>
  </si>
  <si>
    <t>KHI/HO/D/MI/LST/Q/240/07/2022</t>
  </si>
  <si>
    <t>010000006884</t>
  </si>
  <si>
    <t>KHI/HO/D/HLGRP HEALTH/E/15539/07/2022</t>
  </si>
  <si>
    <t>050000484461</t>
  </si>
  <si>
    <t>LHR/LHR/D/FR/ND/P/15040/07/2022</t>
  </si>
  <si>
    <t>040000121153</t>
  </si>
  <si>
    <t>KHI/HO/D/MI/TRI/P/3139/07/2022</t>
  </si>
  <si>
    <t>040000122234</t>
  </si>
  <si>
    <t>KHI/HO/D/MO/MC COMP/C/62088/40/07/2022</t>
  </si>
  <si>
    <t>070000106446</t>
  </si>
  <si>
    <t>LHR/LHR/D/MO/PC COMP/P/62540/07/2022</t>
  </si>
  <si>
    <t>040000122452</t>
  </si>
  <si>
    <t>040000122502</t>
  </si>
  <si>
    <t>040000123086</t>
  </si>
  <si>
    <t>KHI/HO/D/MO/PC COMP/R/55848/08/2022</t>
  </si>
  <si>
    <t>080000126061</t>
  </si>
  <si>
    <t>KHI/HO/D/MO/PC COMP/R/56048/08/2022</t>
  </si>
  <si>
    <t>080000126169</t>
  </si>
  <si>
    <t>040000121152</t>
  </si>
  <si>
    <t>LHR/LHR/D/FR/ND/P/15042/07/2022</t>
  </si>
  <si>
    <t>040000121155</t>
  </si>
  <si>
    <t>KHI/HO/D/MO/PC COMP/P/62070/06/2022</t>
  </si>
  <si>
    <t>040000121081</t>
  </si>
  <si>
    <t>040000121875</t>
  </si>
  <si>
    <t>LHR/LHR/D/MO/PC COMP/P/62539/07/2022</t>
  </si>
  <si>
    <t>040000122451</t>
  </si>
  <si>
    <t>040000122044</t>
  </si>
  <si>
    <t>KHI/HO/D/HLGRP HEALTH/Q/4769/04/2022</t>
  </si>
  <si>
    <t>010000006216</t>
  </si>
  <si>
    <t>KHI/HO/D/MR/IMPORTS/C/17042/07/2022</t>
  </si>
  <si>
    <t>070000106522</t>
  </si>
  <si>
    <t>040000121454</t>
  </si>
  <si>
    <t>040000122868</t>
  </si>
  <si>
    <t>KHI/HO/D/MO/MC TTT/P/62439/07/2022</t>
  </si>
  <si>
    <t>040000122045</t>
  </si>
  <si>
    <t>040000122048</t>
  </si>
  <si>
    <t>KHI/HO/D/MO/PC COMP/R/55210/39/07/2022</t>
  </si>
  <si>
    <t>080000124820</t>
  </si>
  <si>
    <t>KHI/HO/D/MR/INLAND TRANSIT/Q/148/08/2022</t>
  </si>
  <si>
    <t>010000006977</t>
  </si>
  <si>
    <t>KHI/HO/D/MR/IMPORTS/E/2626/03/2022</t>
  </si>
  <si>
    <t>050000453310</t>
  </si>
  <si>
    <t>040000122943</t>
  </si>
  <si>
    <t>KHI/HO/D/HLGRP HEALTH/Q/5248/08/2022</t>
  </si>
  <si>
    <t>010000006940</t>
  </si>
  <si>
    <t>KHI/HO/D/MI/TRI/P/326/03/2022</t>
  </si>
  <si>
    <t>040000113770</t>
  </si>
  <si>
    <t>KHI/HO/D/MO/PC COMP/P/59826/03/2022</t>
  </si>
  <si>
    <t>040000114427</t>
  </si>
  <si>
    <t>MUL/MUL/F/FR/ND/E/6339/07/2022</t>
  </si>
  <si>
    <t>050000484439</t>
  </si>
  <si>
    <t>KHI/HO/D/MO/PC COMP/P/62139/07/2022</t>
  </si>
  <si>
    <t>040000121303</t>
  </si>
  <si>
    <t>KHI/HO/D/MO/PC COMP/R/55804/08/2022</t>
  </si>
  <si>
    <t>080000126041</t>
  </si>
  <si>
    <t>KHI/HO/D/MI/TRI/P/769/04/2022</t>
  </si>
  <si>
    <t>040000115625</t>
  </si>
  <si>
    <t>040000121193</t>
  </si>
  <si>
    <t>040000122081</t>
  </si>
  <si>
    <t>KHI/HO/D/HLGRP HEALTH/E/15748/08/2022</t>
  </si>
  <si>
    <t>050000489858</t>
  </si>
  <si>
    <t>040000123357</t>
  </si>
  <si>
    <t>LHR/LHR/F/MO/PC COMP/P/62442/07/2022</t>
  </si>
  <si>
    <t>040000122050</t>
  </si>
  <si>
    <t>040000123362</t>
  </si>
  <si>
    <t>KHI/HO/D/MO/PC COMP/C/62089/39/07/2022</t>
  </si>
  <si>
    <t>070000103906</t>
  </si>
  <si>
    <t>040000122929</t>
  </si>
  <si>
    <t>040000118033</t>
  </si>
  <si>
    <t>KHI/HO/D/MR/IMPORTS/C/17039/07/2022</t>
  </si>
  <si>
    <t>070000106501</t>
  </si>
  <si>
    <t>KHI/HO/D/MI/TRI/P/3140/07/2022</t>
  </si>
  <si>
    <t>040000122235</t>
  </si>
  <si>
    <t>040000117834</t>
  </si>
  <si>
    <t>040000111840</t>
  </si>
  <si>
    <t>KHI/HO/D/MO/PC COMP/C/59294/26/03/2022</t>
  </si>
  <si>
    <t>070000095389</t>
  </si>
  <si>
    <t>KHI/HO/D/MO/PC COMP/R/55129/39/07/2022</t>
  </si>
  <si>
    <t>080000125310</t>
  </si>
  <si>
    <t>KHI/HO/D/MO/PC COMP/R/55129/42/07/2022</t>
  </si>
  <si>
    <t>080000125313</t>
  </si>
  <si>
    <t>KHI/HO/D/HLGRP HEALTH/E/13737/03/2022</t>
  </si>
  <si>
    <t>050000450690</t>
  </si>
  <si>
    <t>KHI/HO/D/MO/PC COMP/C/62063/42/07/2022</t>
  </si>
  <si>
    <t>070000105437</t>
  </si>
  <si>
    <t>KHI/HO/D/MO/PC COMP/R/55197/40/07/2022</t>
  </si>
  <si>
    <t>080000124713</t>
  </si>
  <si>
    <t>KHI/HO/D/MO/PC COMP/R/55197/39/07/2022</t>
  </si>
  <si>
    <t>080000124712</t>
  </si>
  <si>
    <t>KHI/HO/D/MO/PC COMP/R/55197/42/07/2022</t>
  </si>
  <si>
    <t>080000124715</t>
  </si>
  <si>
    <t>KHI/HO/D/MO/PC COMP/C/59649/126/03/2022</t>
  </si>
  <si>
    <t>070000096446</t>
  </si>
  <si>
    <t>KHI/HO/D/MI/MP/P/2026/03/2022</t>
  </si>
  <si>
    <t>040000113451</t>
  </si>
  <si>
    <t>KHI/HO/D/MO/PC COMP/C/62374/39/07/2022</t>
  </si>
  <si>
    <t>070000104258</t>
  </si>
  <si>
    <t>KHI/HO/D/MO/PC COMP/C/62374/40/07/2022</t>
  </si>
  <si>
    <t>070000104259</t>
  </si>
  <si>
    <t>KHI/HO/D/MO/PC COMP/C/62374/42/07/2022</t>
  </si>
  <si>
    <t>070000104261</t>
  </si>
  <si>
    <t>KHI/HO/D/MO/MC TTT/P/59526/03/2022</t>
  </si>
  <si>
    <t>040000113825</t>
  </si>
  <si>
    <t>040000118683</t>
  </si>
  <si>
    <t>KHI/HO/D/MO/PC COMP/C/59649/26/03/2022</t>
  </si>
  <si>
    <t>070000096346</t>
  </si>
  <si>
    <t>040000112524</t>
  </si>
  <si>
    <t>LHR/LHR/D/MO/PC COMP/E/19126/03/2022</t>
  </si>
  <si>
    <t>050000454506</t>
  </si>
  <si>
    <t>040000111682</t>
  </si>
  <si>
    <t>070000101188</t>
  </si>
  <si>
    <t>040000115763</t>
  </si>
  <si>
    <t>040000114308</t>
  </si>
  <si>
    <t>KHI/HO/D/MO/PC COMP/C/62699/48/08/2022</t>
  </si>
  <si>
    <t>070000107181</t>
  </si>
  <si>
    <t>KHI/HO/D/MI/TRI/P/2939/07/2022</t>
  </si>
  <si>
    <t>040000121717</t>
  </si>
  <si>
    <t>040000123343</t>
  </si>
  <si>
    <t>KHI/HO/D/MO/PC COMP/C/62086/42/07/2022</t>
  </si>
  <si>
    <t>070000103671</t>
  </si>
  <si>
    <t>040000123426</t>
  </si>
  <si>
    <t>SKT/SKT/D/MR/INLAND TRANSIT/C/19539/07/2022</t>
  </si>
  <si>
    <t>020000027127</t>
  </si>
  <si>
    <t>040000123180</t>
  </si>
  <si>
    <t>KHI/HO/D/HLGRP HEALTH/E/15439/07/2022</t>
  </si>
  <si>
    <t>050000483712</t>
  </si>
  <si>
    <t>040000123420</t>
  </si>
  <si>
    <t>KHI/HO/D/MI/TRI/P/3340/07/2022</t>
  </si>
  <si>
    <t>040000122608</t>
  </si>
  <si>
    <t>KHI/HO/D/MI/LST/Q/242/07/2022</t>
  </si>
  <si>
    <t>010000006887</t>
  </si>
  <si>
    <t>KHI/HO/D/MI/TRI/P/3448/08/2022</t>
  </si>
  <si>
    <t>040000123011</t>
  </si>
  <si>
    <t>KHI/HO/D/MI/TRI/P/3339/07/2022</t>
  </si>
  <si>
    <t>040000122607</t>
  </si>
  <si>
    <t>040000121582</t>
  </si>
  <si>
    <t>040000115771</t>
  </si>
  <si>
    <t>040000120596</t>
  </si>
  <si>
    <t>KHI/HO/D/MO/PC COMP/C/62086/39/07/2022</t>
  </si>
  <si>
    <t>070000103654</t>
  </si>
  <si>
    <t>040000116696</t>
  </si>
  <si>
    <t>040000118632</t>
  </si>
  <si>
    <t>040000116176</t>
  </si>
  <si>
    <t>040000117742</t>
  </si>
  <si>
    <t>KHI/HO/D/MO/PC COMP/C/62370/40/07/2022</t>
  </si>
  <si>
    <t>070000104339</t>
  </si>
  <si>
    <t>KHI/HO/D/MO/PC COMP/C/62370/39/07/2022</t>
  </si>
  <si>
    <t>070000104338</t>
  </si>
  <si>
    <t>040000115773</t>
  </si>
  <si>
    <t>KHI/HO/D/MI/TRI/P/3548/08/2022</t>
  </si>
  <si>
    <t>040000123258</t>
  </si>
  <si>
    <t>LHR/LHR/D/MO/PC COMP/E/20948/08/2022</t>
  </si>
  <si>
    <t>050000489444</t>
  </si>
  <si>
    <t>040000121219</t>
  </si>
  <si>
    <t>040000122376</t>
  </si>
  <si>
    <t>KHI/HO/D/MO/PC COMP/R/55248/08/2022</t>
  </si>
  <si>
    <t>080000126412</t>
  </si>
  <si>
    <t>KHI/HO/D/MO/PC COMP/P/62642/07/2022</t>
  </si>
  <si>
    <t>040000122709</t>
  </si>
  <si>
    <t>040000123104</t>
  </si>
  <si>
    <t>KHI/HO/D/HLGRP HEALTH/E/15540/07/2022</t>
  </si>
  <si>
    <t>050000484467</t>
  </si>
  <si>
    <t>040000123111</t>
  </si>
  <si>
    <t>KHI/HO/D/HLGRP HEALTH/E/15340/07/2022</t>
  </si>
  <si>
    <t>050000480758</t>
  </si>
  <si>
    <t>LHR/LHR/D/MR/IMPORTS/P/38596/01/2023</t>
  </si>
  <si>
    <t>040000135780</t>
  </si>
  <si>
    <t>040000130357</t>
  </si>
  <si>
    <t>040000137212</t>
  </si>
  <si>
    <t>KHI/HO/D/MI/TRI/P/2940/07/2022</t>
  </si>
  <si>
    <t>040000121722</t>
  </si>
  <si>
    <t>KHI/HO/D/MI/TRI/P/3039/07/2022</t>
  </si>
  <si>
    <t>040000122011</t>
  </si>
  <si>
    <t>040000130454</t>
  </si>
  <si>
    <t>040000132011</t>
  </si>
  <si>
    <t>040000125966</t>
  </si>
  <si>
    <t>040000140961</t>
  </si>
  <si>
    <t>KHI/HO/D/MR/IMPORTS/P/39030/02/2023</t>
  </si>
  <si>
    <t>040000140707</t>
  </si>
  <si>
    <t>KHI/HO/D/FR/ND/P/17373/12/2022</t>
  </si>
  <si>
    <t>040000135457</t>
  </si>
  <si>
    <t>KHI/HO/D/HLGRP HEALTH/E/16120/09/2022</t>
  </si>
  <si>
    <t>050000498906</t>
  </si>
  <si>
    <t>040000133536</t>
  </si>
  <si>
    <t>KHI/HO/D/MI/TRI/P/4812/09/2022</t>
  </si>
  <si>
    <t>040000126756</t>
  </si>
  <si>
    <t>040000132599</t>
  </si>
  <si>
    <t>040000131040</t>
  </si>
  <si>
    <t>040000128019</t>
  </si>
  <si>
    <t>040000130865</t>
  </si>
  <si>
    <t>KHI/HO/D/HLGRP HEALTH/E/16050/09/2022</t>
  </si>
  <si>
    <t>050000495809</t>
  </si>
  <si>
    <t>040000132501</t>
  </si>
  <si>
    <t>040000135924</t>
  </si>
  <si>
    <t>040000126164</t>
  </si>
  <si>
    <t>KHI/HO/D/FR/ND/P/16050/09/2022</t>
  </si>
  <si>
    <t>040000126313</t>
  </si>
  <si>
    <t>KHI/HO/D/MO/PC COMP/C/63271/50/09/2022</t>
  </si>
  <si>
    <t>070000111761</t>
  </si>
  <si>
    <t>040000126172</t>
  </si>
  <si>
    <t>LHR/LHR/D/MO/PC COMP/C/10259/01/2023</t>
  </si>
  <si>
    <t>020000030815</t>
  </si>
  <si>
    <t>040000125249</t>
  </si>
  <si>
    <t>040000140853</t>
  </si>
  <si>
    <t>040000138253</t>
  </si>
  <si>
    <t>040000137453</t>
  </si>
  <si>
    <t>040000135984</t>
  </si>
  <si>
    <t>KHI/HO/D/HLGRP HEALTH/E/16122/09/2022</t>
  </si>
  <si>
    <t>050000498909</t>
  </si>
  <si>
    <t>KHI/HO/D/HLGRP HEALTH/E/17110/11/2022</t>
  </si>
  <si>
    <t>050000525243</t>
  </si>
  <si>
    <t>KHI/HO/D/MO/PC COMP/C/66966/260/01/2023</t>
  </si>
  <si>
    <t>070000122131</t>
  </si>
  <si>
    <t>040000130594</t>
  </si>
  <si>
    <t>040000130595</t>
  </si>
  <si>
    <t>040000130670</t>
  </si>
  <si>
    <t>040000131640</t>
  </si>
  <si>
    <t>040000131641</t>
  </si>
  <si>
    <t>KHI/HO/D/FR/ND/P/15448/08/2022</t>
  </si>
  <si>
    <t>040000124538</t>
  </si>
  <si>
    <t>040000123504</t>
  </si>
  <si>
    <t>040000124164</t>
  </si>
  <si>
    <t>040000126087</t>
  </si>
  <si>
    <t>KHI/HO/D/HLGRP HEALTH/E/17407/12/2022</t>
  </si>
  <si>
    <t>050000531745</t>
  </si>
  <si>
    <t>040000132879</t>
  </si>
  <si>
    <t>040000127431</t>
  </si>
  <si>
    <t>040000124878</t>
  </si>
  <si>
    <t>040000123521</t>
  </si>
  <si>
    <t>KHI/HO/D/MO/PC COMP/C/63286/50/09/2022</t>
  </si>
  <si>
    <t>070000112289</t>
  </si>
  <si>
    <t>KHI/HO/D/FR/ND/P/15348/08/2022</t>
  </si>
  <si>
    <t>040000124104</t>
  </si>
  <si>
    <t>KHI/HO/D/MI/TRI/E/567/02/2023</t>
  </si>
  <si>
    <t>050000558994</t>
  </si>
  <si>
    <t>KHI/HO/D/MO/PC COMP/E/21254/09/2022</t>
  </si>
  <si>
    <t>050000496180</t>
  </si>
  <si>
    <t>040000134713</t>
  </si>
  <si>
    <t>040000134729</t>
  </si>
  <si>
    <t>040000130050</t>
  </si>
  <si>
    <t>040000130095</t>
  </si>
  <si>
    <t>040000124243</t>
  </si>
  <si>
    <t>KHI/HO/D/MO/MC TTT/E/22188/11/2022</t>
  </si>
  <si>
    <t>050000528863</t>
  </si>
  <si>
    <t>KHI/HO/D/MR/INLAND TRANSIT/Q/188/11/2022</t>
  </si>
  <si>
    <t>010000007694</t>
  </si>
  <si>
    <t>040000130079</t>
  </si>
  <si>
    <t>040000137108</t>
  </si>
  <si>
    <t>040000126995</t>
  </si>
  <si>
    <t>KHI/HO/D/HLGRP HEALTH/E/16835/10/2022</t>
  </si>
  <si>
    <t>050000518300</t>
  </si>
  <si>
    <t>KHI/HO/D/MI/TRI/P/8259/01/2023</t>
  </si>
  <si>
    <t>040000136012</t>
  </si>
  <si>
    <t>KHI/HO/D/HLGRP HEALTH/E/17339/11/2022</t>
  </si>
  <si>
    <t>050000530592</t>
  </si>
  <si>
    <t>KHI/HO/D/MO/PC COMP/C/66791/259/01/2023</t>
  </si>
  <si>
    <t>070000121434</t>
  </si>
  <si>
    <t>KHI/HO/D/MO/PC COMP/C/66791/260/01/2023</t>
  </si>
  <si>
    <t>070000121435</t>
  </si>
  <si>
    <t>040000131730</t>
  </si>
  <si>
    <t>KHI/HO/D/MO/PC TPP/C/10200/01/2023</t>
  </si>
  <si>
    <t>020000030747</t>
  </si>
  <si>
    <t>040000137086</t>
  </si>
  <si>
    <t>040000131642</t>
  </si>
  <si>
    <t>040000128103</t>
  </si>
  <si>
    <t>MUL/MUL/F/FR/ND/E/6933/11/2022</t>
  </si>
  <si>
    <t>050000530603</t>
  </si>
  <si>
    <t>040000138768</t>
  </si>
  <si>
    <t>040000138821</t>
  </si>
  <si>
    <t>KHI/HO/D/MI/TRI/P/9167/02/2023</t>
  </si>
  <si>
    <t>040000138883</t>
  </si>
  <si>
    <t>060000000325</t>
  </si>
  <si>
    <t>KHI/HO/D/MO/PC TPP/C/11067/02/2023</t>
  </si>
  <si>
    <t>020000031736</t>
  </si>
  <si>
    <t>040000135023</t>
  </si>
  <si>
    <t>040000135113</t>
  </si>
  <si>
    <t>040000116694</t>
  </si>
  <si>
    <t>KHI/HO/D/MO/PC COMP/R/54094/26/03/2022</t>
  </si>
  <si>
    <t>080000120717</t>
  </si>
  <si>
    <t>040000121345</t>
  </si>
  <si>
    <t>040000115228</t>
  </si>
  <si>
    <t>KHI/HO/D/MO/PC COMP/C/59627/26/03/2022</t>
  </si>
  <si>
    <t>070000096175</t>
  </si>
  <si>
    <t>KHI/HO/D/MI/TRI/P/2739/07/2022</t>
  </si>
  <si>
    <t>040000121221</t>
  </si>
  <si>
    <t>KHI/HO/D/MO/PC COMP/P/62748/08/2022</t>
  </si>
  <si>
    <t>040000123024</t>
  </si>
  <si>
    <t>KHI/HO/D/MI/TRI/P/1796/06/2022</t>
  </si>
  <si>
    <t>040000118178</t>
  </si>
  <si>
    <t>040000115951</t>
  </si>
  <si>
    <t>040000122579</t>
  </si>
  <si>
    <t>040000112594</t>
  </si>
  <si>
    <t>KHI/HO/D/HLGRP HEALTH/E/15542/07/2022</t>
  </si>
  <si>
    <t>050000484943</t>
  </si>
  <si>
    <t>040000114743</t>
  </si>
  <si>
    <t>KHI/HO/D/MI/TRI/P/3239/07/2022</t>
  </si>
  <si>
    <t>040000122377</t>
  </si>
  <si>
    <t>040000113059</t>
  </si>
  <si>
    <t>040000122105</t>
  </si>
  <si>
    <t>KHI/HO/D/MO/PC COMP/C/62524/40/07/2022</t>
  </si>
  <si>
    <t>070000106598</t>
  </si>
  <si>
    <t>KHI/HO/D/MO/PC COMP/C/62524/42/07/2022</t>
  </si>
  <si>
    <t>070000106600</t>
  </si>
  <si>
    <t>KHI/HO/D/MO/PC COMP/E/20842/07/2022</t>
  </si>
  <si>
    <t>050000485733</t>
  </si>
  <si>
    <t>KHI/HO/D/MO/MC COMP/R/54965/39/07/2022</t>
  </si>
  <si>
    <t>080000124668</t>
  </si>
  <si>
    <t>KHI/HO/D/MO/MC COMP/R/54965/40/07/2022</t>
  </si>
  <si>
    <t>080000124669</t>
  </si>
  <si>
    <t>KHI/HO/D/MO/MC COMP/R/54965/42/07/2022</t>
  </si>
  <si>
    <t>080000124671</t>
  </si>
  <si>
    <t>SKT/SKT/D/FR/ND/P/15140/07/2022</t>
  </si>
  <si>
    <t>040000122345</t>
  </si>
  <si>
    <t>KHI/HO/D/MO/PC COMP/R/55129/40/07/2022</t>
  </si>
  <si>
    <t>080000125311</t>
  </si>
  <si>
    <t>KHI/HO/D/MO/PD COMP/R/55440/07/2022</t>
  </si>
  <si>
    <t>080000125044</t>
  </si>
  <si>
    <t>LHR/LHR/D/MO/PC COMP/C/22866/08/2024</t>
  </si>
  <si>
    <t>020000046478</t>
  </si>
  <si>
    <t>KHI/HO/D/MO/PC COMP/R/55442/07/2022</t>
  </si>
  <si>
    <t>080000125046</t>
  </si>
  <si>
    <t>040000116011</t>
  </si>
  <si>
    <t>KHI/HO/D/MO/PC COMP/P/62242/07/2022</t>
  </si>
  <si>
    <t>040000121602</t>
  </si>
  <si>
    <t>040000122408</t>
  </si>
  <si>
    <t>KHI/HO/D/MO/PC COMP/C/62089/40/07/2022</t>
  </si>
  <si>
    <t>070000103916</t>
  </si>
  <si>
    <t>KHI/HO/D/MR/IMPORTS/C/16789/05/2022</t>
  </si>
  <si>
    <t>070000100552</t>
  </si>
  <si>
    <t>MUL/MUL/F/FR/ND/E/6340/07/2022</t>
  </si>
  <si>
    <t>050000484448</t>
  </si>
  <si>
    <t>KHI/HO/D/MO/PC COMP/C/62306/39/07/2022</t>
  </si>
  <si>
    <t>070000103974</t>
  </si>
  <si>
    <t>KHI/HO/D/MO/PC COMP/C/62306/42/07/2022</t>
  </si>
  <si>
    <t>070000103978</t>
  </si>
  <si>
    <t>040000111883</t>
  </si>
  <si>
    <t>KHI/HO/D/MI/TRI/P/2840/07/2022</t>
  </si>
  <si>
    <t>040000121475</t>
  </si>
  <si>
    <t>KHI/HO/D/MO/PD COMP/R/55339/07/2022</t>
  </si>
  <si>
    <t>080000124994</t>
  </si>
  <si>
    <t>KHI/HO/D/MO/PC COMP/R/55342/07/2022</t>
  </si>
  <si>
    <t>080000124995</t>
  </si>
  <si>
    <t>KHI/HO/F/FR/ND/E/5926/03/2022</t>
  </si>
  <si>
    <t>050000454530</t>
  </si>
  <si>
    <t>040000111717</t>
  </si>
  <si>
    <t>040000111718</t>
  </si>
  <si>
    <t>040000111854</t>
  </si>
  <si>
    <t>040000115506</t>
  </si>
  <si>
    <t>KHI/HO/D/MI/TRI/P/2842/07/2022</t>
  </si>
  <si>
    <t>040000121482</t>
  </si>
  <si>
    <t>040000121590</t>
  </si>
  <si>
    <t>040000114471</t>
  </si>
  <si>
    <t>KHI/HO/D/MO/MC COMP/R/53965/26/03/2022</t>
  </si>
  <si>
    <t>080000120062</t>
  </si>
  <si>
    <t>KHI/HO/D/MO/PC COMP/C/59626/26/03/2022</t>
  </si>
  <si>
    <t>070000096106</t>
  </si>
  <si>
    <t>040000111898</t>
  </si>
  <si>
    <t>KHI/HO/D/MO/PC COMP/R/55039/07/2022</t>
  </si>
  <si>
    <t>080000125516</t>
  </si>
  <si>
    <t>040000114359</t>
  </si>
  <si>
    <t>KHI/HO/D/MO/PC COMP/P/62239/07/2022</t>
  </si>
  <si>
    <t>040000121592</t>
  </si>
  <si>
    <t>040000132744</t>
  </si>
  <si>
    <t>KHI/HO/D/MO/PC COMP/E/21250/09/2022</t>
  </si>
  <si>
    <t>050000496097</t>
  </si>
  <si>
    <t>KHI/HO/D/HLGRP HEALTH/E/15804/08/2022</t>
  </si>
  <si>
    <t>050000491105</t>
  </si>
  <si>
    <t>040000127389</t>
  </si>
  <si>
    <t>040000131006</t>
  </si>
  <si>
    <t>040000132057</t>
  </si>
  <si>
    <t>ISD/ISD/D/HLGRP HEALTH/E/17327/11/2022</t>
  </si>
  <si>
    <t>050000530065</t>
  </si>
  <si>
    <t>PEW/PEW/D/HLGRP HEALTH/E/17328/11/2022</t>
  </si>
  <si>
    <t>050000530066</t>
  </si>
  <si>
    <t>040000124392</t>
  </si>
  <si>
    <t>040000123593</t>
  </si>
  <si>
    <t>040000124753</t>
  </si>
  <si>
    <t>040000130729</t>
  </si>
  <si>
    <t>040000135841</t>
  </si>
  <si>
    <t>KHI/HO/D/MR/IMPORTS/C/20259/01/2023</t>
  </si>
  <si>
    <t>020000030521</t>
  </si>
  <si>
    <t>040000132805</t>
  </si>
  <si>
    <t>040000136481</t>
  </si>
  <si>
    <t>040000134551</t>
  </si>
  <si>
    <t>KHI/HO/D/HLGRP HEALTH/Q/5348/08/2022</t>
  </si>
  <si>
    <t>010000007112</t>
  </si>
  <si>
    <t>040000138322</t>
  </si>
  <si>
    <t>KHI/HO/D/MR/IMPORTS/P/37348/08/2022</t>
  </si>
  <si>
    <t>040000124024</t>
  </si>
  <si>
    <t>KHI/HO/D/FR/ND/P/15548/08/2022</t>
  </si>
  <si>
    <t>040000124680</t>
  </si>
  <si>
    <t>040000125908</t>
  </si>
  <si>
    <t>040000132797</t>
  </si>
  <si>
    <t>KHI/HO/D/MO/PC COMP/R/57923/12/2022</t>
  </si>
  <si>
    <t>080000133478</t>
  </si>
  <si>
    <t>040000134492</t>
  </si>
  <si>
    <t>KHI/HO/D/MR/EXPORTS/P/38663/01/2023</t>
  </si>
  <si>
    <t>040000136710</t>
  </si>
  <si>
    <t>KHI/HO/D/MI/BB/E/2259/01/2023</t>
  </si>
  <si>
    <t>050000550452</t>
  </si>
  <si>
    <t>040000137257</t>
  </si>
  <si>
    <t>KHI/HO/D/HLGRP HEALTH/E/17662/12/2022</t>
  </si>
  <si>
    <t>050000540078</t>
  </si>
  <si>
    <t>KHI/HO/D/MR/IMPORTS/A/1748/08/2022</t>
  </si>
  <si>
    <t>030000001757</t>
  </si>
  <si>
    <t>KHI/HO/D/MI/TRI/P/4850/09/2022</t>
  </si>
  <si>
    <t>040000126871</t>
  </si>
  <si>
    <t>KHI/HO/D/MI/TRI/P/3242/07/2022</t>
  </si>
  <si>
    <t>040000122383</t>
  </si>
  <si>
    <t>KHI/HO/D/MI/LST/Q/239/07/2022</t>
  </si>
  <si>
    <t>010000006881</t>
  </si>
  <si>
    <t>040000122098</t>
  </si>
  <si>
    <t>040000121197</t>
  </si>
  <si>
    <t>KHI/HO/D/MO/MC COMP/C/62088/39/07/2022</t>
  </si>
  <si>
    <t>070000106445</t>
  </si>
  <si>
    <t>040000122100</t>
  </si>
  <si>
    <t>KHI/HO/D/MR/IMPORTS/P/37139/07/2022</t>
  </si>
  <si>
    <t>040000122175</t>
  </si>
  <si>
    <t>KHI/HO/D/MO/MC TTT/P/59926/03/2022</t>
  </si>
  <si>
    <t>040000114593</t>
  </si>
  <si>
    <t>040000121465</t>
  </si>
  <si>
    <t>KHI/HO/D/MR/EXPORTS/P/37248/08/2022</t>
  </si>
  <si>
    <t>040000123032</t>
  </si>
  <si>
    <t>KHI/HO/D/MO/PC COMP/R/54226/03/2022</t>
  </si>
  <si>
    <t>080000120468</t>
  </si>
  <si>
    <t>KHI/HO/D/FR/ND/P/14796/06/2022</t>
  </si>
  <si>
    <t>040000120446</t>
  </si>
  <si>
    <t>040000115687</t>
  </si>
  <si>
    <t>KHI/HO/D/MO/PC COMP/C/62251/39/07/2022</t>
  </si>
  <si>
    <t>070000103803</t>
  </si>
  <si>
    <t>KHI/HO/D/MO/PC COMP/C/62251/40/07/2022</t>
  </si>
  <si>
    <t>070000103804</t>
  </si>
  <si>
    <t>KHI/HO/D/MO/PC COMP/R/54926/03/2022</t>
  </si>
  <si>
    <t>080000120547</t>
  </si>
  <si>
    <t>040000114030</t>
  </si>
  <si>
    <t>KHI/HO/D/MO/PC COMP/R/55139/07/2022</t>
  </si>
  <si>
    <t>080000125333</t>
  </si>
  <si>
    <t>040000116090</t>
  </si>
  <si>
    <t>KHI/HO/D/MO/PC COMP/C/7539/07/2022</t>
  </si>
  <si>
    <t>020000027361</t>
  </si>
  <si>
    <t>KHI/HO/D/MO/PC COMP/E/20840/07/2022</t>
  </si>
  <si>
    <t>050000485697</t>
  </si>
  <si>
    <t>KHI/HO/D/HLGRP HEALTH/E/14789/05/2022</t>
  </si>
  <si>
    <t>050000468451</t>
  </si>
  <si>
    <t>KHI/HO/D/MO/PC COMP/R/54426/03/2022</t>
  </si>
  <si>
    <t>080000120535</t>
  </si>
  <si>
    <t>040000116127</t>
  </si>
  <si>
    <t>KHI/HO/D/MO/PC COMP/R/54909/42/07/2022</t>
  </si>
  <si>
    <t>080000124596</t>
  </si>
  <si>
    <t>KHI/HO/D/MI/TRI/P/3042/07/2022</t>
  </si>
  <si>
    <t>040000122015</t>
  </si>
  <si>
    <t>KHI/HO/D/MO/MC TTT/P/62440/07/2022</t>
  </si>
  <si>
    <t>040000122047</t>
  </si>
  <si>
    <t>040000123443</t>
  </si>
  <si>
    <t>040000122099</t>
  </si>
  <si>
    <t>KHI/HO/D/MO/PC COMP/P/62848/08/2022</t>
  </si>
  <si>
    <t>040000123318</t>
  </si>
  <si>
    <t>040000123326</t>
  </si>
  <si>
    <t>040000123501</t>
  </si>
  <si>
    <t>040000123502</t>
  </si>
  <si>
    <t>040000122097</t>
  </si>
  <si>
    <t>040000122405</t>
  </si>
  <si>
    <t>KHI/HO/D/MO/PC COMP/R/55439/07/2022</t>
  </si>
  <si>
    <t>080000125544</t>
  </si>
  <si>
    <t>KHI/HO/D/MI/TRI/P/3240/07/2022</t>
  </si>
  <si>
    <t>040000122379</t>
  </si>
  <si>
    <t>KHI/HO/D/FR/ND/E/6448/08/2022</t>
  </si>
  <si>
    <t>050000490316</t>
  </si>
  <si>
    <t>KHI/HO/D/MO/PC COMP/C/7542/07/2022</t>
  </si>
  <si>
    <t>020000027364</t>
  </si>
  <si>
    <t>LHR/LHR/D/MR/IMPORTS/P/36796/06/2022</t>
  </si>
  <si>
    <t>040000118202</t>
  </si>
  <si>
    <t>040000122551</t>
  </si>
  <si>
    <t>040000122558</t>
  </si>
  <si>
    <t>040000122697</t>
  </si>
  <si>
    <t>SKT/SKT/D/MR/INLAND TRANSIT/C/19542/07/2022</t>
  </si>
  <si>
    <t>020000027131</t>
  </si>
  <si>
    <t>KHI/HO/D/MO/PC COMP/R/55159/42/07/2022</t>
  </si>
  <si>
    <t>080000125388</t>
  </si>
  <si>
    <t>LHR/LHR/D/MO/PC COMP/E/20739/07/2022</t>
  </si>
  <si>
    <t>050000484272</t>
  </si>
  <si>
    <t>KHI/HO/D/HLGRP HEALTH/Q/5139/07/2022</t>
  </si>
  <si>
    <t>010000006744</t>
  </si>
  <si>
    <t>KHI/HO/D/HLGRP HEALTH/Q/5140/07/2022</t>
  </si>
  <si>
    <t>010000006745</t>
  </si>
  <si>
    <t>040000119375</t>
  </si>
  <si>
    <t>040000122380</t>
  </si>
  <si>
    <t>040000121491</t>
  </si>
  <si>
    <t>040000122112</t>
  </si>
  <si>
    <t>040000115452</t>
  </si>
  <si>
    <t>KHI/HO/D/MO/PC COMP/R/54909/39/07/2022</t>
  </si>
  <si>
    <t>080000124593</t>
  </si>
  <si>
    <t>KHI/HO/D/MO/PC COMP/R/54909/40/07/2022</t>
  </si>
  <si>
    <t>080000124594</t>
  </si>
  <si>
    <t>KHI/HO/D/MO/PC COMP/R/55159/39/07/2022</t>
  </si>
  <si>
    <t>080000125385</t>
  </si>
  <si>
    <t>KHI/HO/D/MO/PC COMP/R/55159/40/07/2022</t>
  </si>
  <si>
    <t>080000125386</t>
  </si>
  <si>
    <t>KHI/HO/D/MR/IMPORTS/P/37140/07/2022</t>
  </si>
  <si>
    <t>040000122177</t>
  </si>
  <si>
    <t>040000118030</t>
  </si>
  <si>
    <t>040000123304</t>
  </si>
  <si>
    <t>KHI/HO/D/MR/IMPORTS/C/19026/03/2022</t>
  </si>
  <si>
    <t>020000024957</t>
  </si>
  <si>
    <t>040000116077</t>
  </si>
  <si>
    <t>KHI/HO/D/MO/PC COMP/C/62251/42/07/2022</t>
  </si>
  <si>
    <t>070000103806</t>
  </si>
  <si>
    <t>040000114491</t>
  </si>
  <si>
    <t>040000116412</t>
  </si>
  <si>
    <t>LHR/LHR/D/MO/PC COMP/P/59726/03/2022</t>
  </si>
  <si>
    <t>040000114245</t>
  </si>
  <si>
    <t>040000121676</t>
  </si>
  <si>
    <t>040000123047</t>
  </si>
  <si>
    <t>KHI/HO/D/HLGRP HEALTH/Q/4626/03/2022</t>
  </si>
  <si>
    <t>010000005978</t>
  </si>
  <si>
    <t>070000103246</t>
  </si>
  <si>
    <t>070000103249</t>
  </si>
  <si>
    <t>KHI/HO/D/MO/PC COMP/P/62639/07/2022</t>
  </si>
  <si>
    <t>040000122706</t>
  </si>
  <si>
    <t>LHR/LHR/D/MO/PC COMP/P/62640/07/2022</t>
  </si>
  <si>
    <t>040000122707</t>
  </si>
  <si>
    <t>040000122919</t>
  </si>
  <si>
    <t>KHI/HO/D/MR/IMPORTS/C/17040/07/2022</t>
  </si>
  <si>
    <t>070000106504</t>
  </si>
  <si>
    <t>LHR/LHR/D/MO/PC COMP/R/55948/08/2022</t>
  </si>
  <si>
    <t>080000126269</t>
  </si>
  <si>
    <t>KHI/HO/D/MO/PC COMP/E/20839/07/2022</t>
  </si>
  <si>
    <t>050000485675</t>
  </si>
  <si>
    <t>040000121063</t>
  </si>
  <si>
    <t>040000122092</t>
  </si>
  <si>
    <t>040000122104</t>
  </si>
  <si>
    <t>KHI/HO/D/MO/MC TTT/C/7439/07/2022</t>
  </si>
  <si>
    <t>020000027222</t>
  </si>
  <si>
    <t>KHI/HO/D/MO/MC TTT/C/7440/07/2022</t>
  </si>
  <si>
    <t>020000027223</t>
  </si>
  <si>
    <t>040000122590</t>
  </si>
  <si>
    <t>KHI/HO/D/MO/PC COMP/P/59251/02/2022</t>
  </si>
  <si>
    <t>040000113356</t>
  </si>
  <si>
    <t>040000118711</t>
  </si>
  <si>
    <t>KHI/HO/F/MR/IMPORTS/E/2839/07/2022</t>
  </si>
  <si>
    <t>050000486838</t>
  </si>
  <si>
    <t>KHI/HO/F/MR/IMPORTS/E/2840/07/2022</t>
  </si>
  <si>
    <t>050000486839</t>
  </si>
  <si>
    <t>KHI/HO/F/MR/IMPORTS/E/2842/07/2022</t>
  </si>
  <si>
    <t>050000486841</t>
  </si>
  <si>
    <t>KHI/HO/D/MO/PC COMP/C/59508/26/03/2022</t>
  </si>
  <si>
    <t>070000095714</t>
  </si>
  <si>
    <t>KHI/HO/D/HLGRP HEALTH/E/13731/03/2022</t>
  </si>
  <si>
    <t>050000450681</t>
  </si>
  <si>
    <t>KHI/HO/D/HLGRP HEALTH/E/13733/03/2022</t>
  </si>
  <si>
    <t>050000450683</t>
  </si>
  <si>
    <t>LHR/LHR/D/MR/IMPORTS/A/1740/07/2022</t>
  </si>
  <si>
    <t>030000001749</t>
  </si>
  <si>
    <t>KHI/HO/D/HLGRP HEALTH/E/15648/08/2022</t>
  </si>
  <si>
    <t>050000487503</t>
  </si>
  <si>
    <t>040000116481</t>
  </si>
  <si>
    <t>040000107718</t>
  </si>
  <si>
    <t>040000108921</t>
  </si>
  <si>
    <t>040000108669</t>
  </si>
  <si>
    <t>KHI/HO/D/HLGRP HEALTH/R/684/11/2021</t>
  </si>
  <si>
    <t>080000116813</t>
  </si>
  <si>
    <t>KHI/HO/D/HLGRP HEALTH/R/688/11/2021</t>
  </si>
  <si>
    <t>080000116817</t>
  </si>
  <si>
    <t>KHI/HO/D/HLGRP HEALTH/R/689/11/2021</t>
  </si>
  <si>
    <t>080000116818</t>
  </si>
  <si>
    <t>040000109084</t>
  </si>
  <si>
    <t>KHI/HO/D/MI/BB/E/1684/11/2021</t>
  </si>
  <si>
    <t>050000419637</t>
  </si>
  <si>
    <t>040000108509</t>
  </si>
  <si>
    <t>040000109008</t>
  </si>
  <si>
    <t>040000108362</t>
  </si>
  <si>
    <t>040000106839</t>
  </si>
  <si>
    <t>KHI/HO/D/MO/PC COMP/P/56679/11/2021</t>
  </si>
  <si>
    <t>040000108487</t>
  </si>
  <si>
    <t>040000103890</t>
  </si>
  <si>
    <t>040000108327</t>
  </si>
  <si>
    <t>040000108365</t>
  </si>
  <si>
    <t>040000108377</t>
  </si>
  <si>
    <t>040000108315</t>
  </si>
  <si>
    <t>040000109680</t>
  </si>
  <si>
    <t>KHI/HO/D/MO/PC COMP/P/56689/11/2021</t>
  </si>
  <si>
    <t>040000108513</t>
  </si>
  <si>
    <t>040000109072</t>
  </si>
  <si>
    <t>040000108624</t>
  </si>
  <si>
    <t>040000108626</t>
  </si>
  <si>
    <t>040000107644</t>
  </si>
  <si>
    <t>040000104539</t>
  </si>
  <si>
    <t>040000104853</t>
  </si>
  <si>
    <t>KHI/HO/D/MO/PD COMP/E/44626/08/2024</t>
  </si>
  <si>
    <t>050000777711</t>
  </si>
  <si>
    <t>040000105901</t>
  </si>
  <si>
    <t>040000106490</t>
  </si>
  <si>
    <t>040000105254</t>
  </si>
  <si>
    <t>040000109065</t>
  </si>
  <si>
    <t>KHI/HO/D/HLGRP HEALTH/E/11851/11/2021</t>
  </si>
  <si>
    <t>050000420400</t>
  </si>
  <si>
    <t>040000108658</t>
  </si>
  <si>
    <t>KHI/HO/D/HLGRP HEALTH/E/11679/11/2021</t>
  </si>
  <si>
    <t>050000419671</t>
  </si>
  <si>
    <t>KHI/HO/D/HLGRP HEALTH/E/11852/11/2021</t>
  </si>
  <si>
    <t>050000420401</t>
  </si>
  <si>
    <t>040000108381</t>
  </si>
  <si>
    <t>040000108500</t>
  </si>
  <si>
    <t>040000108503</t>
  </si>
  <si>
    <t>040000103826</t>
  </si>
  <si>
    <t>040000108504</t>
  </si>
  <si>
    <t>040000108505</t>
  </si>
  <si>
    <t>040000103547</t>
  </si>
  <si>
    <t>040000108294</t>
  </si>
  <si>
    <t>040000108297</t>
  </si>
  <si>
    <t>040000109624</t>
  </si>
  <si>
    <t>040000109704</t>
  </si>
  <si>
    <t>040000106315</t>
  </si>
  <si>
    <t>040000107553</t>
  </si>
  <si>
    <t>040000107578</t>
  </si>
  <si>
    <t>040000108663</t>
  </si>
  <si>
    <t>040000108904</t>
  </si>
  <si>
    <t>040000104702</t>
  </si>
  <si>
    <t>KHI/HO/D/HLGRP HEALTH/E/12702/12/2021</t>
  </si>
  <si>
    <t>050000431002</t>
  </si>
  <si>
    <t>040000106852</t>
  </si>
  <si>
    <t>040000108394</t>
  </si>
  <si>
    <t>LHR/LHR/D/HLGRP HEALTH/E/11682/11/2021</t>
  </si>
  <si>
    <t>050000419675</t>
  </si>
  <si>
    <t>KHI/HO/D/HLGRP HEALTH/E/11683/11/2021</t>
  </si>
  <si>
    <t>050000419676</t>
  </si>
  <si>
    <t>KHI/HO/D/HLGRP HEALTH/E/11684/11/2021</t>
  </si>
  <si>
    <t>050000419677</t>
  </si>
  <si>
    <t>040000108920</t>
  </si>
  <si>
    <t>040000109775</t>
  </si>
  <si>
    <t>040000108399</t>
  </si>
  <si>
    <t>040000108992</t>
  </si>
  <si>
    <t>040000108605</t>
  </si>
  <si>
    <t>040000106313</t>
  </si>
  <si>
    <t>040000108341</t>
  </si>
  <si>
    <t>040000104576</t>
  </si>
  <si>
    <t>040000110701</t>
  </si>
  <si>
    <t>040000109049</t>
  </si>
  <si>
    <t>040000109051</t>
  </si>
  <si>
    <t>040000106542</t>
  </si>
  <si>
    <t>040000109068</t>
  </si>
  <si>
    <t>040000108287</t>
  </si>
  <si>
    <t>040000108299</t>
  </si>
  <si>
    <t>040000108339</t>
  </si>
  <si>
    <t>040000107656</t>
  </si>
  <si>
    <t>040000106537</t>
  </si>
  <si>
    <t>040000110022</t>
  </si>
  <si>
    <t>040000110026</t>
  </si>
  <si>
    <t>040000110035</t>
  </si>
  <si>
    <t>040000107731</t>
  </si>
  <si>
    <t>040000107734</t>
  </si>
  <si>
    <t>040000114041</t>
  </si>
  <si>
    <t>KHI/HO/D/HLGRP HEALTH/E/13926/03/2022</t>
  </si>
  <si>
    <t>050000454056</t>
  </si>
  <si>
    <t>040000106841</t>
  </si>
  <si>
    <t>040000114261</t>
  </si>
  <si>
    <t>040000104697</t>
  </si>
  <si>
    <t>040000104699</t>
  </si>
  <si>
    <t>KHI/HO/D/MO/PC COMP/P/56688/11/2021</t>
  </si>
  <si>
    <t>040000108511</t>
  </si>
  <si>
    <t>040000106505</t>
  </si>
  <si>
    <t>040000110048</t>
  </si>
  <si>
    <t>040000109618</t>
  </si>
  <si>
    <t>040000109621</t>
  </si>
  <si>
    <t>040000108956</t>
  </si>
  <si>
    <t>KHI/HO/D/MO/PC COMP/C/3683/11/2021</t>
  </si>
  <si>
    <t>020000022263</t>
  </si>
  <si>
    <t>040000108293</t>
  </si>
  <si>
    <t>040000108347</t>
  </si>
  <si>
    <t>KHI/HO/D/HLGRP HEALTH/E/11688/11/2021</t>
  </si>
  <si>
    <t>050000419681</t>
  </si>
  <si>
    <t>040000111973</t>
  </si>
  <si>
    <t>040000108968</t>
  </si>
  <si>
    <t>040000109057</t>
  </si>
  <si>
    <t>040000109725</t>
  </si>
  <si>
    <t>KHI/HO/D/MO/MC COMP/C/4736/01/2022</t>
  </si>
  <si>
    <t>020000023613</t>
  </si>
  <si>
    <t>KHI/HO/D/HLGRP HEALTH/E/13773/03/2022</t>
  </si>
  <si>
    <t>050000451039</t>
  </si>
  <si>
    <t>KHI/HO/D/HLGRP HEALTH/R/746/01/2022</t>
  </si>
  <si>
    <t>080000117876</t>
  </si>
  <si>
    <t>KHI/HO/D/HLGRP HEALTH/E/13775/03/2022</t>
  </si>
  <si>
    <t>050000451042</t>
  </si>
  <si>
    <t>KHI/HO/D/MO/PC COMP/P/57708/12/2021</t>
  </si>
  <si>
    <t>040000110705</t>
  </si>
  <si>
    <t>040000110708</t>
  </si>
  <si>
    <t>040000110710</t>
  </si>
  <si>
    <t>040000115507</t>
  </si>
  <si>
    <t>040000110713</t>
  </si>
  <si>
    <t>040000115515</t>
  </si>
  <si>
    <t>KHI/HO/D/MO/PC COMP/C/59282/26/03/2022</t>
  </si>
  <si>
    <t>070000097190</t>
  </si>
  <si>
    <t>040000109739</t>
  </si>
  <si>
    <t>KHI/HO/D/HLGRP HEALTH/E/15339/07/2022</t>
  </si>
  <si>
    <t>050000480757</t>
  </si>
  <si>
    <t>040000111699</t>
  </si>
  <si>
    <t>040000110016</t>
  </si>
  <si>
    <t>KHI/HO/D/MO/MC COMP/C/59276/26/03/2022</t>
  </si>
  <si>
    <t>070000096894</t>
  </si>
  <si>
    <t>KHI/HO/D/HLGRP HEALTH/E/12708/12/2021</t>
  </si>
  <si>
    <t>050000431014</t>
  </si>
  <si>
    <t>040000113066</t>
  </si>
  <si>
    <t>040000110012</t>
  </si>
  <si>
    <t>040000109104</t>
  </si>
  <si>
    <t>KHI/HO/D/MI/TRI/P/426/03/2022</t>
  </si>
  <si>
    <t>040000114332</t>
  </si>
  <si>
    <t>040000113791</t>
  </si>
  <si>
    <t>040000114139</t>
  </si>
  <si>
    <t>040000109779</t>
  </si>
  <si>
    <t>040000111799</t>
  </si>
  <si>
    <t>KHI/HO/D/MR/IMPORTS/C/18732/01/2022</t>
  </si>
  <si>
    <t>020000023601</t>
  </si>
  <si>
    <t>040000111843</t>
  </si>
  <si>
    <t>040000111847</t>
  </si>
  <si>
    <t>KHI/HO/D/MO/PC COMP/C/4732/01/2022</t>
  </si>
  <si>
    <t>020000023607</t>
  </si>
  <si>
    <t>KHI/HO/D/MO/PC COMP/P/57702/12/2021</t>
  </si>
  <si>
    <t>040000110675</t>
  </si>
  <si>
    <t>040000109999</t>
  </si>
  <si>
    <t>040000110352</t>
  </si>
  <si>
    <t>040000116280</t>
  </si>
  <si>
    <t>040000110007</t>
  </si>
  <si>
    <t>040000109954</t>
  </si>
  <si>
    <t>040000111923</t>
  </si>
  <si>
    <t>KHI/HO/D/MO/PC COMP/C/59511/26/03/2022</t>
  </si>
  <si>
    <t>070000095653</t>
  </si>
  <si>
    <t>040000116636</t>
  </si>
  <si>
    <t>KHI/HO/D/HLGRP HEALTH/E/13783/03/2022</t>
  </si>
  <si>
    <t>050000451495</t>
  </si>
  <si>
    <t>KHI/HO/D/MO/PC COMP/C/58470/251/02/2022</t>
  </si>
  <si>
    <t>070000094992</t>
  </si>
  <si>
    <t>040000109971</t>
  </si>
  <si>
    <t>KHI/HO/D/MR/IMPORTS/P/35701/12/2021</t>
  </si>
  <si>
    <t>040000110619</t>
  </si>
  <si>
    <t>KHI/HO/D/MR/IMPORTS/P/35708/12/2021</t>
  </si>
  <si>
    <t>040000110626</t>
  </si>
  <si>
    <t>040000144245</t>
  </si>
  <si>
    <t>040000111785</t>
  </si>
  <si>
    <t>KHI/HO/D/MO/PC COMP/C/5526/03/2022</t>
  </si>
  <si>
    <t>020000024620</t>
  </si>
  <si>
    <t>040000111989</t>
  </si>
  <si>
    <t>LHR/LHR/D/MO/PC COMP/R/55542/07/2022</t>
  </si>
  <si>
    <t>080000125242</t>
  </si>
  <si>
    <t>040000116275</t>
  </si>
  <si>
    <t>KHI/HO/D/HLGRP HEALTH/E/15442/07/2022</t>
  </si>
  <si>
    <t>050000483746</t>
  </si>
  <si>
    <t>040000121786</t>
  </si>
  <si>
    <t>040000114350</t>
  </si>
  <si>
    <t>040000115967</t>
  </si>
  <si>
    <t>040000112462</t>
  </si>
  <si>
    <t>040000109745</t>
  </si>
  <si>
    <t>040000115606</t>
  </si>
  <si>
    <t>KHI/HO/D/MO/PC COMP/R/54196/26/03/2022</t>
  </si>
  <si>
    <t>080000120401</t>
  </si>
  <si>
    <t>040000111691</t>
  </si>
  <si>
    <t>040000111692</t>
  </si>
  <si>
    <t>040000109584</t>
  </si>
  <si>
    <t>ISD/ISD/D/HLGRP HEALTH/E/15016/06/2022</t>
  </si>
  <si>
    <t>050000473770</t>
  </si>
  <si>
    <t>040000121039</t>
  </si>
  <si>
    <t>040000116993</t>
  </si>
  <si>
    <t>040000119462</t>
  </si>
  <si>
    <t>040000110027</t>
  </si>
  <si>
    <t>040000122210</t>
  </si>
  <si>
    <t>040000122460</t>
  </si>
  <si>
    <t>LHR/LHR/D/MO/PC COMP/P/62142/07/2022</t>
  </si>
  <si>
    <t>040000121308</t>
  </si>
  <si>
    <t>KHI/HO/D/MO/PD COMP/E/19789/05/2022</t>
  </si>
  <si>
    <t>050000466161</t>
  </si>
  <si>
    <t>040000121228</t>
  </si>
  <si>
    <t>KHI/HO/D/MO/MC TTT/C/7540/07/2022</t>
  </si>
  <si>
    <t>020000027362</t>
  </si>
  <si>
    <t>040000117660</t>
  </si>
  <si>
    <t>040000117258</t>
  </si>
  <si>
    <t>040000110044</t>
  </si>
  <si>
    <t>KHI/HO/D/HLGRP HEALTH/E/14909/06/2022</t>
  </si>
  <si>
    <t>050000471902</t>
  </si>
  <si>
    <t>KHI/HO/D/MO/PC COMP/E/20539/07/2022</t>
  </si>
  <si>
    <t>050000481320</t>
  </si>
  <si>
    <t>KHI/HO/D/MO/PC COMP/R/55539/07/2022</t>
  </si>
  <si>
    <t>080000125094</t>
  </si>
  <si>
    <t>KHI/HO/D/MO/PC COMP/R/55540/07/2022</t>
  </si>
  <si>
    <t>080000125095</t>
  </si>
  <si>
    <t>KHI/HO/D/MO/PC COMP/C/4723/01/2022</t>
  </si>
  <si>
    <t>020000023597</t>
  </si>
  <si>
    <t>KHI/HO/D/MO/PC COMP/R/54021/26/03/2022</t>
  </si>
  <si>
    <t>080000120195</t>
  </si>
  <si>
    <t>040000110024</t>
  </si>
  <si>
    <t>040000119346</t>
  </si>
  <si>
    <t>040000110470</t>
  </si>
  <si>
    <t>040000110697</t>
  </si>
  <si>
    <t>040000116075</t>
  </si>
  <si>
    <t>KHI/HO/D/HLGRP HEALTH/Q/5142/07/2022</t>
  </si>
  <si>
    <t>010000006748</t>
  </si>
  <si>
    <t>040000112072</t>
  </si>
  <si>
    <t>KHI/HO/D/HLGRP HEALTH/E/13826/03/2022</t>
  </si>
  <si>
    <t>050000451911</t>
  </si>
  <si>
    <t>KHI/HO/D/MO/PC COMP/R/54049/26/03/2022</t>
  </si>
  <si>
    <t>080000120873</t>
  </si>
  <si>
    <t>KHI/HO/D/MR/IMPORTS/C/18727/01/2022</t>
  </si>
  <si>
    <t>020000023567</t>
  </si>
  <si>
    <t>040000111544</t>
  </si>
  <si>
    <t>040000118101</t>
  </si>
  <si>
    <t>040000109978</t>
  </si>
  <si>
    <t>040000109981</t>
  </si>
  <si>
    <t>040000116268</t>
  </si>
  <si>
    <t>040000111881</t>
  </si>
  <si>
    <t>040000114370</t>
  </si>
  <si>
    <t>KHI/HO/D/HLGRP HEALTH/E/14026/03/2022</t>
  </si>
  <si>
    <t>050000454549</t>
  </si>
  <si>
    <t>040000113454</t>
  </si>
  <si>
    <t>040000111618</t>
  </si>
  <si>
    <t>040000113945</t>
  </si>
  <si>
    <t>040000112685</t>
  </si>
  <si>
    <t>040000112667</t>
  </si>
  <si>
    <t>SKT/SKT/D/MO/CV/C/5626/03/2022</t>
  </si>
  <si>
    <t>020000024779</t>
  </si>
  <si>
    <t>040000116433</t>
  </si>
  <si>
    <t>KHI/HO/D/MO/MC TTT/P/60780/05/2022</t>
  </si>
  <si>
    <t>040000116505</t>
  </si>
  <si>
    <t>KHI/HO/D/MO/MC COMP/C/59681/26/03/2022</t>
  </si>
  <si>
    <t>070000096760</t>
  </si>
  <si>
    <t>040000115017</t>
  </si>
  <si>
    <t>040000116396</t>
  </si>
  <si>
    <t>040000111290</t>
  </si>
  <si>
    <t>040000109975</t>
  </si>
  <si>
    <t>KHI/HO/D/MR/IMPORTS/C/18926/03/2022</t>
  </si>
  <si>
    <t>020000024617</t>
  </si>
  <si>
    <t>040000115936</t>
  </si>
  <si>
    <t>040000116030</t>
  </si>
  <si>
    <t>KHI/HO/D/HLGRP HEALTH/E/13726/03/2022</t>
  </si>
  <si>
    <t>050000450675</t>
  </si>
  <si>
    <t>KHI/HO/D/MR/IMPORTS/C/16780/05/2022</t>
  </si>
  <si>
    <t>070000100240</t>
  </si>
  <si>
    <t>040000116022</t>
  </si>
  <si>
    <t>KHI/HO/D/MO/PC COMP/P/59626/03/2022</t>
  </si>
  <si>
    <t>040000114036</t>
  </si>
  <si>
    <t>KHI/HO/D/MO/PC COMP/P/62140/07/2022</t>
  </si>
  <si>
    <t>040000121306</t>
  </si>
  <si>
    <t>040000114781</t>
  </si>
  <si>
    <t>040000110685</t>
  </si>
  <si>
    <t>KHI/HO/D/MO/MC COMP/R/54789/05/2022</t>
  </si>
  <si>
    <t>080000123140</t>
  </si>
  <si>
    <t>MUL/MUL/F/FR/ND/E/6242/07/2022</t>
  </si>
  <si>
    <t>050000482473</t>
  </si>
  <si>
    <t>KHI/HO/D/MO/PC COMP/R/54780/05/2022</t>
  </si>
  <si>
    <t>080000123131</t>
  </si>
  <si>
    <t>040000113469</t>
  </si>
  <si>
    <t>040000121216</t>
  </si>
  <si>
    <t>KHI/HO/D/MI/TRI/P/2740/07/2022</t>
  </si>
  <si>
    <t>040000121222</t>
  </si>
  <si>
    <t>KHI/HO/D/MI/TRI/P/2742/07/2022</t>
  </si>
  <si>
    <t>040000121224</t>
  </si>
  <si>
    <t>040000115411</t>
  </si>
  <si>
    <t>LHR/LHR/D/MO/PC COMP/P/62339/07/2022</t>
  </si>
  <si>
    <t>040000121817</t>
  </si>
  <si>
    <t>KHI/HO/D/MO/MC TTT/P/62342/07/2022</t>
  </si>
  <si>
    <t>040000121822</t>
  </si>
  <si>
    <t>040000115603</t>
  </si>
  <si>
    <t>KHI/HO/D/MO/PC COMP/C/5726/03/2022</t>
  </si>
  <si>
    <t>020000024908</t>
  </si>
  <si>
    <t>040000118340</t>
  </si>
  <si>
    <t>KHI/HO/D/MO/PC COMP/R/62042/07/2022</t>
  </si>
  <si>
    <t>080000124481</t>
  </si>
  <si>
    <t>040000115014</t>
  </si>
  <si>
    <t>040000111582</t>
  </si>
  <si>
    <t>040000115520</t>
  </si>
  <si>
    <t>040000115522</t>
  </si>
  <si>
    <t>040000110104</t>
  </si>
  <si>
    <t>040000115087</t>
  </si>
  <si>
    <t>040000109966</t>
  </si>
  <si>
    <t>040000111749</t>
  </si>
  <si>
    <t>040000114227</t>
  </si>
  <si>
    <t>KHI/HO/D/MO/PC COMP/P/62240/07/2022</t>
  </si>
  <si>
    <t>040000121595</t>
  </si>
  <si>
    <t>040000122077</t>
  </si>
  <si>
    <t>040000121598</t>
  </si>
  <si>
    <t>040000121668</t>
  </si>
  <si>
    <t>040000112378</t>
  </si>
  <si>
    <t>040000114303</t>
  </si>
  <si>
    <t>KHI/HO/D/MO/PC COMP/C/4746/01/2022</t>
  </si>
  <si>
    <t>020000023624</t>
  </si>
  <si>
    <t>MUL/MUL/F/FR/ND/E/5826/03/2022</t>
  </si>
  <si>
    <t>050000449256</t>
  </si>
  <si>
    <t>KHI/HO/D/MO/PC COMP/C/59280/26/03/2022</t>
  </si>
  <si>
    <t>070000095395</t>
  </si>
  <si>
    <t>040000114134</t>
  </si>
  <si>
    <t>040000122020</t>
  </si>
  <si>
    <t>KHI/HO/D/MR/IMPORTS/P/37142/07/2022</t>
  </si>
  <si>
    <t>040000122213</t>
  </si>
  <si>
    <t>KHI/HO/D/MO/PC COMP/E/18926/03/2022</t>
  </si>
  <si>
    <t>050000451364</t>
  </si>
  <si>
    <t>KHI/HO/D/MO/MC TTT/C/7442/07/2022</t>
  </si>
  <si>
    <t>020000027225</t>
  </si>
  <si>
    <t>KHI/HO/D/MR/IMPORTS/C/18736/01/2022</t>
  </si>
  <si>
    <t>020000023647</t>
  </si>
  <si>
    <t>040000114355</t>
  </si>
  <si>
    <t>040000110039</t>
  </si>
  <si>
    <t>040000116159</t>
  </si>
  <si>
    <t>040000111612</t>
  </si>
  <si>
    <t>040000111862</t>
  </si>
  <si>
    <t>040000111864</t>
  </si>
  <si>
    <t>040000115668</t>
  </si>
  <si>
    <t>040000111977</t>
  </si>
  <si>
    <t>LHR/LHR/F/MO/PC COMP/P/59326/03/2022</t>
  </si>
  <si>
    <t>040000113473</t>
  </si>
  <si>
    <t>040000115513</t>
  </si>
  <si>
    <t>040000114045</t>
  </si>
  <si>
    <t>040000113149</t>
  </si>
  <si>
    <t>040000113297</t>
  </si>
  <si>
    <t>KHI/HO/D/MI/TRI/P/251/02/2022</t>
  </si>
  <si>
    <t>040000113326</t>
  </si>
  <si>
    <t>KHI/HO/D/MO/PC COMP/P/60789/05/2022</t>
  </si>
  <si>
    <t>040000116514</t>
  </si>
  <si>
    <t>KHI/HO/D/MO/MC TTT/C/6796/06/2022</t>
  </si>
  <si>
    <t>020000026385</t>
  </si>
  <si>
    <t>KHI/HO/D/HLGRP HEALTH/E/15025/06/2022</t>
  </si>
  <si>
    <t>050000473844</t>
  </si>
  <si>
    <t>KHI/HO/D/MO/PC COMP/C/59294/226/03/2022</t>
  </si>
  <si>
    <t>070000097147</t>
  </si>
  <si>
    <t>040000114271</t>
  </si>
  <si>
    <t>040000115855</t>
  </si>
  <si>
    <t>SKT/SKT/D/MR/EXPORTS/P/36326/03/2022</t>
  </si>
  <si>
    <t>040000114057</t>
  </si>
  <si>
    <t>040000118104</t>
  </si>
  <si>
    <t>KHI/HO/D/MO/PC COMP/C/59295/26/03/2022</t>
  </si>
  <si>
    <t>070000095513</t>
  </si>
  <si>
    <t>KHI/HO/D/MO/PC COMP/R/54070/26/03/2022</t>
  </si>
  <si>
    <t>080000120594</t>
  </si>
  <si>
    <t>KHI/HO/D/MR/IMPORTS/C/16626/03/2022</t>
  </si>
  <si>
    <t>070000096902</t>
  </si>
  <si>
    <t>040000111953</t>
  </si>
  <si>
    <t>040000112301</t>
  </si>
  <si>
    <t>040000114890</t>
  </si>
  <si>
    <t>040000111645</t>
  </si>
  <si>
    <t>KHI/HO/D/MR/INLAND TRANSIT/Q/126/03/2022</t>
  </si>
  <si>
    <t>010000006071</t>
  </si>
  <si>
    <t>KHI/HO/D/MR/IMPORTS/C/18741/01/2022</t>
  </si>
  <si>
    <t>020000023695</t>
  </si>
  <si>
    <t>040000117836</t>
  </si>
  <si>
    <t>040000111605</t>
  </si>
  <si>
    <t>KHI/HO/D/MR/IMPORTS/C/18729/01/2022</t>
  </si>
  <si>
    <t>020000023583</t>
  </si>
  <si>
    <t>040000112662</t>
  </si>
  <si>
    <t>040000111961</t>
  </si>
  <si>
    <t>040000116193</t>
  </si>
  <si>
    <t>040000116995</t>
  </si>
  <si>
    <t>040000119367</t>
  </si>
  <si>
    <t>040000114305</t>
  </si>
  <si>
    <t>040000121844</t>
  </si>
  <si>
    <t>KHI/HO/D/HLGRP HEALTH/E/13251/02/2022</t>
  </si>
  <si>
    <t>050000442605</t>
  </si>
  <si>
    <t>040000115319</t>
  </si>
  <si>
    <t>040000119371</t>
  </si>
  <si>
    <t>KHI/HO/D/MO/PC COMP/C/7340/07/2022</t>
  </si>
  <si>
    <t>020000027067</t>
  </si>
  <si>
    <t>040000113693</t>
  </si>
  <si>
    <t>KHI/HO/D/MO/PC COMP/E/20642/07/2022</t>
  </si>
  <si>
    <t>050000483477</t>
  </si>
  <si>
    <t>KHI/HO/D/HLGRP HEALTH/E/13786/03/2022</t>
  </si>
  <si>
    <t>050000451714</t>
  </si>
  <si>
    <t>040000115225</t>
  </si>
  <si>
    <t>040000115257</t>
  </si>
  <si>
    <t>KHI/HO/D/MO/PC COMP/P/61796/06/2022</t>
  </si>
  <si>
    <t>040000119584</t>
  </si>
  <si>
    <t>040000107662</t>
  </si>
  <si>
    <t>040000110020</t>
  </si>
  <si>
    <t>040000110057</t>
  </si>
  <si>
    <t>040000109984</t>
  </si>
  <si>
    <t>040000109992</t>
  </si>
  <si>
    <t>040000109580</t>
  </si>
  <si>
    <t>040000109976</t>
  </si>
  <si>
    <t>040000109983</t>
  </si>
  <si>
    <t>KHI/HO/D/HLGRP HEALTH/E/11854/11/2021</t>
  </si>
  <si>
    <t>050000420403</t>
  </si>
  <si>
    <t>LHR/LHR/D/MO/PC COMP/P/57701/12/2021</t>
  </si>
  <si>
    <t>040000110648</t>
  </si>
  <si>
    <t>040000106259</t>
  </si>
  <si>
    <t>040000105445</t>
  </si>
  <si>
    <t>040000109933</t>
  </si>
  <si>
    <t>070000134856</t>
  </si>
  <si>
    <t>040000149869</t>
  </si>
  <si>
    <t>KHI/HO/D/MO/PC COMP/P/72632/07/2023</t>
  </si>
  <si>
    <t>040000148187</t>
  </si>
  <si>
    <t>KHI/HO/D/MO/PC COMP/C/63665/150/09/2022</t>
  </si>
  <si>
    <t>070000112054</t>
  </si>
  <si>
    <t>040000144506</t>
  </si>
  <si>
    <t>040000143546</t>
  </si>
  <si>
    <t>040000145750</t>
  </si>
  <si>
    <t>KHI/HO/D/HLGRP HEALTH/E/20590/07/2023</t>
  </si>
  <si>
    <t>050000623463</t>
  </si>
  <si>
    <t>KHI/HO/D/HLGRP HEALTH/E/20596/07/2023</t>
  </si>
  <si>
    <t>050000623469</t>
  </si>
  <si>
    <t>040000144045</t>
  </si>
  <si>
    <t>040000146779</t>
  </si>
  <si>
    <t>KHI/HO/D/MO/PC COMP/C/63336/50/09/2022</t>
  </si>
  <si>
    <t>070000110383</t>
  </si>
  <si>
    <t>KHI/HO/D/MI/MP/E/2566/07/2023</t>
  </si>
  <si>
    <t>050000619763</t>
  </si>
  <si>
    <t>KHI/HO/D/HLGRP HEALTH/E/20547/07/2023</t>
  </si>
  <si>
    <t>050000622633</t>
  </si>
  <si>
    <t>LHR/LHR/D/MO/PC TPP/C/13572/07/2023</t>
  </si>
  <si>
    <t>020000034923</t>
  </si>
  <si>
    <t>040000142362</t>
  </si>
  <si>
    <t>KHI/HO/D/MO/PC COMP/C/63665/254/09/2022</t>
  </si>
  <si>
    <t>070000112158</t>
  </si>
  <si>
    <t>KHI/HO/D/MO/PC COMP/C/63665/250/09/2022</t>
  </si>
  <si>
    <t>070000112154</t>
  </si>
  <si>
    <t>040000149536</t>
  </si>
  <si>
    <t>KHI/HO/D/MO/PC COMP/P/63650/09/2022</t>
  </si>
  <si>
    <t>040000126681</t>
  </si>
  <si>
    <t>040000146501</t>
  </si>
  <si>
    <t>040000143542</t>
  </si>
  <si>
    <t>KHI/HO/D/MO/PC COMP/R/13527/07/2023</t>
  </si>
  <si>
    <t>080000143635</t>
  </si>
  <si>
    <t>KHI/HO/D/MO/PC COMP/C/68848/264/03/2023</t>
  </si>
  <si>
    <t>070000125547</t>
  </si>
  <si>
    <t>070000130632</t>
  </si>
  <si>
    <t>040000145056</t>
  </si>
  <si>
    <t>LHR/LHR/D/MO/PC COMP/C/13617/07/2023</t>
  </si>
  <si>
    <t>020000034976</t>
  </si>
  <si>
    <t>040000145965</t>
  </si>
  <si>
    <t>MUL/MUL/F/FR/ND/E/6983/11/2022</t>
  </si>
  <si>
    <t>050000531247</t>
  </si>
  <si>
    <t>040000149844</t>
  </si>
  <si>
    <t>KHI/HO/D/MO/PC TPP/C/11952/04/2023</t>
  </si>
  <si>
    <t>020000032830</t>
  </si>
  <si>
    <t>040000145396</t>
  </si>
  <si>
    <t>LHR/LHR/D/MO/PC COMP/P/68904/03/2023</t>
  </si>
  <si>
    <t>040000141793</t>
  </si>
  <si>
    <t>SKT/SKT/D/MR/INLAND TRANSIT/C/19540/07/2022</t>
  </si>
  <si>
    <t>020000027128</t>
  </si>
  <si>
    <t>KHI/HO/D/MR/IMPORTS/C/17767/02/2023</t>
  </si>
  <si>
    <t>070000123691</t>
  </si>
  <si>
    <t>KHI/HO/D/MO/PC COMP/C/65057/188/11/2022</t>
  </si>
  <si>
    <t>070000116090</t>
  </si>
  <si>
    <t>SKT/SKT/D/MR/IMPORTS/C/19850/09/2022</t>
  </si>
  <si>
    <t>020000028518</t>
  </si>
  <si>
    <t>KHI/HO/D/MR/INLAND TRANSIT/C/20367/02/2023</t>
  </si>
  <si>
    <t>020000031329</t>
  </si>
  <si>
    <t>KHI/HO/D/MR/IMPORTS/C/19648/08/2022</t>
  </si>
  <si>
    <t>020000027500</t>
  </si>
  <si>
    <t>KHI/HO/D/MO/PC COMP/C/68699/264/03/2023</t>
  </si>
  <si>
    <t>070000126315</t>
  </si>
  <si>
    <t>KHI/HO/D/MO/PC COMP/P/67767/02/2023</t>
  </si>
  <si>
    <t>040000139577</t>
  </si>
  <si>
    <t>KHI/HO/D/MO/MC TTT/P/63750/09/2022</t>
  </si>
  <si>
    <t>040000126943</t>
  </si>
  <si>
    <t>KHI/HO/D/MO/PC COMP/C/62370/42/07/2022</t>
  </si>
  <si>
    <t>070000104341</t>
  </si>
  <si>
    <t>KHI/HO/D/MO/PC COMP/C/62089/42/07/2022</t>
  </si>
  <si>
    <t>070000103921</t>
  </si>
  <si>
    <t>040000138321</t>
  </si>
  <si>
    <t>040000138854</t>
  </si>
  <si>
    <t>KHI/HO/D/FR/ND/P/17867/02/2023</t>
  </si>
  <si>
    <t>040000140643</t>
  </si>
  <si>
    <t>LHR/LHR/D/MO/PC COMP/E/21837/10/2022</t>
  </si>
  <si>
    <t>050000513262</t>
  </si>
  <si>
    <t>040000144224</t>
  </si>
  <si>
    <t>KHI/HO/D/MO/PC COMP/R/58760/67/02/2023</t>
  </si>
  <si>
    <t>080000136060</t>
  </si>
  <si>
    <t>KHI/HO/D/MO/PC COMP/C/68071/262/02/2023</t>
  </si>
  <si>
    <t>070000124003</t>
  </si>
  <si>
    <t>KHI/HO/D/MO/PC COMP/C/68071/267/02/2023</t>
  </si>
  <si>
    <t>070000124008</t>
  </si>
  <si>
    <t>KHI/HO/D/MO/PC COMP/E/20640/07/2022</t>
  </si>
  <si>
    <t>050000483475</t>
  </si>
  <si>
    <t>070000124104</t>
  </si>
  <si>
    <t>040000138627</t>
  </si>
  <si>
    <t>040000141305</t>
  </si>
  <si>
    <t>040000146141</t>
  </si>
  <si>
    <t>040000140746</t>
  </si>
  <si>
    <t>KHI/HO/D/MO/PC COMP/P/68932/03/2023</t>
  </si>
  <si>
    <t>040000141834</t>
  </si>
  <si>
    <t>040000141894</t>
  </si>
  <si>
    <t>040000146522</t>
  </si>
  <si>
    <t>KHI/HO/D/MO/PC COMP/C/10967/02/2023</t>
  </si>
  <si>
    <t>020000031629</t>
  </si>
  <si>
    <t>040000141340</t>
  </si>
  <si>
    <t>KHI/HO/D/MO/PC COMP/C/63072/248/08/2022</t>
  </si>
  <si>
    <t>070000109896</t>
  </si>
  <si>
    <t>040000143035</t>
  </si>
  <si>
    <t>KHI/HO/D/MI/TRI/P/9567/02/2023</t>
  </si>
  <si>
    <t>040000140239</t>
  </si>
  <si>
    <t>040000141107</t>
  </si>
  <si>
    <t>040000145528</t>
  </si>
  <si>
    <t>070000129219</t>
  </si>
  <si>
    <t>040000140767</t>
  </si>
  <si>
    <t>KHI/HO/D/MO/PC COMP/C/62964/248/08/2022</t>
  </si>
  <si>
    <t>070000108655</t>
  </si>
  <si>
    <t>070000129222</t>
  </si>
  <si>
    <t>KHI/HO/D/MO/CV/E/25972/05/2023</t>
  </si>
  <si>
    <t>050000600746</t>
  </si>
  <si>
    <t>KHI/HO/D/MO/PC COMP/C/63072/48/08/2022</t>
  </si>
  <si>
    <t>070000109696</t>
  </si>
  <si>
    <t>040000146189</t>
  </si>
  <si>
    <t>040000144541</t>
  </si>
  <si>
    <t>040000143994</t>
  </si>
  <si>
    <t>070000130642</t>
  </si>
  <si>
    <t>040000140997</t>
  </si>
  <si>
    <t>040000143001</t>
  </si>
  <si>
    <t>040000125319</t>
  </si>
  <si>
    <t>KHI/HO/D/MO/PC TPP/C/12871/06/2023</t>
  </si>
  <si>
    <t>020000034015</t>
  </si>
  <si>
    <t>040000144485</t>
  </si>
  <si>
    <t>040000146121</t>
  </si>
  <si>
    <t>040000143391</t>
  </si>
  <si>
    <t>040000145589</t>
  </si>
  <si>
    <t>040000141813</t>
  </si>
  <si>
    <t>KHI/HO/F/MR/IMPORTS/C/17899/03/2023</t>
  </si>
  <si>
    <t>070000126451</t>
  </si>
  <si>
    <t>KHI/HO/D/HLGRP HEALTH/E/19972/05/2023</t>
  </si>
  <si>
    <t>050000600032</t>
  </si>
  <si>
    <t>KHI/HO/D/MO/PC COMP/R/62924/03/2023</t>
  </si>
  <si>
    <t>080000136935</t>
  </si>
  <si>
    <t>040000145386</t>
  </si>
  <si>
    <t>KHI/HO/D/MO/PC COMP/P/68921/03/2023</t>
  </si>
  <si>
    <t>040000141821</t>
  </si>
  <si>
    <t>040000127915</t>
  </si>
  <si>
    <t>KHI/HO/D/MO/PD COMP/E/23067/02/2023</t>
  </si>
  <si>
    <t>050000559175</t>
  </si>
  <si>
    <t>040000144484</t>
  </si>
  <si>
    <t>040000139843</t>
  </si>
  <si>
    <t>040000145691</t>
  </si>
  <si>
    <t>040000146083</t>
  </si>
  <si>
    <t>040000145054</t>
  </si>
  <si>
    <t>KHI/HO/D/MI/TRI/P/9467/02/2023</t>
  </si>
  <si>
    <t>040000139960</t>
  </si>
  <si>
    <t>040000144937</t>
  </si>
  <si>
    <t>040000145055</t>
  </si>
  <si>
    <t>040000141282</t>
  </si>
  <si>
    <t>LHR/LHR/D/MO/PC COMP/E/20740/07/2022</t>
  </si>
  <si>
    <t>050000484273</t>
  </si>
  <si>
    <t>040000141664</t>
  </si>
  <si>
    <t>KHI/HO/D/MO/PC COMP/E/20639/07/2022</t>
  </si>
  <si>
    <t>050000483474</t>
  </si>
  <si>
    <t>KHI/HO/D/MR/IMPORTS/C/17897/03/2023</t>
  </si>
  <si>
    <t>070000126439</t>
  </si>
  <si>
    <t>040000123725</t>
  </si>
  <si>
    <t>040000124319</t>
  </si>
  <si>
    <t>040000143982</t>
  </si>
  <si>
    <t>040000144913</t>
  </si>
  <si>
    <t>040000142040</t>
  </si>
  <si>
    <t>040000124356</t>
  </si>
  <si>
    <t>040000139297</t>
  </si>
  <si>
    <t>040000141250</t>
  </si>
  <si>
    <t>KHI/HO/D/MO/PD COMP/P/68067/02/2023</t>
  </si>
  <si>
    <t>040000139996</t>
  </si>
  <si>
    <t>040000146049</t>
  </si>
  <si>
    <t>040000143538</t>
  </si>
  <si>
    <t>040000143896</t>
  </si>
  <si>
    <t>040000146050</t>
  </si>
  <si>
    <t>040000146047</t>
  </si>
  <si>
    <t>040000124401</t>
  </si>
  <si>
    <t>KHI/HO/D/MO/MC COMP/P/67667/02/2023</t>
  </si>
  <si>
    <t>040000139325</t>
  </si>
  <si>
    <t>KHI/HO/D/MO/PC COMP/P/63850/09/2022</t>
  </si>
  <si>
    <t>040000127139</t>
  </si>
  <si>
    <t>KHI/HO/D/MO/PC COMP/P/63820/09/2022</t>
  </si>
  <si>
    <t>040000127091</t>
  </si>
  <si>
    <t>040000141988</t>
  </si>
  <si>
    <t>040000141999</t>
  </si>
  <si>
    <t>LHR/LHR/D/MO/PC COMP/E/21148/08/2022</t>
  </si>
  <si>
    <t>050000493144</t>
  </si>
  <si>
    <t>LHR/LHR/D/MO/PC TPP/E/21846/10/2022</t>
  </si>
  <si>
    <t>050000513273</t>
  </si>
  <si>
    <t>ISD/ISD/D/HLGRP HEALTH/E/18921/03/2023</t>
  </si>
  <si>
    <t>050000572617</t>
  </si>
  <si>
    <t>070000129093</t>
  </si>
  <si>
    <t>040000144822</t>
  </si>
  <si>
    <t>KHI/HO/D/MO/MC TTT/E/23899/03/2023</t>
  </si>
  <si>
    <t>050000570887</t>
  </si>
  <si>
    <t>KHI/HO/D/MI/TRI/P/9367/02/2023</t>
  </si>
  <si>
    <t>040000139457</t>
  </si>
  <si>
    <t>040000137149</t>
  </si>
  <si>
    <t>040000140748</t>
  </si>
  <si>
    <t>MUL/MUL/F/FR/ND/P/17902/03/2023</t>
  </si>
  <si>
    <t>040000141002</t>
  </si>
  <si>
    <t>KHI/HO/D/MO/PC COMP/C/62524/342/07/2022</t>
  </si>
  <si>
    <t>070000106900</t>
  </si>
  <si>
    <t>KHI/HO/D/MO/PC COMP/E/23261/02/2023</t>
  </si>
  <si>
    <t>050000561679</t>
  </si>
  <si>
    <t>KHI/HO/D/MO/PC COMP/C/62524/339/07/2022</t>
  </si>
  <si>
    <t>070000106897</t>
  </si>
  <si>
    <t>KHI/HO/D/MO/MC TTT/C/10885/02/2023</t>
  </si>
  <si>
    <t>020000031522</t>
  </si>
  <si>
    <t>040000137147</t>
  </si>
  <si>
    <t>040000140747</t>
  </si>
  <si>
    <t>MUL/MUL/F/FR/ND/P/17912/03/2023</t>
  </si>
  <si>
    <t>040000141069</t>
  </si>
  <si>
    <t>KHI/HO/D/MO/PC COMP/C/62524/142/07/2022</t>
  </si>
  <si>
    <t>070000106700</t>
  </si>
  <si>
    <t>KHI/HO/D/MO/PC COMP/C/62063/40/07/2022</t>
  </si>
  <si>
    <t>070000105418</t>
  </si>
  <si>
    <t>KHI/HO/D/HLGRP HEALTH/Q/6261/02/2023</t>
  </si>
  <si>
    <t>010000008536</t>
  </si>
  <si>
    <t>040000141915</t>
  </si>
  <si>
    <t>040000141515</t>
  </si>
  <si>
    <t>040000137224</t>
  </si>
  <si>
    <t>040000137262</t>
  </si>
  <si>
    <t>040000137471</t>
  </si>
  <si>
    <t>040000122949</t>
  </si>
  <si>
    <t>KHI/HO/D/MO/PC COMP/C/68220/67/02/2023</t>
  </si>
  <si>
    <t>070000124312</t>
  </si>
  <si>
    <t>040000135875</t>
  </si>
  <si>
    <t>KHI/HO/D/MO/PC COMP/C/62306/40/07/2022</t>
  </si>
  <si>
    <t>070000103976</t>
  </si>
  <si>
    <t>040000140749</t>
  </si>
  <si>
    <t>040000140843</t>
  </si>
  <si>
    <t>KHI/HO/D/MO/PC COMP/C/59649/226/03/2022</t>
  </si>
  <si>
    <t>070000096546</t>
  </si>
  <si>
    <t>KHI/HO/D/MO/MC COMP/P/67867/02/2023</t>
  </si>
  <si>
    <t>040000139712</t>
  </si>
  <si>
    <t>040000114891</t>
  </si>
  <si>
    <t>KHI/HO/D/MO/PC COMP/R/58494/67/02/2023</t>
  </si>
  <si>
    <t>080000135933</t>
  </si>
  <si>
    <t>040000140111</t>
  </si>
  <si>
    <t>KHI/HO/D/MO/MC COMP/P/67967/02/2023</t>
  </si>
  <si>
    <t>040000139820</t>
  </si>
  <si>
    <t>040000141659</t>
  </si>
  <si>
    <t>040000137573</t>
  </si>
  <si>
    <t>040000140467</t>
  </si>
  <si>
    <t>LHR/LHR/D/MO/PC COMP/P/61565/06/2022</t>
  </si>
  <si>
    <t>040000118871</t>
  </si>
  <si>
    <t>KHI/HO/D/MO/PC COMP/C/62524/239/07/2022</t>
  </si>
  <si>
    <t>070000106797</t>
  </si>
  <si>
    <t>KHI/HO/D/MO/PC COMP/C/62524/240/07/2022</t>
  </si>
  <si>
    <t>070000106798</t>
  </si>
  <si>
    <t>040000141006</t>
  </si>
  <si>
    <t>040000141008</t>
  </si>
  <si>
    <t>KHI/HO/D/MO/MC TTT/R/59259/01/2023</t>
  </si>
  <si>
    <t>080000134011</t>
  </si>
  <si>
    <t>LHR/LHR/D/MO/PC COMP/R/62871/06/2023</t>
  </si>
  <si>
    <t>080000142726</t>
  </si>
  <si>
    <t>040000141577</t>
  </si>
  <si>
    <t>070000129220</t>
  </si>
  <si>
    <t>ISD/ISD/D/HLGRP HEALTH/E/18567/02/2023</t>
  </si>
  <si>
    <t>050000562656</t>
  </si>
  <si>
    <t>040000146625</t>
  </si>
  <si>
    <t>KHI/HO/D/MO/PC COMP/E/27601/07/2023</t>
  </si>
  <si>
    <t>050000625600</t>
  </si>
  <si>
    <t>KHI/HO/D/MO/PC COMP/R/62553/06/2023</t>
  </si>
  <si>
    <t>080000141917</t>
  </si>
  <si>
    <t>KHI/HO/D/MO/PC COMP/R/62554/06/2023</t>
  </si>
  <si>
    <t>080000141918</t>
  </si>
  <si>
    <t>LHR/LHR/D/HLGRP HEALTH/E/18895/03/2023</t>
  </si>
  <si>
    <t>050000572414</t>
  </si>
  <si>
    <t>040000140955</t>
  </si>
  <si>
    <t>040000118714</t>
  </si>
  <si>
    <t>KHI/HO/D/HLGRP HEALTH/Q/6262/02/2023</t>
  </si>
  <si>
    <t>010000008537</t>
  </si>
  <si>
    <t>KHI/HO/D/MO/PD COMP/P/68367/02/2023</t>
  </si>
  <si>
    <t>040000140871</t>
  </si>
  <si>
    <t>040000142856</t>
  </si>
  <si>
    <t>040000146080</t>
  </si>
  <si>
    <t>040000139972</t>
  </si>
  <si>
    <t>KHI/HO/D/HLGRP HEALTH/E/20227/06/2023</t>
  </si>
  <si>
    <t>050000610338</t>
  </si>
  <si>
    <t>KHI/HO/D/MI/TRI/P/9667/02/2023</t>
  </si>
  <si>
    <t>040000140834</t>
  </si>
  <si>
    <t>040000141655</t>
  </si>
  <si>
    <t>040000117319</t>
  </si>
  <si>
    <t>040000117920</t>
  </si>
  <si>
    <t>040000118234</t>
  </si>
  <si>
    <t>040000118537</t>
  </si>
  <si>
    <t>KHI/HO/D/MO/PC COMP/P/62542/07/2022</t>
  </si>
  <si>
    <t>040000122455</t>
  </si>
  <si>
    <t>040000141014</t>
  </si>
  <si>
    <t>KHI/HO/D/MO/PC COMP/C/35/167/02/2023</t>
  </si>
  <si>
    <t>070000124100</t>
  </si>
  <si>
    <t>040000146052</t>
  </si>
  <si>
    <t>040000142038</t>
  </si>
  <si>
    <t>MUL/MUL/F/FR/ND/E/8607/07/2023</t>
  </si>
  <si>
    <t>050000619380</t>
  </si>
  <si>
    <t>LHR/LHR/D/MO/PC COMP/P/72559/07/2023</t>
  </si>
  <si>
    <t>040000148068</t>
  </si>
  <si>
    <t>040000136066</t>
  </si>
  <si>
    <t>040000140973</t>
  </si>
  <si>
    <t>KHI/HO/D/FR/ND/E/8612/07/2023</t>
  </si>
  <si>
    <t>050000622515</t>
  </si>
  <si>
    <t>KHI/HO/D/HLGRP HEALTH/E/20530/07/2023</t>
  </si>
  <si>
    <t>050000622529</t>
  </si>
  <si>
    <t>KHI/HO/D/HLGRP HEALTH/E/20531/07/2023</t>
  </si>
  <si>
    <t>050000622530</t>
  </si>
  <si>
    <t>KHI/HO/D/MO/PC COMP/R/13553/07/2023</t>
  </si>
  <si>
    <t>080000143639</t>
  </si>
  <si>
    <t>KHI/HO/D/MO/MC TTT/R/13554/07/2023</t>
  </si>
  <si>
    <t>080000143640</t>
  </si>
  <si>
    <t>KHI/HO/D/MO/PC COMP/R/13555/07/2023</t>
  </si>
  <si>
    <t>080000143641</t>
  </si>
  <si>
    <t>KHI/HO/D/MO/PC COMP/R/13558/07/2023</t>
  </si>
  <si>
    <t>080000143644</t>
  </si>
  <si>
    <t>KHI/HO/D/MO/PC COMP/R/13563/07/2023</t>
  </si>
  <si>
    <t>080000143646</t>
  </si>
  <si>
    <t>KHI/HO/D/MO/PC COMP/R/13565/07/2023</t>
  </si>
  <si>
    <t>080000143648</t>
  </si>
  <si>
    <t>KHI/HO/D/MO/PD COMP/R/13566/07/2023</t>
  </si>
  <si>
    <t>080000143649</t>
  </si>
  <si>
    <t>KHI/HO/D/MO/PD COMP/R/13570/07/2023</t>
  </si>
  <si>
    <t>080000143651</t>
  </si>
  <si>
    <t>KHI/HO/D/MO/PD COMP/R/13598/07/2023</t>
  </si>
  <si>
    <t>080000143663</t>
  </si>
  <si>
    <t>KHI/HO/D/MO/PD COMP/R/13599/07/2023</t>
  </si>
  <si>
    <t>080000143664</t>
  </si>
  <si>
    <t>KHI/HO/D/MO/PC TPP/R/13600/07/2023</t>
  </si>
  <si>
    <t>080000143665</t>
  </si>
  <si>
    <t>KHI/HO/D/MO/PC COMP/R/13619/07/2023</t>
  </si>
  <si>
    <t>080000143668</t>
  </si>
  <si>
    <t>040000147175</t>
  </si>
  <si>
    <t>KHI/HO/D/MO/PC COMP/C/72136/227/06/2023</t>
  </si>
  <si>
    <t>070000131798</t>
  </si>
  <si>
    <t>KHI/HO/D/MO/PC COMP/P/72598/07/2023</t>
  </si>
  <si>
    <t>040000148126</t>
  </si>
  <si>
    <t>KHI/AR/AR/D/MO/MC TTT/P/72600/07/2023</t>
  </si>
  <si>
    <t>040000148128</t>
  </si>
  <si>
    <t>KHI/HO/D/MO/PC COMP/R/13578/07/2023</t>
  </si>
  <si>
    <t>080000143653</t>
  </si>
  <si>
    <t>KHI/HO/D/MO/PC TPP/R/13584/07/2023</t>
  </si>
  <si>
    <t>080000143655</t>
  </si>
  <si>
    <t>KHI/HO/D/MO/PC TPP/R/13590/07/2023</t>
  </si>
  <si>
    <t>080000143658</t>
  </si>
  <si>
    <t>KHI/HO/D/MO/PC TPP/R/13591/07/2023</t>
  </si>
  <si>
    <t>080000143659</t>
  </si>
  <si>
    <t>KHI/HO/D/MO/PC TPP/R/13596/07/2023</t>
  </si>
  <si>
    <t>080000143661</t>
  </si>
  <si>
    <t>KHI/HO/D/MO/PC COMP/R/13652/07/2023</t>
  </si>
  <si>
    <t>080000143678</t>
  </si>
  <si>
    <t>KHI/HO/D/MO/PC COMP/R/13657/07/2023</t>
  </si>
  <si>
    <t>080000143680</t>
  </si>
  <si>
    <t>MUL/MUL/F/FR/ND/E/8590/07/2023</t>
  </si>
  <si>
    <t>050000617839</t>
  </si>
  <si>
    <t>KHI/HO/D/MO/PC COMP/C/63576/254/09/2022</t>
  </si>
  <si>
    <t>070000111256</t>
  </si>
  <si>
    <t>040000123596</t>
  </si>
  <si>
    <t>040000148165</t>
  </si>
  <si>
    <t>040000148166</t>
  </si>
  <si>
    <t>MUL/MUL/F/FR/ND/E/8616/07/2023</t>
  </si>
  <si>
    <t>050000623382</t>
  </si>
  <si>
    <t>KHI/HO/D/MO/PD COMP/C/13566/07/2023</t>
  </si>
  <si>
    <t>020000034916</t>
  </si>
  <si>
    <t>KHI/HO/D/MO/PC COMP/E/27540/07/2023</t>
  </si>
  <si>
    <t>050000624858</t>
  </si>
  <si>
    <t>KHI/HO/D/MO/PC COMP/C/13670/07/2023</t>
  </si>
  <si>
    <t>020000035054</t>
  </si>
  <si>
    <t>040000141382</t>
  </si>
  <si>
    <t>040000146512</t>
  </si>
  <si>
    <t>070000130740</t>
  </si>
  <si>
    <t>040000144881</t>
  </si>
  <si>
    <t>MUL/MUL/F/FR/ND/E/8598/07/2023</t>
  </si>
  <si>
    <t>050000618615</t>
  </si>
  <si>
    <t>KHI/HO/D/HLGRP HEALTH/E/20521/07/2023</t>
  </si>
  <si>
    <t>050000622418</t>
  </si>
  <si>
    <t>KHI/HO/D/MO/PC TPP/C/13545/07/2023</t>
  </si>
  <si>
    <t>020000034889</t>
  </si>
  <si>
    <t>KHI/HO/D/MO/PC TPP/C/13547/07/2023</t>
  </si>
  <si>
    <t>020000034891</t>
  </si>
  <si>
    <t>KHI/HO/D/MO/PC COMP/C/13553/07/2023</t>
  </si>
  <si>
    <t>020000034899</t>
  </si>
  <si>
    <t>KHI/HO/D/MO/MC TTT/C/13554/07/2023</t>
  </si>
  <si>
    <t>020000034900</t>
  </si>
  <si>
    <t>040000146907</t>
  </si>
  <si>
    <t>040000145689</t>
  </si>
  <si>
    <t>KHI/HO/D/HLGRP HEALTH/E/18908/03/2023</t>
  </si>
  <si>
    <t>050000572566</t>
  </si>
  <si>
    <t>KHI/HO/D/HLGRP HEALTH/E/18912/03/2023</t>
  </si>
  <si>
    <t>050000572572</t>
  </si>
  <si>
    <t>KHI/HO/D/MO/PC COMP/E/27238/07/2023</t>
  </si>
  <si>
    <t>050000622646</t>
  </si>
  <si>
    <t>KHI/HO/D/FR/ND/R/13975/06/2023</t>
  </si>
  <si>
    <t>080000140922</t>
  </si>
  <si>
    <t>040000133944</t>
  </si>
  <si>
    <t>040000134757</t>
  </si>
  <si>
    <t>KHI/HO/D/HLGRP HEALTH/E/20572/07/2023</t>
  </si>
  <si>
    <t>050000623373</t>
  </si>
  <si>
    <t>040000143161</t>
  </si>
  <si>
    <t>070000132129</t>
  </si>
  <si>
    <t>040000147871</t>
  </si>
  <si>
    <t>KHI/AR/AR/D/MO/MC TTT/P/72536/07/2023</t>
  </si>
  <si>
    <t>040000148017</t>
  </si>
  <si>
    <t>040000146155</t>
  </si>
  <si>
    <t>040000145652</t>
  </si>
  <si>
    <t>KHI/HO/D/MR/IMPORTS/C/17893/03/2023</t>
  </si>
  <si>
    <t>070000126435</t>
  </si>
  <si>
    <t>040000143156</t>
  </si>
  <si>
    <t>MUL/MUL/F/FR/ND/E/8599/07/2023</t>
  </si>
  <si>
    <t>050000618617</t>
  </si>
  <si>
    <t>040000148042</t>
  </si>
  <si>
    <t>040000143960</t>
  </si>
  <si>
    <t>040000148901</t>
  </si>
  <si>
    <t>KHI/HO/D/MO/PC COMP/E/27911/07/2023</t>
  </si>
  <si>
    <t>050000626349</t>
  </si>
  <si>
    <t>KHI/HO/D/HLGRP HEALTH/P/2565/07/2023</t>
  </si>
  <si>
    <t>040000148443</t>
  </si>
  <si>
    <t>KHI/HO/D/MO/PC COMP/R/61972/05/2023</t>
  </si>
  <si>
    <t>080000139919</t>
  </si>
  <si>
    <t>KHI/HO/D/MO/PC COMP/R/62984/07/2023</t>
  </si>
  <si>
    <t>080000143738</t>
  </si>
  <si>
    <t>KHI/HO/D/MO/PC COMP/R/62988/07/2023</t>
  </si>
  <si>
    <t>080000143739</t>
  </si>
  <si>
    <t>KHI/HO/D/MO/PC COMP/C/63576/150/09/2022</t>
  </si>
  <si>
    <t>070000111152</t>
  </si>
  <si>
    <t>KHI/HO/D/HLGRP HEALTH/P/2578/07/2023</t>
  </si>
  <si>
    <t>040000148850</t>
  </si>
  <si>
    <t>040000125712</t>
  </si>
  <si>
    <t>040000147404</t>
  </si>
  <si>
    <t>KHI/HO/D/MO/PC COMP/R/62566/07/2023</t>
  </si>
  <si>
    <t>080000143439</t>
  </si>
  <si>
    <t>KHI/HO/D/MO/PC COMP/R/62602/07/2023</t>
  </si>
  <si>
    <t>080000143711</t>
  </si>
  <si>
    <t>KHI/HO/D/HLGRP HEALTH/E/20566/07/2023</t>
  </si>
  <si>
    <t>050000622804</t>
  </si>
  <si>
    <t>040000148274</t>
  </si>
  <si>
    <t>KHI/HO/D/MO/PC COMP/P/72989/07/2023</t>
  </si>
  <si>
    <t>040000148803</t>
  </si>
  <si>
    <t>KHI/HO/D/MO/PD COMP/E/27656/07/2023</t>
  </si>
  <si>
    <t>050000625722</t>
  </si>
  <si>
    <t>KHI/HO/D/MO/PD COMP/E/27657/07/2023</t>
  </si>
  <si>
    <t>050000625723</t>
  </si>
  <si>
    <t>KHI/HO/D/MO/PD COMP/E/27658/07/2023</t>
  </si>
  <si>
    <t>050000625724</t>
  </si>
  <si>
    <t>040000141779</t>
  </si>
  <si>
    <t>KHI/HO/D/MO/PD COMP/E/27660/07/2023</t>
  </si>
  <si>
    <t>050000625726</t>
  </si>
  <si>
    <t>KHI/HO/D/MO/PC TPP/C/12984/06/2023</t>
  </si>
  <si>
    <t>020000034162</t>
  </si>
  <si>
    <t>KHI/HO/D/MO/PC TPP/C/13584/07/2023</t>
  </si>
  <si>
    <t>020000034940</t>
  </si>
  <si>
    <t>060000000330</t>
  </si>
  <si>
    <t>040000141618</t>
  </si>
  <si>
    <t>KHI/HO/D/MO/PC TPP/C/13632/07/2023</t>
  </si>
  <si>
    <t>020000034994</t>
  </si>
  <si>
    <t>KHI/HO/D/HLGRP HEALTH/E/20632/07/2023</t>
  </si>
  <si>
    <t>050000623598</t>
  </si>
  <si>
    <t>KHI/HO/D/MO/PD COMP/C/13598/07/2023</t>
  </si>
  <si>
    <t>020000034954</t>
  </si>
  <si>
    <t>KHI/HO/D/MO/PC COMP/C/13619/07/2023</t>
  </si>
  <si>
    <t>020000034978</t>
  </si>
  <si>
    <t>KHI/HO/D/FR/ND/E/8627/07/2023</t>
  </si>
  <si>
    <t>050000623509</t>
  </si>
  <si>
    <t>KHI/HO/D/HLGRP HEALTH/E/20616/07/2023</t>
  </si>
  <si>
    <t>050000623519</t>
  </si>
  <si>
    <t>ISD/ISD/D/HLGRP HEALTH/E/20619/07/2023</t>
  </si>
  <si>
    <t>050000623522</t>
  </si>
  <si>
    <t>040000143397</t>
  </si>
  <si>
    <t>040000143403</t>
  </si>
  <si>
    <t>040000145964</t>
  </si>
  <si>
    <t>KHI/HO/D/MO/PC COMP/E/27607/07/2023</t>
  </si>
  <si>
    <t>050000625619</t>
  </si>
  <si>
    <t>040000142846</t>
  </si>
  <si>
    <t>KHI/HO/D/MO/PC COMP/E/25975/06/2023</t>
  </si>
  <si>
    <t>050000600771</t>
  </si>
  <si>
    <t>KHI/HO/D/MR/IMPORTS/C/17892/03/2023</t>
  </si>
  <si>
    <t>070000126434</t>
  </si>
  <si>
    <t>KHI/HO/D/MO/PC COMP/E/27610/07/2023</t>
  </si>
  <si>
    <t>050000625625</t>
  </si>
  <si>
    <t>KHI/HO/D/MO/PC COMP/C/63576/550/09/2022</t>
  </si>
  <si>
    <t>070000111552</t>
  </si>
  <si>
    <t>KHI/HO/D/MO/PC TPP/P/71984/06/2023</t>
  </si>
  <si>
    <t>040000147003</t>
  </si>
  <si>
    <t>040000145063</t>
  </si>
  <si>
    <t>040000142837</t>
  </si>
  <si>
    <t>040000147218</t>
  </si>
  <si>
    <t>040000147912</t>
  </si>
  <si>
    <t>KHI/HO/D/HLGRP HEALTH/E/20544/07/2023</t>
  </si>
  <si>
    <t>050000622624</t>
  </si>
  <si>
    <t>KHI/HO/D/MR/IMPORTS/C/17952/04/2023</t>
  </si>
  <si>
    <t>070000126763</t>
  </si>
  <si>
    <t>040000141361</t>
  </si>
  <si>
    <t>040000140851</t>
  </si>
  <si>
    <t>MUL/MUL/F/MI/MP/E/2554/06/2023</t>
  </si>
  <si>
    <t>050000614012</t>
  </si>
  <si>
    <t>KHI/HO/D/MR/IMPORTS/P/39837/06/2023</t>
  </si>
  <si>
    <t>040000147952</t>
  </si>
  <si>
    <t>040000141941</t>
  </si>
  <si>
    <t>040000142880</t>
  </si>
  <si>
    <t>040000142441</t>
  </si>
  <si>
    <t>KHI/HO/D/MO/PC COMP/P/68899/03/2023</t>
  </si>
  <si>
    <t>040000141777</t>
  </si>
  <si>
    <t>KHI/HO/D/MO/PC TPP/P/72527/07/2023</t>
  </si>
  <si>
    <t>040000148008</t>
  </si>
  <si>
    <t>KHI/HO/D/HLGRP HEALTH/E/20559/07/2023</t>
  </si>
  <si>
    <t>050000622723</t>
  </si>
  <si>
    <t>LHR/LHR/D/HLGRP HEALTH/P/2566/07/2023</t>
  </si>
  <si>
    <t>040000148520</t>
  </si>
  <si>
    <t>KHI/HO/D/MR/IMPORTS/C/20984/06/2023</t>
  </si>
  <si>
    <t>020000034620</t>
  </si>
  <si>
    <t>KHI/HO/D/HLGRP HEALTH/E/20558/07/2023</t>
  </si>
  <si>
    <t>050000622712</t>
  </si>
  <si>
    <t>KHI/HO/D/MO/PC COMP/P/68908/03/2023</t>
  </si>
  <si>
    <t>040000141798</t>
  </si>
  <si>
    <t>KHI/HO/D/MO/PD COMP/E/23367/02/2023</t>
  </si>
  <si>
    <t>050000563183</t>
  </si>
  <si>
    <t>040000141600</t>
  </si>
  <si>
    <t>040000145454</t>
  </si>
  <si>
    <t>KHI/HO/D/MO/PC COMP/P/63826/09/2022</t>
  </si>
  <si>
    <t>040000127102</t>
  </si>
  <si>
    <t>LHR/LHR/D/MO/PC COMP/E/20742/07/2022</t>
  </si>
  <si>
    <t>050000484275</t>
  </si>
  <si>
    <t>KHI/HO/D/MR/IMPORTS/P/39024/02/2023</t>
  </si>
  <si>
    <t>040000140672</t>
  </si>
  <si>
    <t>040000150021</t>
  </si>
  <si>
    <t>040000144366</t>
  </si>
  <si>
    <t>040000144367</t>
  </si>
  <si>
    <t>KHI/HO/D/MO/PC COMP/C/8834/10/2022</t>
  </si>
  <si>
    <t>020000029052</t>
  </si>
  <si>
    <t>040000121550</t>
  </si>
  <si>
    <t>040000123046</t>
  </si>
  <si>
    <t>040000123419</t>
  </si>
  <si>
    <t>KHI/HO/D/MO/PC COMP/C/8050/09/2022</t>
  </si>
  <si>
    <t>020000028018</t>
  </si>
  <si>
    <t>LHR/LHR/D/MO/PC COMP/C/7648/08/2022</t>
  </si>
  <si>
    <t>020000027512</t>
  </si>
  <si>
    <t>KHI/HO/D/MO/PC COMP/C/67818/67/02/2023</t>
  </si>
  <si>
    <t>070000123571</t>
  </si>
  <si>
    <t>040000142844</t>
  </si>
  <si>
    <t>KHI/HO/D/MO/PC COMP/C/7339/07/2022</t>
  </si>
  <si>
    <t>020000027066</t>
  </si>
  <si>
    <t>040000141750</t>
  </si>
  <si>
    <t>040000144553</t>
  </si>
  <si>
    <t>040000139056</t>
  </si>
  <si>
    <t>040000141917</t>
  </si>
  <si>
    <t>040000141546</t>
  </si>
  <si>
    <t>KHI/HO/D/MO/PC COMP/C/65232/188/11/2022</t>
  </si>
  <si>
    <t>070000116857</t>
  </si>
  <si>
    <t>KHI/HO/D/MO/PC COMP/E/22967/02/2023</t>
  </si>
  <si>
    <t>050000555125</t>
  </si>
  <si>
    <t>040000144256</t>
  </si>
  <si>
    <t>KHI/HO/D/MO/PC COMP/C/68220/467/02/2023</t>
  </si>
  <si>
    <t>070000124717</t>
  </si>
  <si>
    <t>040000143409</t>
  </si>
  <si>
    <t>KHI/HO/D/MO/PC COMP/E/20540/07/2022</t>
  </si>
  <si>
    <t>050000481322</t>
  </si>
  <si>
    <t>KHI/HO/D/MO/PD COMP/E/23267/02/2023</t>
  </si>
  <si>
    <t>050000561829</t>
  </si>
  <si>
    <t>040000140942</t>
  </si>
  <si>
    <t>040000140309</t>
  </si>
  <si>
    <t>MUL/MUL/F/FR/ND/P/17667/02/2023</t>
  </si>
  <si>
    <t>040000140181</t>
  </si>
  <si>
    <t>KHI/HO/D/MO/PC COMP/P/67467/02/2023</t>
  </si>
  <si>
    <t>040000138891</t>
  </si>
  <si>
    <t>040000143501</t>
  </si>
  <si>
    <t>070000129223</t>
  </si>
  <si>
    <t>040000156888</t>
  </si>
  <si>
    <t>KHI/HO/D/MO/PC COMP/C/68220/261/02/2023</t>
  </si>
  <si>
    <t>070000124506</t>
  </si>
  <si>
    <t>040000141593</t>
  </si>
  <si>
    <t>040000144461</t>
  </si>
  <si>
    <t>040000119175</t>
  </si>
  <si>
    <t>KHI/HO/D/MO/MC TTT/P/68261/02/2023</t>
  </si>
  <si>
    <t>040000140658</t>
  </si>
  <si>
    <t>040000144487</t>
  </si>
  <si>
    <t>040000141721</t>
  </si>
  <si>
    <t>040000140397</t>
  </si>
  <si>
    <t>KHI/HO/D/MO/PC COMP/C/67797/67/02/2023</t>
  </si>
  <si>
    <t>070000123304</t>
  </si>
  <si>
    <t>040000141665</t>
  </si>
  <si>
    <t>LHR/LHR/D/MO/PC TPP/P/67200/01/2023</t>
  </si>
  <si>
    <t>040000138270</t>
  </si>
  <si>
    <t>040000141965</t>
  </si>
  <si>
    <t>KHI/HO/D/MO/PD COMP/P/68267/02/2023</t>
  </si>
  <si>
    <t>040000140666</t>
  </si>
  <si>
    <t>040000139267</t>
  </si>
  <si>
    <t>KHI/HO/D/MO/PC COMP/P/62340/07/2022</t>
  </si>
  <si>
    <t>040000121819</t>
  </si>
  <si>
    <t>LHR/LHR/D/MO/PC TPP/C/10767/02/2023</t>
  </si>
  <si>
    <t>020000031390</t>
  </si>
  <si>
    <t>040000140960</t>
  </si>
  <si>
    <t>KHI/HO/D/MO/PC COMP/C/62086/40/07/2022</t>
  </si>
  <si>
    <t>070000103667</t>
  </si>
  <si>
    <t>KHI/HO/D/MO/PC COMP/C/68220/267/02/2023</t>
  </si>
  <si>
    <t>070000124512</t>
  </si>
  <si>
    <t>KHI/HO/D/MO/PC COMP/C/68220/167/02/2023</t>
  </si>
  <si>
    <t>070000124412</t>
  </si>
  <si>
    <t>040000143544</t>
  </si>
  <si>
    <t>KHI/HO/D/MO/MC TTT/R/63227/06/2023</t>
  </si>
  <si>
    <t>080000142574</t>
  </si>
  <si>
    <t>040000121813</t>
  </si>
  <si>
    <t>040000141790</t>
  </si>
  <si>
    <t>040000143639</t>
  </si>
  <si>
    <t>KHI/HO/D/MO/PD COMP/E/27598/07/2023</t>
  </si>
  <si>
    <t>050000625528</t>
  </si>
  <si>
    <t>KHI/HO/D/MO/PD COMP/E/27616/07/2023</t>
  </si>
  <si>
    <t>050000625642</t>
  </si>
  <si>
    <t>040000122091</t>
  </si>
  <si>
    <t>040000143182</t>
  </si>
  <si>
    <t>KHI/HO/D/MO/PC COMP/C/68220/262/02/2023</t>
  </si>
  <si>
    <t>070000124507</t>
  </si>
  <si>
    <t>040000139040</t>
  </si>
  <si>
    <t>KHI/HO/D/HLGRP HEALTH/Q/6267/02/2023</t>
  </si>
  <si>
    <t>010000008546</t>
  </si>
  <si>
    <t>KHI/HO/D/MO/PD COMP/E/27617/07/2023</t>
  </si>
  <si>
    <t>050000625644</t>
  </si>
  <si>
    <t>KHI/HO/D/MO/PD COMP/E/27619/07/2023</t>
  </si>
  <si>
    <t>050000625663</t>
  </si>
  <si>
    <t>KHI/HO/D/MO/PD COMP/E/27621/07/2023</t>
  </si>
  <si>
    <t>050000625686</t>
  </si>
  <si>
    <t>040000136221</t>
  </si>
  <si>
    <t>040000136224</t>
  </si>
  <si>
    <t>040000136227</t>
  </si>
  <si>
    <t>KHI/HO/D/MO/PC COMP/C/68220/367/02/2023</t>
  </si>
  <si>
    <t>070000124612</t>
  </si>
  <si>
    <t>KHI/HO/D/MO/PC COMP/C/68220/206/02/2023</t>
  </si>
  <si>
    <t>070000124451</t>
  </si>
  <si>
    <t>KHI/HO/D/MO/PC COMP/C/66791/200/01/2023</t>
  </si>
  <si>
    <t>070000121375</t>
  </si>
  <si>
    <t>040000141216</t>
  </si>
  <si>
    <t>040000145046</t>
  </si>
  <si>
    <t>KHI/HO/D/MR/IMPORTS/C/17921/03/2023</t>
  </si>
  <si>
    <t>070000126640</t>
  </si>
  <si>
    <t>040000141622</t>
  </si>
  <si>
    <t>040000147422</t>
  </si>
  <si>
    <t>KHI/HO/D/MO/CV/C/11264/03/2023</t>
  </si>
  <si>
    <t>020000031974</t>
  </si>
  <si>
    <t>KHI/HO/D/MO/MC TTT/E/23924/03/2023</t>
  </si>
  <si>
    <t>050000571891</t>
  </si>
  <si>
    <t>040000139332</t>
  </si>
  <si>
    <t>KHI/HO/D/MO/MC TTT/E/23932/03/2023</t>
  </si>
  <si>
    <t>050000571900</t>
  </si>
  <si>
    <t>KHI/HO/D/MI/TRI/P/9206/02/2023</t>
  </si>
  <si>
    <t>040000138970</t>
  </si>
  <si>
    <t>040000147054</t>
  </si>
  <si>
    <t>040000141333</t>
  </si>
  <si>
    <t>040000141077</t>
  </si>
  <si>
    <t>040000141416</t>
  </si>
  <si>
    <t>KHI/HO/D/MO/PC COMP/C/62964/48/08/2022</t>
  </si>
  <si>
    <t>070000108455</t>
  </si>
  <si>
    <t>KHI/HO/D/MO/MC COMP/P/72591/07/2023</t>
  </si>
  <si>
    <t>040000148117</t>
  </si>
  <si>
    <t>KHI/HO/D/MO/PC COMP/P/72599/07/2023</t>
  </si>
  <si>
    <t>040000148127</t>
  </si>
  <si>
    <t>KHI/HO/D/MO/PC COMP/P/72602/07/2023</t>
  </si>
  <si>
    <t>040000148130</t>
  </si>
  <si>
    <t>KHI/HO/D/MR/IMPORTS/C/18227/06/2023</t>
  </si>
  <si>
    <t>070000131555</t>
  </si>
  <si>
    <t>KHI/HO/D/MR/IMPORTS/C/17904/03/2023</t>
  </si>
  <si>
    <t>070000126482</t>
  </si>
  <si>
    <t>040000144879</t>
  </si>
  <si>
    <t>SKT/SKT/D/FR/ND/P/17932/03/2023</t>
  </si>
  <si>
    <t>040000141294</t>
  </si>
  <si>
    <t>040000140967</t>
  </si>
  <si>
    <t>040000145620</t>
  </si>
  <si>
    <t>040000145621</t>
  </si>
  <si>
    <t>KHI/HO/D/MI/TRI/P/9911/07/2023</t>
  </si>
  <si>
    <t>040000147985</t>
  </si>
  <si>
    <t>070000130638</t>
  </si>
  <si>
    <t>KHI/HO/D/FR/ND/R/16227/06/2023</t>
  </si>
  <si>
    <t>080000141149</t>
  </si>
  <si>
    <t>KHI/HO/D/MO/PC COMP/P/72552/07/2023</t>
  </si>
  <si>
    <t>040000148059</t>
  </si>
  <si>
    <t>KHI/HO/D/MO/PC COMP/P/72610/07/2023</t>
  </si>
  <si>
    <t>040000148140</t>
  </si>
  <si>
    <t>LHR/LHR/D/MO/PC COMP/C/13656/07/2023</t>
  </si>
  <si>
    <t>020000035034</t>
  </si>
  <si>
    <t>040000144596</t>
  </si>
  <si>
    <t>040000141586</t>
  </si>
  <si>
    <t>040000144954</t>
  </si>
  <si>
    <t>KHI/HO/D/MR/IMPORTS/C/17895/03/2023</t>
  </si>
  <si>
    <t>070000126437</t>
  </si>
  <si>
    <t>040000141696</t>
  </si>
  <si>
    <t>KHI/HO/D/MO/PC COMP/R/58467/02/2023</t>
  </si>
  <si>
    <t>080000136091</t>
  </si>
  <si>
    <t>KHI/HO/D/MO/MC TTT/C/10667/02/2023</t>
  </si>
  <si>
    <t>020000031275</t>
  </si>
  <si>
    <t>040000141787</t>
  </si>
  <si>
    <t>040000144672</t>
  </si>
  <si>
    <t>040000142460</t>
  </si>
  <si>
    <t>040000144510</t>
  </si>
  <si>
    <t>040000141584</t>
  </si>
  <si>
    <t>KHI/HO/D/MO/PC COMP/C/66966/200/01/2023</t>
  </si>
  <si>
    <t>070000122071</t>
  </si>
  <si>
    <t>KHI/HO/D/MO/PC COMP/C/66966/259/01/2023</t>
  </si>
  <si>
    <t>070000122130</t>
  </si>
  <si>
    <t>040000144226</t>
  </si>
  <si>
    <t>KHI/HO/D/MO/MC COMP/P/68167/02/2023</t>
  </si>
  <si>
    <t>040000140255</t>
  </si>
  <si>
    <t>040000144609</t>
  </si>
  <si>
    <t>MUL/MUL/F/FR/ND/P/17908/03/2023</t>
  </si>
  <si>
    <t>040000141053</t>
  </si>
  <si>
    <t>040000141741</t>
  </si>
  <si>
    <t>040000143297</t>
  </si>
  <si>
    <t>KHI/HO/D/MR/IMPORTS/C/17896/03/2023</t>
  </si>
  <si>
    <t>070000126438</t>
  </si>
  <si>
    <t>040000144492</t>
  </si>
  <si>
    <t>040000146368</t>
  </si>
  <si>
    <t>KHI/HO/D/MO/PD COMP/E/23895/03/2023</t>
  </si>
  <si>
    <t>050000570879</t>
  </si>
  <si>
    <t>040000144501</t>
  </si>
  <si>
    <t>040000141034</t>
  </si>
  <si>
    <t>KHI/HO/D/MO/MC COMP/P/67880/02/2023</t>
  </si>
  <si>
    <t>040000139726</t>
  </si>
  <si>
    <t>040000141268</t>
  </si>
  <si>
    <t>070000129075</t>
  </si>
  <si>
    <t>KHI/HO/D/MO/MC TTT/E/23921/03/2023</t>
  </si>
  <si>
    <t>050000571886</t>
  </si>
  <si>
    <t>040000147007</t>
  </si>
  <si>
    <t>080000141070</t>
  </si>
  <si>
    <t>040000141579</t>
  </si>
  <si>
    <t>040000142932</t>
  </si>
  <si>
    <t>KHI/HO/D/MO/PD COMP/P/68912/03/2023</t>
  </si>
  <si>
    <t>040000141802</t>
  </si>
  <si>
    <t>KHI/HO/D/MO/PC COMP/C/62669/48/08/2022</t>
  </si>
  <si>
    <t>070000108910</t>
  </si>
  <si>
    <t>040000143096</t>
  </si>
  <si>
    <t>040000142727</t>
  </si>
  <si>
    <t>040000111328</t>
  </si>
  <si>
    <t>040000142407</t>
  </si>
  <si>
    <t>080000141001</t>
  </si>
  <si>
    <t>070000130636</t>
  </si>
  <si>
    <t>070000130639</t>
  </si>
  <si>
    <t>040000142534</t>
  </si>
  <si>
    <t>040000141307</t>
  </si>
  <si>
    <t>LHR/LHR/D/MO/PC COMP/C/7342/07/2022</t>
  </si>
  <si>
    <t>020000027070</t>
  </si>
  <si>
    <t>040000142794</t>
  </si>
  <si>
    <t>KHI/HO/D/MR/IMPORTS/C/17902/03/2023</t>
  </si>
  <si>
    <t>070000126471</t>
  </si>
  <si>
    <t>KHI/HO/D/MO/MC TTT/P/62804/08/2022</t>
  </si>
  <si>
    <t>040000123166</t>
  </si>
  <si>
    <t>040000144514</t>
  </si>
  <si>
    <t>040000145529</t>
  </si>
  <si>
    <t>040000119567</t>
  </si>
  <si>
    <t>040000121046</t>
  </si>
  <si>
    <t>040000150761</t>
  </si>
  <si>
    <t>040000145052</t>
  </si>
  <si>
    <t>040000141092</t>
  </si>
  <si>
    <t>KHI/HO/D/FR/ND/Q/767/02/2023</t>
  </si>
  <si>
    <t>010000008552</t>
  </si>
  <si>
    <t>040000139313</t>
  </si>
  <si>
    <t>040000140987</t>
  </si>
  <si>
    <t>KHI/HO/D/MO/MC COMP/P/67885/02/2023</t>
  </si>
  <si>
    <t>040000139731</t>
  </si>
  <si>
    <t>KHI/HO/D/MO/PC COMP/C/63342/50/09/2022</t>
  </si>
  <si>
    <t>070000110452</t>
  </si>
  <si>
    <t>040000141358</t>
  </si>
  <si>
    <t>040000121369</t>
  </si>
  <si>
    <t>040000141649</t>
  </si>
  <si>
    <t>040000139902</t>
  </si>
  <si>
    <t>KHI/HO/D/MO/PD COMP/P/68916/03/2023</t>
  </si>
  <si>
    <t>040000141809</t>
  </si>
  <si>
    <t>KHI/HO/D/HLGRP HEALTH/E/18896/03/2023</t>
  </si>
  <si>
    <t>050000572416</t>
  </si>
  <si>
    <t>PEW/PEW/D/HLGRP HEALTH/E/18899/03/2023</t>
  </si>
  <si>
    <t>050000572420</t>
  </si>
  <si>
    <t>040000142000</t>
  </si>
  <si>
    <t>040000142002</t>
  </si>
  <si>
    <t>040000142031</t>
  </si>
  <si>
    <t>KHI/HO/D/MO/PC COMP/P/68895/03/2023</t>
  </si>
  <si>
    <t>040000141771</t>
  </si>
  <si>
    <t>040000141778</t>
  </si>
  <si>
    <t>070000128648</t>
  </si>
  <si>
    <t>040000143063</t>
  </si>
  <si>
    <t>040000139576</t>
  </si>
  <si>
    <t>LHR/LHR/D/MO/PC COMP/P/69264/03/2023</t>
  </si>
  <si>
    <t>040000142559</t>
  </si>
  <si>
    <t>KHI/HO/D/HLGRP HEALTH/E/18904/03/2023</t>
  </si>
  <si>
    <t>050000572433</t>
  </si>
  <si>
    <t>KHI/HO/D/HLGRP HEALTH/E/18902/03/2023</t>
  </si>
  <si>
    <t>050000572427</t>
  </si>
  <si>
    <t>KHI/HO/D/MI/TRI/P/9261/02/2023</t>
  </si>
  <si>
    <t>040000139077</t>
  </si>
  <si>
    <t>KHI/HO/D/MI/TRI/P/9262/02/2023</t>
  </si>
  <si>
    <t>040000139079</t>
  </si>
  <si>
    <t>040000143241</t>
  </si>
  <si>
    <t>040000145999</t>
  </si>
  <si>
    <t>KHI/HO/D/MR/IMPORTS/P/38967/02/2023</t>
  </si>
  <si>
    <t>040000139859</t>
  </si>
  <si>
    <t>040000146037</t>
  </si>
  <si>
    <t>KHI/HO/D/HLGRP HEALTH/E/16983/11/2022</t>
  </si>
  <si>
    <t>050000520163</t>
  </si>
  <si>
    <t>KHI/HO/D/HLGRP HEALTH/E/15948/08/2022</t>
  </si>
  <si>
    <t>050000493638</t>
  </si>
  <si>
    <t>KHI/HO/D/MO/PC COMP/R/56650/09/2022</t>
  </si>
  <si>
    <t>080000127406</t>
  </si>
  <si>
    <t>040000124739</t>
  </si>
  <si>
    <t>040000139162</t>
  </si>
  <si>
    <t>040000123969</t>
  </si>
  <si>
    <t>040000137583</t>
  </si>
  <si>
    <t>KHI/HO/D/MO/PC COMP/R/55765/50/09/2022</t>
  </si>
  <si>
    <t>080000127010</t>
  </si>
  <si>
    <t>040000137974</t>
  </si>
  <si>
    <t>040000124325</t>
  </si>
  <si>
    <t>040000134159</t>
  </si>
  <si>
    <t>KHI/HO/D/MO/PC COMP/R/56150/09/2022</t>
  </si>
  <si>
    <t>080000127183</t>
  </si>
  <si>
    <t>KHI/HO/F/MR/IMPORTS/P/38885/02/2023</t>
  </si>
  <si>
    <t>040000138594</t>
  </si>
  <si>
    <t>KHI/HO/D/MO/PC COMP/C/62698/148/08/2022</t>
  </si>
  <si>
    <t>070000110106</t>
  </si>
  <si>
    <t>KHI/HO/D/MO/PC COMP/R/56550/09/2022</t>
  </si>
  <si>
    <t>080000127356</t>
  </si>
  <si>
    <t>KHI/HO/D/MO/PC COMP/R/55579/50/09/2022</t>
  </si>
  <si>
    <t>080000128426</t>
  </si>
  <si>
    <t>KHI/HO/D/MO/PC COMP/R/55579/250/09/2022</t>
  </si>
  <si>
    <t>080000128626</t>
  </si>
  <si>
    <t>KHI/HO/D/HLGRP HEALTH/E/17875/01/2023</t>
  </si>
  <si>
    <t>050000547429</t>
  </si>
  <si>
    <t>080000128526</t>
  </si>
  <si>
    <t>KHI/HO/D/MO/PC COMP/R/57188/11/2022</t>
  </si>
  <si>
    <t>080000130646</t>
  </si>
  <si>
    <t>KHI/HO/D/MO/PC COMP/R/56250/09/2022</t>
  </si>
  <si>
    <t>080000127235</t>
  </si>
  <si>
    <t>080000128630</t>
  </si>
  <si>
    <t>040000126705</t>
  </si>
  <si>
    <t>040000137980</t>
  </si>
  <si>
    <t>040000137577</t>
  </si>
  <si>
    <t>KHI/HO/D/MO/PC COMP/C/8450/09/2022</t>
  </si>
  <si>
    <t>020000028529</t>
  </si>
  <si>
    <t>040000129258</t>
  </si>
  <si>
    <t>KHI/HO/D/MO/PC COMP/P/65188/11/2022</t>
  </si>
  <si>
    <t>040000132131</t>
  </si>
  <si>
    <t>040000134573</t>
  </si>
  <si>
    <t>040000130854</t>
  </si>
  <si>
    <t>KHI/HO/D/MO/PC COMP/C/63576/50/09/2022</t>
  </si>
  <si>
    <t>070000111052</t>
  </si>
  <si>
    <t>040000126193</t>
  </si>
  <si>
    <t>LHR/LHR/D/MO/PC COMP/E/21835/10/2022</t>
  </si>
  <si>
    <t>050000513259</t>
  </si>
  <si>
    <t>040000136160</t>
  </si>
  <si>
    <t>040000134880</t>
  </si>
  <si>
    <t>KHI/HO/D/HLGRP HEALTH/P/1812/09/2022</t>
  </si>
  <si>
    <t>040000127576</t>
  </si>
  <si>
    <t>KHI/HO/D/MR/IMPORTS/C/17150/09/2022</t>
  </si>
  <si>
    <t>070000110561</t>
  </si>
  <si>
    <t>040000131757</t>
  </si>
  <si>
    <t>040000131766</t>
  </si>
  <si>
    <t>040000131711</t>
  </si>
  <si>
    <t>040000131721</t>
  </si>
  <si>
    <t>040000123764</t>
  </si>
  <si>
    <t>KHI/HO/D/MI/TRI/E/150/09/2022</t>
  </si>
  <si>
    <t>050000503102</t>
  </si>
  <si>
    <t>040000134087</t>
  </si>
  <si>
    <t>040000138508</t>
  </si>
  <si>
    <t>040000138522</t>
  </si>
  <si>
    <t>040000134330</t>
  </si>
  <si>
    <t>040000134348</t>
  </si>
  <si>
    <t>040000134390</t>
  </si>
  <si>
    <t>040000136254</t>
  </si>
  <si>
    <t>040000136255</t>
  </si>
  <si>
    <t>040000134444</t>
  </si>
  <si>
    <t>KHI/HO/D/HLGRP HEALTH/E/16834/10/2022</t>
  </si>
  <si>
    <t>050000518298</t>
  </si>
  <si>
    <t>KHI/HO/F/MR/IMPORTS/P/38812/01/2023</t>
  </si>
  <si>
    <t>040000137987</t>
  </si>
  <si>
    <t>KHI/HO/D/HLGRP HEALTH/E/17241/11/2022</t>
  </si>
  <si>
    <t>050000528916</t>
  </si>
  <si>
    <t>KHI/HO/D/MO/MC TTT/P/63048/08/2022</t>
  </si>
  <si>
    <t>040000124173</t>
  </si>
  <si>
    <t>040000124174</t>
  </si>
  <si>
    <t>040000134657</t>
  </si>
  <si>
    <t>KHI/HO/D/MI/TRI/P/7188/11/2022</t>
  </si>
  <si>
    <t>040000132386</t>
  </si>
  <si>
    <t>MUL/MUL/F/FR/ND/P/15950/09/2022</t>
  </si>
  <si>
    <t>040000126061</t>
  </si>
  <si>
    <t>040000137981</t>
  </si>
  <si>
    <t>KHI/HO/D/MO/MC COMP/R/55613/50/09/2022</t>
  </si>
  <si>
    <t>080000127654</t>
  </si>
  <si>
    <t>KHI/HO/D/MO/PC COMP/C/63665/50/09/2022</t>
  </si>
  <si>
    <t>070000111954</t>
  </si>
  <si>
    <t>040000137580</t>
  </si>
  <si>
    <t>040000137703</t>
  </si>
  <si>
    <t>KHI/HO/D/MO/PD COMP/C/9862/12/2022</t>
  </si>
  <si>
    <t>020000030331</t>
  </si>
  <si>
    <t>KHI/HO/D/MI/TRI/P/4650/09/2022</t>
  </si>
  <si>
    <t>040000126506</t>
  </si>
  <si>
    <t>040000126549</t>
  </si>
  <si>
    <t>040000126010</t>
  </si>
  <si>
    <t>MUL/MUL/F/FR/ND/E/6941/11/2022</t>
  </si>
  <si>
    <t>050000530628</t>
  </si>
  <si>
    <t>KHI/HO/D/MO/PC COMP/C/63576/450/09/2022</t>
  </si>
  <si>
    <t>070000111452</t>
  </si>
  <si>
    <t>040000131876</t>
  </si>
  <si>
    <t>040000126822</t>
  </si>
  <si>
    <t>KHI/HO/D/MI/TRI/P/3342/07/2022</t>
  </si>
  <si>
    <t>040000122623</t>
  </si>
  <si>
    <t>KHI/HO/D/HLGRP HEALTH/E/16160/09/2022</t>
  </si>
  <si>
    <t>050000500673</t>
  </si>
  <si>
    <t>KHI/HO/D/MO/PD COMP/E/21550/09/2022</t>
  </si>
  <si>
    <t>050000504698</t>
  </si>
  <si>
    <t>040000126937</t>
  </si>
  <si>
    <t>KHI/HO/D/MO/MC TTT/R/59260/01/2023</t>
  </si>
  <si>
    <t>080000134012</t>
  </si>
  <si>
    <t>060000000326</t>
  </si>
  <si>
    <t>040000134113</t>
  </si>
  <si>
    <t>040000134114</t>
  </si>
  <si>
    <t>LHR/LHR/D/MO/PC COMP/P/65862/12/2022</t>
  </si>
  <si>
    <t>040000134178</t>
  </si>
  <si>
    <t>KHI/HO/D/MI/TRI/P/3648/08/2022</t>
  </si>
  <si>
    <t>040000123543</t>
  </si>
  <si>
    <t>KHI/HO/D/MO/PC COMP/C/63576/350/09/2022</t>
  </si>
  <si>
    <t>070000111352</t>
  </si>
  <si>
    <t>KHI/HO/D/HLGRP HEALTH/E/16150/09/2022</t>
  </si>
  <si>
    <t>050000500099</t>
  </si>
  <si>
    <t>040000123626</t>
  </si>
  <si>
    <t>040000126598</t>
  </si>
  <si>
    <t>040000136552</t>
  </si>
  <si>
    <t>040000135472</t>
  </si>
  <si>
    <t>KHI/HO/D/MR/IMPORTS/C/17497/12/2022</t>
  </si>
  <si>
    <t>070000117931</t>
  </si>
  <si>
    <t>LHR/LHR/D/HLGRP HEALTH/E/18204/01/2023</t>
  </si>
  <si>
    <t>050000553582</t>
  </si>
  <si>
    <t>MUL/MUL/F/FR/ND/P/15826/09/2022</t>
  </si>
  <si>
    <t>040000125655</t>
  </si>
  <si>
    <t>040000127264</t>
  </si>
  <si>
    <t>KHI/HO/D/MI/TRI/P/4811/09/2022</t>
  </si>
  <si>
    <t>040000126751</t>
  </si>
  <si>
    <t>LHR/LHR/D/MO/PC COMP/P/63811/09/2022</t>
  </si>
  <si>
    <t>040000127054</t>
  </si>
  <si>
    <t>040000132889</t>
  </si>
  <si>
    <t>040000181418</t>
  </si>
  <si>
    <t>040000125792</t>
  </si>
  <si>
    <t>040000132746</t>
  </si>
  <si>
    <t>040000133122</t>
  </si>
  <si>
    <t>040000135880</t>
  </si>
  <si>
    <t>KHI/HO/D/MO/PC COMP/C/63576/250/09/2022</t>
  </si>
  <si>
    <t>070000111252</t>
  </si>
  <si>
    <t>040000132753</t>
  </si>
  <si>
    <t>KHI/HO/D/HLGRP HEALTH/E/17069/11/2022</t>
  </si>
  <si>
    <t>050000524258</t>
  </si>
  <si>
    <t>KHI/HO/D/MO/PC COMP/C/8150/09/2022</t>
  </si>
  <si>
    <t>020000028149</t>
  </si>
  <si>
    <t>KHI/HO/D/HLGRP HEALTH/E/17188/11/2022</t>
  </si>
  <si>
    <t>050000527034</t>
  </si>
  <si>
    <t>040000124071</t>
  </si>
  <si>
    <t>KHI/HO/D/MO/MC TTT/R/58922/01/2023</t>
  </si>
  <si>
    <t>080000133837</t>
  </si>
  <si>
    <t>060000000324</t>
  </si>
  <si>
    <t>040000132535</t>
  </si>
  <si>
    <t>KHI/HO/D/HLGRP HEALTH/E/16144/09/2022</t>
  </si>
  <si>
    <t>050000499100</t>
  </si>
  <si>
    <t>040000134435</t>
  </si>
  <si>
    <t>KHI/HO/D/MI/TRI/P/4550/09/2022</t>
  </si>
  <si>
    <t>040000126104</t>
  </si>
  <si>
    <t>040000125651</t>
  </si>
  <si>
    <t>KHI/HO/D/MI/TRI/P/3804/08/2022</t>
  </si>
  <si>
    <t>040000123791</t>
  </si>
  <si>
    <t>040000132222</t>
  </si>
  <si>
    <t>KHI/HO/D/MO/PC COMP/P/63350/09/2022</t>
  </si>
  <si>
    <t>040000125414</t>
  </si>
  <si>
    <t>KHI/HO/D/MI/TRI/P/5835/10/2022</t>
  </si>
  <si>
    <t>040000129159</t>
  </si>
  <si>
    <t>KHI/HO/D/MI/TRI/P/5837/10/2022</t>
  </si>
  <si>
    <t>040000129163</t>
  </si>
  <si>
    <t>KHI/HO/D/HLGRP HEALTH/E/16543/10/2022</t>
  </si>
  <si>
    <t>050000509330</t>
  </si>
  <si>
    <t>KHI/HO/D/HLGRP HEALTH/E/17083/11/2022</t>
  </si>
  <si>
    <t>050000524641</t>
  </si>
  <si>
    <t>040000131543</t>
  </si>
  <si>
    <t>KHI/HO/D/MO/MC TTT/P/62948/08/2022</t>
  </si>
  <si>
    <t>040000123620</t>
  </si>
  <si>
    <t>040000137040</t>
  </si>
  <si>
    <t>040000138485</t>
  </si>
  <si>
    <t>040000128610</t>
  </si>
  <si>
    <t>040000136729</t>
  </si>
  <si>
    <t>040000126052</t>
  </si>
  <si>
    <t>KHI/HO/D/HLGRP HEALTH/E/16250/09/2022</t>
  </si>
  <si>
    <t>050000503107</t>
  </si>
  <si>
    <t>040000135603</t>
  </si>
  <si>
    <t>040000130611</t>
  </si>
  <si>
    <t>MUL/MUL/F/FR/ND/E/8604/07/2023</t>
  </si>
  <si>
    <t>050000618762</t>
  </si>
  <si>
    <t>KHI/HO/D/MO/PC COMP/R/56846/10/2022</t>
  </si>
  <si>
    <t>080000129513</t>
  </si>
  <si>
    <t>KHI/HO/D/MO/PC COMP/P/64050/09/2022</t>
  </si>
  <si>
    <t>040000127678</t>
  </si>
  <si>
    <t>040000137783</t>
  </si>
  <si>
    <t>040000136075</t>
  </si>
  <si>
    <t>KHI/HO/D/MI/TRI/P/4450/09/2022</t>
  </si>
  <si>
    <t>040000125860</t>
  </si>
  <si>
    <t>KHI/HO/D/MO/MC TTT/R/59200/01/2023</t>
  </si>
  <si>
    <t>080000133969</t>
  </si>
  <si>
    <t>040000125661</t>
  </si>
  <si>
    <t>040000125582</t>
  </si>
  <si>
    <t>KHI/HO/D/MI/TRI/P/5834/10/2022</t>
  </si>
  <si>
    <t>040000129158</t>
  </si>
  <si>
    <t>KHI/HO/D/HLGRP HEALTH/E/17497/12/2022</t>
  </si>
  <si>
    <t>050000536306</t>
  </si>
  <si>
    <t>KHI/HO/D/MO/PC COMP/P/63148/08/2022</t>
  </si>
  <si>
    <t>040000124550</t>
  </si>
  <si>
    <t>KHI/HO/D/MO/PC COMP/R/56834/10/2022</t>
  </si>
  <si>
    <t>080000129506</t>
  </si>
  <si>
    <t>040000135446</t>
  </si>
  <si>
    <t>KHI/HO/D/MO/MC TTT/R/56835/10/2022</t>
  </si>
  <si>
    <t>080000129507</t>
  </si>
  <si>
    <t>KHI/HO/D/HLGRP HEALTH/E/16254/09/2022</t>
  </si>
  <si>
    <t>050000503324</t>
  </si>
  <si>
    <t>KHI/HO/D/MO/PD COMP/E/22337/12/2022</t>
  </si>
  <si>
    <t>050000532332</t>
  </si>
  <si>
    <t>060000000315</t>
  </si>
  <si>
    <t>LHR/LHR/D/MO/PC COMP/R/57328/11/2022</t>
  </si>
  <si>
    <t>080000131098</t>
  </si>
  <si>
    <t>LHR/LHR/D/MO/PC COMP/C/7748/08/2022</t>
  </si>
  <si>
    <t>020000027637</t>
  </si>
  <si>
    <t>040000123523</t>
  </si>
  <si>
    <t>KHI/HO/D/MO/PC COMP/C/63343/50/09/2022</t>
  </si>
  <si>
    <t>070000112421</t>
  </si>
  <si>
    <t>040000134053</t>
  </si>
  <si>
    <t>040000128092</t>
  </si>
  <si>
    <t>KHI/HO/D/MI/TRI/P/4148/08/2022</t>
  </si>
  <si>
    <t>040000124729</t>
  </si>
  <si>
    <t>040000124398</t>
  </si>
  <si>
    <t>040000124273</t>
  </si>
  <si>
    <t>040000136939</t>
  </si>
  <si>
    <t>040000127269</t>
  </si>
  <si>
    <t>040000124929</t>
  </si>
  <si>
    <t>KHI/HO/D/MI/TRI/P/5150/09/2022</t>
  </si>
  <si>
    <t>040000127583</t>
  </si>
  <si>
    <t>KHI/HO/D/HLGRP HEALTH/Q/6206/02/2023</t>
  </si>
  <si>
    <t>010000008385</t>
  </si>
  <si>
    <t>040000137319</t>
  </si>
  <si>
    <t>040000139195</t>
  </si>
  <si>
    <t>040000131001</t>
  </si>
  <si>
    <t>040000139466</t>
  </si>
  <si>
    <t>KHI/HO/D/HLGRP HEALTH/E/18262/02/2023</t>
  </si>
  <si>
    <t>050000558118</t>
  </si>
  <si>
    <t>KHI/HO/D/MO/PC COMP/R/56837/10/2022</t>
  </si>
  <si>
    <t>080000129857</t>
  </si>
  <si>
    <t>LHR/LHR/D/MO/PC COMP/E/21450/09/2022</t>
  </si>
  <si>
    <t>050000502995</t>
  </si>
  <si>
    <t>040000140242</t>
  </si>
  <si>
    <t>KHI/HO/D/HLGRP HEALTH/P/1846/10/2022</t>
  </si>
  <si>
    <t>040000129047</t>
  </si>
  <si>
    <t>040000130807</t>
  </si>
  <si>
    <t>040000124871</t>
  </si>
  <si>
    <t>KHI/HO/D/HLGRP HEALTH/E/16147/09/2022</t>
  </si>
  <si>
    <t>050000500092</t>
  </si>
  <si>
    <t>040000136984</t>
  </si>
  <si>
    <t>KHI/HO/D/HLGRP HEALTH/P/1837/10/2022</t>
  </si>
  <si>
    <t>040000128597</t>
  </si>
  <si>
    <t>040000138744</t>
  </si>
  <si>
    <t>040000138778</t>
  </si>
  <si>
    <t>040000134805</t>
  </si>
  <si>
    <t>040000135894</t>
  </si>
  <si>
    <t>040000140092</t>
  </si>
  <si>
    <t>KHI/HO/D/HLGRP HEALTH/E/17305/11/2022</t>
  </si>
  <si>
    <t>050000530021</t>
  </si>
  <si>
    <t>040000143000</t>
  </si>
  <si>
    <t>KHI/HO/D/MO/PC COMP/C/62964/348/08/2022</t>
  </si>
  <si>
    <t>070000108755</t>
  </si>
  <si>
    <t>KHI/HO/D/MI/TRI/P/3948/08/2022</t>
  </si>
  <si>
    <t>040000124080</t>
  </si>
  <si>
    <t>040000132062</t>
  </si>
  <si>
    <t>040000125668</t>
  </si>
  <si>
    <t>040000123918</t>
  </si>
  <si>
    <t>KHI/HO/D/MO/PC COMP/C/62964/148/08/2022</t>
  </si>
  <si>
    <t>070000108555</t>
  </si>
  <si>
    <t>040000132592</t>
  </si>
  <si>
    <t>040000132989</t>
  </si>
  <si>
    <t>040000126856</t>
  </si>
  <si>
    <t>KHI/HO/D/MO/PC COMP/C/63072/148/08/2022</t>
  </si>
  <si>
    <t>070000109796</t>
  </si>
  <si>
    <t>040000126975</t>
  </si>
  <si>
    <t>040000126989</t>
  </si>
  <si>
    <t>040000132570</t>
  </si>
  <si>
    <t>KHI/HO/D/MO/PC COMP/C/62964/448/08/2022</t>
  </si>
  <si>
    <t>070000108855</t>
  </si>
  <si>
    <t>KHI/HO/D/FR/ND/P/15850/09/2022</t>
  </si>
  <si>
    <t>040000125738</t>
  </si>
  <si>
    <t>040000136825</t>
  </si>
  <si>
    <t>KHI/HO/D/MO/MC TTT/C/8846/10/2022</t>
  </si>
  <si>
    <t>020000029064</t>
  </si>
  <si>
    <t>KHI/HO/D/MO/PC COMP/R/57879/12/2022</t>
  </si>
  <si>
    <t>080000131587</t>
  </si>
  <si>
    <t>SKT/SKT/D/MR/INLAND TRANSIT/C/19812/09/2022</t>
  </si>
  <si>
    <t>020000028349</t>
  </si>
  <si>
    <t>040000134344</t>
  </si>
  <si>
    <t>040000134493</t>
  </si>
  <si>
    <t>KHI/HO/D/HLGRP HEALTH/E/16350/09/2022</t>
  </si>
  <si>
    <t>050000504127</t>
  </si>
  <si>
    <t>040000130719</t>
  </si>
  <si>
    <t>KHI/HO/D/MR/IMPORTS/C/17250/09/2022</t>
  </si>
  <si>
    <t>070000112513</t>
  </si>
  <si>
    <t>KHI/HO/D/MI/TRI/P/4350/09/2022</t>
  </si>
  <si>
    <t>040000125543</t>
  </si>
  <si>
    <t>040000133925</t>
  </si>
  <si>
    <t>040000131767</t>
  </si>
  <si>
    <t>040000133364</t>
  </si>
  <si>
    <t>040000134693</t>
  </si>
  <si>
    <t>KHI/HO/D/MO/PC COMP/R/55586/50/09/2022</t>
  </si>
  <si>
    <t>080000126945</t>
  </si>
  <si>
    <t>040000133947</t>
  </si>
  <si>
    <t>KHI/HO/D/HLGRP HEALTH/E/17561/12/2022</t>
  </si>
  <si>
    <t>050000537054</t>
  </si>
  <si>
    <t>040000123949</t>
  </si>
  <si>
    <t>KHI/HO/D/HLGRP HEALTH/E/16846/10/2022</t>
  </si>
  <si>
    <t>050000518584</t>
  </si>
  <si>
    <t>KHI/HO/D/MO/MC COMP/C/7848/08/2022</t>
  </si>
  <si>
    <t>020000027770</t>
  </si>
  <si>
    <t>040000124196</t>
  </si>
  <si>
    <t>KHI/HO/D/HLGRP HEALTH/P/1750/09/2022</t>
  </si>
  <si>
    <t>040000125833</t>
  </si>
  <si>
    <t>KHI/HO/D/HLGRP HEALTH/P/1834/10/2022</t>
  </si>
  <si>
    <t>040000128498</t>
  </si>
  <si>
    <t>040000125714</t>
  </si>
  <si>
    <t>040000125831</t>
  </si>
  <si>
    <t>040000126187</t>
  </si>
  <si>
    <t>KHI/HO/D/MI/TRI/P/4750/09/2022</t>
  </si>
  <si>
    <t>040000126643</t>
  </si>
  <si>
    <t>040000135993</t>
  </si>
  <si>
    <t>KHI/HO/D/MO/MC TTT/C/9188/11/2022</t>
  </si>
  <si>
    <t>020000029470</t>
  </si>
  <si>
    <t>040000124264</t>
  </si>
  <si>
    <t>040000129128</t>
  </si>
  <si>
    <t>040000123716</t>
  </si>
  <si>
    <t>040000131950</t>
  </si>
  <si>
    <t>KHI/HO/D/MO/PC COMP/C/62667/48/08/2022</t>
  </si>
  <si>
    <t>070000108145</t>
  </si>
  <si>
    <t>KHI/HO/D/MI/TRI/P/3748/08/2022</t>
  </si>
  <si>
    <t>040000123690</t>
  </si>
  <si>
    <t>KHI/HO/D/HLGRP HEALTH/E/17016/11/2022</t>
  </si>
  <si>
    <t>050000522599</t>
  </si>
  <si>
    <t>040000132007</t>
  </si>
  <si>
    <t>KHI/HO/D/MO/PC COMP/C/7948/08/2022</t>
  </si>
  <si>
    <t>020000027894</t>
  </si>
  <si>
    <t>040000127962</t>
  </si>
  <si>
    <t>KHI/HO/D/HLGRP HEALTH/E/16450/09/2022</t>
  </si>
  <si>
    <t>050000505570</t>
  </si>
  <si>
    <t>040000137628</t>
  </si>
  <si>
    <t>040000137630</t>
  </si>
  <si>
    <t>LHR/LHR/D/MO/CV/R/58875/01/2023</t>
  </si>
  <si>
    <t>080000134168</t>
  </si>
  <si>
    <t>KHI/HO/D/MI/TRI/P/4254/09/2022</t>
  </si>
  <si>
    <t>040000125232</t>
  </si>
  <si>
    <t>040000125816</t>
  </si>
  <si>
    <t>KHI/HO/D/MO/PC TPP/C/10880/02/2023</t>
  </si>
  <si>
    <t>020000031516</t>
  </si>
  <si>
    <t>KHI/HO/D/MO/PC COMP/P/63550/09/2022</t>
  </si>
  <si>
    <t>040000126065</t>
  </si>
  <si>
    <t>KHI/HO/D/HLGRP HEALTH/E/16165/09/2022</t>
  </si>
  <si>
    <t>050000500725</t>
  </si>
  <si>
    <t>040000133493</t>
  </si>
  <si>
    <t>040000125821</t>
  </si>
  <si>
    <t>040000137273</t>
  </si>
  <si>
    <t>040000133824</t>
  </si>
  <si>
    <t>040000139147</t>
  </si>
  <si>
    <t>040000126994</t>
  </si>
  <si>
    <t>040000131567</t>
  </si>
  <si>
    <t>LHR/LHR/D/MO/PC COMP/C/8250/09/2022</t>
  </si>
  <si>
    <t>020000028271</t>
  </si>
  <si>
    <t>040000127416</t>
  </si>
  <si>
    <t>040000130250</t>
  </si>
  <si>
    <t>040000134662</t>
  </si>
  <si>
    <t>040000130991</t>
  </si>
  <si>
    <t>040000129505</t>
  </si>
  <si>
    <t>040000133049</t>
  </si>
  <si>
    <t>KHI/HO/D/MO/PC COMP/C/8254/09/2022</t>
  </si>
  <si>
    <t>020000028280</t>
  </si>
  <si>
    <t>KHI/HO/D/MI/TRI/P/8875/01/2023</t>
  </si>
  <si>
    <t>040000137675</t>
  </si>
  <si>
    <t>040000134422</t>
  </si>
  <si>
    <t>040000137323</t>
  </si>
  <si>
    <t>KHI/HO/F/MR/IMPORTS/P/38742/01/2023</t>
  </si>
  <si>
    <t>040000137446</t>
  </si>
  <si>
    <t>040000137451</t>
  </si>
  <si>
    <t>PEW/PEW/D/HLGRP HEALTH/E/16118/09/2022</t>
  </si>
  <si>
    <t>050000498903</t>
  </si>
  <si>
    <t>040000127366</t>
  </si>
  <si>
    <t>040000125904</t>
  </si>
  <si>
    <t>040000137007</t>
  </si>
  <si>
    <t>040000131736</t>
  </si>
  <si>
    <t>040000136237</t>
  </si>
  <si>
    <t>040000136387</t>
  </si>
  <si>
    <t>040000136644</t>
  </si>
  <si>
    <t>KHI/HO/D/MI/TRI/P/8260/01/2023</t>
  </si>
  <si>
    <t>040000136015</t>
  </si>
  <si>
    <t>040000138625</t>
  </si>
  <si>
    <t>040000131579</t>
  </si>
  <si>
    <t>040000140832</t>
  </si>
  <si>
    <t>LHR/LHR/D/MO/PC COMP/E/21350/09/2022</t>
  </si>
  <si>
    <t>050000500676</t>
  </si>
  <si>
    <t>KHI/HO/D/MO/PC COMP/C/10567/02/2023</t>
  </si>
  <si>
    <t>020000031164</t>
  </si>
  <si>
    <t>040000126776</t>
  </si>
  <si>
    <t>040000126983</t>
  </si>
  <si>
    <t>040000134594</t>
  </si>
  <si>
    <t>040000125828</t>
  </si>
  <si>
    <t>KHI/HO/D/HLGRP HEALTH/E/17726/12/2022</t>
  </si>
  <si>
    <t>050000540733</t>
  </si>
  <si>
    <t>040000126944</t>
  </si>
  <si>
    <t>LHR/LHR/D/MO/PC COMP/C/10260/01/2023</t>
  </si>
  <si>
    <t>020000030816</t>
  </si>
  <si>
    <t>KHI/HO/D/MO/MC COMP/P/63450/09/2022</t>
  </si>
  <si>
    <t>040000125662</t>
  </si>
  <si>
    <t>KHI/HO/D/HLGRP HEALTH/P/2259/01/2023</t>
  </si>
  <si>
    <t>040000137419</t>
  </si>
  <si>
    <t>040000128570</t>
  </si>
  <si>
    <t>040000130353</t>
  </si>
  <si>
    <t>040000127370</t>
  </si>
  <si>
    <t>KHI/HO/D/HLGRP HEALTH/E/17224/11/2022</t>
  </si>
  <si>
    <t>050000528843</t>
  </si>
  <si>
    <t>040000134414</t>
  </si>
  <si>
    <t>KHI/HO/D/HLGRP HEALTH/E/18200/01/2023</t>
  </si>
  <si>
    <t>050000553571</t>
  </si>
  <si>
    <t>KHI/HO/D/MO/PC TPP/P/67259/01/2023</t>
  </si>
  <si>
    <t>040000138425</t>
  </si>
  <si>
    <t>KHI/HO/D/MO/MC TTT/P/67260/01/2023</t>
  </si>
  <si>
    <t>040000138426</t>
  </si>
  <si>
    <t>KHI/HO/D/HLGRP HEALTH/E/17054/11/2022</t>
  </si>
  <si>
    <t>050000523357</t>
  </si>
  <si>
    <t>KHI/HO/D/HLGRP HEALTH/E/17058/11/2022</t>
  </si>
  <si>
    <t>050000523361</t>
  </si>
  <si>
    <t>040000127016</t>
  </si>
  <si>
    <t>040000125400</t>
  </si>
  <si>
    <t>KHI/HO/D/MR/IMPORTS/C/17541/12/2022</t>
  </si>
  <si>
    <t>070000119248</t>
  </si>
  <si>
    <t>040000134279</t>
  </si>
  <si>
    <t>KHI/HO/D/MI/TRI/P/4048/08/2022</t>
  </si>
  <si>
    <t>040000124316</t>
  </si>
  <si>
    <t>KHI/HO/D/HLGRP HEALTH/E/16142/09/2022</t>
  </si>
  <si>
    <t>050000498971</t>
  </si>
  <si>
    <t>040000123923</t>
  </si>
  <si>
    <t>KHI/HO/D/MO/PC COMP/C/7804/08/2022</t>
  </si>
  <si>
    <t>020000027702</t>
  </si>
  <si>
    <t>040000135162</t>
  </si>
  <si>
    <t>040000129096</t>
  </si>
  <si>
    <t>KHI/HO/D/HLGRP HEALTH/P/1835/10/2022</t>
  </si>
  <si>
    <t>040000128526</t>
  </si>
  <si>
    <t>LHR/LHR/D/MO/PC COMP/E/21834/10/2022</t>
  </si>
  <si>
    <t>050000513257</t>
  </si>
  <si>
    <t>040000133130</t>
  </si>
  <si>
    <t>040000139899</t>
  </si>
  <si>
    <t>KHI/HO/D/MO/MC TTT/C/10867/02/2023</t>
  </si>
  <si>
    <t>020000031500</t>
  </si>
  <si>
    <t>KHI/HO/D/FR/ND/P/17787/02/2023</t>
  </si>
  <si>
    <t>040000140563</t>
  </si>
  <si>
    <t>KHI/HO/D/FR/ND/P/17792/02/2023</t>
  </si>
  <si>
    <t>040000140568</t>
  </si>
  <si>
    <t>KHI/HO/D/FR/ND/P/17767/02/2023</t>
  </si>
  <si>
    <t>040000140543</t>
  </si>
  <si>
    <t>040000130011</t>
  </si>
  <si>
    <t>040000137858</t>
  </si>
  <si>
    <t>040000140769</t>
  </si>
  <si>
    <t>040000135952</t>
  </si>
  <si>
    <t>040000129097</t>
  </si>
  <si>
    <t>040000138978</t>
  </si>
  <si>
    <t>040000136927</t>
  </si>
  <si>
    <t>040000124408</t>
  </si>
  <si>
    <t>KHI/HO/D/MI/TRI/P/4950/09/2022</t>
  </si>
  <si>
    <t>040000127093</t>
  </si>
  <si>
    <t>040000139024</t>
  </si>
  <si>
    <t>KHI/HO/D/MO/PC COMP/P/67567/02/2023</t>
  </si>
  <si>
    <t>040000139139</t>
  </si>
  <si>
    <t>KHI/HO/D/HLGRP HEALTH/E/17409/12/2022</t>
  </si>
  <si>
    <t>050000531829</t>
  </si>
  <si>
    <t>070000124111</t>
  </si>
  <si>
    <t>KHI/HO/D/HLGRP HEALTH/E/18467/02/2023</t>
  </si>
  <si>
    <t>050000561640</t>
  </si>
  <si>
    <t>KHI/HO/D/FR/ND/P/17750/02/2023</t>
  </si>
  <si>
    <t>040000140525</t>
  </si>
  <si>
    <t>KHI/HO/D/FR/ND/P/17789/02/2023</t>
  </si>
  <si>
    <t>040000140565</t>
  </si>
  <si>
    <t>KHI/HO/D/MO/PC COMP/R/55835/10/2022</t>
  </si>
  <si>
    <t>080000128946</t>
  </si>
  <si>
    <t>MUL/MUL/F/FR/ND/P/17899/03/2023</t>
  </si>
  <si>
    <t>040000140990</t>
  </si>
  <si>
    <t>040000136551</t>
  </si>
  <si>
    <t>040000132134</t>
  </si>
  <si>
    <t>KHI/HO/D/MO/PD COMP/E/22262/11/2022</t>
  </si>
  <si>
    <t>050000529931</t>
  </si>
  <si>
    <t>KHI/HO/D/HLGRP HEALTH/E/16837/10/2022</t>
  </si>
  <si>
    <t>050000518302</t>
  </si>
  <si>
    <t>040000125843</t>
  </si>
  <si>
    <t>040000131508</t>
  </si>
  <si>
    <t>040000125848</t>
  </si>
  <si>
    <t>040000130714</t>
  </si>
  <si>
    <t>040000132307</t>
  </si>
  <si>
    <t>040000126009</t>
  </si>
  <si>
    <t>040000137315</t>
  </si>
  <si>
    <t>070000121766</t>
  </si>
  <si>
    <t>MUL/MUL/F/FR/ND/P/17885/02/2023</t>
  </si>
  <si>
    <t>040000140805</t>
  </si>
  <si>
    <t>040000140504</t>
  </si>
  <si>
    <t>040000140857</t>
  </si>
  <si>
    <t>KHI/HO/D/MO/MC TTT/E/23902/03/2023</t>
  </si>
  <si>
    <t>050000570891</t>
  </si>
  <si>
    <t>040000141563</t>
  </si>
  <si>
    <t>KHI/HO/D/HLGRP HEALTH/P/2260/01/2023</t>
  </si>
  <si>
    <t>040000137424</t>
  </si>
  <si>
    <t>040000141642</t>
  </si>
  <si>
    <t>040000130702</t>
  </si>
  <si>
    <t>040000124050</t>
  </si>
  <si>
    <t>040000125342</t>
  </si>
  <si>
    <t>KHI/HO/D/HLGRP HEALTH/E/16139/09/2022</t>
  </si>
  <si>
    <t>050000498968</t>
  </si>
  <si>
    <t>KHI/HO/D/MR/IMPORTS/C/19750/09/2022</t>
  </si>
  <si>
    <t>020000028052</t>
  </si>
  <si>
    <t>040000136804</t>
  </si>
  <si>
    <t>KHI/HO/D/MO/PC COMP/E/21828/10/2022</t>
  </si>
  <si>
    <t>050000513246</t>
  </si>
  <si>
    <t>040000133378</t>
  </si>
  <si>
    <t>KHI/HO/D/MO/MC TTT/P/63812/09/2022</t>
  </si>
  <si>
    <t>040000127055</t>
  </si>
  <si>
    <t>040000125296</t>
  </si>
  <si>
    <t>040000124850</t>
  </si>
  <si>
    <t>KHI/HO/D/MR/IMPORTS/C/17561/12/2022</t>
  </si>
  <si>
    <t>070000120113</t>
  </si>
  <si>
    <t>040000134473</t>
  </si>
  <si>
    <t>KHI/HO/D/MR/IMPORTS/C/20260/01/2023</t>
  </si>
  <si>
    <t>020000030522</t>
  </si>
  <si>
    <t>040000141786</t>
  </si>
  <si>
    <t>KHI/HO/D/MO/PC COMP/P/68896/03/2023</t>
  </si>
  <si>
    <t>040000141773</t>
  </si>
  <si>
    <t>040000141013</t>
  </si>
  <si>
    <t>KHI/HO/D/HLGRP HEALTH/E/17727/12/2022</t>
  </si>
  <si>
    <t>050000540734</t>
  </si>
  <si>
    <t>KHI/HO/F/MR/IMPORTS/P/38880/02/2023</t>
  </si>
  <si>
    <t>040000138568</t>
  </si>
  <si>
    <t>040000125612</t>
  </si>
  <si>
    <t>070000124097</t>
  </si>
  <si>
    <t>040000140944</t>
  </si>
  <si>
    <t>KHI/HO/D/HLGRP HEALTH/E/18267/02/2023</t>
  </si>
  <si>
    <t>050000558126</t>
  </si>
  <si>
    <t>KHI/HO/D/MR/IMPORTS/C/17916/03/2023</t>
  </si>
  <si>
    <t>070000126608</t>
  </si>
  <si>
    <t>KHI/HO/D/MR/IMPORTS/C/17729/02/2023</t>
  </si>
  <si>
    <t>070000123158</t>
  </si>
  <si>
    <t>040000138344</t>
  </si>
  <si>
    <t>KHI/HO/D/MI/TRI/P/5846/10/2022</t>
  </si>
  <si>
    <t>040000129174</t>
  </si>
  <si>
    <t>040000142503</t>
  </si>
  <si>
    <t>040000143133</t>
  </si>
  <si>
    <t>040000143135</t>
  </si>
  <si>
    <t>LHR/LHR/D/FR/ND/R/13916/03/2023</t>
  </si>
  <si>
    <t>080000137289</t>
  </si>
  <si>
    <t>040000137978</t>
  </si>
  <si>
    <t>MUL/MUL/F/FR/D/P/17896/03/2023</t>
  </si>
  <si>
    <t>040000140971</t>
  </si>
  <si>
    <t>KHI/HO/D/HLGRP HEALTH/E/18206/02/2023</t>
  </si>
  <si>
    <t>050000553584</t>
  </si>
  <si>
    <t>040000136039</t>
  </si>
  <si>
    <t>ISD/ISD/D/FR/ND/E/6239/07/2022</t>
  </si>
  <si>
    <t>050000482379</t>
  </si>
  <si>
    <t>040000139881</t>
  </si>
  <si>
    <t>040000136672</t>
  </si>
  <si>
    <t>040000140773</t>
  </si>
  <si>
    <t>070000126939</t>
  </si>
  <si>
    <t>040000134619</t>
  </si>
  <si>
    <t>KHI/HO/D/HLGRP HEALTH/E/18932/03/2023</t>
  </si>
  <si>
    <t>050000572678</t>
  </si>
  <si>
    <t>040000140218</t>
  </si>
  <si>
    <t>MUL/MUL/F/MI/CT/P/2567/02/2023</t>
  </si>
  <si>
    <t>040000140224</t>
  </si>
  <si>
    <t>040000143124</t>
  </si>
  <si>
    <t>MUL/MUL/F/FR/D/E/7667/02/2023</t>
  </si>
  <si>
    <t>050000560779</t>
  </si>
  <si>
    <t>040000140328</t>
  </si>
  <si>
    <t>040000141118</t>
  </si>
  <si>
    <t>040000139540</t>
  </si>
  <si>
    <t>KHI/HO/D/MI/TRI/P/9267/02/2023</t>
  </si>
  <si>
    <t>040000139099</t>
  </si>
  <si>
    <t>KHI/HO/D/MO/PC COMP/P/67367/02/2023</t>
  </si>
  <si>
    <t>040000138662</t>
  </si>
  <si>
    <t>KHI/HO/D/MI/TRI/P/7862/12/2022</t>
  </si>
  <si>
    <t>040000134496</t>
  </si>
  <si>
    <t>KHI/HO/F/MR/IMPORTS/P/38658/01/2023</t>
  </si>
  <si>
    <t>040000136653</t>
  </si>
  <si>
    <t>040000140715</t>
  </si>
  <si>
    <t>040000140826</t>
  </si>
  <si>
    <t>MUL/MUL/F/FR/ND/P/17904/03/2023</t>
  </si>
  <si>
    <t>040000141040</t>
  </si>
  <si>
    <t>KHI/HO/D/MO/PC COMP/C/68071/261/02/2023</t>
  </si>
  <si>
    <t>070000124002</t>
  </si>
  <si>
    <t>040000142621</t>
  </si>
  <si>
    <t>KHI/HO/D/MO/PC COMP/C/68071/206/02/2023</t>
  </si>
  <si>
    <t>070000123947</t>
  </si>
  <si>
    <t>040000141334</t>
  </si>
  <si>
    <t>040000141336</t>
  </si>
  <si>
    <t>KHI/HO/D/MI/CRP/C/200/01/2023</t>
  </si>
  <si>
    <t>070000121841</t>
  </si>
  <si>
    <t>040000143414</t>
  </si>
  <si>
    <t>040000143411</t>
  </si>
  <si>
    <t>040000137037</t>
  </si>
  <si>
    <t>KHI/HO/D/HLGRP HEALTH/E/18261/02/2023</t>
  </si>
  <si>
    <t>050000557060</t>
  </si>
  <si>
    <t>040000142819</t>
  </si>
  <si>
    <t>KHI/HO/D/MO/MC COMP/P/68924/03/2023</t>
  </si>
  <si>
    <t>040000141824</t>
  </si>
  <si>
    <t>040000140975</t>
  </si>
  <si>
    <t>040000142089</t>
  </si>
  <si>
    <t>040000137052</t>
  </si>
  <si>
    <t>KHI/HO/F/MR/IMPORTS/C/17912/03/2023</t>
  </si>
  <si>
    <t>070000126603</t>
  </si>
  <si>
    <t>040000141205</t>
  </si>
  <si>
    <t>040000141475</t>
  </si>
  <si>
    <t>KHI/HO/D/MO/MC TTT/P/68262/02/2023</t>
  </si>
  <si>
    <t>040000140659</t>
  </si>
  <si>
    <t>KHI/HO/D/MO/PC COMP/C/68071/167/02/2023</t>
  </si>
  <si>
    <t>070000123908</t>
  </si>
  <si>
    <t>MUL/MUL/F/FR/ND/E/7952/04/2023</t>
  </si>
  <si>
    <t>050000586196</t>
  </si>
  <si>
    <t>040000137186</t>
  </si>
  <si>
    <t>040000137199</t>
  </si>
  <si>
    <t>KHI/HO/D/MO/MC TTT/P/68206/02/2023</t>
  </si>
  <si>
    <t>040000140372</t>
  </si>
  <si>
    <t>040000142502</t>
  </si>
  <si>
    <t>KHI/HO/D/MR/IMPORTS/C/17908/03/2023</t>
  </si>
  <si>
    <t>070000126548</t>
  </si>
  <si>
    <t>KHI/HO/D/HLGRP HEALTH/E/20652/07/2023</t>
  </si>
  <si>
    <t>050000624108</t>
  </si>
  <si>
    <t>040000148833</t>
  </si>
  <si>
    <t>060000000327</t>
  </si>
  <si>
    <t>KHI/HO/D/MO/PC TPP/C/13540/07/2023</t>
  </si>
  <si>
    <t>020000034883</t>
  </si>
  <si>
    <t>KHI/HO/D/MO/PC COMP/C/68071/67/02/2023</t>
  </si>
  <si>
    <t>070000123808</t>
  </si>
  <si>
    <t>040000123935</t>
  </si>
  <si>
    <t>040000132830</t>
  </si>
  <si>
    <t>040000132835</t>
  </si>
  <si>
    <t>LHR/LHR/D/MO/PC COMP/R/56750/09/2022</t>
  </si>
  <si>
    <t>080000127573</t>
  </si>
  <si>
    <t>KHI/HO/D/HLGRP HEALTH/E/16130/09/2022</t>
  </si>
  <si>
    <t>050000498928</t>
  </si>
  <si>
    <t>040000125605</t>
  </si>
  <si>
    <t>KHI/HO/D/MR/IMPORTS/C/19820/09/2022</t>
  </si>
  <si>
    <t>020000028380</t>
  </si>
  <si>
    <t>MUL/MUL/F/FR/D/E/7016/11/2022</t>
  </si>
  <si>
    <t>050000531474</t>
  </si>
  <si>
    <t>040000125292</t>
  </si>
  <si>
    <t>040000135985</t>
  </si>
  <si>
    <t>040000137376</t>
  </si>
  <si>
    <t>MUL/MUL/F/FR/ND/E/6550/09/2022</t>
  </si>
  <si>
    <t>050000505420</t>
  </si>
  <si>
    <t>040000123785</t>
  </si>
  <si>
    <t>KHI/HO/D/HLGRP HEALTH/E/16182/09/2022</t>
  </si>
  <si>
    <t>050000500994</t>
  </si>
  <si>
    <t>040000135900</t>
  </si>
  <si>
    <t>MUL/MUL/F/MI/CT/P/2148/08/2022</t>
  </si>
  <si>
    <t>040000124459</t>
  </si>
  <si>
    <t>040000138303</t>
  </si>
  <si>
    <t>040000127418</t>
  </si>
  <si>
    <t>040000127419</t>
  </si>
  <si>
    <t>040000126189</t>
  </si>
  <si>
    <t>KHI/HO/D/HLGRP HEALTH/Q/5862/12/2022</t>
  </si>
  <si>
    <t>010000007990</t>
  </si>
  <si>
    <t>040000136156</t>
  </si>
  <si>
    <t>040000124463</t>
  </si>
  <si>
    <t>040000142954</t>
  </si>
  <si>
    <t>040000132106</t>
  </si>
  <si>
    <t>040000139241</t>
  </si>
  <si>
    <t>080000128146</t>
  </si>
  <si>
    <t>KHI/HO/D/MO/PC COMP/R/55788/50/09/2022</t>
  </si>
  <si>
    <t>080000128695</t>
  </si>
  <si>
    <t>040000126802</t>
  </si>
  <si>
    <t>040000136812</t>
  </si>
  <si>
    <t>040000134674</t>
  </si>
  <si>
    <t>040000135911</t>
  </si>
  <si>
    <t>040000136550</t>
  </si>
  <si>
    <t>040000135915</t>
  </si>
  <si>
    <t>040000135921</t>
  </si>
  <si>
    <t>KHI/HO/D/MO/PC COMP/C/8835/10/2022</t>
  </si>
  <si>
    <t>020000029053</t>
  </si>
  <si>
    <t>040000130072</t>
  </si>
  <si>
    <t>040000130083</t>
  </si>
  <si>
    <t>040000126192</t>
  </si>
  <si>
    <t>KHI/HO/D/MO/MC TTT/P/63950/09/2022</t>
  </si>
  <si>
    <t>040000127403</t>
  </si>
  <si>
    <t>040000137800</t>
  </si>
  <si>
    <t>KHI/HO/D/HLGRP HEALTH/E/18367/02/2023</t>
  </si>
  <si>
    <t>050000559857</t>
  </si>
  <si>
    <t>040000132558</t>
  </si>
  <si>
    <t>040000165607</t>
  </si>
  <si>
    <t>040000165615</t>
  </si>
  <si>
    <t>KHI/HO/D/FR/ND/P/17921/03/2023</t>
  </si>
  <si>
    <t>040000141164</t>
  </si>
  <si>
    <t>070000147081</t>
  </si>
  <si>
    <t>040000166363</t>
  </si>
  <si>
    <t>KHI/HO/D/MO/PD COMP/R/71176/04/2024</t>
  </si>
  <si>
    <t>080000156893</t>
  </si>
  <si>
    <t>070000147116</t>
  </si>
  <si>
    <t>LHR/LHR/D/MR/INLAND TRANSIT/C/22280/02/2024</t>
  </si>
  <si>
    <t>020000041328</t>
  </si>
  <si>
    <t>040000164024</t>
  </si>
  <si>
    <t>KHI/HO/D/MO/PD COMP/E/22875/01/2023</t>
  </si>
  <si>
    <t>050000550716</t>
  </si>
  <si>
    <t>040000165656</t>
  </si>
  <si>
    <t>040000165703</t>
  </si>
  <si>
    <t>KHI/HO/D/MO/PD COMP/E/33249/10/2023</t>
  </si>
  <si>
    <t>050000664560</t>
  </si>
  <si>
    <t>070000147094</t>
  </si>
  <si>
    <t>LHR/LHR/D/HLGRP HEALTH/E/22249/10/2023</t>
  </si>
  <si>
    <t>050000668793</t>
  </si>
  <si>
    <t>KHI/HO/D/HLGRP HEALTH/E/22035/10/2023</t>
  </si>
  <si>
    <t>050000663584</t>
  </si>
  <si>
    <t>040000159087</t>
  </si>
  <si>
    <t>KHI/HO/D/MO/PC COMP/C/80660/259/12/2023</t>
  </si>
  <si>
    <t>070000149501</t>
  </si>
  <si>
    <t>040000155226</t>
  </si>
  <si>
    <t>070000146975</t>
  </si>
  <si>
    <t>KHI/HO/D/MO/PC COMP/P/76274/10/2023</t>
  </si>
  <si>
    <t>040000154568</t>
  </si>
  <si>
    <t>040000152953</t>
  </si>
  <si>
    <t>LHR/LHR/D/MO/PC TPP/C/16276/11/2023</t>
  </si>
  <si>
    <t>020000038392</t>
  </si>
  <si>
    <t>040000153272</t>
  </si>
  <si>
    <t>070000147104</t>
  </si>
  <si>
    <t>040000130596</t>
  </si>
  <si>
    <t>LHR/LHR/D/MO/PC TPP/P/80259/12/2023</t>
  </si>
  <si>
    <t>040000160807</t>
  </si>
  <si>
    <t>040000166350</t>
  </si>
  <si>
    <t>040000159620</t>
  </si>
  <si>
    <t>KHI/HO/D/MO/PC COMP/C/77027/249/10/2023</t>
  </si>
  <si>
    <t>070000142499</t>
  </si>
  <si>
    <t>040000164629</t>
  </si>
  <si>
    <t>KHI/HO/D/MO/PC COMP/C/18280/02/2024</t>
  </si>
  <si>
    <t>020000040862</t>
  </si>
  <si>
    <t>040000166959</t>
  </si>
  <si>
    <t>KHI/HO/D/MO/PC COMP/C/77027/274/10/2023</t>
  </si>
  <si>
    <t>070000142524</t>
  </si>
  <si>
    <t>KHI/HO/D/HLGRP HEALTH/E/22021/10/2023</t>
  </si>
  <si>
    <t>050000663284</t>
  </si>
  <si>
    <t>040000164890</t>
  </si>
  <si>
    <t>040000163141</t>
  </si>
  <si>
    <t>040000163147</t>
  </si>
  <si>
    <t>040000160642</t>
  </si>
  <si>
    <t>040000155084</t>
  </si>
  <si>
    <t>040000151984</t>
  </si>
  <si>
    <t>KHI/HO/D/MO/PC COMP/R/69280/02/2024</t>
  </si>
  <si>
    <t>080000153649</t>
  </si>
  <si>
    <t>040000160027</t>
  </si>
  <si>
    <t>070000147298</t>
  </si>
  <si>
    <t>040000142100</t>
  </si>
  <si>
    <t>040000155068</t>
  </si>
  <si>
    <t>KHI/HO/D/MO/PC TPP/R/67276/11/2023</t>
  </si>
  <si>
    <t>080000150505</t>
  </si>
  <si>
    <t>040000160496</t>
  </si>
  <si>
    <t>KHI/HO/D/MO/PD COMP/E/23262/02/2023</t>
  </si>
  <si>
    <t>050000561808</t>
  </si>
  <si>
    <t>KHI/HO/D/MI/MP/E/2679/09/2023</t>
  </si>
  <si>
    <t>050000653111</t>
  </si>
  <si>
    <t>040000161120</t>
  </si>
  <si>
    <t>KHI/HO/D/MO/PD COMP/E/27652/07/2023</t>
  </si>
  <si>
    <t>050000625718</t>
  </si>
  <si>
    <t>KHI/HO/D/MI/CRP/C/1245/08/2023</t>
  </si>
  <si>
    <t>070000136091</t>
  </si>
  <si>
    <t>KHI/HO/D/MO/PD COMP/E/23896/03/2023</t>
  </si>
  <si>
    <t>050000570883</t>
  </si>
  <si>
    <t>KHI/HO/D/MR/INLAND TRANSIT/C/21242/08/2023</t>
  </si>
  <si>
    <t>020000035854</t>
  </si>
  <si>
    <t>KHI/HO/D/MO/PD COMP/E/23206/02/2023</t>
  </si>
  <si>
    <t>050000561080</t>
  </si>
  <si>
    <t>040000152201</t>
  </si>
  <si>
    <t>040000152225</t>
  </si>
  <si>
    <t>KHI/HO/D/HLGRP HEALTH/E/21861/10/2023</t>
  </si>
  <si>
    <t>050000657739</t>
  </si>
  <si>
    <t>040000139933</t>
  </si>
  <si>
    <t>KHI/HO/D/MO/PC COMP/P/72671/07/2023</t>
  </si>
  <si>
    <t>040000148251</t>
  </si>
  <si>
    <t>070000140802</t>
  </si>
  <si>
    <t>070000140807</t>
  </si>
  <si>
    <t>KHI/HO/D/MO/MC COMP/E/31977/10/2023</t>
  </si>
  <si>
    <t>050000654554</t>
  </si>
  <si>
    <t>KHI/HO/D/MO/MC COMP/E/32001/10/2023</t>
  </si>
  <si>
    <t>050000654578</t>
  </si>
  <si>
    <t>040000166753</t>
  </si>
  <si>
    <t>070000140912</t>
  </si>
  <si>
    <t>070000140932</t>
  </si>
  <si>
    <t>KHI/HO/D/MO/PD COMP/E/31024/09/2023</t>
  </si>
  <si>
    <t>050000653599</t>
  </si>
  <si>
    <t>KHI/HO/D/MO/PC COMP/E/37280/02/2024</t>
  </si>
  <si>
    <t>050000718000</t>
  </si>
  <si>
    <t>070000140851</t>
  </si>
  <si>
    <t>070000140888</t>
  </si>
  <si>
    <t>040000165735</t>
  </si>
  <si>
    <t>040000165661</t>
  </si>
  <si>
    <t>040000158434</t>
  </si>
  <si>
    <t>070000150601</t>
  </si>
  <si>
    <t>040000160014</t>
  </si>
  <si>
    <t>040000165806</t>
  </si>
  <si>
    <t>040000152418</t>
  </si>
  <si>
    <t>KHI/HO/D/MI/MP/E/2638/08/2023</t>
  </si>
  <si>
    <t>050000639905</t>
  </si>
  <si>
    <t>070000146888</t>
  </si>
  <si>
    <t>040000165758</t>
  </si>
  <si>
    <t>060000000352</t>
  </si>
  <si>
    <t>040000161243</t>
  </si>
  <si>
    <t>070000146874</t>
  </si>
  <si>
    <t>040000160431</t>
  </si>
  <si>
    <t>070000147313</t>
  </si>
  <si>
    <t>040000160567</t>
  </si>
  <si>
    <t>040000161411</t>
  </si>
  <si>
    <t>070000146979</t>
  </si>
  <si>
    <t>040000159299</t>
  </si>
  <si>
    <t>070000147311</t>
  </si>
  <si>
    <t>040000165659</t>
  </si>
  <si>
    <t>KHI/HO/D/MO/MC COMP/P/84280/02/2024</t>
  </si>
  <si>
    <t>040000166808</t>
  </si>
  <si>
    <t>070000146887</t>
  </si>
  <si>
    <t>060000000357</t>
  </si>
  <si>
    <t>040000164768</t>
  </si>
  <si>
    <t>040000169633</t>
  </si>
  <si>
    <t>040000144395</t>
  </si>
  <si>
    <t>070000146923</t>
  </si>
  <si>
    <t>040000165633</t>
  </si>
  <si>
    <t>040000165658</t>
  </si>
  <si>
    <t>040000164800</t>
  </si>
  <si>
    <t>070000156189</t>
  </si>
  <si>
    <t>070000156195</t>
  </si>
  <si>
    <t>KHI/HO/D/MO/PC COMP/E/35259/12/2023</t>
  </si>
  <si>
    <t>050000691235</t>
  </si>
  <si>
    <t>070000146886</t>
  </si>
  <si>
    <t>040000164794</t>
  </si>
  <si>
    <t>040000161416</t>
  </si>
  <si>
    <t>070000146889</t>
  </si>
  <si>
    <t>070000147296</t>
  </si>
  <si>
    <t>070000147159</t>
  </si>
  <si>
    <t>070000147282</t>
  </si>
  <si>
    <t>040000161505</t>
  </si>
  <si>
    <t>040000159239</t>
  </si>
  <si>
    <t>070000147284</t>
  </si>
  <si>
    <t>040000161135</t>
  </si>
  <si>
    <t>KHI/HO/D/MO/PC COMP/P/68902/03/2023</t>
  </si>
  <si>
    <t>040000141784</t>
  </si>
  <si>
    <t>KHI/HO/D/MO/MC TTT/E/24264/03/2023</t>
  </si>
  <si>
    <t>050000574283</t>
  </si>
  <si>
    <t>070000138411</t>
  </si>
  <si>
    <t>KHI/HO/D/HLGRP HEALTH/E/21977/10/2023</t>
  </si>
  <si>
    <t>050000662008</t>
  </si>
  <si>
    <t>040000154525</t>
  </si>
  <si>
    <t>040000149452</t>
  </si>
  <si>
    <t>070000147015</t>
  </si>
  <si>
    <t>040000154059</t>
  </si>
  <si>
    <t>040000158571</t>
  </si>
  <si>
    <t>040000155203</t>
  </si>
  <si>
    <t>040000153933</t>
  </si>
  <si>
    <t>KHI/HO/D/MO/PC COMP/C/80441/259/12/2023</t>
  </si>
  <si>
    <t>070000148720</t>
  </si>
  <si>
    <t>KHI/HO/D/HLGRP HEALTH/E/21010/08/2023</t>
  </si>
  <si>
    <t>050000633583</t>
  </si>
  <si>
    <t>040000152710</t>
  </si>
  <si>
    <t>040000149689</t>
  </si>
  <si>
    <t>040000150137</t>
  </si>
  <si>
    <t>040000155011</t>
  </si>
  <si>
    <t>040000155018</t>
  </si>
  <si>
    <t>040000155194</t>
  </si>
  <si>
    <t>KHI/HO/D/MO/PC COMP/P/78276/11/2023</t>
  </si>
  <si>
    <t>040000157937</t>
  </si>
  <si>
    <t>040000154258</t>
  </si>
  <si>
    <t>KHI/HO/F/MI/BB/E/2580/07/2023</t>
  </si>
  <si>
    <t>050000627527</t>
  </si>
  <si>
    <t>040000153623</t>
  </si>
  <si>
    <t>040000152224</t>
  </si>
  <si>
    <t>KHI/HO/D/MR/IMPORTS/C/21274/08/2023</t>
  </si>
  <si>
    <t>020000036006</t>
  </si>
  <si>
    <t>040000152505</t>
  </si>
  <si>
    <t>LHR/LHR/D/MO/PC TPP/P/73995/08/2023</t>
  </si>
  <si>
    <t>040000150622</t>
  </si>
  <si>
    <t>040000167565</t>
  </si>
  <si>
    <t>040000163635</t>
  </si>
  <si>
    <t>040000163636</t>
  </si>
  <si>
    <t>KHI/HO/D/MO/PC COMP/C/19481/03/2024</t>
  </si>
  <si>
    <t>020000042304</t>
  </si>
  <si>
    <t>040000143563</t>
  </si>
  <si>
    <t>040000153821</t>
  </si>
  <si>
    <t>040000163639</t>
  </si>
  <si>
    <t>040000163643</t>
  </si>
  <si>
    <t>040000163645</t>
  </si>
  <si>
    <t>040000163650</t>
  </si>
  <si>
    <t>070000146976</t>
  </si>
  <si>
    <t>060000000354</t>
  </si>
  <si>
    <t>040000165762</t>
  </si>
  <si>
    <t>KHI/HO/D/MO/MC COMP/E/31940/10/2023</t>
  </si>
  <si>
    <t>050000654517</t>
  </si>
  <si>
    <t>040000163640</t>
  </si>
  <si>
    <t>040000163641</t>
  </si>
  <si>
    <t>040000163642</t>
  </si>
  <si>
    <t>040000163644</t>
  </si>
  <si>
    <t>040000163646</t>
  </si>
  <si>
    <t>040000163648</t>
  </si>
  <si>
    <t>040000163649</t>
  </si>
  <si>
    <t>040000163651</t>
  </si>
  <si>
    <t>040000163707</t>
  </si>
  <si>
    <t>040000163638</t>
  </si>
  <si>
    <t>040000163637</t>
  </si>
  <si>
    <t>040000161940</t>
  </si>
  <si>
    <t>KHI/HO/D/FR/ND/P/21278/01/2024</t>
  </si>
  <si>
    <t>040000163508</t>
  </si>
  <si>
    <t>040000142403</t>
  </si>
  <si>
    <t>040000161022</t>
  </si>
  <si>
    <t>KHI/HO/D/MO/PD COMP/E/31018/09/2023</t>
  </si>
  <si>
    <t>050000653593</t>
  </si>
  <si>
    <t>070000147114</t>
  </si>
  <si>
    <t>KHI/HO/D/MO/PD COMP/E/36278/01/2024</t>
  </si>
  <si>
    <t>050000700847</t>
  </si>
  <si>
    <t>040000141408</t>
  </si>
  <si>
    <t>070000146721</t>
  </si>
  <si>
    <t>070000147106</t>
  </si>
  <si>
    <t>KHI/HO/F/MR/IMPORTS/P/41259/12/2023</t>
  </si>
  <si>
    <t>040000160208</t>
  </si>
  <si>
    <t>040000159399</t>
  </si>
  <si>
    <t>MUL/MUL/F/FR/ND/E/9276/11/2023</t>
  </si>
  <si>
    <t>050000680642</t>
  </si>
  <si>
    <t>KHI/HO/D/MO/PD COMP/E/27544/07/2023</t>
  </si>
  <si>
    <t>050000624873</t>
  </si>
  <si>
    <t>KHI/HO/D/MO/PD COMP/E/27552/07/2023</t>
  </si>
  <si>
    <t>050000624881</t>
  </si>
  <si>
    <t>KHI/HO/D/MO/PC COMP/C/76694/249/10/2023</t>
  </si>
  <si>
    <t>070000142030</t>
  </si>
  <si>
    <t>070000146693</t>
  </si>
  <si>
    <t>040000154260</t>
  </si>
  <si>
    <t>040000155455</t>
  </si>
  <si>
    <t>040000155431</t>
  </si>
  <si>
    <t>KHI/HO/D/FR/ND/P/17916/03/2023</t>
  </si>
  <si>
    <t>040000141109</t>
  </si>
  <si>
    <t>040000165688</t>
  </si>
  <si>
    <t>040000165642</t>
  </si>
  <si>
    <t>KHI/HO/D/MO/MC COMP/E/31908/10/2023</t>
  </si>
  <si>
    <t>050000654485</t>
  </si>
  <si>
    <t>070000140771</t>
  </si>
  <si>
    <t>070000140772</t>
  </si>
  <si>
    <t>070000140779</t>
  </si>
  <si>
    <t>070000140782</t>
  </si>
  <si>
    <t>070000140770</t>
  </si>
  <si>
    <t>070000140780</t>
  </si>
  <si>
    <t>070000140783</t>
  </si>
  <si>
    <t>070000140886</t>
  </si>
  <si>
    <t>040000156561</t>
  </si>
  <si>
    <t>070000140715</t>
  </si>
  <si>
    <t>040000161454</t>
  </si>
  <si>
    <t>070000140684</t>
  </si>
  <si>
    <t>040000165776</t>
  </si>
  <si>
    <t>040000165544</t>
  </si>
  <si>
    <t>040000157643</t>
  </si>
  <si>
    <t>070000140946</t>
  </si>
  <si>
    <t>040000129619</t>
  </si>
  <si>
    <t>KHI/HO/D/MO/PC COMP/C/17278/01/2024</t>
  </si>
  <si>
    <t>020000039667</t>
  </si>
  <si>
    <t>070000140819</t>
  </si>
  <si>
    <t>070000147285</t>
  </si>
  <si>
    <t>040000161544</t>
  </si>
  <si>
    <t>070000147305</t>
  </si>
  <si>
    <t>070000147297</t>
  </si>
  <si>
    <t>KHI/HO/D/MO/PC COMP/C/77973/276/11/2023</t>
  </si>
  <si>
    <t>070000145304</t>
  </si>
  <si>
    <t>KHI/HO/D/MO/PC COMP/C/79901/259/12/2023</t>
  </si>
  <si>
    <t>070000147702</t>
  </si>
  <si>
    <t>070000147150</t>
  </si>
  <si>
    <t>KHI/HO/D/MO/PC COMP/C/76694/274/10/2023</t>
  </si>
  <si>
    <t>070000142055</t>
  </si>
  <si>
    <t>KHI/HO/D/HLGRP HEALTH/E/23259/12/2023</t>
  </si>
  <si>
    <t>050000692256</t>
  </si>
  <si>
    <t>040000163935</t>
  </si>
  <si>
    <t>KHI/AR/AR/D/MO/MC TTT/P/82373/01/2024</t>
  </si>
  <si>
    <t>040000163980</t>
  </si>
  <si>
    <t>040000153538</t>
  </si>
  <si>
    <t>KHI/HO/D/MO/PC COMP/P/79259/12/2023</t>
  </si>
  <si>
    <t>040000159292</t>
  </si>
  <si>
    <t>040000156874</t>
  </si>
  <si>
    <t>070000134743</t>
  </si>
  <si>
    <t>040000146869</t>
  </si>
  <si>
    <t>040000149144</t>
  </si>
  <si>
    <t>040000147266</t>
  </si>
  <si>
    <t>KHI/HO/D/MO/PC COMP/E/27671/07/2023</t>
  </si>
  <si>
    <t>050000625742</t>
  </si>
  <si>
    <t>040000143247</t>
  </si>
  <si>
    <t>040000129093</t>
  </si>
  <si>
    <t>KHI/HO/D/MO/PC COMP/E/27455/07/2023</t>
  </si>
  <si>
    <t>050000624190</t>
  </si>
  <si>
    <t>KHI/HO/D/HLGRP HEALTH/E/20995/08/2023</t>
  </si>
  <si>
    <t>050000633263</t>
  </si>
  <si>
    <t>040000148847</t>
  </si>
  <si>
    <t>MUL/MUL/F/MI/CT/E/2571/07/2023</t>
  </si>
  <si>
    <t>050000623621</t>
  </si>
  <si>
    <t>040000146778</t>
  </si>
  <si>
    <t>070000130634</t>
  </si>
  <si>
    <t>040000149974</t>
  </si>
  <si>
    <t>KHI/HO/D/MO/PC COMP/E/27596/07/2023</t>
  </si>
  <si>
    <t>050000625525</t>
  </si>
  <si>
    <t>KHI/HO/D/MO/MC COMP/P/72617/07/2023</t>
  </si>
  <si>
    <t>040000148160</t>
  </si>
  <si>
    <t>LHR/LHR/D/MO/CV/P/74245/08/2023</t>
  </si>
  <si>
    <t>040000151008</t>
  </si>
  <si>
    <t>KHI/HO/D/MO/PC COMP/P/72590/07/2023</t>
  </si>
  <si>
    <t>040000148116</t>
  </si>
  <si>
    <t>040000151708</t>
  </si>
  <si>
    <t>KHI/HO/D/HLGRP HEALTH/P/2570/07/2023</t>
  </si>
  <si>
    <t>040000148631</t>
  </si>
  <si>
    <t>KHI/HO/D/MO/PC TPP/C/13592/07/2023</t>
  </si>
  <si>
    <t>020000034948</t>
  </si>
  <si>
    <t>040000145424</t>
  </si>
  <si>
    <t>040000145453</t>
  </si>
  <si>
    <t>KHI/HO/D/HLGRP HEALTH/P/2571/07/2023</t>
  </si>
  <si>
    <t>040000148647</t>
  </si>
  <si>
    <t>040000145535</t>
  </si>
  <si>
    <t>MUL/MUL/F/FR/ND/E/6342/07/2022</t>
  </si>
  <si>
    <t>050000484464</t>
  </si>
  <si>
    <t>040000151695</t>
  </si>
  <si>
    <t>040000147325</t>
  </si>
  <si>
    <t>040000152543</t>
  </si>
  <si>
    <t>KHI/HO/D/MO/PC COMP/E/27600/07/2023</t>
  </si>
  <si>
    <t>050000625599</t>
  </si>
  <si>
    <t>040000130681</t>
  </si>
  <si>
    <t>040000131571</t>
  </si>
  <si>
    <t>040000132626</t>
  </si>
  <si>
    <t>KHI/HO/D/MO/MC COMP/P/72584/07/2023</t>
  </si>
  <si>
    <t>040000148107</t>
  </si>
  <si>
    <t>040000131631</t>
  </si>
  <si>
    <t>040000131781</t>
  </si>
  <si>
    <t>LHR/LHR/D/MO/PC COMP/P/72612/07/2023</t>
  </si>
  <si>
    <t>040000148149</t>
  </si>
  <si>
    <t>PEW/PEW/F/MR/INLAND TRANSIT/P/39995/07/2023</t>
  </si>
  <si>
    <t>040000149409</t>
  </si>
  <si>
    <t>040000143917</t>
  </si>
  <si>
    <t>KHI/HO/D/HLGRP HEALTH/E/20563/07/2023</t>
  </si>
  <si>
    <t>050000622801</t>
  </si>
  <si>
    <t>KHI/HO/D/MO/PC COMP/C/13563/07/2023</t>
  </si>
  <si>
    <t>020000034912</t>
  </si>
  <si>
    <t>KHI/HO/D/MO/PC COMP/C/13565/07/2023</t>
  </si>
  <si>
    <t>020000034915</t>
  </si>
  <si>
    <t>040000143956</t>
  </si>
  <si>
    <t>040000150412</t>
  </si>
  <si>
    <t>KHI/HO/D/MO/PC COMP/E/27578/07/2023</t>
  </si>
  <si>
    <t>050000624910</t>
  </si>
  <si>
    <t>KHI/HO/D/HLGRP HEALTH/E/20671/07/2023</t>
  </si>
  <si>
    <t>050000624913</t>
  </si>
  <si>
    <t>040000148467</t>
  </si>
  <si>
    <t>KHI/HO/D/MO/PC COMP/E/27592/07/2023</t>
  </si>
  <si>
    <t>050000625519</t>
  </si>
  <si>
    <t>KHI/HO/D/MO/PC COMP/E/27531/07/2023</t>
  </si>
  <si>
    <t>050000624760</t>
  </si>
  <si>
    <t>LHR/LHR/D/HLGRP HEALTH/E/20661/07/2023</t>
  </si>
  <si>
    <t>050000624761</t>
  </si>
  <si>
    <t>KHI/AR/AR/D/MO/MC TTT/C/13536/07/2023</t>
  </si>
  <si>
    <t>020000034875</t>
  </si>
  <si>
    <t>KHI/HO/D/HLGRP HEALTH/Q/6995/08/2023</t>
  </si>
  <si>
    <t>010000009784</t>
  </si>
  <si>
    <t>070000129073</t>
  </si>
  <si>
    <t>040000144267</t>
  </si>
  <si>
    <t>040000149486</t>
  </si>
  <si>
    <t>KHI/HO/D/MO/PC TPP/P/72984/07/2023</t>
  </si>
  <si>
    <t>040000148797</t>
  </si>
  <si>
    <t>040000152281</t>
  </si>
  <si>
    <t>PEW/PEW/D/HLGRP HEALTH/E/19753/05/2023</t>
  </si>
  <si>
    <t>050000597813</t>
  </si>
  <si>
    <t>040000148184</t>
  </si>
  <si>
    <t>KHI/AR/AR/D/MO/MC TTT/P/70972/05/2023</t>
  </si>
  <si>
    <t>040000145200</t>
  </si>
  <si>
    <t>KHI/HO/D/HLGRP HEALTH/E/21621/09/2023</t>
  </si>
  <si>
    <t>050000649337</t>
  </si>
  <si>
    <t>040000145692</t>
  </si>
  <si>
    <t>KHI/HO/D/HLGRP HEALTH/P/2599/07/2023</t>
  </si>
  <si>
    <t>040000149715</t>
  </si>
  <si>
    <t>KHI/HO/D/MO/PC COMP/P/72998/07/2023</t>
  </si>
  <si>
    <t>040000148818</t>
  </si>
  <si>
    <t>040000145695</t>
  </si>
  <si>
    <t>040000145460</t>
  </si>
  <si>
    <t>KHI/HO/D/HLGRP HEALTH/E/20578/07/2023</t>
  </si>
  <si>
    <t>050000623387</t>
  </si>
  <si>
    <t>KHI/HO/D/HLGRP HEALTH/E/20656/07/2023</t>
  </si>
  <si>
    <t>050000624158</t>
  </si>
  <si>
    <t>070000139093</t>
  </si>
  <si>
    <t>KHI/HO/D/MO/PC COMP/C/13455/07/2023</t>
  </si>
  <si>
    <t>020000034757</t>
  </si>
  <si>
    <t>070000129113</t>
  </si>
  <si>
    <t>070000129217</t>
  </si>
  <si>
    <t>070000129224</t>
  </si>
  <si>
    <t>070000138218</t>
  </si>
  <si>
    <t>040000147011</t>
  </si>
  <si>
    <t>040000144956</t>
  </si>
  <si>
    <t>070000129110</t>
  </si>
  <si>
    <t>KHI/HO/D/MO/PC COMP/C/13571/07/2023</t>
  </si>
  <si>
    <t>020000034922</t>
  </si>
  <si>
    <t>KHI/HO/D/MO/PC COMP/C/13657/07/2023</t>
  </si>
  <si>
    <t>020000035036</t>
  </si>
  <si>
    <t>070000135251</t>
  </si>
  <si>
    <t>040000148145</t>
  </si>
  <si>
    <t>KHI/HO/D/MO/PD COMP/E/26227/06/2023</t>
  </si>
  <si>
    <t>050000607507</t>
  </si>
  <si>
    <t>040000152254</t>
  </si>
  <si>
    <t>040000127609</t>
  </si>
  <si>
    <t>040000146785</t>
  </si>
  <si>
    <t>KHI/HO/D/MO/PC COMP/E/24952/04/2023</t>
  </si>
  <si>
    <t>050000587684</t>
  </si>
  <si>
    <t>KHI/HO/D/MO/PC COMP/E/28242/08/2023</t>
  </si>
  <si>
    <t>050000628403</t>
  </si>
  <si>
    <t>070000129221</t>
  </si>
  <si>
    <t>LHR/LHR/D/MO/PC COMP/P/72554/07/2023</t>
  </si>
  <si>
    <t>040000148061</t>
  </si>
  <si>
    <t>MUL/MUL/F/FR/ND/E/8601/07/2023</t>
  </si>
  <si>
    <t>050000618646</t>
  </si>
  <si>
    <t>KHI/HO/D/MO/PD COMP/E/29995/08/2023</t>
  </si>
  <si>
    <t>050000645860</t>
  </si>
  <si>
    <t>KHI/HO/D/MO/PC COMP/C/13578/07/2023</t>
  </si>
  <si>
    <t>020000034929</t>
  </si>
  <si>
    <t>KHI/HO/D/HLGRP HEALTH/P/2591/07/2023</t>
  </si>
  <si>
    <t>040000149316</t>
  </si>
  <si>
    <t>KHI/HO/D/MO/PC COMP/E/27590/07/2023</t>
  </si>
  <si>
    <t>050000625516</t>
  </si>
  <si>
    <t>LHR/LHR/D/MO/PC COMP/P/72607/07/2023</t>
  </si>
  <si>
    <t>040000148136</t>
  </si>
  <si>
    <t>040000129472</t>
  </si>
  <si>
    <t>040000129475</t>
  </si>
  <si>
    <t>040000130001</t>
  </si>
  <si>
    <t>040000146216</t>
  </si>
  <si>
    <t>040000126610</t>
  </si>
  <si>
    <t>040000126829</t>
  </si>
  <si>
    <t>KHI/HO/D/MO/PC TPP/C/13600/07/2023</t>
  </si>
  <si>
    <t>020000034956</t>
  </si>
  <si>
    <t>040000150961</t>
  </si>
  <si>
    <t>040000151092</t>
  </si>
  <si>
    <t>040000145656</t>
  </si>
  <si>
    <t>040000126916</t>
  </si>
  <si>
    <t>040000126931</t>
  </si>
  <si>
    <t>070000137090</t>
  </si>
  <si>
    <t>KHI/HO/D/HLGRP HEALTH/E/20584/07/2023</t>
  </si>
  <si>
    <t>050000623433</t>
  </si>
  <si>
    <t>040000125795</t>
  </si>
  <si>
    <t>LHR/LHR/D/MO/PC COMP/C/13521/07/2023</t>
  </si>
  <si>
    <t>020000034851</t>
  </si>
  <si>
    <t>KHI/HO/D/MO/PC COMP/P/72540/07/2023</t>
  </si>
  <si>
    <t>040000148041</t>
  </si>
  <si>
    <t>LHR/LHR/D/MO/PC COMP/C/13559/07/2023</t>
  </si>
  <si>
    <t>020000034906</t>
  </si>
  <si>
    <t>KHI/HO/D/HLGRP HEALTH/E/20570/07/2023</t>
  </si>
  <si>
    <t>050000623371</t>
  </si>
  <si>
    <t>040000146998</t>
  </si>
  <si>
    <t>040000126597</t>
  </si>
  <si>
    <t>040000147899</t>
  </si>
  <si>
    <t>040000153561</t>
  </si>
  <si>
    <t>040000153573</t>
  </si>
  <si>
    <t>KHI/HO/D/HLGRP HEALTH/E/20571/07/2023</t>
  </si>
  <si>
    <t>050000623372</t>
  </si>
  <si>
    <t>040000145594</t>
  </si>
  <si>
    <t>040000145134</t>
  </si>
  <si>
    <t>KHI/HO/D/FR/ND/P/19238/07/2023</t>
  </si>
  <si>
    <t>040000148217</t>
  </si>
  <si>
    <t>040000126211</t>
  </si>
  <si>
    <t>KHI/HO/D/MO/PC COMP/R/62542/06/2023</t>
  </si>
  <si>
    <t>080000141908</t>
  </si>
  <si>
    <t>KHI/AR/AR/D/MO/MC TTT/C/13601/07/2023</t>
  </si>
  <si>
    <t>020000034958</t>
  </si>
  <si>
    <t>040000153502</t>
  </si>
  <si>
    <t>KHI/HO/D/MO/PC COMP/P/72990/07/2023</t>
  </si>
  <si>
    <t>040000148804</t>
  </si>
  <si>
    <t>KHI/HO/D/MO/PC COMP/C/13227/06/2023</t>
  </si>
  <si>
    <t>020000034471</t>
  </si>
  <si>
    <t>040000152374</t>
  </si>
  <si>
    <t>040000147995</t>
  </si>
  <si>
    <t>KHI/HO/D/HLGRP HEALTH/E/21016/08/2023</t>
  </si>
  <si>
    <t>050000633596</t>
  </si>
  <si>
    <t>LHR/LHR/D/HLGRP HEALTH/P/2596/07/2023</t>
  </si>
  <si>
    <t>040000149557</t>
  </si>
  <si>
    <t>LHR/LHR/D/MO/PC COMP/C/13611/07/2023</t>
  </si>
  <si>
    <t>020000034970</t>
  </si>
  <si>
    <t>KHI/HO/D/MO/PC COMP/R/63321/09/2023</t>
  </si>
  <si>
    <t>080000146128</t>
  </si>
  <si>
    <t>KHI/HO/D/HLGRP HEALTH/E/20600/07/2023</t>
  </si>
  <si>
    <t>050000623473</t>
  </si>
  <si>
    <t>KHI/HO/D/MO/PC COMP/R/63350/09/2023</t>
  </si>
  <si>
    <t>080000146893</t>
  </si>
  <si>
    <t>070000130741</t>
  </si>
  <si>
    <t>KHI/HO/D/HLGRP HEALTH/E/19758/05/2023</t>
  </si>
  <si>
    <t>050000597821</t>
  </si>
  <si>
    <t>KHI/AR/AR/D/MO/MC TTT/P/72570/07/2023</t>
  </si>
  <si>
    <t>040000148082</t>
  </si>
  <si>
    <t>LHR/LHR/D/MO/PC TPP/P/72572/07/2023</t>
  </si>
  <si>
    <t>040000148084</t>
  </si>
  <si>
    <t>040000154051</t>
  </si>
  <si>
    <t>KHI/HO/D/MO/PC TPP/C/15249/10/2023</t>
  </si>
  <si>
    <t>020000037092</t>
  </si>
  <si>
    <t>070000130641</t>
  </si>
  <si>
    <t>KHI/HO/D/HLGRP HEALTH/E/20657/07/2023</t>
  </si>
  <si>
    <t>050000624185</t>
  </si>
  <si>
    <t>KHI/HO/D/HLGRP HEALTH/E/20552/07/2023</t>
  </si>
  <si>
    <t>050000622657</t>
  </si>
  <si>
    <t>040000126592</t>
  </si>
  <si>
    <t>040000146774</t>
  </si>
  <si>
    <t>040000152937</t>
  </si>
  <si>
    <t>KHI/HO/D/MO/PC COMP/P/72616/07/2023</t>
  </si>
  <si>
    <t>040000148155</t>
  </si>
  <si>
    <t>KHI/HO/D/MO/PC TPP/P/72553/07/2023</t>
  </si>
  <si>
    <t>040000148060</t>
  </si>
  <si>
    <t>KHI/HO/D/MO/PC COMP/E/27571/07/2023</t>
  </si>
  <si>
    <t>050000624900</t>
  </si>
  <si>
    <t>KHI/HO/D/HLGRP HEALTH/E/21891/10/2023</t>
  </si>
  <si>
    <t>050000659447</t>
  </si>
  <si>
    <t>KHI/HO/D/MO/PC COMP/P/71975/06/2023</t>
  </si>
  <si>
    <t>040000146992</t>
  </si>
  <si>
    <t>KHI/HO/D/HLGRP HEALTH/P/2572/07/2023</t>
  </si>
  <si>
    <t>040000148684</t>
  </si>
  <si>
    <t>KHI/AR/AR/D/MO/MC TTT/C/13607/07/2023</t>
  </si>
  <si>
    <t>020000034964</t>
  </si>
  <si>
    <t>040000149694</t>
  </si>
  <si>
    <t>KHI/HO/D/MO/MC TTT/E/23908/03/2023</t>
  </si>
  <si>
    <t>050000570908</t>
  </si>
  <si>
    <t>KHI/HO/D/MO/MC TTT/E/23912/03/2023</t>
  </si>
  <si>
    <t>050000570912</t>
  </si>
  <si>
    <t>KHI/HO/D/MO/MC TTT/R/65249/10/2023</t>
  </si>
  <si>
    <t>080000147809</t>
  </si>
  <si>
    <t>070000133460</t>
  </si>
  <si>
    <t>070000133569</t>
  </si>
  <si>
    <t>070000133570</t>
  </si>
  <si>
    <t>070000133540</t>
  </si>
  <si>
    <t>KHI/HO/D/MO/MC TTT/E/23916/03/2023</t>
  </si>
  <si>
    <t>050000571880</t>
  </si>
  <si>
    <t>040000155316</t>
  </si>
  <si>
    <t>070000133483</t>
  </si>
  <si>
    <t>KHI/HO/D/HLGRP HEALTH/E/20565/07/2023</t>
  </si>
  <si>
    <t>050000622803</t>
  </si>
  <si>
    <t>MUL/MUL/F/FR/ND/P/15820/09/2022</t>
  </si>
  <si>
    <t>040000125638</t>
  </si>
  <si>
    <t>KHI/HO/D/HLGRP HEALTH/E/21659/09/2023</t>
  </si>
  <si>
    <t>050000650494</t>
  </si>
  <si>
    <t>070000133545</t>
  </si>
  <si>
    <t>070000133573</t>
  </si>
  <si>
    <t>070000133583</t>
  </si>
  <si>
    <t>070000133465</t>
  </si>
  <si>
    <t>070000133467</t>
  </si>
  <si>
    <t>070000133468</t>
  </si>
  <si>
    <t>070000133471</t>
  </si>
  <si>
    <t>070000133472</t>
  </si>
  <si>
    <t>070000133476</t>
  </si>
  <si>
    <t>070000133478</t>
  </si>
  <si>
    <t>070000133479</t>
  </si>
  <si>
    <t>070000133565</t>
  </si>
  <si>
    <t>KHI/HO/D/MO/PC COMP/P/72993/07/2023</t>
  </si>
  <si>
    <t>040000148811</t>
  </si>
  <si>
    <t>KHI/HO/D/HLGRP HEALTH/E/20658/07/2023</t>
  </si>
  <si>
    <t>050000624191</t>
  </si>
  <si>
    <t>KHI/HO/D/MO/PC COMP/R/63356/09/2023</t>
  </si>
  <si>
    <t>080000146073</t>
  </si>
  <si>
    <t>070000130590</t>
  </si>
  <si>
    <t>070000130631</t>
  </si>
  <si>
    <t>KHI/HO/D/MR/EXPORTS/P/39911/07/2023</t>
  </si>
  <si>
    <t>040000148590</t>
  </si>
  <si>
    <t>040000155291</t>
  </si>
  <si>
    <t>KHI/HO/D/MO/PC COMP/C/13552/07/2023</t>
  </si>
  <si>
    <t>020000034898</t>
  </si>
  <si>
    <t>040000147284</t>
  </si>
  <si>
    <t>070000133509</t>
  </si>
  <si>
    <t>070000133511</t>
  </si>
  <si>
    <t>070000133515</t>
  </si>
  <si>
    <t>070000133523</t>
  </si>
  <si>
    <t>070000133534</t>
  </si>
  <si>
    <t>KHI/HO/D/MO/PD COMP/E/27527/07/2023</t>
  </si>
  <si>
    <t>050000624314</t>
  </si>
  <si>
    <t>KHI/HO/D/MO/PD COMP/E/27536/07/2023</t>
  </si>
  <si>
    <t>050000624852</t>
  </si>
  <si>
    <t>040000148200</t>
  </si>
  <si>
    <t>KHI/HO/D/HLGRP HEALTH/E/21673/09/2023</t>
  </si>
  <si>
    <t>050000652747</t>
  </si>
  <si>
    <t>040000149531</t>
  </si>
  <si>
    <t>040000154705</t>
  </si>
  <si>
    <t>040000154758</t>
  </si>
  <si>
    <t>040000145467</t>
  </si>
  <si>
    <t>KHI/HO/D/FR/ND/R/16632/07/2023</t>
  </si>
  <si>
    <t>080000143846</t>
  </si>
  <si>
    <t>040000149640</t>
  </si>
  <si>
    <t>040000145570</t>
  </si>
  <si>
    <t>070000133453</t>
  </si>
  <si>
    <t>070000133458</t>
  </si>
  <si>
    <t>070000133466</t>
  </si>
  <si>
    <t>070000133484</t>
  </si>
  <si>
    <t>070000133491</t>
  </si>
  <si>
    <t>KHI/HO/D/MO/MC TTT/E/23904/03/2023</t>
  </si>
  <si>
    <t>050000570903</t>
  </si>
  <si>
    <t>KHI/HO/D/MO/PC COMP/E/27604/07/2023</t>
  </si>
  <si>
    <t>050000625613</t>
  </si>
  <si>
    <t>040000154435</t>
  </si>
  <si>
    <t>KHI/HO/D/HLGRP HEALTH/E/21896/10/2023</t>
  </si>
  <si>
    <t>050000659453</t>
  </si>
  <si>
    <t>KHI/HO/F/FR/ND/E/8621/07/2023</t>
  </si>
  <si>
    <t>050000623503</t>
  </si>
  <si>
    <t>040000144022</t>
  </si>
  <si>
    <t>040000147873</t>
  </si>
  <si>
    <t>070000133571</t>
  </si>
  <si>
    <t>070000133574</t>
  </si>
  <si>
    <t>070000133584</t>
  </si>
  <si>
    <t>070000133587</t>
  </si>
  <si>
    <t>KHI/HO/D/FR/ND/P/19455/07/2023</t>
  </si>
  <si>
    <t>040000149419</t>
  </si>
  <si>
    <t>KHI/HO/D/HLGRP HEALTH/E/21870/10/2023</t>
  </si>
  <si>
    <t>050000657799</t>
  </si>
  <si>
    <t>KHI/HO/D/MO/PC COMP/C/13612/07/2023</t>
  </si>
  <si>
    <t>020000034971</t>
  </si>
  <si>
    <t>KHI/HO/D/HLGRP HEALTH/E/20607/07/2023</t>
  </si>
  <si>
    <t>050000623499</t>
  </si>
  <si>
    <t>KHI/HO/D/HLGRP HEALTH/E/20540/07/2023</t>
  </si>
  <si>
    <t>050000622620</t>
  </si>
  <si>
    <t>KHI/HO/D/MO/PC COMP/E/27521/07/2023</t>
  </si>
  <si>
    <t>050000624302</t>
  </si>
  <si>
    <t>KHI/HO/D/MI/TPL/E/2570/07/2023</t>
  </si>
  <si>
    <t>050000622751</t>
  </si>
  <si>
    <t>KHI/HO/D/HLGRP HEALTH/E/20612/07/2023</t>
  </si>
  <si>
    <t>050000623515</t>
  </si>
  <si>
    <t>040000148864</t>
  </si>
  <si>
    <t>KHI/AR/AR/D/MO/MC TTT/C/13621/07/2023</t>
  </si>
  <si>
    <t>020000034980</t>
  </si>
  <si>
    <t>040000146780</t>
  </si>
  <si>
    <t>040000149388</t>
  </si>
  <si>
    <t>070000132681</t>
  </si>
  <si>
    <t>KHI/HO/D/MO/PC COMP/P/72565/07/2023</t>
  </si>
  <si>
    <t>040000148077</t>
  </si>
  <si>
    <t>040000149656</t>
  </si>
  <si>
    <t>KHI/HO/D/MO/PC COMP/P/72652/07/2023</t>
  </si>
  <si>
    <t>040000148225</t>
  </si>
  <si>
    <t>040000149699</t>
  </si>
  <si>
    <t>KHI/HO/D/MO/PC COMP/P/73238/07/2023</t>
  </si>
  <si>
    <t>040000149356</t>
  </si>
  <si>
    <t>070000134953</t>
  </si>
  <si>
    <t>070000133485</t>
  </si>
  <si>
    <t>070000133493</t>
  </si>
  <si>
    <t>070000133497</t>
  </si>
  <si>
    <t>070000133503</t>
  </si>
  <si>
    <t>070000133504</t>
  </si>
  <si>
    <t>070000133505</t>
  </si>
  <si>
    <t>KHI/HO/D/MO/CV/E/28245/08/2023</t>
  </si>
  <si>
    <t>050000628724</t>
  </si>
  <si>
    <t>KHI/HO/D/MO/PC COMP/R/65274/10/2023</t>
  </si>
  <si>
    <t>080000147829</t>
  </si>
  <si>
    <t>040000151055</t>
  </si>
  <si>
    <t>KHI/HO/D/MO/PC COMP/P/72627/07/2023</t>
  </si>
  <si>
    <t>040000148180</t>
  </si>
  <si>
    <t>KHI/HO/D/MO/PD COMP/E/33274/10/2023</t>
  </si>
  <si>
    <t>050000665039</t>
  </si>
  <si>
    <t>KHI/HO/D/HLGRP HEALTH/Q/7249/10/2023</t>
  </si>
  <si>
    <t>010000010154</t>
  </si>
  <si>
    <t>KHI/HO/D/MO/PC TPP/C/15274/10/2023</t>
  </si>
  <si>
    <t>020000037125</t>
  </si>
  <si>
    <t>070000133457</t>
  </si>
  <si>
    <t>MUL/MUL/D/MI/CRP/C/1006/08/2023</t>
  </si>
  <si>
    <t>070000134936</t>
  </si>
  <si>
    <t>MUL/MUL/D/MI/CRP/C/1008/08/2023</t>
  </si>
  <si>
    <t>070000134938</t>
  </si>
  <si>
    <t>LHR/LHR/D/MO/PC COMP/E/27547/07/2023</t>
  </si>
  <si>
    <t>050000624876</t>
  </si>
  <si>
    <t>040000149884</t>
  </si>
  <si>
    <t>040000147983</t>
  </si>
  <si>
    <t>040000146529</t>
  </si>
  <si>
    <t>070000133512</t>
  </si>
  <si>
    <t>070000133513</t>
  </si>
  <si>
    <t>070000133514</t>
  </si>
  <si>
    <t>070000133517</t>
  </si>
  <si>
    <t>070000133520</t>
  </si>
  <si>
    <t>070000134925</t>
  </si>
  <si>
    <t>070000133524</t>
  </si>
  <si>
    <t>070000133525</t>
  </si>
  <si>
    <t>070000133529</t>
  </si>
  <si>
    <t>070000133530</t>
  </si>
  <si>
    <t>070000133532</t>
  </si>
  <si>
    <t>KHI/HO/D/HLGRP HEALTH/E/20536/07/2023</t>
  </si>
  <si>
    <t>050000622535</t>
  </si>
  <si>
    <t>KHI/HO/D/HLGRP HEALTH/E/21869/10/2023</t>
  </si>
  <si>
    <t>050000657762</t>
  </si>
  <si>
    <t>040000148297</t>
  </si>
  <si>
    <t>LHR/LHR/D/MO/PC COMP/C/13544/07/2023</t>
  </si>
  <si>
    <t>020000034888</t>
  </si>
  <si>
    <t>KHI/HO/D/HLGRP HEALTH/E/20545/07/2023</t>
  </si>
  <si>
    <t>050000622625</t>
  </si>
  <si>
    <t>040000153416</t>
  </si>
  <si>
    <t>KHI/HO/D/HLGRP HEALTH/P/2563/07/2023</t>
  </si>
  <si>
    <t>040000148414</t>
  </si>
  <si>
    <t>KHI/HO/D/MO/PC COMP/C/13558/07/2023</t>
  </si>
  <si>
    <t>020000034905</t>
  </si>
  <si>
    <t>KHI/HO/F/FR/ND/E/8617/07/2023</t>
  </si>
  <si>
    <t>050000623388</t>
  </si>
  <si>
    <t>KHI/HO/D/MO/PC COMP/P/72911/07/2023</t>
  </si>
  <si>
    <t>040000148699</t>
  </si>
  <si>
    <t>040000147553</t>
  </si>
  <si>
    <t>040000150026</t>
  </si>
  <si>
    <t>KHI/HO/D/MO/CV/C/13604/07/2023</t>
  </si>
  <si>
    <t>020000034961</t>
  </si>
  <si>
    <t>070000135009</t>
  </si>
  <si>
    <t>KHI/HO/D/MO/PC COMP/E/27661/07/2023</t>
  </si>
  <si>
    <t>050000625727</t>
  </si>
  <si>
    <t>KHI/HO/D/MO/PC COMP/R/62660/07/2023</t>
  </si>
  <si>
    <t>080000143498</t>
  </si>
  <si>
    <t>KHI/HO/D/FR/ND/P/15750/09/2022</t>
  </si>
  <si>
    <t>040000125234</t>
  </si>
  <si>
    <t>040000147087</t>
  </si>
  <si>
    <t>KHI/HO/D/MO/PC TPP/C/13591/07/2023</t>
  </si>
  <si>
    <t>020000034947</t>
  </si>
  <si>
    <t>040000154703</t>
  </si>
  <si>
    <t>KHI/HO/D/HLGRP HEALTH/E/21620/09/2023</t>
  </si>
  <si>
    <t>050000649335</t>
  </si>
  <si>
    <t>KHI/HO/D/MO/PC COMP/C/74098/245/08/2023</t>
  </si>
  <si>
    <t>070000136731</t>
  </si>
  <si>
    <t>KHI/HO/D/HLGRP HEALTH/Q/6911/07/2023</t>
  </si>
  <si>
    <t>010000009645</t>
  </si>
  <si>
    <t>KHI/HO/D/MO/PC COMP/C/74098/242/08/2023</t>
  </si>
  <si>
    <t>070000136728</t>
  </si>
  <si>
    <t>040000150210</t>
  </si>
  <si>
    <t>KHI/HO/D/HLGRP HEALTH/E/21940/10/2023</t>
  </si>
  <si>
    <t>050000660718</t>
  </si>
  <si>
    <t>040000151855</t>
  </si>
  <si>
    <t>KHI/HO/D/MO/PC COMP/C/73571/242/08/2023</t>
  </si>
  <si>
    <t>070000136010</t>
  </si>
  <si>
    <t>KHI/HO/D/MO/PC COMP/C/73571/245/08/2023</t>
  </si>
  <si>
    <t>070000136013</t>
  </si>
  <si>
    <t>070000137593</t>
  </si>
  <si>
    <t>KHI/HO/D/MO/PC COMP/E/27584/07/2023</t>
  </si>
  <si>
    <t>050000625490</t>
  </si>
  <si>
    <t>040000153863</t>
  </si>
  <si>
    <t>040000124765</t>
  </si>
  <si>
    <t>040000125395</t>
  </si>
  <si>
    <t>040000125567</t>
  </si>
  <si>
    <t>040000125574</t>
  </si>
  <si>
    <t>040000125587</t>
  </si>
  <si>
    <t>LHR/LHR/D/MO/PC COMP/P/72563/07/2023</t>
  </si>
  <si>
    <t>040000148074</t>
  </si>
  <si>
    <t>KHI/HO/D/MO/PC COMP/P/74242/08/2023</t>
  </si>
  <si>
    <t>040000151005</t>
  </si>
  <si>
    <t>040000151030</t>
  </si>
  <si>
    <t>040000153494</t>
  </si>
  <si>
    <t>040000153501</t>
  </si>
  <si>
    <t>040000148890</t>
  </si>
  <si>
    <t>KHI/HO/D/MO/PC COMP/E/27591/07/2023</t>
  </si>
  <si>
    <t>050000625518</t>
  </si>
  <si>
    <t>KHI/HO/D/MO/PC COMP/E/27572/07/2023</t>
  </si>
  <si>
    <t>050000624901</t>
  </si>
  <si>
    <t>KHI/HO/D/HLGRP HEALTH/E/20553/07/2023</t>
  </si>
  <si>
    <t>050000622658</t>
  </si>
  <si>
    <t>KHI/HO/D/HLGRP HEALTH/E/20554/07/2023</t>
  </si>
  <si>
    <t>050000622659</t>
  </si>
  <si>
    <t>KHI/HO/D/HLGRP HEALTH/E/21871/10/2023</t>
  </si>
  <si>
    <t>050000657801</t>
  </si>
  <si>
    <t>KHI/HO/D/MO/PC COMP/C/13555/07/2023</t>
  </si>
  <si>
    <t>020000034901</t>
  </si>
  <si>
    <t>040000150361</t>
  </si>
  <si>
    <t>040000149946</t>
  </si>
  <si>
    <t>KHI/HO/D/MO/PC COMP/C/13674/07/2023</t>
  </si>
  <si>
    <t>020000035058</t>
  </si>
  <si>
    <t>KHI/HO/D/MO/PC COMP/C/72344/227/06/2023</t>
  </si>
  <si>
    <t>070000132363</t>
  </si>
  <si>
    <t>040000146801</t>
  </si>
  <si>
    <t>040000147216</t>
  </si>
  <si>
    <t>040000151944</t>
  </si>
  <si>
    <t>KHI/HO/D/HLGRP HEALTH/P/2584/07/2023</t>
  </si>
  <si>
    <t>040000148928</t>
  </si>
  <si>
    <t>MUL/MUL/F/MR/INLAND TRANSIT/P/39938/07/2023</t>
  </si>
  <si>
    <t>040000148932</t>
  </si>
  <si>
    <t>KHI/HO/D/HLGRP HEALTH/E/20610/07/2023</t>
  </si>
  <si>
    <t>050000623513</t>
  </si>
  <si>
    <t>040000153246</t>
  </si>
  <si>
    <t>KHI/HO/D/MO/PC COMP/E/27670/07/2023</t>
  </si>
  <si>
    <t>050000625741</t>
  </si>
  <si>
    <t>040000124851</t>
  </si>
  <si>
    <t>KHI/HO/D/FR/ND/P/18984/06/2023</t>
  </si>
  <si>
    <t>040000146890</t>
  </si>
  <si>
    <t>LHR/LHR/D/MO/PC TPP/C/13530/07/2023</t>
  </si>
  <si>
    <t>020000034869</t>
  </si>
  <si>
    <t>LHR/LHR/D/MO/PC TPP/E/28995/08/2023</t>
  </si>
  <si>
    <t>050000638563</t>
  </si>
  <si>
    <t>040000149830</t>
  </si>
  <si>
    <t>KHI/HO/D/MO/PC COMP/E/27599/07/2023</t>
  </si>
  <si>
    <t>050000625530</t>
  </si>
  <si>
    <t>KHI/HO/D/MO/PC COMP/P/72611/07/2023</t>
  </si>
  <si>
    <t>040000148142</t>
  </si>
  <si>
    <t>KHI/HO/D/MO/PC COMP/P/72592/07/2023</t>
  </si>
  <si>
    <t>040000148120</t>
  </si>
  <si>
    <t>KHI/HO/D/MO/MC COMP/P/72596/07/2023</t>
  </si>
  <si>
    <t>040000148124</t>
  </si>
  <si>
    <t>040000153253</t>
  </si>
  <si>
    <t>070000135237</t>
  </si>
  <si>
    <t>KHI/HO/D/MO/PC COMP/C/14245/08/2023</t>
  </si>
  <si>
    <t>020000035791</t>
  </si>
  <si>
    <t>040000151029</t>
  </si>
  <si>
    <t>MUL/MUL/F/MI/CT/E/2542/06/2023</t>
  </si>
  <si>
    <t>050000613646</t>
  </si>
  <si>
    <t>KHI/HO/D/HLGRP HEALTH/E/21908/10/2023</t>
  </si>
  <si>
    <t>050000659678</t>
  </si>
  <si>
    <t>040000148401</t>
  </si>
  <si>
    <t>KHI/HO/D/HLGRP HEALTH/E/21872/10/2023</t>
  </si>
  <si>
    <t>050000658343</t>
  </si>
  <si>
    <t>KHI/HO/D/MR/EXPORTS/P/39974/07/2023</t>
  </si>
  <si>
    <t>040000149297</t>
  </si>
  <si>
    <t>040000152809</t>
  </si>
  <si>
    <t>KHI/HO/D/HLGRP HEALTH/E/20591/07/2023</t>
  </si>
  <si>
    <t>050000623464</t>
  </si>
  <si>
    <t>KHI/HO/D/HLGRP HEALTH/E/20592/07/2023</t>
  </si>
  <si>
    <t>050000623465</t>
  </si>
  <si>
    <t>040000146883</t>
  </si>
  <si>
    <t>040000152889</t>
  </si>
  <si>
    <t>040000147319</t>
  </si>
  <si>
    <t>040000149933</t>
  </si>
  <si>
    <t>040000149521</t>
  </si>
  <si>
    <t>KHI/HO/D/HLGRP HEALTH/E/20611/07/2023</t>
  </si>
  <si>
    <t>050000623514</t>
  </si>
  <si>
    <t>040000152109</t>
  </si>
  <si>
    <t>040000149542</t>
  </si>
  <si>
    <t>040000149568</t>
  </si>
  <si>
    <t>KHI/HO/D/MO/PD COMP/E/29245/08/2023</t>
  </si>
  <si>
    <t>050000641000</t>
  </si>
  <si>
    <t>040000147447</t>
  </si>
  <si>
    <t>070000135249</t>
  </si>
  <si>
    <t>040000148859</t>
  </si>
  <si>
    <t>040000153489</t>
  </si>
  <si>
    <t>040000150752</t>
  </si>
  <si>
    <t>KHI/HO/D/MI/PG/E/2626/08/2023</t>
  </si>
  <si>
    <t>050000636878</t>
  </si>
  <si>
    <t>040000146994</t>
  </si>
  <si>
    <t>LHR/LHR/D/HLGRP HEALTH/E/20555/07/2023</t>
  </si>
  <si>
    <t>050000622660</t>
  </si>
  <si>
    <t>LHR/LHR/D/MO/PC COMP/P/76249/10/2023</t>
  </si>
  <si>
    <t>040000154532</t>
  </si>
  <si>
    <t>040000155182</t>
  </si>
  <si>
    <t>KHI/AR/AR/D/MO/MC TTT/P/72571/07/2023</t>
  </si>
  <si>
    <t>040000148083</t>
  </si>
  <si>
    <t>KHI/HO/D/MO/PC COMP/P/72985/07/2023</t>
  </si>
  <si>
    <t>040000148798</t>
  </si>
  <si>
    <t>KHI/HO/D/MO/PC COMP/P/72986/07/2023</t>
  </si>
  <si>
    <t>040000148799</t>
  </si>
  <si>
    <t>040000153434</t>
  </si>
  <si>
    <t>KHI/HO/D/MO/PC COMP/E/27530/07/2023</t>
  </si>
  <si>
    <t>050000624757</t>
  </si>
  <si>
    <t>LHR/LHR/D/HLGRP HEALTH/E/20660/07/2023</t>
  </si>
  <si>
    <t>050000624759</t>
  </si>
  <si>
    <t>KHI/HO/D/MO/PD COMP/E/29242/08/2023</t>
  </si>
  <si>
    <t>050000640996</t>
  </si>
  <si>
    <t>LHR/LHR/D/MO/PC TPP/P/72604/07/2023</t>
  </si>
  <si>
    <t>040000148133</t>
  </si>
  <si>
    <t>KHI/HO/D/MO/PC COMP/E/27602/07/2023</t>
  </si>
  <si>
    <t>050000625601</t>
  </si>
  <si>
    <t>040000151035</t>
  </si>
  <si>
    <t>040000150924</t>
  </si>
  <si>
    <t>040000150587</t>
  </si>
  <si>
    <t>KHI/HO/D/HLGRP HEALTH/E/20604/07/2023</t>
  </si>
  <si>
    <t>050000623485</t>
  </si>
  <si>
    <t>KHI/HO/D/MO/PD COMP/E/23167/02/2023</t>
  </si>
  <si>
    <t>050000560787</t>
  </si>
  <si>
    <t>040000147771</t>
  </si>
  <si>
    <t>KHI/HO/D/MO/PC COMP/C/73110/238/07/2023</t>
  </si>
  <si>
    <t>070000134012</t>
  </si>
  <si>
    <t>040000149859</t>
  </si>
  <si>
    <t>KHI/HO/D/MR/INLAND TRANSIT/P/39912/07/2023</t>
  </si>
  <si>
    <t>040000148632</t>
  </si>
  <si>
    <t>LHR/LHR/D/HLGRP HEALTH/E/21274/08/2023</t>
  </si>
  <si>
    <t>050000641208</t>
  </si>
  <si>
    <t>KHI/HO/D/HLGRP HEALTH/E/20580/07/2023</t>
  </si>
  <si>
    <t>050000623424</t>
  </si>
  <si>
    <t>KHI/HO/D/MO/PC COMP/P/72521/07/2023</t>
  </si>
  <si>
    <t>040000147986</t>
  </si>
  <si>
    <t>KHI/HO/D/MR/IMPORTS/C/20975/06/2023</t>
  </si>
  <si>
    <t>020000034605</t>
  </si>
  <si>
    <t>KHI/HO/D/HLGRP HEALTH/E/22001/10/2023</t>
  </si>
  <si>
    <t>050000662876</t>
  </si>
  <si>
    <t>KHI/HO/D/MR/IMPORTS/C/21245/08/2023</t>
  </si>
  <si>
    <t>020000035864</t>
  </si>
  <si>
    <t>KHI/HO/D/MO/PC COMP/P/72619/07/2023</t>
  </si>
  <si>
    <t>040000148169</t>
  </si>
  <si>
    <t>KHI/HO/D/HLGRP HEALTH/R/1896/10/2023</t>
  </si>
  <si>
    <t>080000147261</t>
  </si>
  <si>
    <t>KHI/HO/D/HLGRP HEALTH/E/21975/10/2023</t>
  </si>
  <si>
    <t>050000661826</t>
  </si>
  <si>
    <t>KHI/HO/D/HLGRP HEALTH/E/21079/08/2023</t>
  </si>
  <si>
    <t>050000636715</t>
  </si>
  <si>
    <t>KHI/HO/D/HLGRP HEALTH/E/21605/09/2023</t>
  </si>
  <si>
    <t>050000649099</t>
  </si>
  <si>
    <t>KHI/HO/D/HLGRP HEALTH/E/21859/10/2023</t>
  </si>
  <si>
    <t>050000657345</t>
  </si>
  <si>
    <t>KHI/HO/D/MO/PC COMP/E/27674/07/2023</t>
  </si>
  <si>
    <t>050000625748</t>
  </si>
  <si>
    <t>KHI/HO/D/MO/PC COMP/E/27611/07/2023</t>
  </si>
  <si>
    <t>050000625626</t>
  </si>
  <si>
    <t>KHI/HO/D/MO/PC COMP/E/27632/07/2023</t>
  </si>
  <si>
    <t>050000625698</t>
  </si>
  <si>
    <t>KHI/HO/F/MI/BB/E/2584/07/2023</t>
  </si>
  <si>
    <t>050000627558</t>
  </si>
  <si>
    <t>070000139079</t>
  </si>
  <si>
    <t>040000147323</t>
  </si>
  <si>
    <t>LHR/LHR/F/FR/ND/P/22568/06/2024</t>
  </si>
  <si>
    <t>040000176101</t>
  </si>
  <si>
    <t>060000000350</t>
  </si>
  <si>
    <t>ISD/ISD/D/HLGRP HEALTH/E/22274/10/2023</t>
  </si>
  <si>
    <t>050000668923</t>
  </si>
  <si>
    <t>KHI/HO/D/HLGRP HEALTH/E/20674/07/2023</t>
  </si>
  <si>
    <t>050000625492</t>
  </si>
  <si>
    <t>KHI/HO/F/MI/BB/E/2578/07/2023</t>
  </si>
  <si>
    <t>050000627003</t>
  </si>
  <si>
    <t>KHI/HO/D/MO/PC COMP/P/72988/07/2023</t>
  </si>
  <si>
    <t>040000148801</t>
  </si>
  <si>
    <t>KHI/HO/D/MO/PC COMP/R/63349/09/2023</t>
  </si>
  <si>
    <t>080000146592</t>
  </si>
  <si>
    <t>KHI/HO/D/MO/PC TPP/C/13596/07/2023</t>
  </si>
  <si>
    <t>020000034952</t>
  </si>
  <si>
    <t>KHI/HO/D/MO/PC COMP/C/13671/07/2023</t>
  </si>
  <si>
    <t>020000035055</t>
  </si>
  <si>
    <t>040000150131</t>
  </si>
  <si>
    <t>040000149573</t>
  </si>
  <si>
    <t>KHI/HO/D/HLGRP HEALTH/E/20599/07/2023</t>
  </si>
  <si>
    <t>050000623472</t>
  </si>
  <si>
    <t>040000156836</t>
  </si>
  <si>
    <t>040000147170</t>
  </si>
  <si>
    <t>040000147171</t>
  </si>
  <si>
    <t>KHI/HO/D/MO/MC COMP/E/31975/10/2023</t>
  </si>
  <si>
    <t>050000654552</t>
  </si>
  <si>
    <t>KHI/HO/D/HLGRP HEALTH/E/20601/07/2023</t>
  </si>
  <si>
    <t>050000623474</t>
  </si>
  <si>
    <t>KHI/HO/D/HLGRP HEALTH/E/20602/07/2023</t>
  </si>
  <si>
    <t>050000623475</t>
  </si>
  <si>
    <t>040000149413</t>
  </si>
  <si>
    <t>KHI/HO/D/MO/PC COMP/C/13527/07/2023</t>
  </si>
  <si>
    <t>020000034864</t>
  </si>
  <si>
    <t>MUL/MUL/F/FR/ND/E/8592/07/2023</t>
  </si>
  <si>
    <t>050000617924</t>
  </si>
  <si>
    <t>KHI/HO/D/FR/ND/E/8611/07/2023</t>
  </si>
  <si>
    <t>050000622514</t>
  </si>
  <si>
    <t>040000149362</t>
  </si>
  <si>
    <t>KHI/HO/D/HLGRP HEALTH/E/21023/08/2023</t>
  </si>
  <si>
    <t>050000633732</t>
  </si>
  <si>
    <t>040000147802</t>
  </si>
  <si>
    <t>040000152411</t>
  </si>
  <si>
    <t>KHI/HO/D/MO/PC COMP/P/72674/07/2023</t>
  </si>
  <si>
    <t>040000148262</t>
  </si>
  <si>
    <t>KHI/HO/D/HLGRP HEALTH/E/21008/08/2023</t>
  </si>
  <si>
    <t>050000633571</t>
  </si>
  <si>
    <t>040000155797</t>
  </si>
  <si>
    <t>040000149796</t>
  </si>
  <si>
    <t>040000153649</t>
  </si>
  <si>
    <t>040000154547</t>
  </si>
  <si>
    <t>040000153223</t>
  </si>
  <si>
    <t>MUL/MUL/F/MI/FG/E/2553/06/2023</t>
  </si>
  <si>
    <t>050000614009</t>
  </si>
  <si>
    <t>KHI/HO/D/MO/PC COMP/C/72988/238/07/2023</t>
  </si>
  <si>
    <t>070000134255</t>
  </si>
  <si>
    <t>KHI/HO/D/MI/CT/P/2911/07/2023</t>
  </si>
  <si>
    <t>040000148410</t>
  </si>
  <si>
    <t>LHR/LHR/D/MO/PC COMP/C/13602/07/2023</t>
  </si>
  <si>
    <t>020000034959</t>
  </si>
  <si>
    <t>MUL/MUL/F/FR/ND/E/8619/07/2023</t>
  </si>
  <si>
    <t>050000623487</t>
  </si>
  <si>
    <t>070000135514</t>
  </si>
  <si>
    <t>KHI/HO/D/MO/MC COMP/P/77274/10/2023</t>
  </si>
  <si>
    <t>040000156264</t>
  </si>
  <si>
    <t>040000148051</t>
  </si>
  <si>
    <t>040000150107</t>
  </si>
  <si>
    <t>070000135519</t>
  </si>
  <si>
    <t>KHI/HO/D/MO/PD COMP/E/27566/07/2023</t>
  </si>
  <si>
    <t>050000624895</t>
  </si>
  <si>
    <t>070000133427</t>
  </si>
  <si>
    <t>070000133428</t>
  </si>
  <si>
    <t>040000153348</t>
  </si>
  <si>
    <t>LHR/LHR/D/MO/PC COMP/E/31859/10/2023</t>
  </si>
  <si>
    <t>050000654436</t>
  </si>
  <si>
    <t>040000149287</t>
  </si>
  <si>
    <t>040000153520</t>
  </si>
  <si>
    <t>LHR/LHR/D/MO/PC COMP/E/31861/10/2023</t>
  </si>
  <si>
    <t>050000654438</t>
  </si>
  <si>
    <t>KHI/HO/D/MO/PC COMP/E/31870/10/2023</t>
  </si>
  <si>
    <t>050000654447</t>
  </si>
  <si>
    <t>LHR/LHR/D/MO/PC COMP/E/31872/10/2023</t>
  </si>
  <si>
    <t>050000654449</t>
  </si>
  <si>
    <t>070000137446</t>
  </si>
  <si>
    <t>070000137451</t>
  </si>
  <si>
    <t>MUL/MUL/F/FR/ND/E/8596/07/2023</t>
  </si>
  <si>
    <t>050000618321</t>
  </si>
  <si>
    <t>KHI/HO/D/HLGRP HEALTH/P/2601/07/2023</t>
  </si>
  <si>
    <t>040000149752</t>
  </si>
  <si>
    <t>070000139091</t>
  </si>
  <si>
    <t>040000150498</t>
  </si>
  <si>
    <t>070000137367</t>
  </si>
  <si>
    <t>040000151099</t>
  </si>
  <si>
    <t>KHI/HO/D/MO/PC COMP/C/13995/08/2023</t>
  </si>
  <si>
    <t>020000035491</t>
  </si>
  <si>
    <t>KHI/HO/D/MO/MC COMP/E/31891/10/2023</t>
  </si>
  <si>
    <t>050000654468</t>
  </si>
  <si>
    <t>KHI/HO/D/MO/PC COMP/E/27580/07/2023</t>
  </si>
  <si>
    <t>050000624916</t>
  </si>
  <si>
    <t>KHI/HO/D/MO/MC COMP/E/31249/10/2023</t>
  </si>
  <si>
    <t>050000653826</t>
  </si>
  <si>
    <t>KHI/HO/D/HLGRP HEALTH/E/21860/10/2023</t>
  </si>
  <si>
    <t>050000657394</t>
  </si>
  <si>
    <t>KHI/HO/D/HLGRP HEALTH/E/20527/07/2023</t>
  </si>
  <si>
    <t>050000622524</t>
  </si>
  <si>
    <t>KHI/HO/D/MO/PC COMP/E/27627/07/2023</t>
  </si>
  <si>
    <t>050000625693</t>
  </si>
  <si>
    <t>KHI/HO/D/HLGRP HEALTH/P/2600/07/2023</t>
  </si>
  <si>
    <t>040000149728</t>
  </si>
  <si>
    <t>KHI/HO/D/MO/MC COMP/E/31896/10/2023</t>
  </si>
  <si>
    <t>050000654473</t>
  </si>
  <si>
    <t>040000154364</t>
  </si>
  <si>
    <t>KHI/HO/D/MO/MC COMP/E/32274/10/2023</t>
  </si>
  <si>
    <t>050000654851</t>
  </si>
  <si>
    <t>LHR/LHR/D/MO/PC TPP/C/13580/07/2023</t>
  </si>
  <si>
    <t>020000034931</t>
  </si>
  <si>
    <t>KHI/HO/D/HLGRP HEALTH/E/21671/09/2023</t>
  </si>
  <si>
    <t>050000652745</t>
  </si>
  <si>
    <t>KHI/HO/D/MO/MC COMP/E/31052/10/2023</t>
  </si>
  <si>
    <t>050000653629</t>
  </si>
  <si>
    <t>KHI/HO/D/MO/PC TPP/P/72531/07/2023</t>
  </si>
  <si>
    <t>040000148012</t>
  </si>
  <si>
    <t>KHI/HO/D/HLGRP HEALTH/P/2592/07/2023</t>
  </si>
  <si>
    <t>040000149337</t>
  </si>
  <si>
    <t>KHI/HO/D/MO/MC COMP/E/31274/10/2023</t>
  </si>
  <si>
    <t>050000653851</t>
  </si>
  <si>
    <t>KHI/HO/D/MO/MC COMP/E/32021/10/2023</t>
  </si>
  <si>
    <t>050000654598</t>
  </si>
  <si>
    <t>KHI/HO/D/MO/MC COMP/E/32035/10/2023</t>
  </si>
  <si>
    <t>050000654612</t>
  </si>
  <si>
    <t>KHI/HO/D/MO/PC COMP/E/31804/10/2023</t>
  </si>
  <si>
    <t>050000654381</t>
  </si>
  <si>
    <t>KHI/HO/D/MO/PD COMP/P/72992/07/2023</t>
  </si>
  <si>
    <t>040000148808</t>
  </si>
  <si>
    <t>KHI/HO/D/MO/PD COMP/E/27553/07/2023</t>
  </si>
  <si>
    <t>050000624882</t>
  </si>
  <si>
    <t>KHI/HO/D/MO/PD COMP/E/27554/07/2023</t>
  </si>
  <si>
    <t>050000624883</t>
  </si>
  <si>
    <t>KHI/HO/D/MO/PD COMP/E/27555/07/2023</t>
  </si>
  <si>
    <t>050000624884</t>
  </si>
  <si>
    <t>KHI/HO/D/MO/PD COMP/E/27558/07/2023</t>
  </si>
  <si>
    <t>050000624887</t>
  </si>
  <si>
    <t>KHI/HO/D/MO/PD COMP/E/27559/07/2023</t>
  </si>
  <si>
    <t>050000624888</t>
  </si>
  <si>
    <t>KHI/HO/D/MO/PD COMP/E/27563/07/2023</t>
  </si>
  <si>
    <t>050000624892</t>
  </si>
  <si>
    <t>KHI/HO/D/MO/PD COMP/E/27565/07/2023</t>
  </si>
  <si>
    <t>050000624894</t>
  </si>
  <si>
    <t>KHI/HO/D/MO/MC COMP/C/14242/08/2023</t>
  </si>
  <si>
    <t>020000035788</t>
  </si>
  <si>
    <t>KHI/HO/D/MO/PC TPP/C/13590/07/2023</t>
  </si>
  <si>
    <t>020000034946</t>
  </si>
  <si>
    <t>KHI/HO/D/HLGRP HEALTH/E/21868/10/2023</t>
  </si>
  <si>
    <t>050000657761</t>
  </si>
  <si>
    <t>070000134859</t>
  </si>
  <si>
    <t>LHR/LHR/D/MO/PC COMP/E/31868/10/2023</t>
  </si>
  <si>
    <t>050000654445</t>
  </si>
  <si>
    <t>LHR/LHR/D/MO/PC COMP/E/31773/10/2023</t>
  </si>
  <si>
    <t>050000654350</t>
  </si>
  <si>
    <t>070000137999</t>
  </si>
  <si>
    <t>070000138002</t>
  </si>
  <si>
    <t>KHI/HO/D/MO/PC COMP/R/63343/09/2023</t>
  </si>
  <si>
    <t>080000146295</t>
  </si>
  <si>
    <t>KHI/HO/D/MO/PC COMP/R/63342/09/2023</t>
  </si>
  <si>
    <t>080000146222</t>
  </si>
  <si>
    <t>040000149555</t>
  </si>
  <si>
    <t>040000155356</t>
  </si>
  <si>
    <t>040000150133</t>
  </si>
  <si>
    <t>040000149780</t>
  </si>
  <si>
    <t>040000148671</t>
  </si>
  <si>
    <t>KHI/HO/D/MI/CT/E/2572/07/2023</t>
  </si>
  <si>
    <t>050000624117</t>
  </si>
  <si>
    <t>070000146978</t>
  </si>
  <si>
    <t>LHR/LHR/D/MO/PC COMP/E/27545/07/2023</t>
  </si>
  <si>
    <t>050000624874</t>
  </si>
  <si>
    <t>040000151070</t>
  </si>
  <si>
    <t>KHI/HO/D/MR/EXPORTS/E/3327/09/2023</t>
  </si>
  <si>
    <t>050000641939</t>
  </si>
  <si>
    <t>KHI/HO/D/HLGRP HEALTH/E/20617/07/2023</t>
  </si>
  <si>
    <t>050000623520</t>
  </si>
  <si>
    <t>KHI/HO/D/HLGRP HEALTH/E/21078/08/2023</t>
  </si>
  <si>
    <t>050000636673</t>
  </si>
  <si>
    <t>040000150465</t>
  </si>
  <si>
    <t>KHI/HO/D/FR/ND/P/18975/06/2023</t>
  </si>
  <si>
    <t>040000146736</t>
  </si>
  <si>
    <t>040000150086</t>
  </si>
  <si>
    <t>KHI/HO/D/MO/PD COMP/C/13599/07/2023</t>
  </si>
  <si>
    <t>020000034955</t>
  </si>
  <si>
    <t>KHI/HO/D/MR/IMPORTS/P/39924/07/2023</t>
  </si>
  <si>
    <t>040000148670</t>
  </si>
  <si>
    <t>040000153575</t>
  </si>
  <si>
    <t>KHI/HO/D/MO/MC TTT/P/66875/01/2023</t>
  </si>
  <si>
    <t>040000136987</t>
  </si>
  <si>
    <t>040000153537</t>
  </si>
  <si>
    <t>040000153540</t>
  </si>
  <si>
    <t>040000149815</t>
  </si>
  <si>
    <t>KHI/HO/D/HLGRP HEALTH/E/21242/08/2023</t>
  </si>
  <si>
    <t>050000640960</t>
  </si>
  <si>
    <t>040000160005</t>
  </si>
  <si>
    <t>040000160006</t>
  </si>
  <si>
    <t>040000137365</t>
  </si>
  <si>
    <t>LHR/LHR/D/MO/PC COMP/C/13616/07/2023</t>
  </si>
  <si>
    <t>020000034975</t>
  </si>
  <si>
    <t>KHI/HO/D/HLGRP HEALTH/Q/7274/10/2023</t>
  </si>
  <si>
    <t>010000010199</t>
  </si>
  <si>
    <t>KHI/HO/D/HLGRP HEALTH/E/21608/09/2023</t>
  </si>
  <si>
    <t>050000649105</t>
  </si>
  <si>
    <t>040000155381</t>
  </si>
  <si>
    <t>KHI/HO/D/MO/PC TPP/C/13627/07/2023</t>
  </si>
  <si>
    <t>020000034987</t>
  </si>
  <si>
    <t>KHI/HO/D/HLGRP HEALTH/E/20598/07/2023</t>
  </si>
  <si>
    <t>050000623471</t>
  </si>
  <si>
    <t>040000153566</t>
  </si>
  <si>
    <t>KHI/HO/F/FR/ND/E/8600/07/2023</t>
  </si>
  <si>
    <t>050000618625</t>
  </si>
  <si>
    <t>040000149484</t>
  </si>
  <si>
    <t>040000154265</t>
  </si>
  <si>
    <t>KHI/HO/D/HLGRP HEALTH/E/21804/10/2023</t>
  </si>
  <si>
    <t>050000655309</t>
  </si>
  <si>
    <t>KHI/HO/D/MO/PC COMP/R/63295/09/2023</t>
  </si>
  <si>
    <t>080000146049</t>
  </si>
  <si>
    <t>040000149646</t>
  </si>
  <si>
    <t>040000153536</t>
  </si>
  <si>
    <t>040000153563</t>
  </si>
  <si>
    <t>040000153284</t>
  </si>
  <si>
    <t>040000150500</t>
  </si>
  <si>
    <t>KHI/HO/D/HLGRP HEALTH/R/1861/10/2023</t>
  </si>
  <si>
    <t>080000147453</t>
  </si>
  <si>
    <t>040000153496</t>
  </si>
  <si>
    <t>040000156445</t>
  </si>
  <si>
    <t>040000158907</t>
  </si>
  <si>
    <t>040000151815</t>
  </si>
  <si>
    <t>KHI/HO/D/HLGRP HEALTH/P/2598/07/2023</t>
  </si>
  <si>
    <t>040000149660</t>
  </si>
  <si>
    <t>070000147151</t>
  </si>
  <si>
    <t>LHR/LHR/D/HLGRP HEALTH/E/21245/08/2023</t>
  </si>
  <si>
    <t>050000640970</t>
  </si>
  <si>
    <t>070000146594</t>
  </si>
  <si>
    <t>040000152268</t>
  </si>
  <si>
    <t>070000135513</t>
  </si>
  <si>
    <t>070000146713</t>
  </si>
  <si>
    <t>040000153227</t>
  </si>
  <si>
    <t>040000152652</t>
  </si>
  <si>
    <t>KHI/HO/D/MO/PC COMP/C/78152/276/11/2023</t>
  </si>
  <si>
    <t>070000146231</t>
  </si>
  <si>
    <t>070000133418</t>
  </si>
  <si>
    <t>040000127944</t>
  </si>
  <si>
    <t>040000151134</t>
  </si>
  <si>
    <t>KHI/HO/D/HLGRP HEALTH/P/2590/07/2023</t>
  </si>
  <si>
    <t>040000149291</t>
  </si>
  <si>
    <t>040000145571</t>
  </si>
  <si>
    <t>KHI/HO/D/HLGRP HEALTH/E/21006/08/2023</t>
  </si>
  <si>
    <t>050000633487</t>
  </si>
  <si>
    <t>040000143470</t>
  </si>
  <si>
    <t>040000145974</t>
  </si>
  <si>
    <t>040000145980</t>
  </si>
  <si>
    <t>040000127422</t>
  </si>
  <si>
    <t>070000135008</t>
  </si>
  <si>
    <t>070000130640</t>
  </si>
  <si>
    <t>040000144846</t>
  </si>
  <si>
    <t>040000141314</t>
  </si>
  <si>
    <t>070000134832</t>
  </si>
  <si>
    <t>LHR/LHR/D/MO/PC COMP/E/21048/08/2022</t>
  </si>
  <si>
    <t>050000490492</t>
  </si>
  <si>
    <t>KHI/AR/AR/D/MO/MC TTT/C/13531/07/2023</t>
  </si>
  <si>
    <t>020000034870</t>
  </si>
  <si>
    <t>KHI/HO/D/HLGRP HEALTH/E/20670/07/2023</t>
  </si>
  <si>
    <t>050000624911</t>
  </si>
  <si>
    <t>KHI/HO/D/MO/MC COMP/C/13610/07/2023</t>
  </si>
  <si>
    <t>020000034969</t>
  </si>
  <si>
    <t>KHI/HO/D/MO/PD COMP/C/13570/07/2023</t>
  </si>
  <si>
    <t>020000034921</t>
  </si>
  <si>
    <t>LHR/LHR/D/MO/PC TPP/C/13661/07/2023</t>
  </si>
  <si>
    <t>020000035041</t>
  </si>
  <si>
    <t>KHI/HO/D/MO/PC COMP/E/27612/07/2023</t>
  </si>
  <si>
    <t>050000625628</t>
  </si>
  <si>
    <t>040000150134</t>
  </si>
  <si>
    <t>KHI/HO/F/FR/ND/E/8610/07/2023</t>
  </si>
  <si>
    <t>050000622434</t>
  </si>
  <si>
    <t>KHI/HO/D/MO/PC TPP/C/13658/07/2023</t>
  </si>
  <si>
    <t>020000035037</t>
  </si>
  <si>
    <t>LHR/LHR/D/MO/PC COMP/C/13660/07/2023</t>
  </si>
  <si>
    <t>020000035040</t>
  </si>
  <si>
    <t>MUL/MUL/D/MI/CRP/C/1010/08/2023</t>
  </si>
  <si>
    <t>070000134940</t>
  </si>
  <si>
    <t>070000134946</t>
  </si>
  <si>
    <t>KHI/HO/D/MO/PC COMP/C/12975/06/2023</t>
  </si>
  <si>
    <t>020000034151</t>
  </si>
  <si>
    <t>LHR/LHR/D/MO/PC COMP/P/72566/07/2023</t>
  </si>
  <si>
    <t>040000148078</t>
  </si>
  <si>
    <t>KHI/HO/D/MO/PC COMP/P/72578/07/2023</t>
  </si>
  <si>
    <t>040000148094</t>
  </si>
  <si>
    <t>KHI/HO/D/MO/PC COMP/R/13455/07/2023</t>
  </si>
  <si>
    <t>080000143604</t>
  </si>
  <si>
    <t>KHI/HO/D/MO/PC COMP/R/64245/08/2023</t>
  </si>
  <si>
    <t>080000145411</t>
  </si>
  <si>
    <t>040000147345</t>
  </si>
  <si>
    <t>040000147368</t>
  </si>
  <si>
    <t>040000155034</t>
  </si>
  <si>
    <t>KHI/HO/D/MO/PC COMP/C/13652/07/2023</t>
  </si>
  <si>
    <t>020000035028</t>
  </si>
  <si>
    <t>KHI/HO/D/MO/PC COMP/P/69952/04/2023</t>
  </si>
  <si>
    <t>040000143550</t>
  </si>
  <si>
    <t>040000144545</t>
  </si>
  <si>
    <t>KHI/HO/D/MO/MC COMP/P/77249/10/2023</t>
  </si>
  <si>
    <t>040000156236</t>
  </si>
  <si>
    <t>040000166375</t>
  </si>
  <si>
    <t>040000167422</t>
  </si>
  <si>
    <t>040000161920</t>
  </si>
  <si>
    <t>040000148819</t>
  </si>
  <si>
    <t>070000157111</t>
  </si>
  <si>
    <t>KHI/AR/AR/D/MO/MC TTT/C/19475/03/2024</t>
  </si>
  <si>
    <t>020000042298</t>
  </si>
  <si>
    <t>KHI/HO/D/MO/MC COMP/E/40281/04/2024</t>
  </si>
  <si>
    <t>050000731914</t>
  </si>
  <si>
    <t>KHI/HO/D/MO/MC COMP/P/83048/02/2024</t>
  </si>
  <si>
    <t>040000164905</t>
  </si>
  <si>
    <t>070000147280</t>
  </si>
  <si>
    <t>KHI/HO/F/MI/TRR/P/282/04/2024</t>
  </si>
  <si>
    <t>040000170401</t>
  </si>
  <si>
    <t>070000147161</t>
  </si>
  <si>
    <t>040000158909</t>
  </si>
  <si>
    <t>070000147162</t>
  </si>
  <si>
    <t>040000143566</t>
  </si>
  <si>
    <t>040000144023</t>
  </si>
  <si>
    <t>040000161502</t>
  </si>
  <si>
    <t>040000168458</t>
  </si>
  <si>
    <t>070000148992</t>
  </si>
  <si>
    <t>040000169876</t>
  </si>
  <si>
    <t>070000146921</t>
  </si>
  <si>
    <t>070000146933</t>
  </si>
  <si>
    <t>040000161193</t>
  </si>
  <si>
    <t>040000165693</t>
  </si>
  <si>
    <t>KHI/HO/D/MO/PC COMP/P/82278/01/2024</t>
  </si>
  <si>
    <t>040000163829</t>
  </si>
  <si>
    <t>040000164797</t>
  </si>
  <si>
    <t>KHI/HO/D/MO/MC COMP/E/39281/04/2024</t>
  </si>
  <si>
    <t>050000730914</t>
  </si>
  <si>
    <t>KHI/HO/D/MO/MC COMP/E/39282/04/2024</t>
  </si>
  <si>
    <t>050000730915</t>
  </si>
  <si>
    <t>040000167025</t>
  </si>
  <si>
    <t>040000161939</t>
  </si>
  <si>
    <t>040000154045</t>
  </si>
  <si>
    <t>070000147315</t>
  </si>
  <si>
    <t>040000170061</t>
  </si>
  <si>
    <t>040000154320</t>
  </si>
  <si>
    <t>040000169020</t>
  </si>
  <si>
    <t>040000168633</t>
  </si>
  <si>
    <t>040000165697</t>
  </si>
  <si>
    <t>040000161923</t>
  </si>
  <si>
    <t>KHI/HO/D/MO/PC TPP/P/83280/02/2024</t>
  </si>
  <si>
    <t>040000165185</t>
  </si>
  <si>
    <t>040000168210</t>
  </si>
  <si>
    <t>040000169116</t>
  </si>
  <si>
    <t>KHI/HO/D/HLGRP HEALTH/P/2200/01/2023</t>
  </si>
  <si>
    <t>040000136860</t>
  </si>
  <si>
    <t>040000145296</t>
  </si>
  <si>
    <t>040000168896</t>
  </si>
  <si>
    <t>040000168897</t>
  </si>
  <si>
    <t>KHI/HO/D/MO/PC COMP/C/82587/278/01/2024</t>
  </si>
  <si>
    <t>070000153211</t>
  </si>
  <si>
    <t>070000156187</t>
  </si>
  <si>
    <t>LHR/LHR/D/HLGRP HEALTH/E/23817/01/2024</t>
  </si>
  <si>
    <t>050000707024</t>
  </si>
  <si>
    <t>040000165604</t>
  </si>
  <si>
    <t>KHI/HO/D/MO/CV/P/83072/02/2024</t>
  </si>
  <si>
    <t>040000164938</t>
  </si>
  <si>
    <t>040000162174</t>
  </si>
  <si>
    <t>040000161600</t>
  </si>
  <si>
    <t>070000147100</t>
  </si>
  <si>
    <t>040000163752</t>
  </si>
  <si>
    <t>040000166962</t>
  </si>
  <si>
    <t>040000166183</t>
  </si>
  <si>
    <t>060000000359</t>
  </si>
  <si>
    <t>KHI/HO/D/MO/PC COMP/R/84046/281/04/2024</t>
  </si>
  <si>
    <t>080000157850</t>
  </si>
  <si>
    <t>KHI/HO/D/MO/PC COMP/R/84046/282/04/2024</t>
  </si>
  <si>
    <t>080000157851</t>
  </si>
  <si>
    <t>KHI/HO/D/MO/PC COMP/R/84046/283/04/2024</t>
  </si>
  <si>
    <t>080000157852</t>
  </si>
  <si>
    <t>070000157875</t>
  </si>
  <si>
    <t>KHI/HO/D/MO/MC COMP/P/87282/04/2024</t>
  </si>
  <si>
    <t>040000171083</t>
  </si>
  <si>
    <t>KHI/HO/D/MO/MC COMP/P/87283/04/2024</t>
  </si>
  <si>
    <t>040000171084</t>
  </si>
  <si>
    <t>040000171925</t>
  </si>
  <si>
    <t>040000163373</t>
  </si>
  <si>
    <t>LHR/LHR/D/MO/PC COMP/R/72281/04/2024</t>
  </si>
  <si>
    <t>080000156633</t>
  </si>
  <si>
    <t>040000164791</t>
  </si>
  <si>
    <t>070000157073</t>
  </si>
  <si>
    <t>040000165609</t>
  </si>
  <si>
    <t>LHR/LHR/D/MR/IMPORTS/P/42283/04/2024</t>
  </si>
  <si>
    <t>040000171112</t>
  </si>
  <si>
    <t>040000162325</t>
  </si>
  <si>
    <t>040000168446</t>
  </si>
  <si>
    <t>040000171732</t>
  </si>
  <si>
    <t>040000171654</t>
  </si>
  <si>
    <t>040000171668</t>
  </si>
  <si>
    <t>KHI/HO/D/MO/PC TPP/C/20283/04/2024</t>
  </si>
  <si>
    <t>020000043281</t>
  </si>
  <si>
    <t>KHI/HO/D/FR/ND/P/17924/03/2023</t>
  </si>
  <si>
    <t>040000141170</t>
  </si>
  <si>
    <t>KHI/HO/D/MI/CT/E/2565/07/2023</t>
  </si>
  <si>
    <t>050000618728</t>
  </si>
  <si>
    <t>KHI/HO/D/MO/PC COMP/C/82335/278/01/2024</t>
  </si>
  <si>
    <t>070000152345</t>
  </si>
  <si>
    <t>KHI/HO/D/MO/MC COMP/E/39283/04/2024</t>
  </si>
  <si>
    <t>050000730916</t>
  </si>
  <si>
    <t>KHI/HO/D/MI/TRR/E/281/04/2024</t>
  </si>
  <si>
    <t>050000739578</t>
  </si>
  <si>
    <t>KHI/HO/D/MI/TRI/P/10278/01/2024</t>
  </si>
  <si>
    <t>040000164380</t>
  </si>
  <si>
    <t>060000000358</t>
  </si>
  <si>
    <t>KHI/HO/D/MO/MC COMP/P/87281/04/2024</t>
  </si>
  <si>
    <t>040000171082</t>
  </si>
  <si>
    <t>040000166495</t>
  </si>
  <si>
    <t>040000166353</t>
  </si>
  <si>
    <t>040000165027</t>
  </si>
  <si>
    <t>KHI/HO/D/MO/MC COMP/E/40283/04/2024</t>
  </si>
  <si>
    <t>050000731916</t>
  </si>
  <si>
    <t>KHI/HO/D/MR/IMPORTS/C/19278/01/2024</t>
  </si>
  <si>
    <t>070000152805</t>
  </si>
  <si>
    <t>040000164952</t>
  </si>
  <si>
    <t>040000171025</t>
  </si>
  <si>
    <t>040000171026</t>
  </si>
  <si>
    <t>040000161284</t>
  </si>
  <si>
    <t>040000170920</t>
  </si>
  <si>
    <t>040000171230</t>
  </si>
  <si>
    <t>040000160320</t>
  </si>
  <si>
    <t>LHR/LHR/D/MR/IMPORTS/P/42281/04/2024</t>
  </si>
  <si>
    <t>040000171105</t>
  </si>
  <si>
    <t>040000171154</t>
  </si>
  <si>
    <t>040000171156</t>
  </si>
  <si>
    <t>KHI/HO/D/MO/CV/C/80670/259/12/2023</t>
  </si>
  <si>
    <t>070000150419</t>
  </si>
  <si>
    <t>040000167161</t>
  </si>
  <si>
    <t>KHI/HO/D/MR/IMPORTS/P/42626/06/2024</t>
  </si>
  <si>
    <t>040000175124</t>
  </si>
  <si>
    <t>070000160533</t>
  </si>
  <si>
    <t>070000160535</t>
  </si>
  <si>
    <t>070000160537</t>
  </si>
  <si>
    <t>070000160542</t>
  </si>
  <si>
    <t>070000160544</t>
  </si>
  <si>
    <t>070000160550</t>
  </si>
  <si>
    <t>070000160552</t>
  </si>
  <si>
    <t>070000160554</t>
  </si>
  <si>
    <t>KHI/HO/D/MO/PC TPP/P/72545/07/2023</t>
  </si>
  <si>
    <t>040000148052</t>
  </si>
  <si>
    <t>040000170918</t>
  </si>
  <si>
    <t>KHI/HO/F/FR/ND/P/22616/06/2024</t>
  </si>
  <si>
    <t>040000177709</t>
  </si>
  <si>
    <t>040000177862</t>
  </si>
  <si>
    <t>040000177863</t>
  </si>
  <si>
    <t>040000170939</t>
  </si>
  <si>
    <t>KHI/HO/D/MR/IMPORTS/P/42610/06/2024</t>
  </si>
  <si>
    <t>040000175000</t>
  </si>
  <si>
    <t>040000177746</t>
  </si>
  <si>
    <t>KHI/HO/D/MO/PC COMP/R/69943/281/04/2024</t>
  </si>
  <si>
    <t>080000158901</t>
  </si>
  <si>
    <t>KHI/HO/D/MO/PC COMP/R/69943/283/04/2024</t>
  </si>
  <si>
    <t>080000158903</t>
  </si>
  <si>
    <t>040000172014</t>
  </si>
  <si>
    <t>040000169225</t>
  </si>
  <si>
    <t>KHI/HO/D/MI/MP/P/4283/04/2024</t>
  </si>
  <si>
    <t>040000170138</t>
  </si>
  <si>
    <t>040000154884</t>
  </si>
  <si>
    <t>040000166343</t>
  </si>
  <si>
    <t>040000166345</t>
  </si>
  <si>
    <t>040000165772</t>
  </si>
  <si>
    <t>040000170037</t>
  </si>
  <si>
    <t>040000170025</t>
  </si>
  <si>
    <t>KHI/HO/D/MI/MP/P/4281/04/2024</t>
  </si>
  <si>
    <t>040000170126</t>
  </si>
  <si>
    <t>KHI/HO/D/MO/MC COMP/E/40282/04/2024</t>
  </si>
  <si>
    <t>050000731915</t>
  </si>
  <si>
    <t>LHR/LHR/D/MR/IMPORTS/P/42282/04/2024</t>
  </si>
  <si>
    <t>040000171107</t>
  </si>
  <si>
    <t>KHI/HO/D/MO/PD COMP/C/19473/03/2024</t>
  </si>
  <si>
    <t>020000042296</t>
  </si>
  <si>
    <t>040000168879</t>
  </si>
  <si>
    <t>040000171731</t>
  </si>
  <si>
    <t>KHI/HO/D/MO/PC COMP/C/84046/280/02/2024</t>
  </si>
  <si>
    <t>070000154644</t>
  </si>
  <si>
    <t>040000181176</t>
  </si>
  <si>
    <t>KHI/AR/AR/D/MO/MC COMP/C/20281/04/2024</t>
  </si>
  <si>
    <t>020000043279</t>
  </si>
  <si>
    <t>040000166694</t>
  </si>
  <si>
    <t>040000168881</t>
  </si>
  <si>
    <t>040000168884</t>
  </si>
  <si>
    <t>040000172404</t>
  </si>
  <si>
    <t>040000168882</t>
  </si>
  <si>
    <t>040000165350</t>
  </si>
  <si>
    <t>040000171667</t>
  </si>
  <si>
    <t>040000171853</t>
  </si>
  <si>
    <t>KHI/HO/D/MI/MP/P/4282/04/2024</t>
  </si>
  <si>
    <t>040000170131</t>
  </si>
  <si>
    <t>070000157081</t>
  </si>
  <si>
    <t>070000157070</t>
  </si>
  <si>
    <t>KHI/HO/D/MI/TRR/P/281/04/2024</t>
  </si>
  <si>
    <t>040000170019</t>
  </si>
  <si>
    <t>040000168806</t>
  </si>
  <si>
    <t>070000157069</t>
  </si>
  <si>
    <t>040000171469</t>
  </si>
  <si>
    <t>060000000360</t>
  </si>
  <si>
    <t>KHI/HO/D/MO/PD COMP/E/41176/04/2024</t>
  </si>
  <si>
    <t>050000739734</t>
  </si>
  <si>
    <t>070000157080</t>
  </si>
  <si>
    <t>040000171529</t>
  </si>
  <si>
    <t>LHR/LHR/D/MO/PC COMP/C/20282/04/2024</t>
  </si>
  <si>
    <t>020000043280</t>
  </si>
  <si>
    <t>040000165775</t>
  </si>
  <si>
    <t>LHR/LHR/D/MO/PC COMP/E/42951/06/2024</t>
  </si>
  <si>
    <t>050000760641</t>
  </si>
  <si>
    <t>040000176960</t>
  </si>
  <si>
    <t>SKT/SKT/D/MR/EXPORTS/P/42602/06/2024</t>
  </si>
  <si>
    <t>040000174915</t>
  </si>
  <si>
    <t>040000173075</t>
  </si>
  <si>
    <t>LHR/LHR/D/MO/PC COMP/P/72530/07/2023</t>
  </si>
  <si>
    <t>040000148011</t>
  </si>
  <si>
    <t>040000177899</t>
  </si>
  <si>
    <t>040000177889</t>
  </si>
  <si>
    <t>070000160525</t>
  </si>
  <si>
    <t>070000160528</t>
  </si>
  <si>
    <t>070000160532</t>
  </si>
  <si>
    <t>070000160536</t>
  </si>
  <si>
    <t>070000160540</t>
  </si>
  <si>
    <t>070000160543</t>
  </si>
  <si>
    <t>KHI/HO/D/FR/ND/P/22610/06/2024</t>
  </si>
  <si>
    <t>040000177484</t>
  </si>
  <si>
    <t>040000177807</t>
  </si>
  <si>
    <t>KHI/HO/D/MO/CV/C/3684/11/2021</t>
  </si>
  <si>
    <t>020000022264</t>
  </si>
  <si>
    <t>040000141885</t>
  </si>
  <si>
    <t>040000130679</t>
  </si>
  <si>
    <t>040000136377</t>
  </si>
  <si>
    <t>KHI/AR/AR/D/MO/MC TTT/P/72621/07/2023</t>
  </si>
  <si>
    <t>040000148171</t>
  </si>
  <si>
    <t>040000125277</t>
  </si>
  <si>
    <t>KHI/HO/D/MO/PC TPP/R/13632/07/2023</t>
  </si>
  <si>
    <t>080000143669</t>
  </si>
  <si>
    <t>KHI/HO/D/MO/PC TPP/R/13592/07/2023</t>
  </si>
  <si>
    <t>080000143660</t>
  </si>
  <si>
    <t>MUL/MUL/F/FR/ND/E/8591/07/2023</t>
  </si>
  <si>
    <t>050000617840</t>
  </si>
  <si>
    <t>KHI/HO/D/MR/IMPORTS/C/18746/01/2022</t>
  </si>
  <si>
    <t>020000023708</t>
  </si>
  <si>
    <t>040000141347</t>
  </si>
  <si>
    <t>KHI/HO/D/MO/MC COMP/P/72661/07/2023</t>
  </si>
  <si>
    <t>040000148239</t>
  </si>
  <si>
    <t>040000103554</t>
  </si>
  <si>
    <t>KHI/HO/D/HLGRP HEALTH/E/20621/07/2023</t>
  </si>
  <si>
    <t>050000623529</t>
  </si>
  <si>
    <t>040000109625</t>
  </si>
  <si>
    <t>KHI/HO/D/MO/PC COMP/P/72670/07/2023</t>
  </si>
  <si>
    <t>040000148250</t>
  </si>
  <si>
    <t>070000133433</t>
  </si>
  <si>
    <t>KHI/HO/D/MO/PC COMP/R/55942/07/2022</t>
  </si>
  <si>
    <t>080000125148</t>
  </si>
  <si>
    <t>070000140781</t>
  </si>
  <si>
    <t>KHI/HO/D/MO/MC TTT/C/8837/10/2022</t>
  </si>
  <si>
    <t>020000029055</t>
  </si>
  <si>
    <t>040000141114</t>
  </si>
  <si>
    <t>KHI/HO/D/MI/TRI/P/2839/07/2022</t>
  </si>
  <si>
    <t>040000121473</t>
  </si>
  <si>
    <t>040000154071</t>
  </si>
  <si>
    <t>KHI/HO/D/MO/PC COMP/R/63344/09/2023</t>
  </si>
  <si>
    <t>080000146075</t>
  </si>
  <si>
    <t>KHI/HO/D/HLGRP HEALTH/E/14780/05/2022</t>
  </si>
  <si>
    <t>050000468215</t>
  </si>
  <si>
    <t>040000149525</t>
  </si>
  <si>
    <t>070000133424</t>
  </si>
  <si>
    <t>KHI/HO/D/MO/PC COMP/R/55642/07/2022</t>
  </si>
  <si>
    <t>080000125123</t>
  </si>
  <si>
    <t>070000123453</t>
  </si>
  <si>
    <t>KHI/HO/D/MO/MC TTT/R/57859/12/2022</t>
  </si>
  <si>
    <t>080000131583</t>
  </si>
  <si>
    <t>080000128346</t>
  </si>
  <si>
    <t>KHI/HO/D/MO/PC COMP/C/62698/48/08/2022</t>
  </si>
  <si>
    <t>070000108038</t>
  </si>
  <si>
    <t>LHR/LHR/D/MO/PC TPP/R/75290/08/2024</t>
  </si>
  <si>
    <t>080000165869</t>
  </si>
  <si>
    <t>KHI/HO/D/MO/PD COMP/E/45290/08/2024</t>
  </si>
  <si>
    <t>050000781938</t>
  </si>
  <si>
    <t>KHI/HO/F/MI/TRR/P/283/04/2024</t>
  </si>
  <si>
    <t>040000170409</t>
  </si>
  <si>
    <t>KHI/HO/D/MR/IMPORTS/P/43289/08/2024</t>
  </si>
  <si>
    <t>040000182177</t>
  </si>
  <si>
    <t>MUL/MUL/F/MR/INLAND TRANSIT/P/42606/06/2024</t>
  </si>
  <si>
    <t>040000174945</t>
  </si>
  <si>
    <t>040000181592</t>
  </si>
  <si>
    <t>040000146251</t>
  </si>
  <si>
    <t>KHI/HO/D/MO/PD COMP/E/43121/07/2024</t>
  </si>
  <si>
    <t>050000761146</t>
  </si>
  <si>
    <t>KHI/HO/D/MO/PC COMP/R/69943/282/04/2024</t>
  </si>
  <si>
    <t>080000158902</t>
  </si>
  <si>
    <t>KHI/HO/D/MO/MC COMP/P/81278/01/2024</t>
  </si>
  <si>
    <t>040000162365</t>
  </si>
  <si>
    <t>KHI/HO/D/MR/IMPORTS/C/20290/08/2024</t>
  </si>
  <si>
    <t>070000164666</t>
  </si>
  <si>
    <t>KHI/HO/D/MO/CV/C/80668/259/12/2023</t>
  </si>
  <si>
    <t>070000150048</t>
  </si>
  <si>
    <t>070000167345</t>
  </si>
  <si>
    <t>KHI/HO/D/MO/PC COMP/E/47323/09/2024</t>
  </si>
  <si>
    <t>050000803848</t>
  </si>
  <si>
    <t>KHI/HO/D/MO/PC COMP/E/47322/09/2024</t>
  </si>
  <si>
    <t>050000803842</t>
  </si>
  <si>
    <t>070000167392</t>
  </si>
  <si>
    <t>070000167393</t>
  </si>
  <si>
    <t>070000167394</t>
  </si>
  <si>
    <t>LHR/LHR/D/MO/PC COMP/P/99329/10/2024</t>
  </si>
  <si>
    <t>040000186296</t>
  </si>
  <si>
    <t>KHI/HO/D/MO/MC COMP/P/97030/09/2024</t>
  </si>
  <si>
    <t>040000183654</t>
  </si>
  <si>
    <t>KHI/HO/D/MI/CRP/E/230/09/2024</t>
  </si>
  <si>
    <t>050000788002</t>
  </si>
  <si>
    <t>KHI/HO/D/MO/PC COMP/R/75212/30/09/2024</t>
  </si>
  <si>
    <t>080000166578</t>
  </si>
  <si>
    <t>KHI/HO/D/MO/MC COMP/P/97230/09/2024</t>
  </si>
  <si>
    <t>040000183922</t>
  </si>
  <si>
    <t>KHI/HO/D/MO/MC COMP/P/97322/09/2024</t>
  </si>
  <si>
    <t>040000184027</t>
  </si>
  <si>
    <t>KHI/HO/D/MO/PC COMP/E/47230/09/2024</t>
  </si>
  <si>
    <t>050000802586</t>
  </si>
  <si>
    <t>KHI/HO/D/MO/MC COMP/P/97730/09/2024</t>
  </si>
  <si>
    <t>040000184480</t>
  </si>
  <si>
    <t>KHI/HO/D/MO/MC COMP/P/99328/10/2024</t>
  </si>
  <si>
    <t>040000186295</t>
  </si>
  <si>
    <t>LHR/LHR/D/MO/PC COMP/P/100362/10/2024</t>
  </si>
  <si>
    <t>040000187502</t>
  </si>
  <si>
    <t>KHI/HO/D/MO/PC COMP/P/97130/09/2024</t>
  </si>
  <si>
    <t>040000183784</t>
  </si>
  <si>
    <t>KHI/HO/D/MO/PC COMP/P/99364/10/2024</t>
  </si>
  <si>
    <t>040000186338</t>
  </si>
  <si>
    <t>KHI/AR/AR/D/MO/MC TTT/P/99366/10/2024</t>
  </si>
  <si>
    <t>040000186340</t>
  </si>
  <si>
    <t>040000182064</t>
  </si>
  <si>
    <t>KHI/HO/D/MO/PC COMP/C/96721/30/09/2024</t>
  </si>
  <si>
    <t>070000165095</t>
  </si>
  <si>
    <t>070000167528</t>
  </si>
  <si>
    <t>040000182913</t>
  </si>
  <si>
    <t>KHI/HO/D/MO/PC COMP/P/100330/10/2024</t>
  </si>
  <si>
    <t>040000187466</t>
  </si>
  <si>
    <t>KHI/HO/D/MO/PC COMP/P/100332/10/2024</t>
  </si>
  <si>
    <t>040000187468</t>
  </si>
  <si>
    <t>KHI/HO/D/MO/MC COMP/P/99365/10/2024</t>
  </si>
  <si>
    <t>040000186339</t>
  </si>
  <si>
    <t>KHI/HO/D/MO/PD COMP/E/46321/09/2024</t>
  </si>
  <si>
    <t>050000793148</t>
  </si>
  <si>
    <t>KHI/HO/D/MO/PD COMP/E/46322/09/2024</t>
  </si>
  <si>
    <t>050000793149</t>
  </si>
  <si>
    <t>KHI/HO/D/MO/PD COMP/E/46323/09/2024</t>
  </si>
  <si>
    <t>050000793150</t>
  </si>
  <si>
    <t>KHI/HO/D/MI/MP/C/302/10/2024</t>
  </si>
  <si>
    <t>070000167545</t>
  </si>
  <si>
    <t>040000185418</t>
  </si>
  <si>
    <t>KHI/HO/D/MO/PD COMP/E/45830/09/2024</t>
  </si>
  <si>
    <t>050000788804</t>
  </si>
  <si>
    <t>KHI/HO/D/MO/PC COMP/C/24332/10/2024</t>
  </si>
  <si>
    <t>020000048205</t>
  </si>
  <si>
    <t>KHI/HO/D/MR/INLAND TRANSIT/C/23323/09/2024</t>
  </si>
  <si>
    <t>020000047642</t>
  </si>
  <si>
    <t>040000152964</t>
  </si>
  <si>
    <t>040000156591</t>
  </si>
  <si>
    <t>040000156110</t>
  </si>
  <si>
    <t>KHI/AR/AR/D/MO/MC TTT/R/77322/09/2024</t>
  </si>
  <si>
    <t>080000168136</t>
  </si>
  <si>
    <t>KHI/HO/D/MO/PC COMP/R/75211/30/09/2024</t>
  </si>
  <si>
    <t>080000166528</t>
  </si>
  <si>
    <t>KHI/HO/D/MO/PC COMP/P/98271/09/2024</t>
  </si>
  <si>
    <t>040000185078</t>
  </si>
  <si>
    <t>KHI/HO/D/MO/MC COMP/R/76930/09/2024</t>
  </si>
  <si>
    <t>080000167325</t>
  </si>
  <si>
    <t>ISD/ISD/F/MI/TRR/E/362/10/2024</t>
  </si>
  <si>
    <t>050000813746</t>
  </si>
  <si>
    <t>070000168686</t>
  </si>
  <si>
    <t>KHI/HO/D/MO/PC COMP/C/95603/290/08/2024</t>
  </si>
  <si>
    <t>070000164537</t>
  </si>
  <si>
    <t>KHI/HO/D/MO/PC COMP/C/96726/30/09/2024</t>
  </si>
  <si>
    <t>070000165147</t>
  </si>
  <si>
    <t>KHI/HO/D/MO/PC COMP/C/96542/30/09/2024</t>
  </si>
  <si>
    <t>070000165535</t>
  </si>
  <si>
    <t>KHI/HO/D/HLGRP HEALTH/E/27271/09/2024</t>
  </si>
  <si>
    <t>050000789505</t>
  </si>
  <si>
    <t>040000181660</t>
  </si>
  <si>
    <t>060000000378</t>
  </si>
  <si>
    <t>070000167395</t>
  </si>
  <si>
    <t>070000167396</t>
  </si>
  <si>
    <t>KHI/HO/D/MO/PC COMP/C/24457/10/2024</t>
  </si>
  <si>
    <t>020000048358</t>
  </si>
  <si>
    <t>KHI/HO/D/MO/MC COMP/P/97530/09/2024</t>
  </si>
  <si>
    <t>040000184251</t>
  </si>
  <si>
    <t>KHI/HO/D/MO/PC COMP/P/97630/09/2024</t>
  </si>
  <si>
    <t>040000184372</t>
  </si>
  <si>
    <t>KHI/AR/AR/D/MO/MC TTT/P/98322/09/2024</t>
  </si>
  <si>
    <t>040000185133</t>
  </si>
  <si>
    <t>KHI/HO/D/MO/PC COMP/C/23430/09/2024</t>
  </si>
  <si>
    <t>020000047150</t>
  </si>
  <si>
    <t>KHI/HO/D/MI/TRR/P/331/10/2024</t>
  </si>
  <si>
    <t>040000188069</t>
  </si>
  <si>
    <t>KHI/HO/D/MO/PC COMP/C/23323/09/2024</t>
  </si>
  <si>
    <t>020000047020</t>
  </si>
  <si>
    <t>KHI/HO/D/MR/IMPORTS/C/20330/09/2024</t>
  </si>
  <si>
    <t>070000164999</t>
  </si>
  <si>
    <t>KHI/HO/D/MO/PC COMP/E/46271/09/2024</t>
  </si>
  <si>
    <t>050000792343</t>
  </si>
  <si>
    <t>KHI/HO/D/MO/PD COMP/E/45530/09/2024</t>
  </si>
  <si>
    <t>050000786141</t>
  </si>
  <si>
    <t>KHI/HO/D/MO/PC COMP/P/100365/10/2024</t>
  </si>
  <si>
    <t>040000187506</t>
  </si>
  <si>
    <t>KHI/HO/D/HLGRP HEALTH/P/3330/10/2024</t>
  </si>
  <si>
    <t>040000185811</t>
  </si>
  <si>
    <t>KHI/HO/D/MO/MC COMP/P/95290/08/2024</t>
  </si>
  <si>
    <t>040000181570</t>
  </si>
  <si>
    <t>KHI/HO/D/MO/MC COMP/P/98030/09/2024</t>
  </si>
  <si>
    <t>040000184806</t>
  </si>
  <si>
    <t>KHI/HO/D/MO/PC COMP/C/96729/30/09/2024</t>
  </si>
  <si>
    <t>070000165200</t>
  </si>
  <si>
    <t>KHI/HO/D/MO/PC COMP/E/47321/09/2024</t>
  </si>
  <si>
    <t>050000803833</t>
  </si>
  <si>
    <t>KHI/HO/D/HLGRP HEALTH/P/3332/10/2024</t>
  </si>
  <si>
    <t>040000186038</t>
  </si>
  <si>
    <t>KHI/HO/D/MI/MP/C/230/09/2024</t>
  </si>
  <si>
    <t>070000166488</t>
  </si>
  <si>
    <t>KHI/HO/D/MO/PC COMP/E/47271/09/2024</t>
  </si>
  <si>
    <t>050000803072</t>
  </si>
  <si>
    <t>KHI/AR/AR/D/MO/MC TTT/R/75230/09/2024</t>
  </si>
  <si>
    <t>080000166737</t>
  </si>
  <si>
    <t>LHR/LHR/D/MO/PC TPP/C/24327/10/2024</t>
  </si>
  <si>
    <t>020000048198</t>
  </si>
  <si>
    <t>KHI/AR/AR/D/MO/MC TTT/R/75430/09/2024</t>
  </si>
  <si>
    <t>080000166748</t>
  </si>
  <si>
    <t>KHI/HO/D/MO/PC COMP/C/24363/10/2024</t>
  </si>
  <si>
    <t>020000048238</t>
  </si>
  <si>
    <t>KHI/HO/D/MI/TRR/P/328/10/2024</t>
  </si>
  <si>
    <t>040000186211</t>
  </si>
  <si>
    <t>KHI/HO/D/MI/TRR/P/329/10/2024</t>
  </si>
  <si>
    <t>040000186212</t>
  </si>
  <si>
    <t>KHI/HO/D/MO/PC COMP/E/47130/09/2024</t>
  </si>
  <si>
    <t>050000800869</t>
  </si>
  <si>
    <t>KHI/HO/D/MO/MC COMP/P/98630/09/2024</t>
  </si>
  <si>
    <t>040000185484</t>
  </si>
  <si>
    <t>KHI/HO/D/HLGRP HEALTH/E/27330/09/2024</t>
  </si>
  <si>
    <t>050000789919</t>
  </si>
  <si>
    <t>KHI/HO/D/MO/MC COMP/R/76271/09/2024</t>
  </si>
  <si>
    <t>080000167007</t>
  </si>
  <si>
    <t>KHI/HO/D/MR/IMPORTS/C/23330/09/2024</t>
  </si>
  <si>
    <t>020000047664</t>
  </si>
  <si>
    <t>040000181593</t>
  </si>
  <si>
    <t>KHI/HO/F/FR/CMFTE/10630/09/2024</t>
  </si>
  <si>
    <t>050000791660</t>
  </si>
  <si>
    <t>KHI/HO/D/MO/MC COMP/P/98430/09/2024</t>
  </si>
  <si>
    <t>040000185257</t>
  </si>
  <si>
    <t>KHI/HO/D/MO/PC COMP/C/96843/30/09/2024</t>
  </si>
  <si>
    <t>070000166814</t>
  </si>
  <si>
    <t>KHI/HO/D/MO/PC COMP/E/47330/09/2024</t>
  </si>
  <si>
    <t>050000803932</t>
  </si>
  <si>
    <t>040000185361</t>
  </si>
  <si>
    <t>KHI/AR/AR/D/MO/MC TTT/P/97271/09/2024</t>
  </si>
  <si>
    <t>040000183971</t>
  </si>
  <si>
    <t>KHI/HO/D/MO/PC COMP/E/48329/10/2024</t>
  </si>
  <si>
    <t>050000815752</t>
  </si>
  <si>
    <t>KHI/AR/AR/D/MO/MC TTT/P/99332/10/2024</t>
  </si>
  <si>
    <t>040000186299</t>
  </si>
  <si>
    <t>KHI/HO/D/MO/PC COMP/P/99333/10/2024</t>
  </si>
  <si>
    <t>040000186300</t>
  </si>
  <si>
    <t>LHR/LHR/D/MO/PC COMP/P/99331/10/2024</t>
  </si>
  <si>
    <t>040000186298</t>
  </si>
  <si>
    <t>ISD/ISD/F/MI/TRR/E/365/10/2024</t>
  </si>
  <si>
    <t>050000813979</t>
  </si>
  <si>
    <t>KHI/HO/D/MO/MC COMP/P/99327/10/2024</t>
  </si>
  <si>
    <t>040000186294</t>
  </si>
  <si>
    <t>KHI/HO/D/MO/PD COMP/E/48457/10/2024</t>
  </si>
  <si>
    <t>050000816335</t>
  </si>
  <si>
    <t>040000183457</t>
  </si>
  <si>
    <t>040000183458</t>
  </si>
  <si>
    <t>KHI/HO/D/MO/PC TPP/C/24362/10/2024</t>
  </si>
  <si>
    <t>020000048237</t>
  </si>
  <si>
    <t>040000182192</t>
  </si>
  <si>
    <t>KHI/HO/D/MO/MC COMP/P/96630/09/2024</t>
  </si>
  <si>
    <t>040000183184</t>
  </si>
  <si>
    <t>KHI/HO/D/MI/TRI/P/10457/10/2024</t>
  </si>
  <si>
    <t>040000188205</t>
  </si>
  <si>
    <t>070000167346</t>
  </si>
  <si>
    <t>KHI/HO/D/MO/PC COMP/C/24030/09/2024</t>
  </si>
  <si>
    <t>020000047854</t>
  </si>
  <si>
    <t>KHI/HO/D/MO/CV/P/100312/10/2024</t>
  </si>
  <si>
    <t>040000187447</t>
  </si>
  <si>
    <t>KHI/HO/D/MO/MC COMP/P/100363/10/2024</t>
  </si>
  <si>
    <t>040000187504</t>
  </si>
  <si>
    <t>KHI/HO/D/MO/MC COMP/P/100457/10/2024</t>
  </si>
  <si>
    <t>040000187613</t>
  </si>
  <si>
    <t>KHI/HO/D/FR/ND/C/302/10/2024</t>
  </si>
  <si>
    <t>070000167289</t>
  </si>
  <si>
    <t>070000166542</t>
  </si>
  <si>
    <t>KHI/HO/D/MO/PC COMP/C/24329/10/2024</t>
  </si>
  <si>
    <t>020000048200</t>
  </si>
  <si>
    <t>LHR/LHR/D/MO/PC COMP/C/24330/10/2024</t>
  </si>
  <si>
    <t>020000048202</t>
  </si>
  <si>
    <t>KHI/HO/D/MO/PC COMP/C/99821/331/10/2024</t>
  </si>
  <si>
    <t>070000168307</t>
  </si>
  <si>
    <t>KHI/HO/D/MO/MC COMP/C/24365/10/2024</t>
  </si>
  <si>
    <t>020000048241</t>
  </si>
  <si>
    <t>KHI/HO/D/MO/PC COMP/C/99821/366/10/2024</t>
  </si>
  <si>
    <t>070000169330</t>
  </si>
  <si>
    <t>KHI/HO/D/MR/IMPORTS/C/20321/09/2024</t>
  </si>
  <si>
    <t>070000164980</t>
  </si>
  <si>
    <t>KHI/HO/D/MR/IMPORTS/C/20322/09/2024</t>
  </si>
  <si>
    <t>070000164982</t>
  </si>
  <si>
    <t>040000184105</t>
  </si>
  <si>
    <t>KHI/HO/D/HLGRP HEALTH/E/27322/09/2024</t>
  </si>
  <si>
    <t>050000789905</t>
  </si>
  <si>
    <t>KHI/HO/D/HLGRP HEALTH/E/27323/09/2024</t>
  </si>
  <si>
    <t>050000789909</t>
  </si>
  <si>
    <t>KHI/HO/D/FR/ND/C/312/10/2024</t>
  </si>
  <si>
    <t>070000167299</t>
  </si>
  <si>
    <t>KHI/HO/D/MO/PD COMP/E/45930/09/2024</t>
  </si>
  <si>
    <t>050000789578</t>
  </si>
  <si>
    <t>040000184086</t>
  </si>
  <si>
    <t>040000184176</t>
  </si>
  <si>
    <t>KHI/HO/D/MO/PC COMP/C/99821/365/10/2024</t>
  </si>
  <si>
    <t>070000168341</t>
  </si>
  <si>
    <t>KHI/HO/D/HLGRP HEALTH/E/27430/09/2024</t>
  </si>
  <si>
    <t>050000791626</t>
  </si>
  <si>
    <t>KHI/AR/AR/D/MO/MC TTT/R/78331/10/2024</t>
  </si>
  <si>
    <t>080000169813</t>
  </si>
  <si>
    <t>KHI/AR/AR/D/MO/MC TTT/R/78366/10/2024</t>
  </si>
  <si>
    <t>080000169817</t>
  </si>
  <si>
    <t>040000185325</t>
  </si>
  <si>
    <t>KHI/HO/D/MR/IMPORTS/C/20430/09/2024</t>
  </si>
  <si>
    <t>070000165636</t>
  </si>
  <si>
    <t>040000183461</t>
  </si>
  <si>
    <t>KHI/HO/D/MO/PC COMP/C/24302/10/2024</t>
  </si>
  <si>
    <t>020000048168</t>
  </si>
  <si>
    <t>KHI/HO/D/MO/MC COMP/P/100366/10/2024</t>
  </si>
  <si>
    <t>040000187508</t>
  </si>
  <si>
    <t>KHI/HO/D/MO/PD COMP/E/46362/10/2024</t>
  </si>
  <si>
    <t>050000795371</t>
  </si>
  <si>
    <t>KHI/HO/D/MO/PD COMP/E/46363/10/2024</t>
  </si>
  <si>
    <t>050000795372</t>
  </si>
  <si>
    <t>KHI/HO/D/MO/PD COMP/E/46364/10/2024</t>
  </si>
  <si>
    <t>050000795373</t>
  </si>
  <si>
    <t>KHI/HO/D/MO/PD COMP/E/46365/10/2024</t>
  </si>
  <si>
    <t>050000795374</t>
  </si>
  <si>
    <t>KHI/HO/D/MO/PD COMP/E/46366/10/2024</t>
  </si>
  <si>
    <t>050000795375</t>
  </si>
  <si>
    <t>KHI/HO/D/MO/PC TPP/E/48330/10/2024</t>
  </si>
  <si>
    <t>050000815761</t>
  </si>
  <si>
    <t>KHI/HO/D/MI/PG/P/4630/09/2024</t>
  </si>
  <si>
    <t>040000183451</t>
  </si>
  <si>
    <t>KHI/HO/D/HLGRP HEALTH/E/27130/09/2024</t>
  </si>
  <si>
    <t>050000787341</t>
  </si>
  <si>
    <t>KHI/HO/D/MO/PD COMP/E/48362/10/2024</t>
  </si>
  <si>
    <t>050000815862</t>
  </si>
  <si>
    <t>KHI/HO/D/MO/PD COMP/E/48363/10/2024</t>
  </si>
  <si>
    <t>050000815863</t>
  </si>
  <si>
    <t>KHI/HO/D/MO/PD COMP/E/48364/10/2024</t>
  </si>
  <si>
    <t>050000815864</t>
  </si>
  <si>
    <t>KHI/HO/D/MO/PD COMP/E/48365/10/2024</t>
  </si>
  <si>
    <t>050000815865</t>
  </si>
  <si>
    <t>KHI/HO/D/MO/PD COMP/E/48366/10/2024</t>
  </si>
  <si>
    <t>050000815866</t>
  </si>
  <si>
    <t>070000169287</t>
  </si>
  <si>
    <t>KHI/HO/D/MO/PC COMP/C/24331/10/2024</t>
  </si>
  <si>
    <t>020000048203</t>
  </si>
  <si>
    <t>KHI/HO/D/MO/PC COMP/C/99821/302/10/2024</t>
  </si>
  <si>
    <t>070000168278</t>
  </si>
  <si>
    <t>KHI/HO/D/MO/MC COMP/C/23321/09/2024</t>
  </si>
  <si>
    <t>020000047018</t>
  </si>
  <si>
    <t>KHI/HO/D/HLGRP HEALTH/P/3331/10/2024</t>
  </si>
  <si>
    <t>040000185960</t>
  </si>
  <si>
    <t>060000000393</t>
  </si>
  <si>
    <t>KHI/HO/D/MO/PC COMP/C/99821/312/10/2024</t>
  </si>
  <si>
    <t>070000168288</t>
  </si>
  <si>
    <t>KHI/HO/D/MO/PC COMP/C/99821/328/10/2024</t>
  </si>
  <si>
    <t>070000168304</t>
  </si>
  <si>
    <t>KHI/HO/D/MO/PC COMP/C/99821/329/10/2024</t>
  </si>
  <si>
    <t>070000168305</t>
  </si>
  <si>
    <t>KHI/HO/D/MO/PC COMP/C/99821/330/10/2024</t>
  </si>
  <si>
    <t>070000168306</t>
  </si>
  <si>
    <t>KHI/HO/D/MO/PC COMP/C/99821/332/10/2024</t>
  </si>
  <si>
    <t>070000168308</t>
  </si>
  <si>
    <t>KHI/HO/D/MO/PC COMP/C/99821/333/10/2024</t>
  </si>
  <si>
    <t>070000168309</t>
  </si>
  <si>
    <t>KHI/HO/D/MO/PC COMP/C/99821/362/10/2024</t>
  </si>
  <si>
    <t>070000168338</t>
  </si>
  <si>
    <t>KHI/HO/D/MO/PC COMP/C/99821/363/10/2024</t>
  </si>
  <si>
    <t>070000168339</t>
  </si>
  <si>
    <t>KHI/HO/D/MO/PC COMP/C/99821/364/10/2024</t>
  </si>
  <si>
    <t>070000168340</t>
  </si>
  <si>
    <t>KHI/AR/AR/D/MO/MC TTT/R/76323/09/2024</t>
  </si>
  <si>
    <t>080000168036</t>
  </si>
  <si>
    <t>KHI/AR/AR/D/MO/MC TTT/C/23322/09/2024</t>
  </si>
  <si>
    <t>020000047019</t>
  </si>
  <si>
    <t>KHI/HO/D/MO/PC COMP/R/76230/09/2024</t>
  </si>
  <si>
    <t>080000166992</t>
  </si>
  <si>
    <t>040000186156</t>
  </si>
  <si>
    <t>KHI/HO/D/MO/PC COMP/R/76321/09/2024</t>
  </si>
  <si>
    <t>080000167030</t>
  </si>
  <si>
    <t>KHI/HO/D/MO/MC COMP/R/76330/09/2024</t>
  </si>
  <si>
    <t>080000167035</t>
  </si>
  <si>
    <t>ISD/ISD/F/MI/TRR/E/366/10/2024</t>
  </si>
  <si>
    <t>050000813987</t>
  </si>
  <si>
    <t>040000185453</t>
  </si>
  <si>
    <t>LHR/LHR/D/MO/PC TPP/R/76830/09/2024</t>
  </si>
  <si>
    <t>080000167849</t>
  </si>
  <si>
    <t>KHI/HO/D/MO/PC COMP/P/100302/10/2024</t>
  </si>
  <si>
    <t>040000187436</t>
  </si>
  <si>
    <t>KHI/HO/D/MO/MC COMP/P/100331/10/2024</t>
  </si>
  <si>
    <t>040000187467</t>
  </si>
  <si>
    <t>KHI/HO/D/MO/PC TPP/R/78363/10/2024</t>
  </si>
  <si>
    <t>080000169302</t>
  </si>
  <si>
    <t>KHI/HO/D/MO/PC COMP/R/78364/10/2024</t>
  </si>
  <si>
    <t>080000169303</t>
  </si>
  <si>
    <t>KHI/HO/D/MO/MC TTT/R/78365/10/2024</t>
  </si>
  <si>
    <t>080000169304</t>
  </si>
  <si>
    <t>KHI/HO/D/MO/PC COMP/P/99330/10/2024</t>
  </si>
  <si>
    <t>040000186297</t>
  </si>
  <si>
    <t>LHR/LHR/D/MO/PC COMP/P/99363/10/2024</t>
  </si>
  <si>
    <t>040000186337</t>
  </si>
  <si>
    <t>KHI/HO/D/MO/PC COMP/E/46457/10/2024</t>
  </si>
  <si>
    <t>050000798141</t>
  </si>
  <si>
    <t>FSD/FSD/F/FR/ND/P/22930/09/2024</t>
  </si>
  <si>
    <t>040000183078</t>
  </si>
  <si>
    <t>KHI/HO/D/HLGRP HEALTH/E/26930/09/2024</t>
  </si>
  <si>
    <t>050000785767</t>
  </si>
  <si>
    <t>040000186520</t>
  </si>
  <si>
    <t>LHR/LHR/D/MO/PC COMP/P/99312/10/2024</t>
  </si>
  <si>
    <t>040000186274</t>
  </si>
  <si>
    <t>KHI/HO/D/MO/PC COMP/E/48327/10/2024</t>
  </si>
  <si>
    <t>050000815708</t>
  </si>
  <si>
    <t>KHI/HO/D/MO/PC COMP/C/98172/230/09/2024</t>
  </si>
  <si>
    <t>070000166399</t>
  </si>
  <si>
    <t>KHI/HO/D/MO/PC COMP/C/24364/10/2024</t>
  </si>
  <si>
    <t>020000048240</t>
  </si>
  <si>
    <t>KHI/HO/D/MO/PC COMP/R/75216/30/09/2024</t>
  </si>
  <si>
    <t>080000166632</t>
  </si>
  <si>
    <t>KHI/HO/D/MR/IMPORTS/C/23322/09/2024</t>
  </si>
  <si>
    <t>020000047640</t>
  </si>
  <si>
    <t>040000185209</t>
  </si>
  <si>
    <t>040000185210</t>
  </si>
  <si>
    <t>KHI/HO/D/MO/PC COMP/C/98172/30/09/2024</t>
  </si>
  <si>
    <t>070000166199</t>
  </si>
  <si>
    <t>KHI/HO/D/MO/PC COMP/C/98172/130/09/2024</t>
  </si>
  <si>
    <t>070000166299</t>
  </si>
  <si>
    <t>LHR/LHR/D/MO/PC COMP/R/76130/09/2024</t>
  </si>
  <si>
    <t>080000167734</t>
  </si>
  <si>
    <t>040000174957</t>
  </si>
  <si>
    <t>KHI/HO/D/MO/PC COMP/R/76630/09/2024</t>
  </si>
  <si>
    <t>080000167188</t>
  </si>
  <si>
    <t>KHI/HO/D/MO/PC COMP/C/99821/327/10/2024</t>
  </si>
  <si>
    <t>070000168303</t>
  </si>
  <si>
    <t>040000178837</t>
  </si>
  <si>
    <t>KHI/HO/D/MO/PC COMP/P/72227/06/2023</t>
  </si>
  <si>
    <t>040000147366</t>
  </si>
  <si>
    <t>KHI/HO/D/MO/PD COMP/E/42819/06/2024</t>
  </si>
  <si>
    <t>050000759977</t>
  </si>
  <si>
    <t>KHI/HO/D/MO/PD COMP/E/42822/06/2024</t>
  </si>
  <si>
    <t>050000759980</t>
  </si>
  <si>
    <t>LHR/LHR/D/FR/ND/P/22602/06/2024</t>
  </si>
  <si>
    <t>040000177066</t>
  </si>
  <si>
    <t>KHI/HO/F/FR/ND/P/22617/06/2024</t>
  </si>
  <si>
    <t>040000177731</t>
  </si>
  <si>
    <t>070000163506</t>
  </si>
  <si>
    <t>KHI/HO/D/MO/PD COMP/E/42813/06/2024</t>
  </si>
  <si>
    <t>050000759971</t>
  </si>
  <si>
    <t>KHI/HO/D/MO/PD COMP/E/42815/06/2024</t>
  </si>
  <si>
    <t>050000759973</t>
  </si>
  <si>
    <t>KHI/HO/D/MO/PD COMP/E/42817/06/2024</t>
  </si>
  <si>
    <t>050000759975</t>
  </si>
  <si>
    <t>KHI/HO/D/MO/PC COMP/P/72601/07/2023</t>
  </si>
  <si>
    <t>040000148129</t>
  </si>
  <si>
    <t>KHI/HO/D/MO/PC COMP/E/42576/06/2024</t>
  </si>
  <si>
    <t>050000759444</t>
  </si>
  <si>
    <t>KHI/HO/D/MO/PD COMP/E/42599/06/2024</t>
  </si>
  <si>
    <t>050000759545</t>
  </si>
  <si>
    <t>KHI/HO/D/MR/IMPORTS/P/42618/06/2024</t>
  </si>
  <si>
    <t>040000175088</t>
  </si>
  <si>
    <t>KHI/HO/D/MO/PD COMP/E/42602/06/2024</t>
  </si>
  <si>
    <t>050000759548</t>
  </si>
  <si>
    <t>KHI/HO/D/MO/PD COMP/E/42606/06/2024</t>
  </si>
  <si>
    <t>050000759552</t>
  </si>
  <si>
    <t>KHI/HO/D/MO/PD COMP/E/42607/06/2024</t>
  </si>
  <si>
    <t>050000759553</t>
  </si>
  <si>
    <t>KHI/HO/D/MR/IMPORTS/P/42624/06/2024</t>
  </si>
  <si>
    <t>040000175117</t>
  </si>
  <si>
    <t>KHI/HO/D/MO/PD COMP/E/42617/06/2024</t>
  </si>
  <si>
    <t>050000759563</t>
  </si>
  <si>
    <t>KHI/HO/D/MO/PD COMP/E/42618/06/2024</t>
  </si>
  <si>
    <t>050000759564</t>
  </si>
  <si>
    <t>KHI/HO/D/FR/ND/P/22611/06/2024</t>
  </si>
  <si>
    <t>040000177494</t>
  </si>
  <si>
    <t>KHI/HO/D/MO/PD COMP/E/42609/06/2024</t>
  </si>
  <si>
    <t>050000759555</t>
  </si>
  <si>
    <t>KHI/HO/D/MO/PD COMP/E/42610/06/2024</t>
  </si>
  <si>
    <t>050000759556</t>
  </si>
  <si>
    <t>KHI/HO/D/MO/PD COMP/E/42611/06/2024</t>
  </si>
  <si>
    <t>050000759557</t>
  </si>
  <si>
    <t>KHI/HO/D/MO/PD COMP/E/42614/06/2024</t>
  </si>
  <si>
    <t>050000759560</t>
  </si>
  <si>
    <t>KHI/HO/D/MO/PD COMP/E/42616/06/2024</t>
  </si>
  <si>
    <t>050000759562</t>
  </si>
  <si>
    <t>040000177412</t>
  </si>
  <si>
    <t>KHI/HO/D/MO/PC TPP/E/42955/06/2024</t>
  </si>
  <si>
    <t>050000760664</t>
  </si>
  <si>
    <t>KHI/HO/D/FR/ND/P/22609/06/2024</t>
  </si>
  <si>
    <t>040000177478</t>
  </si>
  <si>
    <t>LHR/LHR/D/MO/PC COMP/E/31869/10/2023</t>
  </si>
  <si>
    <t>050000654446</t>
  </si>
  <si>
    <t>040000180621</t>
  </si>
  <si>
    <t>040000180622</t>
  </si>
  <si>
    <t>040000180794</t>
  </si>
  <si>
    <t>040000180795</t>
  </si>
  <si>
    <t>LHR/LHR/D/MO/PC COMP/E/34276/11/2023</t>
  </si>
  <si>
    <t>050000679164</t>
  </si>
  <si>
    <t>KHI/HO/D/MO/PD COMP/E/42807/06/2024</t>
  </si>
  <si>
    <t>050000759965</t>
  </si>
  <si>
    <t>040000150971</t>
  </si>
  <si>
    <t>KHI/HO/D/MO/MC COMP/E/32249/10/2023</t>
  </si>
  <si>
    <t>050000654826</t>
  </si>
  <si>
    <t>040000150978</t>
  </si>
  <si>
    <t>040000175115</t>
  </si>
  <si>
    <t>040000175245</t>
  </si>
  <si>
    <t>FSD/FSD/D/MO/PC COMP/P/93256/07/2024</t>
  </si>
  <si>
    <t>040000179059</t>
  </si>
  <si>
    <t>040000181070</t>
  </si>
  <si>
    <t>MUL/MUL/F/FR/ND/P/22607/06/2024</t>
  </si>
  <si>
    <t>040000177262</t>
  </si>
  <si>
    <t>040000180808</t>
  </si>
  <si>
    <t>070000163430</t>
  </si>
  <si>
    <t>040000177765</t>
  </si>
  <si>
    <t>040000150294</t>
  </si>
  <si>
    <t>040000177911</t>
  </si>
  <si>
    <t>KHI/HO/D/MO/PC COMP/E/42566/06/2024</t>
  </si>
  <si>
    <t>050000759061</t>
  </si>
  <si>
    <t>KHI/HO/D/MO/PC COMP/E/42582/06/2024</t>
  </si>
  <si>
    <t>050000759451</t>
  </si>
  <si>
    <t>KHI/HO/D/MO/PC COMP/E/42894/06/2024</t>
  </si>
  <si>
    <t>050000760475</t>
  </si>
  <si>
    <t>LHR/LHR/D/MO/PC TPP/E/42586/06/2024</t>
  </si>
  <si>
    <t>050000759520</t>
  </si>
  <si>
    <t>KHI/HO/D/MO/PC COMP/E/42583/06/2024</t>
  </si>
  <si>
    <t>050000759515</t>
  </si>
  <si>
    <t>KHI/HO/D/MO/PC COMP/E/42584/06/2024</t>
  </si>
  <si>
    <t>050000759517</t>
  </si>
  <si>
    <t>LHR/LHR/D/MO/PC COMP/E/42589/06/2024</t>
  </si>
  <si>
    <t>050000759523</t>
  </si>
  <si>
    <t>KHI/HO/D/MO/PC COMP/E/42585/06/2024</t>
  </si>
  <si>
    <t>050000759518</t>
  </si>
  <si>
    <t>KHI/HO/D/MO/PC TPP/P/72555/07/2023</t>
  </si>
  <si>
    <t>040000148062</t>
  </si>
  <si>
    <t>KHI/HO/D/MO/PC TPP/P/72558/07/2023</t>
  </si>
  <si>
    <t>040000148067</t>
  </si>
  <si>
    <t>040000146190</t>
  </si>
  <si>
    <t>040000147148</t>
  </si>
  <si>
    <t>040000147942</t>
  </si>
  <si>
    <t>040000180715</t>
  </si>
  <si>
    <t>040000180801</t>
  </si>
  <si>
    <t>040000180802</t>
  </si>
  <si>
    <t>040000180804</t>
  </si>
  <si>
    <t>040000180805</t>
  </si>
  <si>
    <t>040000180806</t>
  </si>
  <si>
    <t>040000180810</t>
  </si>
  <si>
    <t>040000180811</t>
  </si>
  <si>
    <t>040000180812</t>
  </si>
  <si>
    <t>070000161530</t>
  </si>
  <si>
    <t>KHI/HO/D/MO/PC TPP/E/42959/06/2024</t>
  </si>
  <si>
    <t>050000760671</t>
  </si>
  <si>
    <t>040000180813</t>
  </si>
  <si>
    <t>040000180814</t>
  </si>
  <si>
    <t>040000180816</t>
  </si>
  <si>
    <t>040000180817</t>
  </si>
  <si>
    <t>040000180809</t>
  </si>
  <si>
    <t>KHI/HO/D/MR/IMPORTS/P/42616/06/2024</t>
  </si>
  <si>
    <t>040000175044</t>
  </si>
  <si>
    <t>040000149022</t>
  </si>
  <si>
    <t>040000175644</t>
  </si>
  <si>
    <t>040000176934</t>
  </si>
  <si>
    <t>040000177724</t>
  </si>
  <si>
    <t>040000180797</t>
  </si>
  <si>
    <t>040000180798</t>
  </si>
  <si>
    <t>040000180807</t>
  </si>
  <si>
    <t>040000180815</t>
  </si>
  <si>
    <t>040000178053</t>
  </si>
  <si>
    <t>040000177805</t>
  </si>
  <si>
    <t>040000180818</t>
  </si>
  <si>
    <t>040000180819</t>
  </si>
  <si>
    <t>040000180820</t>
  </si>
  <si>
    <t>040000180821</t>
  </si>
  <si>
    <t>040000180822</t>
  </si>
  <si>
    <t>040000180823</t>
  </si>
  <si>
    <t>040000180824</t>
  </si>
  <si>
    <t>040000180825</t>
  </si>
  <si>
    <t>LHR/LHR/D/MO/PC COMP/E/31860/10/2023</t>
  </si>
  <si>
    <t>050000654437</t>
  </si>
  <si>
    <t>040000180491</t>
  </si>
  <si>
    <t>KHI/HO/D/MO/PC COMP/E/42577/06/2024</t>
  </si>
  <si>
    <t>050000759445</t>
  </si>
  <si>
    <t>040000180279</t>
  </si>
  <si>
    <t>040000178052</t>
  </si>
  <si>
    <t>KHI/HO/D/FR/ND/P/22585/06/2024</t>
  </si>
  <si>
    <t>040000176589</t>
  </si>
  <si>
    <t>040000180782</t>
  </si>
  <si>
    <t>LHR/LHR/D/MR/IMPORTS/P/42614/06/2024</t>
  </si>
  <si>
    <t>040000175027</t>
  </si>
  <si>
    <t>070000161506</t>
  </si>
  <si>
    <t>040000180589</t>
  </si>
  <si>
    <t>040000180591</t>
  </si>
  <si>
    <t>040000180057</t>
  </si>
  <si>
    <t>040000180451</t>
  </si>
  <si>
    <t>040000180479</t>
  </si>
  <si>
    <t>040000148966</t>
  </si>
  <si>
    <t>040000180490</t>
  </si>
  <si>
    <t>040000175598</t>
  </si>
  <si>
    <t>LHR/LHR/D/MO/PC COMP/E/42573/06/2024</t>
  </si>
  <si>
    <t>050000759176</t>
  </si>
  <si>
    <t>040000181289</t>
  </si>
  <si>
    <t>040000180777</t>
  </si>
  <si>
    <t>040000180452</t>
  </si>
  <si>
    <t>040000176568</t>
  </si>
  <si>
    <t>040000146588</t>
  </si>
  <si>
    <t>040000148355</t>
  </si>
  <si>
    <t>FSD/FSD/D/FR/ND/P/22599/06/2024</t>
  </si>
  <si>
    <t>040000176984</t>
  </si>
  <si>
    <t>040000180219</t>
  </si>
  <si>
    <t>040000176410</t>
  </si>
  <si>
    <t>070000161003</t>
  </si>
  <si>
    <t>040000176941</t>
  </si>
  <si>
    <t>040000180917</t>
  </si>
  <si>
    <t>LHR/LHR/D/MO/PC COMP/R/72628/06/2024</t>
  </si>
  <si>
    <t>080000161056</t>
  </si>
  <si>
    <t>040000180104</t>
  </si>
  <si>
    <t>040000180557</t>
  </si>
  <si>
    <t>040000180558</t>
  </si>
  <si>
    <t>040000176504</t>
  </si>
  <si>
    <t>KHI/HO/D/FR/ND/P/22626/06/2024</t>
  </si>
  <si>
    <t>040000177821</t>
  </si>
  <si>
    <t>KHI/HO/D/FR/ND/P/22624/06/2024</t>
  </si>
  <si>
    <t>040000177818</t>
  </si>
  <si>
    <t>KHI/HO/D/MO/PD COMP/E/43096/07/2024</t>
  </si>
  <si>
    <t>050000761117</t>
  </si>
  <si>
    <t>KHI/HO/D/MO/MC COMP/P/72658/07/2023</t>
  </si>
  <si>
    <t>040000148236</t>
  </si>
  <si>
    <t>KHI/HO/D/MO/MC COMP/P/72660/07/2023</t>
  </si>
  <si>
    <t>040000148238</t>
  </si>
  <si>
    <t>040000172831</t>
  </si>
  <si>
    <t>KHI/HO/D/MO/PD COMP/E/43097/07/2024</t>
  </si>
  <si>
    <t>050000761118</t>
  </si>
  <si>
    <t>040000150075</t>
  </si>
  <si>
    <t>KHI/HO/F/FR/ND/P/22618/06/2024</t>
  </si>
  <si>
    <t>040000177758</t>
  </si>
  <si>
    <t>KHI/HO/D/MO/MC COMP/P/72656/07/2023</t>
  </si>
  <si>
    <t>040000148234</t>
  </si>
  <si>
    <t>KHI/HO/D/MO/MC COMP/P/72657/07/2023</t>
  </si>
  <si>
    <t>040000148235</t>
  </si>
  <si>
    <t>KHI/HO/D/MO/PD COMP/E/43108/07/2024</t>
  </si>
  <si>
    <t>050000761129</t>
  </si>
  <si>
    <t>KHI/HO/D/MO/PD COMP/E/43110/07/2024</t>
  </si>
  <si>
    <t>050000761131</t>
  </si>
  <si>
    <t>040000178051</t>
  </si>
  <si>
    <t>040000178055</t>
  </si>
  <si>
    <t>040000180596</t>
  </si>
  <si>
    <t>KHI/AR/AR/D/MO/MC TTT/P/73008/07/2023</t>
  </si>
  <si>
    <t>040000148840</t>
  </si>
  <si>
    <t>040000177812</t>
  </si>
  <si>
    <t>070000162965</t>
  </si>
  <si>
    <t>040000177890</t>
  </si>
  <si>
    <t>040000180595</t>
  </si>
  <si>
    <t>KHI/HO/D/MO/PD COMP/R/72589/06/2024</t>
  </si>
  <si>
    <t>080000161270</t>
  </si>
  <si>
    <t>KHI/HO/D/MO/PC COMP/R/72594/06/2024</t>
  </si>
  <si>
    <t>080000161273</t>
  </si>
  <si>
    <t>KHI/HO/D/MO/MC COMP/R/72617/06/2024</t>
  </si>
  <si>
    <t>080000161279</t>
  </si>
  <si>
    <t>KHI/HO/D/MO/PD COMP/E/42767/06/2024</t>
  </si>
  <si>
    <t>050000759873</t>
  </si>
  <si>
    <t>040000172977</t>
  </si>
  <si>
    <t>KHI/HO/D/MO/PD COMP/E/42744/06/2024</t>
  </si>
  <si>
    <t>050000759850</t>
  </si>
  <si>
    <t>040000175814</t>
  </si>
  <si>
    <t>LHR/LHR/D/MO/PC COMP/E/42587/06/2024</t>
  </si>
  <si>
    <t>050000759521</t>
  </si>
  <si>
    <t>040000173072</t>
  </si>
  <si>
    <t>LHR/LHR/D/MO/PC TPP/E/42628/06/2024</t>
  </si>
  <si>
    <t>050000759662</t>
  </si>
  <si>
    <t>040000180514</t>
  </si>
  <si>
    <t>040000180515</t>
  </si>
  <si>
    <t>040000178479</t>
  </si>
  <si>
    <t>040000180509</t>
  </si>
  <si>
    <t>040000180510</t>
  </si>
  <si>
    <t>040000180918</t>
  </si>
  <si>
    <t>040000180583</t>
  </si>
  <si>
    <t>KHI/HO/F/FR/ND/E/10385/08/2024</t>
  </si>
  <si>
    <t>050000773843</t>
  </si>
  <si>
    <t>FSD/FSD/D/MR/EXPORTS/P/42611/06/2024</t>
  </si>
  <si>
    <t>040000175012</t>
  </si>
  <si>
    <t>040000180277</t>
  </si>
  <si>
    <t>040000180550</t>
  </si>
  <si>
    <t>040000174818</t>
  </si>
  <si>
    <t>LHR/LHR/D/MO/PC COMP/C/22715/08/2024</t>
  </si>
  <si>
    <t>020000046299</t>
  </si>
  <si>
    <t>040000177779</t>
  </si>
  <si>
    <t>040000174864</t>
  </si>
  <si>
    <t>040000180896</t>
  </si>
  <si>
    <t>040000180897</t>
  </si>
  <si>
    <t>040000180898</t>
  </si>
  <si>
    <t>040000180457</t>
  </si>
  <si>
    <t>040000180455</t>
  </si>
  <si>
    <t>040000173186</t>
  </si>
  <si>
    <t>040000175286</t>
  </si>
  <si>
    <t>KHI/HO/D/MO/PD COMP/E/43119/07/2024</t>
  </si>
  <si>
    <t>050000761144</t>
  </si>
  <si>
    <t>KHI/HO/D/MO/PD COMP/E/43120/07/2024</t>
  </si>
  <si>
    <t>050000761145</t>
  </si>
  <si>
    <t>KHI/HO/D/MO/PD COMP/E/43122/07/2024</t>
  </si>
  <si>
    <t>050000761147</t>
  </si>
  <si>
    <t>040000176956</t>
  </si>
  <si>
    <t>040000172988</t>
  </si>
  <si>
    <t>040000172995</t>
  </si>
  <si>
    <t>040000177809</t>
  </si>
  <si>
    <t>040000177853</t>
  </si>
  <si>
    <t>040000179435</t>
  </si>
  <si>
    <t>KHI/HO/D/MO/PD COMP/E/42854/06/2024</t>
  </si>
  <si>
    <t>050000760049</t>
  </si>
  <si>
    <t>070000163497</t>
  </si>
  <si>
    <t>KHI/HO/D/FR/ND/P/22586/06/2024</t>
  </si>
  <si>
    <t>040000176593</t>
  </si>
  <si>
    <t>040000177913</t>
  </si>
  <si>
    <t>LHR/LHR/D/MO/PC TPP/E/43256/07/2024</t>
  </si>
  <si>
    <t>050000761592</t>
  </si>
  <si>
    <t>040000180454</t>
  </si>
  <si>
    <t>040000180458</t>
  </si>
  <si>
    <t>040000180649</t>
  </si>
  <si>
    <t>KHI/HO/D/MO/PC COMP/R/72610/06/2024</t>
  </si>
  <si>
    <t>080000161276</t>
  </si>
  <si>
    <t>040000181236</t>
  </si>
  <si>
    <t>040000181237</t>
  </si>
  <si>
    <t>040000148196</t>
  </si>
  <si>
    <t>040000180655</t>
  </si>
  <si>
    <t>040000180657</t>
  </si>
  <si>
    <t>040000180658</t>
  </si>
  <si>
    <t>040000180643</t>
  </si>
  <si>
    <t>040000180644</t>
  </si>
  <si>
    <t>040000180647</t>
  </si>
  <si>
    <t>040000180648</t>
  </si>
  <si>
    <t>040000180652</t>
  </si>
  <si>
    <t>040000180653</t>
  </si>
  <si>
    <t>040000173764</t>
  </si>
  <si>
    <t>KHI/HO/D/FR/ND/P/22584/06/2024</t>
  </si>
  <si>
    <t>040000176576</t>
  </si>
  <si>
    <t>040000174363</t>
  </si>
  <si>
    <t>KHI/HO/D/FR/ND/P/22594/06/2024</t>
  </si>
  <si>
    <t>040000176768</t>
  </si>
  <si>
    <t>040000144860</t>
  </si>
  <si>
    <t>KHI/HO/D/MO/PC COMP/E/42626/06/2024</t>
  </si>
  <si>
    <t>050000759598</t>
  </si>
  <si>
    <t>PEW/PEW/D/FR/ND/P/22577/06/2024</t>
  </si>
  <si>
    <t>040000176150</t>
  </si>
  <si>
    <t>040000147909</t>
  </si>
  <si>
    <t>LHR/LHR/D/MO/PC COMP/E/42594/06/2024</t>
  </si>
  <si>
    <t>050000759529</t>
  </si>
  <si>
    <t>040000177718</t>
  </si>
  <si>
    <t>KHI/HO/D/FR/ND/P/22628/06/2024</t>
  </si>
  <si>
    <t>040000177824</t>
  </si>
  <si>
    <t>040000176373</t>
  </si>
  <si>
    <t>KHI/HO/D/MO/PC TPP/E/42956/06/2024</t>
  </si>
  <si>
    <t>050000760665</t>
  </si>
  <si>
    <t>040000177174</t>
  </si>
  <si>
    <t>070000162963</t>
  </si>
  <si>
    <t>040000179822</t>
  </si>
  <si>
    <t>070000163483</t>
  </si>
  <si>
    <t>040000180468</t>
  </si>
  <si>
    <t>040000178478</t>
  </si>
  <si>
    <t>040000177455</t>
  </si>
  <si>
    <t>070000163501</t>
  </si>
  <si>
    <t>KHI/HO/D/MO/PC COMP/E/42950/06/2024</t>
  </si>
  <si>
    <t>050000760629</t>
  </si>
  <si>
    <t>040000180546</t>
  </si>
  <si>
    <t>040000180547</t>
  </si>
  <si>
    <t>040000180620</t>
  </si>
  <si>
    <t>070000158750</t>
  </si>
  <si>
    <t>070000158751</t>
  </si>
  <si>
    <t>040000180467</t>
  </si>
  <si>
    <t>040000180469</t>
  </si>
  <si>
    <t>040000180651</t>
  </si>
  <si>
    <t>040000180561</t>
  </si>
  <si>
    <t>040000180562</t>
  </si>
  <si>
    <t>040000179831</t>
  </si>
  <si>
    <t>KHI/HO/D/MO/PC COMP/C/22713/08/2024</t>
  </si>
  <si>
    <t>020000046297</t>
  </si>
  <si>
    <t>040000180650</t>
  </si>
  <si>
    <t>070000158752</t>
  </si>
  <si>
    <t>040000174176</t>
  </si>
  <si>
    <t>040000178945</t>
  </si>
  <si>
    <t>070000160431</t>
  </si>
  <si>
    <t>070000160432</t>
  </si>
  <si>
    <t>070000160433</t>
  </si>
  <si>
    <t>070000160434</t>
  </si>
  <si>
    <t>070000160435</t>
  </si>
  <si>
    <t>070000160436</t>
  </si>
  <si>
    <t>070000160438</t>
  </si>
  <si>
    <t>070000160443</t>
  </si>
  <si>
    <t>PEW/PEW/F/FR/ND/P/22589/06/2024</t>
  </si>
  <si>
    <t>040000176686</t>
  </si>
  <si>
    <t>040000180623</t>
  </si>
  <si>
    <t>040000172992</t>
  </si>
  <si>
    <t>040000180791</t>
  </si>
  <si>
    <t>KHI/HO/D/FR/ND/P/22606/06/2024</t>
  </si>
  <si>
    <t>040000177199</t>
  </si>
  <si>
    <t>KHI/HO/D/MO/PD COMP/E/42953/06/2024</t>
  </si>
  <si>
    <t>050000760656</t>
  </si>
  <si>
    <t>040000177782</t>
  </si>
  <si>
    <t>040000148294</t>
  </si>
  <si>
    <t>KHI/HO/D/MR/IMPORTS/P/42607/06/2024</t>
  </si>
  <si>
    <t>040000174946</t>
  </si>
  <si>
    <t>070000158641</t>
  </si>
  <si>
    <t>040000177830</t>
  </si>
  <si>
    <t>040000178358</t>
  </si>
  <si>
    <t>070000160416</t>
  </si>
  <si>
    <t>070000163482</t>
  </si>
  <si>
    <t>KHI/HO/D/MO/PC COMP/E/31871/10/2023</t>
  </si>
  <si>
    <t>050000654448</t>
  </si>
  <si>
    <t>KHI/HO/D/MO/PC COMP/R/82583/06/2024</t>
  </si>
  <si>
    <t>080000162432</t>
  </si>
  <si>
    <t>040000181290</t>
  </si>
  <si>
    <t>040000180716</t>
  </si>
  <si>
    <t>040000180717</t>
  </si>
  <si>
    <t>040000180719</t>
  </si>
  <si>
    <t>040000180723</t>
  </si>
  <si>
    <t>040000180724</t>
  </si>
  <si>
    <t>040000177906</t>
  </si>
  <si>
    <t>040000176547</t>
  </si>
  <si>
    <t>KHI/HO/D/MO/PC COMP/R/72568/06/2024</t>
  </si>
  <si>
    <t>080000161264</t>
  </si>
  <si>
    <t>KHI/HO/D/MO/PC TPP/P/72580/07/2023</t>
  </si>
  <si>
    <t>040000148101</t>
  </si>
  <si>
    <t>KHI/HO/D/MO/PC COMP/R/72585/06/2024</t>
  </si>
  <si>
    <t>080000161268</t>
  </si>
  <si>
    <t>KHI/HO/D/MO/PC COMP/P/94626/08/2024</t>
  </si>
  <si>
    <t>040000180754</t>
  </si>
  <si>
    <t>KHI/HO/D/MO/PC COMP/E/42624/06/2024</t>
  </si>
  <si>
    <t>050000759585</t>
  </si>
  <si>
    <t>070000160422</t>
  </si>
  <si>
    <t>070000160425</t>
  </si>
  <si>
    <t>070000160426</t>
  </si>
  <si>
    <t>070000160415</t>
  </si>
  <si>
    <t>070000160417</t>
  </si>
  <si>
    <t>040000180763</t>
  </si>
  <si>
    <t>040000177762</t>
  </si>
  <si>
    <t>PEW/PEW/D/FR/ND/P/22576/06/2024</t>
  </si>
  <si>
    <t>040000176141</t>
  </si>
  <si>
    <t>040000180568</t>
  </si>
  <si>
    <t>040000180569</t>
  </si>
  <si>
    <t>KHI/HO/D/MO/PD COMP/E/42896/06/2024</t>
  </si>
  <si>
    <t>050000760481</t>
  </si>
  <si>
    <t>KHI/HO/D/MO/PD COMP/E/42911/06/2024</t>
  </si>
  <si>
    <t>050000760496</t>
  </si>
  <si>
    <t>KHI/HO/D/MO/PD COMP/E/42915/06/2024</t>
  </si>
  <si>
    <t>050000760500</t>
  </si>
  <si>
    <t>KHI/HO/D/MO/PD COMP/E/42916/06/2024</t>
  </si>
  <si>
    <t>050000760501</t>
  </si>
  <si>
    <t>KHI/HO/D/MO/PD COMP/E/42921/06/2024</t>
  </si>
  <si>
    <t>050000760506</t>
  </si>
  <si>
    <t>KHI/HO/D/MO/PD COMP/E/42922/06/2024</t>
  </si>
  <si>
    <t>050000760507</t>
  </si>
  <si>
    <t>KHI/HO/D/MO/PD COMP/E/42924/06/2024</t>
  </si>
  <si>
    <t>050000760509</t>
  </si>
  <si>
    <t>LHR/LHR/F/FR/ND/P/22573/06/2024</t>
  </si>
  <si>
    <t>040000176110</t>
  </si>
  <si>
    <t>040000180624</t>
  </si>
  <si>
    <t>040000180625</t>
  </si>
  <si>
    <t>040000180790</t>
  </si>
  <si>
    <t>040000180792</t>
  </si>
  <si>
    <t>040000180793</t>
  </si>
  <si>
    <t>070000160590</t>
  </si>
  <si>
    <t>040000176948</t>
  </si>
  <si>
    <t>040000176950</t>
  </si>
  <si>
    <t>040000176975</t>
  </si>
  <si>
    <t>040000174076</t>
  </si>
  <si>
    <t>KHI/HO/D/MR/IMPORTS/P/42609/06/2024</t>
  </si>
  <si>
    <t>040000174948</t>
  </si>
  <si>
    <t>040000180517</t>
  </si>
  <si>
    <t>040000177967</t>
  </si>
  <si>
    <t>KHI/HO/D/MR/IMPORTS/P/42617/06/2024</t>
  </si>
  <si>
    <t>040000175045</t>
  </si>
  <si>
    <t>KHI/HO/D/MO/PC COMP/P/96730/09/2024</t>
  </si>
  <si>
    <t>040000183295</t>
  </si>
  <si>
    <t>KHI/HO/D/MR/IMPORTS/C/23271/09/2024</t>
  </si>
  <si>
    <t>020000047234</t>
  </si>
  <si>
    <t>KHI/HO/D/MI/TRR/P/330/10/2024</t>
  </si>
  <si>
    <t>040000186885</t>
  </si>
  <si>
    <t>KHI/HO/D/MO/PD COMP/E/45730/09/2024</t>
  </si>
  <si>
    <t>050000786753</t>
  </si>
  <si>
    <t>070000166968</t>
  </si>
  <si>
    <t>040000176913</t>
  </si>
  <si>
    <t>040000180920</t>
  </si>
  <si>
    <t>LHR/LHR/D/HLGRP HEALTH/P/3333/10/2024</t>
  </si>
  <si>
    <t>040000186119</t>
  </si>
  <si>
    <t>070000163479</t>
  </si>
  <si>
    <t>LHR/LHR/D/MO/PC COMP/C/24366/10/2024</t>
  </si>
  <si>
    <t>020000048242</t>
  </si>
  <si>
    <t>040000186999</t>
  </si>
  <si>
    <t>040000180216</t>
  </si>
  <si>
    <t>040000180460</t>
  </si>
  <si>
    <t>040000180461</t>
  </si>
  <si>
    <t>KHI/HO/D/MO/PC TPP/R/78312/10/2024</t>
  </si>
  <si>
    <t>080000169269</t>
  </si>
  <si>
    <t>KHI/HO/D/MO/PC COMP/R/78327/10/2024</t>
  </si>
  <si>
    <t>080000169281</t>
  </si>
  <si>
    <t>KHI/HO/D/MO/CV TTT/R/78328/10/2024</t>
  </si>
  <si>
    <t>080000169282</t>
  </si>
  <si>
    <t>KHI/HO/D/MO/PC TPP/R/78329/10/2024</t>
  </si>
  <si>
    <t>080000169283</t>
  </si>
  <si>
    <t>KHI/HO/D/MO/PC COMP/R/78330/10/2024</t>
  </si>
  <si>
    <t>080000169284</t>
  </si>
  <si>
    <t>KHI/HO/D/MO/PD COMP/R/78333/10/2024</t>
  </si>
  <si>
    <t>080000169285</t>
  </si>
  <si>
    <t>LHR/LHR/D/MO/PC COMP/C/23289/08/2024</t>
  </si>
  <si>
    <t>020000046977</t>
  </si>
  <si>
    <t>040000175239</t>
  </si>
  <si>
    <t>LHR/LHR/D/MO/PC TPP/P/99362/10/2024</t>
  </si>
  <si>
    <t>040000186336</t>
  </si>
  <si>
    <t>KHI/HO/D/MO/CV/R/78362/10/2024</t>
  </si>
  <si>
    <t>080000169301</t>
  </si>
  <si>
    <t>040000176920</t>
  </si>
  <si>
    <t>070000161501</t>
  </si>
  <si>
    <t>040000180631</t>
  </si>
  <si>
    <t>040000180633</t>
  </si>
  <si>
    <t>040000180634</t>
  </si>
  <si>
    <t>040000180637</t>
  </si>
  <si>
    <t>KHI/HO/D/FR/ND/E/10374/07/2024</t>
  </si>
  <si>
    <t>050000770897</t>
  </si>
  <si>
    <t>040000180636</t>
  </si>
  <si>
    <t>KHI/HO/D/MO/PC COMP/P/94405/08/2024</t>
  </si>
  <si>
    <t>040000180478</t>
  </si>
  <si>
    <t>KHI/HO/D/MO/MC COMP/R/78457/10/2024</t>
  </si>
  <si>
    <t>080000169356</t>
  </si>
  <si>
    <t>LHR/LHR/D/MO/PC COMP/R/78332/10/2024</t>
  </si>
  <si>
    <t>080000170009</t>
  </si>
  <si>
    <t>040000180639</t>
  </si>
  <si>
    <t>040000180796</t>
  </si>
  <si>
    <t>040000180919</t>
  </si>
  <si>
    <t>040000180921</t>
  </si>
  <si>
    <t>070000167347</t>
  </si>
  <si>
    <t>070000167348</t>
  </si>
  <si>
    <t>070000167349</t>
  </si>
  <si>
    <t>070000167350</t>
  </si>
  <si>
    <t>070000167351</t>
  </si>
  <si>
    <t>040000186414</t>
  </si>
  <si>
    <t>LHR/LHR/D/MO/PC COMP/P/99457/10/2024</t>
  </si>
  <si>
    <t>040000186455</t>
  </si>
  <si>
    <t>MUL/MUL/D/MO/PC COMP/P/72547/07/2023</t>
  </si>
  <si>
    <t>040000148054</t>
  </si>
  <si>
    <t>040000149717</t>
  </si>
  <si>
    <t>KHI/HO/D/MO/MC COMP/P/96830/09/2024</t>
  </si>
  <si>
    <t>040000183411</t>
  </si>
  <si>
    <t>LHR/LHR/D/MO/PC COMP/C/23330/09/2024</t>
  </si>
  <si>
    <t>020000047029</t>
  </si>
  <si>
    <t>KHI/HO/D/MO/PD COMP/E/45630/09/2024</t>
  </si>
  <si>
    <t>050000786419</t>
  </si>
  <si>
    <t>KHI/HO/D/MO/MC COMP/P/97323/09/2024</t>
  </si>
  <si>
    <t>040000184028</t>
  </si>
  <si>
    <t>KHI/HO/D/HLGRP HEALTH/P/3322/09/2024</t>
  </si>
  <si>
    <t>040000185351</t>
  </si>
  <si>
    <t>KHI/HO/D/MO/MC COMP/P/97330/09/2024</t>
  </si>
  <si>
    <t>040000184036</t>
  </si>
  <si>
    <t>KHI/HO/D/MO/PC COMP/R/77330/09/2024</t>
  </si>
  <si>
    <t>080000167579</t>
  </si>
  <si>
    <t>040000179465</t>
  </si>
  <si>
    <t>KHI/AR/AR/D/MO/MC TTT/C/24312/10/2024</t>
  </si>
  <si>
    <t>020000048180</t>
  </si>
  <si>
    <t>KHI/HO/D/MO/PC COMP/R/77430/09/2024</t>
  </si>
  <si>
    <t>080000167620</t>
  </si>
  <si>
    <t>KHI/HO/D/HLGRP HEALTH/E/27530/09/2024</t>
  </si>
  <si>
    <t>050000792363</t>
  </si>
  <si>
    <t>KHI/HO/D/MO/PC COMP/C/97805/30/09/2024</t>
  </si>
  <si>
    <t>070000165805</t>
  </si>
  <si>
    <t>KHI/HO/D/MO/PC COMP/C/96638/30/09/2024</t>
  </si>
  <si>
    <t>070000165512</t>
  </si>
  <si>
    <t>KHI/HO/D/HLGRP HEALTH/E/27030/09/2024</t>
  </si>
  <si>
    <t>050000786558</t>
  </si>
  <si>
    <t>KHI/HO/D/MO/PC TPP/C/23830/09/2024</t>
  </si>
  <si>
    <t>020000047616</t>
  </si>
  <si>
    <t>KHI/HO/D/MO/PC COMP/C/97805/321/09/2024</t>
  </si>
  <si>
    <t>070000166096</t>
  </si>
  <si>
    <t>KHI/HO/D/MO/PC COMP/C/97805/130/09/2024</t>
  </si>
  <si>
    <t>070000165905</t>
  </si>
  <si>
    <t>040000181567</t>
  </si>
  <si>
    <t>KHI/AR/AR/D/MO/MC TTT/P/96930/09/2024</t>
  </si>
  <si>
    <t>040000183532</t>
  </si>
  <si>
    <t>KHI/HO/D/MI/MP/C/130/09/2024</t>
  </si>
  <si>
    <t>070000165497</t>
  </si>
  <si>
    <t>KHI/HO/D/MO/PC COMP/P/97321/09/2024</t>
  </si>
  <si>
    <t>040000184026</t>
  </si>
  <si>
    <t>LHR/LHR/D/MO/PC COMP/P/98130/09/2024</t>
  </si>
  <si>
    <t>040000184917</t>
  </si>
  <si>
    <t>KHI/HO/D/MO/PC COMP/P/98321/09/2024</t>
  </si>
  <si>
    <t>040000185132</t>
  </si>
  <si>
    <t>KHI/HO/D/MO/PC COMP/P/99302/10/2024</t>
  </si>
  <si>
    <t>040000186246</t>
  </si>
  <si>
    <t>KHI/HO/D/MO/PC COMP/C/97805/230/09/2024</t>
  </si>
  <si>
    <t>070000166005</t>
  </si>
  <si>
    <t>040000185417</t>
  </si>
  <si>
    <t>KHI/HO/D/MO/PC COMP/C/97805/271/09/2024</t>
  </si>
  <si>
    <t>070000166046</t>
  </si>
  <si>
    <t>LHR/LHR/D/MO/PC TPP/C/24333/10/2024</t>
  </si>
  <si>
    <t>020000048206</t>
  </si>
  <si>
    <t>KHI/HO/D/MO/PD COMP/E/46230/09/2024</t>
  </si>
  <si>
    <t>050000791960</t>
  </si>
  <si>
    <t>070000166097</t>
  </si>
  <si>
    <t>KHI/HO/D/MO/PC COMP/C/97805/323/09/2024</t>
  </si>
  <si>
    <t>070000166098</t>
  </si>
  <si>
    <t>KHI/HO/D/MO/PC COMP/C/97805/330/09/2024</t>
  </si>
  <si>
    <t>070000166105</t>
  </si>
  <si>
    <t>KHI/HO/D/MR/IMPORTS/P/43290/08/2024</t>
  </si>
  <si>
    <t>040000182178</t>
  </si>
  <si>
    <t>KHI/HO/D/MO/PC COMP/C/24328/10/2024</t>
  </si>
  <si>
    <t>020000048199</t>
  </si>
  <si>
    <t>KHI/HO/D/HLGRP HEALTH/P/3290/08/2024</t>
  </si>
  <si>
    <t>040000181687</t>
  </si>
  <si>
    <t>KHI/HO/D/MO/PC COMP/E/47730/09/2024</t>
  </si>
  <si>
    <t>050000807778</t>
  </si>
  <si>
    <t>KHI/HO/D/MO/PC COMP/C/23930/09/2024</t>
  </si>
  <si>
    <t>020000047736</t>
  </si>
  <si>
    <t>KHI/HO/D/MO/CV/E/47630/09/2024</t>
  </si>
  <si>
    <t>050000806903</t>
  </si>
  <si>
    <t>KHI/HO/D/HLGRP HEALTH/Q/8730/09/2024</t>
  </si>
  <si>
    <t>010000012331</t>
  </si>
  <si>
    <t>KHI/HO/D/MO/PC COMP/C/23730/09/2024</t>
  </si>
  <si>
    <t>020000047498</t>
  </si>
  <si>
    <t>KHI/HO/D/MO/CV/R/23457/10/2024</t>
  </si>
  <si>
    <t>080000168637</t>
  </si>
  <si>
    <t>KHI/HO/D/HLGRP HEALTH/E/27321/09/2024</t>
  </si>
  <si>
    <t>050000789904</t>
  </si>
  <si>
    <t>KHI/HO/D/MO/PC COMP/E/47530/09/2024</t>
  </si>
  <si>
    <t>050000806104</t>
  </si>
  <si>
    <t>040000184520</t>
  </si>
  <si>
    <t>KHI/HO/D/MR/IMPORTS/C/23321/09/2024</t>
  </si>
  <si>
    <t>020000047639</t>
  </si>
  <si>
    <t>KHI/HO/D/MO/PC COMP/P/97830/09/2024</t>
  </si>
  <si>
    <t>040000184591</t>
  </si>
  <si>
    <t>KHI/HO/D/MO/MC COMP/P/98230/09/2024</t>
  </si>
  <si>
    <t>040000185030</t>
  </si>
  <si>
    <t>KHI/HO/D/HLGRP HEALTH/P/3323/09/2024</t>
  </si>
  <si>
    <t>040000185353</t>
  </si>
  <si>
    <t>KHI/HO/D/MO/PC COMP/E/47430/09/2024</t>
  </si>
  <si>
    <t>050000805080</t>
  </si>
  <si>
    <t>KHI/HO/D/MO/CV/E/47830/09/2024</t>
  </si>
  <si>
    <t>050000808637</t>
  </si>
  <si>
    <t>KHI/HO/D/HLGRP HEALTH/R/2771/10/2024</t>
  </si>
  <si>
    <t>080000170169</t>
  </si>
  <si>
    <t>KHI/HO/D/HLGRP HEALTH/R/2814/10/2024</t>
  </si>
  <si>
    <t>080000170187</t>
  </si>
  <si>
    <t>KHI/HO/D/MO/PC COMP/P/100327/10/2024</t>
  </si>
  <si>
    <t>040000187463</t>
  </si>
  <si>
    <t>070000167969</t>
  </si>
  <si>
    <t>LHR/LHR/D/MR/IMPORTS/C/23457/10/2024</t>
  </si>
  <si>
    <t>020000048494</t>
  </si>
  <si>
    <t>KHI/HO/D/MO/MC COMP/P/100328/10/2024</t>
  </si>
  <si>
    <t>040000187464</t>
  </si>
  <si>
    <t>KHI/HO/D/MO/MC COMP/P/100329/10/2024</t>
  </si>
  <si>
    <t>040000187465</t>
  </si>
  <si>
    <t>KHI/HO/D/MO/PC COMP/P/97430/09/2024</t>
  </si>
  <si>
    <t>040000184143</t>
  </si>
  <si>
    <t>KHI/HO/D/MO/CV/E/48332/10/2024</t>
  </si>
  <si>
    <t>050000815773</t>
  </si>
  <si>
    <t>KHI/HO/D/MO/PC COMP/R/79302/10/2024</t>
  </si>
  <si>
    <t>080000169688</t>
  </si>
  <si>
    <t>KHI/HO/D/MO/PC COMP/R/79333/10/2024</t>
  </si>
  <si>
    <t>080000169690</t>
  </si>
  <si>
    <t>KHI/HO/D/HLGRP HEALTH/E/27230/09/2024</t>
  </si>
  <si>
    <t>050000788854</t>
  </si>
  <si>
    <t>ISD/ISD/F/MI/TRR/E/363/10/2024</t>
  </si>
  <si>
    <t>050000813764</t>
  </si>
  <si>
    <t>KHI/HO/D/MO/PC TPP/R/23302/10/2024</t>
  </si>
  <si>
    <t>080000168571</t>
  </si>
  <si>
    <t>KHI/HO/D/MO/PC COMP/R/23312/10/2024</t>
  </si>
  <si>
    <t>080000168573</t>
  </si>
  <si>
    <t>KHI/HO/D/HLGRP HEALTH/P/3321/09/2024</t>
  </si>
  <si>
    <t>040000185350</t>
  </si>
  <si>
    <t>040000184349</t>
  </si>
  <si>
    <t>KHI/HO/D/MO/PC COMP/C/23290/08/2024</t>
  </si>
  <si>
    <t>020000046978</t>
  </si>
  <si>
    <t>KHI/HO/D/MO/PC COMP/R/23333/10/2024</t>
  </si>
  <si>
    <t>080000168582</t>
  </si>
  <si>
    <t>KHI/HO/D/MR/IMPORTS/C/20323/09/2024</t>
  </si>
  <si>
    <t>070000164987</t>
  </si>
  <si>
    <t>KHI/HO/D/MO/PC COMP/R/76365/10/2024</t>
  </si>
  <si>
    <t>080000170334</t>
  </si>
  <si>
    <t>KHI/HO/D/MO/PC COMP/R/23363/10/2024</t>
  </si>
  <si>
    <t>080000168595</t>
  </si>
  <si>
    <t>KHI/HO/D/MO/PC COMP/R/23366/10/2024</t>
  </si>
  <si>
    <t>080000168596</t>
  </si>
  <si>
    <t>KHI/HO/D/MO/MC COMP/P/100333/10/2024</t>
  </si>
  <si>
    <t>040000187469</t>
  </si>
  <si>
    <t>KHI/HO/D/MO/PC COMP/R/76366/10/2024</t>
  </si>
  <si>
    <t>080000170342</t>
  </si>
  <si>
    <t>KHI/HO/D/MO/MC COMP/P/96290/08/2024</t>
  </si>
  <si>
    <t>040000182805</t>
  </si>
  <si>
    <t>KHI/HO/D/MO/PC COMP/E/48302/10/2024</t>
  </si>
  <si>
    <t>050000815679</t>
  </si>
  <si>
    <t>LHR/LHR/D/MO/PC COMP/E/48331/10/2024</t>
  </si>
  <si>
    <t>050000815772</t>
  </si>
  <si>
    <t>KHI/HO/D/MO/PC COMP/E/48328/10/2024</t>
  </si>
  <si>
    <t>050000815751</t>
  </si>
  <si>
    <t>KHI/AR/AR/D/MO/MC TTT/E/48333/10/2024</t>
  </si>
  <si>
    <t>050000815775</t>
  </si>
  <si>
    <t>070000169291</t>
  </si>
  <si>
    <t>040000187236</t>
  </si>
  <si>
    <t>070000169383</t>
  </si>
  <si>
    <t>040000184227</t>
  </si>
  <si>
    <t>ISD/ISD/F/MI/TRR/E/364/10/2024</t>
  </si>
  <si>
    <t>050000813824</t>
  </si>
  <si>
    <t>070000166166</t>
  </si>
  <si>
    <t>KHI/HO/D/MO/PC COMP/R/77130/09/2024</t>
  </si>
  <si>
    <t>080000167461</t>
  </si>
  <si>
    <t>KHI/HO/D/MO/PC COMP/E/48312/10/2024</t>
  </si>
  <si>
    <t>050000815690</t>
  </si>
  <si>
    <t>KHI/HO/D/MO/MC COMP/R/77230/09/2024</t>
  </si>
  <si>
    <t>080000167518</t>
  </si>
  <si>
    <t>KHI/HO/D/MO/MC COMP/P/98330/09/2024</t>
  </si>
  <si>
    <t>040000185143</t>
  </si>
  <si>
    <t>040000185370</t>
  </si>
  <si>
    <t>KHI/HO/D/HLGRP HEALTH/P/3329/10/2024</t>
  </si>
  <si>
    <t>040000185795</t>
  </si>
  <si>
    <t>KHI/HO/D/MO/PC TPP/R/76730/09/2024</t>
  </si>
  <si>
    <t>080000167235</t>
  </si>
  <si>
    <t>KHI/HO/D/MR/IMPORTS/P/43430/09/2024</t>
  </si>
  <si>
    <t>040000183886</t>
  </si>
  <si>
    <t>KHI/HO/D/MO/PC COMP/C/23630/09/2024</t>
  </si>
  <si>
    <t>020000047381</t>
  </si>
  <si>
    <t>040000183520</t>
  </si>
  <si>
    <t>KHI/AR/AR/D/MO/MC TTT/C/23530/09/2024</t>
  </si>
  <si>
    <t>020000047264</t>
  </si>
  <si>
    <t>KHI/HO/D/MO/MC COMP/P/97930/09/2024</t>
  </si>
  <si>
    <t>040000184701</t>
  </si>
  <si>
    <t>KHI/HO/D/MO/PC COMP/E/46130/09/2024</t>
  </si>
  <si>
    <t>050000791727</t>
  </si>
  <si>
    <t>KHI/HO/D/MO/MC COMP/P/100364/10/2024</t>
  </si>
  <si>
    <t>040000187505</t>
  </si>
  <si>
    <t>KHI/HO/D/MO/MC COMP/P/98323/09/2024</t>
  </si>
  <si>
    <t>040000185134</t>
  </si>
  <si>
    <t>KHI/HO/D/MO/PC COMP/P/98530/09/2024</t>
  </si>
  <si>
    <t>040000185376</t>
  </si>
  <si>
    <t>KHI/HO/D/MI/TRR/P/327/10/2024</t>
  </si>
  <si>
    <t>040000186208</t>
  </si>
  <si>
    <t>KHI/HO/D/MO/PD COMP/E/46030/09/2024</t>
  </si>
  <si>
    <t>050000791216</t>
  </si>
  <si>
    <t>040000176248</t>
  </si>
  <si>
    <t>KHI/HO/D/MO/PD COMP/E/42940/06/2024</t>
  </si>
  <si>
    <t>050000760563</t>
  </si>
  <si>
    <t>KHI/HO/D/MO/PD COMP/E/42941/06/2024</t>
  </si>
  <si>
    <t>050000760564</t>
  </si>
  <si>
    <t>KHI/HO/D/FR/ND/P/22587/06/2024</t>
  </si>
  <si>
    <t>040000176623</t>
  </si>
  <si>
    <t>040000179653</t>
  </si>
  <si>
    <t>040000179560</t>
  </si>
  <si>
    <t>KHI/HO/F/FR/ND/P/22566/06/2024</t>
  </si>
  <si>
    <t>040000176099</t>
  </si>
  <si>
    <t>LHR/LHR/F/FR/ND/P/22567/06/2024</t>
  </si>
  <si>
    <t>040000176100</t>
  </si>
  <si>
    <t>KHI/HO/D/MO/PC COMP/E/42568/06/2024</t>
  </si>
  <si>
    <t>050000759066</t>
  </si>
  <si>
    <t>KHI/HO/D/MO/PC COMP/E/42567/06/2024</t>
  </si>
  <si>
    <t>050000759062</t>
  </si>
  <si>
    <t>070000161534</t>
  </si>
  <si>
    <t>040000177904</t>
  </si>
  <si>
    <t>KHI/HO/D/MR/IMPORTS/P/42628/06/2024</t>
  </si>
  <si>
    <t>040000175127</t>
  </si>
  <si>
    <t>040000179384</t>
  </si>
  <si>
    <t>040000179385</t>
  </si>
  <si>
    <t>070000163485</t>
  </si>
  <si>
    <t>040000178770</t>
  </si>
  <si>
    <t>KHI/HO/D/FR/ND/P/22582/06/2024</t>
  </si>
  <si>
    <t>040000176392</t>
  </si>
  <si>
    <t>040000180041</t>
  </si>
  <si>
    <t>POLICY NO.</t>
  </si>
  <si>
    <t>Assorted_code</t>
  </si>
  <si>
    <t>Premium</t>
  </si>
  <si>
    <t>14Aug240007</t>
  </si>
  <si>
    <t>070000163751</t>
  </si>
  <si>
    <t>070000068756</t>
  </si>
  <si>
    <t>070000096118</t>
  </si>
  <si>
    <t>070000106483</t>
  </si>
  <si>
    <t>070000128105</t>
  </si>
  <si>
    <t>070000127314</t>
  </si>
  <si>
    <t>070000127363</t>
  </si>
  <si>
    <t>070000127367</t>
  </si>
  <si>
    <t>070000127373</t>
  </si>
  <si>
    <t>070000126037</t>
  </si>
  <si>
    <t>070000127339</t>
  </si>
  <si>
    <t>070000121280</t>
  </si>
  <si>
    <t>070000127343</t>
  </si>
  <si>
    <t>070000127345</t>
  </si>
  <si>
    <t>070000127349</t>
  </si>
  <si>
    <t>070000127352</t>
  </si>
  <si>
    <t>070000119176</t>
  </si>
  <si>
    <t>070000127427</t>
  </si>
  <si>
    <t>070000127389</t>
  </si>
  <si>
    <t>070000130978</t>
  </si>
  <si>
    <t>070000130378</t>
  </si>
  <si>
    <t>070000130403</t>
  </si>
  <si>
    <t>070000130419</t>
  </si>
  <si>
    <t>070000130308</t>
  </si>
  <si>
    <t>070000130311</t>
  </si>
  <si>
    <t>070000130344</t>
  </si>
  <si>
    <t>070000130371</t>
  </si>
  <si>
    <t>070000131652</t>
  </si>
  <si>
    <t>070000131763</t>
  </si>
  <si>
    <t>070000130324</t>
  </si>
  <si>
    <t>070000130353</t>
  </si>
  <si>
    <t>070000127224</t>
  </si>
  <si>
    <t>070000127248</t>
  </si>
  <si>
    <t>070000128499</t>
  </si>
  <si>
    <t>070000128524</t>
  </si>
  <si>
    <t>070000126535</t>
  </si>
  <si>
    <t>070000127379</t>
  </si>
  <si>
    <t>070000127380</t>
  </si>
  <si>
    <t>070000127173</t>
  </si>
  <si>
    <t>070000127176</t>
  </si>
  <si>
    <t>070000124536</t>
  </si>
  <si>
    <t>070000127215</t>
  </si>
  <si>
    <t>070000127295</t>
  </si>
  <si>
    <t>070000127297</t>
  </si>
  <si>
    <t>070000127138</t>
  </si>
  <si>
    <t>070000116253</t>
  </si>
  <si>
    <t>070000127149</t>
  </si>
  <si>
    <t>070000127156</t>
  </si>
  <si>
    <t>070000127162</t>
  </si>
  <si>
    <t>070000127127</t>
  </si>
  <si>
    <t>070000125142</t>
  </si>
  <si>
    <t>070000126637</t>
  </si>
  <si>
    <t>070000130271</t>
  </si>
  <si>
    <t>070000130278</t>
  </si>
  <si>
    <t>070000130301</t>
  </si>
  <si>
    <t>070000120611</t>
  </si>
  <si>
    <t>070000109695</t>
  </si>
  <si>
    <t>070000119149</t>
  </si>
  <si>
    <t>070000118000</t>
  </si>
  <si>
    <t>070000126088</t>
  </si>
  <si>
    <t>070000127300</t>
  </si>
  <si>
    <t>070000127319</t>
  </si>
  <si>
    <t>070000127342</t>
  </si>
  <si>
    <t>070000155547</t>
  </si>
  <si>
    <t>070000146914</t>
  </si>
  <si>
    <t>070000142841</t>
  </si>
  <si>
    <t>070000153777</t>
  </si>
  <si>
    <t>070000151307</t>
  </si>
  <si>
    <t>070000147639</t>
  </si>
  <si>
    <t>070000147521</t>
  </si>
  <si>
    <t>070000144941</t>
  </si>
  <si>
    <t>070000147465</t>
  </si>
  <si>
    <t>070000139176</t>
  </si>
  <si>
    <t>070000142799</t>
  </si>
  <si>
    <t>070000154973</t>
  </si>
  <si>
    <t>070000155046</t>
  </si>
  <si>
    <t>070000155051</t>
  </si>
  <si>
    <t>070000154841</t>
  </si>
  <si>
    <t>070000140481</t>
  </si>
  <si>
    <t>070000140379</t>
  </si>
  <si>
    <t>070000148169</t>
  </si>
  <si>
    <t>070000147212</t>
  </si>
  <si>
    <t>070000150518</t>
  </si>
  <si>
    <t>070000145454</t>
  </si>
  <si>
    <t>070000145061</t>
  </si>
  <si>
    <t>070000145040</t>
  </si>
  <si>
    <t>070000145128</t>
  </si>
  <si>
    <t>070000145315</t>
  </si>
  <si>
    <t>070000147704</t>
  </si>
  <si>
    <t>070000145220</t>
  </si>
  <si>
    <t>070000151902</t>
  </si>
  <si>
    <t>070000152036</t>
  </si>
  <si>
    <t>070000113266</t>
  </si>
  <si>
    <t>070000127129</t>
  </si>
  <si>
    <t>070000138031</t>
  </si>
  <si>
    <t>070000136703</t>
  </si>
  <si>
    <t>070000136946</t>
  </si>
  <si>
    <t>070000136048</t>
  </si>
  <si>
    <t>070000135683</t>
  </si>
  <si>
    <t>070000134266</t>
  </si>
  <si>
    <t>070000140138</t>
  </si>
  <si>
    <t>070000139633</t>
  </si>
  <si>
    <t>070000145963</t>
  </si>
  <si>
    <t>070000145977</t>
  </si>
  <si>
    <t>070000137134</t>
  </si>
  <si>
    <t>070000148516</t>
  </si>
  <si>
    <t>070000146027</t>
  </si>
  <si>
    <t>070000155555</t>
  </si>
  <si>
    <t>070000155558</t>
  </si>
  <si>
    <t>070000155561</t>
  </si>
  <si>
    <t>070000155605</t>
  </si>
  <si>
    <t>070000156870</t>
  </si>
  <si>
    <t>070000147956</t>
  </si>
  <si>
    <t>070000151886</t>
  </si>
  <si>
    <t>070000151897</t>
  </si>
  <si>
    <t>070000151898</t>
  </si>
  <si>
    <t>070000156380</t>
  </si>
  <si>
    <t>070000153651</t>
  </si>
  <si>
    <t>070000153655</t>
  </si>
  <si>
    <t>070000153612</t>
  </si>
  <si>
    <t>070000153627</t>
  </si>
  <si>
    <t>070000153209</t>
  </si>
  <si>
    <t>070000157095</t>
  </si>
  <si>
    <t>070000153613</t>
  </si>
  <si>
    <t>070000155606</t>
  </si>
  <si>
    <t>070000155608</t>
  </si>
  <si>
    <t>070000155609</t>
  </si>
  <si>
    <t>070000155610</t>
  </si>
  <si>
    <t>070000153988</t>
  </si>
  <si>
    <t>070000158012</t>
  </si>
  <si>
    <t>070000158021</t>
  </si>
  <si>
    <t>070000157999</t>
  </si>
  <si>
    <t>070000158000</t>
  </si>
  <si>
    <t>070000158047</t>
  </si>
  <si>
    <t>070000158055</t>
  </si>
  <si>
    <t>070000158056</t>
  </si>
  <si>
    <t>070000158060</t>
  </si>
  <si>
    <t>070000157856</t>
  </si>
  <si>
    <t>070000152300</t>
  </si>
  <si>
    <t>070000156051</t>
  </si>
  <si>
    <t>070000157368</t>
  </si>
  <si>
    <t>070000157387</t>
  </si>
  <si>
    <t>070000157397</t>
  </si>
  <si>
    <t>070000157527</t>
  </si>
  <si>
    <t>070000157194</t>
  </si>
  <si>
    <t>070000157374</t>
  </si>
  <si>
    <t>070000157354</t>
  </si>
  <si>
    <t>070000157388</t>
  </si>
  <si>
    <t>070000152779</t>
  </si>
  <si>
    <t>070000158151</t>
  </si>
  <si>
    <t>070000157204</t>
  </si>
  <si>
    <t>070000157255</t>
  </si>
  <si>
    <t>070000158175</t>
  </si>
  <si>
    <t>070000158176</t>
  </si>
  <si>
    <t>070000153453</t>
  </si>
  <si>
    <t>070000157402</t>
  </si>
  <si>
    <t>070000158061</t>
  </si>
  <si>
    <t>070000158063</t>
  </si>
  <si>
    <t>070000157189</t>
  </si>
  <si>
    <t>070000157192</t>
  </si>
  <si>
    <t>070000157202</t>
  </si>
  <si>
    <t>070000155565</t>
  </si>
  <si>
    <t>070000153708</t>
  </si>
  <si>
    <t>070000157091</t>
  </si>
  <si>
    <t>070000155562</t>
  </si>
  <si>
    <t>070000157094</t>
  </si>
  <si>
    <t>070000147935</t>
  </si>
  <si>
    <t>070000151297</t>
  </si>
  <si>
    <t>070000158242</t>
  </si>
  <si>
    <t>070000158244</t>
  </si>
  <si>
    <t>070000160318</t>
  </si>
  <si>
    <t>070000160320</t>
  </si>
  <si>
    <t>070000160321</t>
  </si>
  <si>
    <t>070000160323</t>
  </si>
  <si>
    <t>070000160325</t>
  </si>
  <si>
    <t>070000162153</t>
  </si>
  <si>
    <t>070000158262</t>
  </si>
  <si>
    <t>070000158201</t>
  </si>
  <si>
    <t>070000158204</t>
  </si>
  <si>
    <t>070000157465</t>
  </si>
  <si>
    <t>070000158354</t>
  </si>
  <si>
    <t>070000158475</t>
  </si>
  <si>
    <t>070000157281</t>
  </si>
  <si>
    <t>070000158186</t>
  </si>
  <si>
    <t>070000155728</t>
  </si>
  <si>
    <t>070000155729</t>
  </si>
  <si>
    <t>070000155730</t>
  </si>
  <si>
    <t>070000157915</t>
  </si>
  <si>
    <t>070000157395</t>
  </si>
  <si>
    <t>070000157891</t>
  </si>
  <si>
    <t>070000157893</t>
  </si>
  <si>
    <t>070000157920</t>
  </si>
  <si>
    <t>070000158299</t>
  </si>
  <si>
    <t>070000158301</t>
  </si>
  <si>
    <t>070000158306</t>
  </si>
  <si>
    <t>070000155418</t>
  </si>
  <si>
    <t>070000157218</t>
  </si>
  <si>
    <t>070000155742</t>
  </si>
  <si>
    <t>070000157220</t>
  </si>
  <si>
    <t>070000155088</t>
  </si>
  <si>
    <t>070000157269</t>
  </si>
  <si>
    <t>070000157355</t>
  </si>
  <si>
    <t>070000154356</t>
  </si>
  <si>
    <t>070000155596</t>
  </si>
  <si>
    <t>070000155597</t>
  </si>
  <si>
    <t>070000161140</t>
  </si>
  <si>
    <t>070000161947</t>
  </si>
  <si>
    <t>070000160499</t>
  </si>
  <si>
    <t>070000157367</t>
  </si>
  <si>
    <t>070000161188</t>
  </si>
  <si>
    <t>070000158229</t>
  </si>
  <si>
    <t>070000158166</t>
  </si>
  <si>
    <t>070000153652</t>
  </si>
  <si>
    <t>070000162275</t>
  </si>
  <si>
    <t>070000164431</t>
  </si>
  <si>
    <t>070000164125</t>
  </si>
  <si>
    <t>070000164217</t>
  </si>
  <si>
    <t>070000164228</t>
  </si>
  <si>
    <t>070000164112</t>
  </si>
  <si>
    <t>070000164118</t>
  </si>
  <si>
    <t>070000165473</t>
  </si>
  <si>
    <t>070000169402</t>
  </si>
  <si>
    <t>070000165324</t>
  </si>
  <si>
    <t>070000164093</t>
  </si>
  <si>
    <t>070000167887</t>
  </si>
  <si>
    <t>070000166660</t>
  </si>
  <si>
    <t>070000166852</t>
  </si>
  <si>
    <t>070000164147</t>
  </si>
  <si>
    <t>070000164157</t>
  </si>
  <si>
    <t>070000165753</t>
  </si>
  <si>
    <t>070000162827</t>
  </si>
  <si>
    <t>070000158673</t>
  </si>
  <si>
    <t>070000158674</t>
  </si>
  <si>
    <t>070000158678</t>
  </si>
  <si>
    <t>070000158679</t>
  </si>
  <si>
    <t>070000158681</t>
  </si>
  <si>
    <t>070000161706</t>
  </si>
  <si>
    <t>070000158259</t>
  </si>
  <si>
    <t>070000158686</t>
  </si>
  <si>
    <t>070000158687</t>
  </si>
  <si>
    <t>070000160652</t>
  </si>
  <si>
    <t>070000159390</t>
  </si>
  <si>
    <t>070000158695</t>
  </si>
  <si>
    <t>070000158697</t>
  </si>
  <si>
    <t>070000158699</t>
  </si>
  <si>
    <t>070000158700</t>
  </si>
  <si>
    <t>070000158931</t>
  </si>
  <si>
    <t>070000158892</t>
  </si>
  <si>
    <t>070000162226</t>
  </si>
  <si>
    <t>070000158221</t>
  </si>
  <si>
    <t>070000158288</t>
  </si>
  <si>
    <t>070000158304</t>
  </si>
  <si>
    <t>070000160337</t>
  </si>
  <si>
    <t>070000160339</t>
  </si>
  <si>
    <t>070000163534</t>
  </si>
  <si>
    <t>070000158164</t>
  </si>
  <si>
    <t>070000158199</t>
  </si>
  <si>
    <t>070000160403</t>
  </si>
  <si>
    <t>070000159618</t>
  </si>
  <si>
    <t>070000158713</t>
  </si>
  <si>
    <t>070000158715</t>
  </si>
  <si>
    <t>070000158717</t>
  </si>
  <si>
    <t>070000162063</t>
  </si>
  <si>
    <t>070000161299</t>
  </si>
  <si>
    <t>070000162042</t>
  </si>
  <si>
    <t>070000162043</t>
  </si>
  <si>
    <t>070000162698</t>
  </si>
  <si>
    <t>070000159171</t>
  </si>
  <si>
    <t>070000163185</t>
  </si>
  <si>
    <t>070000158708</t>
  </si>
  <si>
    <t>070000158662</t>
  </si>
  <si>
    <t>070000161007</t>
  </si>
  <si>
    <t>070000162276</t>
  </si>
  <si>
    <t>070000162284</t>
  </si>
  <si>
    <t>070000161021</t>
  </si>
  <si>
    <t>070000161017</t>
  </si>
  <si>
    <t>070000161023</t>
  </si>
  <si>
    <t>070000161013</t>
  </si>
  <si>
    <t>070000161024</t>
  </si>
  <si>
    <t>070000160633</t>
  </si>
  <si>
    <t>070000162975</t>
  </si>
  <si>
    <t>070000162271</t>
  </si>
  <si>
    <t>070000162959</t>
  </si>
  <si>
    <t>070000162273</t>
  </si>
  <si>
    <t>070000163533</t>
  </si>
  <si>
    <t>070000160330</t>
  </si>
  <si>
    <t>070000160342</t>
  </si>
  <si>
    <t>070000161665</t>
  </si>
  <si>
    <t>070000165296</t>
  </si>
  <si>
    <t>070000165333</t>
  </si>
  <si>
    <t>070000165780</t>
  </si>
  <si>
    <t>070000165790</t>
  </si>
  <si>
    <t>070000166494</t>
  </si>
  <si>
    <t>070000165921</t>
  </si>
  <si>
    <t>070000166603</t>
  </si>
  <si>
    <t>070000165819</t>
  </si>
  <si>
    <t>070000165827</t>
  </si>
  <si>
    <t>070000165834</t>
  </si>
  <si>
    <t>070000165838</t>
  </si>
  <si>
    <t>070000165995</t>
  </si>
  <si>
    <t>070000165998</t>
  </si>
  <si>
    <t>070000165851</t>
  </si>
  <si>
    <t>070000165888</t>
  </si>
  <si>
    <t>070000164914</t>
  </si>
  <si>
    <t>070000165898</t>
  </si>
  <si>
    <t>070000165901</t>
  </si>
  <si>
    <t>070000165955</t>
  </si>
  <si>
    <t>070000165970</t>
  </si>
  <si>
    <t>070000165972</t>
  </si>
  <si>
    <t>070000165985</t>
  </si>
  <si>
    <t>070000166035</t>
  </si>
  <si>
    <t>070000166053</t>
  </si>
  <si>
    <t>070000166055</t>
  </si>
  <si>
    <t>070000166071</t>
  </si>
  <si>
    <t>070000166095</t>
  </si>
  <si>
    <t>070000166101</t>
  </si>
  <si>
    <t>070000165283</t>
  </si>
  <si>
    <t>070000169302</t>
  </si>
  <si>
    <t>070000165558</t>
  </si>
  <si>
    <t>070000165728</t>
  </si>
  <si>
    <t>070000164884</t>
  </si>
  <si>
    <t>070000158890</t>
  </si>
  <si>
    <t>070000161725</t>
  </si>
  <si>
    <t>070000158170</t>
  </si>
  <si>
    <t>070000158087</t>
  </si>
  <si>
    <t>070000158174</t>
  </si>
  <si>
    <t>070000158156</t>
  </si>
  <si>
    <t>070000158161</t>
  </si>
  <si>
    <t>070000158177</t>
  </si>
  <si>
    <t>070000158172</t>
  </si>
  <si>
    <t>070000158263</t>
  </si>
  <si>
    <t>070000158185</t>
  </si>
  <si>
    <t>070000158238</t>
  </si>
  <si>
    <t>070000158163</t>
  </si>
  <si>
    <t>070000158165</t>
  </si>
  <si>
    <t>070000158171</t>
  </si>
  <si>
    <t>070000158282</t>
  </si>
  <si>
    <t>28Nov240101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</si>
</sst>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(* #,##0_);_(* \(#,##0\);_(* &quot;-&quot;??_);_(@_)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theme="1"/>
      <name val="Segoe UI"/>
      <family val="2"/>
      <charset val="1"/>
    </font>
    <font>
      <sz val="11"/>
      <color theme="1"/>
      <name val="Aptos"/>
      <family val="2"/>
    </font>
    <font>
      <sz val="9"/>
      <color theme="1"/>
      <name val="Segoe U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3">
    <xf numFmtId="0" fontId="0" fillId="0" borderId="0" xfId="0"/>
    <xf numFmtId="43" fontId="0" fillId="0" borderId="0" xfId="0" applyNumberFormat="1"/>
    <xf numFmtId="0" fontId="1" fillId="0" borderId="0" xfId="0" applyFont="1"/>
    <xf numFmtId="43" fontId="1" fillId="0" borderId="0" xfId="0" applyNumberFormat="1" applyFont="1"/>
    <xf numFmtId="0" fontId="3" fillId="0" borderId="0" xfId="0" applyFont="1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4" fillId="0" borderId="0" xfId="0" applyFont="1"/>
    <xf numFmtId="0" fontId="0" fillId="0" borderId="0" xfId="0" applyAlignment="1">
      <alignment vertical="top"/>
    </xf>
    <xf numFmtId="164" fontId="5" fillId="0" borderId="0" xfId="1" applyNumberFormat="1" applyFont="1" applyAlignment="1">
      <alignment vertical="top"/>
    </xf>
    <xf numFmtId="0" fontId="0" fillId="2" borderId="0" xfId="0" applyFill="1" applyAlignment="1">
      <alignment vertical="top" wrapText="1"/>
    </xf>
    <xf numFmtId="0" fontId="0" fillId="2" borderId="0" xfId="0" applyFill="1" applyAlignment="1">
      <alignment horizontal="left" vertical="top" wrapText="1"/>
    </xf>
    <xf numFmtId="0" fontId="0" fillId="2" borderId="0" xfId="0" applyFill="1" applyAlignment="1">
      <alignment wrapText="1"/>
    </xf>
  </cellXfs>
  <cellStyles count="2">
    <cellStyle name="Comma" xfId="1" builtinId="3"/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C0C3D-8301-47CB-8AB7-538BF0FDED10}">
  <dimension ref="A1:B2334"/>
  <sheetViews>
    <sheetView topLeftCell="A1924" workbookViewId="0">
      <selection activeCell="A1929" sqref="A1929"/>
    </sheetView>
  </sheetViews>
  <sheetFormatPr defaultRowHeight="15" x14ac:dyDescent="0.25"/>
  <cols>
    <col min="1" max="1" width="43.42578125" bestFit="1" customWidth="1"/>
    <col min="2" max="2" width="10.42578125" bestFit="1" customWidth="1"/>
  </cols>
  <sheetData>
    <row r="1" spans="1:2" x14ac:dyDescent="0.25">
      <c r="A1" t="s">
        <v>0</v>
      </c>
      <c r="B1" s="1" t="s">
        <v>1</v>
      </c>
    </row>
    <row r="2" spans="1:2" x14ac:dyDescent="0.25">
      <c r="A2" t="s">
        <v>2</v>
      </c>
      <c r="B2" s="1">
        <v>-100</v>
      </c>
    </row>
    <row r="3" spans="1:2" x14ac:dyDescent="0.25">
      <c r="A3" t="s">
        <v>3</v>
      </c>
      <c r="B3" s="1">
        <v>-100</v>
      </c>
    </row>
    <row r="4" spans="1:2" x14ac:dyDescent="0.25">
      <c r="A4" t="s">
        <v>4</v>
      </c>
      <c r="B4" s="1">
        <v>-80</v>
      </c>
    </row>
    <row r="5" spans="1:2" x14ac:dyDescent="0.25">
      <c r="A5" t="s">
        <v>5</v>
      </c>
      <c r="B5" s="1">
        <v>-80</v>
      </c>
    </row>
    <row r="6" spans="1:2" x14ac:dyDescent="0.25">
      <c r="A6" t="s">
        <v>6</v>
      </c>
      <c r="B6" s="1">
        <v>-75</v>
      </c>
    </row>
    <row r="7" spans="1:2" x14ac:dyDescent="0.25">
      <c r="A7" t="s">
        <v>7</v>
      </c>
      <c r="B7" s="1">
        <v>-75</v>
      </c>
    </row>
    <row r="8" spans="1:2" x14ac:dyDescent="0.25">
      <c r="A8" t="s">
        <v>8</v>
      </c>
      <c r="B8" s="1">
        <v>-63</v>
      </c>
    </row>
    <row r="9" spans="1:2" x14ac:dyDescent="0.25">
      <c r="A9" t="s">
        <v>9</v>
      </c>
      <c r="B9" s="1">
        <v>-57</v>
      </c>
    </row>
    <row r="10" spans="1:2" x14ac:dyDescent="0.25">
      <c r="A10" t="s">
        <v>10</v>
      </c>
      <c r="B10" s="1">
        <v>-50</v>
      </c>
    </row>
    <row r="11" spans="1:2" x14ac:dyDescent="0.25">
      <c r="A11" t="s">
        <v>11</v>
      </c>
      <c r="B11" s="1">
        <v>-50</v>
      </c>
    </row>
    <row r="12" spans="1:2" x14ac:dyDescent="0.25">
      <c r="A12" t="s">
        <v>12</v>
      </c>
      <c r="B12" s="1">
        <v>-50</v>
      </c>
    </row>
    <row r="13" spans="1:2" x14ac:dyDescent="0.25">
      <c r="A13" t="s">
        <v>13</v>
      </c>
      <c r="B13" s="1">
        <v>-50</v>
      </c>
    </row>
    <row r="14" spans="1:2" x14ac:dyDescent="0.25">
      <c r="A14" t="s">
        <v>14</v>
      </c>
      <c r="B14" s="1">
        <v>-50</v>
      </c>
    </row>
    <row r="15" spans="1:2" x14ac:dyDescent="0.25">
      <c r="A15" t="s">
        <v>15</v>
      </c>
      <c r="B15" s="1">
        <v>-50</v>
      </c>
    </row>
    <row r="16" spans="1:2" x14ac:dyDescent="0.25">
      <c r="A16" t="s">
        <v>16</v>
      </c>
      <c r="B16" s="1">
        <v>-50</v>
      </c>
    </row>
    <row r="17" spans="1:2" x14ac:dyDescent="0.25">
      <c r="A17" t="s">
        <v>17</v>
      </c>
      <c r="B17" s="1">
        <v>-50</v>
      </c>
    </row>
    <row r="18" spans="1:2" x14ac:dyDescent="0.25">
      <c r="A18" t="s">
        <v>18</v>
      </c>
      <c r="B18" s="1">
        <v>-50</v>
      </c>
    </row>
    <row r="19" spans="1:2" x14ac:dyDescent="0.25">
      <c r="A19" t="s">
        <v>19</v>
      </c>
      <c r="B19" s="1">
        <v>-50</v>
      </c>
    </row>
    <row r="20" spans="1:2" x14ac:dyDescent="0.25">
      <c r="A20" t="s">
        <v>20</v>
      </c>
      <c r="B20" s="1">
        <v>-50</v>
      </c>
    </row>
    <row r="21" spans="1:2" x14ac:dyDescent="0.25">
      <c r="A21" t="s">
        <v>21</v>
      </c>
      <c r="B21" s="1">
        <v>-50</v>
      </c>
    </row>
    <row r="22" spans="1:2" x14ac:dyDescent="0.25">
      <c r="A22" t="s">
        <v>22</v>
      </c>
      <c r="B22" s="1">
        <v>-50</v>
      </c>
    </row>
    <row r="23" spans="1:2" x14ac:dyDescent="0.25">
      <c r="A23" t="s">
        <v>23</v>
      </c>
      <c r="B23" s="1">
        <v>-50</v>
      </c>
    </row>
    <row r="24" spans="1:2" x14ac:dyDescent="0.25">
      <c r="A24" t="s">
        <v>24</v>
      </c>
      <c r="B24" s="1">
        <v>-50</v>
      </c>
    </row>
    <row r="25" spans="1:2" x14ac:dyDescent="0.25">
      <c r="A25" t="s">
        <v>25</v>
      </c>
      <c r="B25" s="1">
        <v>-50</v>
      </c>
    </row>
    <row r="26" spans="1:2" x14ac:dyDescent="0.25">
      <c r="A26" t="s">
        <v>26</v>
      </c>
      <c r="B26" s="1">
        <v>-50</v>
      </c>
    </row>
    <row r="27" spans="1:2" x14ac:dyDescent="0.25">
      <c r="A27" t="s">
        <v>27</v>
      </c>
      <c r="B27" s="1">
        <v>-50</v>
      </c>
    </row>
    <row r="28" spans="1:2" x14ac:dyDescent="0.25">
      <c r="A28" t="s">
        <v>28</v>
      </c>
      <c r="B28" s="1">
        <v>-46</v>
      </c>
    </row>
    <row r="29" spans="1:2" x14ac:dyDescent="0.25">
      <c r="A29" t="s">
        <v>29</v>
      </c>
      <c r="B29" s="1">
        <v>-45</v>
      </c>
    </row>
    <row r="30" spans="1:2" x14ac:dyDescent="0.25">
      <c r="A30" t="s">
        <v>30</v>
      </c>
      <c r="B30" s="1">
        <v>-45</v>
      </c>
    </row>
    <row r="31" spans="1:2" x14ac:dyDescent="0.25">
      <c r="A31" t="s">
        <v>31</v>
      </c>
      <c r="B31" s="1">
        <v>-34</v>
      </c>
    </row>
    <row r="32" spans="1:2" x14ac:dyDescent="0.25">
      <c r="A32" t="s">
        <v>32</v>
      </c>
      <c r="B32" s="1">
        <v>-25</v>
      </c>
    </row>
    <row r="33" spans="1:2" x14ac:dyDescent="0.25">
      <c r="A33" t="s">
        <v>33</v>
      </c>
      <c r="B33" s="1">
        <v>-21</v>
      </c>
    </row>
    <row r="34" spans="1:2" x14ac:dyDescent="0.25">
      <c r="A34" t="s">
        <v>34</v>
      </c>
      <c r="B34" s="1">
        <v>-20</v>
      </c>
    </row>
    <row r="35" spans="1:2" x14ac:dyDescent="0.25">
      <c r="A35" t="s">
        <v>35</v>
      </c>
      <c r="B35" s="1">
        <v>-12</v>
      </c>
    </row>
    <row r="36" spans="1:2" x14ac:dyDescent="0.25">
      <c r="A36" t="s">
        <v>36</v>
      </c>
      <c r="B36" s="1">
        <v>-11</v>
      </c>
    </row>
    <row r="37" spans="1:2" x14ac:dyDescent="0.25">
      <c r="A37" t="s">
        <v>37</v>
      </c>
      <c r="B37" s="1">
        <v>-4</v>
      </c>
    </row>
    <row r="38" spans="1:2" x14ac:dyDescent="0.25">
      <c r="A38" t="s">
        <v>38</v>
      </c>
      <c r="B38" s="1">
        <v>-4</v>
      </c>
    </row>
    <row r="39" spans="1:2" x14ac:dyDescent="0.25">
      <c r="A39" t="s">
        <v>39</v>
      </c>
      <c r="B39" s="1">
        <v>-3</v>
      </c>
    </row>
    <row r="40" spans="1:2" x14ac:dyDescent="0.25">
      <c r="A40" t="s">
        <v>40</v>
      </c>
      <c r="B40" s="1">
        <v>-3</v>
      </c>
    </row>
    <row r="41" spans="1:2" x14ac:dyDescent="0.25">
      <c r="A41" t="s">
        <v>41</v>
      </c>
      <c r="B41" s="1">
        <v>-3</v>
      </c>
    </row>
    <row r="42" spans="1:2" x14ac:dyDescent="0.25">
      <c r="A42" t="s">
        <v>42</v>
      </c>
      <c r="B42" s="1">
        <v>-2</v>
      </c>
    </row>
    <row r="43" spans="1:2" x14ac:dyDescent="0.25">
      <c r="A43" t="s">
        <v>43</v>
      </c>
      <c r="B43" s="1">
        <v>-2</v>
      </c>
    </row>
    <row r="44" spans="1:2" x14ac:dyDescent="0.25">
      <c r="A44" t="s">
        <v>44</v>
      </c>
      <c r="B44" s="1">
        <v>-2</v>
      </c>
    </row>
    <row r="45" spans="1:2" x14ac:dyDescent="0.25">
      <c r="A45" t="s">
        <v>45</v>
      </c>
      <c r="B45" s="1">
        <v>-2</v>
      </c>
    </row>
    <row r="46" spans="1:2" x14ac:dyDescent="0.25">
      <c r="A46" t="s">
        <v>46</v>
      </c>
      <c r="B46" s="1">
        <v>-2</v>
      </c>
    </row>
    <row r="47" spans="1:2" x14ac:dyDescent="0.25">
      <c r="A47" t="s">
        <v>47</v>
      </c>
      <c r="B47" s="1">
        <v>-2</v>
      </c>
    </row>
    <row r="48" spans="1:2" x14ac:dyDescent="0.25">
      <c r="A48" t="s">
        <v>48</v>
      </c>
      <c r="B48" s="1">
        <v>-2</v>
      </c>
    </row>
    <row r="49" spans="1:2" x14ac:dyDescent="0.25">
      <c r="A49" t="s">
        <v>49</v>
      </c>
      <c r="B49" s="1">
        <v>-1</v>
      </c>
    </row>
    <row r="50" spans="1:2" x14ac:dyDescent="0.25">
      <c r="A50" t="s">
        <v>50</v>
      </c>
      <c r="B50" s="1">
        <v>-1</v>
      </c>
    </row>
    <row r="51" spans="1:2" x14ac:dyDescent="0.25">
      <c r="A51" t="s">
        <v>51</v>
      </c>
      <c r="B51" s="1">
        <v>-1</v>
      </c>
    </row>
    <row r="52" spans="1:2" x14ac:dyDescent="0.25">
      <c r="A52" t="s">
        <v>52</v>
      </c>
      <c r="B52" s="1">
        <v>-1</v>
      </c>
    </row>
    <row r="53" spans="1:2" x14ac:dyDescent="0.25">
      <c r="A53" t="s">
        <v>53</v>
      </c>
      <c r="B53" s="1">
        <v>-1</v>
      </c>
    </row>
    <row r="54" spans="1:2" x14ac:dyDescent="0.25">
      <c r="A54" t="s">
        <v>54</v>
      </c>
      <c r="B54" s="1">
        <v>-1</v>
      </c>
    </row>
    <row r="55" spans="1:2" x14ac:dyDescent="0.25">
      <c r="A55" t="s">
        <v>55</v>
      </c>
      <c r="B55" s="1">
        <v>-1</v>
      </c>
    </row>
    <row r="56" spans="1:2" x14ac:dyDescent="0.25">
      <c r="A56" t="s">
        <v>56</v>
      </c>
      <c r="B56" s="1">
        <v>-1</v>
      </c>
    </row>
    <row r="57" spans="1:2" x14ac:dyDescent="0.25">
      <c r="A57" t="s">
        <v>57</v>
      </c>
      <c r="B57" s="1">
        <v>-1</v>
      </c>
    </row>
    <row r="58" spans="1:2" x14ac:dyDescent="0.25">
      <c r="A58" t="s">
        <v>58</v>
      </c>
      <c r="B58" s="1">
        <v>-1</v>
      </c>
    </row>
    <row r="59" spans="1:2" x14ac:dyDescent="0.25">
      <c r="A59" t="s">
        <v>59</v>
      </c>
      <c r="B59" s="1">
        <v>-1</v>
      </c>
    </row>
    <row r="60" spans="1:2" x14ac:dyDescent="0.25">
      <c r="A60" t="s">
        <v>60</v>
      </c>
      <c r="B60" s="1">
        <v>-1</v>
      </c>
    </row>
    <row r="61" spans="1:2" x14ac:dyDescent="0.25">
      <c r="A61" t="s">
        <v>61</v>
      </c>
      <c r="B61" s="1">
        <v>-1</v>
      </c>
    </row>
    <row r="62" spans="1:2" x14ac:dyDescent="0.25">
      <c r="A62" t="s">
        <v>62</v>
      </c>
      <c r="B62" s="1">
        <v>-1</v>
      </c>
    </row>
    <row r="63" spans="1:2" x14ac:dyDescent="0.25">
      <c r="A63" t="s">
        <v>63</v>
      </c>
      <c r="B63" s="1">
        <v>-1</v>
      </c>
    </row>
    <row r="64" spans="1:2" x14ac:dyDescent="0.25">
      <c r="A64" t="s">
        <v>64</v>
      </c>
      <c r="B64" s="1">
        <v>-1</v>
      </c>
    </row>
    <row r="65" spans="1:2" x14ac:dyDescent="0.25">
      <c r="A65" t="s">
        <v>65</v>
      </c>
      <c r="B65" s="1">
        <v>-1</v>
      </c>
    </row>
    <row r="66" spans="1:2" x14ac:dyDescent="0.25">
      <c r="A66" t="s">
        <v>66</v>
      </c>
      <c r="B66" s="1">
        <v>-1</v>
      </c>
    </row>
    <row r="67" spans="1:2" x14ac:dyDescent="0.25">
      <c r="A67" t="s">
        <v>67</v>
      </c>
      <c r="B67" s="1">
        <v>-1</v>
      </c>
    </row>
    <row r="68" spans="1:2" x14ac:dyDescent="0.25">
      <c r="A68" t="s">
        <v>68</v>
      </c>
      <c r="B68" s="1">
        <v>-1</v>
      </c>
    </row>
    <row r="69" spans="1:2" x14ac:dyDescent="0.25">
      <c r="A69" t="s">
        <v>69</v>
      </c>
      <c r="B69" s="1">
        <v>-1</v>
      </c>
    </row>
    <row r="70" spans="1:2" x14ac:dyDescent="0.25">
      <c r="A70" t="s">
        <v>70</v>
      </c>
      <c r="B70" s="1">
        <v>-1</v>
      </c>
    </row>
    <row r="71" spans="1:2" x14ac:dyDescent="0.25">
      <c r="A71" t="s">
        <v>71</v>
      </c>
      <c r="B71" s="1">
        <v>-1</v>
      </c>
    </row>
    <row r="72" spans="1:2" x14ac:dyDescent="0.25">
      <c r="A72" t="s">
        <v>72</v>
      </c>
      <c r="B72" s="1">
        <v>-1</v>
      </c>
    </row>
    <row r="73" spans="1:2" x14ac:dyDescent="0.25">
      <c r="A73" t="s">
        <v>73</v>
      </c>
      <c r="B73" s="1">
        <v>-1</v>
      </c>
    </row>
    <row r="74" spans="1:2" x14ac:dyDescent="0.25">
      <c r="A74" t="s">
        <v>74</v>
      </c>
      <c r="B74" s="1">
        <v>-1</v>
      </c>
    </row>
    <row r="75" spans="1:2" x14ac:dyDescent="0.25">
      <c r="A75" t="s">
        <v>75</v>
      </c>
      <c r="B75" s="1">
        <v>-1</v>
      </c>
    </row>
    <row r="76" spans="1:2" x14ac:dyDescent="0.25">
      <c r="A76" t="s">
        <v>76</v>
      </c>
      <c r="B76" s="1">
        <v>-1</v>
      </c>
    </row>
    <row r="77" spans="1:2" x14ac:dyDescent="0.25">
      <c r="A77" t="s">
        <v>77</v>
      </c>
      <c r="B77" s="1">
        <v>-1</v>
      </c>
    </row>
    <row r="78" spans="1:2" x14ac:dyDescent="0.25">
      <c r="A78" t="s">
        <v>78</v>
      </c>
      <c r="B78" s="1">
        <v>-1</v>
      </c>
    </row>
    <row r="79" spans="1:2" x14ac:dyDescent="0.25">
      <c r="A79" t="s">
        <v>79</v>
      </c>
      <c r="B79" s="1">
        <v>-1</v>
      </c>
    </row>
    <row r="80" spans="1:2" x14ac:dyDescent="0.25">
      <c r="A80" t="s">
        <v>80</v>
      </c>
      <c r="B80" s="1">
        <v>-1</v>
      </c>
    </row>
    <row r="81" spans="1:2" x14ac:dyDescent="0.25">
      <c r="A81" t="s">
        <v>81</v>
      </c>
      <c r="B81" s="1">
        <v>-1</v>
      </c>
    </row>
    <row r="82" spans="1:2" x14ac:dyDescent="0.25">
      <c r="A82" t="s">
        <v>82</v>
      </c>
      <c r="B82" s="1">
        <v>-1</v>
      </c>
    </row>
    <row r="83" spans="1:2" x14ac:dyDescent="0.25">
      <c r="A83" t="s">
        <v>83</v>
      </c>
      <c r="B83" s="1">
        <v>-1</v>
      </c>
    </row>
    <row r="84" spans="1:2" x14ac:dyDescent="0.25">
      <c r="A84" t="s">
        <v>84</v>
      </c>
      <c r="B84" s="1">
        <v>-1</v>
      </c>
    </row>
    <row r="85" spans="1:2" x14ac:dyDescent="0.25">
      <c r="A85" t="s">
        <v>85</v>
      </c>
      <c r="B85" s="1">
        <v>-1</v>
      </c>
    </row>
    <row r="86" spans="1:2" x14ac:dyDescent="0.25">
      <c r="A86" t="s">
        <v>86</v>
      </c>
      <c r="B86" s="1">
        <v>-1</v>
      </c>
    </row>
    <row r="87" spans="1:2" x14ac:dyDescent="0.25">
      <c r="A87" t="s">
        <v>87</v>
      </c>
      <c r="B87" s="1">
        <v>-1</v>
      </c>
    </row>
    <row r="88" spans="1:2" x14ac:dyDescent="0.25">
      <c r="A88" t="s">
        <v>88</v>
      </c>
      <c r="B88" s="1">
        <v>-1</v>
      </c>
    </row>
    <row r="89" spans="1:2" x14ac:dyDescent="0.25">
      <c r="A89" t="s">
        <v>89</v>
      </c>
      <c r="B89" s="1">
        <v>-1</v>
      </c>
    </row>
    <row r="90" spans="1:2" x14ac:dyDescent="0.25">
      <c r="A90" t="s">
        <v>90</v>
      </c>
      <c r="B90" s="1">
        <v>-1</v>
      </c>
    </row>
    <row r="91" spans="1:2" x14ac:dyDescent="0.25">
      <c r="A91" t="s">
        <v>91</v>
      </c>
      <c r="B91" s="1">
        <v>-1</v>
      </c>
    </row>
    <row r="92" spans="1:2" x14ac:dyDescent="0.25">
      <c r="A92" t="s">
        <v>92</v>
      </c>
      <c r="B92" s="1">
        <v>-1</v>
      </c>
    </row>
    <row r="93" spans="1:2" x14ac:dyDescent="0.25">
      <c r="A93" t="s">
        <v>93</v>
      </c>
      <c r="B93" s="1">
        <v>-1</v>
      </c>
    </row>
    <row r="94" spans="1:2" x14ac:dyDescent="0.25">
      <c r="A94" t="s">
        <v>94</v>
      </c>
      <c r="B94" s="1">
        <v>-1</v>
      </c>
    </row>
    <row r="95" spans="1:2" x14ac:dyDescent="0.25">
      <c r="A95" t="s">
        <v>95</v>
      </c>
      <c r="B95" s="1">
        <v>-1</v>
      </c>
    </row>
    <row r="96" spans="1:2" x14ac:dyDescent="0.25">
      <c r="A96" t="s">
        <v>96</v>
      </c>
      <c r="B96" s="1">
        <v>-1</v>
      </c>
    </row>
    <row r="97" spans="1:2" x14ac:dyDescent="0.25">
      <c r="A97" t="s">
        <v>97</v>
      </c>
      <c r="B97" s="1">
        <v>-1</v>
      </c>
    </row>
    <row r="98" spans="1:2" x14ac:dyDescent="0.25">
      <c r="A98" t="s">
        <v>98</v>
      </c>
      <c r="B98" s="1">
        <v>-1</v>
      </c>
    </row>
    <row r="99" spans="1:2" x14ac:dyDescent="0.25">
      <c r="A99" t="s">
        <v>99</v>
      </c>
      <c r="B99" s="1">
        <v>-1</v>
      </c>
    </row>
    <row r="100" spans="1:2" x14ac:dyDescent="0.25">
      <c r="A100" t="s">
        <v>100</v>
      </c>
      <c r="B100" s="1">
        <v>-1</v>
      </c>
    </row>
    <row r="101" spans="1:2" x14ac:dyDescent="0.25">
      <c r="A101" t="s">
        <v>101</v>
      </c>
      <c r="B101" s="1">
        <v>-1</v>
      </c>
    </row>
    <row r="102" spans="1:2" x14ac:dyDescent="0.25">
      <c r="A102" t="s">
        <v>102</v>
      </c>
      <c r="B102" s="1">
        <v>-1</v>
      </c>
    </row>
    <row r="103" spans="1:2" x14ac:dyDescent="0.25">
      <c r="A103" t="s">
        <v>103</v>
      </c>
      <c r="B103" s="1">
        <v>-1</v>
      </c>
    </row>
    <row r="104" spans="1:2" x14ac:dyDescent="0.25">
      <c r="A104" t="s">
        <v>104</v>
      </c>
      <c r="B104" s="1">
        <v>-1</v>
      </c>
    </row>
    <row r="105" spans="1:2" x14ac:dyDescent="0.25">
      <c r="A105" t="s">
        <v>105</v>
      </c>
      <c r="B105" s="1">
        <v>-1</v>
      </c>
    </row>
    <row r="106" spans="1:2" x14ac:dyDescent="0.25">
      <c r="A106" t="s">
        <v>106</v>
      </c>
      <c r="B106" s="1">
        <v>-1</v>
      </c>
    </row>
    <row r="107" spans="1:2" x14ac:dyDescent="0.25">
      <c r="A107" t="s">
        <v>107</v>
      </c>
      <c r="B107" s="1">
        <v>-1</v>
      </c>
    </row>
    <row r="108" spans="1:2" x14ac:dyDescent="0.25">
      <c r="A108" t="s">
        <v>108</v>
      </c>
      <c r="B108" s="1">
        <v>-1</v>
      </c>
    </row>
    <row r="109" spans="1:2" x14ac:dyDescent="0.25">
      <c r="A109" t="s">
        <v>109</v>
      </c>
      <c r="B109" s="1">
        <v>-1</v>
      </c>
    </row>
    <row r="110" spans="1:2" x14ac:dyDescent="0.25">
      <c r="A110" t="s">
        <v>110</v>
      </c>
      <c r="B110" s="1">
        <v>-1</v>
      </c>
    </row>
    <row r="111" spans="1:2" x14ac:dyDescent="0.25">
      <c r="A111" t="s">
        <v>111</v>
      </c>
      <c r="B111" s="1">
        <v>-1</v>
      </c>
    </row>
    <row r="112" spans="1:2" x14ac:dyDescent="0.25">
      <c r="A112" t="s">
        <v>112</v>
      </c>
      <c r="B112" s="1">
        <v>-1</v>
      </c>
    </row>
    <row r="113" spans="1:2" x14ac:dyDescent="0.25">
      <c r="A113" t="s">
        <v>113</v>
      </c>
      <c r="B113" s="1">
        <v>-1</v>
      </c>
    </row>
    <row r="114" spans="1:2" x14ac:dyDescent="0.25">
      <c r="A114" t="s">
        <v>114</v>
      </c>
      <c r="B114" s="1">
        <v>-1</v>
      </c>
    </row>
    <row r="115" spans="1:2" x14ac:dyDescent="0.25">
      <c r="A115" t="s">
        <v>115</v>
      </c>
      <c r="B115" s="1">
        <v>-1</v>
      </c>
    </row>
    <row r="116" spans="1:2" x14ac:dyDescent="0.25">
      <c r="A116" t="s">
        <v>116</v>
      </c>
      <c r="B116" s="1">
        <v>-1</v>
      </c>
    </row>
    <row r="117" spans="1:2" x14ac:dyDescent="0.25">
      <c r="A117" t="s">
        <v>117</v>
      </c>
      <c r="B117" s="1">
        <v>-1</v>
      </c>
    </row>
    <row r="118" spans="1:2" x14ac:dyDescent="0.25">
      <c r="A118" t="s">
        <v>118</v>
      </c>
      <c r="B118" s="1">
        <v>-1</v>
      </c>
    </row>
    <row r="119" spans="1:2" x14ac:dyDescent="0.25">
      <c r="A119" t="s">
        <v>119</v>
      </c>
      <c r="B119" s="1">
        <v>-1</v>
      </c>
    </row>
    <row r="120" spans="1:2" x14ac:dyDescent="0.25">
      <c r="A120" t="s">
        <v>120</v>
      </c>
      <c r="B120" s="1">
        <v>-1</v>
      </c>
    </row>
    <row r="121" spans="1:2" x14ac:dyDescent="0.25">
      <c r="A121" t="s">
        <v>121</v>
      </c>
      <c r="B121" s="1">
        <v>-1</v>
      </c>
    </row>
    <row r="122" spans="1:2" x14ac:dyDescent="0.25">
      <c r="A122" t="s">
        <v>122</v>
      </c>
      <c r="B122" s="1">
        <v>-1</v>
      </c>
    </row>
    <row r="123" spans="1:2" x14ac:dyDescent="0.25">
      <c r="A123" t="s">
        <v>123</v>
      </c>
      <c r="B123" s="1">
        <v>-1</v>
      </c>
    </row>
    <row r="124" spans="1:2" x14ac:dyDescent="0.25">
      <c r="A124" t="s">
        <v>124</v>
      </c>
      <c r="B124" s="1">
        <v>-1</v>
      </c>
    </row>
    <row r="125" spans="1:2" x14ac:dyDescent="0.25">
      <c r="A125" t="s">
        <v>125</v>
      </c>
      <c r="B125" s="1">
        <v>-1</v>
      </c>
    </row>
    <row r="126" spans="1:2" x14ac:dyDescent="0.25">
      <c r="A126" t="s">
        <v>126</v>
      </c>
      <c r="B126" s="1">
        <v>-1</v>
      </c>
    </row>
    <row r="127" spans="1:2" x14ac:dyDescent="0.25">
      <c r="A127" t="s">
        <v>127</v>
      </c>
      <c r="B127" s="1">
        <v>-1</v>
      </c>
    </row>
    <row r="128" spans="1:2" x14ac:dyDescent="0.25">
      <c r="A128" t="s">
        <v>128</v>
      </c>
      <c r="B128" s="1">
        <v>-1</v>
      </c>
    </row>
    <row r="129" spans="1:2" x14ac:dyDescent="0.25">
      <c r="A129" t="s">
        <v>129</v>
      </c>
      <c r="B129" s="1">
        <v>-1</v>
      </c>
    </row>
    <row r="130" spans="1:2" x14ac:dyDescent="0.25">
      <c r="A130" t="s">
        <v>130</v>
      </c>
      <c r="B130" s="1">
        <v>-1</v>
      </c>
    </row>
    <row r="131" spans="1:2" x14ac:dyDescent="0.25">
      <c r="A131" t="s">
        <v>131</v>
      </c>
      <c r="B131" s="1">
        <v>-1</v>
      </c>
    </row>
    <row r="132" spans="1:2" x14ac:dyDescent="0.25">
      <c r="A132" t="s">
        <v>132</v>
      </c>
      <c r="B132" s="1">
        <v>-1</v>
      </c>
    </row>
    <row r="133" spans="1:2" x14ac:dyDescent="0.25">
      <c r="A133" t="s">
        <v>133</v>
      </c>
      <c r="B133" s="1">
        <v>-1</v>
      </c>
    </row>
    <row r="134" spans="1:2" x14ac:dyDescent="0.25">
      <c r="A134" t="s">
        <v>134</v>
      </c>
      <c r="B134" s="1">
        <v>-1</v>
      </c>
    </row>
    <row r="135" spans="1:2" x14ac:dyDescent="0.25">
      <c r="A135" t="s">
        <v>135</v>
      </c>
      <c r="B135" s="1">
        <v>-1</v>
      </c>
    </row>
    <row r="136" spans="1:2" x14ac:dyDescent="0.25">
      <c r="A136" t="s">
        <v>136</v>
      </c>
      <c r="B136" s="1">
        <v>-1</v>
      </c>
    </row>
    <row r="137" spans="1:2" x14ac:dyDescent="0.25">
      <c r="A137" t="s">
        <v>137</v>
      </c>
      <c r="B137" s="1">
        <v>-1</v>
      </c>
    </row>
    <row r="138" spans="1:2" x14ac:dyDescent="0.25">
      <c r="A138" t="s">
        <v>138</v>
      </c>
      <c r="B138" s="1">
        <v>-1</v>
      </c>
    </row>
    <row r="139" spans="1:2" x14ac:dyDescent="0.25">
      <c r="A139" t="s">
        <v>139</v>
      </c>
      <c r="B139" s="1">
        <v>-1</v>
      </c>
    </row>
    <row r="140" spans="1:2" x14ac:dyDescent="0.25">
      <c r="A140" t="s">
        <v>140</v>
      </c>
      <c r="B140" s="1">
        <v>-1</v>
      </c>
    </row>
    <row r="141" spans="1:2" x14ac:dyDescent="0.25">
      <c r="A141" t="s">
        <v>141</v>
      </c>
      <c r="B141" s="1">
        <v>-1</v>
      </c>
    </row>
    <row r="142" spans="1:2" x14ac:dyDescent="0.25">
      <c r="A142" t="s">
        <v>142</v>
      </c>
      <c r="B142" s="1">
        <v>-1</v>
      </c>
    </row>
    <row r="143" spans="1:2" x14ac:dyDescent="0.25">
      <c r="A143" t="s">
        <v>143</v>
      </c>
      <c r="B143" s="1">
        <v>-1</v>
      </c>
    </row>
    <row r="144" spans="1:2" x14ac:dyDescent="0.25">
      <c r="A144" t="s">
        <v>144</v>
      </c>
      <c r="B144" s="1">
        <v>-1</v>
      </c>
    </row>
    <row r="145" spans="1:2" x14ac:dyDescent="0.25">
      <c r="A145" t="s">
        <v>145</v>
      </c>
      <c r="B145" s="1">
        <v>-1</v>
      </c>
    </row>
    <row r="146" spans="1:2" x14ac:dyDescent="0.25">
      <c r="A146" t="s">
        <v>146</v>
      </c>
      <c r="B146" s="1">
        <v>-1</v>
      </c>
    </row>
    <row r="147" spans="1:2" x14ac:dyDescent="0.25">
      <c r="A147" t="s">
        <v>147</v>
      </c>
      <c r="B147" s="1">
        <v>-1</v>
      </c>
    </row>
    <row r="148" spans="1:2" x14ac:dyDescent="0.25">
      <c r="A148" t="s">
        <v>148</v>
      </c>
      <c r="B148" s="1">
        <v>-1</v>
      </c>
    </row>
    <row r="149" spans="1:2" x14ac:dyDescent="0.25">
      <c r="A149" t="s">
        <v>149</v>
      </c>
      <c r="B149" s="1">
        <v>-1</v>
      </c>
    </row>
    <row r="150" spans="1:2" x14ac:dyDescent="0.25">
      <c r="A150" t="s">
        <v>150</v>
      </c>
      <c r="B150" s="1">
        <v>-1</v>
      </c>
    </row>
    <row r="151" spans="1:2" x14ac:dyDescent="0.25">
      <c r="A151" t="s">
        <v>151</v>
      </c>
      <c r="B151" s="1">
        <v>-1</v>
      </c>
    </row>
    <row r="152" spans="1:2" x14ac:dyDescent="0.25">
      <c r="A152" t="s">
        <v>152</v>
      </c>
      <c r="B152" s="1">
        <v>-1</v>
      </c>
    </row>
    <row r="153" spans="1:2" x14ac:dyDescent="0.25">
      <c r="A153" t="s">
        <v>153</v>
      </c>
      <c r="B153" s="1">
        <v>-1</v>
      </c>
    </row>
    <row r="154" spans="1:2" x14ac:dyDescent="0.25">
      <c r="A154" t="s">
        <v>154</v>
      </c>
      <c r="B154" s="1">
        <v>-1</v>
      </c>
    </row>
    <row r="155" spans="1:2" x14ac:dyDescent="0.25">
      <c r="A155" t="s">
        <v>155</v>
      </c>
      <c r="B155" s="1">
        <v>-1</v>
      </c>
    </row>
    <row r="156" spans="1:2" x14ac:dyDescent="0.25">
      <c r="A156" t="s">
        <v>156</v>
      </c>
      <c r="B156" s="1">
        <v>-1</v>
      </c>
    </row>
    <row r="157" spans="1:2" x14ac:dyDescent="0.25">
      <c r="A157" t="s">
        <v>157</v>
      </c>
      <c r="B157" s="1">
        <v>-1</v>
      </c>
    </row>
    <row r="158" spans="1:2" x14ac:dyDescent="0.25">
      <c r="A158" t="s">
        <v>158</v>
      </c>
      <c r="B158" s="1">
        <v>-1</v>
      </c>
    </row>
    <row r="159" spans="1:2" x14ac:dyDescent="0.25">
      <c r="A159" t="s">
        <v>159</v>
      </c>
      <c r="B159" s="1">
        <v>-1</v>
      </c>
    </row>
    <row r="160" spans="1:2" x14ac:dyDescent="0.25">
      <c r="A160" t="s">
        <v>160</v>
      </c>
      <c r="B160" s="1">
        <v>-1</v>
      </c>
    </row>
    <row r="161" spans="1:2" x14ac:dyDescent="0.25">
      <c r="A161" t="s">
        <v>161</v>
      </c>
      <c r="B161" s="1">
        <v>-1</v>
      </c>
    </row>
    <row r="162" spans="1:2" x14ac:dyDescent="0.25">
      <c r="A162" t="s">
        <v>162</v>
      </c>
      <c r="B162" s="1">
        <v>-1</v>
      </c>
    </row>
    <row r="163" spans="1:2" x14ac:dyDescent="0.25">
      <c r="A163" t="s">
        <v>163</v>
      </c>
      <c r="B163" s="1">
        <v>-1</v>
      </c>
    </row>
    <row r="164" spans="1:2" x14ac:dyDescent="0.25">
      <c r="A164" t="s">
        <v>164</v>
      </c>
      <c r="B164" s="1">
        <v>-1</v>
      </c>
    </row>
    <row r="165" spans="1:2" x14ac:dyDescent="0.25">
      <c r="A165" t="s">
        <v>165</v>
      </c>
      <c r="B165" s="1">
        <v>-1</v>
      </c>
    </row>
    <row r="166" spans="1:2" x14ac:dyDescent="0.25">
      <c r="A166" t="s">
        <v>166</v>
      </c>
      <c r="B166" s="1">
        <v>-1</v>
      </c>
    </row>
    <row r="167" spans="1:2" x14ac:dyDescent="0.25">
      <c r="A167" t="s">
        <v>167</v>
      </c>
      <c r="B167" s="1">
        <v>-1</v>
      </c>
    </row>
    <row r="168" spans="1:2" x14ac:dyDescent="0.25">
      <c r="A168" t="s">
        <v>168</v>
      </c>
      <c r="B168" s="1">
        <v>-1</v>
      </c>
    </row>
    <row r="169" spans="1:2" x14ac:dyDescent="0.25">
      <c r="A169" t="s">
        <v>169</v>
      </c>
      <c r="B169" s="1">
        <v>-1</v>
      </c>
    </row>
    <row r="170" spans="1:2" x14ac:dyDescent="0.25">
      <c r="A170" t="s">
        <v>170</v>
      </c>
      <c r="B170" s="1">
        <v>-1</v>
      </c>
    </row>
    <row r="171" spans="1:2" x14ac:dyDescent="0.25">
      <c r="A171" t="s">
        <v>171</v>
      </c>
      <c r="B171" s="1">
        <v>-1</v>
      </c>
    </row>
    <row r="172" spans="1:2" x14ac:dyDescent="0.25">
      <c r="A172" t="s">
        <v>172</v>
      </c>
      <c r="B172" s="1">
        <v>-1</v>
      </c>
    </row>
    <row r="173" spans="1:2" x14ac:dyDescent="0.25">
      <c r="A173" t="s">
        <v>173</v>
      </c>
      <c r="B173" s="1">
        <v>-1</v>
      </c>
    </row>
    <row r="174" spans="1:2" x14ac:dyDescent="0.25">
      <c r="A174" t="s">
        <v>174</v>
      </c>
      <c r="B174" s="1">
        <v>-1</v>
      </c>
    </row>
    <row r="175" spans="1:2" x14ac:dyDescent="0.25">
      <c r="A175" t="s">
        <v>175</v>
      </c>
      <c r="B175" s="1">
        <v>-1</v>
      </c>
    </row>
    <row r="176" spans="1:2" x14ac:dyDescent="0.25">
      <c r="A176" t="s">
        <v>176</v>
      </c>
      <c r="B176" s="1">
        <v>-1</v>
      </c>
    </row>
    <row r="177" spans="1:2" x14ac:dyDescent="0.25">
      <c r="A177" t="s">
        <v>177</v>
      </c>
      <c r="B177" s="1">
        <v>-1</v>
      </c>
    </row>
    <row r="178" spans="1:2" x14ac:dyDescent="0.25">
      <c r="A178" t="s">
        <v>178</v>
      </c>
      <c r="B178" s="1">
        <v>-1</v>
      </c>
    </row>
    <row r="179" spans="1:2" x14ac:dyDescent="0.25">
      <c r="A179" t="s">
        <v>179</v>
      </c>
      <c r="B179" s="1">
        <v>-1</v>
      </c>
    </row>
    <row r="180" spans="1:2" x14ac:dyDescent="0.25">
      <c r="A180" t="s">
        <v>180</v>
      </c>
      <c r="B180" s="1">
        <v>-1</v>
      </c>
    </row>
    <row r="181" spans="1:2" x14ac:dyDescent="0.25">
      <c r="A181" t="s">
        <v>181</v>
      </c>
      <c r="B181" s="1">
        <v>-1</v>
      </c>
    </row>
    <row r="182" spans="1:2" x14ac:dyDescent="0.25">
      <c r="A182" t="s">
        <v>182</v>
      </c>
      <c r="B182" s="1">
        <v>-1</v>
      </c>
    </row>
    <row r="183" spans="1:2" x14ac:dyDescent="0.25">
      <c r="A183" t="s">
        <v>183</v>
      </c>
      <c r="B183" s="1">
        <v>-1</v>
      </c>
    </row>
    <row r="184" spans="1:2" x14ac:dyDescent="0.25">
      <c r="A184" t="s">
        <v>184</v>
      </c>
      <c r="B184" s="1">
        <v>-1</v>
      </c>
    </row>
    <row r="185" spans="1:2" x14ac:dyDescent="0.25">
      <c r="A185" t="s">
        <v>185</v>
      </c>
      <c r="B185" s="1">
        <v>-1</v>
      </c>
    </row>
    <row r="186" spans="1:2" x14ac:dyDescent="0.25">
      <c r="A186" t="s">
        <v>186</v>
      </c>
      <c r="B186" s="1">
        <v>-1</v>
      </c>
    </row>
    <row r="187" spans="1:2" x14ac:dyDescent="0.25">
      <c r="A187" t="s">
        <v>187</v>
      </c>
      <c r="B187" s="1">
        <v>-1</v>
      </c>
    </row>
    <row r="188" spans="1:2" x14ac:dyDescent="0.25">
      <c r="A188" t="s">
        <v>188</v>
      </c>
      <c r="B188" s="1">
        <v>-1</v>
      </c>
    </row>
    <row r="189" spans="1:2" x14ac:dyDescent="0.25">
      <c r="A189" t="s">
        <v>189</v>
      </c>
      <c r="B189" s="1">
        <v>-1</v>
      </c>
    </row>
    <row r="190" spans="1:2" x14ac:dyDescent="0.25">
      <c r="A190" t="s">
        <v>190</v>
      </c>
      <c r="B190" s="1">
        <v>-1</v>
      </c>
    </row>
    <row r="191" spans="1:2" x14ac:dyDescent="0.25">
      <c r="A191" t="s">
        <v>191</v>
      </c>
      <c r="B191" s="1">
        <v>-1</v>
      </c>
    </row>
    <row r="192" spans="1:2" x14ac:dyDescent="0.25">
      <c r="A192" t="s">
        <v>192</v>
      </c>
      <c r="B192" s="1">
        <v>-1</v>
      </c>
    </row>
    <row r="193" spans="1:2" x14ac:dyDescent="0.25">
      <c r="A193" t="s">
        <v>193</v>
      </c>
      <c r="B193" s="1">
        <v>-1</v>
      </c>
    </row>
    <row r="194" spans="1:2" x14ac:dyDescent="0.25">
      <c r="A194" t="s">
        <v>194</v>
      </c>
      <c r="B194" s="1">
        <v>-1</v>
      </c>
    </row>
    <row r="195" spans="1:2" x14ac:dyDescent="0.25">
      <c r="A195" t="s">
        <v>195</v>
      </c>
      <c r="B195" s="1">
        <v>-1</v>
      </c>
    </row>
    <row r="196" spans="1:2" x14ac:dyDescent="0.25">
      <c r="A196" t="s">
        <v>196</v>
      </c>
      <c r="B196" s="1">
        <v>-1</v>
      </c>
    </row>
    <row r="197" spans="1:2" x14ac:dyDescent="0.25">
      <c r="A197" t="s">
        <v>197</v>
      </c>
      <c r="B197" s="1">
        <v>-1</v>
      </c>
    </row>
    <row r="198" spans="1:2" x14ac:dyDescent="0.25">
      <c r="A198" t="s">
        <v>198</v>
      </c>
      <c r="B198" s="1">
        <v>-1</v>
      </c>
    </row>
    <row r="199" spans="1:2" x14ac:dyDescent="0.25">
      <c r="A199" t="s">
        <v>199</v>
      </c>
      <c r="B199" s="1">
        <v>-1</v>
      </c>
    </row>
    <row r="200" spans="1:2" x14ac:dyDescent="0.25">
      <c r="A200" t="s">
        <v>200</v>
      </c>
      <c r="B200" s="1">
        <v>-1</v>
      </c>
    </row>
    <row r="201" spans="1:2" x14ac:dyDescent="0.25">
      <c r="A201" t="s">
        <v>201</v>
      </c>
      <c r="B201" s="1">
        <v>-1</v>
      </c>
    </row>
    <row r="202" spans="1:2" x14ac:dyDescent="0.25">
      <c r="A202" t="s">
        <v>202</v>
      </c>
      <c r="B202" s="1">
        <v>-1</v>
      </c>
    </row>
    <row r="203" spans="1:2" x14ac:dyDescent="0.25">
      <c r="A203" t="s">
        <v>203</v>
      </c>
      <c r="B203" s="1">
        <v>-1</v>
      </c>
    </row>
    <row r="204" spans="1:2" x14ac:dyDescent="0.25">
      <c r="A204" t="s">
        <v>204</v>
      </c>
      <c r="B204" s="1">
        <v>-1</v>
      </c>
    </row>
    <row r="205" spans="1:2" x14ac:dyDescent="0.25">
      <c r="A205" t="s">
        <v>205</v>
      </c>
      <c r="B205" s="1">
        <v>-1</v>
      </c>
    </row>
    <row r="206" spans="1:2" x14ac:dyDescent="0.25">
      <c r="A206" t="s">
        <v>206</v>
      </c>
      <c r="B206" s="1">
        <v>-1</v>
      </c>
    </row>
    <row r="207" spans="1:2" x14ac:dyDescent="0.25">
      <c r="A207" t="s">
        <v>207</v>
      </c>
      <c r="B207" s="1">
        <v>-1</v>
      </c>
    </row>
    <row r="208" spans="1:2" x14ac:dyDescent="0.25">
      <c r="A208" t="s">
        <v>208</v>
      </c>
      <c r="B208" s="1">
        <v>-1</v>
      </c>
    </row>
    <row r="209" spans="1:2" x14ac:dyDescent="0.25">
      <c r="A209" t="s">
        <v>209</v>
      </c>
      <c r="B209" s="1">
        <v>-1</v>
      </c>
    </row>
    <row r="210" spans="1:2" x14ac:dyDescent="0.25">
      <c r="A210" t="s">
        <v>210</v>
      </c>
      <c r="B210" s="1">
        <v>-1</v>
      </c>
    </row>
    <row r="211" spans="1:2" x14ac:dyDescent="0.25">
      <c r="A211" t="s">
        <v>211</v>
      </c>
      <c r="B211" s="1">
        <v>-1</v>
      </c>
    </row>
    <row r="212" spans="1:2" x14ac:dyDescent="0.25">
      <c r="A212" t="s">
        <v>212</v>
      </c>
      <c r="B212" s="1">
        <v>-1</v>
      </c>
    </row>
    <row r="213" spans="1:2" x14ac:dyDescent="0.25">
      <c r="A213" t="s">
        <v>213</v>
      </c>
      <c r="B213" s="1">
        <v>-1</v>
      </c>
    </row>
    <row r="214" spans="1:2" x14ac:dyDescent="0.25">
      <c r="A214" t="s">
        <v>214</v>
      </c>
      <c r="B214" s="1">
        <v>-1</v>
      </c>
    </row>
    <row r="215" spans="1:2" x14ac:dyDescent="0.25">
      <c r="A215" t="s">
        <v>215</v>
      </c>
      <c r="B215" s="1">
        <v>-1</v>
      </c>
    </row>
    <row r="216" spans="1:2" x14ac:dyDescent="0.25">
      <c r="A216" t="s">
        <v>216</v>
      </c>
      <c r="B216" s="1">
        <v>-1</v>
      </c>
    </row>
    <row r="217" spans="1:2" x14ac:dyDescent="0.25">
      <c r="A217" t="s">
        <v>217</v>
      </c>
      <c r="B217" s="1">
        <v>-1</v>
      </c>
    </row>
    <row r="218" spans="1:2" x14ac:dyDescent="0.25">
      <c r="A218" t="s">
        <v>218</v>
      </c>
      <c r="B218" s="1">
        <v>-1</v>
      </c>
    </row>
    <row r="219" spans="1:2" x14ac:dyDescent="0.25">
      <c r="A219" t="s">
        <v>219</v>
      </c>
      <c r="B219" s="1">
        <v>-1</v>
      </c>
    </row>
    <row r="220" spans="1:2" x14ac:dyDescent="0.25">
      <c r="A220" t="s">
        <v>220</v>
      </c>
      <c r="B220" s="1">
        <v>-1</v>
      </c>
    </row>
    <row r="221" spans="1:2" x14ac:dyDescent="0.25">
      <c r="A221" t="s">
        <v>221</v>
      </c>
      <c r="B221" s="1">
        <v>-1</v>
      </c>
    </row>
    <row r="222" spans="1:2" x14ac:dyDescent="0.25">
      <c r="A222" t="s">
        <v>222</v>
      </c>
      <c r="B222" s="1">
        <v>-1</v>
      </c>
    </row>
    <row r="223" spans="1:2" x14ac:dyDescent="0.25">
      <c r="A223" t="s">
        <v>223</v>
      </c>
      <c r="B223" s="1">
        <v>-1</v>
      </c>
    </row>
    <row r="224" spans="1:2" x14ac:dyDescent="0.25">
      <c r="A224" t="s">
        <v>224</v>
      </c>
      <c r="B224" s="1">
        <v>-1</v>
      </c>
    </row>
    <row r="225" spans="1:2" x14ac:dyDescent="0.25">
      <c r="A225" t="s">
        <v>225</v>
      </c>
      <c r="B225" s="1">
        <v>-1</v>
      </c>
    </row>
    <row r="226" spans="1:2" x14ac:dyDescent="0.25">
      <c r="A226" t="s">
        <v>226</v>
      </c>
      <c r="B226" s="1">
        <v>-1</v>
      </c>
    </row>
    <row r="227" spans="1:2" x14ac:dyDescent="0.25">
      <c r="A227" t="s">
        <v>227</v>
      </c>
      <c r="B227" s="1">
        <v>-1</v>
      </c>
    </row>
    <row r="228" spans="1:2" x14ac:dyDescent="0.25">
      <c r="A228" t="s">
        <v>228</v>
      </c>
      <c r="B228" s="1">
        <v>-1</v>
      </c>
    </row>
    <row r="229" spans="1:2" x14ac:dyDescent="0.25">
      <c r="A229" t="s">
        <v>229</v>
      </c>
      <c r="B229" s="1">
        <v>-1</v>
      </c>
    </row>
    <row r="230" spans="1:2" x14ac:dyDescent="0.25">
      <c r="A230" t="s">
        <v>230</v>
      </c>
      <c r="B230" s="1">
        <v>-1</v>
      </c>
    </row>
    <row r="231" spans="1:2" x14ac:dyDescent="0.25">
      <c r="A231" t="s">
        <v>231</v>
      </c>
      <c r="B231" s="1">
        <v>-1</v>
      </c>
    </row>
    <row r="232" spans="1:2" x14ac:dyDescent="0.25">
      <c r="A232" t="s">
        <v>232</v>
      </c>
      <c r="B232" s="1">
        <v>-1</v>
      </c>
    </row>
    <row r="233" spans="1:2" x14ac:dyDescent="0.25">
      <c r="A233" t="s">
        <v>233</v>
      </c>
      <c r="B233" s="1">
        <v>-1</v>
      </c>
    </row>
    <row r="234" spans="1:2" x14ac:dyDescent="0.25">
      <c r="A234" t="s">
        <v>234</v>
      </c>
      <c r="B234" s="1">
        <v>-1</v>
      </c>
    </row>
    <row r="235" spans="1:2" x14ac:dyDescent="0.25">
      <c r="A235" t="s">
        <v>235</v>
      </c>
      <c r="B235" s="1">
        <v>-1</v>
      </c>
    </row>
    <row r="236" spans="1:2" x14ac:dyDescent="0.25">
      <c r="A236" t="s">
        <v>236</v>
      </c>
      <c r="B236" s="1">
        <v>-1</v>
      </c>
    </row>
    <row r="237" spans="1:2" x14ac:dyDescent="0.25">
      <c r="A237" t="s">
        <v>237</v>
      </c>
      <c r="B237" s="1">
        <v>-1</v>
      </c>
    </row>
    <row r="238" spans="1:2" x14ac:dyDescent="0.25">
      <c r="A238" t="s">
        <v>238</v>
      </c>
      <c r="B238" s="1">
        <v>-1</v>
      </c>
    </row>
    <row r="239" spans="1:2" x14ac:dyDescent="0.25">
      <c r="A239" t="s">
        <v>239</v>
      </c>
      <c r="B239" s="1">
        <v>-1</v>
      </c>
    </row>
    <row r="240" spans="1:2" x14ac:dyDescent="0.25">
      <c r="A240" t="s">
        <v>240</v>
      </c>
      <c r="B240" s="1">
        <v>-1</v>
      </c>
    </row>
    <row r="241" spans="1:2" x14ac:dyDescent="0.25">
      <c r="A241" t="s">
        <v>241</v>
      </c>
      <c r="B241" s="1">
        <v>-1</v>
      </c>
    </row>
    <row r="242" spans="1:2" x14ac:dyDescent="0.25">
      <c r="A242" t="s">
        <v>242</v>
      </c>
      <c r="B242" s="1">
        <v>-1</v>
      </c>
    </row>
    <row r="243" spans="1:2" x14ac:dyDescent="0.25">
      <c r="A243" t="s">
        <v>243</v>
      </c>
      <c r="B243" s="1">
        <v>-1</v>
      </c>
    </row>
    <row r="244" spans="1:2" x14ac:dyDescent="0.25">
      <c r="A244" t="s">
        <v>244</v>
      </c>
      <c r="B244" s="1">
        <v>-1</v>
      </c>
    </row>
    <row r="245" spans="1:2" x14ac:dyDescent="0.25">
      <c r="A245" t="s">
        <v>245</v>
      </c>
      <c r="B245" s="1">
        <v>-1</v>
      </c>
    </row>
    <row r="246" spans="1:2" x14ac:dyDescent="0.25">
      <c r="A246" t="s">
        <v>246</v>
      </c>
      <c r="B246" s="1">
        <v>-1</v>
      </c>
    </row>
    <row r="247" spans="1:2" x14ac:dyDescent="0.25">
      <c r="A247" t="s">
        <v>247</v>
      </c>
      <c r="B247" s="1">
        <v>-1</v>
      </c>
    </row>
    <row r="248" spans="1:2" x14ac:dyDescent="0.25">
      <c r="A248" t="s">
        <v>248</v>
      </c>
      <c r="B248" s="1">
        <v>-1</v>
      </c>
    </row>
    <row r="249" spans="1:2" x14ac:dyDescent="0.25">
      <c r="A249" t="s">
        <v>249</v>
      </c>
      <c r="B249" s="1">
        <v>-1</v>
      </c>
    </row>
    <row r="250" spans="1:2" x14ac:dyDescent="0.25">
      <c r="A250" t="s">
        <v>250</v>
      </c>
      <c r="B250" s="1">
        <v>-1</v>
      </c>
    </row>
    <row r="251" spans="1:2" x14ac:dyDescent="0.25">
      <c r="A251" t="s">
        <v>251</v>
      </c>
      <c r="B251" s="1">
        <v>-1</v>
      </c>
    </row>
    <row r="252" spans="1:2" x14ac:dyDescent="0.25">
      <c r="A252" t="s">
        <v>252</v>
      </c>
      <c r="B252" s="1">
        <v>-0.5</v>
      </c>
    </row>
    <row r="253" spans="1:2" x14ac:dyDescent="0.25">
      <c r="A253" t="s">
        <v>253</v>
      </c>
      <c r="B253" s="1">
        <v>-0.5</v>
      </c>
    </row>
    <row r="254" spans="1:2" x14ac:dyDescent="0.25">
      <c r="A254" t="s">
        <v>254</v>
      </c>
      <c r="B254" s="1">
        <v>-0.5</v>
      </c>
    </row>
    <row r="255" spans="1:2" x14ac:dyDescent="0.25">
      <c r="A255" t="s">
        <v>255</v>
      </c>
      <c r="B255" s="1">
        <v>-0.5</v>
      </c>
    </row>
    <row r="256" spans="1:2" x14ac:dyDescent="0.25">
      <c r="A256" t="s">
        <v>256</v>
      </c>
      <c r="B256" s="1">
        <v>-0.5</v>
      </c>
    </row>
    <row r="257" spans="1:2" x14ac:dyDescent="0.25">
      <c r="A257" t="s">
        <v>257</v>
      </c>
      <c r="B257" s="1">
        <v>-0.5</v>
      </c>
    </row>
    <row r="258" spans="1:2" x14ac:dyDescent="0.25">
      <c r="A258" t="s">
        <v>258</v>
      </c>
      <c r="B258" s="1">
        <v>-0.5</v>
      </c>
    </row>
    <row r="259" spans="1:2" x14ac:dyDescent="0.25">
      <c r="A259" t="s">
        <v>259</v>
      </c>
      <c r="B259" s="1">
        <v>-0.5</v>
      </c>
    </row>
    <row r="260" spans="1:2" x14ac:dyDescent="0.25">
      <c r="A260" t="s">
        <v>260</v>
      </c>
      <c r="B260" s="1">
        <v>-0.5</v>
      </c>
    </row>
    <row r="261" spans="1:2" x14ac:dyDescent="0.25">
      <c r="A261" t="s">
        <v>261</v>
      </c>
      <c r="B261" s="1">
        <v>-0.4</v>
      </c>
    </row>
    <row r="262" spans="1:2" x14ac:dyDescent="0.25">
      <c r="A262" t="s">
        <v>262</v>
      </c>
      <c r="B262" s="1">
        <v>-0.29999999999883586</v>
      </c>
    </row>
    <row r="263" spans="1:2" x14ac:dyDescent="0.25">
      <c r="A263" t="s">
        <v>263</v>
      </c>
      <c r="B263" s="1">
        <v>-0.25</v>
      </c>
    </row>
    <row r="264" spans="1:2" x14ac:dyDescent="0.25">
      <c r="A264" t="s">
        <v>264</v>
      </c>
      <c r="B264" s="1">
        <v>0</v>
      </c>
    </row>
    <row r="265" spans="1:2" x14ac:dyDescent="0.25">
      <c r="A265" t="s">
        <v>265</v>
      </c>
      <c r="B265" s="1">
        <v>0</v>
      </c>
    </row>
    <row r="266" spans="1:2" x14ac:dyDescent="0.25">
      <c r="A266" t="s">
        <v>266</v>
      </c>
      <c r="B266" s="1">
        <v>0</v>
      </c>
    </row>
    <row r="267" spans="1:2" x14ac:dyDescent="0.25">
      <c r="A267" t="s">
        <v>267</v>
      </c>
      <c r="B267" s="1">
        <v>0</v>
      </c>
    </row>
    <row r="268" spans="1:2" x14ac:dyDescent="0.25">
      <c r="A268" t="s">
        <v>268</v>
      </c>
      <c r="B268" s="1">
        <v>0</v>
      </c>
    </row>
    <row r="269" spans="1:2" x14ac:dyDescent="0.25">
      <c r="A269" t="s">
        <v>269</v>
      </c>
      <c r="B269" s="1">
        <v>0</v>
      </c>
    </row>
    <row r="270" spans="1:2" x14ac:dyDescent="0.25">
      <c r="A270" t="s">
        <v>270</v>
      </c>
      <c r="B270" s="1">
        <v>0</v>
      </c>
    </row>
    <row r="271" spans="1:2" x14ac:dyDescent="0.25">
      <c r="A271" t="s">
        <v>271</v>
      </c>
      <c r="B271" s="1">
        <v>0</v>
      </c>
    </row>
    <row r="272" spans="1:2" x14ac:dyDescent="0.25">
      <c r="A272" t="s">
        <v>272</v>
      </c>
      <c r="B272" s="1">
        <v>0</v>
      </c>
    </row>
    <row r="273" spans="1:2" x14ac:dyDescent="0.25">
      <c r="A273" t="s">
        <v>273</v>
      </c>
      <c r="B273" s="1">
        <v>0</v>
      </c>
    </row>
    <row r="274" spans="1:2" x14ac:dyDescent="0.25">
      <c r="A274" t="s">
        <v>274</v>
      </c>
      <c r="B274" s="1">
        <v>0</v>
      </c>
    </row>
    <row r="275" spans="1:2" x14ac:dyDescent="0.25">
      <c r="A275" t="s">
        <v>275</v>
      </c>
      <c r="B275" s="1">
        <v>0</v>
      </c>
    </row>
    <row r="276" spans="1:2" x14ac:dyDescent="0.25">
      <c r="A276" t="s">
        <v>276</v>
      </c>
      <c r="B276" s="1">
        <v>0</v>
      </c>
    </row>
    <row r="277" spans="1:2" x14ac:dyDescent="0.25">
      <c r="A277" t="s">
        <v>277</v>
      </c>
      <c r="B277" s="1">
        <v>0</v>
      </c>
    </row>
    <row r="278" spans="1:2" x14ac:dyDescent="0.25">
      <c r="A278" t="s">
        <v>278</v>
      </c>
      <c r="B278" s="1">
        <v>0</v>
      </c>
    </row>
    <row r="279" spans="1:2" x14ac:dyDescent="0.25">
      <c r="A279" t="s">
        <v>279</v>
      </c>
      <c r="B279" s="1">
        <v>0</v>
      </c>
    </row>
    <row r="280" spans="1:2" x14ac:dyDescent="0.25">
      <c r="A280" t="s">
        <v>280</v>
      </c>
      <c r="B280" s="1">
        <v>0</v>
      </c>
    </row>
    <row r="281" spans="1:2" x14ac:dyDescent="0.25">
      <c r="A281" t="s">
        <v>281</v>
      </c>
      <c r="B281" s="1">
        <v>0</v>
      </c>
    </row>
    <row r="282" spans="1:2" x14ac:dyDescent="0.25">
      <c r="A282" t="s">
        <v>282</v>
      </c>
      <c r="B282" s="1">
        <v>0</v>
      </c>
    </row>
    <row r="283" spans="1:2" x14ac:dyDescent="0.25">
      <c r="A283" t="s">
        <v>283</v>
      </c>
      <c r="B283" s="1">
        <v>0</v>
      </c>
    </row>
    <row r="284" spans="1:2" x14ac:dyDescent="0.25">
      <c r="A284" t="s">
        <v>284</v>
      </c>
      <c r="B284" s="1">
        <v>0</v>
      </c>
    </row>
    <row r="285" spans="1:2" x14ac:dyDescent="0.25">
      <c r="A285" t="s">
        <v>285</v>
      </c>
      <c r="B285" s="1">
        <v>0</v>
      </c>
    </row>
    <row r="286" spans="1:2" x14ac:dyDescent="0.25">
      <c r="A286" t="s">
        <v>286</v>
      </c>
      <c r="B286" s="1">
        <v>0</v>
      </c>
    </row>
    <row r="287" spans="1:2" x14ac:dyDescent="0.25">
      <c r="A287" t="s">
        <v>287</v>
      </c>
      <c r="B287" s="1">
        <v>0</v>
      </c>
    </row>
    <row r="288" spans="1:2" x14ac:dyDescent="0.25">
      <c r="A288" t="s">
        <v>288</v>
      </c>
      <c r="B288" s="1">
        <v>0</v>
      </c>
    </row>
    <row r="289" spans="1:2" x14ac:dyDescent="0.25">
      <c r="A289" t="s">
        <v>289</v>
      </c>
      <c r="B289" s="1">
        <v>0</v>
      </c>
    </row>
    <row r="290" spans="1:2" x14ac:dyDescent="0.25">
      <c r="A290" t="s">
        <v>290</v>
      </c>
      <c r="B290" s="1">
        <v>0</v>
      </c>
    </row>
    <row r="291" spans="1:2" x14ac:dyDescent="0.25">
      <c r="A291" t="s">
        <v>291</v>
      </c>
      <c r="B291" s="1">
        <v>0</v>
      </c>
    </row>
    <row r="292" spans="1:2" x14ac:dyDescent="0.25">
      <c r="A292" t="s">
        <v>292</v>
      </c>
      <c r="B292" s="1">
        <v>0</v>
      </c>
    </row>
    <row r="293" spans="1:2" x14ac:dyDescent="0.25">
      <c r="A293" t="s">
        <v>293</v>
      </c>
      <c r="B293" s="1">
        <v>0</v>
      </c>
    </row>
    <row r="294" spans="1:2" x14ac:dyDescent="0.25">
      <c r="A294" t="s">
        <v>294</v>
      </c>
      <c r="B294" s="1">
        <v>0</v>
      </c>
    </row>
    <row r="295" spans="1:2" x14ac:dyDescent="0.25">
      <c r="A295" t="s">
        <v>295</v>
      </c>
      <c r="B295" s="1">
        <v>0</v>
      </c>
    </row>
    <row r="296" spans="1:2" x14ac:dyDescent="0.25">
      <c r="A296" t="s">
        <v>296</v>
      </c>
      <c r="B296" s="1">
        <v>0</v>
      </c>
    </row>
    <row r="297" spans="1:2" x14ac:dyDescent="0.25">
      <c r="A297" t="s">
        <v>297</v>
      </c>
      <c r="B297" s="1">
        <v>0</v>
      </c>
    </row>
    <row r="298" spans="1:2" x14ac:dyDescent="0.25">
      <c r="A298" t="s">
        <v>298</v>
      </c>
      <c r="B298" s="1">
        <v>0</v>
      </c>
    </row>
    <row r="299" spans="1:2" x14ac:dyDescent="0.25">
      <c r="A299" t="s">
        <v>299</v>
      </c>
      <c r="B299" s="1">
        <v>0</v>
      </c>
    </row>
    <row r="300" spans="1:2" x14ac:dyDescent="0.25">
      <c r="A300" t="s">
        <v>300</v>
      </c>
      <c r="B300" s="1">
        <v>0</v>
      </c>
    </row>
    <row r="301" spans="1:2" x14ac:dyDescent="0.25">
      <c r="A301" t="s">
        <v>301</v>
      </c>
      <c r="B301" s="1">
        <v>0</v>
      </c>
    </row>
    <row r="302" spans="1:2" x14ac:dyDescent="0.25">
      <c r="A302" t="s">
        <v>302</v>
      </c>
      <c r="B302" s="1">
        <v>0</v>
      </c>
    </row>
    <row r="303" spans="1:2" x14ac:dyDescent="0.25">
      <c r="A303" t="s">
        <v>303</v>
      </c>
      <c r="B303" s="1">
        <v>0</v>
      </c>
    </row>
    <row r="304" spans="1:2" x14ac:dyDescent="0.25">
      <c r="A304" t="s">
        <v>304</v>
      </c>
      <c r="B304" s="1">
        <v>0</v>
      </c>
    </row>
    <row r="305" spans="1:2" x14ac:dyDescent="0.25">
      <c r="A305" t="s">
        <v>305</v>
      </c>
      <c r="B305" s="1">
        <v>0</v>
      </c>
    </row>
    <row r="306" spans="1:2" x14ac:dyDescent="0.25">
      <c r="A306" t="s">
        <v>306</v>
      </c>
      <c r="B306" s="1">
        <v>0</v>
      </c>
    </row>
    <row r="307" spans="1:2" x14ac:dyDescent="0.25">
      <c r="A307" t="s">
        <v>307</v>
      </c>
      <c r="B307" s="1">
        <v>0</v>
      </c>
    </row>
    <row r="308" spans="1:2" x14ac:dyDescent="0.25">
      <c r="A308" t="s">
        <v>308</v>
      </c>
      <c r="B308" s="1">
        <v>0</v>
      </c>
    </row>
    <row r="309" spans="1:2" x14ac:dyDescent="0.25">
      <c r="A309" t="s">
        <v>309</v>
      </c>
      <c r="B309" s="1">
        <v>0</v>
      </c>
    </row>
    <row r="310" spans="1:2" x14ac:dyDescent="0.25">
      <c r="A310" t="s">
        <v>310</v>
      </c>
      <c r="B310" s="1">
        <v>0</v>
      </c>
    </row>
    <row r="311" spans="1:2" x14ac:dyDescent="0.25">
      <c r="A311" t="s">
        <v>311</v>
      </c>
      <c r="B311" s="1">
        <v>0</v>
      </c>
    </row>
    <row r="312" spans="1:2" x14ac:dyDescent="0.25">
      <c r="A312" t="s">
        <v>312</v>
      </c>
      <c r="B312" s="1">
        <v>0</v>
      </c>
    </row>
    <row r="313" spans="1:2" x14ac:dyDescent="0.25">
      <c r="A313" t="s">
        <v>313</v>
      </c>
      <c r="B313" s="1">
        <v>0</v>
      </c>
    </row>
    <row r="314" spans="1:2" x14ac:dyDescent="0.25">
      <c r="A314" t="s">
        <v>314</v>
      </c>
      <c r="B314" s="1">
        <v>0</v>
      </c>
    </row>
    <row r="315" spans="1:2" x14ac:dyDescent="0.25">
      <c r="A315" t="s">
        <v>315</v>
      </c>
      <c r="B315" s="1">
        <v>0</v>
      </c>
    </row>
    <row r="316" spans="1:2" x14ac:dyDescent="0.25">
      <c r="A316" t="s">
        <v>316</v>
      </c>
      <c r="B316" s="1">
        <v>0</v>
      </c>
    </row>
    <row r="317" spans="1:2" x14ac:dyDescent="0.25">
      <c r="A317" t="s">
        <v>317</v>
      </c>
      <c r="B317" s="1">
        <v>0</v>
      </c>
    </row>
    <row r="318" spans="1:2" x14ac:dyDescent="0.25">
      <c r="A318" t="s">
        <v>318</v>
      </c>
      <c r="B318" s="1">
        <v>0</v>
      </c>
    </row>
    <row r="319" spans="1:2" x14ac:dyDescent="0.25">
      <c r="A319" t="s">
        <v>319</v>
      </c>
      <c r="B319" s="1">
        <v>0</v>
      </c>
    </row>
    <row r="320" spans="1:2" x14ac:dyDescent="0.25">
      <c r="A320" t="s">
        <v>320</v>
      </c>
      <c r="B320" s="1">
        <v>0</v>
      </c>
    </row>
    <row r="321" spans="1:2" x14ac:dyDescent="0.25">
      <c r="A321" t="s">
        <v>321</v>
      </c>
      <c r="B321" s="1">
        <v>0</v>
      </c>
    </row>
    <row r="322" spans="1:2" x14ac:dyDescent="0.25">
      <c r="A322" t="s">
        <v>322</v>
      </c>
      <c r="B322" s="1">
        <v>0</v>
      </c>
    </row>
    <row r="323" spans="1:2" x14ac:dyDescent="0.25">
      <c r="A323" t="s">
        <v>323</v>
      </c>
      <c r="B323" s="1">
        <v>0</v>
      </c>
    </row>
    <row r="324" spans="1:2" x14ac:dyDescent="0.25">
      <c r="A324" t="s">
        <v>324</v>
      </c>
      <c r="B324" s="1">
        <v>0</v>
      </c>
    </row>
    <row r="325" spans="1:2" x14ac:dyDescent="0.25">
      <c r="A325" t="s">
        <v>325</v>
      </c>
      <c r="B325" s="1">
        <v>0</v>
      </c>
    </row>
    <row r="326" spans="1:2" x14ac:dyDescent="0.25">
      <c r="A326" t="s">
        <v>326</v>
      </c>
      <c r="B326" s="1">
        <v>0</v>
      </c>
    </row>
    <row r="327" spans="1:2" x14ac:dyDescent="0.25">
      <c r="A327" t="s">
        <v>327</v>
      </c>
      <c r="B327" s="1">
        <v>0</v>
      </c>
    </row>
    <row r="328" spans="1:2" x14ac:dyDescent="0.25">
      <c r="A328" t="s">
        <v>328</v>
      </c>
      <c r="B328" s="1">
        <v>0</v>
      </c>
    </row>
    <row r="329" spans="1:2" x14ac:dyDescent="0.25">
      <c r="A329" t="s">
        <v>329</v>
      </c>
      <c r="B329" s="1">
        <v>0</v>
      </c>
    </row>
    <row r="330" spans="1:2" x14ac:dyDescent="0.25">
      <c r="A330" t="s">
        <v>330</v>
      </c>
      <c r="B330" s="1">
        <v>0</v>
      </c>
    </row>
    <row r="331" spans="1:2" x14ac:dyDescent="0.25">
      <c r="A331" t="s">
        <v>331</v>
      </c>
      <c r="B331" s="1">
        <v>0</v>
      </c>
    </row>
    <row r="332" spans="1:2" x14ac:dyDescent="0.25">
      <c r="A332" t="s">
        <v>332</v>
      </c>
      <c r="B332" s="1">
        <v>0</v>
      </c>
    </row>
    <row r="333" spans="1:2" x14ac:dyDescent="0.25">
      <c r="A333" t="s">
        <v>333</v>
      </c>
      <c r="B333" s="1">
        <v>0</v>
      </c>
    </row>
    <row r="334" spans="1:2" x14ac:dyDescent="0.25">
      <c r="A334" t="s">
        <v>334</v>
      </c>
      <c r="B334" s="1">
        <v>0</v>
      </c>
    </row>
    <row r="335" spans="1:2" x14ac:dyDescent="0.25">
      <c r="A335" t="s">
        <v>335</v>
      </c>
      <c r="B335" s="1">
        <v>0</v>
      </c>
    </row>
    <row r="336" spans="1:2" x14ac:dyDescent="0.25">
      <c r="A336" t="s">
        <v>336</v>
      </c>
      <c r="B336" s="1">
        <v>0</v>
      </c>
    </row>
    <row r="337" spans="1:2" x14ac:dyDescent="0.25">
      <c r="A337" t="s">
        <v>337</v>
      </c>
      <c r="B337" s="1">
        <v>0</v>
      </c>
    </row>
    <row r="338" spans="1:2" x14ac:dyDescent="0.25">
      <c r="A338" t="s">
        <v>338</v>
      </c>
      <c r="B338" s="1">
        <v>0</v>
      </c>
    </row>
    <row r="339" spans="1:2" x14ac:dyDescent="0.25">
      <c r="A339" t="s">
        <v>339</v>
      </c>
      <c r="B339" s="1">
        <v>0</v>
      </c>
    </row>
    <row r="340" spans="1:2" x14ac:dyDescent="0.25">
      <c r="A340" t="s">
        <v>340</v>
      </c>
      <c r="B340" s="1">
        <v>0</v>
      </c>
    </row>
    <row r="341" spans="1:2" x14ac:dyDescent="0.25">
      <c r="A341" t="s">
        <v>341</v>
      </c>
      <c r="B341" s="1">
        <v>0</v>
      </c>
    </row>
    <row r="342" spans="1:2" x14ac:dyDescent="0.25">
      <c r="A342" t="s">
        <v>342</v>
      </c>
      <c r="B342" s="1">
        <v>0</v>
      </c>
    </row>
    <row r="343" spans="1:2" x14ac:dyDescent="0.25">
      <c r="A343" t="s">
        <v>343</v>
      </c>
      <c r="B343" s="1">
        <v>0</v>
      </c>
    </row>
    <row r="344" spans="1:2" x14ac:dyDescent="0.25">
      <c r="A344" t="s">
        <v>344</v>
      </c>
      <c r="B344" s="1">
        <v>0</v>
      </c>
    </row>
    <row r="345" spans="1:2" x14ac:dyDescent="0.25">
      <c r="A345" t="s">
        <v>345</v>
      </c>
      <c r="B345" s="1">
        <v>0</v>
      </c>
    </row>
    <row r="346" spans="1:2" x14ac:dyDescent="0.25">
      <c r="A346" t="s">
        <v>346</v>
      </c>
      <c r="B346" s="1">
        <v>0</v>
      </c>
    </row>
    <row r="347" spans="1:2" x14ac:dyDescent="0.25">
      <c r="A347" t="s">
        <v>347</v>
      </c>
      <c r="B347" s="1">
        <v>0</v>
      </c>
    </row>
    <row r="348" spans="1:2" x14ac:dyDescent="0.25">
      <c r="A348" t="s">
        <v>348</v>
      </c>
      <c r="B348" s="1">
        <v>0</v>
      </c>
    </row>
    <row r="349" spans="1:2" x14ac:dyDescent="0.25">
      <c r="A349" t="s">
        <v>349</v>
      </c>
      <c r="B349" s="1">
        <v>0</v>
      </c>
    </row>
    <row r="350" spans="1:2" x14ac:dyDescent="0.25">
      <c r="A350" t="s">
        <v>350</v>
      </c>
      <c r="B350" s="1">
        <v>0</v>
      </c>
    </row>
    <row r="351" spans="1:2" x14ac:dyDescent="0.25">
      <c r="A351" t="s">
        <v>351</v>
      </c>
      <c r="B351" s="1">
        <v>0</v>
      </c>
    </row>
    <row r="352" spans="1:2" x14ac:dyDescent="0.25">
      <c r="A352" t="s">
        <v>352</v>
      </c>
      <c r="B352" s="1">
        <v>0</v>
      </c>
    </row>
    <row r="353" spans="1:2" x14ac:dyDescent="0.25">
      <c r="A353" t="s">
        <v>353</v>
      </c>
      <c r="B353" s="1">
        <v>0</v>
      </c>
    </row>
    <row r="354" spans="1:2" x14ac:dyDescent="0.25">
      <c r="A354" t="s">
        <v>354</v>
      </c>
      <c r="B354" s="1">
        <v>0</v>
      </c>
    </row>
    <row r="355" spans="1:2" x14ac:dyDescent="0.25">
      <c r="A355" t="s">
        <v>355</v>
      </c>
      <c r="B355" s="1">
        <v>0</v>
      </c>
    </row>
    <row r="356" spans="1:2" x14ac:dyDescent="0.25">
      <c r="A356" t="s">
        <v>356</v>
      </c>
      <c r="B356" s="1">
        <v>0</v>
      </c>
    </row>
    <row r="357" spans="1:2" x14ac:dyDescent="0.25">
      <c r="A357" t="s">
        <v>357</v>
      </c>
      <c r="B357" s="1">
        <v>0</v>
      </c>
    </row>
    <row r="358" spans="1:2" x14ac:dyDescent="0.25">
      <c r="A358" t="s">
        <v>358</v>
      </c>
      <c r="B358" s="1">
        <v>0</v>
      </c>
    </row>
    <row r="359" spans="1:2" x14ac:dyDescent="0.25">
      <c r="A359" t="s">
        <v>359</v>
      </c>
      <c r="B359" s="1">
        <v>0</v>
      </c>
    </row>
    <row r="360" spans="1:2" x14ac:dyDescent="0.25">
      <c r="A360" t="s">
        <v>360</v>
      </c>
      <c r="B360" s="1">
        <v>0</v>
      </c>
    </row>
    <row r="361" spans="1:2" x14ac:dyDescent="0.25">
      <c r="A361" t="s">
        <v>361</v>
      </c>
      <c r="B361" s="1">
        <v>0</v>
      </c>
    </row>
    <row r="362" spans="1:2" x14ac:dyDescent="0.25">
      <c r="A362" t="s">
        <v>362</v>
      </c>
      <c r="B362" s="1">
        <v>0</v>
      </c>
    </row>
    <row r="363" spans="1:2" x14ac:dyDescent="0.25">
      <c r="A363" t="s">
        <v>363</v>
      </c>
      <c r="B363" s="1">
        <v>0</v>
      </c>
    </row>
    <row r="364" spans="1:2" x14ac:dyDescent="0.25">
      <c r="A364" t="s">
        <v>364</v>
      </c>
      <c r="B364" s="1">
        <v>0</v>
      </c>
    </row>
    <row r="365" spans="1:2" x14ac:dyDescent="0.25">
      <c r="A365" t="s">
        <v>365</v>
      </c>
      <c r="B365" s="1">
        <v>0</v>
      </c>
    </row>
    <row r="366" spans="1:2" x14ac:dyDescent="0.25">
      <c r="A366" t="s">
        <v>366</v>
      </c>
      <c r="B366" s="1">
        <v>0</v>
      </c>
    </row>
    <row r="367" spans="1:2" x14ac:dyDescent="0.25">
      <c r="A367" t="s">
        <v>367</v>
      </c>
      <c r="B367" s="1">
        <v>0</v>
      </c>
    </row>
    <row r="368" spans="1:2" x14ac:dyDescent="0.25">
      <c r="A368" t="s">
        <v>368</v>
      </c>
      <c r="B368" s="1">
        <v>0</v>
      </c>
    </row>
    <row r="369" spans="1:2" x14ac:dyDescent="0.25">
      <c r="A369" t="s">
        <v>369</v>
      </c>
      <c r="B369" s="1">
        <v>0</v>
      </c>
    </row>
    <row r="370" spans="1:2" x14ac:dyDescent="0.25">
      <c r="A370" t="s">
        <v>370</v>
      </c>
      <c r="B370" s="1">
        <v>0</v>
      </c>
    </row>
    <row r="371" spans="1:2" x14ac:dyDescent="0.25">
      <c r="A371" t="s">
        <v>371</v>
      </c>
      <c r="B371" s="1">
        <v>0</v>
      </c>
    </row>
    <row r="372" spans="1:2" x14ac:dyDescent="0.25">
      <c r="A372" t="s">
        <v>372</v>
      </c>
      <c r="B372" s="1">
        <v>0</v>
      </c>
    </row>
    <row r="373" spans="1:2" x14ac:dyDescent="0.25">
      <c r="A373" t="s">
        <v>373</v>
      </c>
      <c r="B373" s="1">
        <v>0</v>
      </c>
    </row>
    <row r="374" spans="1:2" x14ac:dyDescent="0.25">
      <c r="A374" t="s">
        <v>374</v>
      </c>
      <c r="B374" s="1">
        <v>0</v>
      </c>
    </row>
    <row r="375" spans="1:2" x14ac:dyDescent="0.25">
      <c r="A375" t="s">
        <v>375</v>
      </c>
      <c r="B375" s="1">
        <v>0</v>
      </c>
    </row>
    <row r="376" spans="1:2" x14ac:dyDescent="0.25">
      <c r="A376" t="s">
        <v>376</v>
      </c>
      <c r="B376" s="1">
        <v>0</v>
      </c>
    </row>
    <row r="377" spans="1:2" x14ac:dyDescent="0.25">
      <c r="A377" t="s">
        <v>377</v>
      </c>
      <c r="B377" s="1">
        <v>0</v>
      </c>
    </row>
    <row r="378" spans="1:2" x14ac:dyDescent="0.25">
      <c r="A378" t="s">
        <v>378</v>
      </c>
      <c r="B378" s="1">
        <v>0</v>
      </c>
    </row>
    <row r="379" spans="1:2" x14ac:dyDescent="0.25">
      <c r="A379" t="s">
        <v>379</v>
      </c>
      <c r="B379" s="1">
        <v>0</v>
      </c>
    </row>
    <row r="380" spans="1:2" x14ac:dyDescent="0.25">
      <c r="A380" t="s">
        <v>380</v>
      </c>
      <c r="B380" s="1">
        <v>0</v>
      </c>
    </row>
    <row r="381" spans="1:2" x14ac:dyDescent="0.25">
      <c r="A381" t="s">
        <v>381</v>
      </c>
      <c r="B381" s="1">
        <v>0</v>
      </c>
    </row>
    <row r="382" spans="1:2" x14ac:dyDescent="0.25">
      <c r="A382" t="s">
        <v>382</v>
      </c>
      <c r="B382" s="1">
        <v>0</v>
      </c>
    </row>
    <row r="383" spans="1:2" x14ac:dyDescent="0.25">
      <c r="A383" t="s">
        <v>383</v>
      </c>
      <c r="B383" s="1">
        <v>0</v>
      </c>
    </row>
    <row r="384" spans="1:2" x14ac:dyDescent="0.25">
      <c r="A384" t="s">
        <v>384</v>
      </c>
      <c r="B384" s="1">
        <v>0</v>
      </c>
    </row>
    <row r="385" spans="1:2" x14ac:dyDescent="0.25">
      <c r="A385" t="s">
        <v>385</v>
      </c>
      <c r="B385" s="1">
        <v>0</v>
      </c>
    </row>
    <row r="386" spans="1:2" x14ac:dyDescent="0.25">
      <c r="A386" t="s">
        <v>386</v>
      </c>
      <c r="B386" s="1">
        <v>0</v>
      </c>
    </row>
    <row r="387" spans="1:2" x14ac:dyDescent="0.25">
      <c r="A387" t="s">
        <v>387</v>
      </c>
      <c r="B387" s="1">
        <v>0</v>
      </c>
    </row>
    <row r="388" spans="1:2" x14ac:dyDescent="0.25">
      <c r="A388" t="s">
        <v>388</v>
      </c>
      <c r="B388" s="1">
        <v>0</v>
      </c>
    </row>
    <row r="389" spans="1:2" x14ac:dyDescent="0.25">
      <c r="A389" t="s">
        <v>389</v>
      </c>
      <c r="B389" s="1">
        <v>0</v>
      </c>
    </row>
    <row r="390" spans="1:2" x14ac:dyDescent="0.25">
      <c r="A390" t="s">
        <v>390</v>
      </c>
      <c r="B390" s="1">
        <v>0</v>
      </c>
    </row>
    <row r="391" spans="1:2" x14ac:dyDescent="0.25">
      <c r="A391" t="s">
        <v>391</v>
      </c>
      <c r="B391" s="1">
        <v>0</v>
      </c>
    </row>
    <row r="392" spans="1:2" x14ac:dyDescent="0.25">
      <c r="A392" t="s">
        <v>392</v>
      </c>
      <c r="B392" s="1">
        <v>0</v>
      </c>
    </row>
    <row r="393" spans="1:2" x14ac:dyDescent="0.25">
      <c r="A393" t="s">
        <v>393</v>
      </c>
      <c r="B393" s="1">
        <v>0</v>
      </c>
    </row>
    <row r="394" spans="1:2" x14ac:dyDescent="0.25">
      <c r="A394" t="s">
        <v>394</v>
      </c>
      <c r="B394" s="1">
        <v>0</v>
      </c>
    </row>
    <row r="395" spans="1:2" x14ac:dyDescent="0.25">
      <c r="A395" t="s">
        <v>395</v>
      </c>
      <c r="B395" s="1">
        <v>0</v>
      </c>
    </row>
    <row r="396" spans="1:2" x14ac:dyDescent="0.25">
      <c r="A396" t="s">
        <v>396</v>
      </c>
      <c r="B396" s="1">
        <v>0</v>
      </c>
    </row>
    <row r="397" spans="1:2" x14ac:dyDescent="0.25">
      <c r="A397" t="s">
        <v>397</v>
      </c>
      <c r="B397" s="1">
        <v>0</v>
      </c>
    </row>
    <row r="398" spans="1:2" x14ac:dyDescent="0.25">
      <c r="A398" t="s">
        <v>398</v>
      </c>
      <c r="B398" s="1">
        <v>0</v>
      </c>
    </row>
    <row r="399" spans="1:2" x14ac:dyDescent="0.25">
      <c r="A399" t="s">
        <v>399</v>
      </c>
      <c r="B399" s="1">
        <v>0</v>
      </c>
    </row>
    <row r="400" spans="1:2" x14ac:dyDescent="0.25">
      <c r="A400" t="s">
        <v>400</v>
      </c>
      <c r="B400" s="1">
        <v>0</v>
      </c>
    </row>
    <row r="401" spans="1:2" x14ac:dyDescent="0.25">
      <c r="A401" t="s">
        <v>401</v>
      </c>
      <c r="B401" s="1">
        <v>0</v>
      </c>
    </row>
    <row r="402" spans="1:2" x14ac:dyDescent="0.25">
      <c r="A402" t="s">
        <v>402</v>
      </c>
      <c r="B402" s="1">
        <v>0</v>
      </c>
    </row>
    <row r="403" spans="1:2" x14ac:dyDescent="0.25">
      <c r="A403" t="s">
        <v>403</v>
      </c>
      <c r="B403" s="1">
        <v>0</v>
      </c>
    </row>
    <row r="404" spans="1:2" x14ac:dyDescent="0.25">
      <c r="A404" t="s">
        <v>404</v>
      </c>
      <c r="B404" s="1">
        <v>0</v>
      </c>
    </row>
    <row r="405" spans="1:2" x14ac:dyDescent="0.25">
      <c r="A405" t="s">
        <v>405</v>
      </c>
      <c r="B405" s="1">
        <v>0</v>
      </c>
    </row>
    <row r="406" spans="1:2" x14ac:dyDescent="0.25">
      <c r="A406" t="s">
        <v>406</v>
      </c>
      <c r="B406" s="1">
        <v>0</v>
      </c>
    </row>
    <row r="407" spans="1:2" x14ac:dyDescent="0.25">
      <c r="A407" t="s">
        <v>407</v>
      </c>
      <c r="B407" s="1">
        <v>0</v>
      </c>
    </row>
    <row r="408" spans="1:2" x14ac:dyDescent="0.25">
      <c r="A408" t="s">
        <v>408</v>
      </c>
      <c r="B408" s="1">
        <v>0</v>
      </c>
    </row>
    <row r="409" spans="1:2" x14ac:dyDescent="0.25">
      <c r="A409" t="s">
        <v>409</v>
      </c>
      <c r="B409" s="1">
        <v>0</v>
      </c>
    </row>
    <row r="410" spans="1:2" x14ac:dyDescent="0.25">
      <c r="A410" t="s">
        <v>410</v>
      </c>
      <c r="B410" s="1">
        <v>0</v>
      </c>
    </row>
    <row r="411" spans="1:2" x14ac:dyDescent="0.25">
      <c r="A411" t="s">
        <v>411</v>
      </c>
      <c r="B411" s="1">
        <v>0</v>
      </c>
    </row>
    <row r="412" spans="1:2" x14ac:dyDescent="0.25">
      <c r="A412" t="s">
        <v>412</v>
      </c>
      <c r="B412" s="1">
        <v>0</v>
      </c>
    </row>
    <row r="413" spans="1:2" x14ac:dyDescent="0.25">
      <c r="A413" t="s">
        <v>413</v>
      </c>
      <c r="B413" s="1">
        <v>0</v>
      </c>
    </row>
    <row r="414" spans="1:2" x14ac:dyDescent="0.25">
      <c r="A414" t="s">
        <v>414</v>
      </c>
      <c r="B414" s="1">
        <v>0</v>
      </c>
    </row>
    <row r="415" spans="1:2" x14ac:dyDescent="0.25">
      <c r="A415" t="s">
        <v>415</v>
      </c>
      <c r="B415" s="1">
        <v>0</v>
      </c>
    </row>
    <row r="416" spans="1:2" x14ac:dyDescent="0.25">
      <c r="A416" t="s">
        <v>416</v>
      </c>
      <c r="B416" s="1">
        <v>0</v>
      </c>
    </row>
    <row r="417" spans="1:2" x14ac:dyDescent="0.25">
      <c r="A417" t="s">
        <v>417</v>
      </c>
      <c r="B417" s="1">
        <v>0</v>
      </c>
    </row>
    <row r="418" spans="1:2" x14ac:dyDescent="0.25">
      <c r="A418" t="s">
        <v>418</v>
      </c>
      <c r="B418" s="1">
        <v>0</v>
      </c>
    </row>
    <row r="419" spans="1:2" x14ac:dyDescent="0.25">
      <c r="A419" t="s">
        <v>419</v>
      </c>
      <c r="B419" s="1">
        <v>0</v>
      </c>
    </row>
    <row r="420" spans="1:2" x14ac:dyDescent="0.25">
      <c r="A420" t="s">
        <v>420</v>
      </c>
      <c r="B420" s="1">
        <v>0</v>
      </c>
    </row>
    <row r="421" spans="1:2" x14ac:dyDescent="0.25">
      <c r="A421" t="s">
        <v>421</v>
      </c>
      <c r="B421" s="1">
        <v>0</v>
      </c>
    </row>
    <row r="422" spans="1:2" x14ac:dyDescent="0.25">
      <c r="A422" t="s">
        <v>422</v>
      </c>
      <c r="B422" s="1">
        <v>0</v>
      </c>
    </row>
    <row r="423" spans="1:2" x14ac:dyDescent="0.25">
      <c r="A423" t="s">
        <v>423</v>
      </c>
      <c r="B423" s="1">
        <v>0</v>
      </c>
    </row>
    <row r="424" spans="1:2" x14ac:dyDescent="0.25">
      <c r="A424" t="s">
        <v>424</v>
      </c>
      <c r="B424" s="1">
        <v>0</v>
      </c>
    </row>
    <row r="425" spans="1:2" x14ac:dyDescent="0.25">
      <c r="A425" t="s">
        <v>425</v>
      </c>
      <c r="B425" s="1">
        <v>0</v>
      </c>
    </row>
    <row r="426" spans="1:2" x14ac:dyDescent="0.25">
      <c r="A426" t="s">
        <v>426</v>
      </c>
      <c r="B426" s="1">
        <v>0</v>
      </c>
    </row>
    <row r="427" spans="1:2" x14ac:dyDescent="0.25">
      <c r="A427" t="s">
        <v>427</v>
      </c>
      <c r="B427" s="1">
        <v>0</v>
      </c>
    </row>
    <row r="428" spans="1:2" x14ac:dyDescent="0.25">
      <c r="A428" t="s">
        <v>428</v>
      </c>
      <c r="B428" s="1">
        <v>0</v>
      </c>
    </row>
    <row r="429" spans="1:2" x14ac:dyDescent="0.25">
      <c r="A429" t="s">
        <v>429</v>
      </c>
      <c r="B429" s="1">
        <v>0</v>
      </c>
    </row>
    <row r="430" spans="1:2" x14ac:dyDescent="0.25">
      <c r="A430" t="s">
        <v>430</v>
      </c>
      <c r="B430" s="1">
        <v>0</v>
      </c>
    </row>
    <row r="431" spans="1:2" x14ac:dyDescent="0.25">
      <c r="A431" t="s">
        <v>431</v>
      </c>
      <c r="B431" s="1">
        <v>0</v>
      </c>
    </row>
    <row r="432" spans="1:2" x14ac:dyDescent="0.25">
      <c r="A432" t="s">
        <v>432</v>
      </c>
      <c r="B432" s="1">
        <v>0</v>
      </c>
    </row>
    <row r="433" spans="1:2" x14ac:dyDescent="0.25">
      <c r="A433" t="s">
        <v>433</v>
      </c>
      <c r="B433" s="1">
        <v>0</v>
      </c>
    </row>
    <row r="434" spans="1:2" x14ac:dyDescent="0.25">
      <c r="A434" t="s">
        <v>434</v>
      </c>
      <c r="B434" s="1">
        <v>0</v>
      </c>
    </row>
    <row r="435" spans="1:2" x14ac:dyDescent="0.25">
      <c r="A435" t="s">
        <v>435</v>
      </c>
      <c r="B435" s="1">
        <v>0</v>
      </c>
    </row>
    <row r="436" spans="1:2" x14ac:dyDescent="0.25">
      <c r="A436" t="s">
        <v>436</v>
      </c>
      <c r="B436" s="1">
        <v>0</v>
      </c>
    </row>
    <row r="437" spans="1:2" x14ac:dyDescent="0.25">
      <c r="A437" t="s">
        <v>437</v>
      </c>
      <c r="B437" s="1">
        <v>0</v>
      </c>
    </row>
    <row r="438" spans="1:2" x14ac:dyDescent="0.25">
      <c r="A438" t="s">
        <v>438</v>
      </c>
      <c r="B438" s="1">
        <v>0</v>
      </c>
    </row>
    <row r="439" spans="1:2" x14ac:dyDescent="0.25">
      <c r="A439" t="s">
        <v>439</v>
      </c>
      <c r="B439" s="1">
        <v>0</v>
      </c>
    </row>
    <row r="440" spans="1:2" x14ac:dyDescent="0.25">
      <c r="A440" t="s">
        <v>440</v>
      </c>
      <c r="B440" s="1">
        <v>0</v>
      </c>
    </row>
    <row r="441" spans="1:2" x14ac:dyDescent="0.25">
      <c r="A441" t="s">
        <v>441</v>
      </c>
      <c r="B441" s="1">
        <v>0</v>
      </c>
    </row>
    <row r="442" spans="1:2" x14ac:dyDescent="0.25">
      <c r="A442" t="s">
        <v>442</v>
      </c>
      <c r="B442" s="1">
        <v>0</v>
      </c>
    </row>
    <row r="443" spans="1:2" x14ac:dyDescent="0.25">
      <c r="A443" t="s">
        <v>443</v>
      </c>
      <c r="B443" s="1">
        <v>0</v>
      </c>
    </row>
    <row r="444" spans="1:2" x14ac:dyDescent="0.25">
      <c r="A444" t="s">
        <v>444</v>
      </c>
      <c r="B444" s="1">
        <v>0</v>
      </c>
    </row>
    <row r="445" spans="1:2" x14ac:dyDescent="0.25">
      <c r="A445" t="s">
        <v>445</v>
      </c>
      <c r="B445" s="1">
        <v>0</v>
      </c>
    </row>
    <row r="446" spans="1:2" x14ac:dyDescent="0.25">
      <c r="A446" t="s">
        <v>446</v>
      </c>
      <c r="B446" s="1">
        <v>0</v>
      </c>
    </row>
    <row r="447" spans="1:2" x14ac:dyDescent="0.25">
      <c r="A447" t="s">
        <v>447</v>
      </c>
      <c r="B447" s="1">
        <v>0</v>
      </c>
    </row>
    <row r="448" spans="1:2" x14ac:dyDescent="0.25">
      <c r="A448" t="s">
        <v>448</v>
      </c>
      <c r="B448" s="1">
        <v>0</v>
      </c>
    </row>
    <row r="449" spans="1:2" x14ac:dyDescent="0.25">
      <c r="A449" t="s">
        <v>449</v>
      </c>
      <c r="B449" s="1">
        <v>0</v>
      </c>
    </row>
    <row r="450" spans="1:2" x14ac:dyDescent="0.25">
      <c r="A450" t="s">
        <v>450</v>
      </c>
      <c r="B450" s="1">
        <v>0</v>
      </c>
    </row>
    <row r="451" spans="1:2" x14ac:dyDescent="0.25">
      <c r="A451" t="s">
        <v>451</v>
      </c>
      <c r="B451" s="1">
        <v>0</v>
      </c>
    </row>
    <row r="452" spans="1:2" x14ac:dyDescent="0.25">
      <c r="A452" t="s">
        <v>452</v>
      </c>
      <c r="B452" s="1">
        <v>0</v>
      </c>
    </row>
    <row r="453" spans="1:2" x14ac:dyDescent="0.25">
      <c r="A453" t="s">
        <v>453</v>
      </c>
      <c r="B453" s="1">
        <v>0</v>
      </c>
    </row>
    <row r="454" spans="1:2" x14ac:dyDescent="0.25">
      <c r="A454" t="s">
        <v>454</v>
      </c>
      <c r="B454" s="1">
        <v>0</v>
      </c>
    </row>
    <row r="455" spans="1:2" x14ac:dyDescent="0.25">
      <c r="A455" t="s">
        <v>455</v>
      </c>
      <c r="B455" s="1">
        <v>0</v>
      </c>
    </row>
    <row r="456" spans="1:2" x14ac:dyDescent="0.25">
      <c r="A456" t="s">
        <v>456</v>
      </c>
      <c r="B456" s="1">
        <v>0</v>
      </c>
    </row>
    <row r="457" spans="1:2" x14ac:dyDescent="0.25">
      <c r="A457" t="s">
        <v>457</v>
      </c>
      <c r="B457" s="1">
        <v>0</v>
      </c>
    </row>
    <row r="458" spans="1:2" x14ac:dyDescent="0.25">
      <c r="A458" t="s">
        <v>458</v>
      </c>
      <c r="B458" s="1">
        <v>0</v>
      </c>
    </row>
    <row r="459" spans="1:2" x14ac:dyDescent="0.25">
      <c r="A459" t="s">
        <v>459</v>
      </c>
      <c r="B459" s="1">
        <v>0</v>
      </c>
    </row>
    <row r="460" spans="1:2" x14ac:dyDescent="0.25">
      <c r="A460" t="s">
        <v>460</v>
      </c>
      <c r="B460" s="1">
        <v>0</v>
      </c>
    </row>
    <row r="461" spans="1:2" x14ac:dyDescent="0.25">
      <c r="A461" t="s">
        <v>461</v>
      </c>
      <c r="B461" s="1">
        <v>0</v>
      </c>
    </row>
    <row r="462" spans="1:2" x14ac:dyDescent="0.25">
      <c r="A462" t="s">
        <v>462</v>
      </c>
      <c r="B462" s="1">
        <v>0</v>
      </c>
    </row>
    <row r="463" spans="1:2" x14ac:dyDescent="0.25">
      <c r="A463" t="s">
        <v>463</v>
      </c>
      <c r="B463" s="1">
        <v>0</v>
      </c>
    </row>
    <row r="464" spans="1:2" x14ac:dyDescent="0.25">
      <c r="A464" t="s">
        <v>464</v>
      </c>
      <c r="B464" s="1">
        <v>0</v>
      </c>
    </row>
    <row r="465" spans="1:2" x14ac:dyDescent="0.25">
      <c r="A465" t="s">
        <v>465</v>
      </c>
      <c r="B465" s="1">
        <v>0</v>
      </c>
    </row>
    <row r="466" spans="1:2" x14ac:dyDescent="0.25">
      <c r="A466" t="s">
        <v>466</v>
      </c>
      <c r="B466" s="1">
        <v>0</v>
      </c>
    </row>
    <row r="467" spans="1:2" x14ac:dyDescent="0.25">
      <c r="A467" t="s">
        <v>467</v>
      </c>
      <c r="B467" s="1">
        <v>0</v>
      </c>
    </row>
    <row r="468" spans="1:2" x14ac:dyDescent="0.25">
      <c r="A468" t="s">
        <v>468</v>
      </c>
      <c r="B468" s="1">
        <v>0</v>
      </c>
    </row>
    <row r="469" spans="1:2" x14ac:dyDescent="0.25">
      <c r="A469" t="s">
        <v>469</v>
      </c>
      <c r="B469" s="1">
        <v>0</v>
      </c>
    </row>
    <row r="470" spans="1:2" x14ac:dyDescent="0.25">
      <c r="A470" t="s">
        <v>470</v>
      </c>
      <c r="B470" s="1">
        <v>0</v>
      </c>
    </row>
    <row r="471" spans="1:2" x14ac:dyDescent="0.25">
      <c r="A471" t="s">
        <v>471</v>
      </c>
      <c r="B471" s="1">
        <v>0</v>
      </c>
    </row>
    <row r="472" spans="1:2" x14ac:dyDescent="0.25">
      <c r="A472" t="s">
        <v>472</v>
      </c>
      <c r="B472" s="1">
        <v>0</v>
      </c>
    </row>
    <row r="473" spans="1:2" x14ac:dyDescent="0.25">
      <c r="A473" t="s">
        <v>473</v>
      </c>
      <c r="B473" s="1">
        <v>0</v>
      </c>
    </row>
    <row r="474" spans="1:2" x14ac:dyDescent="0.25">
      <c r="A474" t="s">
        <v>474</v>
      </c>
      <c r="B474" s="1">
        <v>0</v>
      </c>
    </row>
    <row r="475" spans="1:2" x14ac:dyDescent="0.25">
      <c r="A475" t="s">
        <v>475</v>
      </c>
      <c r="B475" s="1">
        <v>0</v>
      </c>
    </row>
    <row r="476" spans="1:2" x14ac:dyDescent="0.25">
      <c r="A476" t="s">
        <v>476</v>
      </c>
      <c r="B476" s="1">
        <v>0</v>
      </c>
    </row>
    <row r="477" spans="1:2" x14ac:dyDescent="0.25">
      <c r="A477" t="s">
        <v>477</v>
      </c>
      <c r="B477" s="1">
        <v>0</v>
      </c>
    </row>
    <row r="478" spans="1:2" x14ac:dyDescent="0.25">
      <c r="A478" t="s">
        <v>478</v>
      </c>
      <c r="B478" s="1">
        <v>0</v>
      </c>
    </row>
    <row r="479" spans="1:2" x14ac:dyDescent="0.25">
      <c r="A479" t="s">
        <v>479</v>
      </c>
      <c r="B479" s="1">
        <v>0</v>
      </c>
    </row>
    <row r="480" spans="1:2" x14ac:dyDescent="0.25">
      <c r="A480" t="s">
        <v>480</v>
      </c>
      <c r="B480" s="1">
        <v>0</v>
      </c>
    </row>
    <row r="481" spans="1:2" x14ac:dyDescent="0.25">
      <c r="A481" t="s">
        <v>481</v>
      </c>
      <c r="B481" s="1">
        <v>0</v>
      </c>
    </row>
    <row r="482" spans="1:2" x14ac:dyDescent="0.25">
      <c r="A482" t="s">
        <v>482</v>
      </c>
      <c r="B482" s="1">
        <v>0</v>
      </c>
    </row>
    <row r="483" spans="1:2" x14ac:dyDescent="0.25">
      <c r="A483" t="s">
        <v>483</v>
      </c>
      <c r="B483" s="1">
        <v>0</v>
      </c>
    </row>
    <row r="484" spans="1:2" x14ac:dyDescent="0.25">
      <c r="A484" t="s">
        <v>484</v>
      </c>
      <c r="B484" s="1">
        <v>0</v>
      </c>
    </row>
    <row r="485" spans="1:2" x14ac:dyDescent="0.25">
      <c r="A485" t="s">
        <v>485</v>
      </c>
      <c r="B485" s="1">
        <v>0</v>
      </c>
    </row>
    <row r="486" spans="1:2" x14ac:dyDescent="0.25">
      <c r="A486" t="s">
        <v>486</v>
      </c>
      <c r="B486" s="1">
        <v>0</v>
      </c>
    </row>
    <row r="487" spans="1:2" x14ac:dyDescent="0.25">
      <c r="A487" t="s">
        <v>487</v>
      </c>
      <c r="B487" s="1">
        <v>0</v>
      </c>
    </row>
    <row r="488" spans="1:2" x14ac:dyDescent="0.25">
      <c r="A488" t="s">
        <v>488</v>
      </c>
      <c r="B488" s="1">
        <v>0</v>
      </c>
    </row>
    <row r="489" spans="1:2" x14ac:dyDescent="0.25">
      <c r="A489" t="s">
        <v>489</v>
      </c>
      <c r="B489" s="1">
        <v>0</v>
      </c>
    </row>
    <row r="490" spans="1:2" x14ac:dyDescent="0.25">
      <c r="A490" t="s">
        <v>490</v>
      </c>
      <c r="B490" s="1">
        <v>0</v>
      </c>
    </row>
    <row r="491" spans="1:2" x14ac:dyDescent="0.25">
      <c r="A491" t="s">
        <v>491</v>
      </c>
      <c r="B491" s="1">
        <v>0</v>
      </c>
    </row>
    <row r="492" spans="1:2" x14ac:dyDescent="0.25">
      <c r="A492" t="s">
        <v>492</v>
      </c>
      <c r="B492" s="1">
        <v>0</v>
      </c>
    </row>
    <row r="493" spans="1:2" x14ac:dyDescent="0.25">
      <c r="A493" t="s">
        <v>493</v>
      </c>
      <c r="B493" s="1">
        <v>0</v>
      </c>
    </row>
    <row r="494" spans="1:2" x14ac:dyDescent="0.25">
      <c r="A494" t="s">
        <v>494</v>
      </c>
      <c r="B494" s="1">
        <v>0</v>
      </c>
    </row>
    <row r="495" spans="1:2" x14ac:dyDescent="0.25">
      <c r="A495" t="s">
        <v>495</v>
      </c>
      <c r="B495" s="1">
        <v>0</v>
      </c>
    </row>
    <row r="496" spans="1:2" x14ac:dyDescent="0.25">
      <c r="A496" t="s">
        <v>496</v>
      </c>
      <c r="B496" s="1">
        <v>0</v>
      </c>
    </row>
    <row r="497" spans="1:2" x14ac:dyDescent="0.25">
      <c r="A497" t="s">
        <v>497</v>
      </c>
      <c r="B497" s="1">
        <v>0</v>
      </c>
    </row>
    <row r="498" spans="1:2" x14ac:dyDescent="0.25">
      <c r="A498" t="s">
        <v>498</v>
      </c>
      <c r="B498" s="1">
        <v>0</v>
      </c>
    </row>
    <row r="499" spans="1:2" x14ac:dyDescent="0.25">
      <c r="A499" t="s">
        <v>499</v>
      </c>
      <c r="B499" s="1">
        <v>0</v>
      </c>
    </row>
    <row r="500" spans="1:2" x14ac:dyDescent="0.25">
      <c r="A500" t="s">
        <v>500</v>
      </c>
      <c r="B500" s="1">
        <v>0</v>
      </c>
    </row>
    <row r="501" spans="1:2" x14ac:dyDescent="0.25">
      <c r="A501" t="s">
        <v>501</v>
      </c>
      <c r="B501" s="1">
        <v>0</v>
      </c>
    </row>
    <row r="502" spans="1:2" x14ac:dyDescent="0.25">
      <c r="A502" t="s">
        <v>502</v>
      </c>
      <c r="B502" s="1">
        <v>0</v>
      </c>
    </row>
    <row r="503" spans="1:2" x14ac:dyDescent="0.25">
      <c r="A503" t="s">
        <v>503</v>
      </c>
      <c r="B503" s="1">
        <v>0</v>
      </c>
    </row>
    <row r="504" spans="1:2" x14ac:dyDescent="0.25">
      <c r="A504" t="s">
        <v>504</v>
      </c>
      <c r="B504" s="1">
        <v>0</v>
      </c>
    </row>
    <row r="505" spans="1:2" x14ac:dyDescent="0.25">
      <c r="A505" t="s">
        <v>505</v>
      </c>
      <c r="B505" s="1">
        <v>0</v>
      </c>
    </row>
    <row r="506" spans="1:2" x14ac:dyDescent="0.25">
      <c r="A506" t="s">
        <v>506</v>
      </c>
      <c r="B506" s="1">
        <v>0</v>
      </c>
    </row>
    <row r="507" spans="1:2" x14ac:dyDescent="0.25">
      <c r="A507" t="s">
        <v>507</v>
      </c>
      <c r="B507" s="1">
        <v>0</v>
      </c>
    </row>
    <row r="508" spans="1:2" x14ac:dyDescent="0.25">
      <c r="A508" t="s">
        <v>508</v>
      </c>
      <c r="B508" s="1">
        <v>0</v>
      </c>
    </row>
    <row r="509" spans="1:2" x14ac:dyDescent="0.25">
      <c r="A509" t="s">
        <v>509</v>
      </c>
      <c r="B509" s="1">
        <v>0</v>
      </c>
    </row>
    <row r="510" spans="1:2" x14ac:dyDescent="0.25">
      <c r="A510" t="s">
        <v>510</v>
      </c>
      <c r="B510" s="1">
        <v>0</v>
      </c>
    </row>
    <row r="511" spans="1:2" x14ac:dyDescent="0.25">
      <c r="A511" t="s">
        <v>511</v>
      </c>
      <c r="B511" s="1">
        <v>0</v>
      </c>
    </row>
    <row r="512" spans="1:2" x14ac:dyDescent="0.25">
      <c r="A512" t="s">
        <v>512</v>
      </c>
      <c r="B512" s="1">
        <v>0</v>
      </c>
    </row>
    <row r="513" spans="1:2" x14ac:dyDescent="0.25">
      <c r="A513" t="s">
        <v>513</v>
      </c>
      <c r="B513" s="1">
        <v>0</v>
      </c>
    </row>
    <row r="514" spans="1:2" x14ac:dyDescent="0.25">
      <c r="A514" t="s">
        <v>514</v>
      </c>
      <c r="B514" s="1">
        <v>0</v>
      </c>
    </row>
    <row r="515" spans="1:2" x14ac:dyDescent="0.25">
      <c r="A515" t="s">
        <v>515</v>
      </c>
      <c r="B515" s="1">
        <v>0</v>
      </c>
    </row>
    <row r="516" spans="1:2" x14ac:dyDescent="0.25">
      <c r="A516" t="s">
        <v>516</v>
      </c>
      <c r="B516" s="1">
        <v>0</v>
      </c>
    </row>
    <row r="517" spans="1:2" x14ac:dyDescent="0.25">
      <c r="A517" t="s">
        <v>517</v>
      </c>
      <c r="B517" s="1">
        <v>0</v>
      </c>
    </row>
    <row r="518" spans="1:2" x14ac:dyDescent="0.25">
      <c r="A518" t="s">
        <v>518</v>
      </c>
      <c r="B518" s="1">
        <v>0</v>
      </c>
    </row>
    <row r="519" spans="1:2" x14ac:dyDescent="0.25">
      <c r="A519" t="s">
        <v>519</v>
      </c>
      <c r="B519" s="1">
        <v>0</v>
      </c>
    </row>
    <row r="520" spans="1:2" x14ac:dyDescent="0.25">
      <c r="A520" t="s">
        <v>520</v>
      </c>
      <c r="B520" s="1">
        <v>0</v>
      </c>
    </row>
    <row r="521" spans="1:2" x14ac:dyDescent="0.25">
      <c r="A521" t="s">
        <v>521</v>
      </c>
      <c r="B521" s="1">
        <v>0</v>
      </c>
    </row>
    <row r="522" spans="1:2" x14ac:dyDescent="0.25">
      <c r="A522" t="s">
        <v>522</v>
      </c>
      <c r="B522" s="1">
        <v>0</v>
      </c>
    </row>
    <row r="523" spans="1:2" x14ac:dyDescent="0.25">
      <c r="A523" t="s">
        <v>523</v>
      </c>
      <c r="B523" s="1">
        <v>0</v>
      </c>
    </row>
    <row r="524" spans="1:2" x14ac:dyDescent="0.25">
      <c r="A524" t="s">
        <v>524</v>
      </c>
      <c r="B524" s="1">
        <v>0</v>
      </c>
    </row>
    <row r="525" spans="1:2" x14ac:dyDescent="0.25">
      <c r="A525" t="s">
        <v>525</v>
      </c>
      <c r="B525" s="1">
        <v>0</v>
      </c>
    </row>
    <row r="526" spans="1:2" x14ac:dyDescent="0.25">
      <c r="A526" t="s">
        <v>526</v>
      </c>
      <c r="B526" s="1">
        <v>0</v>
      </c>
    </row>
    <row r="527" spans="1:2" x14ac:dyDescent="0.25">
      <c r="A527" t="s">
        <v>527</v>
      </c>
      <c r="B527" s="1">
        <v>0</v>
      </c>
    </row>
    <row r="528" spans="1:2" x14ac:dyDescent="0.25">
      <c r="A528" t="s">
        <v>528</v>
      </c>
      <c r="B528" s="1">
        <v>0</v>
      </c>
    </row>
    <row r="529" spans="1:2" x14ac:dyDescent="0.25">
      <c r="A529" t="s">
        <v>529</v>
      </c>
      <c r="B529" s="1">
        <v>0</v>
      </c>
    </row>
    <row r="530" spans="1:2" x14ac:dyDescent="0.25">
      <c r="A530" t="s">
        <v>530</v>
      </c>
      <c r="B530" s="1">
        <v>0</v>
      </c>
    </row>
    <row r="531" spans="1:2" x14ac:dyDescent="0.25">
      <c r="A531" t="s">
        <v>531</v>
      </c>
      <c r="B531" s="1">
        <v>0</v>
      </c>
    </row>
    <row r="532" spans="1:2" x14ac:dyDescent="0.25">
      <c r="A532" t="s">
        <v>532</v>
      </c>
      <c r="B532" s="1">
        <v>0</v>
      </c>
    </row>
    <row r="533" spans="1:2" x14ac:dyDescent="0.25">
      <c r="A533" t="s">
        <v>533</v>
      </c>
      <c r="B533" s="1">
        <v>0</v>
      </c>
    </row>
    <row r="534" spans="1:2" x14ac:dyDescent="0.25">
      <c r="A534" t="s">
        <v>534</v>
      </c>
      <c r="B534" s="1">
        <v>0</v>
      </c>
    </row>
    <row r="535" spans="1:2" x14ac:dyDescent="0.25">
      <c r="A535" t="s">
        <v>535</v>
      </c>
      <c r="B535" s="1">
        <v>0</v>
      </c>
    </row>
    <row r="536" spans="1:2" x14ac:dyDescent="0.25">
      <c r="A536" t="s">
        <v>536</v>
      </c>
      <c r="B536" s="1">
        <v>0</v>
      </c>
    </row>
    <row r="537" spans="1:2" x14ac:dyDescent="0.25">
      <c r="A537" t="s">
        <v>537</v>
      </c>
      <c r="B537" s="1">
        <v>0</v>
      </c>
    </row>
    <row r="538" spans="1:2" x14ac:dyDescent="0.25">
      <c r="A538" t="s">
        <v>538</v>
      </c>
      <c r="B538" s="1">
        <v>0</v>
      </c>
    </row>
    <row r="539" spans="1:2" x14ac:dyDescent="0.25">
      <c r="A539" t="s">
        <v>539</v>
      </c>
      <c r="B539" s="1">
        <v>0</v>
      </c>
    </row>
    <row r="540" spans="1:2" x14ac:dyDescent="0.25">
      <c r="A540" t="s">
        <v>540</v>
      </c>
      <c r="B540" s="1">
        <v>0</v>
      </c>
    </row>
    <row r="541" spans="1:2" x14ac:dyDescent="0.25">
      <c r="A541" t="s">
        <v>541</v>
      </c>
      <c r="B541" s="1">
        <v>0</v>
      </c>
    </row>
    <row r="542" spans="1:2" x14ac:dyDescent="0.25">
      <c r="A542" t="s">
        <v>542</v>
      </c>
      <c r="B542" s="1">
        <v>0</v>
      </c>
    </row>
    <row r="543" spans="1:2" x14ac:dyDescent="0.25">
      <c r="A543" t="s">
        <v>543</v>
      </c>
      <c r="B543" s="1">
        <v>0</v>
      </c>
    </row>
    <row r="544" spans="1:2" x14ac:dyDescent="0.25">
      <c r="A544" t="s">
        <v>544</v>
      </c>
      <c r="B544" s="1">
        <v>0</v>
      </c>
    </row>
    <row r="545" spans="1:2" x14ac:dyDescent="0.25">
      <c r="A545" t="s">
        <v>545</v>
      </c>
      <c r="B545" s="1">
        <v>0</v>
      </c>
    </row>
    <row r="546" spans="1:2" x14ac:dyDescent="0.25">
      <c r="A546" t="s">
        <v>546</v>
      </c>
      <c r="B546" s="1">
        <v>0</v>
      </c>
    </row>
    <row r="547" spans="1:2" x14ac:dyDescent="0.25">
      <c r="A547" t="s">
        <v>547</v>
      </c>
      <c r="B547" s="1">
        <v>0</v>
      </c>
    </row>
    <row r="548" spans="1:2" x14ac:dyDescent="0.25">
      <c r="A548" t="s">
        <v>548</v>
      </c>
      <c r="B548" s="1">
        <v>0</v>
      </c>
    </row>
    <row r="549" spans="1:2" x14ac:dyDescent="0.25">
      <c r="A549" t="s">
        <v>549</v>
      </c>
      <c r="B549" s="1">
        <v>0</v>
      </c>
    </row>
    <row r="550" spans="1:2" x14ac:dyDescent="0.25">
      <c r="A550" t="s">
        <v>550</v>
      </c>
      <c r="B550" s="1">
        <v>0</v>
      </c>
    </row>
    <row r="551" spans="1:2" x14ac:dyDescent="0.25">
      <c r="A551" t="s">
        <v>551</v>
      </c>
      <c r="B551" s="1">
        <v>0</v>
      </c>
    </row>
    <row r="552" spans="1:2" x14ac:dyDescent="0.25">
      <c r="A552" t="s">
        <v>552</v>
      </c>
      <c r="B552" s="1">
        <v>0</v>
      </c>
    </row>
    <row r="553" spans="1:2" x14ac:dyDescent="0.25">
      <c r="A553" t="s">
        <v>553</v>
      </c>
      <c r="B553" s="1">
        <v>0</v>
      </c>
    </row>
    <row r="554" spans="1:2" x14ac:dyDescent="0.25">
      <c r="A554" t="s">
        <v>554</v>
      </c>
      <c r="B554" s="1">
        <v>0</v>
      </c>
    </row>
    <row r="555" spans="1:2" x14ac:dyDescent="0.25">
      <c r="A555" t="s">
        <v>555</v>
      </c>
      <c r="B555" s="1">
        <v>0</v>
      </c>
    </row>
    <row r="556" spans="1:2" x14ac:dyDescent="0.25">
      <c r="A556" t="s">
        <v>556</v>
      </c>
      <c r="B556" s="1">
        <v>0</v>
      </c>
    </row>
    <row r="557" spans="1:2" x14ac:dyDescent="0.25">
      <c r="A557" t="s">
        <v>557</v>
      </c>
      <c r="B557" s="1">
        <v>0</v>
      </c>
    </row>
    <row r="558" spans="1:2" x14ac:dyDescent="0.25">
      <c r="A558" t="s">
        <v>558</v>
      </c>
      <c r="B558" s="1">
        <v>0</v>
      </c>
    </row>
    <row r="559" spans="1:2" x14ac:dyDescent="0.25">
      <c r="A559" t="s">
        <v>559</v>
      </c>
      <c r="B559" s="1">
        <v>0</v>
      </c>
    </row>
    <row r="560" spans="1:2" x14ac:dyDescent="0.25">
      <c r="A560" t="s">
        <v>560</v>
      </c>
      <c r="B560" s="1">
        <v>0</v>
      </c>
    </row>
    <row r="561" spans="1:2" x14ac:dyDescent="0.25">
      <c r="A561" t="s">
        <v>561</v>
      </c>
      <c r="B561" s="1">
        <v>0</v>
      </c>
    </row>
    <row r="562" spans="1:2" x14ac:dyDescent="0.25">
      <c r="A562" t="s">
        <v>562</v>
      </c>
      <c r="B562" s="1">
        <v>0</v>
      </c>
    </row>
    <row r="563" spans="1:2" x14ac:dyDescent="0.25">
      <c r="A563" t="s">
        <v>563</v>
      </c>
      <c r="B563" s="1">
        <v>0</v>
      </c>
    </row>
    <row r="564" spans="1:2" x14ac:dyDescent="0.25">
      <c r="A564" t="s">
        <v>564</v>
      </c>
      <c r="B564" s="1">
        <v>0</v>
      </c>
    </row>
    <row r="565" spans="1:2" x14ac:dyDescent="0.25">
      <c r="A565" t="s">
        <v>565</v>
      </c>
      <c r="B565" s="1">
        <v>0</v>
      </c>
    </row>
    <row r="566" spans="1:2" x14ac:dyDescent="0.25">
      <c r="A566" t="s">
        <v>566</v>
      </c>
      <c r="B566" s="1">
        <v>0</v>
      </c>
    </row>
    <row r="567" spans="1:2" x14ac:dyDescent="0.25">
      <c r="A567" t="s">
        <v>567</v>
      </c>
      <c r="B567" s="1">
        <v>0</v>
      </c>
    </row>
    <row r="568" spans="1:2" x14ac:dyDescent="0.25">
      <c r="A568" t="s">
        <v>568</v>
      </c>
      <c r="B568" s="1">
        <v>0</v>
      </c>
    </row>
    <row r="569" spans="1:2" x14ac:dyDescent="0.25">
      <c r="A569" t="s">
        <v>569</v>
      </c>
      <c r="B569" s="1">
        <v>0</v>
      </c>
    </row>
    <row r="570" spans="1:2" x14ac:dyDescent="0.25">
      <c r="A570" t="s">
        <v>570</v>
      </c>
      <c r="B570" s="1">
        <v>0</v>
      </c>
    </row>
    <row r="571" spans="1:2" x14ac:dyDescent="0.25">
      <c r="A571" t="s">
        <v>571</v>
      </c>
      <c r="B571" s="1">
        <v>0</v>
      </c>
    </row>
    <row r="572" spans="1:2" x14ac:dyDescent="0.25">
      <c r="A572" t="s">
        <v>572</v>
      </c>
      <c r="B572" s="1">
        <v>0</v>
      </c>
    </row>
    <row r="573" spans="1:2" x14ac:dyDescent="0.25">
      <c r="A573" t="s">
        <v>573</v>
      </c>
      <c r="B573" s="1">
        <v>0</v>
      </c>
    </row>
    <row r="574" spans="1:2" x14ac:dyDescent="0.25">
      <c r="A574" t="s">
        <v>574</v>
      </c>
      <c r="B574" s="1">
        <v>0</v>
      </c>
    </row>
    <row r="575" spans="1:2" x14ac:dyDescent="0.25">
      <c r="A575" t="s">
        <v>575</v>
      </c>
      <c r="B575" s="1">
        <v>0</v>
      </c>
    </row>
    <row r="576" spans="1:2" x14ac:dyDescent="0.25">
      <c r="A576" t="s">
        <v>576</v>
      </c>
      <c r="B576" s="1">
        <v>0</v>
      </c>
    </row>
    <row r="577" spans="1:2" x14ac:dyDescent="0.25">
      <c r="A577" t="s">
        <v>577</v>
      </c>
      <c r="B577" s="1">
        <v>0</v>
      </c>
    </row>
    <row r="578" spans="1:2" x14ac:dyDescent="0.25">
      <c r="A578" t="s">
        <v>578</v>
      </c>
      <c r="B578" s="1">
        <v>0</v>
      </c>
    </row>
    <row r="579" spans="1:2" x14ac:dyDescent="0.25">
      <c r="A579" t="s">
        <v>579</v>
      </c>
      <c r="B579" s="1">
        <v>0</v>
      </c>
    </row>
    <row r="580" spans="1:2" x14ac:dyDescent="0.25">
      <c r="A580" t="s">
        <v>580</v>
      </c>
      <c r="B580" s="1">
        <v>0</v>
      </c>
    </row>
    <row r="581" spans="1:2" x14ac:dyDescent="0.25">
      <c r="A581" t="s">
        <v>581</v>
      </c>
      <c r="B581" s="1">
        <v>0</v>
      </c>
    </row>
    <row r="582" spans="1:2" x14ac:dyDescent="0.25">
      <c r="A582" t="s">
        <v>582</v>
      </c>
      <c r="B582" s="1">
        <v>0</v>
      </c>
    </row>
    <row r="583" spans="1:2" x14ac:dyDescent="0.25">
      <c r="A583" t="s">
        <v>583</v>
      </c>
      <c r="B583" s="1">
        <v>0</v>
      </c>
    </row>
    <row r="584" spans="1:2" x14ac:dyDescent="0.25">
      <c r="A584" t="s">
        <v>584</v>
      </c>
      <c r="B584" s="1">
        <v>0</v>
      </c>
    </row>
    <row r="585" spans="1:2" x14ac:dyDescent="0.25">
      <c r="A585" t="s">
        <v>585</v>
      </c>
      <c r="B585" s="1">
        <v>0</v>
      </c>
    </row>
    <row r="586" spans="1:2" x14ac:dyDescent="0.25">
      <c r="A586" t="s">
        <v>586</v>
      </c>
      <c r="B586" s="1">
        <v>0</v>
      </c>
    </row>
    <row r="587" spans="1:2" x14ac:dyDescent="0.25">
      <c r="A587" t="s">
        <v>587</v>
      </c>
      <c r="B587" s="1">
        <v>0</v>
      </c>
    </row>
    <row r="588" spans="1:2" x14ac:dyDescent="0.25">
      <c r="A588" t="s">
        <v>588</v>
      </c>
      <c r="B588" s="1">
        <v>0</v>
      </c>
    </row>
    <row r="589" spans="1:2" x14ac:dyDescent="0.25">
      <c r="A589" t="s">
        <v>589</v>
      </c>
      <c r="B589" s="1">
        <v>0</v>
      </c>
    </row>
    <row r="590" spans="1:2" x14ac:dyDescent="0.25">
      <c r="A590" t="s">
        <v>590</v>
      </c>
      <c r="B590" s="1">
        <v>0</v>
      </c>
    </row>
    <row r="591" spans="1:2" x14ac:dyDescent="0.25">
      <c r="A591" t="s">
        <v>591</v>
      </c>
      <c r="B591" s="1">
        <v>0</v>
      </c>
    </row>
    <row r="592" spans="1:2" x14ac:dyDescent="0.25">
      <c r="A592" t="s">
        <v>592</v>
      </c>
      <c r="B592" s="1">
        <v>0</v>
      </c>
    </row>
    <row r="593" spans="1:2" x14ac:dyDescent="0.25">
      <c r="A593" t="s">
        <v>593</v>
      </c>
      <c r="B593" s="1">
        <v>0</v>
      </c>
    </row>
    <row r="594" spans="1:2" x14ac:dyDescent="0.25">
      <c r="A594" t="s">
        <v>594</v>
      </c>
      <c r="B594" s="1">
        <v>0</v>
      </c>
    </row>
    <row r="595" spans="1:2" x14ac:dyDescent="0.25">
      <c r="A595" t="s">
        <v>595</v>
      </c>
      <c r="B595" s="1">
        <v>0</v>
      </c>
    </row>
    <row r="596" spans="1:2" x14ac:dyDescent="0.25">
      <c r="A596" t="s">
        <v>596</v>
      </c>
      <c r="B596" s="1">
        <v>0</v>
      </c>
    </row>
    <row r="597" spans="1:2" x14ac:dyDescent="0.25">
      <c r="A597" t="s">
        <v>597</v>
      </c>
      <c r="B597" s="1">
        <v>0</v>
      </c>
    </row>
    <row r="598" spans="1:2" x14ac:dyDescent="0.25">
      <c r="A598" t="s">
        <v>598</v>
      </c>
      <c r="B598" s="1">
        <v>0</v>
      </c>
    </row>
    <row r="599" spans="1:2" x14ac:dyDescent="0.25">
      <c r="A599" t="s">
        <v>599</v>
      </c>
      <c r="B599" s="1">
        <v>0</v>
      </c>
    </row>
    <row r="600" spans="1:2" x14ac:dyDescent="0.25">
      <c r="A600" t="s">
        <v>600</v>
      </c>
      <c r="B600" s="1">
        <v>0</v>
      </c>
    </row>
    <row r="601" spans="1:2" x14ac:dyDescent="0.25">
      <c r="A601" t="s">
        <v>601</v>
      </c>
      <c r="B601" s="1">
        <v>0</v>
      </c>
    </row>
    <row r="602" spans="1:2" x14ac:dyDescent="0.25">
      <c r="A602" t="s">
        <v>602</v>
      </c>
      <c r="B602" s="1">
        <v>0</v>
      </c>
    </row>
    <row r="603" spans="1:2" x14ac:dyDescent="0.25">
      <c r="A603" t="s">
        <v>603</v>
      </c>
      <c r="B603" s="1">
        <v>0</v>
      </c>
    </row>
    <row r="604" spans="1:2" x14ac:dyDescent="0.25">
      <c r="A604" t="s">
        <v>604</v>
      </c>
      <c r="B604" s="1">
        <v>0</v>
      </c>
    </row>
    <row r="605" spans="1:2" x14ac:dyDescent="0.25">
      <c r="A605" t="s">
        <v>605</v>
      </c>
      <c r="B605" s="1">
        <v>0</v>
      </c>
    </row>
    <row r="606" spans="1:2" x14ac:dyDescent="0.25">
      <c r="A606" t="s">
        <v>606</v>
      </c>
      <c r="B606" s="1">
        <v>0</v>
      </c>
    </row>
    <row r="607" spans="1:2" x14ac:dyDescent="0.25">
      <c r="A607" t="s">
        <v>607</v>
      </c>
      <c r="B607" s="1">
        <v>0</v>
      </c>
    </row>
    <row r="608" spans="1:2" x14ac:dyDescent="0.25">
      <c r="A608" t="s">
        <v>608</v>
      </c>
      <c r="B608" s="1">
        <v>0</v>
      </c>
    </row>
    <row r="609" spans="1:2" x14ac:dyDescent="0.25">
      <c r="A609" t="s">
        <v>609</v>
      </c>
      <c r="B609" s="1">
        <v>0</v>
      </c>
    </row>
    <row r="610" spans="1:2" x14ac:dyDescent="0.25">
      <c r="A610" t="s">
        <v>610</v>
      </c>
      <c r="B610" s="1">
        <v>0</v>
      </c>
    </row>
    <row r="611" spans="1:2" x14ac:dyDescent="0.25">
      <c r="A611" t="s">
        <v>611</v>
      </c>
      <c r="B611" s="1">
        <v>0</v>
      </c>
    </row>
    <row r="612" spans="1:2" x14ac:dyDescent="0.25">
      <c r="A612" t="s">
        <v>612</v>
      </c>
      <c r="B612" s="1">
        <v>0</v>
      </c>
    </row>
    <row r="613" spans="1:2" x14ac:dyDescent="0.25">
      <c r="A613" t="s">
        <v>613</v>
      </c>
      <c r="B613" s="1">
        <v>0</v>
      </c>
    </row>
    <row r="614" spans="1:2" x14ac:dyDescent="0.25">
      <c r="A614" t="s">
        <v>614</v>
      </c>
      <c r="B614" s="1">
        <v>0</v>
      </c>
    </row>
    <row r="615" spans="1:2" x14ac:dyDescent="0.25">
      <c r="A615" t="s">
        <v>615</v>
      </c>
      <c r="B615" s="1">
        <v>0</v>
      </c>
    </row>
    <row r="616" spans="1:2" x14ac:dyDescent="0.25">
      <c r="A616" t="s">
        <v>616</v>
      </c>
      <c r="B616" s="1">
        <v>0</v>
      </c>
    </row>
    <row r="617" spans="1:2" x14ac:dyDescent="0.25">
      <c r="A617" t="s">
        <v>617</v>
      </c>
      <c r="B617" s="1">
        <v>0</v>
      </c>
    </row>
    <row r="618" spans="1:2" x14ac:dyDescent="0.25">
      <c r="A618" t="s">
        <v>618</v>
      </c>
      <c r="B618" s="1">
        <v>0</v>
      </c>
    </row>
    <row r="619" spans="1:2" x14ac:dyDescent="0.25">
      <c r="A619" t="s">
        <v>619</v>
      </c>
      <c r="B619" s="1">
        <v>0</v>
      </c>
    </row>
    <row r="620" spans="1:2" x14ac:dyDescent="0.25">
      <c r="A620" t="s">
        <v>620</v>
      </c>
      <c r="B620" s="1">
        <v>0</v>
      </c>
    </row>
    <row r="621" spans="1:2" x14ac:dyDescent="0.25">
      <c r="A621" t="s">
        <v>621</v>
      </c>
      <c r="B621" s="1">
        <v>0</v>
      </c>
    </row>
    <row r="622" spans="1:2" x14ac:dyDescent="0.25">
      <c r="A622" t="s">
        <v>622</v>
      </c>
      <c r="B622" s="1">
        <v>0</v>
      </c>
    </row>
    <row r="623" spans="1:2" x14ac:dyDescent="0.25">
      <c r="A623" t="s">
        <v>623</v>
      </c>
      <c r="B623" s="1">
        <v>0</v>
      </c>
    </row>
    <row r="624" spans="1:2" x14ac:dyDescent="0.25">
      <c r="A624" t="s">
        <v>624</v>
      </c>
      <c r="B624" s="1">
        <v>0</v>
      </c>
    </row>
    <row r="625" spans="1:2" x14ac:dyDescent="0.25">
      <c r="A625" t="s">
        <v>625</v>
      </c>
      <c r="B625" s="1">
        <v>0</v>
      </c>
    </row>
    <row r="626" spans="1:2" x14ac:dyDescent="0.25">
      <c r="A626" t="s">
        <v>626</v>
      </c>
      <c r="B626" s="1">
        <v>0</v>
      </c>
    </row>
    <row r="627" spans="1:2" x14ac:dyDescent="0.25">
      <c r="A627" t="s">
        <v>627</v>
      </c>
      <c r="B627" s="1">
        <v>0</v>
      </c>
    </row>
    <row r="628" spans="1:2" x14ac:dyDescent="0.25">
      <c r="A628" t="s">
        <v>628</v>
      </c>
      <c r="B628" s="1">
        <v>0</v>
      </c>
    </row>
    <row r="629" spans="1:2" x14ac:dyDescent="0.25">
      <c r="A629" t="s">
        <v>629</v>
      </c>
      <c r="B629" s="1">
        <v>0</v>
      </c>
    </row>
    <row r="630" spans="1:2" x14ac:dyDescent="0.25">
      <c r="A630" t="s">
        <v>630</v>
      </c>
      <c r="B630" s="1">
        <v>0</v>
      </c>
    </row>
    <row r="631" spans="1:2" x14ac:dyDescent="0.25">
      <c r="A631" t="s">
        <v>631</v>
      </c>
      <c r="B631" s="1">
        <v>0</v>
      </c>
    </row>
    <row r="632" spans="1:2" x14ac:dyDescent="0.25">
      <c r="A632" t="s">
        <v>632</v>
      </c>
      <c r="B632" s="1">
        <v>0</v>
      </c>
    </row>
    <row r="633" spans="1:2" x14ac:dyDescent="0.25">
      <c r="A633" t="s">
        <v>633</v>
      </c>
      <c r="B633" s="1">
        <v>0</v>
      </c>
    </row>
    <row r="634" spans="1:2" x14ac:dyDescent="0.25">
      <c r="A634" t="s">
        <v>634</v>
      </c>
      <c r="B634" s="1">
        <v>0</v>
      </c>
    </row>
    <row r="635" spans="1:2" x14ac:dyDescent="0.25">
      <c r="A635" t="s">
        <v>635</v>
      </c>
      <c r="B635" s="1">
        <v>0</v>
      </c>
    </row>
    <row r="636" spans="1:2" x14ac:dyDescent="0.25">
      <c r="A636" t="s">
        <v>636</v>
      </c>
      <c r="B636" s="1">
        <v>0</v>
      </c>
    </row>
    <row r="637" spans="1:2" x14ac:dyDescent="0.25">
      <c r="A637" t="s">
        <v>637</v>
      </c>
      <c r="B637" s="1">
        <v>0</v>
      </c>
    </row>
    <row r="638" spans="1:2" x14ac:dyDescent="0.25">
      <c r="A638" t="s">
        <v>638</v>
      </c>
      <c r="B638" s="1">
        <v>0</v>
      </c>
    </row>
    <row r="639" spans="1:2" x14ac:dyDescent="0.25">
      <c r="A639" t="s">
        <v>639</v>
      </c>
      <c r="B639" s="1">
        <v>0</v>
      </c>
    </row>
    <row r="640" spans="1:2" x14ac:dyDescent="0.25">
      <c r="A640" t="s">
        <v>640</v>
      </c>
      <c r="B640" s="1">
        <v>0</v>
      </c>
    </row>
    <row r="641" spans="1:2" x14ac:dyDescent="0.25">
      <c r="A641" t="s">
        <v>641</v>
      </c>
      <c r="B641" s="1">
        <v>0</v>
      </c>
    </row>
    <row r="642" spans="1:2" x14ac:dyDescent="0.25">
      <c r="A642" t="s">
        <v>642</v>
      </c>
      <c r="B642" s="1">
        <v>0</v>
      </c>
    </row>
    <row r="643" spans="1:2" x14ac:dyDescent="0.25">
      <c r="A643" t="s">
        <v>643</v>
      </c>
      <c r="B643" s="1">
        <v>0</v>
      </c>
    </row>
    <row r="644" spans="1:2" x14ac:dyDescent="0.25">
      <c r="A644" t="s">
        <v>644</v>
      </c>
      <c r="B644" s="1">
        <v>0</v>
      </c>
    </row>
    <row r="645" spans="1:2" x14ac:dyDescent="0.25">
      <c r="A645" t="s">
        <v>645</v>
      </c>
      <c r="B645" s="1">
        <v>0</v>
      </c>
    </row>
    <row r="646" spans="1:2" x14ac:dyDescent="0.25">
      <c r="A646" t="s">
        <v>646</v>
      </c>
      <c r="B646" s="1">
        <v>0</v>
      </c>
    </row>
    <row r="647" spans="1:2" x14ac:dyDescent="0.25">
      <c r="A647" t="s">
        <v>647</v>
      </c>
      <c r="B647" s="1">
        <v>0</v>
      </c>
    </row>
    <row r="648" spans="1:2" x14ac:dyDescent="0.25">
      <c r="A648" t="s">
        <v>648</v>
      </c>
      <c r="B648" s="1">
        <v>0</v>
      </c>
    </row>
    <row r="649" spans="1:2" x14ac:dyDescent="0.25">
      <c r="A649" t="s">
        <v>649</v>
      </c>
      <c r="B649" s="1">
        <v>0</v>
      </c>
    </row>
    <row r="650" spans="1:2" x14ac:dyDescent="0.25">
      <c r="A650" t="s">
        <v>650</v>
      </c>
      <c r="B650" s="1">
        <v>0</v>
      </c>
    </row>
    <row r="651" spans="1:2" x14ac:dyDescent="0.25">
      <c r="A651" t="s">
        <v>651</v>
      </c>
      <c r="B651" s="1">
        <v>0</v>
      </c>
    </row>
    <row r="652" spans="1:2" x14ac:dyDescent="0.25">
      <c r="A652" t="s">
        <v>652</v>
      </c>
      <c r="B652" s="1">
        <v>0</v>
      </c>
    </row>
    <row r="653" spans="1:2" x14ac:dyDescent="0.25">
      <c r="A653" t="s">
        <v>653</v>
      </c>
      <c r="B653" s="1">
        <v>0</v>
      </c>
    </row>
    <row r="654" spans="1:2" x14ac:dyDescent="0.25">
      <c r="A654" t="s">
        <v>654</v>
      </c>
      <c r="B654" s="1">
        <v>0</v>
      </c>
    </row>
    <row r="655" spans="1:2" x14ac:dyDescent="0.25">
      <c r="A655" t="s">
        <v>655</v>
      </c>
      <c r="B655" s="1">
        <v>0</v>
      </c>
    </row>
    <row r="656" spans="1:2" x14ac:dyDescent="0.25">
      <c r="A656" t="s">
        <v>656</v>
      </c>
      <c r="B656" s="1">
        <v>0</v>
      </c>
    </row>
    <row r="657" spans="1:2" x14ac:dyDescent="0.25">
      <c r="A657" t="s">
        <v>657</v>
      </c>
      <c r="B657" s="1">
        <v>0</v>
      </c>
    </row>
    <row r="658" spans="1:2" x14ac:dyDescent="0.25">
      <c r="A658" t="s">
        <v>658</v>
      </c>
      <c r="B658" s="1">
        <v>0</v>
      </c>
    </row>
    <row r="659" spans="1:2" x14ac:dyDescent="0.25">
      <c r="A659" t="s">
        <v>659</v>
      </c>
      <c r="B659" s="1">
        <v>0</v>
      </c>
    </row>
    <row r="660" spans="1:2" x14ac:dyDescent="0.25">
      <c r="A660" t="s">
        <v>660</v>
      </c>
      <c r="B660" s="1">
        <v>0</v>
      </c>
    </row>
    <row r="661" spans="1:2" x14ac:dyDescent="0.25">
      <c r="A661" t="s">
        <v>661</v>
      </c>
      <c r="B661" s="1">
        <v>0</v>
      </c>
    </row>
    <row r="662" spans="1:2" x14ac:dyDescent="0.25">
      <c r="A662" t="s">
        <v>662</v>
      </c>
      <c r="B662" s="1">
        <v>0</v>
      </c>
    </row>
    <row r="663" spans="1:2" x14ac:dyDescent="0.25">
      <c r="A663" t="s">
        <v>663</v>
      </c>
      <c r="B663" s="1">
        <v>0</v>
      </c>
    </row>
    <row r="664" spans="1:2" x14ac:dyDescent="0.25">
      <c r="A664" t="s">
        <v>664</v>
      </c>
      <c r="B664" s="1">
        <v>0</v>
      </c>
    </row>
    <row r="665" spans="1:2" x14ac:dyDescent="0.25">
      <c r="A665" t="s">
        <v>665</v>
      </c>
      <c r="B665" s="1">
        <v>0</v>
      </c>
    </row>
    <row r="666" spans="1:2" x14ac:dyDescent="0.25">
      <c r="A666" t="s">
        <v>666</v>
      </c>
      <c r="B666" s="1">
        <v>0</v>
      </c>
    </row>
    <row r="667" spans="1:2" x14ac:dyDescent="0.25">
      <c r="A667" t="s">
        <v>667</v>
      </c>
      <c r="B667" s="1">
        <v>0</v>
      </c>
    </row>
    <row r="668" spans="1:2" x14ac:dyDescent="0.25">
      <c r="A668" t="s">
        <v>668</v>
      </c>
      <c r="B668" s="1">
        <v>0</v>
      </c>
    </row>
    <row r="669" spans="1:2" x14ac:dyDescent="0.25">
      <c r="A669" t="s">
        <v>669</v>
      </c>
      <c r="B669" s="1">
        <v>0</v>
      </c>
    </row>
    <row r="670" spans="1:2" x14ac:dyDescent="0.25">
      <c r="A670" t="s">
        <v>670</v>
      </c>
      <c r="B670" s="1">
        <v>0</v>
      </c>
    </row>
    <row r="671" spans="1:2" x14ac:dyDescent="0.25">
      <c r="A671" t="s">
        <v>671</v>
      </c>
      <c r="B671" s="1">
        <v>0</v>
      </c>
    </row>
    <row r="672" spans="1:2" x14ac:dyDescent="0.25">
      <c r="A672" t="s">
        <v>672</v>
      </c>
      <c r="B672" s="1">
        <v>0</v>
      </c>
    </row>
    <row r="673" spans="1:2" x14ac:dyDescent="0.25">
      <c r="A673" t="s">
        <v>673</v>
      </c>
      <c r="B673" s="1">
        <v>0</v>
      </c>
    </row>
    <row r="674" spans="1:2" x14ac:dyDescent="0.25">
      <c r="A674" t="s">
        <v>674</v>
      </c>
      <c r="B674" s="1">
        <v>0</v>
      </c>
    </row>
    <row r="675" spans="1:2" x14ac:dyDescent="0.25">
      <c r="A675" t="s">
        <v>675</v>
      </c>
      <c r="B675" s="1">
        <v>0</v>
      </c>
    </row>
    <row r="676" spans="1:2" x14ac:dyDescent="0.25">
      <c r="A676" t="s">
        <v>676</v>
      </c>
      <c r="B676" s="1">
        <v>0</v>
      </c>
    </row>
    <row r="677" spans="1:2" x14ac:dyDescent="0.25">
      <c r="A677" t="s">
        <v>677</v>
      </c>
      <c r="B677" s="1">
        <v>0</v>
      </c>
    </row>
    <row r="678" spans="1:2" x14ac:dyDescent="0.25">
      <c r="A678" t="s">
        <v>678</v>
      </c>
      <c r="B678" s="1">
        <v>0</v>
      </c>
    </row>
    <row r="679" spans="1:2" x14ac:dyDescent="0.25">
      <c r="A679" t="s">
        <v>679</v>
      </c>
      <c r="B679" s="1">
        <v>0</v>
      </c>
    </row>
    <row r="680" spans="1:2" x14ac:dyDescent="0.25">
      <c r="A680" t="s">
        <v>680</v>
      </c>
      <c r="B680" s="1">
        <v>0</v>
      </c>
    </row>
    <row r="681" spans="1:2" x14ac:dyDescent="0.25">
      <c r="A681" t="s">
        <v>681</v>
      </c>
      <c r="B681" s="1">
        <v>0</v>
      </c>
    </row>
    <row r="682" spans="1:2" x14ac:dyDescent="0.25">
      <c r="A682" t="s">
        <v>682</v>
      </c>
      <c r="B682" s="1">
        <v>0</v>
      </c>
    </row>
    <row r="683" spans="1:2" x14ac:dyDescent="0.25">
      <c r="A683" t="s">
        <v>683</v>
      </c>
      <c r="B683" s="1">
        <v>0</v>
      </c>
    </row>
    <row r="684" spans="1:2" x14ac:dyDescent="0.25">
      <c r="A684" t="s">
        <v>684</v>
      </c>
      <c r="B684" s="1">
        <v>0</v>
      </c>
    </row>
    <row r="685" spans="1:2" x14ac:dyDescent="0.25">
      <c r="A685" t="s">
        <v>685</v>
      </c>
      <c r="B685" s="1">
        <v>0</v>
      </c>
    </row>
    <row r="686" spans="1:2" x14ac:dyDescent="0.25">
      <c r="A686" t="s">
        <v>686</v>
      </c>
      <c r="B686" s="1">
        <v>0</v>
      </c>
    </row>
    <row r="687" spans="1:2" x14ac:dyDescent="0.25">
      <c r="A687" t="s">
        <v>687</v>
      </c>
      <c r="B687" s="1">
        <v>0</v>
      </c>
    </row>
    <row r="688" spans="1:2" x14ac:dyDescent="0.25">
      <c r="A688" t="s">
        <v>688</v>
      </c>
      <c r="B688" s="1">
        <v>0</v>
      </c>
    </row>
    <row r="689" spans="1:2" x14ac:dyDescent="0.25">
      <c r="A689" t="s">
        <v>689</v>
      </c>
      <c r="B689" s="1">
        <v>0</v>
      </c>
    </row>
    <row r="690" spans="1:2" x14ac:dyDescent="0.25">
      <c r="A690" t="s">
        <v>690</v>
      </c>
      <c r="B690" s="1">
        <v>0</v>
      </c>
    </row>
    <row r="691" spans="1:2" x14ac:dyDescent="0.25">
      <c r="A691" t="s">
        <v>691</v>
      </c>
      <c r="B691" s="1">
        <v>0</v>
      </c>
    </row>
    <row r="692" spans="1:2" x14ac:dyDescent="0.25">
      <c r="A692" t="s">
        <v>692</v>
      </c>
      <c r="B692" s="1">
        <v>0</v>
      </c>
    </row>
    <row r="693" spans="1:2" x14ac:dyDescent="0.25">
      <c r="A693" t="s">
        <v>693</v>
      </c>
      <c r="B693" s="1">
        <v>0</v>
      </c>
    </row>
    <row r="694" spans="1:2" x14ac:dyDescent="0.25">
      <c r="A694" t="s">
        <v>694</v>
      </c>
      <c r="B694" s="1">
        <v>0</v>
      </c>
    </row>
    <row r="695" spans="1:2" x14ac:dyDescent="0.25">
      <c r="A695" t="s">
        <v>695</v>
      </c>
      <c r="B695" s="1">
        <v>0</v>
      </c>
    </row>
    <row r="696" spans="1:2" x14ac:dyDescent="0.25">
      <c r="A696" t="s">
        <v>696</v>
      </c>
      <c r="B696" s="1">
        <v>0</v>
      </c>
    </row>
    <row r="697" spans="1:2" x14ac:dyDescent="0.25">
      <c r="A697" t="s">
        <v>697</v>
      </c>
      <c r="B697" s="1">
        <v>0</v>
      </c>
    </row>
    <row r="698" spans="1:2" x14ac:dyDescent="0.25">
      <c r="A698" t="s">
        <v>698</v>
      </c>
      <c r="B698" s="1">
        <v>0</v>
      </c>
    </row>
    <row r="699" spans="1:2" x14ac:dyDescent="0.25">
      <c r="A699" t="s">
        <v>699</v>
      </c>
      <c r="B699" s="1">
        <v>0</v>
      </c>
    </row>
    <row r="700" spans="1:2" x14ac:dyDescent="0.25">
      <c r="A700" t="s">
        <v>700</v>
      </c>
      <c r="B700" s="1">
        <v>0</v>
      </c>
    </row>
    <row r="701" spans="1:2" x14ac:dyDescent="0.25">
      <c r="A701" t="s">
        <v>701</v>
      </c>
      <c r="B701" s="1">
        <v>0</v>
      </c>
    </row>
    <row r="702" spans="1:2" x14ac:dyDescent="0.25">
      <c r="A702" t="s">
        <v>702</v>
      </c>
      <c r="B702" s="1">
        <v>0</v>
      </c>
    </row>
    <row r="703" spans="1:2" x14ac:dyDescent="0.25">
      <c r="A703" t="s">
        <v>703</v>
      </c>
      <c r="B703" s="1">
        <v>0</v>
      </c>
    </row>
    <row r="704" spans="1:2" x14ac:dyDescent="0.25">
      <c r="A704" t="s">
        <v>704</v>
      </c>
      <c r="B704" s="1">
        <v>0</v>
      </c>
    </row>
    <row r="705" spans="1:2" x14ac:dyDescent="0.25">
      <c r="A705" t="s">
        <v>705</v>
      </c>
      <c r="B705" s="1">
        <v>0</v>
      </c>
    </row>
    <row r="706" spans="1:2" x14ac:dyDescent="0.25">
      <c r="A706" t="s">
        <v>706</v>
      </c>
      <c r="B706" s="1">
        <v>0</v>
      </c>
    </row>
    <row r="707" spans="1:2" x14ac:dyDescent="0.25">
      <c r="A707" t="s">
        <v>707</v>
      </c>
      <c r="B707" s="1">
        <v>0</v>
      </c>
    </row>
    <row r="708" spans="1:2" x14ac:dyDescent="0.25">
      <c r="A708" t="s">
        <v>708</v>
      </c>
      <c r="B708" s="1">
        <v>0</v>
      </c>
    </row>
    <row r="709" spans="1:2" x14ac:dyDescent="0.25">
      <c r="A709" t="s">
        <v>709</v>
      </c>
      <c r="B709" s="1">
        <v>0</v>
      </c>
    </row>
    <row r="710" spans="1:2" x14ac:dyDescent="0.25">
      <c r="A710" t="s">
        <v>710</v>
      </c>
      <c r="B710" s="1">
        <v>0</v>
      </c>
    </row>
    <row r="711" spans="1:2" x14ac:dyDescent="0.25">
      <c r="A711" t="s">
        <v>711</v>
      </c>
      <c r="B711" s="1">
        <v>0</v>
      </c>
    </row>
    <row r="712" spans="1:2" x14ac:dyDescent="0.25">
      <c r="A712" t="s">
        <v>712</v>
      </c>
      <c r="B712" s="1">
        <v>0</v>
      </c>
    </row>
    <row r="713" spans="1:2" x14ac:dyDescent="0.25">
      <c r="A713" t="s">
        <v>713</v>
      </c>
      <c r="B713" s="1">
        <v>0</v>
      </c>
    </row>
    <row r="714" spans="1:2" x14ac:dyDescent="0.25">
      <c r="A714" t="s">
        <v>714</v>
      </c>
      <c r="B714" s="1">
        <v>0</v>
      </c>
    </row>
    <row r="715" spans="1:2" x14ac:dyDescent="0.25">
      <c r="A715" t="s">
        <v>715</v>
      </c>
      <c r="B715" s="1">
        <v>0</v>
      </c>
    </row>
    <row r="716" spans="1:2" x14ac:dyDescent="0.25">
      <c r="A716" t="s">
        <v>716</v>
      </c>
      <c r="B716" s="1">
        <v>0</v>
      </c>
    </row>
    <row r="717" spans="1:2" x14ac:dyDescent="0.25">
      <c r="A717" t="s">
        <v>717</v>
      </c>
      <c r="B717" s="1">
        <v>0</v>
      </c>
    </row>
    <row r="718" spans="1:2" x14ac:dyDescent="0.25">
      <c r="A718" t="s">
        <v>718</v>
      </c>
      <c r="B718" s="1">
        <v>0</v>
      </c>
    </row>
    <row r="719" spans="1:2" x14ac:dyDescent="0.25">
      <c r="A719" t="s">
        <v>719</v>
      </c>
      <c r="B719" s="1">
        <v>0</v>
      </c>
    </row>
    <row r="720" spans="1:2" x14ac:dyDescent="0.25">
      <c r="A720" t="s">
        <v>720</v>
      </c>
      <c r="B720" s="1">
        <v>0</v>
      </c>
    </row>
    <row r="721" spans="1:2" x14ac:dyDescent="0.25">
      <c r="A721" t="s">
        <v>721</v>
      </c>
      <c r="B721" s="1">
        <v>0</v>
      </c>
    </row>
    <row r="722" spans="1:2" x14ac:dyDescent="0.25">
      <c r="A722" t="s">
        <v>722</v>
      </c>
      <c r="B722" s="1">
        <v>0</v>
      </c>
    </row>
    <row r="723" spans="1:2" x14ac:dyDescent="0.25">
      <c r="A723" t="s">
        <v>723</v>
      </c>
      <c r="B723" s="1">
        <v>0</v>
      </c>
    </row>
    <row r="724" spans="1:2" x14ac:dyDescent="0.25">
      <c r="A724" t="s">
        <v>724</v>
      </c>
      <c r="B724" s="1">
        <v>0</v>
      </c>
    </row>
    <row r="725" spans="1:2" x14ac:dyDescent="0.25">
      <c r="A725" t="s">
        <v>725</v>
      </c>
      <c r="B725" s="1">
        <v>0</v>
      </c>
    </row>
    <row r="726" spans="1:2" x14ac:dyDescent="0.25">
      <c r="A726" t="s">
        <v>726</v>
      </c>
      <c r="B726" s="1">
        <v>0</v>
      </c>
    </row>
    <row r="727" spans="1:2" x14ac:dyDescent="0.25">
      <c r="A727" t="s">
        <v>727</v>
      </c>
      <c r="B727" s="1">
        <v>0</v>
      </c>
    </row>
    <row r="728" spans="1:2" x14ac:dyDescent="0.25">
      <c r="A728" t="s">
        <v>728</v>
      </c>
      <c r="B728" s="1">
        <v>0</v>
      </c>
    </row>
    <row r="729" spans="1:2" x14ac:dyDescent="0.25">
      <c r="A729" t="s">
        <v>729</v>
      </c>
      <c r="B729" s="1">
        <v>0</v>
      </c>
    </row>
    <row r="730" spans="1:2" x14ac:dyDescent="0.25">
      <c r="A730" t="s">
        <v>730</v>
      </c>
      <c r="B730" s="1">
        <v>0</v>
      </c>
    </row>
    <row r="731" spans="1:2" x14ac:dyDescent="0.25">
      <c r="A731" t="s">
        <v>731</v>
      </c>
      <c r="B731" s="1">
        <v>0</v>
      </c>
    </row>
    <row r="732" spans="1:2" x14ac:dyDescent="0.25">
      <c r="A732" t="s">
        <v>732</v>
      </c>
      <c r="B732" s="1">
        <v>0</v>
      </c>
    </row>
    <row r="733" spans="1:2" x14ac:dyDescent="0.25">
      <c r="A733" t="s">
        <v>733</v>
      </c>
      <c r="B733" s="1">
        <v>0</v>
      </c>
    </row>
    <row r="734" spans="1:2" x14ac:dyDescent="0.25">
      <c r="A734" t="s">
        <v>734</v>
      </c>
      <c r="B734" s="1">
        <v>0</v>
      </c>
    </row>
    <row r="735" spans="1:2" x14ac:dyDescent="0.25">
      <c r="A735" t="s">
        <v>735</v>
      </c>
      <c r="B735" s="1">
        <v>0</v>
      </c>
    </row>
    <row r="736" spans="1:2" x14ac:dyDescent="0.25">
      <c r="A736" t="s">
        <v>736</v>
      </c>
      <c r="B736" s="1">
        <v>0</v>
      </c>
    </row>
    <row r="737" spans="1:2" x14ac:dyDescent="0.25">
      <c r="A737" t="s">
        <v>737</v>
      </c>
      <c r="B737" s="1">
        <v>0</v>
      </c>
    </row>
    <row r="738" spans="1:2" x14ac:dyDescent="0.25">
      <c r="A738" t="s">
        <v>738</v>
      </c>
      <c r="B738" s="1">
        <v>0</v>
      </c>
    </row>
    <row r="739" spans="1:2" x14ac:dyDescent="0.25">
      <c r="A739" t="s">
        <v>739</v>
      </c>
      <c r="B739" s="1">
        <v>0</v>
      </c>
    </row>
    <row r="740" spans="1:2" x14ac:dyDescent="0.25">
      <c r="A740" t="s">
        <v>740</v>
      </c>
      <c r="B740" s="1">
        <v>0</v>
      </c>
    </row>
    <row r="741" spans="1:2" x14ac:dyDescent="0.25">
      <c r="A741" t="s">
        <v>741</v>
      </c>
      <c r="B741" s="1">
        <v>0</v>
      </c>
    </row>
    <row r="742" spans="1:2" x14ac:dyDescent="0.25">
      <c r="A742" t="s">
        <v>742</v>
      </c>
      <c r="B742" s="1">
        <v>0</v>
      </c>
    </row>
    <row r="743" spans="1:2" x14ac:dyDescent="0.25">
      <c r="A743" t="s">
        <v>743</v>
      </c>
      <c r="B743" s="1">
        <v>0</v>
      </c>
    </row>
    <row r="744" spans="1:2" x14ac:dyDescent="0.25">
      <c r="A744" t="s">
        <v>744</v>
      </c>
      <c r="B744" s="1">
        <v>0</v>
      </c>
    </row>
    <row r="745" spans="1:2" x14ac:dyDescent="0.25">
      <c r="A745" t="s">
        <v>745</v>
      </c>
      <c r="B745" s="1">
        <v>0</v>
      </c>
    </row>
    <row r="746" spans="1:2" x14ac:dyDescent="0.25">
      <c r="A746" t="s">
        <v>746</v>
      </c>
      <c r="B746" s="1">
        <v>0</v>
      </c>
    </row>
    <row r="747" spans="1:2" x14ac:dyDescent="0.25">
      <c r="A747" t="s">
        <v>747</v>
      </c>
      <c r="B747" s="1">
        <v>0</v>
      </c>
    </row>
    <row r="748" spans="1:2" x14ac:dyDescent="0.25">
      <c r="A748" t="s">
        <v>748</v>
      </c>
      <c r="B748" s="1">
        <v>0</v>
      </c>
    </row>
    <row r="749" spans="1:2" x14ac:dyDescent="0.25">
      <c r="A749" t="s">
        <v>749</v>
      </c>
      <c r="B749" s="1">
        <v>0</v>
      </c>
    </row>
    <row r="750" spans="1:2" x14ac:dyDescent="0.25">
      <c r="A750" t="s">
        <v>750</v>
      </c>
      <c r="B750" s="1">
        <v>0</v>
      </c>
    </row>
    <row r="751" spans="1:2" x14ac:dyDescent="0.25">
      <c r="A751" t="s">
        <v>751</v>
      </c>
      <c r="B751" s="1">
        <v>0</v>
      </c>
    </row>
    <row r="752" spans="1:2" x14ac:dyDescent="0.25">
      <c r="A752" t="s">
        <v>752</v>
      </c>
      <c r="B752" s="1">
        <v>0</v>
      </c>
    </row>
    <row r="753" spans="1:2" x14ac:dyDescent="0.25">
      <c r="A753" t="s">
        <v>753</v>
      </c>
      <c r="B753" s="1">
        <v>0</v>
      </c>
    </row>
    <row r="754" spans="1:2" x14ac:dyDescent="0.25">
      <c r="A754" t="s">
        <v>754</v>
      </c>
      <c r="B754" s="1">
        <v>0</v>
      </c>
    </row>
    <row r="755" spans="1:2" x14ac:dyDescent="0.25">
      <c r="A755" t="s">
        <v>755</v>
      </c>
      <c r="B755" s="1">
        <v>0</v>
      </c>
    </row>
    <row r="756" spans="1:2" x14ac:dyDescent="0.25">
      <c r="A756" t="s">
        <v>756</v>
      </c>
      <c r="B756" s="1">
        <v>0</v>
      </c>
    </row>
    <row r="757" spans="1:2" x14ac:dyDescent="0.25">
      <c r="A757" t="s">
        <v>757</v>
      </c>
      <c r="B757" s="1">
        <v>0</v>
      </c>
    </row>
    <row r="758" spans="1:2" x14ac:dyDescent="0.25">
      <c r="A758" t="s">
        <v>758</v>
      </c>
      <c r="B758" s="1">
        <v>0</v>
      </c>
    </row>
    <row r="759" spans="1:2" x14ac:dyDescent="0.25">
      <c r="A759" t="s">
        <v>759</v>
      </c>
      <c r="B759" s="1">
        <v>0</v>
      </c>
    </row>
    <row r="760" spans="1:2" x14ac:dyDescent="0.25">
      <c r="A760" t="s">
        <v>760</v>
      </c>
      <c r="B760" s="1">
        <v>0</v>
      </c>
    </row>
    <row r="761" spans="1:2" x14ac:dyDescent="0.25">
      <c r="A761" t="s">
        <v>761</v>
      </c>
      <c r="B761" s="1">
        <v>0</v>
      </c>
    </row>
    <row r="762" spans="1:2" x14ac:dyDescent="0.25">
      <c r="A762" t="s">
        <v>762</v>
      </c>
      <c r="B762" s="1">
        <v>0</v>
      </c>
    </row>
    <row r="763" spans="1:2" x14ac:dyDescent="0.25">
      <c r="A763" t="s">
        <v>763</v>
      </c>
      <c r="B763" s="1">
        <v>0</v>
      </c>
    </row>
    <row r="764" spans="1:2" x14ac:dyDescent="0.25">
      <c r="A764" t="s">
        <v>764</v>
      </c>
      <c r="B764" s="1">
        <v>0</v>
      </c>
    </row>
    <row r="765" spans="1:2" x14ac:dyDescent="0.25">
      <c r="A765" t="s">
        <v>765</v>
      </c>
      <c r="B765" s="1">
        <v>0</v>
      </c>
    </row>
    <row r="766" spans="1:2" x14ac:dyDescent="0.25">
      <c r="A766" t="s">
        <v>766</v>
      </c>
      <c r="B766" s="1">
        <v>0</v>
      </c>
    </row>
    <row r="767" spans="1:2" x14ac:dyDescent="0.25">
      <c r="A767" t="s">
        <v>767</v>
      </c>
      <c r="B767" s="1">
        <v>0</v>
      </c>
    </row>
    <row r="768" spans="1:2" x14ac:dyDescent="0.25">
      <c r="A768" t="s">
        <v>768</v>
      </c>
      <c r="B768" s="1">
        <v>0</v>
      </c>
    </row>
    <row r="769" spans="1:2" x14ac:dyDescent="0.25">
      <c r="A769" t="s">
        <v>769</v>
      </c>
      <c r="B769" s="1">
        <v>0</v>
      </c>
    </row>
    <row r="770" spans="1:2" x14ac:dyDescent="0.25">
      <c r="A770" t="s">
        <v>770</v>
      </c>
      <c r="B770" s="1">
        <v>0</v>
      </c>
    </row>
    <row r="771" spans="1:2" x14ac:dyDescent="0.25">
      <c r="A771" t="s">
        <v>771</v>
      </c>
      <c r="B771" s="1">
        <v>0</v>
      </c>
    </row>
    <row r="772" spans="1:2" x14ac:dyDescent="0.25">
      <c r="A772" t="s">
        <v>772</v>
      </c>
      <c r="B772" s="1">
        <v>0</v>
      </c>
    </row>
    <row r="773" spans="1:2" x14ac:dyDescent="0.25">
      <c r="A773" t="s">
        <v>773</v>
      </c>
      <c r="B773" s="1">
        <v>0</v>
      </c>
    </row>
    <row r="774" spans="1:2" x14ac:dyDescent="0.25">
      <c r="A774" t="s">
        <v>774</v>
      </c>
      <c r="B774" s="1">
        <v>0</v>
      </c>
    </row>
    <row r="775" spans="1:2" x14ac:dyDescent="0.25">
      <c r="A775" t="s">
        <v>775</v>
      </c>
      <c r="B775" s="1">
        <v>0</v>
      </c>
    </row>
    <row r="776" spans="1:2" x14ac:dyDescent="0.25">
      <c r="A776" t="s">
        <v>776</v>
      </c>
      <c r="B776" s="1">
        <v>0</v>
      </c>
    </row>
    <row r="777" spans="1:2" x14ac:dyDescent="0.25">
      <c r="A777" t="s">
        <v>777</v>
      </c>
      <c r="B777" s="1">
        <v>0</v>
      </c>
    </row>
    <row r="778" spans="1:2" x14ac:dyDescent="0.25">
      <c r="A778" t="s">
        <v>778</v>
      </c>
      <c r="B778" s="1">
        <v>0</v>
      </c>
    </row>
    <row r="779" spans="1:2" x14ac:dyDescent="0.25">
      <c r="A779" t="s">
        <v>779</v>
      </c>
      <c r="B779" s="1">
        <v>0</v>
      </c>
    </row>
    <row r="780" spans="1:2" x14ac:dyDescent="0.25">
      <c r="A780" t="s">
        <v>780</v>
      </c>
      <c r="B780" s="1">
        <v>0</v>
      </c>
    </row>
    <row r="781" spans="1:2" x14ac:dyDescent="0.25">
      <c r="A781" t="s">
        <v>781</v>
      </c>
      <c r="B781" s="1">
        <v>0</v>
      </c>
    </row>
    <row r="782" spans="1:2" x14ac:dyDescent="0.25">
      <c r="A782" t="s">
        <v>782</v>
      </c>
      <c r="B782" s="1">
        <v>0</v>
      </c>
    </row>
    <row r="783" spans="1:2" x14ac:dyDescent="0.25">
      <c r="A783" t="s">
        <v>783</v>
      </c>
      <c r="B783" s="1">
        <v>0</v>
      </c>
    </row>
    <row r="784" spans="1:2" x14ac:dyDescent="0.25">
      <c r="A784" t="s">
        <v>784</v>
      </c>
      <c r="B784" s="1">
        <v>0</v>
      </c>
    </row>
    <row r="785" spans="1:2" x14ac:dyDescent="0.25">
      <c r="A785" t="s">
        <v>785</v>
      </c>
      <c r="B785" s="1">
        <v>0</v>
      </c>
    </row>
    <row r="786" spans="1:2" x14ac:dyDescent="0.25">
      <c r="A786" t="s">
        <v>786</v>
      </c>
      <c r="B786" s="1">
        <v>0</v>
      </c>
    </row>
    <row r="787" spans="1:2" x14ac:dyDescent="0.25">
      <c r="A787" t="s">
        <v>787</v>
      </c>
      <c r="B787" s="1">
        <v>0</v>
      </c>
    </row>
    <row r="788" spans="1:2" x14ac:dyDescent="0.25">
      <c r="A788" t="s">
        <v>788</v>
      </c>
      <c r="B788" s="1">
        <v>0</v>
      </c>
    </row>
    <row r="789" spans="1:2" x14ac:dyDescent="0.25">
      <c r="A789" t="s">
        <v>789</v>
      </c>
      <c r="B789" s="1">
        <v>0</v>
      </c>
    </row>
    <row r="790" spans="1:2" x14ac:dyDescent="0.25">
      <c r="A790" t="s">
        <v>790</v>
      </c>
      <c r="B790" s="1">
        <v>0</v>
      </c>
    </row>
    <row r="791" spans="1:2" x14ac:dyDescent="0.25">
      <c r="A791" t="s">
        <v>791</v>
      </c>
      <c r="B791" s="1">
        <v>0</v>
      </c>
    </row>
    <row r="792" spans="1:2" x14ac:dyDescent="0.25">
      <c r="A792" t="s">
        <v>792</v>
      </c>
      <c r="B792" s="1">
        <v>0</v>
      </c>
    </row>
    <row r="793" spans="1:2" x14ac:dyDescent="0.25">
      <c r="A793" t="s">
        <v>793</v>
      </c>
      <c r="B793" s="1">
        <v>0</v>
      </c>
    </row>
    <row r="794" spans="1:2" x14ac:dyDescent="0.25">
      <c r="A794" t="s">
        <v>794</v>
      </c>
      <c r="B794" s="1">
        <v>0</v>
      </c>
    </row>
    <row r="795" spans="1:2" x14ac:dyDescent="0.25">
      <c r="A795" t="s">
        <v>795</v>
      </c>
      <c r="B795" s="1">
        <v>0</v>
      </c>
    </row>
    <row r="796" spans="1:2" x14ac:dyDescent="0.25">
      <c r="A796" t="s">
        <v>796</v>
      </c>
      <c r="B796" s="1">
        <v>0</v>
      </c>
    </row>
    <row r="797" spans="1:2" x14ac:dyDescent="0.25">
      <c r="A797" t="s">
        <v>797</v>
      </c>
      <c r="B797" s="1">
        <v>0</v>
      </c>
    </row>
    <row r="798" spans="1:2" x14ac:dyDescent="0.25">
      <c r="A798" t="s">
        <v>798</v>
      </c>
      <c r="B798" s="1">
        <v>0</v>
      </c>
    </row>
    <row r="799" spans="1:2" x14ac:dyDescent="0.25">
      <c r="A799" t="s">
        <v>799</v>
      </c>
      <c r="B799" s="1">
        <v>0</v>
      </c>
    </row>
    <row r="800" spans="1:2" x14ac:dyDescent="0.25">
      <c r="A800" t="s">
        <v>800</v>
      </c>
      <c r="B800" s="1">
        <v>0</v>
      </c>
    </row>
    <row r="801" spans="1:2" x14ac:dyDescent="0.25">
      <c r="A801" t="s">
        <v>801</v>
      </c>
      <c r="B801" s="1">
        <v>0</v>
      </c>
    </row>
    <row r="802" spans="1:2" x14ac:dyDescent="0.25">
      <c r="A802" t="s">
        <v>802</v>
      </c>
      <c r="B802" s="1">
        <v>0</v>
      </c>
    </row>
    <row r="803" spans="1:2" x14ac:dyDescent="0.25">
      <c r="A803" t="s">
        <v>803</v>
      </c>
      <c r="B803" s="1">
        <v>0</v>
      </c>
    </row>
    <row r="804" spans="1:2" x14ac:dyDescent="0.25">
      <c r="A804" t="s">
        <v>804</v>
      </c>
      <c r="B804" s="1">
        <v>0</v>
      </c>
    </row>
    <row r="805" spans="1:2" x14ac:dyDescent="0.25">
      <c r="A805" t="s">
        <v>805</v>
      </c>
      <c r="B805" s="1">
        <v>0</v>
      </c>
    </row>
    <row r="806" spans="1:2" x14ac:dyDescent="0.25">
      <c r="A806" t="s">
        <v>806</v>
      </c>
      <c r="B806" s="1">
        <v>0</v>
      </c>
    </row>
    <row r="807" spans="1:2" x14ac:dyDescent="0.25">
      <c r="A807" t="s">
        <v>807</v>
      </c>
      <c r="B807" s="1">
        <v>0</v>
      </c>
    </row>
    <row r="808" spans="1:2" x14ac:dyDescent="0.25">
      <c r="A808" t="s">
        <v>808</v>
      </c>
      <c r="B808" s="1">
        <v>0</v>
      </c>
    </row>
    <row r="809" spans="1:2" x14ac:dyDescent="0.25">
      <c r="A809" t="s">
        <v>809</v>
      </c>
      <c r="B809" s="1">
        <v>0</v>
      </c>
    </row>
    <row r="810" spans="1:2" x14ac:dyDescent="0.25">
      <c r="A810" t="s">
        <v>810</v>
      </c>
      <c r="B810" s="1">
        <v>0</v>
      </c>
    </row>
    <row r="811" spans="1:2" x14ac:dyDescent="0.25">
      <c r="A811" t="s">
        <v>811</v>
      </c>
      <c r="B811" s="1">
        <v>0</v>
      </c>
    </row>
    <row r="812" spans="1:2" x14ac:dyDescent="0.25">
      <c r="A812" t="s">
        <v>812</v>
      </c>
      <c r="B812" s="1">
        <v>0</v>
      </c>
    </row>
    <row r="813" spans="1:2" x14ac:dyDescent="0.25">
      <c r="A813" t="s">
        <v>813</v>
      </c>
      <c r="B813" s="1">
        <v>0</v>
      </c>
    </row>
    <row r="814" spans="1:2" x14ac:dyDescent="0.25">
      <c r="A814" t="s">
        <v>814</v>
      </c>
      <c r="B814" s="1">
        <v>0</v>
      </c>
    </row>
    <row r="815" spans="1:2" x14ac:dyDescent="0.25">
      <c r="A815" t="s">
        <v>815</v>
      </c>
      <c r="B815" s="1">
        <v>0</v>
      </c>
    </row>
    <row r="816" spans="1:2" x14ac:dyDescent="0.25">
      <c r="A816" t="s">
        <v>816</v>
      </c>
      <c r="B816" s="1">
        <v>0</v>
      </c>
    </row>
    <row r="817" spans="1:2" x14ac:dyDescent="0.25">
      <c r="A817" t="s">
        <v>817</v>
      </c>
      <c r="B817" s="1">
        <v>0</v>
      </c>
    </row>
    <row r="818" spans="1:2" x14ac:dyDescent="0.25">
      <c r="A818" t="s">
        <v>818</v>
      </c>
      <c r="B818" s="1">
        <v>0</v>
      </c>
    </row>
    <row r="819" spans="1:2" x14ac:dyDescent="0.25">
      <c r="A819" t="s">
        <v>819</v>
      </c>
      <c r="B819" s="1">
        <v>0</v>
      </c>
    </row>
    <row r="820" spans="1:2" x14ac:dyDescent="0.25">
      <c r="A820" t="s">
        <v>820</v>
      </c>
      <c r="B820" s="1">
        <v>0</v>
      </c>
    </row>
    <row r="821" spans="1:2" x14ac:dyDescent="0.25">
      <c r="A821" t="s">
        <v>821</v>
      </c>
      <c r="B821" s="1">
        <v>0</v>
      </c>
    </row>
    <row r="822" spans="1:2" x14ac:dyDescent="0.25">
      <c r="A822" t="s">
        <v>822</v>
      </c>
      <c r="B822" s="1">
        <v>0</v>
      </c>
    </row>
    <row r="823" spans="1:2" x14ac:dyDescent="0.25">
      <c r="A823" t="s">
        <v>823</v>
      </c>
      <c r="B823" s="1">
        <v>0</v>
      </c>
    </row>
    <row r="824" spans="1:2" x14ac:dyDescent="0.25">
      <c r="A824" t="s">
        <v>824</v>
      </c>
      <c r="B824" s="1">
        <v>0</v>
      </c>
    </row>
    <row r="825" spans="1:2" x14ac:dyDescent="0.25">
      <c r="A825" t="s">
        <v>825</v>
      </c>
      <c r="B825" s="1">
        <v>0</v>
      </c>
    </row>
    <row r="826" spans="1:2" x14ac:dyDescent="0.25">
      <c r="A826" t="s">
        <v>826</v>
      </c>
      <c r="B826" s="1">
        <v>0</v>
      </c>
    </row>
    <row r="827" spans="1:2" x14ac:dyDescent="0.25">
      <c r="A827" t="s">
        <v>827</v>
      </c>
      <c r="B827" s="1">
        <v>0</v>
      </c>
    </row>
    <row r="828" spans="1:2" x14ac:dyDescent="0.25">
      <c r="A828" t="s">
        <v>828</v>
      </c>
      <c r="B828" s="1">
        <v>0</v>
      </c>
    </row>
    <row r="829" spans="1:2" x14ac:dyDescent="0.25">
      <c r="A829" t="s">
        <v>829</v>
      </c>
      <c r="B829" s="1">
        <v>0</v>
      </c>
    </row>
    <row r="830" spans="1:2" x14ac:dyDescent="0.25">
      <c r="A830" t="s">
        <v>830</v>
      </c>
      <c r="B830" s="1">
        <v>0</v>
      </c>
    </row>
    <row r="831" spans="1:2" x14ac:dyDescent="0.25">
      <c r="A831" t="s">
        <v>831</v>
      </c>
      <c r="B831" s="1">
        <v>0</v>
      </c>
    </row>
    <row r="832" spans="1:2" x14ac:dyDescent="0.25">
      <c r="A832" t="s">
        <v>832</v>
      </c>
      <c r="B832" s="1">
        <v>0</v>
      </c>
    </row>
    <row r="833" spans="1:2" x14ac:dyDescent="0.25">
      <c r="A833" t="s">
        <v>833</v>
      </c>
      <c r="B833" s="1">
        <v>0</v>
      </c>
    </row>
    <row r="834" spans="1:2" x14ac:dyDescent="0.25">
      <c r="A834" t="s">
        <v>834</v>
      </c>
      <c r="B834" s="1">
        <v>0</v>
      </c>
    </row>
    <row r="835" spans="1:2" x14ac:dyDescent="0.25">
      <c r="A835" t="s">
        <v>835</v>
      </c>
      <c r="B835" s="1">
        <v>0</v>
      </c>
    </row>
    <row r="836" spans="1:2" x14ac:dyDescent="0.25">
      <c r="A836" t="s">
        <v>836</v>
      </c>
      <c r="B836" s="1">
        <v>0</v>
      </c>
    </row>
    <row r="837" spans="1:2" x14ac:dyDescent="0.25">
      <c r="A837" t="s">
        <v>837</v>
      </c>
      <c r="B837" s="1">
        <v>0</v>
      </c>
    </row>
    <row r="838" spans="1:2" x14ac:dyDescent="0.25">
      <c r="A838" t="s">
        <v>838</v>
      </c>
      <c r="B838" s="1">
        <v>0</v>
      </c>
    </row>
    <row r="839" spans="1:2" x14ac:dyDescent="0.25">
      <c r="A839" t="s">
        <v>839</v>
      </c>
      <c r="B839" s="1">
        <v>0</v>
      </c>
    </row>
    <row r="840" spans="1:2" x14ac:dyDescent="0.25">
      <c r="A840" t="s">
        <v>840</v>
      </c>
      <c r="B840" s="1">
        <v>0</v>
      </c>
    </row>
    <row r="841" spans="1:2" x14ac:dyDescent="0.25">
      <c r="A841" t="s">
        <v>841</v>
      </c>
      <c r="B841" s="1">
        <v>0</v>
      </c>
    </row>
    <row r="842" spans="1:2" x14ac:dyDescent="0.25">
      <c r="A842" t="s">
        <v>842</v>
      </c>
      <c r="B842" s="1">
        <v>0</v>
      </c>
    </row>
    <row r="843" spans="1:2" x14ac:dyDescent="0.25">
      <c r="A843" t="s">
        <v>843</v>
      </c>
      <c r="B843" s="1">
        <v>0</v>
      </c>
    </row>
    <row r="844" spans="1:2" x14ac:dyDescent="0.25">
      <c r="A844" t="s">
        <v>844</v>
      </c>
      <c r="B844" s="1">
        <v>0</v>
      </c>
    </row>
    <row r="845" spans="1:2" x14ac:dyDescent="0.25">
      <c r="A845" t="s">
        <v>845</v>
      </c>
      <c r="B845" s="1">
        <v>0</v>
      </c>
    </row>
    <row r="846" spans="1:2" x14ac:dyDescent="0.25">
      <c r="A846" t="s">
        <v>846</v>
      </c>
      <c r="B846" s="1">
        <v>0</v>
      </c>
    </row>
    <row r="847" spans="1:2" x14ac:dyDescent="0.25">
      <c r="A847" t="s">
        <v>847</v>
      </c>
      <c r="B847" s="1">
        <v>0</v>
      </c>
    </row>
    <row r="848" spans="1:2" x14ac:dyDescent="0.25">
      <c r="A848" t="s">
        <v>848</v>
      </c>
      <c r="B848" s="1">
        <v>0</v>
      </c>
    </row>
    <row r="849" spans="1:2" x14ac:dyDescent="0.25">
      <c r="A849" t="s">
        <v>849</v>
      </c>
      <c r="B849" s="1">
        <v>0</v>
      </c>
    </row>
    <row r="850" spans="1:2" x14ac:dyDescent="0.25">
      <c r="A850" t="s">
        <v>850</v>
      </c>
      <c r="B850" s="1">
        <v>0</v>
      </c>
    </row>
    <row r="851" spans="1:2" x14ac:dyDescent="0.25">
      <c r="A851" t="s">
        <v>851</v>
      </c>
      <c r="B851" s="1">
        <v>0</v>
      </c>
    </row>
    <row r="852" spans="1:2" x14ac:dyDescent="0.25">
      <c r="A852" t="s">
        <v>852</v>
      </c>
      <c r="B852" s="1">
        <v>0</v>
      </c>
    </row>
    <row r="853" spans="1:2" x14ac:dyDescent="0.25">
      <c r="A853" t="s">
        <v>853</v>
      </c>
      <c r="B853" s="1">
        <v>0</v>
      </c>
    </row>
    <row r="854" spans="1:2" x14ac:dyDescent="0.25">
      <c r="A854" t="s">
        <v>854</v>
      </c>
      <c r="B854" s="1">
        <v>0</v>
      </c>
    </row>
    <row r="855" spans="1:2" x14ac:dyDescent="0.25">
      <c r="A855" t="s">
        <v>855</v>
      </c>
      <c r="B855" s="1">
        <v>0</v>
      </c>
    </row>
    <row r="856" spans="1:2" x14ac:dyDescent="0.25">
      <c r="A856" t="s">
        <v>856</v>
      </c>
      <c r="B856" s="1">
        <v>0</v>
      </c>
    </row>
    <row r="857" spans="1:2" x14ac:dyDescent="0.25">
      <c r="A857" t="s">
        <v>857</v>
      </c>
      <c r="B857" s="1">
        <v>0</v>
      </c>
    </row>
    <row r="858" spans="1:2" x14ac:dyDescent="0.25">
      <c r="A858" t="s">
        <v>858</v>
      </c>
      <c r="B858" s="1">
        <v>0</v>
      </c>
    </row>
    <row r="859" spans="1:2" x14ac:dyDescent="0.25">
      <c r="A859" t="s">
        <v>859</v>
      </c>
      <c r="B859" s="1">
        <v>0</v>
      </c>
    </row>
    <row r="860" spans="1:2" x14ac:dyDescent="0.25">
      <c r="A860" t="s">
        <v>860</v>
      </c>
      <c r="B860" s="1">
        <v>0</v>
      </c>
    </row>
    <row r="861" spans="1:2" x14ac:dyDescent="0.25">
      <c r="A861" t="s">
        <v>861</v>
      </c>
      <c r="B861" s="1">
        <v>0</v>
      </c>
    </row>
    <row r="862" spans="1:2" x14ac:dyDescent="0.25">
      <c r="A862" t="s">
        <v>862</v>
      </c>
      <c r="B862" s="1">
        <v>0</v>
      </c>
    </row>
    <row r="863" spans="1:2" x14ac:dyDescent="0.25">
      <c r="A863" t="s">
        <v>863</v>
      </c>
      <c r="B863" s="1">
        <v>0</v>
      </c>
    </row>
    <row r="864" spans="1:2" x14ac:dyDescent="0.25">
      <c r="A864" t="s">
        <v>864</v>
      </c>
      <c r="B864" s="1">
        <v>0</v>
      </c>
    </row>
    <row r="865" spans="1:2" x14ac:dyDescent="0.25">
      <c r="A865" t="s">
        <v>865</v>
      </c>
      <c r="B865" s="1">
        <v>0</v>
      </c>
    </row>
    <row r="866" spans="1:2" x14ac:dyDescent="0.25">
      <c r="A866" t="s">
        <v>866</v>
      </c>
      <c r="B866" s="1">
        <v>0</v>
      </c>
    </row>
    <row r="867" spans="1:2" x14ac:dyDescent="0.25">
      <c r="A867" t="s">
        <v>867</v>
      </c>
      <c r="B867" s="1">
        <v>0</v>
      </c>
    </row>
    <row r="868" spans="1:2" x14ac:dyDescent="0.25">
      <c r="A868" t="s">
        <v>868</v>
      </c>
      <c r="B868" s="1">
        <v>0</v>
      </c>
    </row>
    <row r="869" spans="1:2" x14ac:dyDescent="0.25">
      <c r="A869" t="s">
        <v>869</v>
      </c>
      <c r="B869" s="1">
        <v>0</v>
      </c>
    </row>
    <row r="870" spans="1:2" x14ac:dyDescent="0.25">
      <c r="A870" t="s">
        <v>870</v>
      </c>
      <c r="B870" s="1">
        <v>0</v>
      </c>
    </row>
    <row r="871" spans="1:2" x14ac:dyDescent="0.25">
      <c r="A871" t="s">
        <v>871</v>
      </c>
      <c r="B871" s="1">
        <v>0</v>
      </c>
    </row>
    <row r="872" spans="1:2" x14ac:dyDescent="0.25">
      <c r="A872" t="s">
        <v>872</v>
      </c>
      <c r="B872" s="1">
        <v>0</v>
      </c>
    </row>
    <row r="873" spans="1:2" x14ac:dyDescent="0.25">
      <c r="A873" t="s">
        <v>873</v>
      </c>
      <c r="B873" s="1">
        <v>0</v>
      </c>
    </row>
    <row r="874" spans="1:2" x14ac:dyDescent="0.25">
      <c r="A874" t="s">
        <v>874</v>
      </c>
      <c r="B874" s="1">
        <v>0</v>
      </c>
    </row>
    <row r="875" spans="1:2" x14ac:dyDescent="0.25">
      <c r="A875" t="s">
        <v>875</v>
      </c>
      <c r="B875" s="1">
        <v>0</v>
      </c>
    </row>
    <row r="876" spans="1:2" x14ac:dyDescent="0.25">
      <c r="A876" t="s">
        <v>876</v>
      </c>
      <c r="B876" s="1">
        <v>0</v>
      </c>
    </row>
    <row r="877" spans="1:2" x14ac:dyDescent="0.25">
      <c r="A877" t="s">
        <v>877</v>
      </c>
      <c r="B877" s="1">
        <v>0</v>
      </c>
    </row>
    <row r="878" spans="1:2" x14ac:dyDescent="0.25">
      <c r="A878" t="s">
        <v>878</v>
      </c>
      <c r="B878" s="1">
        <v>0</v>
      </c>
    </row>
    <row r="879" spans="1:2" x14ac:dyDescent="0.25">
      <c r="A879" t="s">
        <v>879</v>
      </c>
      <c r="B879" s="1">
        <v>0</v>
      </c>
    </row>
    <row r="880" spans="1:2" x14ac:dyDescent="0.25">
      <c r="A880" t="s">
        <v>880</v>
      </c>
      <c r="B880" s="1">
        <v>0</v>
      </c>
    </row>
    <row r="881" spans="1:2" x14ac:dyDescent="0.25">
      <c r="A881" t="s">
        <v>881</v>
      </c>
      <c r="B881" s="1">
        <v>0</v>
      </c>
    </row>
    <row r="882" spans="1:2" x14ac:dyDescent="0.25">
      <c r="A882" t="s">
        <v>882</v>
      </c>
      <c r="B882" s="1">
        <v>0</v>
      </c>
    </row>
    <row r="883" spans="1:2" x14ac:dyDescent="0.25">
      <c r="A883" t="s">
        <v>883</v>
      </c>
      <c r="B883" s="1">
        <v>0</v>
      </c>
    </row>
    <row r="884" spans="1:2" x14ac:dyDescent="0.25">
      <c r="A884" t="s">
        <v>884</v>
      </c>
      <c r="B884" s="1">
        <v>0</v>
      </c>
    </row>
    <row r="885" spans="1:2" x14ac:dyDescent="0.25">
      <c r="A885" t="s">
        <v>885</v>
      </c>
      <c r="B885" s="1">
        <v>0</v>
      </c>
    </row>
    <row r="886" spans="1:2" x14ac:dyDescent="0.25">
      <c r="A886" t="s">
        <v>886</v>
      </c>
      <c r="B886" s="1">
        <v>0</v>
      </c>
    </row>
    <row r="887" spans="1:2" x14ac:dyDescent="0.25">
      <c r="A887" t="s">
        <v>887</v>
      </c>
      <c r="B887" s="1">
        <v>0</v>
      </c>
    </row>
    <row r="888" spans="1:2" x14ac:dyDescent="0.25">
      <c r="A888" t="s">
        <v>888</v>
      </c>
      <c r="B888" s="1">
        <v>0</v>
      </c>
    </row>
    <row r="889" spans="1:2" x14ac:dyDescent="0.25">
      <c r="A889" t="s">
        <v>889</v>
      </c>
      <c r="B889" s="1">
        <v>0</v>
      </c>
    </row>
    <row r="890" spans="1:2" x14ac:dyDescent="0.25">
      <c r="A890" t="s">
        <v>890</v>
      </c>
      <c r="B890" s="1">
        <v>0</v>
      </c>
    </row>
    <row r="891" spans="1:2" x14ac:dyDescent="0.25">
      <c r="A891" t="s">
        <v>891</v>
      </c>
      <c r="B891" s="1">
        <v>0</v>
      </c>
    </row>
    <row r="892" spans="1:2" x14ac:dyDescent="0.25">
      <c r="A892" t="s">
        <v>892</v>
      </c>
      <c r="B892" s="1">
        <v>0</v>
      </c>
    </row>
    <row r="893" spans="1:2" x14ac:dyDescent="0.25">
      <c r="A893" t="s">
        <v>893</v>
      </c>
      <c r="B893" s="1">
        <v>0</v>
      </c>
    </row>
    <row r="894" spans="1:2" x14ac:dyDescent="0.25">
      <c r="A894" t="s">
        <v>894</v>
      </c>
      <c r="B894" s="1">
        <v>0</v>
      </c>
    </row>
    <row r="895" spans="1:2" x14ac:dyDescent="0.25">
      <c r="A895" t="s">
        <v>895</v>
      </c>
      <c r="B895" s="1">
        <v>0</v>
      </c>
    </row>
    <row r="896" spans="1:2" x14ac:dyDescent="0.25">
      <c r="A896" t="s">
        <v>896</v>
      </c>
      <c r="B896" s="1">
        <v>0</v>
      </c>
    </row>
    <row r="897" spans="1:2" x14ac:dyDescent="0.25">
      <c r="A897" t="s">
        <v>897</v>
      </c>
      <c r="B897" s="1">
        <v>0</v>
      </c>
    </row>
    <row r="898" spans="1:2" x14ac:dyDescent="0.25">
      <c r="A898" t="s">
        <v>898</v>
      </c>
      <c r="B898" s="1">
        <v>0</v>
      </c>
    </row>
    <row r="899" spans="1:2" x14ac:dyDescent="0.25">
      <c r="A899" t="s">
        <v>899</v>
      </c>
      <c r="B899" s="1">
        <v>0</v>
      </c>
    </row>
    <row r="900" spans="1:2" x14ac:dyDescent="0.25">
      <c r="A900" t="s">
        <v>900</v>
      </c>
      <c r="B900" s="1">
        <v>0</v>
      </c>
    </row>
    <row r="901" spans="1:2" x14ac:dyDescent="0.25">
      <c r="A901" t="s">
        <v>901</v>
      </c>
      <c r="B901" s="1">
        <v>0</v>
      </c>
    </row>
    <row r="902" spans="1:2" x14ac:dyDescent="0.25">
      <c r="A902" t="s">
        <v>902</v>
      </c>
      <c r="B902" s="1">
        <v>0</v>
      </c>
    </row>
    <row r="903" spans="1:2" x14ac:dyDescent="0.25">
      <c r="A903" t="s">
        <v>903</v>
      </c>
      <c r="B903" s="1">
        <v>0</v>
      </c>
    </row>
    <row r="904" spans="1:2" x14ac:dyDescent="0.25">
      <c r="A904" t="s">
        <v>904</v>
      </c>
      <c r="B904" s="1">
        <v>0</v>
      </c>
    </row>
    <row r="905" spans="1:2" x14ac:dyDescent="0.25">
      <c r="A905" t="s">
        <v>905</v>
      </c>
      <c r="B905" s="1">
        <v>0</v>
      </c>
    </row>
    <row r="906" spans="1:2" x14ac:dyDescent="0.25">
      <c r="A906" t="s">
        <v>906</v>
      </c>
      <c r="B906" s="1">
        <v>0</v>
      </c>
    </row>
    <row r="907" spans="1:2" x14ac:dyDescent="0.25">
      <c r="A907" t="s">
        <v>907</v>
      </c>
      <c r="B907" s="1">
        <v>0</v>
      </c>
    </row>
    <row r="908" spans="1:2" x14ac:dyDescent="0.25">
      <c r="A908" t="s">
        <v>908</v>
      </c>
      <c r="B908" s="1">
        <v>0</v>
      </c>
    </row>
    <row r="909" spans="1:2" x14ac:dyDescent="0.25">
      <c r="A909" t="s">
        <v>909</v>
      </c>
      <c r="B909" s="1">
        <v>0</v>
      </c>
    </row>
    <row r="910" spans="1:2" x14ac:dyDescent="0.25">
      <c r="A910" t="s">
        <v>910</v>
      </c>
      <c r="B910" s="1">
        <v>0</v>
      </c>
    </row>
    <row r="911" spans="1:2" x14ac:dyDescent="0.25">
      <c r="A911" t="s">
        <v>911</v>
      </c>
      <c r="B911" s="1">
        <v>0</v>
      </c>
    </row>
    <row r="912" spans="1:2" x14ac:dyDescent="0.25">
      <c r="A912" t="s">
        <v>912</v>
      </c>
      <c r="B912" s="1">
        <v>0</v>
      </c>
    </row>
    <row r="913" spans="1:2" x14ac:dyDescent="0.25">
      <c r="A913" t="s">
        <v>913</v>
      </c>
      <c r="B913" s="1">
        <v>0</v>
      </c>
    </row>
    <row r="914" spans="1:2" x14ac:dyDescent="0.25">
      <c r="A914" t="s">
        <v>914</v>
      </c>
      <c r="B914" s="1">
        <v>0</v>
      </c>
    </row>
    <row r="915" spans="1:2" x14ac:dyDescent="0.25">
      <c r="A915" t="s">
        <v>915</v>
      </c>
      <c r="B915" s="1">
        <v>0</v>
      </c>
    </row>
    <row r="916" spans="1:2" x14ac:dyDescent="0.25">
      <c r="A916" t="s">
        <v>916</v>
      </c>
      <c r="B916" s="1">
        <v>0</v>
      </c>
    </row>
    <row r="917" spans="1:2" x14ac:dyDescent="0.25">
      <c r="A917" t="s">
        <v>917</v>
      </c>
      <c r="B917" s="1">
        <v>0</v>
      </c>
    </row>
    <row r="918" spans="1:2" x14ac:dyDescent="0.25">
      <c r="A918" t="s">
        <v>918</v>
      </c>
      <c r="B918" s="1">
        <v>0</v>
      </c>
    </row>
    <row r="919" spans="1:2" x14ac:dyDescent="0.25">
      <c r="A919" t="s">
        <v>919</v>
      </c>
      <c r="B919" s="1">
        <v>0</v>
      </c>
    </row>
    <row r="920" spans="1:2" x14ac:dyDescent="0.25">
      <c r="A920" t="s">
        <v>920</v>
      </c>
      <c r="B920" s="1">
        <v>0</v>
      </c>
    </row>
    <row r="921" spans="1:2" x14ac:dyDescent="0.25">
      <c r="A921" t="s">
        <v>921</v>
      </c>
      <c r="B921" s="1">
        <v>0</v>
      </c>
    </row>
    <row r="922" spans="1:2" x14ac:dyDescent="0.25">
      <c r="A922" t="s">
        <v>922</v>
      </c>
      <c r="B922" s="1">
        <v>0</v>
      </c>
    </row>
    <row r="923" spans="1:2" x14ac:dyDescent="0.25">
      <c r="A923" t="s">
        <v>923</v>
      </c>
      <c r="B923" s="1">
        <v>0</v>
      </c>
    </row>
    <row r="924" spans="1:2" x14ac:dyDescent="0.25">
      <c r="A924" t="s">
        <v>924</v>
      </c>
      <c r="B924" s="1">
        <v>0</v>
      </c>
    </row>
    <row r="925" spans="1:2" x14ac:dyDescent="0.25">
      <c r="A925" t="s">
        <v>925</v>
      </c>
      <c r="B925" s="1">
        <v>0</v>
      </c>
    </row>
    <row r="926" spans="1:2" x14ac:dyDescent="0.25">
      <c r="A926" t="s">
        <v>926</v>
      </c>
      <c r="B926" s="1">
        <v>0</v>
      </c>
    </row>
    <row r="927" spans="1:2" x14ac:dyDescent="0.25">
      <c r="A927" t="s">
        <v>927</v>
      </c>
      <c r="B927" s="1">
        <v>0</v>
      </c>
    </row>
    <row r="928" spans="1:2" x14ac:dyDescent="0.25">
      <c r="A928" t="s">
        <v>928</v>
      </c>
      <c r="B928" s="1">
        <v>0</v>
      </c>
    </row>
    <row r="929" spans="1:2" x14ac:dyDescent="0.25">
      <c r="A929" t="s">
        <v>929</v>
      </c>
      <c r="B929" s="1">
        <v>0</v>
      </c>
    </row>
    <row r="930" spans="1:2" x14ac:dyDescent="0.25">
      <c r="A930" t="s">
        <v>930</v>
      </c>
      <c r="B930" s="1">
        <v>0</v>
      </c>
    </row>
    <row r="931" spans="1:2" x14ac:dyDescent="0.25">
      <c r="A931" t="s">
        <v>931</v>
      </c>
      <c r="B931" s="1">
        <v>0</v>
      </c>
    </row>
    <row r="932" spans="1:2" x14ac:dyDescent="0.25">
      <c r="A932" t="s">
        <v>932</v>
      </c>
      <c r="B932" s="1">
        <v>0</v>
      </c>
    </row>
    <row r="933" spans="1:2" x14ac:dyDescent="0.25">
      <c r="A933" t="s">
        <v>933</v>
      </c>
      <c r="B933" s="1">
        <v>0</v>
      </c>
    </row>
    <row r="934" spans="1:2" x14ac:dyDescent="0.25">
      <c r="A934" t="s">
        <v>934</v>
      </c>
      <c r="B934" s="1">
        <v>0</v>
      </c>
    </row>
    <row r="935" spans="1:2" x14ac:dyDescent="0.25">
      <c r="A935" t="s">
        <v>935</v>
      </c>
      <c r="B935" s="1">
        <v>0</v>
      </c>
    </row>
    <row r="936" spans="1:2" x14ac:dyDescent="0.25">
      <c r="A936" t="s">
        <v>936</v>
      </c>
      <c r="B936" s="1">
        <v>0</v>
      </c>
    </row>
    <row r="937" spans="1:2" x14ac:dyDescent="0.25">
      <c r="A937" t="s">
        <v>937</v>
      </c>
      <c r="B937" s="1">
        <v>0</v>
      </c>
    </row>
    <row r="938" spans="1:2" x14ac:dyDescent="0.25">
      <c r="A938" t="s">
        <v>938</v>
      </c>
      <c r="B938" s="1">
        <v>0</v>
      </c>
    </row>
    <row r="939" spans="1:2" x14ac:dyDescent="0.25">
      <c r="A939" t="s">
        <v>939</v>
      </c>
      <c r="B939" s="1">
        <v>0</v>
      </c>
    </row>
    <row r="940" spans="1:2" x14ac:dyDescent="0.25">
      <c r="A940" t="s">
        <v>940</v>
      </c>
      <c r="B940" s="1">
        <v>0</v>
      </c>
    </row>
    <row r="941" spans="1:2" x14ac:dyDescent="0.25">
      <c r="A941" t="s">
        <v>941</v>
      </c>
      <c r="B941" s="1">
        <v>0</v>
      </c>
    </row>
    <row r="942" spans="1:2" x14ac:dyDescent="0.25">
      <c r="A942" t="s">
        <v>942</v>
      </c>
      <c r="B942" s="1">
        <v>0</v>
      </c>
    </row>
    <row r="943" spans="1:2" x14ac:dyDescent="0.25">
      <c r="A943" t="s">
        <v>943</v>
      </c>
      <c r="B943" s="1">
        <v>0</v>
      </c>
    </row>
    <row r="944" spans="1:2" x14ac:dyDescent="0.25">
      <c r="A944" t="s">
        <v>944</v>
      </c>
      <c r="B944" s="1">
        <v>0</v>
      </c>
    </row>
    <row r="945" spans="1:2" x14ac:dyDescent="0.25">
      <c r="A945" t="s">
        <v>945</v>
      </c>
      <c r="B945" s="1">
        <v>0</v>
      </c>
    </row>
    <row r="946" spans="1:2" x14ac:dyDescent="0.25">
      <c r="A946" t="s">
        <v>946</v>
      </c>
      <c r="B946" s="1">
        <v>0</v>
      </c>
    </row>
    <row r="947" spans="1:2" x14ac:dyDescent="0.25">
      <c r="A947" t="s">
        <v>947</v>
      </c>
      <c r="B947" s="1">
        <v>0</v>
      </c>
    </row>
    <row r="948" spans="1:2" x14ac:dyDescent="0.25">
      <c r="A948" t="s">
        <v>948</v>
      </c>
      <c r="B948" s="1">
        <v>0</v>
      </c>
    </row>
    <row r="949" spans="1:2" x14ac:dyDescent="0.25">
      <c r="A949" t="s">
        <v>949</v>
      </c>
      <c r="B949" s="1">
        <v>0</v>
      </c>
    </row>
    <row r="950" spans="1:2" x14ac:dyDescent="0.25">
      <c r="A950" t="s">
        <v>950</v>
      </c>
      <c r="B950" s="1">
        <v>0</v>
      </c>
    </row>
    <row r="951" spans="1:2" x14ac:dyDescent="0.25">
      <c r="A951" t="s">
        <v>951</v>
      </c>
      <c r="B951" s="1">
        <v>0</v>
      </c>
    </row>
    <row r="952" spans="1:2" x14ac:dyDescent="0.25">
      <c r="A952" t="s">
        <v>952</v>
      </c>
      <c r="B952" s="1">
        <v>0</v>
      </c>
    </row>
    <row r="953" spans="1:2" x14ac:dyDescent="0.25">
      <c r="A953" t="s">
        <v>953</v>
      </c>
      <c r="B953" s="1">
        <v>0</v>
      </c>
    </row>
    <row r="954" spans="1:2" x14ac:dyDescent="0.25">
      <c r="A954" t="s">
        <v>954</v>
      </c>
      <c r="B954" s="1">
        <v>0</v>
      </c>
    </row>
    <row r="955" spans="1:2" x14ac:dyDescent="0.25">
      <c r="A955" t="s">
        <v>955</v>
      </c>
      <c r="B955" s="1">
        <v>0</v>
      </c>
    </row>
    <row r="956" spans="1:2" x14ac:dyDescent="0.25">
      <c r="A956" t="s">
        <v>956</v>
      </c>
      <c r="B956" s="1">
        <v>0</v>
      </c>
    </row>
    <row r="957" spans="1:2" x14ac:dyDescent="0.25">
      <c r="A957" t="s">
        <v>957</v>
      </c>
      <c r="B957" s="1">
        <v>0</v>
      </c>
    </row>
    <row r="958" spans="1:2" x14ac:dyDescent="0.25">
      <c r="A958" t="s">
        <v>958</v>
      </c>
      <c r="B958" s="1">
        <v>0</v>
      </c>
    </row>
    <row r="959" spans="1:2" x14ac:dyDescent="0.25">
      <c r="A959" t="s">
        <v>959</v>
      </c>
      <c r="B959" s="1">
        <v>0</v>
      </c>
    </row>
    <row r="960" spans="1:2" x14ac:dyDescent="0.25">
      <c r="A960" t="s">
        <v>960</v>
      </c>
      <c r="B960" s="1">
        <v>0</v>
      </c>
    </row>
    <row r="961" spans="1:2" x14ac:dyDescent="0.25">
      <c r="A961" t="s">
        <v>961</v>
      </c>
      <c r="B961" s="1">
        <v>0</v>
      </c>
    </row>
    <row r="962" spans="1:2" x14ac:dyDescent="0.25">
      <c r="A962" t="s">
        <v>962</v>
      </c>
      <c r="B962" s="1">
        <v>0</v>
      </c>
    </row>
    <row r="963" spans="1:2" x14ac:dyDescent="0.25">
      <c r="A963" t="s">
        <v>963</v>
      </c>
      <c r="B963" s="1">
        <v>0</v>
      </c>
    </row>
    <row r="964" spans="1:2" x14ac:dyDescent="0.25">
      <c r="A964" t="s">
        <v>964</v>
      </c>
      <c r="B964" s="1">
        <v>0</v>
      </c>
    </row>
    <row r="965" spans="1:2" x14ac:dyDescent="0.25">
      <c r="A965" t="s">
        <v>965</v>
      </c>
      <c r="B965" s="1">
        <v>0</v>
      </c>
    </row>
    <row r="966" spans="1:2" x14ac:dyDescent="0.25">
      <c r="A966" t="s">
        <v>966</v>
      </c>
      <c r="B966" s="1">
        <v>0</v>
      </c>
    </row>
    <row r="967" spans="1:2" x14ac:dyDescent="0.25">
      <c r="A967" t="s">
        <v>967</v>
      </c>
      <c r="B967" s="1">
        <v>0</v>
      </c>
    </row>
    <row r="968" spans="1:2" x14ac:dyDescent="0.25">
      <c r="A968" t="s">
        <v>968</v>
      </c>
      <c r="B968" s="1">
        <v>0</v>
      </c>
    </row>
    <row r="969" spans="1:2" x14ac:dyDescent="0.25">
      <c r="A969" t="s">
        <v>969</v>
      </c>
      <c r="B969" s="1">
        <v>0</v>
      </c>
    </row>
    <row r="970" spans="1:2" x14ac:dyDescent="0.25">
      <c r="A970" t="s">
        <v>970</v>
      </c>
      <c r="B970" s="1">
        <v>0</v>
      </c>
    </row>
    <row r="971" spans="1:2" x14ac:dyDescent="0.25">
      <c r="A971" t="s">
        <v>971</v>
      </c>
      <c r="B971" s="1">
        <v>0</v>
      </c>
    </row>
    <row r="972" spans="1:2" x14ac:dyDescent="0.25">
      <c r="A972" t="s">
        <v>972</v>
      </c>
      <c r="B972" s="1">
        <v>0</v>
      </c>
    </row>
    <row r="973" spans="1:2" x14ac:dyDescent="0.25">
      <c r="A973" t="s">
        <v>973</v>
      </c>
      <c r="B973" s="1">
        <v>0</v>
      </c>
    </row>
    <row r="974" spans="1:2" x14ac:dyDescent="0.25">
      <c r="A974" t="s">
        <v>974</v>
      </c>
      <c r="B974" s="1">
        <v>0</v>
      </c>
    </row>
    <row r="975" spans="1:2" x14ac:dyDescent="0.25">
      <c r="A975" t="s">
        <v>975</v>
      </c>
      <c r="B975" s="1">
        <v>0</v>
      </c>
    </row>
    <row r="976" spans="1:2" x14ac:dyDescent="0.25">
      <c r="A976" t="s">
        <v>976</v>
      </c>
      <c r="B976" s="1">
        <v>0</v>
      </c>
    </row>
    <row r="977" spans="1:2" x14ac:dyDescent="0.25">
      <c r="A977" t="s">
        <v>977</v>
      </c>
      <c r="B977" s="1">
        <v>0</v>
      </c>
    </row>
    <row r="978" spans="1:2" x14ac:dyDescent="0.25">
      <c r="A978" t="s">
        <v>978</v>
      </c>
      <c r="B978" s="1">
        <v>0</v>
      </c>
    </row>
    <row r="979" spans="1:2" x14ac:dyDescent="0.25">
      <c r="A979" t="s">
        <v>979</v>
      </c>
      <c r="B979" s="1">
        <v>0</v>
      </c>
    </row>
    <row r="980" spans="1:2" x14ac:dyDescent="0.25">
      <c r="A980" t="s">
        <v>980</v>
      </c>
      <c r="B980" s="1">
        <v>0</v>
      </c>
    </row>
    <row r="981" spans="1:2" x14ac:dyDescent="0.25">
      <c r="A981" t="s">
        <v>981</v>
      </c>
      <c r="B981" s="1">
        <v>0</v>
      </c>
    </row>
    <row r="982" spans="1:2" x14ac:dyDescent="0.25">
      <c r="A982" t="s">
        <v>982</v>
      </c>
      <c r="B982" s="1">
        <v>0</v>
      </c>
    </row>
    <row r="983" spans="1:2" x14ac:dyDescent="0.25">
      <c r="A983" t="s">
        <v>983</v>
      </c>
      <c r="B983" s="1">
        <v>0</v>
      </c>
    </row>
    <row r="984" spans="1:2" x14ac:dyDescent="0.25">
      <c r="A984" t="s">
        <v>984</v>
      </c>
      <c r="B984" s="1">
        <v>0</v>
      </c>
    </row>
    <row r="985" spans="1:2" x14ac:dyDescent="0.25">
      <c r="A985" t="s">
        <v>985</v>
      </c>
      <c r="B985" s="1">
        <v>0</v>
      </c>
    </row>
    <row r="986" spans="1:2" x14ac:dyDescent="0.25">
      <c r="A986" t="s">
        <v>986</v>
      </c>
      <c r="B986" s="1">
        <v>0</v>
      </c>
    </row>
    <row r="987" spans="1:2" x14ac:dyDescent="0.25">
      <c r="A987" t="s">
        <v>987</v>
      </c>
      <c r="B987" s="1">
        <v>0</v>
      </c>
    </row>
    <row r="988" spans="1:2" x14ac:dyDescent="0.25">
      <c r="A988" t="s">
        <v>988</v>
      </c>
      <c r="B988" s="1">
        <v>0</v>
      </c>
    </row>
    <row r="989" spans="1:2" x14ac:dyDescent="0.25">
      <c r="A989" t="s">
        <v>989</v>
      </c>
      <c r="B989" s="1">
        <v>0</v>
      </c>
    </row>
    <row r="990" spans="1:2" x14ac:dyDescent="0.25">
      <c r="A990" t="s">
        <v>990</v>
      </c>
      <c r="B990" s="1">
        <v>0</v>
      </c>
    </row>
    <row r="991" spans="1:2" x14ac:dyDescent="0.25">
      <c r="A991" t="s">
        <v>991</v>
      </c>
      <c r="B991" s="1">
        <v>0</v>
      </c>
    </row>
    <row r="992" spans="1:2" x14ac:dyDescent="0.25">
      <c r="A992" t="s">
        <v>992</v>
      </c>
      <c r="B992" s="1">
        <v>0</v>
      </c>
    </row>
    <row r="993" spans="1:2" x14ac:dyDescent="0.25">
      <c r="A993" t="s">
        <v>993</v>
      </c>
      <c r="B993" s="1">
        <v>0</v>
      </c>
    </row>
    <row r="994" spans="1:2" x14ac:dyDescent="0.25">
      <c r="A994" t="s">
        <v>994</v>
      </c>
      <c r="B994" s="1">
        <v>0</v>
      </c>
    </row>
    <row r="995" spans="1:2" x14ac:dyDescent="0.25">
      <c r="A995" t="s">
        <v>995</v>
      </c>
      <c r="B995" s="1">
        <v>0</v>
      </c>
    </row>
    <row r="996" spans="1:2" x14ac:dyDescent="0.25">
      <c r="A996" t="s">
        <v>996</v>
      </c>
      <c r="B996" s="1">
        <v>0</v>
      </c>
    </row>
    <row r="997" spans="1:2" x14ac:dyDescent="0.25">
      <c r="A997" t="s">
        <v>997</v>
      </c>
      <c r="B997" s="1">
        <v>0</v>
      </c>
    </row>
    <row r="998" spans="1:2" x14ac:dyDescent="0.25">
      <c r="A998" t="s">
        <v>998</v>
      </c>
      <c r="B998" s="1">
        <v>0</v>
      </c>
    </row>
    <row r="999" spans="1:2" x14ac:dyDescent="0.25">
      <c r="A999" t="s">
        <v>999</v>
      </c>
      <c r="B999" s="1">
        <v>0</v>
      </c>
    </row>
    <row r="1000" spans="1:2" x14ac:dyDescent="0.25">
      <c r="A1000" t="s">
        <v>1000</v>
      </c>
      <c r="B1000" s="1">
        <v>0</v>
      </c>
    </row>
    <row r="1001" spans="1:2" x14ac:dyDescent="0.25">
      <c r="A1001" t="s">
        <v>1001</v>
      </c>
      <c r="B1001" s="1">
        <v>0</v>
      </c>
    </row>
    <row r="1002" spans="1:2" x14ac:dyDescent="0.25">
      <c r="A1002" t="s">
        <v>1002</v>
      </c>
      <c r="B1002" s="1">
        <v>0</v>
      </c>
    </row>
    <row r="1003" spans="1:2" x14ac:dyDescent="0.25">
      <c r="A1003" t="s">
        <v>1003</v>
      </c>
      <c r="B1003" s="1">
        <v>0</v>
      </c>
    </row>
    <row r="1004" spans="1:2" x14ac:dyDescent="0.25">
      <c r="A1004" t="s">
        <v>1004</v>
      </c>
      <c r="B1004" s="1">
        <v>0</v>
      </c>
    </row>
    <row r="1005" spans="1:2" x14ac:dyDescent="0.25">
      <c r="A1005" t="s">
        <v>1005</v>
      </c>
      <c r="B1005" s="1">
        <v>0</v>
      </c>
    </row>
    <row r="1006" spans="1:2" x14ac:dyDescent="0.25">
      <c r="A1006" t="s">
        <v>1006</v>
      </c>
      <c r="B1006" s="1">
        <v>0</v>
      </c>
    </row>
    <row r="1007" spans="1:2" x14ac:dyDescent="0.25">
      <c r="A1007" t="s">
        <v>1007</v>
      </c>
      <c r="B1007" s="1">
        <v>0</v>
      </c>
    </row>
    <row r="1008" spans="1:2" x14ac:dyDescent="0.25">
      <c r="A1008" t="s">
        <v>1008</v>
      </c>
      <c r="B1008" s="1">
        <v>0</v>
      </c>
    </row>
    <row r="1009" spans="1:2" x14ac:dyDescent="0.25">
      <c r="A1009" t="s">
        <v>1009</v>
      </c>
      <c r="B1009" s="1">
        <v>0</v>
      </c>
    </row>
    <row r="1010" spans="1:2" x14ac:dyDescent="0.25">
      <c r="A1010" t="s">
        <v>1010</v>
      </c>
      <c r="B1010" s="1">
        <v>0</v>
      </c>
    </row>
    <row r="1011" spans="1:2" x14ac:dyDescent="0.25">
      <c r="A1011" t="s">
        <v>1011</v>
      </c>
      <c r="B1011" s="1">
        <v>0</v>
      </c>
    </row>
    <row r="1012" spans="1:2" x14ac:dyDescent="0.25">
      <c r="A1012" t="s">
        <v>1012</v>
      </c>
      <c r="B1012" s="1">
        <v>0</v>
      </c>
    </row>
    <row r="1013" spans="1:2" x14ac:dyDescent="0.25">
      <c r="A1013" t="s">
        <v>1013</v>
      </c>
      <c r="B1013" s="1">
        <v>0</v>
      </c>
    </row>
    <row r="1014" spans="1:2" x14ac:dyDescent="0.25">
      <c r="A1014" t="s">
        <v>1014</v>
      </c>
      <c r="B1014" s="1">
        <v>0</v>
      </c>
    </row>
    <row r="1015" spans="1:2" x14ac:dyDescent="0.25">
      <c r="A1015" t="s">
        <v>1015</v>
      </c>
      <c r="B1015" s="1">
        <v>0</v>
      </c>
    </row>
    <row r="1016" spans="1:2" x14ac:dyDescent="0.25">
      <c r="A1016" t="s">
        <v>1016</v>
      </c>
      <c r="B1016" s="1">
        <v>0</v>
      </c>
    </row>
    <row r="1017" spans="1:2" x14ac:dyDescent="0.25">
      <c r="A1017" t="s">
        <v>1017</v>
      </c>
      <c r="B1017" s="1">
        <v>0</v>
      </c>
    </row>
    <row r="1018" spans="1:2" x14ac:dyDescent="0.25">
      <c r="A1018" t="s">
        <v>1018</v>
      </c>
      <c r="B1018" s="1">
        <v>0</v>
      </c>
    </row>
    <row r="1019" spans="1:2" x14ac:dyDescent="0.25">
      <c r="A1019" t="s">
        <v>1019</v>
      </c>
      <c r="B1019" s="1">
        <v>0</v>
      </c>
    </row>
    <row r="1020" spans="1:2" x14ac:dyDescent="0.25">
      <c r="A1020" t="s">
        <v>1020</v>
      </c>
      <c r="B1020" s="1">
        <v>0</v>
      </c>
    </row>
    <row r="1021" spans="1:2" x14ac:dyDescent="0.25">
      <c r="A1021" t="s">
        <v>1021</v>
      </c>
      <c r="B1021" s="1">
        <v>0</v>
      </c>
    </row>
    <row r="1022" spans="1:2" x14ac:dyDescent="0.25">
      <c r="A1022" t="s">
        <v>1022</v>
      </c>
      <c r="B1022" s="1">
        <v>0</v>
      </c>
    </row>
    <row r="1023" spans="1:2" x14ac:dyDescent="0.25">
      <c r="A1023" t="s">
        <v>1023</v>
      </c>
      <c r="B1023" s="1">
        <v>0</v>
      </c>
    </row>
    <row r="1024" spans="1:2" x14ac:dyDescent="0.25">
      <c r="A1024" t="s">
        <v>1024</v>
      </c>
      <c r="B1024" s="1">
        <v>0</v>
      </c>
    </row>
    <row r="1025" spans="1:2" x14ac:dyDescent="0.25">
      <c r="A1025" t="s">
        <v>1025</v>
      </c>
      <c r="B1025" s="1">
        <v>0</v>
      </c>
    </row>
    <row r="1026" spans="1:2" x14ac:dyDescent="0.25">
      <c r="A1026" t="s">
        <v>1026</v>
      </c>
      <c r="B1026" s="1">
        <v>0</v>
      </c>
    </row>
    <row r="1027" spans="1:2" x14ac:dyDescent="0.25">
      <c r="A1027" t="s">
        <v>1027</v>
      </c>
      <c r="B1027" s="1">
        <v>0</v>
      </c>
    </row>
    <row r="1028" spans="1:2" x14ac:dyDescent="0.25">
      <c r="A1028" t="s">
        <v>1028</v>
      </c>
      <c r="B1028" s="1">
        <v>0</v>
      </c>
    </row>
    <row r="1029" spans="1:2" x14ac:dyDescent="0.25">
      <c r="A1029" t="s">
        <v>1029</v>
      </c>
      <c r="B1029" s="1">
        <v>0</v>
      </c>
    </row>
    <row r="1030" spans="1:2" x14ac:dyDescent="0.25">
      <c r="A1030" t="s">
        <v>1030</v>
      </c>
      <c r="B1030" s="1">
        <v>0</v>
      </c>
    </row>
    <row r="1031" spans="1:2" x14ac:dyDescent="0.25">
      <c r="A1031" t="s">
        <v>1031</v>
      </c>
      <c r="B1031" s="1">
        <v>0</v>
      </c>
    </row>
    <row r="1032" spans="1:2" x14ac:dyDescent="0.25">
      <c r="A1032" t="s">
        <v>1032</v>
      </c>
      <c r="B1032" s="1">
        <v>0</v>
      </c>
    </row>
    <row r="1033" spans="1:2" x14ac:dyDescent="0.25">
      <c r="A1033" t="s">
        <v>1033</v>
      </c>
      <c r="B1033" s="1">
        <v>0</v>
      </c>
    </row>
    <row r="1034" spans="1:2" x14ac:dyDescent="0.25">
      <c r="A1034" t="s">
        <v>1034</v>
      </c>
      <c r="B1034" s="1">
        <v>0</v>
      </c>
    </row>
    <row r="1035" spans="1:2" x14ac:dyDescent="0.25">
      <c r="A1035" t="s">
        <v>1035</v>
      </c>
      <c r="B1035" s="1">
        <v>0</v>
      </c>
    </row>
    <row r="1036" spans="1:2" x14ac:dyDescent="0.25">
      <c r="A1036" t="s">
        <v>1036</v>
      </c>
      <c r="B1036" s="1">
        <v>0</v>
      </c>
    </row>
    <row r="1037" spans="1:2" x14ac:dyDescent="0.25">
      <c r="A1037" t="s">
        <v>1037</v>
      </c>
      <c r="B1037" s="1">
        <v>0</v>
      </c>
    </row>
    <row r="1038" spans="1:2" x14ac:dyDescent="0.25">
      <c r="A1038" t="s">
        <v>1038</v>
      </c>
      <c r="B1038" s="1">
        <v>0</v>
      </c>
    </row>
    <row r="1039" spans="1:2" x14ac:dyDescent="0.25">
      <c r="A1039" t="s">
        <v>1039</v>
      </c>
      <c r="B1039" s="1">
        <v>0</v>
      </c>
    </row>
    <row r="1040" spans="1:2" x14ac:dyDescent="0.25">
      <c r="A1040" t="s">
        <v>1040</v>
      </c>
      <c r="B1040" s="1">
        <v>0</v>
      </c>
    </row>
    <row r="1041" spans="1:2" x14ac:dyDescent="0.25">
      <c r="A1041" t="s">
        <v>1041</v>
      </c>
      <c r="B1041" s="1">
        <v>0</v>
      </c>
    </row>
    <row r="1042" spans="1:2" x14ac:dyDescent="0.25">
      <c r="A1042" t="s">
        <v>1042</v>
      </c>
      <c r="B1042" s="1">
        <v>0</v>
      </c>
    </row>
    <row r="1043" spans="1:2" x14ac:dyDescent="0.25">
      <c r="A1043" t="s">
        <v>1043</v>
      </c>
      <c r="B1043" s="1">
        <v>0</v>
      </c>
    </row>
    <row r="1044" spans="1:2" x14ac:dyDescent="0.25">
      <c r="A1044" t="s">
        <v>1044</v>
      </c>
      <c r="B1044" s="1">
        <v>0</v>
      </c>
    </row>
    <row r="1045" spans="1:2" x14ac:dyDescent="0.25">
      <c r="A1045" t="s">
        <v>1045</v>
      </c>
      <c r="B1045" s="1">
        <v>0</v>
      </c>
    </row>
    <row r="1046" spans="1:2" x14ac:dyDescent="0.25">
      <c r="A1046" t="s">
        <v>1046</v>
      </c>
      <c r="B1046" s="1">
        <v>0</v>
      </c>
    </row>
    <row r="1047" spans="1:2" x14ac:dyDescent="0.25">
      <c r="A1047" t="s">
        <v>1047</v>
      </c>
      <c r="B1047" s="1">
        <v>0</v>
      </c>
    </row>
    <row r="1048" spans="1:2" x14ac:dyDescent="0.25">
      <c r="A1048" t="s">
        <v>1048</v>
      </c>
      <c r="B1048" s="1">
        <v>0</v>
      </c>
    </row>
    <row r="1049" spans="1:2" x14ac:dyDescent="0.25">
      <c r="A1049" t="s">
        <v>1049</v>
      </c>
      <c r="B1049" s="1">
        <v>0</v>
      </c>
    </row>
    <row r="1050" spans="1:2" x14ac:dyDescent="0.25">
      <c r="A1050" t="s">
        <v>1050</v>
      </c>
      <c r="B1050" s="1">
        <v>0</v>
      </c>
    </row>
    <row r="1051" spans="1:2" x14ac:dyDescent="0.25">
      <c r="A1051" t="s">
        <v>1051</v>
      </c>
      <c r="B1051" s="1">
        <v>0</v>
      </c>
    </row>
    <row r="1052" spans="1:2" x14ac:dyDescent="0.25">
      <c r="A1052" t="s">
        <v>1052</v>
      </c>
      <c r="B1052" s="1">
        <v>0</v>
      </c>
    </row>
    <row r="1053" spans="1:2" x14ac:dyDescent="0.25">
      <c r="A1053" t="s">
        <v>1053</v>
      </c>
      <c r="B1053" s="1">
        <v>0</v>
      </c>
    </row>
    <row r="1054" spans="1:2" x14ac:dyDescent="0.25">
      <c r="A1054" t="s">
        <v>1054</v>
      </c>
      <c r="B1054" s="1">
        <v>0</v>
      </c>
    </row>
    <row r="1055" spans="1:2" x14ac:dyDescent="0.25">
      <c r="A1055" t="s">
        <v>1055</v>
      </c>
      <c r="B1055" s="1">
        <v>0</v>
      </c>
    </row>
    <row r="1056" spans="1:2" x14ac:dyDescent="0.25">
      <c r="A1056" t="s">
        <v>1056</v>
      </c>
      <c r="B1056" s="1">
        <v>0</v>
      </c>
    </row>
    <row r="1057" spans="1:2" x14ac:dyDescent="0.25">
      <c r="A1057" t="s">
        <v>1057</v>
      </c>
      <c r="B1057" s="1">
        <v>0</v>
      </c>
    </row>
    <row r="1058" spans="1:2" x14ac:dyDescent="0.25">
      <c r="A1058" t="s">
        <v>1058</v>
      </c>
      <c r="B1058" s="1">
        <v>0</v>
      </c>
    </row>
    <row r="1059" spans="1:2" x14ac:dyDescent="0.25">
      <c r="A1059" t="s">
        <v>1059</v>
      </c>
      <c r="B1059" s="1">
        <v>0</v>
      </c>
    </row>
    <row r="1060" spans="1:2" x14ac:dyDescent="0.25">
      <c r="A1060" t="s">
        <v>1060</v>
      </c>
      <c r="B1060" s="1">
        <v>0</v>
      </c>
    </row>
    <row r="1061" spans="1:2" x14ac:dyDescent="0.25">
      <c r="A1061" t="s">
        <v>1061</v>
      </c>
      <c r="B1061" s="1">
        <v>0</v>
      </c>
    </row>
    <row r="1062" spans="1:2" x14ac:dyDescent="0.25">
      <c r="A1062" t="s">
        <v>1062</v>
      </c>
      <c r="B1062" s="1">
        <v>0</v>
      </c>
    </row>
    <row r="1063" spans="1:2" x14ac:dyDescent="0.25">
      <c r="A1063" t="s">
        <v>1063</v>
      </c>
      <c r="B1063" s="1">
        <v>0</v>
      </c>
    </row>
    <row r="1064" spans="1:2" x14ac:dyDescent="0.25">
      <c r="A1064" t="s">
        <v>1064</v>
      </c>
      <c r="B1064" s="1">
        <v>0</v>
      </c>
    </row>
    <row r="1065" spans="1:2" x14ac:dyDescent="0.25">
      <c r="A1065" t="s">
        <v>1065</v>
      </c>
      <c r="B1065" s="1">
        <v>0</v>
      </c>
    </row>
    <row r="1066" spans="1:2" x14ac:dyDescent="0.25">
      <c r="A1066" t="s">
        <v>1066</v>
      </c>
      <c r="B1066" s="1">
        <v>0</v>
      </c>
    </row>
    <row r="1067" spans="1:2" x14ac:dyDescent="0.25">
      <c r="A1067" t="s">
        <v>1067</v>
      </c>
      <c r="B1067" s="1">
        <v>0</v>
      </c>
    </row>
    <row r="1068" spans="1:2" x14ac:dyDescent="0.25">
      <c r="A1068" t="s">
        <v>1068</v>
      </c>
      <c r="B1068" s="1">
        <v>0</v>
      </c>
    </row>
    <row r="1069" spans="1:2" x14ac:dyDescent="0.25">
      <c r="A1069" t="s">
        <v>1069</v>
      </c>
      <c r="B1069" s="1">
        <v>0</v>
      </c>
    </row>
    <row r="1070" spans="1:2" x14ac:dyDescent="0.25">
      <c r="A1070" t="s">
        <v>1070</v>
      </c>
      <c r="B1070" s="1">
        <v>0</v>
      </c>
    </row>
    <row r="1071" spans="1:2" x14ac:dyDescent="0.25">
      <c r="A1071" t="s">
        <v>1071</v>
      </c>
      <c r="B1071" s="1">
        <v>0</v>
      </c>
    </row>
    <row r="1072" spans="1:2" x14ac:dyDescent="0.25">
      <c r="A1072" t="s">
        <v>1072</v>
      </c>
      <c r="B1072" s="1">
        <v>0</v>
      </c>
    </row>
    <row r="1073" spans="1:2" x14ac:dyDescent="0.25">
      <c r="A1073" t="s">
        <v>1073</v>
      </c>
      <c r="B1073" s="1">
        <v>0</v>
      </c>
    </row>
    <row r="1074" spans="1:2" x14ac:dyDescent="0.25">
      <c r="A1074" t="s">
        <v>1074</v>
      </c>
      <c r="B1074" s="1">
        <v>0</v>
      </c>
    </row>
    <row r="1075" spans="1:2" x14ac:dyDescent="0.25">
      <c r="A1075" t="s">
        <v>1075</v>
      </c>
      <c r="B1075" s="1">
        <v>0</v>
      </c>
    </row>
    <row r="1076" spans="1:2" x14ac:dyDescent="0.25">
      <c r="A1076" t="s">
        <v>1076</v>
      </c>
      <c r="B1076" s="1">
        <v>0</v>
      </c>
    </row>
    <row r="1077" spans="1:2" x14ac:dyDescent="0.25">
      <c r="A1077" t="s">
        <v>1077</v>
      </c>
      <c r="B1077" s="1">
        <v>0</v>
      </c>
    </row>
    <row r="1078" spans="1:2" x14ac:dyDescent="0.25">
      <c r="A1078" t="s">
        <v>1078</v>
      </c>
      <c r="B1078" s="1">
        <v>0</v>
      </c>
    </row>
    <row r="1079" spans="1:2" x14ac:dyDescent="0.25">
      <c r="A1079" t="s">
        <v>1079</v>
      </c>
      <c r="B1079" s="1">
        <v>0</v>
      </c>
    </row>
    <row r="1080" spans="1:2" x14ac:dyDescent="0.25">
      <c r="A1080" t="s">
        <v>1080</v>
      </c>
      <c r="B1080" s="1">
        <v>0</v>
      </c>
    </row>
    <row r="1081" spans="1:2" x14ac:dyDescent="0.25">
      <c r="A1081" t="s">
        <v>1081</v>
      </c>
      <c r="B1081" s="1">
        <v>0</v>
      </c>
    </row>
    <row r="1082" spans="1:2" x14ac:dyDescent="0.25">
      <c r="A1082" t="s">
        <v>1082</v>
      </c>
      <c r="B1082" s="1">
        <v>0</v>
      </c>
    </row>
    <row r="1083" spans="1:2" x14ac:dyDescent="0.25">
      <c r="A1083" t="s">
        <v>1083</v>
      </c>
      <c r="B1083" s="1">
        <v>0</v>
      </c>
    </row>
    <row r="1084" spans="1:2" x14ac:dyDescent="0.25">
      <c r="A1084" t="s">
        <v>1084</v>
      </c>
      <c r="B1084" s="1">
        <v>0</v>
      </c>
    </row>
    <row r="1085" spans="1:2" x14ac:dyDescent="0.25">
      <c r="A1085" t="s">
        <v>1085</v>
      </c>
      <c r="B1085" s="1">
        <v>0</v>
      </c>
    </row>
    <row r="1086" spans="1:2" x14ac:dyDescent="0.25">
      <c r="A1086" t="s">
        <v>1086</v>
      </c>
      <c r="B1086" s="1">
        <v>0</v>
      </c>
    </row>
    <row r="1087" spans="1:2" x14ac:dyDescent="0.25">
      <c r="A1087" t="s">
        <v>1087</v>
      </c>
      <c r="B1087" s="1">
        <v>0</v>
      </c>
    </row>
    <row r="1088" spans="1:2" x14ac:dyDescent="0.25">
      <c r="A1088" t="s">
        <v>1088</v>
      </c>
      <c r="B1088" s="1">
        <v>0</v>
      </c>
    </row>
    <row r="1089" spans="1:2" x14ac:dyDescent="0.25">
      <c r="A1089" t="s">
        <v>1089</v>
      </c>
      <c r="B1089" s="1">
        <v>0</v>
      </c>
    </row>
    <row r="1090" spans="1:2" x14ac:dyDescent="0.25">
      <c r="A1090" t="s">
        <v>1090</v>
      </c>
      <c r="B1090" s="1">
        <v>0</v>
      </c>
    </row>
    <row r="1091" spans="1:2" x14ac:dyDescent="0.25">
      <c r="A1091" t="s">
        <v>1091</v>
      </c>
      <c r="B1091" s="1">
        <v>0</v>
      </c>
    </row>
    <row r="1092" spans="1:2" x14ac:dyDescent="0.25">
      <c r="A1092" t="s">
        <v>1092</v>
      </c>
      <c r="B1092" s="1">
        <v>0</v>
      </c>
    </row>
    <row r="1093" spans="1:2" x14ac:dyDescent="0.25">
      <c r="A1093" t="s">
        <v>1093</v>
      </c>
      <c r="B1093" s="1">
        <v>0</v>
      </c>
    </row>
    <row r="1094" spans="1:2" x14ac:dyDescent="0.25">
      <c r="A1094" t="s">
        <v>1094</v>
      </c>
      <c r="B1094" s="1">
        <v>0</v>
      </c>
    </row>
    <row r="1095" spans="1:2" x14ac:dyDescent="0.25">
      <c r="A1095" t="s">
        <v>1095</v>
      </c>
      <c r="B1095" s="1">
        <v>0</v>
      </c>
    </row>
    <row r="1096" spans="1:2" x14ac:dyDescent="0.25">
      <c r="A1096" t="s">
        <v>1096</v>
      </c>
      <c r="B1096" s="1">
        <v>0</v>
      </c>
    </row>
    <row r="1097" spans="1:2" x14ac:dyDescent="0.25">
      <c r="A1097" t="s">
        <v>1097</v>
      </c>
      <c r="B1097" s="1">
        <v>0</v>
      </c>
    </row>
    <row r="1098" spans="1:2" x14ac:dyDescent="0.25">
      <c r="A1098" t="s">
        <v>1098</v>
      </c>
      <c r="B1098" s="1">
        <v>0</v>
      </c>
    </row>
    <row r="1099" spans="1:2" x14ac:dyDescent="0.25">
      <c r="A1099" t="s">
        <v>1099</v>
      </c>
      <c r="B1099" s="1">
        <v>0</v>
      </c>
    </row>
    <row r="1100" spans="1:2" x14ac:dyDescent="0.25">
      <c r="A1100" t="s">
        <v>1100</v>
      </c>
      <c r="B1100" s="1">
        <v>0</v>
      </c>
    </row>
    <row r="1101" spans="1:2" x14ac:dyDescent="0.25">
      <c r="A1101" t="s">
        <v>1101</v>
      </c>
      <c r="B1101" s="1">
        <v>0</v>
      </c>
    </row>
    <row r="1102" spans="1:2" x14ac:dyDescent="0.25">
      <c r="A1102" t="s">
        <v>1102</v>
      </c>
      <c r="B1102" s="1">
        <v>0</v>
      </c>
    </row>
    <row r="1103" spans="1:2" x14ac:dyDescent="0.25">
      <c r="A1103" t="s">
        <v>1103</v>
      </c>
      <c r="B1103" s="1">
        <v>0</v>
      </c>
    </row>
    <row r="1104" spans="1:2" x14ac:dyDescent="0.25">
      <c r="A1104" t="s">
        <v>1104</v>
      </c>
      <c r="B1104" s="1">
        <v>0</v>
      </c>
    </row>
    <row r="1105" spans="1:2" x14ac:dyDescent="0.25">
      <c r="A1105" t="s">
        <v>1105</v>
      </c>
      <c r="B1105" s="1">
        <v>0</v>
      </c>
    </row>
    <row r="1106" spans="1:2" x14ac:dyDescent="0.25">
      <c r="A1106" t="s">
        <v>1106</v>
      </c>
      <c r="B1106" s="1">
        <v>0</v>
      </c>
    </row>
    <row r="1107" spans="1:2" x14ac:dyDescent="0.25">
      <c r="A1107" t="s">
        <v>1107</v>
      </c>
      <c r="B1107" s="1">
        <v>0</v>
      </c>
    </row>
    <row r="1108" spans="1:2" x14ac:dyDescent="0.25">
      <c r="A1108" t="s">
        <v>1108</v>
      </c>
      <c r="B1108" s="1">
        <v>0</v>
      </c>
    </row>
    <row r="1109" spans="1:2" x14ac:dyDescent="0.25">
      <c r="A1109" t="s">
        <v>1109</v>
      </c>
      <c r="B1109" s="1">
        <v>0</v>
      </c>
    </row>
    <row r="1110" spans="1:2" x14ac:dyDescent="0.25">
      <c r="A1110" t="s">
        <v>1110</v>
      </c>
      <c r="B1110" s="1">
        <v>0</v>
      </c>
    </row>
    <row r="1111" spans="1:2" x14ac:dyDescent="0.25">
      <c r="A1111" t="s">
        <v>1111</v>
      </c>
      <c r="B1111" s="1">
        <v>0</v>
      </c>
    </row>
    <row r="1112" spans="1:2" x14ac:dyDescent="0.25">
      <c r="A1112" t="s">
        <v>1112</v>
      </c>
      <c r="B1112" s="1">
        <v>0</v>
      </c>
    </row>
    <row r="1113" spans="1:2" x14ac:dyDescent="0.25">
      <c r="A1113" t="s">
        <v>1113</v>
      </c>
      <c r="B1113" s="1">
        <v>0</v>
      </c>
    </row>
    <row r="1114" spans="1:2" x14ac:dyDescent="0.25">
      <c r="A1114" t="s">
        <v>1114</v>
      </c>
      <c r="B1114" s="1">
        <v>0</v>
      </c>
    </row>
    <row r="1115" spans="1:2" x14ac:dyDescent="0.25">
      <c r="A1115" t="s">
        <v>1115</v>
      </c>
      <c r="B1115" s="1">
        <v>0</v>
      </c>
    </row>
    <row r="1116" spans="1:2" x14ac:dyDescent="0.25">
      <c r="A1116" t="s">
        <v>1116</v>
      </c>
      <c r="B1116" s="1">
        <v>0</v>
      </c>
    </row>
    <row r="1117" spans="1:2" x14ac:dyDescent="0.25">
      <c r="A1117" t="s">
        <v>1117</v>
      </c>
      <c r="B1117" s="1">
        <v>0</v>
      </c>
    </row>
    <row r="1118" spans="1:2" x14ac:dyDescent="0.25">
      <c r="A1118" t="s">
        <v>1118</v>
      </c>
      <c r="B1118" s="1">
        <v>0</v>
      </c>
    </row>
    <row r="1119" spans="1:2" x14ac:dyDescent="0.25">
      <c r="A1119" t="s">
        <v>1119</v>
      </c>
      <c r="B1119" s="1">
        <v>0</v>
      </c>
    </row>
    <row r="1120" spans="1:2" x14ac:dyDescent="0.25">
      <c r="A1120" t="s">
        <v>1120</v>
      </c>
      <c r="B1120" s="1">
        <v>0</v>
      </c>
    </row>
    <row r="1121" spans="1:2" x14ac:dyDescent="0.25">
      <c r="A1121" t="s">
        <v>1121</v>
      </c>
      <c r="B1121" s="1">
        <v>0</v>
      </c>
    </row>
    <row r="1122" spans="1:2" x14ac:dyDescent="0.25">
      <c r="A1122" t="s">
        <v>1122</v>
      </c>
      <c r="B1122" s="1">
        <v>0</v>
      </c>
    </row>
    <row r="1123" spans="1:2" x14ac:dyDescent="0.25">
      <c r="A1123" t="s">
        <v>1123</v>
      </c>
      <c r="B1123" s="1">
        <v>0</v>
      </c>
    </row>
    <row r="1124" spans="1:2" x14ac:dyDescent="0.25">
      <c r="A1124" t="s">
        <v>1124</v>
      </c>
      <c r="B1124" s="1">
        <v>0</v>
      </c>
    </row>
    <row r="1125" spans="1:2" x14ac:dyDescent="0.25">
      <c r="A1125" t="s">
        <v>1125</v>
      </c>
      <c r="B1125" s="1">
        <v>0</v>
      </c>
    </row>
    <row r="1126" spans="1:2" x14ac:dyDescent="0.25">
      <c r="A1126" t="s">
        <v>1126</v>
      </c>
      <c r="B1126" s="1">
        <v>0</v>
      </c>
    </row>
    <row r="1127" spans="1:2" x14ac:dyDescent="0.25">
      <c r="A1127" t="s">
        <v>1127</v>
      </c>
      <c r="B1127" s="1">
        <v>0</v>
      </c>
    </row>
    <row r="1128" spans="1:2" x14ac:dyDescent="0.25">
      <c r="A1128" t="s">
        <v>1128</v>
      </c>
      <c r="B1128" s="1">
        <v>0</v>
      </c>
    </row>
    <row r="1129" spans="1:2" x14ac:dyDescent="0.25">
      <c r="A1129" t="s">
        <v>1129</v>
      </c>
      <c r="B1129" s="1">
        <v>0</v>
      </c>
    </row>
    <row r="1130" spans="1:2" x14ac:dyDescent="0.25">
      <c r="A1130" t="s">
        <v>1130</v>
      </c>
      <c r="B1130" s="1">
        <v>0</v>
      </c>
    </row>
    <row r="1131" spans="1:2" x14ac:dyDescent="0.25">
      <c r="A1131" t="s">
        <v>1131</v>
      </c>
      <c r="B1131" s="1">
        <v>0</v>
      </c>
    </row>
    <row r="1132" spans="1:2" x14ac:dyDescent="0.25">
      <c r="A1132" t="s">
        <v>1132</v>
      </c>
      <c r="B1132" s="1">
        <v>0</v>
      </c>
    </row>
    <row r="1133" spans="1:2" x14ac:dyDescent="0.25">
      <c r="A1133" t="s">
        <v>1133</v>
      </c>
      <c r="B1133" s="1">
        <v>0</v>
      </c>
    </row>
    <row r="1134" spans="1:2" x14ac:dyDescent="0.25">
      <c r="A1134" t="s">
        <v>1134</v>
      </c>
      <c r="B1134" s="1">
        <v>0</v>
      </c>
    </row>
    <row r="1135" spans="1:2" x14ac:dyDescent="0.25">
      <c r="A1135" t="s">
        <v>1135</v>
      </c>
      <c r="B1135" s="1">
        <v>0</v>
      </c>
    </row>
    <row r="1136" spans="1:2" x14ac:dyDescent="0.25">
      <c r="A1136" t="s">
        <v>1136</v>
      </c>
      <c r="B1136" s="1">
        <v>0</v>
      </c>
    </row>
    <row r="1137" spans="1:2" x14ac:dyDescent="0.25">
      <c r="A1137" t="s">
        <v>1137</v>
      </c>
      <c r="B1137" s="1">
        <v>0</v>
      </c>
    </row>
    <row r="1138" spans="1:2" x14ac:dyDescent="0.25">
      <c r="A1138" t="s">
        <v>1138</v>
      </c>
      <c r="B1138" s="1">
        <v>0</v>
      </c>
    </row>
    <row r="1139" spans="1:2" x14ac:dyDescent="0.25">
      <c r="A1139" t="s">
        <v>1139</v>
      </c>
      <c r="B1139" s="1">
        <v>0</v>
      </c>
    </row>
    <row r="1140" spans="1:2" x14ac:dyDescent="0.25">
      <c r="A1140" t="s">
        <v>1140</v>
      </c>
      <c r="B1140" s="1">
        <v>0</v>
      </c>
    </row>
    <row r="1141" spans="1:2" x14ac:dyDescent="0.25">
      <c r="A1141" t="s">
        <v>1141</v>
      </c>
      <c r="B1141" s="1">
        <v>0</v>
      </c>
    </row>
    <row r="1142" spans="1:2" x14ac:dyDescent="0.25">
      <c r="A1142" t="s">
        <v>1142</v>
      </c>
      <c r="B1142" s="1">
        <v>0</v>
      </c>
    </row>
    <row r="1143" spans="1:2" x14ac:dyDescent="0.25">
      <c r="A1143" t="s">
        <v>1143</v>
      </c>
      <c r="B1143" s="1">
        <v>0</v>
      </c>
    </row>
    <row r="1144" spans="1:2" x14ac:dyDescent="0.25">
      <c r="A1144" t="s">
        <v>1144</v>
      </c>
      <c r="B1144" s="1">
        <v>0</v>
      </c>
    </row>
    <row r="1145" spans="1:2" x14ac:dyDescent="0.25">
      <c r="A1145" t="s">
        <v>1145</v>
      </c>
      <c r="B1145" s="1">
        <v>0</v>
      </c>
    </row>
    <row r="1146" spans="1:2" x14ac:dyDescent="0.25">
      <c r="A1146" t="s">
        <v>1146</v>
      </c>
      <c r="B1146" s="1">
        <v>0</v>
      </c>
    </row>
    <row r="1147" spans="1:2" x14ac:dyDescent="0.25">
      <c r="A1147" t="s">
        <v>1147</v>
      </c>
      <c r="B1147" s="1">
        <v>0</v>
      </c>
    </row>
    <row r="1148" spans="1:2" x14ac:dyDescent="0.25">
      <c r="A1148" t="s">
        <v>1148</v>
      </c>
      <c r="B1148" s="1">
        <v>0</v>
      </c>
    </row>
    <row r="1149" spans="1:2" x14ac:dyDescent="0.25">
      <c r="A1149" t="s">
        <v>1149</v>
      </c>
      <c r="B1149" s="1">
        <v>0</v>
      </c>
    </row>
    <row r="1150" spans="1:2" x14ac:dyDescent="0.25">
      <c r="A1150" t="s">
        <v>1150</v>
      </c>
      <c r="B1150" s="1">
        <v>0</v>
      </c>
    </row>
    <row r="1151" spans="1:2" x14ac:dyDescent="0.25">
      <c r="A1151" t="s">
        <v>1151</v>
      </c>
      <c r="B1151" s="1">
        <v>0</v>
      </c>
    </row>
    <row r="1152" spans="1:2" x14ac:dyDescent="0.25">
      <c r="A1152" t="s">
        <v>1152</v>
      </c>
      <c r="B1152" s="1">
        <v>0</v>
      </c>
    </row>
    <row r="1153" spans="1:2" x14ac:dyDescent="0.25">
      <c r="A1153" t="s">
        <v>1153</v>
      </c>
      <c r="B1153" s="1">
        <v>0</v>
      </c>
    </row>
    <row r="1154" spans="1:2" x14ac:dyDescent="0.25">
      <c r="A1154" t="s">
        <v>1154</v>
      </c>
      <c r="B1154" s="1">
        <v>0</v>
      </c>
    </row>
    <row r="1155" spans="1:2" x14ac:dyDescent="0.25">
      <c r="A1155" t="s">
        <v>1155</v>
      </c>
      <c r="B1155" s="1">
        <v>0</v>
      </c>
    </row>
    <row r="1156" spans="1:2" x14ac:dyDescent="0.25">
      <c r="A1156" t="s">
        <v>1156</v>
      </c>
      <c r="B1156" s="1">
        <v>0</v>
      </c>
    </row>
    <row r="1157" spans="1:2" x14ac:dyDescent="0.25">
      <c r="A1157" t="s">
        <v>1157</v>
      </c>
      <c r="B1157" s="1">
        <v>0</v>
      </c>
    </row>
    <row r="1158" spans="1:2" x14ac:dyDescent="0.25">
      <c r="A1158" t="s">
        <v>1158</v>
      </c>
      <c r="B1158" s="1">
        <v>0</v>
      </c>
    </row>
    <row r="1159" spans="1:2" x14ac:dyDescent="0.25">
      <c r="A1159" t="s">
        <v>1159</v>
      </c>
      <c r="B1159" s="1">
        <v>0</v>
      </c>
    </row>
    <row r="1160" spans="1:2" x14ac:dyDescent="0.25">
      <c r="A1160" t="s">
        <v>1160</v>
      </c>
      <c r="B1160" s="1">
        <v>0</v>
      </c>
    </row>
    <row r="1161" spans="1:2" x14ac:dyDescent="0.25">
      <c r="A1161" t="s">
        <v>1161</v>
      </c>
      <c r="B1161" s="1">
        <v>0</v>
      </c>
    </row>
    <row r="1162" spans="1:2" x14ac:dyDescent="0.25">
      <c r="A1162" t="s">
        <v>1162</v>
      </c>
      <c r="B1162" s="1">
        <v>0</v>
      </c>
    </row>
    <row r="1163" spans="1:2" x14ac:dyDescent="0.25">
      <c r="A1163" t="s">
        <v>1163</v>
      </c>
      <c r="B1163" s="1">
        <v>0</v>
      </c>
    </row>
    <row r="1164" spans="1:2" x14ac:dyDescent="0.25">
      <c r="A1164" t="s">
        <v>1164</v>
      </c>
      <c r="B1164" s="1">
        <v>0</v>
      </c>
    </row>
    <row r="1165" spans="1:2" x14ac:dyDescent="0.25">
      <c r="A1165" t="s">
        <v>1165</v>
      </c>
      <c r="B1165" s="1">
        <v>0</v>
      </c>
    </row>
    <row r="1166" spans="1:2" x14ac:dyDescent="0.25">
      <c r="A1166" t="s">
        <v>1166</v>
      </c>
      <c r="B1166" s="1">
        <v>0</v>
      </c>
    </row>
    <row r="1167" spans="1:2" x14ac:dyDescent="0.25">
      <c r="A1167" t="s">
        <v>1167</v>
      </c>
      <c r="B1167" s="1">
        <v>0</v>
      </c>
    </row>
    <row r="1168" spans="1:2" x14ac:dyDescent="0.25">
      <c r="A1168" t="s">
        <v>1168</v>
      </c>
      <c r="B1168" s="1">
        <v>0</v>
      </c>
    </row>
    <row r="1169" spans="1:2" x14ac:dyDescent="0.25">
      <c r="A1169" t="s">
        <v>1169</v>
      </c>
      <c r="B1169" s="1">
        <v>0</v>
      </c>
    </row>
    <row r="1170" spans="1:2" x14ac:dyDescent="0.25">
      <c r="A1170" t="s">
        <v>1170</v>
      </c>
      <c r="B1170" s="1">
        <v>0</v>
      </c>
    </row>
    <row r="1171" spans="1:2" x14ac:dyDescent="0.25">
      <c r="A1171" t="s">
        <v>1171</v>
      </c>
      <c r="B1171" s="1">
        <v>0</v>
      </c>
    </row>
    <row r="1172" spans="1:2" x14ac:dyDescent="0.25">
      <c r="A1172" t="s">
        <v>1172</v>
      </c>
      <c r="B1172" s="1">
        <v>0</v>
      </c>
    </row>
    <row r="1173" spans="1:2" x14ac:dyDescent="0.25">
      <c r="A1173" t="s">
        <v>1173</v>
      </c>
      <c r="B1173" s="1">
        <v>0</v>
      </c>
    </row>
    <row r="1174" spans="1:2" x14ac:dyDescent="0.25">
      <c r="A1174" t="s">
        <v>1174</v>
      </c>
      <c r="B1174" s="1">
        <v>0</v>
      </c>
    </row>
    <row r="1175" spans="1:2" x14ac:dyDescent="0.25">
      <c r="A1175" t="s">
        <v>1175</v>
      </c>
      <c r="B1175" s="1">
        <v>0</v>
      </c>
    </row>
    <row r="1176" spans="1:2" x14ac:dyDescent="0.25">
      <c r="A1176" t="s">
        <v>1176</v>
      </c>
      <c r="B1176" s="1">
        <v>0</v>
      </c>
    </row>
    <row r="1177" spans="1:2" x14ac:dyDescent="0.25">
      <c r="A1177" t="s">
        <v>1177</v>
      </c>
      <c r="B1177" s="1">
        <v>0</v>
      </c>
    </row>
    <row r="1178" spans="1:2" x14ac:dyDescent="0.25">
      <c r="A1178" t="s">
        <v>1178</v>
      </c>
      <c r="B1178" s="1">
        <v>0</v>
      </c>
    </row>
    <row r="1179" spans="1:2" x14ac:dyDescent="0.25">
      <c r="A1179" t="s">
        <v>1179</v>
      </c>
      <c r="B1179" s="1">
        <v>0</v>
      </c>
    </row>
    <row r="1180" spans="1:2" x14ac:dyDescent="0.25">
      <c r="A1180" t="s">
        <v>1180</v>
      </c>
      <c r="B1180" s="1">
        <v>0</v>
      </c>
    </row>
    <row r="1181" spans="1:2" x14ac:dyDescent="0.25">
      <c r="A1181" t="s">
        <v>1181</v>
      </c>
      <c r="B1181" s="1">
        <v>0</v>
      </c>
    </row>
    <row r="1182" spans="1:2" x14ac:dyDescent="0.25">
      <c r="A1182" t="s">
        <v>1182</v>
      </c>
      <c r="B1182" s="1">
        <v>0</v>
      </c>
    </row>
    <row r="1183" spans="1:2" x14ac:dyDescent="0.25">
      <c r="A1183" t="s">
        <v>1183</v>
      </c>
      <c r="B1183" s="1">
        <v>0</v>
      </c>
    </row>
    <row r="1184" spans="1:2" x14ac:dyDescent="0.25">
      <c r="A1184" t="s">
        <v>1184</v>
      </c>
      <c r="B1184" s="1">
        <v>0</v>
      </c>
    </row>
    <row r="1185" spans="1:2" x14ac:dyDescent="0.25">
      <c r="A1185" t="s">
        <v>1185</v>
      </c>
      <c r="B1185" s="1">
        <v>0</v>
      </c>
    </row>
    <row r="1186" spans="1:2" x14ac:dyDescent="0.25">
      <c r="A1186" t="s">
        <v>1186</v>
      </c>
      <c r="B1186" s="1">
        <v>0</v>
      </c>
    </row>
    <row r="1187" spans="1:2" x14ac:dyDescent="0.25">
      <c r="A1187" t="s">
        <v>1187</v>
      </c>
      <c r="B1187" s="1">
        <v>0</v>
      </c>
    </row>
    <row r="1188" spans="1:2" x14ac:dyDescent="0.25">
      <c r="A1188" t="s">
        <v>1188</v>
      </c>
      <c r="B1188" s="1">
        <v>0</v>
      </c>
    </row>
    <row r="1189" spans="1:2" x14ac:dyDescent="0.25">
      <c r="A1189" t="s">
        <v>1189</v>
      </c>
      <c r="B1189" s="1">
        <v>0</v>
      </c>
    </row>
    <row r="1190" spans="1:2" x14ac:dyDescent="0.25">
      <c r="A1190" t="s">
        <v>1190</v>
      </c>
      <c r="B1190" s="1">
        <v>0</v>
      </c>
    </row>
    <row r="1191" spans="1:2" x14ac:dyDescent="0.25">
      <c r="A1191" t="s">
        <v>1191</v>
      </c>
      <c r="B1191" s="1">
        <v>0</v>
      </c>
    </row>
    <row r="1192" spans="1:2" x14ac:dyDescent="0.25">
      <c r="A1192" t="s">
        <v>1192</v>
      </c>
      <c r="B1192" s="1">
        <v>0</v>
      </c>
    </row>
    <row r="1193" spans="1:2" x14ac:dyDescent="0.25">
      <c r="A1193" t="s">
        <v>1193</v>
      </c>
      <c r="B1193" s="1">
        <v>0</v>
      </c>
    </row>
    <row r="1194" spans="1:2" x14ac:dyDescent="0.25">
      <c r="A1194" t="s">
        <v>1194</v>
      </c>
      <c r="B1194" s="1">
        <v>0</v>
      </c>
    </row>
    <row r="1195" spans="1:2" x14ac:dyDescent="0.25">
      <c r="A1195" t="s">
        <v>1195</v>
      </c>
      <c r="B1195" s="1">
        <v>0</v>
      </c>
    </row>
    <row r="1196" spans="1:2" x14ac:dyDescent="0.25">
      <c r="A1196" t="s">
        <v>1196</v>
      </c>
      <c r="B1196" s="1">
        <v>0</v>
      </c>
    </row>
    <row r="1197" spans="1:2" x14ac:dyDescent="0.25">
      <c r="A1197" t="s">
        <v>1197</v>
      </c>
      <c r="B1197" s="1">
        <v>0</v>
      </c>
    </row>
    <row r="1198" spans="1:2" x14ac:dyDescent="0.25">
      <c r="A1198" t="s">
        <v>1198</v>
      </c>
      <c r="B1198" s="1">
        <v>0</v>
      </c>
    </row>
    <row r="1199" spans="1:2" x14ac:dyDescent="0.25">
      <c r="A1199" t="s">
        <v>1199</v>
      </c>
      <c r="B1199" s="1">
        <v>0</v>
      </c>
    </row>
    <row r="1200" spans="1:2" x14ac:dyDescent="0.25">
      <c r="A1200" t="s">
        <v>1200</v>
      </c>
      <c r="B1200" s="1">
        <v>0</v>
      </c>
    </row>
    <row r="1201" spans="1:2" x14ac:dyDescent="0.25">
      <c r="A1201" t="s">
        <v>1201</v>
      </c>
      <c r="B1201" s="1">
        <v>0</v>
      </c>
    </row>
    <row r="1202" spans="1:2" x14ac:dyDescent="0.25">
      <c r="A1202" t="s">
        <v>1202</v>
      </c>
      <c r="B1202" s="1">
        <v>0</v>
      </c>
    </row>
    <row r="1203" spans="1:2" x14ac:dyDescent="0.25">
      <c r="A1203" t="s">
        <v>1203</v>
      </c>
      <c r="B1203" s="1">
        <v>0</v>
      </c>
    </row>
    <row r="1204" spans="1:2" x14ac:dyDescent="0.25">
      <c r="A1204" t="s">
        <v>1204</v>
      </c>
      <c r="B1204" s="1">
        <v>0</v>
      </c>
    </row>
    <row r="1205" spans="1:2" x14ac:dyDescent="0.25">
      <c r="A1205" t="s">
        <v>1205</v>
      </c>
      <c r="B1205" s="1">
        <v>0</v>
      </c>
    </row>
    <row r="1206" spans="1:2" x14ac:dyDescent="0.25">
      <c r="A1206" t="s">
        <v>1206</v>
      </c>
      <c r="B1206" s="1">
        <v>0</v>
      </c>
    </row>
    <row r="1207" spans="1:2" x14ac:dyDescent="0.25">
      <c r="A1207" t="s">
        <v>1207</v>
      </c>
      <c r="B1207" s="1">
        <v>0</v>
      </c>
    </row>
    <row r="1208" spans="1:2" x14ac:dyDescent="0.25">
      <c r="A1208" t="s">
        <v>1208</v>
      </c>
      <c r="B1208" s="1">
        <v>0</v>
      </c>
    </row>
    <row r="1209" spans="1:2" x14ac:dyDescent="0.25">
      <c r="A1209" t="s">
        <v>1209</v>
      </c>
      <c r="B1209" s="1">
        <v>0</v>
      </c>
    </row>
    <row r="1210" spans="1:2" x14ac:dyDescent="0.25">
      <c r="A1210" t="s">
        <v>1210</v>
      </c>
      <c r="B1210" s="1">
        <v>0</v>
      </c>
    </row>
    <row r="1211" spans="1:2" x14ac:dyDescent="0.25">
      <c r="A1211" t="s">
        <v>1211</v>
      </c>
      <c r="B1211" s="1">
        <v>0</v>
      </c>
    </row>
    <row r="1212" spans="1:2" x14ac:dyDescent="0.25">
      <c r="A1212" t="s">
        <v>1212</v>
      </c>
      <c r="B1212" s="1">
        <v>0</v>
      </c>
    </row>
    <row r="1213" spans="1:2" x14ac:dyDescent="0.25">
      <c r="A1213" t="s">
        <v>1213</v>
      </c>
      <c r="B1213" s="1">
        <v>0</v>
      </c>
    </row>
    <row r="1214" spans="1:2" x14ac:dyDescent="0.25">
      <c r="A1214" t="s">
        <v>1214</v>
      </c>
      <c r="B1214" s="1">
        <v>0</v>
      </c>
    </row>
    <row r="1215" spans="1:2" x14ac:dyDescent="0.25">
      <c r="A1215" t="s">
        <v>1215</v>
      </c>
      <c r="B1215" s="1">
        <v>0</v>
      </c>
    </row>
    <row r="1216" spans="1:2" x14ac:dyDescent="0.25">
      <c r="A1216" t="s">
        <v>1216</v>
      </c>
      <c r="B1216" s="1">
        <v>0</v>
      </c>
    </row>
    <row r="1217" spans="1:2" x14ac:dyDescent="0.25">
      <c r="A1217" t="s">
        <v>1217</v>
      </c>
      <c r="B1217" s="1">
        <v>0</v>
      </c>
    </row>
    <row r="1218" spans="1:2" x14ac:dyDescent="0.25">
      <c r="A1218" t="s">
        <v>1218</v>
      </c>
      <c r="B1218" s="1">
        <v>0</v>
      </c>
    </row>
    <row r="1219" spans="1:2" x14ac:dyDescent="0.25">
      <c r="A1219" t="s">
        <v>1219</v>
      </c>
      <c r="B1219" s="1">
        <v>0</v>
      </c>
    </row>
    <row r="1220" spans="1:2" x14ac:dyDescent="0.25">
      <c r="A1220" t="s">
        <v>1220</v>
      </c>
      <c r="B1220" s="1">
        <v>0</v>
      </c>
    </row>
    <row r="1221" spans="1:2" x14ac:dyDescent="0.25">
      <c r="A1221" t="s">
        <v>1221</v>
      </c>
      <c r="B1221" s="1">
        <v>0</v>
      </c>
    </row>
    <row r="1222" spans="1:2" x14ac:dyDescent="0.25">
      <c r="A1222" t="s">
        <v>1222</v>
      </c>
      <c r="B1222" s="1">
        <v>0</v>
      </c>
    </row>
    <row r="1223" spans="1:2" x14ac:dyDescent="0.25">
      <c r="A1223" t="s">
        <v>1223</v>
      </c>
      <c r="B1223" s="1">
        <v>0</v>
      </c>
    </row>
    <row r="1224" spans="1:2" x14ac:dyDescent="0.25">
      <c r="A1224" t="s">
        <v>1224</v>
      </c>
      <c r="B1224" s="1">
        <v>0</v>
      </c>
    </row>
    <row r="1225" spans="1:2" x14ac:dyDescent="0.25">
      <c r="A1225" t="s">
        <v>1225</v>
      </c>
      <c r="B1225" s="1">
        <v>0</v>
      </c>
    </row>
    <row r="1226" spans="1:2" x14ac:dyDescent="0.25">
      <c r="A1226" t="s">
        <v>1226</v>
      </c>
      <c r="B1226" s="1">
        <v>0</v>
      </c>
    </row>
    <row r="1227" spans="1:2" x14ac:dyDescent="0.25">
      <c r="A1227" t="s">
        <v>1227</v>
      </c>
      <c r="B1227" s="1">
        <v>0</v>
      </c>
    </row>
    <row r="1228" spans="1:2" x14ac:dyDescent="0.25">
      <c r="A1228" t="s">
        <v>1228</v>
      </c>
      <c r="B1228" s="1">
        <v>0</v>
      </c>
    </row>
    <row r="1229" spans="1:2" x14ac:dyDescent="0.25">
      <c r="A1229" t="s">
        <v>1229</v>
      </c>
      <c r="B1229" s="1">
        <v>0</v>
      </c>
    </row>
    <row r="1230" spans="1:2" x14ac:dyDescent="0.25">
      <c r="A1230" t="s">
        <v>1230</v>
      </c>
      <c r="B1230" s="1">
        <v>0</v>
      </c>
    </row>
    <row r="1231" spans="1:2" x14ac:dyDescent="0.25">
      <c r="A1231" t="s">
        <v>1231</v>
      </c>
      <c r="B1231" s="1">
        <v>0</v>
      </c>
    </row>
    <row r="1232" spans="1:2" x14ac:dyDescent="0.25">
      <c r="A1232" t="s">
        <v>1232</v>
      </c>
      <c r="B1232" s="1">
        <v>0</v>
      </c>
    </row>
    <row r="1233" spans="1:2" x14ac:dyDescent="0.25">
      <c r="A1233" t="s">
        <v>1233</v>
      </c>
      <c r="B1233" s="1">
        <v>0</v>
      </c>
    </row>
    <row r="1234" spans="1:2" x14ac:dyDescent="0.25">
      <c r="A1234" t="s">
        <v>1234</v>
      </c>
      <c r="B1234" s="1">
        <v>0</v>
      </c>
    </row>
    <row r="1235" spans="1:2" x14ac:dyDescent="0.25">
      <c r="A1235" t="s">
        <v>1235</v>
      </c>
      <c r="B1235" s="1">
        <v>0</v>
      </c>
    </row>
    <row r="1236" spans="1:2" x14ac:dyDescent="0.25">
      <c r="A1236" t="s">
        <v>1236</v>
      </c>
      <c r="B1236" s="1">
        <v>0</v>
      </c>
    </row>
    <row r="1237" spans="1:2" x14ac:dyDescent="0.25">
      <c r="A1237" t="s">
        <v>1237</v>
      </c>
      <c r="B1237" s="1">
        <v>0</v>
      </c>
    </row>
    <row r="1238" spans="1:2" x14ac:dyDescent="0.25">
      <c r="A1238" t="s">
        <v>1238</v>
      </c>
      <c r="B1238" s="1">
        <v>0</v>
      </c>
    </row>
    <row r="1239" spans="1:2" x14ac:dyDescent="0.25">
      <c r="A1239" t="s">
        <v>1239</v>
      </c>
      <c r="B1239" s="1">
        <v>0</v>
      </c>
    </row>
    <row r="1240" spans="1:2" x14ac:dyDescent="0.25">
      <c r="A1240" t="s">
        <v>1240</v>
      </c>
      <c r="B1240" s="1">
        <v>0</v>
      </c>
    </row>
    <row r="1241" spans="1:2" x14ac:dyDescent="0.25">
      <c r="A1241" t="s">
        <v>1241</v>
      </c>
      <c r="B1241" s="1">
        <v>0</v>
      </c>
    </row>
    <row r="1242" spans="1:2" x14ac:dyDescent="0.25">
      <c r="A1242" t="s">
        <v>1242</v>
      </c>
      <c r="B1242" s="1">
        <v>0</v>
      </c>
    </row>
    <row r="1243" spans="1:2" x14ac:dyDescent="0.25">
      <c r="A1243" t="s">
        <v>1243</v>
      </c>
      <c r="B1243" s="1">
        <v>0</v>
      </c>
    </row>
    <row r="1244" spans="1:2" x14ac:dyDescent="0.25">
      <c r="A1244" t="s">
        <v>1244</v>
      </c>
      <c r="B1244" s="1">
        <v>0</v>
      </c>
    </row>
    <row r="1245" spans="1:2" x14ac:dyDescent="0.25">
      <c r="A1245" t="s">
        <v>1245</v>
      </c>
      <c r="B1245" s="1">
        <v>0</v>
      </c>
    </row>
    <row r="1246" spans="1:2" x14ac:dyDescent="0.25">
      <c r="A1246" t="s">
        <v>1246</v>
      </c>
      <c r="B1246" s="1">
        <v>0</v>
      </c>
    </row>
    <row r="1247" spans="1:2" x14ac:dyDescent="0.25">
      <c r="A1247" t="s">
        <v>1247</v>
      </c>
      <c r="B1247" s="1">
        <v>0</v>
      </c>
    </row>
    <row r="1248" spans="1:2" x14ac:dyDescent="0.25">
      <c r="A1248" t="s">
        <v>1248</v>
      </c>
      <c r="B1248" s="1">
        <v>0</v>
      </c>
    </row>
    <row r="1249" spans="1:2" x14ac:dyDescent="0.25">
      <c r="A1249" t="s">
        <v>1249</v>
      </c>
      <c r="B1249" s="1">
        <v>0</v>
      </c>
    </row>
    <row r="1250" spans="1:2" x14ac:dyDescent="0.25">
      <c r="A1250" t="s">
        <v>1250</v>
      </c>
      <c r="B1250" s="1">
        <v>0</v>
      </c>
    </row>
    <row r="1251" spans="1:2" x14ac:dyDescent="0.25">
      <c r="A1251" t="s">
        <v>1251</v>
      </c>
      <c r="B1251" s="1">
        <v>0</v>
      </c>
    </row>
    <row r="1252" spans="1:2" x14ac:dyDescent="0.25">
      <c r="A1252" t="s">
        <v>1252</v>
      </c>
      <c r="B1252" s="1">
        <v>0</v>
      </c>
    </row>
    <row r="1253" spans="1:2" x14ac:dyDescent="0.25">
      <c r="A1253" t="s">
        <v>1253</v>
      </c>
      <c r="B1253" s="1">
        <v>0</v>
      </c>
    </row>
    <row r="1254" spans="1:2" x14ac:dyDescent="0.25">
      <c r="A1254" t="s">
        <v>1254</v>
      </c>
      <c r="B1254" s="1">
        <v>0</v>
      </c>
    </row>
    <row r="1255" spans="1:2" x14ac:dyDescent="0.25">
      <c r="A1255" t="s">
        <v>1255</v>
      </c>
      <c r="B1255" s="1">
        <v>0</v>
      </c>
    </row>
    <row r="1256" spans="1:2" x14ac:dyDescent="0.25">
      <c r="A1256" t="s">
        <v>1256</v>
      </c>
      <c r="B1256" s="1">
        <v>0</v>
      </c>
    </row>
    <row r="1257" spans="1:2" x14ac:dyDescent="0.25">
      <c r="A1257" t="s">
        <v>1257</v>
      </c>
      <c r="B1257" s="1">
        <v>0</v>
      </c>
    </row>
    <row r="1258" spans="1:2" x14ac:dyDescent="0.25">
      <c r="A1258" t="s">
        <v>1258</v>
      </c>
      <c r="B1258" s="1">
        <v>0</v>
      </c>
    </row>
    <row r="1259" spans="1:2" x14ac:dyDescent="0.25">
      <c r="A1259" t="s">
        <v>1259</v>
      </c>
      <c r="B1259" s="1">
        <v>0</v>
      </c>
    </row>
    <row r="1260" spans="1:2" x14ac:dyDescent="0.25">
      <c r="A1260" t="s">
        <v>1260</v>
      </c>
      <c r="B1260" s="1">
        <v>0</v>
      </c>
    </row>
    <row r="1261" spans="1:2" x14ac:dyDescent="0.25">
      <c r="A1261" t="s">
        <v>1261</v>
      </c>
      <c r="B1261" s="1">
        <v>0</v>
      </c>
    </row>
    <row r="1262" spans="1:2" x14ac:dyDescent="0.25">
      <c r="A1262" t="s">
        <v>1262</v>
      </c>
      <c r="B1262" s="1">
        <v>0</v>
      </c>
    </row>
    <row r="1263" spans="1:2" x14ac:dyDescent="0.25">
      <c r="A1263" t="s">
        <v>1263</v>
      </c>
      <c r="B1263" s="1">
        <v>0</v>
      </c>
    </row>
    <row r="1264" spans="1:2" x14ac:dyDescent="0.25">
      <c r="A1264" t="s">
        <v>1264</v>
      </c>
      <c r="B1264" s="1">
        <v>0</v>
      </c>
    </row>
    <row r="1265" spans="1:2" x14ac:dyDescent="0.25">
      <c r="A1265" t="s">
        <v>1265</v>
      </c>
      <c r="B1265" s="1">
        <v>0</v>
      </c>
    </row>
    <row r="1266" spans="1:2" x14ac:dyDescent="0.25">
      <c r="A1266" t="s">
        <v>1266</v>
      </c>
      <c r="B1266" s="1">
        <v>0</v>
      </c>
    </row>
    <row r="1267" spans="1:2" x14ac:dyDescent="0.25">
      <c r="A1267" t="s">
        <v>1267</v>
      </c>
      <c r="B1267" s="1">
        <v>0</v>
      </c>
    </row>
    <row r="1268" spans="1:2" x14ac:dyDescent="0.25">
      <c r="A1268" t="s">
        <v>1268</v>
      </c>
      <c r="B1268" s="1">
        <v>0</v>
      </c>
    </row>
    <row r="1269" spans="1:2" x14ac:dyDescent="0.25">
      <c r="A1269" t="s">
        <v>1269</v>
      </c>
      <c r="B1269" s="1">
        <v>0</v>
      </c>
    </row>
    <row r="1270" spans="1:2" x14ac:dyDescent="0.25">
      <c r="A1270" t="s">
        <v>1270</v>
      </c>
      <c r="B1270" s="1">
        <v>0</v>
      </c>
    </row>
    <row r="1271" spans="1:2" x14ac:dyDescent="0.25">
      <c r="A1271" t="s">
        <v>1271</v>
      </c>
      <c r="B1271" s="1">
        <v>0</v>
      </c>
    </row>
    <row r="1272" spans="1:2" x14ac:dyDescent="0.25">
      <c r="A1272" t="s">
        <v>1272</v>
      </c>
      <c r="B1272" s="1">
        <v>0</v>
      </c>
    </row>
    <row r="1273" spans="1:2" x14ac:dyDescent="0.25">
      <c r="A1273" t="s">
        <v>1273</v>
      </c>
      <c r="B1273" s="1">
        <v>0</v>
      </c>
    </row>
    <row r="1274" spans="1:2" x14ac:dyDescent="0.25">
      <c r="A1274" t="s">
        <v>1274</v>
      </c>
      <c r="B1274" s="1">
        <v>0</v>
      </c>
    </row>
    <row r="1275" spans="1:2" x14ac:dyDescent="0.25">
      <c r="A1275" t="s">
        <v>1275</v>
      </c>
      <c r="B1275" s="1">
        <v>0</v>
      </c>
    </row>
    <row r="1276" spans="1:2" x14ac:dyDescent="0.25">
      <c r="A1276" t="s">
        <v>1276</v>
      </c>
      <c r="B1276" s="1">
        <v>0</v>
      </c>
    </row>
    <row r="1277" spans="1:2" x14ac:dyDescent="0.25">
      <c r="A1277" t="s">
        <v>1277</v>
      </c>
      <c r="B1277" s="1">
        <v>0</v>
      </c>
    </row>
    <row r="1278" spans="1:2" x14ac:dyDescent="0.25">
      <c r="A1278" t="s">
        <v>1278</v>
      </c>
      <c r="B1278" s="1">
        <v>0</v>
      </c>
    </row>
    <row r="1279" spans="1:2" x14ac:dyDescent="0.25">
      <c r="A1279" t="s">
        <v>1279</v>
      </c>
      <c r="B1279" s="1">
        <v>0</v>
      </c>
    </row>
    <row r="1280" spans="1:2" x14ac:dyDescent="0.25">
      <c r="A1280" t="s">
        <v>1280</v>
      </c>
      <c r="B1280" s="1">
        <v>0</v>
      </c>
    </row>
    <row r="1281" spans="1:2" x14ac:dyDescent="0.25">
      <c r="A1281" t="s">
        <v>1281</v>
      </c>
      <c r="B1281" s="1">
        <v>0</v>
      </c>
    </row>
    <row r="1282" spans="1:2" x14ac:dyDescent="0.25">
      <c r="A1282" t="s">
        <v>1282</v>
      </c>
      <c r="B1282" s="1">
        <v>0</v>
      </c>
    </row>
    <row r="1283" spans="1:2" x14ac:dyDescent="0.25">
      <c r="A1283" t="s">
        <v>1283</v>
      </c>
      <c r="B1283" s="1">
        <v>0</v>
      </c>
    </row>
    <row r="1284" spans="1:2" x14ac:dyDescent="0.25">
      <c r="A1284" t="s">
        <v>1284</v>
      </c>
      <c r="B1284" s="1">
        <v>0</v>
      </c>
    </row>
    <row r="1285" spans="1:2" x14ac:dyDescent="0.25">
      <c r="A1285" t="s">
        <v>1285</v>
      </c>
      <c r="B1285" s="1">
        <v>0</v>
      </c>
    </row>
    <row r="1286" spans="1:2" x14ac:dyDescent="0.25">
      <c r="A1286" t="s">
        <v>1286</v>
      </c>
      <c r="B1286" s="1">
        <v>0</v>
      </c>
    </row>
    <row r="1287" spans="1:2" x14ac:dyDescent="0.25">
      <c r="A1287" t="s">
        <v>1287</v>
      </c>
      <c r="B1287" s="1">
        <v>0</v>
      </c>
    </row>
    <row r="1288" spans="1:2" x14ac:dyDescent="0.25">
      <c r="A1288" t="s">
        <v>1288</v>
      </c>
      <c r="B1288" s="1">
        <v>0</v>
      </c>
    </row>
    <row r="1289" spans="1:2" x14ac:dyDescent="0.25">
      <c r="A1289" t="s">
        <v>1289</v>
      </c>
      <c r="B1289" s="1">
        <v>0</v>
      </c>
    </row>
    <row r="1290" spans="1:2" x14ac:dyDescent="0.25">
      <c r="A1290" t="s">
        <v>1290</v>
      </c>
      <c r="B1290" s="1">
        <v>0</v>
      </c>
    </row>
    <row r="1291" spans="1:2" x14ac:dyDescent="0.25">
      <c r="A1291" t="s">
        <v>1291</v>
      </c>
      <c r="B1291" s="1">
        <v>0</v>
      </c>
    </row>
    <row r="1292" spans="1:2" x14ac:dyDescent="0.25">
      <c r="A1292" t="s">
        <v>1292</v>
      </c>
      <c r="B1292" s="1">
        <v>0</v>
      </c>
    </row>
    <row r="1293" spans="1:2" x14ac:dyDescent="0.25">
      <c r="A1293" t="s">
        <v>1293</v>
      </c>
      <c r="B1293" s="1">
        <v>0</v>
      </c>
    </row>
    <row r="1294" spans="1:2" x14ac:dyDescent="0.25">
      <c r="A1294" t="s">
        <v>1294</v>
      </c>
      <c r="B1294" s="1">
        <v>0</v>
      </c>
    </row>
    <row r="1295" spans="1:2" x14ac:dyDescent="0.25">
      <c r="A1295" t="s">
        <v>1295</v>
      </c>
      <c r="B1295" s="1">
        <v>0</v>
      </c>
    </row>
    <row r="1296" spans="1:2" x14ac:dyDescent="0.25">
      <c r="A1296" t="s">
        <v>1296</v>
      </c>
      <c r="B1296" s="1">
        <v>0</v>
      </c>
    </row>
    <row r="1297" spans="1:2" x14ac:dyDescent="0.25">
      <c r="A1297" t="s">
        <v>1297</v>
      </c>
      <c r="B1297" s="1">
        <v>0</v>
      </c>
    </row>
    <row r="1298" spans="1:2" x14ac:dyDescent="0.25">
      <c r="A1298" t="s">
        <v>1298</v>
      </c>
      <c r="B1298" s="1">
        <v>0</v>
      </c>
    </row>
    <row r="1299" spans="1:2" x14ac:dyDescent="0.25">
      <c r="A1299" t="s">
        <v>1299</v>
      </c>
      <c r="B1299" s="1">
        <v>0</v>
      </c>
    </row>
    <row r="1300" spans="1:2" x14ac:dyDescent="0.25">
      <c r="A1300" t="s">
        <v>1300</v>
      </c>
      <c r="B1300" s="1">
        <v>0</v>
      </c>
    </row>
    <row r="1301" spans="1:2" x14ac:dyDescent="0.25">
      <c r="A1301" t="s">
        <v>1301</v>
      </c>
      <c r="B1301" s="1">
        <v>0</v>
      </c>
    </row>
    <row r="1302" spans="1:2" x14ac:dyDescent="0.25">
      <c r="A1302" t="s">
        <v>1302</v>
      </c>
      <c r="B1302" s="1">
        <v>0</v>
      </c>
    </row>
    <row r="1303" spans="1:2" x14ac:dyDescent="0.25">
      <c r="A1303" t="s">
        <v>1303</v>
      </c>
      <c r="B1303" s="1">
        <v>0</v>
      </c>
    </row>
    <row r="1304" spans="1:2" x14ac:dyDescent="0.25">
      <c r="A1304" t="s">
        <v>1304</v>
      </c>
      <c r="B1304" s="1">
        <v>0</v>
      </c>
    </row>
    <row r="1305" spans="1:2" x14ac:dyDescent="0.25">
      <c r="A1305" t="s">
        <v>1305</v>
      </c>
      <c r="B1305" s="1">
        <v>0</v>
      </c>
    </row>
    <row r="1306" spans="1:2" x14ac:dyDescent="0.25">
      <c r="A1306" t="s">
        <v>1306</v>
      </c>
      <c r="B1306" s="1">
        <v>0</v>
      </c>
    </row>
    <row r="1307" spans="1:2" x14ac:dyDescent="0.25">
      <c r="A1307" t="s">
        <v>1307</v>
      </c>
      <c r="B1307" s="1">
        <v>0</v>
      </c>
    </row>
    <row r="1308" spans="1:2" x14ac:dyDescent="0.25">
      <c r="A1308" t="s">
        <v>1308</v>
      </c>
      <c r="B1308" s="1">
        <v>0</v>
      </c>
    </row>
    <row r="1309" spans="1:2" x14ac:dyDescent="0.25">
      <c r="A1309" t="s">
        <v>1309</v>
      </c>
      <c r="B1309" s="1">
        <v>0</v>
      </c>
    </row>
    <row r="1310" spans="1:2" x14ac:dyDescent="0.25">
      <c r="A1310" t="s">
        <v>1310</v>
      </c>
      <c r="B1310" s="1">
        <v>0</v>
      </c>
    </row>
    <row r="1311" spans="1:2" x14ac:dyDescent="0.25">
      <c r="A1311" t="s">
        <v>1311</v>
      </c>
      <c r="B1311" s="1">
        <v>0</v>
      </c>
    </row>
    <row r="1312" spans="1:2" x14ac:dyDescent="0.25">
      <c r="A1312" t="s">
        <v>1312</v>
      </c>
      <c r="B1312" s="1">
        <v>0</v>
      </c>
    </row>
    <row r="1313" spans="1:2" x14ac:dyDescent="0.25">
      <c r="A1313" t="s">
        <v>1313</v>
      </c>
      <c r="B1313" s="1">
        <v>0</v>
      </c>
    </row>
    <row r="1314" spans="1:2" x14ac:dyDescent="0.25">
      <c r="A1314" t="s">
        <v>1314</v>
      </c>
      <c r="B1314" s="1">
        <v>0</v>
      </c>
    </row>
    <row r="1315" spans="1:2" x14ac:dyDescent="0.25">
      <c r="A1315" t="s">
        <v>1315</v>
      </c>
      <c r="B1315" s="1">
        <v>0</v>
      </c>
    </row>
    <row r="1316" spans="1:2" x14ac:dyDescent="0.25">
      <c r="A1316" t="s">
        <v>1316</v>
      </c>
      <c r="B1316" s="1">
        <v>0</v>
      </c>
    </row>
    <row r="1317" spans="1:2" x14ac:dyDescent="0.25">
      <c r="A1317" t="s">
        <v>1317</v>
      </c>
      <c r="B1317" s="1">
        <v>0</v>
      </c>
    </row>
    <row r="1318" spans="1:2" x14ac:dyDescent="0.25">
      <c r="A1318" t="s">
        <v>1318</v>
      </c>
      <c r="B1318" s="1">
        <v>0</v>
      </c>
    </row>
    <row r="1319" spans="1:2" x14ac:dyDescent="0.25">
      <c r="A1319" t="s">
        <v>1319</v>
      </c>
      <c r="B1319" s="1">
        <v>0</v>
      </c>
    </row>
    <row r="1320" spans="1:2" x14ac:dyDescent="0.25">
      <c r="A1320" t="s">
        <v>1320</v>
      </c>
      <c r="B1320" s="1">
        <v>0</v>
      </c>
    </row>
    <row r="1321" spans="1:2" x14ac:dyDescent="0.25">
      <c r="A1321" t="s">
        <v>1321</v>
      </c>
      <c r="B1321" s="1">
        <v>0</v>
      </c>
    </row>
    <row r="1322" spans="1:2" x14ac:dyDescent="0.25">
      <c r="A1322" t="s">
        <v>1322</v>
      </c>
      <c r="B1322" s="1">
        <v>0</v>
      </c>
    </row>
    <row r="1323" spans="1:2" x14ac:dyDescent="0.25">
      <c r="A1323" t="s">
        <v>1323</v>
      </c>
      <c r="B1323" s="1">
        <v>0</v>
      </c>
    </row>
    <row r="1324" spans="1:2" x14ac:dyDescent="0.25">
      <c r="A1324" t="s">
        <v>1324</v>
      </c>
      <c r="B1324" s="1">
        <v>0</v>
      </c>
    </row>
    <row r="1325" spans="1:2" x14ac:dyDescent="0.25">
      <c r="A1325" t="s">
        <v>1325</v>
      </c>
      <c r="B1325" s="1">
        <v>0</v>
      </c>
    </row>
    <row r="1326" spans="1:2" x14ac:dyDescent="0.25">
      <c r="A1326" t="s">
        <v>1326</v>
      </c>
      <c r="B1326" s="1">
        <v>0</v>
      </c>
    </row>
    <row r="1327" spans="1:2" x14ac:dyDescent="0.25">
      <c r="A1327" t="s">
        <v>1327</v>
      </c>
      <c r="B1327" s="1">
        <v>0</v>
      </c>
    </row>
    <row r="1328" spans="1:2" x14ac:dyDescent="0.25">
      <c r="A1328" t="s">
        <v>1328</v>
      </c>
      <c r="B1328" s="1">
        <v>0</v>
      </c>
    </row>
    <row r="1329" spans="1:2" x14ac:dyDescent="0.25">
      <c r="A1329" t="s">
        <v>1329</v>
      </c>
      <c r="B1329" s="1">
        <v>0</v>
      </c>
    </row>
    <row r="1330" spans="1:2" x14ac:dyDescent="0.25">
      <c r="A1330" t="s">
        <v>1330</v>
      </c>
      <c r="B1330" s="1">
        <v>0</v>
      </c>
    </row>
    <row r="1331" spans="1:2" x14ac:dyDescent="0.25">
      <c r="A1331" t="s">
        <v>1331</v>
      </c>
      <c r="B1331" s="1">
        <v>0</v>
      </c>
    </row>
    <row r="1332" spans="1:2" x14ac:dyDescent="0.25">
      <c r="A1332" t="s">
        <v>1332</v>
      </c>
      <c r="B1332" s="1">
        <v>0</v>
      </c>
    </row>
    <row r="1333" spans="1:2" x14ac:dyDescent="0.25">
      <c r="A1333" t="s">
        <v>1333</v>
      </c>
      <c r="B1333" s="1">
        <v>1.4551901350579044E-13</v>
      </c>
    </row>
    <row r="1334" spans="1:2" x14ac:dyDescent="0.25">
      <c r="A1334" t="s">
        <v>1334</v>
      </c>
      <c r="B1334" s="1">
        <v>5.8206217623535395E-13</v>
      </c>
    </row>
    <row r="1335" spans="1:2" x14ac:dyDescent="0.25">
      <c r="A1335" t="s">
        <v>1335</v>
      </c>
      <c r="B1335" s="1">
        <v>8.7311491370201108E-13</v>
      </c>
    </row>
    <row r="1336" spans="1:2" x14ac:dyDescent="0.25">
      <c r="A1336" t="s">
        <v>1336</v>
      </c>
      <c r="B1336" s="1">
        <v>8.7311491370201108E-13</v>
      </c>
    </row>
    <row r="1337" spans="1:2" x14ac:dyDescent="0.25">
      <c r="A1337" t="s">
        <v>1337</v>
      </c>
      <c r="B1337" s="1">
        <v>3.9999999990686777E-2</v>
      </c>
    </row>
    <row r="1338" spans="1:2" x14ac:dyDescent="0.25">
      <c r="A1338" t="s">
        <v>1338</v>
      </c>
      <c r="B1338" s="1">
        <v>0.04</v>
      </c>
    </row>
    <row r="1339" spans="1:2" x14ac:dyDescent="0.25">
      <c r="A1339" t="s">
        <v>1339</v>
      </c>
      <c r="B1339" s="1">
        <v>0.05</v>
      </c>
    </row>
    <row r="1340" spans="1:2" x14ac:dyDescent="0.25">
      <c r="A1340" t="s">
        <v>1340</v>
      </c>
      <c r="B1340" s="1">
        <v>0.19999999999534337</v>
      </c>
    </row>
    <row r="1341" spans="1:2" x14ac:dyDescent="0.25">
      <c r="A1341" t="s">
        <v>1341</v>
      </c>
      <c r="B1341" s="1">
        <v>0.19999999999534337</v>
      </c>
    </row>
    <row r="1342" spans="1:2" x14ac:dyDescent="0.25">
      <c r="A1342" t="s">
        <v>1342</v>
      </c>
      <c r="B1342" s="1">
        <v>0.2</v>
      </c>
    </row>
    <row r="1343" spans="1:2" x14ac:dyDescent="0.25">
      <c r="A1343" t="s">
        <v>1343</v>
      </c>
      <c r="B1343" s="1">
        <v>0.2</v>
      </c>
    </row>
    <row r="1344" spans="1:2" x14ac:dyDescent="0.25">
      <c r="A1344" t="s">
        <v>1344</v>
      </c>
      <c r="B1344" s="1">
        <v>0.2</v>
      </c>
    </row>
    <row r="1345" spans="1:2" x14ac:dyDescent="0.25">
      <c r="A1345" t="s">
        <v>1345</v>
      </c>
      <c r="B1345" s="1">
        <v>0.2</v>
      </c>
    </row>
    <row r="1346" spans="1:2" x14ac:dyDescent="0.25">
      <c r="A1346" t="s">
        <v>1346</v>
      </c>
      <c r="B1346" s="1">
        <v>0.24</v>
      </c>
    </row>
    <row r="1347" spans="1:2" x14ac:dyDescent="0.25">
      <c r="A1347" t="s">
        <v>1347</v>
      </c>
      <c r="B1347" s="1">
        <v>0.25</v>
      </c>
    </row>
    <row r="1348" spans="1:2" x14ac:dyDescent="0.25">
      <c r="A1348" t="s">
        <v>1348</v>
      </c>
      <c r="B1348" s="1">
        <v>0.3</v>
      </c>
    </row>
    <row r="1349" spans="1:2" x14ac:dyDescent="0.25">
      <c r="A1349" t="s">
        <v>1349</v>
      </c>
      <c r="B1349" s="1">
        <v>0.35</v>
      </c>
    </row>
    <row r="1350" spans="1:2" x14ac:dyDescent="0.25">
      <c r="A1350" t="s">
        <v>1350</v>
      </c>
      <c r="B1350" s="1">
        <v>0.35</v>
      </c>
    </row>
    <row r="1351" spans="1:2" x14ac:dyDescent="0.25">
      <c r="A1351" t="s">
        <v>1351</v>
      </c>
      <c r="B1351" s="1">
        <v>0.35</v>
      </c>
    </row>
    <row r="1352" spans="1:2" x14ac:dyDescent="0.25">
      <c r="A1352" t="s">
        <v>1352</v>
      </c>
      <c r="B1352" s="1">
        <v>0.35</v>
      </c>
    </row>
    <row r="1353" spans="1:2" x14ac:dyDescent="0.25">
      <c r="A1353" t="s">
        <v>1353</v>
      </c>
      <c r="B1353" s="1">
        <v>0.35</v>
      </c>
    </row>
    <row r="1354" spans="1:2" x14ac:dyDescent="0.25">
      <c r="A1354" t="s">
        <v>1354</v>
      </c>
      <c r="B1354" s="1">
        <v>0.35</v>
      </c>
    </row>
    <row r="1355" spans="1:2" x14ac:dyDescent="0.25">
      <c r="A1355" t="s">
        <v>1355</v>
      </c>
      <c r="B1355" s="1">
        <v>0.4</v>
      </c>
    </row>
    <row r="1356" spans="1:2" x14ac:dyDescent="0.25">
      <c r="A1356" t="s">
        <v>1356</v>
      </c>
      <c r="B1356" s="1">
        <v>0.4</v>
      </c>
    </row>
    <row r="1357" spans="1:2" x14ac:dyDescent="0.25">
      <c r="A1357" t="s">
        <v>1357</v>
      </c>
      <c r="B1357" s="1">
        <v>0.4</v>
      </c>
    </row>
    <row r="1358" spans="1:2" x14ac:dyDescent="0.25">
      <c r="A1358" t="s">
        <v>1358</v>
      </c>
      <c r="B1358" s="1">
        <v>0.43999999999068679</v>
      </c>
    </row>
    <row r="1359" spans="1:2" x14ac:dyDescent="0.25">
      <c r="A1359" t="s">
        <v>1359</v>
      </c>
      <c r="B1359" s="1">
        <v>0.43999999999068679</v>
      </c>
    </row>
    <row r="1360" spans="1:2" x14ac:dyDescent="0.25">
      <c r="A1360" t="s">
        <v>1360</v>
      </c>
      <c r="B1360" s="1">
        <v>0.44</v>
      </c>
    </row>
    <row r="1361" spans="1:2" x14ac:dyDescent="0.25">
      <c r="A1361" t="s">
        <v>1361</v>
      </c>
      <c r="B1361" s="1">
        <v>0.44</v>
      </c>
    </row>
    <row r="1362" spans="1:2" x14ac:dyDescent="0.25">
      <c r="A1362" t="s">
        <v>1362</v>
      </c>
      <c r="B1362" s="1">
        <v>0.44</v>
      </c>
    </row>
    <row r="1363" spans="1:2" x14ac:dyDescent="0.25">
      <c r="A1363" t="s">
        <v>1363</v>
      </c>
      <c r="B1363" s="1">
        <v>0.44</v>
      </c>
    </row>
    <row r="1364" spans="1:2" x14ac:dyDescent="0.25">
      <c r="A1364" t="s">
        <v>1364</v>
      </c>
      <c r="B1364" s="1">
        <v>0.44</v>
      </c>
    </row>
    <row r="1365" spans="1:2" x14ac:dyDescent="0.25">
      <c r="A1365" t="s">
        <v>1365</v>
      </c>
      <c r="B1365" s="1">
        <v>0.47999999999534337</v>
      </c>
    </row>
    <row r="1366" spans="1:2" x14ac:dyDescent="0.25">
      <c r="A1366" t="s">
        <v>1366</v>
      </c>
      <c r="B1366" s="1">
        <v>0.47999999999534337</v>
      </c>
    </row>
    <row r="1367" spans="1:2" x14ac:dyDescent="0.25">
      <c r="A1367" t="s">
        <v>1367</v>
      </c>
      <c r="B1367" s="1">
        <v>0.48</v>
      </c>
    </row>
    <row r="1368" spans="1:2" x14ac:dyDescent="0.25">
      <c r="A1368" t="s">
        <v>1368</v>
      </c>
      <c r="B1368" s="1">
        <v>0.5</v>
      </c>
    </row>
    <row r="1369" spans="1:2" x14ac:dyDescent="0.25">
      <c r="A1369" t="s">
        <v>1369</v>
      </c>
      <c r="B1369" s="1">
        <v>0.5</v>
      </c>
    </row>
    <row r="1370" spans="1:2" x14ac:dyDescent="0.25">
      <c r="A1370" t="s">
        <v>1370</v>
      </c>
      <c r="B1370" s="1">
        <v>0.5</v>
      </c>
    </row>
    <row r="1371" spans="1:2" x14ac:dyDescent="0.25">
      <c r="A1371" t="s">
        <v>1371</v>
      </c>
      <c r="B1371" s="1">
        <v>0.51999999999534341</v>
      </c>
    </row>
    <row r="1372" spans="1:2" x14ac:dyDescent="0.25">
      <c r="A1372" t="s">
        <v>1372</v>
      </c>
      <c r="B1372" s="1">
        <v>0.99900000005960465</v>
      </c>
    </row>
    <row r="1373" spans="1:2" x14ac:dyDescent="0.25">
      <c r="A1373" t="s">
        <v>1373</v>
      </c>
      <c r="B1373" s="1">
        <v>1</v>
      </c>
    </row>
    <row r="1374" spans="1:2" x14ac:dyDescent="0.25">
      <c r="A1374" t="s">
        <v>1374</v>
      </c>
      <c r="B1374" s="1">
        <v>1</v>
      </c>
    </row>
    <row r="1375" spans="1:2" x14ac:dyDescent="0.25">
      <c r="A1375" t="s">
        <v>1375</v>
      </c>
      <c r="B1375" s="1">
        <v>1</v>
      </c>
    </row>
    <row r="1376" spans="1:2" x14ac:dyDescent="0.25">
      <c r="A1376" t="s">
        <v>1376</v>
      </c>
      <c r="B1376" s="1">
        <v>1</v>
      </c>
    </row>
    <row r="1377" spans="1:2" x14ac:dyDescent="0.25">
      <c r="A1377" t="s">
        <v>1377</v>
      </c>
      <c r="B1377" s="1">
        <v>1</v>
      </c>
    </row>
    <row r="1378" spans="1:2" x14ac:dyDescent="0.25">
      <c r="A1378" t="s">
        <v>1378</v>
      </c>
      <c r="B1378" s="1">
        <v>1</v>
      </c>
    </row>
    <row r="1379" spans="1:2" x14ac:dyDescent="0.25">
      <c r="A1379" t="s">
        <v>1379</v>
      </c>
      <c r="B1379" s="1">
        <v>1</v>
      </c>
    </row>
    <row r="1380" spans="1:2" x14ac:dyDescent="0.25">
      <c r="A1380" t="s">
        <v>1380</v>
      </c>
      <c r="B1380" s="1">
        <v>1</v>
      </c>
    </row>
    <row r="1381" spans="1:2" x14ac:dyDescent="0.25">
      <c r="A1381" t="s">
        <v>1381</v>
      </c>
      <c r="B1381" s="1">
        <v>1</v>
      </c>
    </row>
    <row r="1382" spans="1:2" x14ac:dyDescent="0.25">
      <c r="A1382" t="s">
        <v>1382</v>
      </c>
      <c r="B1382" s="1">
        <v>1</v>
      </c>
    </row>
    <row r="1383" spans="1:2" x14ac:dyDescent="0.25">
      <c r="A1383" t="s">
        <v>1383</v>
      </c>
      <c r="B1383" s="1">
        <v>1</v>
      </c>
    </row>
    <row r="1384" spans="1:2" x14ac:dyDescent="0.25">
      <c r="A1384" t="s">
        <v>1384</v>
      </c>
      <c r="B1384" s="1">
        <v>1</v>
      </c>
    </row>
    <row r="1385" spans="1:2" x14ac:dyDescent="0.25">
      <c r="A1385" t="s">
        <v>1385</v>
      </c>
      <c r="B1385" s="1">
        <v>1</v>
      </c>
    </row>
    <row r="1386" spans="1:2" x14ac:dyDescent="0.25">
      <c r="A1386" t="s">
        <v>1386</v>
      </c>
      <c r="B1386" s="1">
        <v>1</v>
      </c>
    </row>
    <row r="1387" spans="1:2" x14ac:dyDescent="0.25">
      <c r="A1387" t="s">
        <v>1387</v>
      </c>
      <c r="B1387" s="1">
        <v>1</v>
      </c>
    </row>
    <row r="1388" spans="1:2" x14ac:dyDescent="0.25">
      <c r="A1388" t="s">
        <v>1388</v>
      </c>
      <c r="B1388" s="1">
        <v>1</v>
      </c>
    </row>
    <row r="1389" spans="1:2" x14ac:dyDescent="0.25">
      <c r="A1389" t="s">
        <v>1389</v>
      </c>
      <c r="B1389" s="1">
        <v>1</v>
      </c>
    </row>
    <row r="1390" spans="1:2" x14ac:dyDescent="0.25">
      <c r="A1390" t="s">
        <v>1390</v>
      </c>
      <c r="B1390" s="1">
        <v>1</v>
      </c>
    </row>
    <row r="1391" spans="1:2" x14ac:dyDescent="0.25">
      <c r="A1391" t="s">
        <v>1391</v>
      </c>
      <c r="B1391" s="1">
        <v>1</v>
      </c>
    </row>
    <row r="1392" spans="1:2" x14ac:dyDescent="0.25">
      <c r="A1392" t="s">
        <v>1392</v>
      </c>
      <c r="B1392" s="1">
        <v>1</v>
      </c>
    </row>
    <row r="1393" spans="1:2" x14ac:dyDescent="0.25">
      <c r="A1393" t="s">
        <v>1393</v>
      </c>
      <c r="B1393" s="1">
        <v>1</v>
      </c>
    </row>
    <row r="1394" spans="1:2" x14ac:dyDescent="0.25">
      <c r="A1394" t="s">
        <v>1394</v>
      </c>
      <c r="B1394" s="1">
        <v>1</v>
      </c>
    </row>
    <row r="1395" spans="1:2" x14ac:dyDescent="0.25">
      <c r="A1395" t="s">
        <v>1395</v>
      </c>
      <c r="B1395" s="1">
        <v>1</v>
      </c>
    </row>
    <row r="1396" spans="1:2" x14ac:dyDescent="0.25">
      <c r="A1396" t="s">
        <v>1396</v>
      </c>
      <c r="B1396" s="1">
        <v>1</v>
      </c>
    </row>
    <row r="1397" spans="1:2" x14ac:dyDescent="0.25">
      <c r="A1397" t="s">
        <v>1397</v>
      </c>
      <c r="B1397" s="1">
        <v>1</v>
      </c>
    </row>
    <row r="1398" spans="1:2" x14ac:dyDescent="0.25">
      <c r="A1398" t="s">
        <v>1398</v>
      </c>
      <c r="B1398" s="1">
        <v>1</v>
      </c>
    </row>
    <row r="1399" spans="1:2" x14ac:dyDescent="0.25">
      <c r="A1399" t="s">
        <v>1399</v>
      </c>
      <c r="B1399" s="1">
        <v>1</v>
      </c>
    </row>
    <row r="1400" spans="1:2" x14ac:dyDescent="0.25">
      <c r="A1400" t="s">
        <v>1400</v>
      </c>
      <c r="B1400" s="1">
        <v>1</v>
      </c>
    </row>
    <row r="1401" spans="1:2" x14ac:dyDescent="0.25">
      <c r="A1401" t="s">
        <v>1401</v>
      </c>
      <c r="B1401" s="1">
        <v>1</v>
      </c>
    </row>
    <row r="1402" spans="1:2" x14ac:dyDescent="0.25">
      <c r="A1402" t="s">
        <v>1402</v>
      </c>
      <c r="B1402" s="1">
        <v>1</v>
      </c>
    </row>
    <row r="1403" spans="1:2" x14ac:dyDescent="0.25">
      <c r="A1403" t="s">
        <v>1403</v>
      </c>
      <c r="B1403" s="1">
        <v>1</v>
      </c>
    </row>
    <row r="1404" spans="1:2" x14ac:dyDescent="0.25">
      <c r="A1404" t="s">
        <v>1404</v>
      </c>
      <c r="B1404" s="1">
        <v>1</v>
      </c>
    </row>
    <row r="1405" spans="1:2" x14ac:dyDescent="0.25">
      <c r="A1405" t="s">
        <v>1405</v>
      </c>
      <c r="B1405" s="1">
        <v>1</v>
      </c>
    </row>
    <row r="1406" spans="1:2" x14ac:dyDescent="0.25">
      <c r="A1406" t="s">
        <v>1406</v>
      </c>
      <c r="B1406" s="1">
        <v>1</v>
      </c>
    </row>
    <row r="1407" spans="1:2" x14ac:dyDescent="0.25">
      <c r="A1407" t="s">
        <v>1407</v>
      </c>
      <c r="B1407" s="1">
        <v>1</v>
      </c>
    </row>
    <row r="1408" spans="1:2" x14ac:dyDescent="0.25">
      <c r="A1408" t="s">
        <v>1408</v>
      </c>
      <c r="B1408" s="1">
        <v>1</v>
      </c>
    </row>
    <row r="1409" spans="1:2" x14ac:dyDescent="0.25">
      <c r="A1409" t="s">
        <v>1409</v>
      </c>
      <c r="B1409" s="1">
        <v>1</v>
      </c>
    </row>
    <row r="1410" spans="1:2" x14ac:dyDescent="0.25">
      <c r="A1410" t="s">
        <v>1410</v>
      </c>
      <c r="B1410" s="1">
        <v>1</v>
      </c>
    </row>
    <row r="1411" spans="1:2" x14ac:dyDescent="0.25">
      <c r="A1411" t="s">
        <v>1411</v>
      </c>
      <c r="B1411" s="1">
        <v>1</v>
      </c>
    </row>
    <row r="1412" spans="1:2" x14ac:dyDescent="0.25">
      <c r="A1412" t="s">
        <v>1412</v>
      </c>
      <c r="B1412" s="1">
        <v>1</v>
      </c>
    </row>
    <row r="1413" spans="1:2" x14ac:dyDescent="0.25">
      <c r="A1413" t="s">
        <v>1413</v>
      </c>
      <c r="B1413" s="1">
        <v>1</v>
      </c>
    </row>
    <row r="1414" spans="1:2" x14ac:dyDescent="0.25">
      <c r="A1414" t="s">
        <v>1414</v>
      </c>
      <c r="B1414" s="1">
        <v>1</v>
      </c>
    </row>
    <row r="1415" spans="1:2" x14ac:dyDescent="0.25">
      <c r="A1415" t="s">
        <v>1415</v>
      </c>
      <c r="B1415" s="1">
        <v>1</v>
      </c>
    </row>
    <row r="1416" spans="1:2" x14ac:dyDescent="0.25">
      <c r="A1416" t="s">
        <v>1416</v>
      </c>
      <c r="B1416" s="1">
        <v>1</v>
      </c>
    </row>
    <row r="1417" spans="1:2" x14ac:dyDescent="0.25">
      <c r="A1417" t="s">
        <v>1417</v>
      </c>
      <c r="B1417" s="1">
        <v>1</v>
      </c>
    </row>
    <row r="1418" spans="1:2" x14ac:dyDescent="0.25">
      <c r="A1418" t="s">
        <v>1418</v>
      </c>
      <c r="B1418" s="1">
        <v>1</v>
      </c>
    </row>
    <row r="1419" spans="1:2" x14ac:dyDescent="0.25">
      <c r="A1419" t="s">
        <v>1419</v>
      </c>
      <c r="B1419" s="1">
        <v>1</v>
      </c>
    </row>
    <row r="1420" spans="1:2" x14ac:dyDescent="0.25">
      <c r="A1420" t="s">
        <v>1420</v>
      </c>
      <c r="B1420" s="1">
        <v>1</v>
      </c>
    </row>
    <row r="1421" spans="1:2" x14ac:dyDescent="0.25">
      <c r="A1421" t="s">
        <v>1421</v>
      </c>
      <c r="B1421" s="1">
        <v>1</v>
      </c>
    </row>
    <row r="1422" spans="1:2" x14ac:dyDescent="0.25">
      <c r="A1422" t="s">
        <v>1422</v>
      </c>
      <c r="B1422" s="1">
        <v>1</v>
      </c>
    </row>
    <row r="1423" spans="1:2" x14ac:dyDescent="0.25">
      <c r="A1423" t="s">
        <v>1423</v>
      </c>
      <c r="B1423" s="1">
        <v>1</v>
      </c>
    </row>
    <row r="1424" spans="1:2" x14ac:dyDescent="0.25">
      <c r="A1424" t="s">
        <v>1424</v>
      </c>
      <c r="B1424" s="1">
        <v>1</v>
      </c>
    </row>
    <row r="1425" spans="1:2" x14ac:dyDescent="0.25">
      <c r="A1425" t="s">
        <v>1425</v>
      </c>
      <c r="B1425" s="1">
        <v>1</v>
      </c>
    </row>
    <row r="1426" spans="1:2" x14ac:dyDescent="0.25">
      <c r="A1426" t="s">
        <v>1426</v>
      </c>
      <c r="B1426" s="1">
        <v>1</v>
      </c>
    </row>
    <row r="1427" spans="1:2" x14ac:dyDescent="0.25">
      <c r="A1427" t="s">
        <v>1427</v>
      </c>
      <c r="B1427" s="1">
        <v>1</v>
      </c>
    </row>
    <row r="1428" spans="1:2" x14ac:dyDescent="0.25">
      <c r="A1428" t="s">
        <v>1428</v>
      </c>
      <c r="B1428" s="1">
        <v>1</v>
      </c>
    </row>
    <row r="1429" spans="1:2" x14ac:dyDescent="0.25">
      <c r="A1429" t="s">
        <v>1429</v>
      </c>
      <c r="B1429" s="1">
        <v>1</v>
      </c>
    </row>
    <row r="1430" spans="1:2" x14ac:dyDescent="0.25">
      <c r="A1430" t="s">
        <v>1430</v>
      </c>
      <c r="B1430" s="1">
        <v>1</v>
      </c>
    </row>
    <row r="1431" spans="1:2" x14ac:dyDescent="0.25">
      <c r="A1431" t="s">
        <v>1431</v>
      </c>
      <c r="B1431" s="1">
        <v>1</v>
      </c>
    </row>
    <row r="1432" spans="1:2" x14ac:dyDescent="0.25">
      <c r="A1432" t="s">
        <v>1432</v>
      </c>
      <c r="B1432" s="1">
        <v>1</v>
      </c>
    </row>
    <row r="1433" spans="1:2" x14ac:dyDescent="0.25">
      <c r="A1433" t="s">
        <v>1433</v>
      </c>
      <c r="B1433" s="1">
        <v>1</v>
      </c>
    </row>
    <row r="1434" spans="1:2" x14ac:dyDescent="0.25">
      <c r="A1434" t="s">
        <v>1434</v>
      </c>
      <c r="B1434" s="1">
        <v>1</v>
      </c>
    </row>
    <row r="1435" spans="1:2" x14ac:dyDescent="0.25">
      <c r="A1435" t="s">
        <v>1435</v>
      </c>
      <c r="B1435" s="1">
        <v>1</v>
      </c>
    </row>
    <row r="1436" spans="1:2" x14ac:dyDescent="0.25">
      <c r="A1436" t="s">
        <v>1436</v>
      </c>
      <c r="B1436" s="1">
        <v>1</v>
      </c>
    </row>
    <row r="1437" spans="1:2" x14ac:dyDescent="0.25">
      <c r="A1437" t="s">
        <v>1437</v>
      </c>
      <c r="B1437" s="1">
        <v>1</v>
      </c>
    </row>
    <row r="1438" spans="1:2" x14ac:dyDescent="0.25">
      <c r="A1438" t="s">
        <v>1438</v>
      </c>
      <c r="B1438" s="1">
        <v>1</v>
      </c>
    </row>
    <row r="1439" spans="1:2" x14ac:dyDescent="0.25">
      <c r="A1439" t="s">
        <v>1439</v>
      </c>
      <c r="B1439" s="1">
        <v>1</v>
      </c>
    </row>
    <row r="1440" spans="1:2" x14ac:dyDescent="0.25">
      <c r="A1440" t="s">
        <v>1440</v>
      </c>
      <c r="B1440" s="1">
        <v>1</v>
      </c>
    </row>
    <row r="1441" spans="1:2" x14ac:dyDescent="0.25">
      <c r="A1441" t="s">
        <v>1441</v>
      </c>
      <c r="B1441" s="1">
        <v>1</v>
      </c>
    </row>
    <row r="1442" spans="1:2" x14ac:dyDescent="0.25">
      <c r="A1442" t="s">
        <v>1442</v>
      </c>
      <c r="B1442" s="1">
        <v>1</v>
      </c>
    </row>
    <row r="1443" spans="1:2" x14ac:dyDescent="0.25">
      <c r="A1443" t="s">
        <v>1443</v>
      </c>
      <c r="B1443" s="1">
        <v>1</v>
      </c>
    </row>
    <row r="1444" spans="1:2" x14ac:dyDescent="0.25">
      <c r="A1444" t="s">
        <v>1444</v>
      </c>
      <c r="B1444" s="1">
        <v>1</v>
      </c>
    </row>
    <row r="1445" spans="1:2" x14ac:dyDescent="0.25">
      <c r="A1445" t="s">
        <v>1445</v>
      </c>
      <c r="B1445" s="1">
        <v>1</v>
      </c>
    </row>
    <row r="1446" spans="1:2" x14ac:dyDescent="0.25">
      <c r="A1446" t="s">
        <v>1446</v>
      </c>
      <c r="B1446" s="1">
        <v>1</v>
      </c>
    </row>
    <row r="1447" spans="1:2" x14ac:dyDescent="0.25">
      <c r="A1447" t="s">
        <v>1447</v>
      </c>
      <c r="B1447" s="1">
        <v>1</v>
      </c>
    </row>
    <row r="1448" spans="1:2" x14ac:dyDescent="0.25">
      <c r="A1448" t="s">
        <v>1448</v>
      </c>
      <c r="B1448" s="1">
        <v>1</v>
      </c>
    </row>
    <row r="1449" spans="1:2" x14ac:dyDescent="0.25">
      <c r="A1449" t="s">
        <v>1449</v>
      </c>
      <c r="B1449" s="1">
        <v>1</v>
      </c>
    </row>
    <row r="1450" spans="1:2" x14ac:dyDescent="0.25">
      <c r="A1450" t="s">
        <v>1450</v>
      </c>
      <c r="B1450" s="1">
        <v>1</v>
      </c>
    </row>
    <row r="1451" spans="1:2" x14ac:dyDescent="0.25">
      <c r="A1451" t="s">
        <v>1451</v>
      </c>
      <c r="B1451" s="1">
        <v>1</v>
      </c>
    </row>
    <row r="1452" spans="1:2" x14ac:dyDescent="0.25">
      <c r="A1452" t="s">
        <v>1452</v>
      </c>
      <c r="B1452" s="1">
        <v>1</v>
      </c>
    </row>
    <row r="1453" spans="1:2" x14ac:dyDescent="0.25">
      <c r="A1453" t="s">
        <v>1453</v>
      </c>
      <c r="B1453" s="1">
        <v>1</v>
      </c>
    </row>
    <row r="1454" spans="1:2" x14ac:dyDescent="0.25">
      <c r="A1454" t="s">
        <v>1454</v>
      </c>
      <c r="B1454" s="1">
        <v>1</v>
      </c>
    </row>
    <row r="1455" spans="1:2" x14ac:dyDescent="0.25">
      <c r="A1455" t="s">
        <v>1455</v>
      </c>
      <c r="B1455" s="1">
        <v>1</v>
      </c>
    </row>
    <row r="1456" spans="1:2" x14ac:dyDescent="0.25">
      <c r="A1456" t="s">
        <v>1456</v>
      </c>
      <c r="B1456" s="1">
        <v>1</v>
      </c>
    </row>
    <row r="1457" spans="1:2" x14ac:dyDescent="0.25">
      <c r="A1457" t="s">
        <v>1457</v>
      </c>
      <c r="B1457" s="1">
        <v>1</v>
      </c>
    </row>
    <row r="1458" spans="1:2" x14ac:dyDescent="0.25">
      <c r="A1458" t="s">
        <v>1458</v>
      </c>
      <c r="B1458" s="1">
        <v>1</v>
      </c>
    </row>
    <row r="1459" spans="1:2" x14ac:dyDescent="0.25">
      <c r="A1459" t="s">
        <v>1459</v>
      </c>
      <c r="B1459" s="1">
        <v>1</v>
      </c>
    </row>
    <row r="1460" spans="1:2" x14ac:dyDescent="0.25">
      <c r="A1460" t="s">
        <v>1460</v>
      </c>
      <c r="B1460" s="1">
        <v>1</v>
      </c>
    </row>
    <row r="1461" spans="1:2" x14ac:dyDescent="0.25">
      <c r="A1461" t="s">
        <v>1461</v>
      </c>
      <c r="B1461" s="1">
        <v>1</v>
      </c>
    </row>
    <row r="1462" spans="1:2" x14ac:dyDescent="0.25">
      <c r="A1462" t="s">
        <v>1462</v>
      </c>
      <c r="B1462" s="1">
        <v>1</v>
      </c>
    </row>
    <row r="1463" spans="1:2" x14ac:dyDescent="0.25">
      <c r="A1463" t="s">
        <v>1463</v>
      </c>
      <c r="B1463" s="1">
        <v>1</v>
      </c>
    </row>
    <row r="1464" spans="1:2" x14ac:dyDescent="0.25">
      <c r="A1464" t="s">
        <v>1464</v>
      </c>
      <c r="B1464" s="1">
        <v>1</v>
      </c>
    </row>
    <row r="1465" spans="1:2" x14ac:dyDescent="0.25">
      <c r="A1465" t="s">
        <v>1465</v>
      </c>
      <c r="B1465" s="1">
        <v>1</v>
      </c>
    </row>
    <row r="1466" spans="1:2" x14ac:dyDescent="0.25">
      <c r="A1466" t="s">
        <v>1466</v>
      </c>
      <c r="B1466" s="1">
        <v>1</v>
      </c>
    </row>
    <row r="1467" spans="1:2" x14ac:dyDescent="0.25">
      <c r="A1467" t="s">
        <v>1467</v>
      </c>
      <c r="B1467" s="1">
        <v>1</v>
      </c>
    </row>
    <row r="1468" spans="1:2" x14ac:dyDescent="0.25">
      <c r="A1468" t="s">
        <v>1468</v>
      </c>
      <c r="B1468" s="1">
        <v>1</v>
      </c>
    </row>
    <row r="1469" spans="1:2" x14ac:dyDescent="0.25">
      <c r="A1469" t="s">
        <v>1469</v>
      </c>
      <c r="B1469" s="1">
        <v>1</v>
      </c>
    </row>
    <row r="1470" spans="1:2" x14ac:dyDescent="0.25">
      <c r="A1470" t="s">
        <v>1470</v>
      </c>
      <c r="B1470" s="1">
        <v>1</v>
      </c>
    </row>
    <row r="1471" spans="1:2" x14ac:dyDescent="0.25">
      <c r="A1471" t="s">
        <v>1471</v>
      </c>
      <c r="B1471" s="1">
        <v>1</v>
      </c>
    </row>
    <row r="1472" spans="1:2" x14ac:dyDescent="0.25">
      <c r="A1472" t="s">
        <v>1472</v>
      </c>
      <c r="B1472" s="1">
        <v>1</v>
      </c>
    </row>
    <row r="1473" spans="1:2" x14ac:dyDescent="0.25">
      <c r="A1473" t="s">
        <v>1473</v>
      </c>
      <c r="B1473" s="1">
        <v>1</v>
      </c>
    </row>
    <row r="1474" spans="1:2" x14ac:dyDescent="0.25">
      <c r="A1474" t="s">
        <v>1474</v>
      </c>
      <c r="B1474" s="1">
        <v>1</v>
      </c>
    </row>
    <row r="1475" spans="1:2" x14ac:dyDescent="0.25">
      <c r="A1475" t="s">
        <v>1475</v>
      </c>
      <c r="B1475" s="1">
        <v>1</v>
      </c>
    </row>
    <row r="1476" spans="1:2" x14ac:dyDescent="0.25">
      <c r="A1476" t="s">
        <v>1476</v>
      </c>
      <c r="B1476" s="1">
        <v>1</v>
      </c>
    </row>
    <row r="1477" spans="1:2" x14ac:dyDescent="0.25">
      <c r="A1477" t="s">
        <v>1477</v>
      </c>
      <c r="B1477" s="1">
        <v>1</v>
      </c>
    </row>
    <row r="1478" spans="1:2" x14ac:dyDescent="0.25">
      <c r="A1478" t="s">
        <v>1478</v>
      </c>
      <c r="B1478" s="1">
        <v>1</v>
      </c>
    </row>
    <row r="1479" spans="1:2" x14ac:dyDescent="0.25">
      <c r="A1479" t="s">
        <v>1479</v>
      </c>
      <c r="B1479" s="1">
        <v>1</v>
      </c>
    </row>
    <row r="1480" spans="1:2" x14ac:dyDescent="0.25">
      <c r="A1480" t="s">
        <v>1480</v>
      </c>
      <c r="B1480" s="1">
        <v>1</v>
      </c>
    </row>
    <row r="1481" spans="1:2" x14ac:dyDescent="0.25">
      <c r="A1481" t="s">
        <v>1481</v>
      </c>
      <c r="B1481" s="1">
        <v>1</v>
      </c>
    </row>
    <row r="1482" spans="1:2" x14ac:dyDescent="0.25">
      <c r="A1482" t="s">
        <v>1482</v>
      </c>
      <c r="B1482" s="1">
        <v>1</v>
      </c>
    </row>
    <row r="1483" spans="1:2" x14ac:dyDescent="0.25">
      <c r="A1483" t="s">
        <v>1483</v>
      </c>
      <c r="B1483" s="1">
        <v>1</v>
      </c>
    </row>
    <row r="1484" spans="1:2" x14ac:dyDescent="0.25">
      <c r="A1484" t="s">
        <v>1484</v>
      </c>
      <c r="B1484" s="1">
        <v>1</v>
      </c>
    </row>
    <row r="1485" spans="1:2" x14ac:dyDescent="0.25">
      <c r="A1485" t="s">
        <v>1485</v>
      </c>
      <c r="B1485" s="1">
        <v>1</v>
      </c>
    </row>
    <row r="1486" spans="1:2" x14ac:dyDescent="0.25">
      <c r="A1486" t="s">
        <v>1486</v>
      </c>
      <c r="B1486" s="1">
        <v>1</v>
      </c>
    </row>
    <row r="1487" spans="1:2" x14ac:dyDescent="0.25">
      <c r="A1487" t="s">
        <v>1487</v>
      </c>
      <c r="B1487" s="1">
        <v>1</v>
      </c>
    </row>
    <row r="1488" spans="1:2" x14ac:dyDescent="0.25">
      <c r="A1488" t="s">
        <v>1488</v>
      </c>
      <c r="B1488" s="1">
        <v>1</v>
      </c>
    </row>
    <row r="1489" spans="1:2" x14ac:dyDescent="0.25">
      <c r="A1489" t="s">
        <v>1489</v>
      </c>
      <c r="B1489" s="1">
        <v>1</v>
      </c>
    </row>
    <row r="1490" spans="1:2" x14ac:dyDescent="0.25">
      <c r="A1490" t="s">
        <v>1490</v>
      </c>
      <c r="B1490" s="1">
        <v>1</v>
      </c>
    </row>
    <row r="1491" spans="1:2" x14ac:dyDescent="0.25">
      <c r="A1491" t="s">
        <v>1491</v>
      </c>
      <c r="B1491" s="1">
        <v>1</v>
      </c>
    </row>
    <row r="1492" spans="1:2" x14ac:dyDescent="0.25">
      <c r="A1492" t="s">
        <v>1492</v>
      </c>
      <c r="B1492" s="1">
        <v>1</v>
      </c>
    </row>
    <row r="1493" spans="1:2" x14ac:dyDescent="0.25">
      <c r="A1493" t="s">
        <v>1493</v>
      </c>
      <c r="B1493" s="1">
        <v>1</v>
      </c>
    </row>
    <row r="1494" spans="1:2" x14ac:dyDescent="0.25">
      <c r="A1494" t="s">
        <v>1494</v>
      </c>
      <c r="B1494" s="1">
        <v>1</v>
      </c>
    </row>
    <row r="1495" spans="1:2" x14ac:dyDescent="0.25">
      <c r="A1495" t="s">
        <v>1495</v>
      </c>
      <c r="B1495" s="1">
        <v>1</v>
      </c>
    </row>
    <row r="1496" spans="1:2" x14ac:dyDescent="0.25">
      <c r="A1496" t="s">
        <v>1496</v>
      </c>
      <c r="B1496" s="1">
        <v>1</v>
      </c>
    </row>
    <row r="1497" spans="1:2" x14ac:dyDescent="0.25">
      <c r="A1497" t="s">
        <v>1497</v>
      </c>
      <c r="B1497" s="1">
        <v>1</v>
      </c>
    </row>
    <row r="1498" spans="1:2" x14ac:dyDescent="0.25">
      <c r="A1498" t="s">
        <v>1498</v>
      </c>
      <c r="B1498" s="1">
        <v>1</v>
      </c>
    </row>
    <row r="1499" spans="1:2" x14ac:dyDescent="0.25">
      <c r="A1499" t="s">
        <v>1499</v>
      </c>
      <c r="B1499" s="1">
        <v>1</v>
      </c>
    </row>
    <row r="1500" spans="1:2" x14ac:dyDescent="0.25">
      <c r="A1500" t="s">
        <v>1500</v>
      </c>
      <c r="B1500" s="1">
        <v>1</v>
      </c>
    </row>
    <row r="1501" spans="1:2" x14ac:dyDescent="0.25">
      <c r="A1501" t="s">
        <v>1501</v>
      </c>
      <c r="B1501" s="1">
        <v>1</v>
      </c>
    </row>
    <row r="1502" spans="1:2" x14ac:dyDescent="0.25">
      <c r="A1502" t="s">
        <v>1502</v>
      </c>
      <c r="B1502" s="1">
        <v>1</v>
      </c>
    </row>
    <row r="1503" spans="1:2" x14ac:dyDescent="0.25">
      <c r="A1503" t="s">
        <v>1503</v>
      </c>
      <c r="B1503" s="1">
        <v>1</v>
      </c>
    </row>
    <row r="1504" spans="1:2" x14ac:dyDescent="0.25">
      <c r="A1504" t="s">
        <v>1504</v>
      </c>
      <c r="B1504" s="1">
        <v>1</v>
      </c>
    </row>
    <row r="1505" spans="1:2" x14ac:dyDescent="0.25">
      <c r="A1505" t="s">
        <v>1505</v>
      </c>
      <c r="B1505" s="1">
        <v>1</v>
      </c>
    </row>
    <row r="1506" spans="1:2" x14ac:dyDescent="0.25">
      <c r="A1506" t="s">
        <v>1506</v>
      </c>
      <c r="B1506" s="1">
        <v>1</v>
      </c>
    </row>
    <row r="1507" spans="1:2" x14ac:dyDescent="0.25">
      <c r="A1507" t="s">
        <v>1507</v>
      </c>
      <c r="B1507" s="1">
        <v>1</v>
      </c>
    </row>
    <row r="1508" spans="1:2" x14ac:dyDescent="0.25">
      <c r="A1508" t="s">
        <v>1508</v>
      </c>
      <c r="B1508" s="1">
        <v>1</v>
      </c>
    </row>
    <row r="1509" spans="1:2" x14ac:dyDescent="0.25">
      <c r="A1509" t="s">
        <v>1509</v>
      </c>
      <c r="B1509" s="1">
        <v>1</v>
      </c>
    </row>
    <row r="1510" spans="1:2" x14ac:dyDescent="0.25">
      <c r="A1510" t="s">
        <v>1510</v>
      </c>
      <c r="B1510" s="1">
        <v>1</v>
      </c>
    </row>
    <row r="1511" spans="1:2" x14ac:dyDescent="0.25">
      <c r="A1511" t="s">
        <v>1511</v>
      </c>
      <c r="B1511" s="1">
        <v>1</v>
      </c>
    </row>
    <row r="1512" spans="1:2" x14ac:dyDescent="0.25">
      <c r="A1512" t="s">
        <v>1512</v>
      </c>
      <c r="B1512" s="1">
        <v>1</v>
      </c>
    </row>
    <row r="1513" spans="1:2" x14ac:dyDescent="0.25">
      <c r="A1513" t="s">
        <v>1513</v>
      </c>
      <c r="B1513" s="1">
        <v>1</v>
      </c>
    </row>
    <row r="1514" spans="1:2" x14ac:dyDescent="0.25">
      <c r="A1514" t="s">
        <v>1514</v>
      </c>
      <c r="B1514" s="1">
        <v>1</v>
      </c>
    </row>
    <row r="1515" spans="1:2" x14ac:dyDescent="0.25">
      <c r="A1515" t="s">
        <v>1515</v>
      </c>
      <c r="B1515" s="1">
        <v>1</v>
      </c>
    </row>
    <row r="1516" spans="1:2" x14ac:dyDescent="0.25">
      <c r="A1516" t="s">
        <v>1516</v>
      </c>
      <c r="B1516" s="1">
        <v>1</v>
      </c>
    </row>
    <row r="1517" spans="1:2" x14ac:dyDescent="0.25">
      <c r="A1517" t="s">
        <v>1517</v>
      </c>
      <c r="B1517" s="1">
        <v>1</v>
      </c>
    </row>
    <row r="1518" spans="1:2" x14ac:dyDescent="0.25">
      <c r="A1518" t="s">
        <v>1518</v>
      </c>
      <c r="B1518" s="1">
        <v>1</v>
      </c>
    </row>
    <row r="1519" spans="1:2" x14ac:dyDescent="0.25">
      <c r="A1519" t="s">
        <v>1519</v>
      </c>
      <c r="B1519" s="1">
        <v>1</v>
      </c>
    </row>
    <row r="1520" spans="1:2" x14ac:dyDescent="0.25">
      <c r="A1520" t="s">
        <v>1520</v>
      </c>
      <c r="B1520" s="1">
        <v>1</v>
      </c>
    </row>
    <row r="1521" spans="1:2" x14ac:dyDescent="0.25">
      <c r="A1521" t="s">
        <v>1521</v>
      </c>
      <c r="B1521" s="1">
        <v>1</v>
      </c>
    </row>
    <row r="1522" spans="1:2" x14ac:dyDescent="0.25">
      <c r="A1522" t="s">
        <v>1522</v>
      </c>
      <c r="B1522" s="1">
        <v>1</v>
      </c>
    </row>
    <row r="1523" spans="1:2" x14ac:dyDescent="0.25">
      <c r="A1523" t="s">
        <v>1523</v>
      </c>
      <c r="B1523" s="1">
        <v>1</v>
      </c>
    </row>
    <row r="1524" spans="1:2" x14ac:dyDescent="0.25">
      <c r="A1524" t="s">
        <v>1524</v>
      </c>
      <c r="B1524" s="1">
        <v>1</v>
      </c>
    </row>
    <row r="1525" spans="1:2" x14ac:dyDescent="0.25">
      <c r="A1525" t="s">
        <v>1525</v>
      </c>
      <c r="B1525" s="1">
        <v>1</v>
      </c>
    </row>
    <row r="1526" spans="1:2" x14ac:dyDescent="0.25">
      <c r="A1526" t="s">
        <v>1526</v>
      </c>
      <c r="B1526" s="1">
        <v>1</v>
      </c>
    </row>
    <row r="1527" spans="1:2" x14ac:dyDescent="0.25">
      <c r="A1527" t="s">
        <v>1527</v>
      </c>
      <c r="B1527" s="1">
        <v>1</v>
      </c>
    </row>
    <row r="1528" spans="1:2" x14ac:dyDescent="0.25">
      <c r="A1528" t="s">
        <v>1528</v>
      </c>
      <c r="B1528" s="1">
        <v>1</v>
      </c>
    </row>
    <row r="1529" spans="1:2" x14ac:dyDescent="0.25">
      <c r="A1529" t="s">
        <v>1529</v>
      </c>
      <c r="B1529" s="1">
        <v>1</v>
      </c>
    </row>
    <row r="1530" spans="1:2" x14ac:dyDescent="0.25">
      <c r="A1530" t="s">
        <v>1530</v>
      </c>
      <c r="B1530" s="1">
        <v>1</v>
      </c>
    </row>
    <row r="1531" spans="1:2" x14ac:dyDescent="0.25">
      <c r="A1531" t="s">
        <v>1531</v>
      </c>
      <c r="B1531" s="1">
        <v>1</v>
      </c>
    </row>
    <row r="1532" spans="1:2" x14ac:dyDescent="0.25">
      <c r="A1532" t="s">
        <v>1532</v>
      </c>
      <c r="B1532" s="1">
        <v>1</v>
      </c>
    </row>
    <row r="1533" spans="1:2" x14ac:dyDescent="0.25">
      <c r="A1533" t="s">
        <v>1533</v>
      </c>
      <c r="B1533" s="1">
        <v>1</v>
      </c>
    </row>
    <row r="1534" spans="1:2" x14ac:dyDescent="0.25">
      <c r="A1534" t="s">
        <v>1534</v>
      </c>
      <c r="B1534" s="1">
        <v>1</v>
      </c>
    </row>
    <row r="1535" spans="1:2" x14ac:dyDescent="0.25">
      <c r="A1535" t="s">
        <v>1535</v>
      </c>
      <c r="B1535" s="1">
        <v>1</v>
      </c>
    </row>
    <row r="1536" spans="1:2" x14ac:dyDescent="0.25">
      <c r="A1536" t="s">
        <v>1536</v>
      </c>
      <c r="B1536" s="1">
        <v>1</v>
      </c>
    </row>
    <row r="1537" spans="1:2" x14ac:dyDescent="0.25">
      <c r="A1537" t="s">
        <v>1537</v>
      </c>
      <c r="B1537" s="1">
        <v>1</v>
      </c>
    </row>
    <row r="1538" spans="1:2" x14ac:dyDescent="0.25">
      <c r="A1538" t="s">
        <v>1538</v>
      </c>
      <c r="B1538" s="1">
        <v>1</v>
      </c>
    </row>
    <row r="1539" spans="1:2" x14ac:dyDescent="0.25">
      <c r="A1539" t="s">
        <v>1539</v>
      </c>
      <c r="B1539" s="1">
        <v>1</v>
      </c>
    </row>
    <row r="1540" spans="1:2" x14ac:dyDescent="0.25">
      <c r="A1540" t="s">
        <v>1540</v>
      </c>
      <c r="B1540" s="1">
        <v>1</v>
      </c>
    </row>
    <row r="1541" spans="1:2" x14ac:dyDescent="0.25">
      <c r="A1541" t="s">
        <v>1541</v>
      </c>
      <c r="B1541" s="1">
        <v>1</v>
      </c>
    </row>
    <row r="1542" spans="1:2" x14ac:dyDescent="0.25">
      <c r="A1542" t="s">
        <v>1542</v>
      </c>
      <c r="B1542" s="1">
        <v>1</v>
      </c>
    </row>
    <row r="1543" spans="1:2" x14ac:dyDescent="0.25">
      <c r="A1543" t="s">
        <v>1543</v>
      </c>
      <c r="B1543" s="1">
        <v>1</v>
      </c>
    </row>
    <row r="1544" spans="1:2" x14ac:dyDescent="0.25">
      <c r="A1544" t="s">
        <v>1544</v>
      </c>
      <c r="B1544" s="1">
        <v>1</v>
      </c>
    </row>
    <row r="1545" spans="1:2" x14ac:dyDescent="0.25">
      <c r="A1545" t="s">
        <v>1545</v>
      </c>
      <c r="B1545" s="1">
        <v>1</v>
      </c>
    </row>
    <row r="1546" spans="1:2" x14ac:dyDescent="0.25">
      <c r="A1546" t="s">
        <v>1546</v>
      </c>
      <c r="B1546" s="1">
        <v>1</v>
      </c>
    </row>
    <row r="1547" spans="1:2" x14ac:dyDescent="0.25">
      <c r="A1547" t="s">
        <v>1547</v>
      </c>
      <c r="B1547" s="1">
        <v>1</v>
      </c>
    </row>
    <row r="1548" spans="1:2" x14ac:dyDescent="0.25">
      <c r="A1548" t="s">
        <v>1548</v>
      </c>
      <c r="B1548" s="1">
        <v>1</v>
      </c>
    </row>
    <row r="1549" spans="1:2" x14ac:dyDescent="0.25">
      <c r="A1549" t="s">
        <v>1549</v>
      </c>
      <c r="B1549" s="1">
        <v>1</v>
      </c>
    </row>
    <row r="1550" spans="1:2" x14ac:dyDescent="0.25">
      <c r="A1550" t="s">
        <v>1550</v>
      </c>
      <c r="B1550" s="1">
        <v>1</v>
      </c>
    </row>
    <row r="1551" spans="1:2" x14ac:dyDescent="0.25">
      <c r="A1551" t="s">
        <v>1551</v>
      </c>
      <c r="B1551" s="1">
        <v>1</v>
      </c>
    </row>
    <row r="1552" spans="1:2" x14ac:dyDescent="0.25">
      <c r="A1552" t="s">
        <v>1552</v>
      </c>
      <c r="B1552" s="1">
        <v>1</v>
      </c>
    </row>
    <row r="1553" spans="1:2" x14ac:dyDescent="0.25">
      <c r="A1553" t="s">
        <v>1553</v>
      </c>
      <c r="B1553" s="1">
        <v>1</v>
      </c>
    </row>
    <row r="1554" spans="1:2" x14ac:dyDescent="0.25">
      <c r="A1554" t="s">
        <v>1554</v>
      </c>
      <c r="B1554" s="1">
        <v>1</v>
      </c>
    </row>
    <row r="1555" spans="1:2" x14ac:dyDescent="0.25">
      <c r="A1555" t="s">
        <v>1555</v>
      </c>
      <c r="B1555" s="1">
        <v>1</v>
      </c>
    </row>
    <row r="1556" spans="1:2" x14ac:dyDescent="0.25">
      <c r="A1556" t="s">
        <v>1556</v>
      </c>
      <c r="B1556" s="1">
        <v>1</v>
      </c>
    </row>
    <row r="1557" spans="1:2" x14ac:dyDescent="0.25">
      <c r="A1557" t="s">
        <v>1557</v>
      </c>
      <c r="B1557" s="1">
        <v>1</v>
      </c>
    </row>
    <row r="1558" spans="1:2" x14ac:dyDescent="0.25">
      <c r="A1558" t="s">
        <v>1558</v>
      </c>
      <c r="B1558" s="1">
        <v>1</v>
      </c>
    </row>
    <row r="1559" spans="1:2" x14ac:dyDescent="0.25">
      <c r="A1559" t="s">
        <v>1559</v>
      </c>
      <c r="B1559" s="1">
        <v>1</v>
      </c>
    </row>
    <row r="1560" spans="1:2" x14ac:dyDescent="0.25">
      <c r="A1560" t="s">
        <v>1560</v>
      </c>
      <c r="B1560" s="1">
        <v>1</v>
      </c>
    </row>
    <row r="1561" spans="1:2" x14ac:dyDescent="0.25">
      <c r="A1561" t="s">
        <v>1561</v>
      </c>
      <c r="B1561" s="1">
        <v>1</v>
      </c>
    </row>
    <row r="1562" spans="1:2" x14ac:dyDescent="0.25">
      <c r="A1562" t="s">
        <v>1562</v>
      </c>
      <c r="B1562" s="1">
        <v>1</v>
      </c>
    </row>
    <row r="1563" spans="1:2" x14ac:dyDescent="0.25">
      <c r="A1563" t="s">
        <v>1563</v>
      </c>
      <c r="B1563" s="1">
        <v>1</v>
      </c>
    </row>
    <row r="1564" spans="1:2" x14ac:dyDescent="0.25">
      <c r="A1564" t="s">
        <v>1564</v>
      </c>
      <c r="B1564" s="1">
        <v>1</v>
      </c>
    </row>
    <row r="1565" spans="1:2" x14ac:dyDescent="0.25">
      <c r="A1565" t="s">
        <v>1565</v>
      </c>
      <c r="B1565" s="1">
        <v>1</v>
      </c>
    </row>
    <row r="1566" spans="1:2" x14ac:dyDescent="0.25">
      <c r="A1566" t="s">
        <v>1566</v>
      </c>
      <c r="B1566" s="1">
        <v>1</v>
      </c>
    </row>
    <row r="1567" spans="1:2" x14ac:dyDescent="0.25">
      <c r="A1567" t="s">
        <v>1567</v>
      </c>
      <c r="B1567" s="1">
        <v>1</v>
      </c>
    </row>
    <row r="1568" spans="1:2" x14ac:dyDescent="0.25">
      <c r="A1568" t="s">
        <v>1568</v>
      </c>
      <c r="B1568" s="1">
        <v>1</v>
      </c>
    </row>
    <row r="1569" spans="1:2" x14ac:dyDescent="0.25">
      <c r="A1569" t="s">
        <v>1569</v>
      </c>
      <c r="B1569" s="1">
        <v>1</v>
      </c>
    </row>
    <row r="1570" spans="1:2" x14ac:dyDescent="0.25">
      <c r="A1570" t="s">
        <v>1570</v>
      </c>
      <c r="B1570" s="1">
        <v>1</v>
      </c>
    </row>
    <row r="1571" spans="1:2" x14ac:dyDescent="0.25">
      <c r="A1571" t="s">
        <v>1571</v>
      </c>
      <c r="B1571" s="1">
        <v>1</v>
      </c>
    </row>
    <row r="1572" spans="1:2" x14ac:dyDescent="0.25">
      <c r="A1572" t="s">
        <v>1572</v>
      </c>
      <c r="B1572" s="1">
        <v>1</v>
      </c>
    </row>
    <row r="1573" spans="1:2" x14ac:dyDescent="0.25">
      <c r="A1573" t="s">
        <v>1573</v>
      </c>
      <c r="B1573" s="1">
        <v>1</v>
      </c>
    </row>
    <row r="1574" spans="1:2" x14ac:dyDescent="0.25">
      <c r="A1574" t="s">
        <v>1574</v>
      </c>
      <c r="B1574" s="1">
        <v>1</v>
      </c>
    </row>
    <row r="1575" spans="1:2" x14ac:dyDescent="0.25">
      <c r="A1575" t="s">
        <v>1575</v>
      </c>
      <c r="B1575" s="1">
        <v>1</v>
      </c>
    </row>
    <row r="1576" spans="1:2" x14ac:dyDescent="0.25">
      <c r="A1576" t="s">
        <v>1576</v>
      </c>
      <c r="B1576" s="1">
        <v>1</v>
      </c>
    </row>
    <row r="1577" spans="1:2" x14ac:dyDescent="0.25">
      <c r="A1577" t="s">
        <v>1577</v>
      </c>
      <c r="B1577" s="1">
        <v>1</v>
      </c>
    </row>
    <row r="1578" spans="1:2" x14ac:dyDescent="0.25">
      <c r="A1578" t="s">
        <v>1578</v>
      </c>
      <c r="B1578" s="1">
        <v>1</v>
      </c>
    </row>
    <row r="1579" spans="1:2" x14ac:dyDescent="0.25">
      <c r="A1579" t="s">
        <v>1579</v>
      </c>
      <c r="B1579" s="1">
        <v>1</v>
      </c>
    </row>
    <row r="1580" spans="1:2" x14ac:dyDescent="0.25">
      <c r="A1580" t="s">
        <v>1580</v>
      </c>
      <c r="B1580" s="1">
        <v>1</v>
      </c>
    </row>
    <row r="1581" spans="1:2" x14ac:dyDescent="0.25">
      <c r="A1581" t="s">
        <v>1581</v>
      </c>
      <c r="B1581" s="1">
        <v>1</v>
      </c>
    </row>
    <row r="1582" spans="1:2" x14ac:dyDescent="0.25">
      <c r="A1582" t="s">
        <v>1582</v>
      </c>
      <c r="B1582" s="1">
        <v>1</v>
      </c>
    </row>
    <row r="1583" spans="1:2" x14ac:dyDescent="0.25">
      <c r="A1583" t="s">
        <v>1583</v>
      </c>
      <c r="B1583" s="1">
        <v>1</v>
      </c>
    </row>
    <row r="1584" spans="1:2" x14ac:dyDescent="0.25">
      <c r="A1584" t="s">
        <v>1584</v>
      </c>
      <c r="B1584" s="1">
        <v>1</v>
      </c>
    </row>
    <row r="1585" spans="1:2" x14ac:dyDescent="0.25">
      <c r="A1585" t="s">
        <v>1585</v>
      </c>
      <c r="B1585" s="1">
        <v>1</v>
      </c>
    </row>
    <row r="1586" spans="1:2" x14ac:dyDescent="0.25">
      <c r="A1586" t="s">
        <v>1586</v>
      </c>
      <c r="B1586" s="1">
        <v>1</v>
      </c>
    </row>
    <row r="1587" spans="1:2" x14ac:dyDescent="0.25">
      <c r="A1587" t="s">
        <v>1587</v>
      </c>
      <c r="B1587" s="1">
        <v>1</v>
      </c>
    </row>
    <row r="1588" spans="1:2" x14ac:dyDescent="0.25">
      <c r="A1588" t="s">
        <v>1588</v>
      </c>
      <c r="B1588" s="1">
        <v>1</v>
      </c>
    </row>
    <row r="1589" spans="1:2" x14ac:dyDescent="0.25">
      <c r="A1589" t="s">
        <v>1589</v>
      </c>
      <c r="B1589" s="1">
        <v>1</v>
      </c>
    </row>
    <row r="1590" spans="1:2" x14ac:dyDescent="0.25">
      <c r="A1590" t="s">
        <v>1590</v>
      </c>
      <c r="B1590" s="1">
        <v>1</v>
      </c>
    </row>
    <row r="1591" spans="1:2" x14ac:dyDescent="0.25">
      <c r="A1591" t="s">
        <v>1591</v>
      </c>
      <c r="B1591" s="1">
        <v>1</v>
      </c>
    </row>
    <row r="1592" spans="1:2" x14ac:dyDescent="0.25">
      <c r="A1592" t="s">
        <v>1592</v>
      </c>
      <c r="B1592" s="1">
        <v>1</v>
      </c>
    </row>
    <row r="1593" spans="1:2" x14ac:dyDescent="0.25">
      <c r="A1593" t="s">
        <v>1593</v>
      </c>
      <c r="B1593" s="1">
        <v>1</v>
      </c>
    </row>
    <row r="1594" spans="1:2" x14ac:dyDescent="0.25">
      <c r="A1594" t="s">
        <v>1594</v>
      </c>
      <c r="B1594" s="1">
        <v>1</v>
      </c>
    </row>
    <row r="1595" spans="1:2" x14ac:dyDescent="0.25">
      <c r="A1595" t="s">
        <v>1595</v>
      </c>
      <c r="B1595" s="1">
        <v>1</v>
      </c>
    </row>
    <row r="1596" spans="1:2" x14ac:dyDescent="0.25">
      <c r="A1596" t="s">
        <v>1596</v>
      </c>
      <c r="B1596" s="1">
        <v>1</v>
      </c>
    </row>
    <row r="1597" spans="1:2" x14ac:dyDescent="0.25">
      <c r="A1597" t="s">
        <v>1597</v>
      </c>
      <c r="B1597" s="1">
        <v>1</v>
      </c>
    </row>
    <row r="1598" spans="1:2" x14ac:dyDescent="0.25">
      <c r="A1598" t="s">
        <v>1598</v>
      </c>
      <c r="B1598" s="1">
        <v>1</v>
      </c>
    </row>
    <row r="1599" spans="1:2" x14ac:dyDescent="0.25">
      <c r="A1599" t="s">
        <v>1599</v>
      </c>
      <c r="B1599" s="1">
        <v>1</v>
      </c>
    </row>
    <row r="1600" spans="1:2" x14ac:dyDescent="0.25">
      <c r="A1600" t="s">
        <v>1600</v>
      </c>
      <c r="B1600" s="1">
        <v>1</v>
      </c>
    </row>
    <row r="1601" spans="1:2" x14ac:dyDescent="0.25">
      <c r="A1601" t="s">
        <v>1601</v>
      </c>
      <c r="B1601" s="1">
        <v>1</v>
      </c>
    </row>
    <row r="1602" spans="1:2" x14ac:dyDescent="0.25">
      <c r="A1602" t="s">
        <v>1602</v>
      </c>
      <c r="B1602" s="1">
        <v>1</v>
      </c>
    </row>
    <row r="1603" spans="1:2" x14ac:dyDescent="0.25">
      <c r="A1603" t="s">
        <v>1603</v>
      </c>
      <c r="B1603" s="1">
        <v>1</v>
      </c>
    </row>
    <row r="1604" spans="1:2" x14ac:dyDescent="0.25">
      <c r="A1604" t="s">
        <v>1604</v>
      </c>
      <c r="B1604" s="1">
        <v>1</v>
      </c>
    </row>
    <row r="1605" spans="1:2" x14ac:dyDescent="0.25">
      <c r="A1605" t="s">
        <v>1605</v>
      </c>
      <c r="B1605" s="1">
        <v>1</v>
      </c>
    </row>
    <row r="1606" spans="1:2" x14ac:dyDescent="0.25">
      <c r="A1606" t="s">
        <v>1606</v>
      </c>
      <c r="B1606" s="1">
        <v>1</v>
      </c>
    </row>
    <row r="1607" spans="1:2" x14ac:dyDescent="0.25">
      <c r="A1607" t="s">
        <v>1607</v>
      </c>
      <c r="B1607" s="1">
        <v>1</v>
      </c>
    </row>
    <row r="1608" spans="1:2" x14ac:dyDescent="0.25">
      <c r="A1608" t="s">
        <v>1608</v>
      </c>
      <c r="B1608" s="1">
        <v>1</v>
      </c>
    </row>
    <row r="1609" spans="1:2" x14ac:dyDescent="0.25">
      <c r="A1609" t="s">
        <v>1609</v>
      </c>
      <c r="B1609" s="1">
        <v>1</v>
      </c>
    </row>
    <row r="1610" spans="1:2" x14ac:dyDescent="0.25">
      <c r="A1610" t="s">
        <v>1610</v>
      </c>
      <c r="B1610" s="1">
        <v>1</v>
      </c>
    </row>
    <row r="1611" spans="1:2" x14ac:dyDescent="0.25">
      <c r="A1611" t="s">
        <v>1611</v>
      </c>
      <c r="B1611" s="1">
        <v>1</v>
      </c>
    </row>
    <row r="1612" spans="1:2" x14ac:dyDescent="0.25">
      <c r="A1612" t="s">
        <v>1612</v>
      </c>
      <c r="B1612" s="1">
        <v>1</v>
      </c>
    </row>
    <row r="1613" spans="1:2" x14ac:dyDescent="0.25">
      <c r="A1613" t="s">
        <v>1613</v>
      </c>
      <c r="B1613" s="1">
        <v>1</v>
      </c>
    </row>
    <row r="1614" spans="1:2" x14ac:dyDescent="0.25">
      <c r="A1614" t="s">
        <v>1614</v>
      </c>
      <c r="B1614" s="1">
        <v>1</v>
      </c>
    </row>
    <row r="1615" spans="1:2" x14ac:dyDescent="0.25">
      <c r="A1615" t="s">
        <v>1615</v>
      </c>
      <c r="B1615" s="1">
        <v>1</v>
      </c>
    </row>
    <row r="1616" spans="1:2" x14ac:dyDescent="0.25">
      <c r="A1616" t="s">
        <v>1616</v>
      </c>
      <c r="B1616" s="1">
        <v>1</v>
      </c>
    </row>
    <row r="1617" spans="1:2" x14ac:dyDescent="0.25">
      <c r="A1617" t="s">
        <v>1617</v>
      </c>
      <c r="B1617" s="1">
        <v>1</v>
      </c>
    </row>
    <row r="1618" spans="1:2" x14ac:dyDescent="0.25">
      <c r="A1618" t="s">
        <v>1618</v>
      </c>
      <c r="B1618" s="1">
        <v>1</v>
      </c>
    </row>
    <row r="1619" spans="1:2" x14ac:dyDescent="0.25">
      <c r="A1619" t="s">
        <v>1619</v>
      </c>
      <c r="B1619" s="1">
        <v>1</v>
      </c>
    </row>
    <row r="1620" spans="1:2" x14ac:dyDescent="0.25">
      <c r="A1620" t="s">
        <v>1620</v>
      </c>
      <c r="B1620" s="1">
        <v>1</v>
      </c>
    </row>
    <row r="1621" spans="1:2" x14ac:dyDescent="0.25">
      <c r="A1621" t="s">
        <v>1621</v>
      </c>
      <c r="B1621" s="1">
        <v>1</v>
      </c>
    </row>
    <row r="1622" spans="1:2" x14ac:dyDescent="0.25">
      <c r="A1622" t="s">
        <v>1622</v>
      </c>
      <c r="B1622" s="1">
        <v>1</v>
      </c>
    </row>
    <row r="1623" spans="1:2" x14ac:dyDescent="0.25">
      <c r="A1623" t="s">
        <v>1623</v>
      </c>
      <c r="B1623" s="1">
        <v>1</v>
      </c>
    </row>
    <row r="1624" spans="1:2" x14ac:dyDescent="0.25">
      <c r="A1624" t="s">
        <v>1624</v>
      </c>
      <c r="B1624" s="1">
        <v>1</v>
      </c>
    </row>
    <row r="1625" spans="1:2" x14ac:dyDescent="0.25">
      <c r="A1625" t="s">
        <v>1625</v>
      </c>
      <c r="B1625" s="1">
        <v>1</v>
      </c>
    </row>
    <row r="1626" spans="1:2" x14ac:dyDescent="0.25">
      <c r="A1626" t="s">
        <v>1626</v>
      </c>
      <c r="B1626" s="1">
        <v>1</v>
      </c>
    </row>
    <row r="1627" spans="1:2" x14ac:dyDescent="0.25">
      <c r="A1627" t="s">
        <v>1627</v>
      </c>
      <c r="B1627" s="1">
        <v>1</v>
      </c>
    </row>
    <row r="1628" spans="1:2" x14ac:dyDescent="0.25">
      <c r="A1628" t="s">
        <v>1628</v>
      </c>
      <c r="B1628" s="1">
        <v>1</v>
      </c>
    </row>
    <row r="1629" spans="1:2" x14ac:dyDescent="0.25">
      <c r="A1629" t="s">
        <v>1629</v>
      </c>
      <c r="B1629" s="1">
        <v>1</v>
      </c>
    </row>
    <row r="1630" spans="1:2" x14ac:dyDescent="0.25">
      <c r="A1630" t="s">
        <v>1630</v>
      </c>
      <c r="B1630" s="1">
        <v>1</v>
      </c>
    </row>
    <row r="1631" spans="1:2" x14ac:dyDescent="0.25">
      <c r="A1631" t="s">
        <v>1631</v>
      </c>
      <c r="B1631" s="1">
        <v>1</v>
      </c>
    </row>
    <row r="1632" spans="1:2" x14ac:dyDescent="0.25">
      <c r="A1632" t="s">
        <v>1632</v>
      </c>
      <c r="B1632" s="1">
        <v>1</v>
      </c>
    </row>
    <row r="1633" spans="1:2" x14ac:dyDescent="0.25">
      <c r="A1633" t="s">
        <v>1633</v>
      </c>
      <c r="B1633" s="1">
        <v>1</v>
      </c>
    </row>
    <row r="1634" spans="1:2" x14ac:dyDescent="0.25">
      <c r="A1634" t="s">
        <v>1634</v>
      </c>
      <c r="B1634" s="1">
        <v>1</v>
      </c>
    </row>
    <row r="1635" spans="1:2" x14ac:dyDescent="0.25">
      <c r="A1635" t="s">
        <v>1635</v>
      </c>
      <c r="B1635" s="1">
        <v>1</v>
      </c>
    </row>
    <row r="1636" spans="1:2" x14ac:dyDescent="0.25">
      <c r="A1636" t="s">
        <v>1636</v>
      </c>
      <c r="B1636" s="1">
        <v>1</v>
      </c>
    </row>
    <row r="1637" spans="1:2" x14ac:dyDescent="0.25">
      <c r="A1637" t="s">
        <v>1637</v>
      </c>
      <c r="B1637" s="1">
        <v>1</v>
      </c>
    </row>
    <row r="1638" spans="1:2" x14ac:dyDescent="0.25">
      <c r="A1638" t="s">
        <v>1638</v>
      </c>
      <c r="B1638" s="1">
        <v>1</v>
      </c>
    </row>
    <row r="1639" spans="1:2" x14ac:dyDescent="0.25">
      <c r="A1639" t="s">
        <v>1639</v>
      </c>
      <c r="B1639" s="1">
        <v>1</v>
      </c>
    </row>
    <row r="1640" spans="1:2" x14ac:dyDescent="0.25">
      <c r="A1640" t="s">
        <v>1640</v>
      </c>
      <c r="B1640" s="1">
        <v>1</v>
      </c>
    </row>
    <row r="1641" spans="1:2" x14ac:dyDescent="0.25">
      <c r="A1641" t="s">
        <v>1641</v>
      </c>
      <c r="B1641" s="1">
        <v>1</v>
      </c>
    </row>
    <row r="1642" spans="1:2" x14ac:dyDescent="0.25">
      <c r="A1642" t="s">
        <v>1642</v>
      </c>
      <c r="B1642" s="1">
        <v>1</v>
      </c>
    </row>
    <row r="1643" spans="1:2" x14ac:dyDescent="0.25">
      <c r="A1643" t="s">
        <v>1643</v>
      </c>
      <c r="B1643" s="1">
        <v>1</v>
      </c>
    </row>
    <row r="1644" spans="1:2" x14ac:dyDescent="0.25">
      <c r="A1644" t="s">
        <v>1644</v>
      </c>
      <c r="B1644" s="1">
        <v>1</v>
      </c>
    </row>
    <row r="1645" spans="1:2" x14ac:dyDescent="0.25">
      <c r="A1645" t="s">
        <v>1645</v>
      </c>
      <c r="B1645" s="1">
        <v>1</v>
      </c>
    </row>
    <row r="1646" spans="1:2" x14ac:dyDescent="0.25">
      <c r="A1646" t="s">
        <v>1646</v>
      </c>
      <c r="B1646" s="1">
        <v>1</v>
      </c>
    </row>
    <row r="1647" spans="1:2" x14ac:dyDescent="0.25">
      <c r="A1647" t="s">
        <v>1647</v>
      </c>
      <c r="B1647" s="1">
        <v>1</v>
      </c>
    </row>
    <row r="1648" spans="1:2" x14ac:dyDescent="0.25">
      <c r="A1648" t="s">
        <v>1648</v>
      </c>
      <c r="B1648" s="1">
        <v>1</v>
      </c>
    </row>
    <row r="1649" spans="1:2" x14ac:dyDescent="0.25">
      <c r="A1649" t="s">
        <v>1649</v>
      </c>
      <c r="B1649" s="1">
        <v>1</v>
      </c>
    </row>
    <row r="1650" spans="1:2" x14ac:dyDescent="0.25">
      <c r="A1650" t="s">
        <v>1650</v>
      </c>
      <c r="B1650" s="1">
        <v>1</v>
      </c>
    </row>
    <row r="1651" spans="1:2" x14ac:dyDescent="0.25">
      <c r="A1651" t="s">
        <v>1651</v>
      </c>
      <c r="B1651" s="1">
        <v>1</v>
      </c>
    </row>
    <row r="1652" spans="1:2" x14ac:dyDescent="0.25">
      <c r="A1652" t="s">
        <v>1652</v>
      </c>
      <c r="B1652" s="1">
        <v>1</v>
      </c>
    </row>
    <row r="1653" spans="1:2" x14ac:dyDescent="0.25">
      <c r="A1653" t="s">
        <v>1653</v>
      </c>
      <c r="B1653" s="1">
        <v>1</v>
      </c>
    </row>
    <row r="1654" spans="1:2" x14ac:dyDescent="0.25">
      <c r="A1654" t="s">
        <v>1654</v>
      </c>
      <c r="B1654" s="1">
        <v>1</v>
      </c>
    </row>
    <row r="1655" spans="1:2" x14ac:dyDescent="0.25">
      <c r="A1655" t="s">
        <v>1655</v>
      </c>
      <c r="B1655" s="1">
        <v>1</v>
      </c>
    </row>
    <row r="1656" spans="1:2" x14ac:dyDescent="0.25">
      <c r="A1656" t="s">
        <v>1656</v>
      </c>
      <c r="B1656" s="1">
        <v>1</v>
      </c>
    </row>
    <row r="1657" spans="1:2" x14ac:dyDescent="0.25">
      <c r="A1657" t="s">
        <v>1657</v>
      </c>
      <c r="B1657" s="1">
        <v>1</v>
      </c>
    </row>
    <row r="1658" spans="1:2" x14ac:dyDescent="0.25">
      <c r="A1658" t="s">
        <v>1658</v>
      </c>
      <c r="B1658" s="1">
        <v>1</v>
      </c>
    </row>
    <row r="1659" spans="1:2" x14ac:dyDescent="0.25">
      <c r="A1659" t="s">
        <v>1659</v>
      </c>
      <c r="B1659" s="1">
        <v>1</v>
      </c>
    </row>
    <row r="1660" spans="1:2" x14ac:dyDescent="0.25">
      <c r="A1660" t="s">
        <v>1660</v>
      </c>
      <c r="B1660" s="1">
        <v>1</v>
      </c>
    </row>
    <row r="1661" spans="1:2" x14ac:dyDescent="0.25">
      <c r="A1661" t="s">
        <v>1661</v>
      </c>
      <c r="B1661" s="1">
        <v>1</v>
      </c>
    </row>
    <row r="1662" spans="1:2" x14ac:dyDescent="0.25">
      <c r="A1662" t="s">
        <v>1662</v>
      </c>
      <c r="B1662" s="1">
        <v>1</v>
      </c>
    </row>
    <row r="1663" spans="1:2" x14ac:dyDescent="0.25">
      <c r="A1663" t="s">
        <v>1663</v>
      </c>
      <c r="B1663" s="1">
        <v>1</v>
      </c>
    </row>
    <row r="1664" spans="1:2" x14ac:dyDescent="0.25">
      <c r="A1664" t="s">
        <v>1664</v>
      </c>
      <c r="B1664" s="1">
        <v>1</v>
      </c>
    </row>
    <row r="1665" spans="1:2" x14ac:dyDescent="0.25">
      <c r="A1665" t="s">
        <v>1665</v>
      </c>
      <c r="B1665" s="1">
        <v>1</v>
      </c>
    </row>
    <row r="1666" spans="1:2" x14ac:dyDescent="0.25">
      <c r="A1666" t="s">
        <v>1666</v>
      </c>
      <c r="B1666" s="1">
        <v>1</v>
      </c>
    </row>
    <row r="1667" spans="1:2" x14ac:dyDescent="0.25">
      <c r="A1667" t="s">
        <v>1667</v>
      </c>
      <c r="B1667" s="1">
        <v>1</v>
      </c>
    </row>
    <row r="1668" spans="1:2" x14ac:dyDescent="0.25">
      <c r="A1668" t="s">
        <v>1668</v>
      </c>
      <c r="B1668" s="1">
        <v>1</v>
      </c>
    </row>
    <row r="1669" spans="1:2" x14ac:dyDescent="0.25">
      <c r="A1669" t="s">
        <v>1669</v>
      </c>
      <c r="B1669" s="1">
        <v>1</v>
      </c>
    </row>
    <row r="1670" spans="1:2" x14ac:dyDescent="0.25">
      <c r="A1670" t="s">
        <v>1670</v>
      </c>
      <c r="B1670" s="1">
        <v>1</v>
      </c>
    </row>
    <row r="1671" spans="1:2" x14ac:dyDescent="0.25">
      <c r="A1671" t="s">
        <v>1671</v>
      </c>
      <c r="B1671" s="1">
        <v>1</v>
      </c>
    </row>
    <row r="1672" spans="1:2" x14ac:dyDescent="0.25">
      <c r="A1672" t="s">
        <v>1672</v>
      </c>
      <c r="B1672" s="1">
        <v>1</v>
      </c>
    </row>
    <row r="1673" spans="1:2" x14ac:dyDescent="0.25">
      <c r="A1673" t="s">
        <v>1673</v>
      </c>
      <c r="B1673" s="1">
        <v>1</v>
      </c>
    </row>
    <row r="1674" spans="1:2" x14ac:dyDescent="0.25">
      <c r="A1674" t="s">
        <v>1674</v>
      </c>
      <c r="B1674" s="1">
        <v>1</v>
      </c>
    </row>
    <row r="1675" spans="1:2" x14ac:dyDescent="0.25">
      <c r="A1675" t="s">
        <v>1675</v>
      </c>
      <c r="B1675" s="1">
        <v>1</v>
      </c>
    </row>
    <row r="1676" spans="1:2" x14ac:dyDescent="0.25">
      <c r="A1676" t="s">
        <v>1676</v>
      </c>
      <c r="B1676" s="1">
        <v>1</v>
      </c>
    </row>
    <row r="1677" spans="1:2" x14ac:dyDescent="0.25">
      <c r="A1677" t="s">
        <v>1677</v>
      </c>
      <c r="B1677" s="1">
        <v>1</v>
      </c>
    </row>
    <row r="1678" spans="1:2" x14ac:dyDescent="0.25">
      <c r="A1678" t="s">
        <v>1678</v>
      </c>
      <c r="B1678" s="1">
        <v>1</v>
      </c>
    </row>
    <row r="1679" spans="1:2" x14ac:dyDescent="0.25">
      <c r="A1679" t="s">
        <v>1679</v>
      </c>
      <c r="B1679" s="1">
        <v>1</v>
      </c>
    </row>
    <row r="1680" spans="1:2" x14ac:dyDescent="0.25">
      <c r="A1680" t="s">
        <v>1680</v>
      </c>
      <c r="B1680" s="1">
        <v>1</v>
      </c>
    </row>
    <row r="1681" spans="1:2" x14ac:dyDescent="0.25">
      <c r="A1681" t="s">
        <v>1681</v>
      </c>
      <c r="B1681" s="1">
        <v>1</v>
      </c>
    </row>
    <row r="1682" spans="1:2" x14ac:dyDescent="0.25">
      <c r="A1682" t="s">
        <v>1682</v>
      </c>
      <c r="B1682" s="1">
        <v>1</v>
      </c>
    </row>
    <row r="1683" spans="1:2" x14ac:dyDescent="0.25">
      <c r="A1683" t="s">
        <v>1683</v>
      </c>
      <c r="B1683" s="1">
        <v>1</v>
      </c>
    </row>
    <row r="1684" spans="1:2" x14ac:dyDescent="0.25">
      <c r="A1684" t="s">
        <v>1684</v>
      </c>
      <c r="B1684" s="1">
        <v>1</v>
      </c>
    </row>
    <row r="1685" spans="1:2" x14ac:dyDescent="0.25">
      <c r="A1685" t="s">
        <v>1685</v>
      </c>
      <c r="B1685" s="1">
        <v>1</v>
      </c>
    </row>
    <row r="1686" spans="1:2" x14ac:dyDescent="0.25">
      <c r="A1686" t="s">
        <v>1686</v>
      </c>
      <c r="B1686" s="1">
        <v>1</v>
      </c>
    </row>
    <row r="1687" spans="1:2" x14ac:dyDescent="0.25">
      <c r="A1687" t="s">
        <v>1687</v>
      </c>
      <c r="B1687" s="1">
        <v>1</v>
      </c>
    </row>
    <row r="1688" spans="1:2" x14ac:dyDescent="0.25">
      <c r="A1688" t="s">
        <v>1688</v>
      </c>
      <c r="B1688" s="1">
        <v>1</v>
      </c>
    </row>
    <row r="1689" spans="1:2" x14ac:dyDescent="0.25">
      <c r="A1689" t="s">
        <v>1689</v>
      </c>
      <c r="B1689" s="1">
        <v>1</v>
      </c>
    </row>
    <row r="1690" spans="1:2" x14ac:dyDescent="0.25">
      <c r="A1690" t="s">
        <v>1690</v>
      </c>
      <c r="B1690" s="1">
        <v>1</v>
      </c>
    </row>
    <row r="1691" spans="1:2" x14ac:dyDescent="0.25">
      <c r="A1691" t="s">
        <v>1691</v>
      </c>
      <c r="B1691" s="1">
        <v>1</v>
      </c>
    </row>
    <row r="1692" spans="1:2" x14ac:dyDescent="0.25">
      <c r="A1692" t="s">
        <v>1692</v>
      </c>
      <c r="B1692" s="1">
        <v>1</v>
      </c>
    </row>
    <row r="1693" spans="1:2" x14ac:dyDescent="0.25">
      <c r="A1693" t="s">
        <v>1693</v>
      </c>
      <c r="B1693" s="1">
        <v>1</v>
      </c>
    </row>
    <row r="1694" spans="1:2" x14ac:dyDescent="0.25">
      <c r="A1694" t="s">
        <v>1694</v>
      </c>
      <c r="B1694" s="1">
        <v>1</v>
      </c>
    </row>
    <row r="1695" spans="1:2" x14ac:dyDescent="0.25">
      <c r="A1695" t="s">
        <v>1695</v>
      </c>
      <c r="B1695" s="1">
        <v>1</v>
      </c>
    </row>
    <row r="1696" spans="1:2" x14ac:dyDescent="0.25">
      <c r="A1696" t="s">
        <v>1696</v>
      </c>
      <c r="B1696" s="1">
        <v>1</v>
      </c>
    </row>
    <row r="1697" spans="1:2" x14ac:dyDescent="0.25">
      <c r="A1697" t="s">
        <v>1697</v>
      </c>
      <c r="B1697" s="1">
        <v>1</v>
      </c>
    </row>
    <row r="1698" spans="1:2" x14ac:dyDescent="0.25">
      <c r="A1698" t="s">
        <v>1698</v>
      </c>
      <c r="B1698" s="1">
        <v>1</v>
      </c>
    </row>
    <row r="1699" spans="1:2" x14ac:dyDescent="0.25">
      <c r="A1699" t="s">
        <v>1699</v>
      </c>
      <c r="B1699" s="1">
        <v>1</v>
      </c>
    </row>
    <row r="1700" spans="1:2" x14ac:dyDescent="0.25">
      <c r="A1700" t="s">
        <v>1700</v>
      </c>
      <c r="B1700" s="1">
        <v>1</v>
      </c>
    </row>
    <row r="1701" spans="1:2" x14ac:dyDescent="0.25">
      <c r="A1701" t="s">
        <v>1701</v>
      </c>
      <c r="B1701" s="1">
        <v>1</v>
      </c>
    </row>
    <row r="1702" spans="1:2" x14ac:dyDescent="0.25">
      <c r="A1702" t="s">
        <v>1702</v>
      </c>
      <c r="B1702" s="1">
        <v>1</v>
      </c>
    </row>
    <row r="1703" spans="1:2" x14ac:dyDescent="0.25">
      <c r="A1703" t="s">
        <v>1703</v>
      </c>
      <c r="B1703" s="1">
        <v>1</v>
      </c>
    </row>
    <row r="1704" spans="1:2" x14ac:dyDescent="0.25">
      <c r="A1704" t="s">
        <v>1704</v>
      </c>
      <c r="B1704" s="1">
        <v>1</v>
      </c>
    </row>
    <row r="1705" spans="1:2" x14ac:dyDescent="0.25">
      <c r="A1705" t="s">
        <v>1705</v>
      </c>
      <c r="B1705" s="1">
        <v>1</v>
      </c>
    </row>
    <row r="1706" spans="1:2" x14ac:dyDescent="0.25">
      <c r="A1706" t="s">
        <v>1706</v>
      </c>
      <c r="B1706" s="1">
        <v>1</v>
      </c>
    </row>
    <row r="1707" spans="1:2" x14ac:dyDescent="0.25">
      <c r="A1707" t="s">
        <v>1707</v>
      </c>
      <c r="B1707" s="1">
        <v>1</v>
      </c>
    </row>
    <row r="1708" spans="1:2" x14ac:dyDescent="0.25">
      <c r="A1708" t="s">
        <v>1708</v>
      </c>
      <c r="B1708" s="1">
        <v>1</v>
      </c>
    </row>
    <row r="1709" spans="1:2" x14ac:dyDescent="0.25">
      <c r="A1709" t="s">
        <v>1709</v>
      </c>
      <c r="B1709" s="1">
        <v>1</v>
      </c>
    </row>
    <row r="1710" spans="1:2" x14ac:dyDescent="0.25">
      <c r="A1710" t="s">
        <v>1710</v>
      </c>
      <c r="B1710" s="1">
        <v>1</v>
      </c>
    </row>
    <row r="1711" spans="1:2" x14ac:dyDescent="0.25">
      <c r="A1711" t="s">
        <v>1711</v>
      </c>
      <c r="B1711" s="1">
        <v>1</v>
      </c>
    </row>
    <row r="1712" spans="1:2" x14ac:dyDescent="0.25">
      <c r="A1712" t="s">
        <v>1712</v>
      </c>
      <c r="B1712" s="1">
        <v>1</v>
      </c>
    </row>
    <row r="1713" spans="1:2" x14ac:dyDescent="0.25">
      <c r="A1713" t="s">
        <v>1713</v>
      </c>
      <c r="B1713" s="1">
        <v>1</v>
      </c>
    </row>
    <row r="1714" spans="1:2" x14ac:dyDescent="0.25">
      <c r="A1714" t="s">
        <v>1714</v>
      </c>
      <c r="B1714" s="1">
        <v>1</v>
      </c>
    </row>
    <row r="1715" spans="1:2" x14ac:dyDescent="0.25">
      <c r="A1715" t="s">
        <v>1715</v>
      </c>
      <c r="B1715" s="1">
        <v>1</v>
      </c>
    </row>
    <row r="1716" spans="1:2" x14ac:dyDescent="0.25">
      <c r="A1716" t="s">
        <v>1716</v>
      </c>
      <c r="B1716" s="1">
        <v>1</v>
      </c>
    </row>
    <row r="1717" spans="1:2" x14ac:dyDescent="0.25">
      <c r="A1717" t="s">
        <v>1717</v>
      </c>
      <c r="B1717" s="1">
        <v>1</v>
      </c>
    </row>
    <row r="1718" spans="1:2" x14ac:dyDescent="0.25">
      <c r="A1718" t="s">
        <v>1718</v>
      </c>
      <c r="B1718" s="1">
        <v>1</v>
      </c>
    </row>
    <row r="1719" spans="1:2" x14ac:dyDescent="0.25">
      <c r="A1719" t="s">
        <v>1719</v>
      </c>
      <c r="B1719" s="1">
        <v>1</v>
      </c>
    </row>
    <row r="1720" spans="1:2" x14ac:dyDescent="0.25">
      <c r="A1720" t="s">
        <v>1720</v>
      </c>
      <c r="B1720" s="1">
        <v>1</v>
      </c>
    </row>
    <row r="1721" spans="1:2" x14ac:dyDescent="0.25">
      <c r="A1721" t="s">
        <v>1721</v>
      </c>
      <c r="B1721" s="1">
        <v>1</v>
      </c>
    </row>
    <row r="1722" spans="1:2" x14ac:dyDescent="0.25">
      <c r="A1722" t="s">
        <v>1722</v>
      </c>
      <c r="B1722" s="1">
        <v>1</v>
      </c>
    </row>
    <row r="1723" spans="1:2" x14ac:dyDescent="0.25">
      <c r="A1723" t="s">
        <v>1723</v>
      </c>
      <c r="B1723" s="1">
        <v>1</v>
      </c>
    </row>
    <row r="1724" spans="1:2" x14ac:dyDescent="0.25">
      <c r="A1724" t="s">
        <v>1724</v>
      </c>
      <c r="B1724" s="1">
        <v>1</v>
      </c>
    </row>
    <row r="1725" spans="1:2" x14ac:dyDescent="0.25">
      <c r="A1725" t="s">
        <v>1725</v>
      </c>
      <c r="B1725" s="1">
        <v>1</v>
      </c>
    </row>
    <row r="1726" spans="1:2" x14ac:dyDescent="0.25">
      <c r="A1726" t="s">
        <v>1726</v>
      </c>
      <c r="B1726" s="1">
        <v>1</v>
      </c>
    </row>
    <row r="1727" spans="1:2" x14ac:dyDescent="0.25">
      <c r="A1727" t="s">
        <v>1727</v>
      </c>
      <c r="B1727" s="1">
        <v>1</v>
      </c>
    </row>
    <row r="1728" spans="1:2" x14ac:dyDescent="0.25">
      <c r="A1728" t="s">
        <v>1728</v>
      </c>
      <c r="B1728" s="1">
        <v>1</v>
      </c>
    </row>
    <row r="1729" spans="1:2" x14ac:dyDescent="0.25">
      <c r="A1729" t="s">
        <v>1729</v>
      </c>
      <c r="B1729" s="1">
        <v>1</v>
      </c>
    </row>
    <row r="1730" spans="1:2" x14ac:dyDescent="0.25">
      <c r="A1730" t="s">
        <v>1730</v>
      </c>
      <c r="B1730" s="1">
        <v>1</v>
      </c>
    </row>
    <row r="1731" spans="1:2" x14ac:dyDescent="0.25">
      <c r="A1731" t="s">
        <v>1731</v>
      </c>
      <c r="B1731" s="1">
        <v>1</v>
      </c>
    </row>
    <row r="1732" spans="1:2" x14ac:dyDescent="0.25">
      <c r="A1732" t="s">
        <v>1732</v>
      </c>
      <c r="B1732" s="1">
        <v>1</v>
      </c>
    </row>
    <row r="1733" spans="1:2" x14ac:dyDescent="0.25">
      <c r="A1733" t="s">
        <v>1733</v>
      </c>
      <c r="B1733" s="1">
        <v>1</v>
      </c>
    </row>
    <row r="1734" spans="1:2" x14ac:dyDescent="0.25">
      <c r="A1734" t="s">
        <v>1734</v>
      </c>
      <c r="B1734" s="1">
        <v>1</v>
      </c>
    </row>
    <row r="1735" spans="1:2" x14ac:dyDescent="0.25">
      <c r="A1735" t="s">
        <v>1735</v>
      </c>
      <c r="B1735" s="1">
        <v>1</v>
      </c>
    </row>
    <row r="1736" spans="1:2" x14ac:dyDescent="0.25">
      <c r="A1736" t="s">
        <v>1736</v>
      </c>
      <c r="B1736" s="1">
        <v>1</v>
      </c>
    </row>
    <row r="1737" spans="1:2" x14ac:dyDescent="0.25">
      <c r="A1737" t="s">
        <v>1737</v>
      </c>
      <c r="B1737" s="1">
        <v>1</v>
      </c>
    </row>
    <row r="1738" spans="1:2" x14ac:dyDescent="0.25">
      <c r="A1738" t="s">
        <v>1738</v>
      </c>
      <c r="B1738" s="1">
        <v>1</v>
      </c>
    </row>
    <row r="1739" spans="1:2" x14ac:dyDescent="0.25">
      <c r="A1739" t="s">
        <v>1739</v>
      </c>
      <c r="B1739" s="1">
        <v>1</v>
      </c>
    </row>
    <row r="1740" spans="1:2" x14ac:dyDescent="0.25">
      <c r="A1740" t="s">
        <v>1740</v>
      </c>
      <c r="B1740" s="1">
        <v>1</v>
      </c>
    </row>
    <row r="1741" spans="1:2" x14ac:dyDescent="0.25">
      <c r="A1741" t="s">
        <v>1741</v>
      </c>
      <c r="B1741" s="1">
        <v>1</v>
      </c>
    </row>
    <row r="1742" spans="1:2" x14ac:dyDescent="0.25">
      <c r="A1742" t="s">
        <v>1742</v>
      </c>
      <c r="B1742" s="1">
        <v>1</v>
      </c>
    </row>
    <row r="1743" spans="1:2" x14ac:dyDescent="0.25">
      <c r="A1743" t="s">
        <v>1743</v>
      </c>
      <c r="B1743" s="1">
        <v>1</v>
      </c>
    </row>
    <row r="1744" spans="1:2" x14ac:dyDescent="0.25">
      <c r="A1744" t="s">
        <v>1744</v>
      </c>
      <c r="B1744" s="1">
        <v>1</v>
      </c>
    </row>
    <row r="1745" spans="1:2" x14ac:dyDescent="0.25">
      <c r="A1745" t="s">
        <v>1745</v>
      </c>
      <c r="B1745" s="1">
        <v>1</v>
      </c>
    </row>
    <row r="1746" spans="1:2" x14ac:dyDescent="0.25">
      <c r="A1746" t="s">
        <v>1746</v>
      </c>
      <c r="B1746" s="1">
        <v>1</v>
      </c>
    </row>
    <row r="1747" spans="1:2" x14ac:dyDescent="0.25">
      <c r="A1747" t="s">
        <v>1747</v>
      </c>
      <c r="B1747" s="1">
        <v>1</v>
      </c>
    </row>
    <row r="1748" spans="1:2" x14ac:dyDescent="0.25">
      <c r="A1748" t="s">
        <v>1748</v>
      </c>
      <c r="B1748" s="1">
        <v>1</v>
      </c>
    </row>
    <row r="1749" spans="1:2" x14ac:dyDescent="0.25">
      <c r="A1749" t="s">
        <v>1749</v>
      </c>
      <c r="B1749" s="1">
        <v>1</v>
      </c>
    </row>
    <row r="1750" spans="1:2" x14ac:dyDescent="0.25">
      <c r="A1750" t="s">
        <v>1750</v>
      </c>
      <c r="B1750" s="1">
        <v>1</v>
      </c>
    </row>
    <row r="1751" spans="1:2" x14ac:dyDescent="0.25">
      <c r="A1751" t="s">
        <v>1751</v>
      </c>
      <c r="B1751" s="1">
        <v>1</v>
      </c>
    </row>
    <row r="1752" spans="1:2" x14ac:dyDescent="0.25">
      <c r="A1752" t="s">
        <v>1752</v>
      </c>
      <c r="B1752" s="1">
        <v>1</v>
      </c>
    </row>
    <row r="1753" spans="1:2" x14ac:dyDescent="0.25">
      <c r="A1753" t="s">
        <v>1753</v>
      </c>
      <c r="B1753" s="1">
        <v>1</v>
      </c>
    </row>
    <row r="1754" spans="1:2" x14ac:dyDescent="0.25">
      <c r="A1754" t="s">
        <v>1754</v>
      </c>
      <c r="B1754" s="1">
        <v>1</v>
      </c>
    </row>
    <row r="1755" spans="1:2" x14ac:dyDescent="0.25">
      <c r="A1755" t="s">
        <v>1755</v>
      </c>
      <c r="B1755" s="1">
        <v>1</v>
      </c>
    </row>
    <row r="1756" spans="1:2" x14ac:dyDescent="0.25">
      <c r="A1756" t="s">
        <v>1756</v>
      </c>
      <c r="B1756" s="1">
        <v>1</v>
      </c>
    </row>
    <row r="1757" spans="1:2" x14ac:dyDescent="0.25">
      <c r="A1757" t="s">
        <v>1757</v>
      </c>
      <c r="B1757" s="1">
        <v>1</v>
      </c>
    </row>
    <row r="1758" spans="1:2" x14ac:dyDescent="0.25">
      <c r="A1758" t="s">
        <v>1758</v>
      </c>
      <c r="B1758" s="1">
        <v>1</v>
      </c>
    </row>
    <row r="1759" spans="1:2" x14ac:dyDescent="0.25">
      <c r="A1759" t="s">
        <v>1759</v>
      </c>
      <c r="B1759" s="1">
        <v>1</v>
      </c>
    </row>
    <row r="1760" spans="1:2" x14ac:dyDescent="0.25">
      <c r="A1760" t="s">
        <v>1760</v>
      </c>
      <c r="B1760" s="1">
        <v>1</v>
      </c>
    </row>
    <row r="1761" spans="1:2" x14ac:dyDescent="0.25">
      <c r="A1761" t="s">
        <v>1761</v>
      </c>
      <c r="B1761" s="1">
        <v>1</v>
      </c>
    </row>
    <row r="1762" spans="1:2" x14ac:dyDescent="0.25">
      <c r="A1762" t="s">
        <v>1762</v>
      </c>
      <c r="B1762" s="1">
        <v>1</v>
      </c>
    </row>
    <row r="1763" spans="1:2" x14ac:dyDescent="0.25">
      <c r="A1763" t="s">
        <v>1763</v>
      </c>
      <c r="B1763" s="1">
        <v>1</v>
      </c>
    </row>
    <row r="1764" spans="1:2" x14ac:dyDescent="0.25">
      <c r="A1764" t="s">
        <v>1764</v>
      </c>
      <c r="B1764" s="1">
        <v>1</v>
      </c>
    </row>
    <row r="1765" spans="1:2" x14ac:dyDescent="0.25">
      <c r="A1765" t="s">
        <v>1765</v>
      </c>
      <c r="B1765" s="1">
        <v>1</v>
      </c>
    </row>
    <row r="1766" spans="1:2" x14ac:dyDescent="0.25">
      <c r="A1766" t="s">
        <v>1766</v>
      </c>
      <c r="B1766" s="1">
        <v>1</v>
      </c>
    </row>
    <row r="1767" spans="1:2" x14ac:dyDescent="0.25">
      <c r="A1767" t="s">
        <v>1767</v>
      </c>
      <c r="B1767" s="1">
        <v>1</v>
      </c>
    </row>
    <row r="1768" spans="1:2" x14ac:dyDescent="0.25">
      <c r="A1768" t="s">
        <v>1768</v>
      </c>
      <c r="B1768" s="1">
        <v>1</v>
      </c>
    </row>
    <row r="1769" spans="1:2" x14ac:dyDescent="0.25">
      <c r="A1769" t="s">
        <v>1769</v>
      </c>
      <c r="B1769" s="1">
        <v>1</v>
      </c>
    </row>
    <row r="1770" spans="1:2" x14ac:dyDescent="0.25">
      <c r="A1770" t="s">
        <v>1770</v>
      </c>
      <c r="B1770" s="1">
        <v>1</v>
      </c>
    </row>
    <row r="1771" spans="1:2" x14ac:dyDescent="0.25">
      <c r="A1771" t="s">
        <v>1771</v>
      </c>
      <c r="B1771" s="1">
        <v>1</v>
      </c>
    </row>
    <row r="1772" spans="1:2" x14ac:dyDescent="0.25">
      <c r="A1772" t="s">
        <v>1772</v>
      </c>
      <c r="B1772" s="1">
        <v>1</v>
      </c>
    </row>
    <row r="1773" spans="1:2" x14ac:dyDescent="0.25">
      <c r="A1773" t="s">
        <v>1773</v>
      </c>
      <c r="B1773" s="1">
        <v>1</v>
      </c>
    </row>
    <row r="1774" spans="1:2" x14ac:dyDescent="0.25">
      <c r="A1774" t="s">
        <v>1774</v>
      </c>
      <c r="B1774" s="1">
        <v>1</v>
      </c>
    </row>
    <row r="1775" spans="1:2" x14ac:dyDescent="0.25">
      <c r="A1775" t="s">
        <v>1775</v>
      </c>
      <c r="B1775" s="1">
        <v>1</v>
      </c>
    </row>
    <row r="1776" spans="1:2" x14ac:dyDescent="0.25">
      <c r="A1776" t="s">
        <v>1776</v>
      </c>
      <c r="B1776" s="1">
        <v>1</v>
      </c>
    </row>
    <row r="1777" spans="1:2" x14ac:dyDescent="0.25">
      <c r="A1777" t="s">
        <v>1777</v>
      </c>
      <c r="B1777" s="1">
        <v>1</v>
      </c>
    </row>
    <row r="1778" spans="1:2" x14ac:dyDescent="0.25">
      <c r="A1778" t="s">
        <v>1778</v>
      </c>
      <c r="B1778" s="1">
        <v>1</v>
      </c>
    </row>
    <row r="1779" spans="1:2" x14ac:dyDescent="0.25">
      <c r="A1779" t="s">
        <v>1779</v>
      </c>
      <c r="B1779" s="1">
        <v>1</v>
      </c>
    </row>
    <row r="1780" spans="1:2" x14ac:dyDescent="0.25">
      <c r="A1780" t="s">
        <v>1780</v>
      </c>
      <c r="B1780" s="1">
        <v>1</v>
      </c>
    </row>
    <row r="1781" spans="1:2" x14ac:dyDescent="0.25">
      <c r="A1781" t="s">
        <v>1781</v>
      </c>
      <c r="B1781" s="1">
        <v>1</v>
      </c>
    </row>
    <row r="1782" spans="1:2" x14ac:dyDescent="0.25">
      <c r="A1782" t="s">
        <v>1782</v>
      </c>
      <c r="B1782" s="1">
        <v>1</v>
      </c>
    </row>
    <row r="1783" spans="1:2" x14ac:dyDescent="0.25">
      <c r="A1783" t="s">
        <v>1783</v>
      </c>
      <c r="B1783" s="1">
        <v>1</v>
      </c>
    </row>
    <row r="1784" spans="1:2" x14ac:dyDescent="0.25">
      <c r="A1784" t="s">
        <v>1784</v>
      </c>
      <c r="B1784" s="1">
        <v>1</v>
      </c>
    </row>
    <row r="1785" spans="1:2" x14ac:dyDescent="0.25">
      <c r="A1785" t="s">
        <v>1785</v>
      </c>
      <c r="B1785" s="1">
        <v>1</v>
      </c>
    </row>
    <row r="1786" spans="1:2" x14ac:dyDescent="0.25">
      <c r="A1786" t="s">
        <v>1786</v>
      </c>
      <c r="B1786" s="1">
        <v>1</v>
      </c>
    </row>
    <row r="1787" spans="1:2" x14ac:dyDescent="0.25">
      <c r="A1787" t="s">
        <v>1787</v>
      </c>
      <c r="B1787" s="1">
        <v>1</v>
      </c>
    </row>
    <row r="1788" spans="1:2" x14ac:dyDescent="0.25">
      <c r="A1788" t="s">
        <v>1788</v>
      </c>
      <c r="B1788" s="1">
        <v>1</v>
      </c>
    </row>
    <row r="1789" spans="1:2" x14ac:dyDescent="0.25">
      <c r="A1789" t="s">
        <v>1789</v>
      </c>
      <c r="B1789" s="1">
        <v>1</v>
      </c>
    </row>
    <row r="1790" spans="1:2" x14ac:dyDescent="0.25">
      <c r="A1790" t="s">
        <v>1790</v>
      </c>
      <c r="B1790" s="1">
        <v>1</v>
      </c>
    </row>
    <row r="1791" spans="1:2" x14ac:dyDescent="0.25">
      <c r="A1791" t="s">
        <v>1791</v>
      </c>
      <c r="B1791" s="1">
        <v>1</v>
      </c>
    </row>
    <row r="1792" spans="1:2" x14ac:dyDescent="0.25">
      <c r="A1792" t="s">
        <v>1792</v>
      </c>
      <c r="B1792" s="1">
        <v>1</v>
      </c>
    </row>
    <row r="1793" spans="1:2" x14ac:dyDescent="0.25">
      <c r="A1793" t="s">
        <v>1793</v>
      </c>
      <c r="B1793" s="1">
        <v>1</v>
      </c>
    </row>
    <row r="1794" spans="1:2" x14ac:dyDescent="0.25">
      <c r="A1794" t="s">
        <v>1794</v>
      </c>
      <c r="B1794" s="1">
        <v>1</v>
      </c>
    </row>
    <row r="1795" spans="1:2" x14ac:dyDescent="0.25">
      <c r="A1795" t="s">
        <v>1795</v>
      </c>
      <c r="B1795" s="1">
        <v>1</v>
      </c>
    </row>
    <row r="1796" spans="1:2" x14ac:dyDescent="0.25">
      <c r="A1796" t="s">
        <v>1796</v>
      </c>
      <c r="B1796" s="1">
        <v>1</v>
      </c>
    </row>
    <row r="1797" spans="1:2" x14ac:dyDescent="0.25">
      <c r="A1797" t="s">
        <v>1797</v>
      </c>
      <c r="B1797" s="1">
        <v>1</v>
      </c>
    </row>
    <row r="1798" spans="1:2" x14ac:dyDescent="0.25">
      <c r="A1798" t="s">
        <v>1798</v>
      </c>
      <c r="B1798" s="1">
        <v>1</v>
      </c>
    </row>
    <row r="1799" spans="1:2" x14ac:dyDescent="0.25">
      <c r="A1799" t="s">
        <v>1799</v>
      </c>
      <c r="B1799" s="1">
        <v>1</v>
      </c>
    </row>
    <row r="1800" spans="1:2" x14ac:dyDescent="0.25">
      <c r="A1800" t="s">
        <v>1800</v>
      </c>
      <c r="B1800" s="1">
        <v>1</v>
      </c>
    </row>
    <row r="1801" spans="1:2" x14ac:dyDescent="0.25">
      <c r="A1801" t="s">
        <v>1801</v>
      </c>
      <c r="B1801" s="1">
        <v>1</v>
      </c>
    </row>
    <row r="1802" spans="1:2" x14ac:dyDescent="0.25">
      <c r="A1802" t="s">
        <v>1802</v>
      </c>
      <c r="B1802" s="1">
        <v>1</v>
      </c>
    </row>
    <row r="1803" spans="1:2" x14ac:dyDescent="0.25">
      <c r="A1803" t="s">
        <v>1803</v>
      </c>
      <c r="B1803" s="1">
        <v>1</v>
      </c>
    </row>
    <row r="1804" spans="1:2" x14ac:dyDescent="0.25">
      <c r="A1804" t="s">
        <v>1804</v>
      </c>
      <c r="B1804" s="1">
        <v>1</v>
      </c>
    </row>
    <row r="1805" spans="1:2" x14ac:dyDescent="0.25">
      <c r="A1805" t="s">
        <v>1805</v>
      </c>
      <c r="B1805" s="1">
        <v>1</v>
      </c>
    </row>
    <row r="1806" spans="1:2" x14ac:dyDescent="0.25">
      <c r="A1806" t="s">
        <v>1806</v>
      </c>
      <c r="B1806" s="1">
        <v>1</v>
      </c>
    </row>
    <row r="1807" spans="1:2" x14ac:dyDescent="0.25">
      <c r="A1807" t="s">
        <v>1807</v>
      </c>
      <c r="B1807" s="1">
        <v>1</v>
      </c>
    </row>
    <row r="1808" spans="1:2" x14ac:dyDescent="0.25">
      <c r="A1808" t="s">
        <v>1808</v>
      </c>
      <c r="B1808" s="1">
        <v>1</v>
      </c>
    </row>
    <row r="1809" spans="1:2" x14ac:dyDescent="0.25">
      <c r="A1809" t="s">
        <v>1809</v>
      </c>
      <c r="B1809" s="1">
        <v>1</v>
      </c>
    </row>
    <row r="1810" spans="1:2" x14ac:dyDescent="0.25">
      <c r="A1810" t="s">
        <v>1810</v>
      </c>
      <c r="B1810" s="1">
        <v>1</v>
      </c>
    </row>
    <row r="1811" spans="1:2" x14ac:dyDescent="0.25">
      <c r="A1811" t="s">
        <v>1811</v>
      </c>
      <c r="B1811" s="1">
        <v>1</v>
      </c>
    </row>
    <row r="1812" spans="1:2" x14ac:dyDescent="0.25">
      <c r="A1812" t="s">
        <v>1812</v>
      </c>
      <c r="B1812" s="1">
        <v>1</v>
      </c>
    </row>
    <row r="1813" spans="1:2" x14ac:dyDescent="0.25">
      <c r="A1813" t="s">
        <v>1813</v>
      </c>
      <c r="B1813" s="1">
        <v>1</v>
      </c>
    </row>
    <row r="1814" spans="1:2" x14ac:dyDescent="0.25">
      <c r="A1814" t="s">
        <v>1814</v>
      </c>
      <c r="B1814" s="1">
        <v>1</v>
      </c>
    </row>
    <row r="1815" spans="1:2" x14ac:dyDescent="0.25">
      <c r="A1815" t="s">
        <v>1815</v>
      </c>
      <c r="B1815" s="1">
        <v>1</v>
      </c>
    </row>
    <row r="1816" spans="1:2" x14ac:dyDescent="0.25">
      <c r="A1816" t="s">
        <v>1816</v>
      </c>
      <c r="B1816" s="1">
        <v>1</v>
      </c>
    </row>
    <row r="1817" spans="1:2" x14ac:dyDescent="0.25">
      <c r="A1817" t="s">
        <v>1817</v>
      </c>
      <c r="B1817" s="1">
        <v>1</v>
      </c>
    </row>
    <row r="1818" spans="1:2" x14ac:dyDescent="0.25">
      <c r="A1818" t="s">
        <v>1818</v>
      </c>
      <c r="B1818" s="1">
        <v>1</v>
      </c>
    </row>
    <row r="1819" spans="1:2" x14ac:dyDescent="0.25">
      <c r="A1819" t="s">
        <v>1819</v>
      </c>
      <c r="B1819" s="1">
        <v>1</v>
      </c>
    </row>
    <row r="1820" spans="1:2" x14ac:dyDescent="0.25">
      <c r="A1820" t="s">
        <v>1820</v>
      </c>
      <c r="B1820" s="1">
        <v>1</v>
      </c>
    </row>
    <row r="1821" spans="1:2" x14ac:dyDescent="0.25">
      <c r="A1821" t="s">
        <v>1821</v>
      </c>
      <c r="B1821" s="1">
        <v>1</v>
      </c>
    </row>
    <row r="1822" spans="1:2" x14ac:dyDescent="0.25">
      <c r="A1822" t="s">
        <v>1822</v>
      </c>
      <c r="B1822" s="1">
        <v>1</v>
      </c>
    </row>
    <row r="1823" spans="1:2" x14ac:dyDescent="0.25">
      <c r="A1823" t="s">
        <v>1823</v>
      </c>
      <c r="B1823" s="1">
        <v>1</v>
      </c>
    </row>
    <row r="1824" spans="1:2" x14ac:dyDescent="0.25">
      <c r="A1824" t="s">
        <v>1824</v>
      </c>
      <c r="B1824" s="1">
        <v>1</v>
      </c>
    </row>
    <row r="1825" spans="1:2" x14ac:dyDescent="0.25">
      <c r="A1825" t="s">
        <v>1825</v>
      </c>
      <c r="B1825" s="1">
        <v>1</v>
      </c>
    </row>
    <row r="1826" spans="1:2" x14ac:dyDescent="0.25">
      <c r="A1826" t="s">
        <v>1826</v>
      </c>
      <c r="B1826" s="1">
        <v>1</v>
      </c>
    </row>
    <row r="1827" spans="1:2" x14ac:dyDescent="0.25">
      <c r="A1827" t="s">
        <v>1827</v>
      </c>
      <c r="B1827" s="1">
        <v>1</v>
      </c>
    </row>
    <row r="1828" spans="1:2" x14ac:dyDescent="0.25">
      <c r="A1828" t="s">
        <v>1828</v>
      </c>
      <c r="B1828" s="1">
        <v>1</v>
      </c>
    </row>
    <row r="1829" spans="1:2" x14ac:dyDescent="0.25">
      <c r="A1829" t="s">
        <v>1829</v>
      </c>
      <c r="B1829" s="1">
        <v>1</v>
      </c>
    </row>
    <row r="1830" spans="1:2" x14ac:dyDescent="0.25">
      <c r="A1830" t="s">
        <v>1830</v>
      </c>
      <c r="B1830" s="1">
        <v>1</v>
      </c>
    </row>
    <row r="1831" spans="1:2" x14ac:dyDescent="0.25">
      <c r="A1831" t="s">
        <v>1831</v>
      </c>
      <c r="B1831" s="1">
        <v>1</v>
      </c>
    </row>
    <row r="1832" spans="1:2" x14ac:dyDescent="0.25">
      <c r="A1832" t="s">
        <v>1832</v>
      </c>
      <c r="B1832" s="1">
        <v>1</v>
      </c>
    </row>
    <row r="1833" spans="1:2" x14ac:dyDescent="0.25">
      <c r="A1833" t="s">
        <v>1833</v>
      </c>
      <c r="B1833" s="1">
        <v>1</v>
      </c>
    </row>
    <row r="1834" spans="1:2" x14ac:dyDescent="0.25">
      <c r="A1834" t="s">
        <v>1834</v>
      </c>
      <c r="B1834" s="1">
        <v>1</v>
      </c>
    </row>
    <row r="1835" spans="1:2" x14ac:dyDescent="0.25">
      <c r="A1835" t="s">
        <v>1835</v>
      </c>
      <c r="B1835" s="1">
        <v>1</v>
      </c>
    </row>
    <row r="1836" spans="1:2" x14ac:dyDescent="0.25">
      <c r="A1836" t="s">
        <v>1836</v>
      </c>
      <c r="B1836" s="1">
        <v>1</v>
      </c>
    </row>
    <row r="1837" spans="1:2" x14ac:dyDescent="0.25">
      <c r="A1837" t="s">
        <v>1837</v>
      </c>
      <c r="B1837" s="1">
        <v>1</v>
      </c>
    </row>
    <row r="1838" spans="1:2" x14ac:dyDescent="0.25">
      <c r="A1838" t="s">
        <v>1838</v>
      </c>
      <c r="B1838" s="1">
        <v>1</v>
      </c>
    </row>
    <row r="1839" spans="1:2" x14ac:dyDescent="0.25">
      <c r="A1839" t="s">
        <v>1839</v>
      </c>
      <c r="B1839" s="1">
        <v>1</v>
      </c>
    </row>
    <row r="1840" spans="1:2" x14ac:dyDescent="0.25">
      <c r="A1840" t="s">
        <v>1840</v>
      </c>
      <c r="B1840" s="1">
        <v>1</v>
      </c>
    </row>
    <row r="1841" spans="1:2" x14ac:dyDescent="0.25">
      <c r="A1841" t="s">
        <v>1841</v>
      </c>
      <c r="B1841" s="1">
        <v>1</v>
      </c>
    </row>
    <row r="1842" spans="1:2" x14ac:dyDescent="0.25">
      <c r="A1842" t="s">
        <v>1842</v>
      </c>
      <c r="B1842" s="1">
        <v>1</v>
      </c>
    </row>
    <row r="1843" spans="1:2" x14ac:dyDescent="0.25">
      <c r="A1843" t="s">
        <v>1843</v>
      </c>
      <c r="B1843" s="1">
        <v>1</v>
      </c>
    </row>
    <row r="1844" spans="1:2" x14ac:dyDescent="0.25">
      <c r="A1844" t="s">
        <v>1844</v>
      </c>
      <c r="B1844" s="1">
        <v>1</v>
      </c>
    </row>
    <row r="1845" spans="1:2" x14ac:dyDescent="0.25">
      <c r="A1845" t="s">
        <v>1845</v>
      </c>
      <c r="B1845" s="1">
        <v>1</v>
      </c>
    </row>
    <row r="1846" spans="1:2" x14ac:dyDescent="0.25">
      <c r="A1846" t="s">
        <v>1846</v>
      </c>
      <c r="B1846" s="1">
        <v>1.1100000000000001</v>
      </c>
    </row>
    <row r="1847" spans="1:2" x14ac:dyDescent="0.25">
      <c r="A1847" t="s">
        <v>1847</v>
      </c>
      <c r="B1847" s="1">
        <v>1.28</v>
      </c>
    </row>
    <row r="1848" spans="1:2" x14ac:dyDescent="0.25">
      <c r="A1848" t="s">
        <v>1848</v>
      </c>
      <c r="B1848" s="1">
        <v>1.5</v>
      </c>
    </row>
    <row r="1849" spans="1:2" x14ac:dyDescent="0.25">
      <c r="A1849" t="s">
        <v>1849</v>
      </c>
      <c r="B1849" s="1">
        <v>1.65</v>
      </c>
    </row>
    <row r="1850" spans="1:2" x14ac:dyDescent="0.25">
      <c r="A1850" t="s">
        <v>1850</v>
      </c>
      <c r="B1850" s="1">
        <v>2</v>
      </c>
    </row>
    <row r="1851" spans="1:2" x14ac:dyDescent="0.25">
      <c r="A1851" t="s">
        <v>1851</v>
      </c>
      <c r="B1851" s="1">
        <v>2</v>
      </c>
    </row>
    <row r="1852" spans="1:2" x14ac:dyDescent="0.25">
      <c r="A1852" t="s">
        <v>1852</v>
      </c>
      <c r="B1852" s="1">
        <v>2</v>
      </c>
    </row>
    <row r="1853" spans="1:2" x14ac:dyDescent="0.25">
      <c r="A1853" t="s">
        <v>1853</v>
      </c>
      <c r="B1853" s="1">
        <v>2</v>
      </c>
    </row>
    <row r="1854" spans="1:2" x14ac:dyDescent="0.25">
      <c r="A1854" t="s">
        <v>1854</v>
      </c>
      <c r="B1854" s="1">
        <v>2</v>
      </c>
    </row>
    <row r="1855" spans="1:2" x14ac:dyDescent="0.25">
      <c r="A1855" t="s">
        <v>1855</v>
      </c>
      <c r="B1855" s="1">
        <v>2</v>
      </c>
    </row>
    <row r="1856" spans="1:2" x14ac:dyDescent="0.25">
      <c r="A1856" t="s">
        <v>1856</v>
      </c>
      <c r="B1856" s="1">
        <v>2</v>
      </c>
    </row>
    <row r="1857" spans="1:2" x14ac:dyDescent="0.25">
      <c r="A1857" t="s">
        <v>1857</v>
      </c>
      <c r="B1857" s="1">
        <v>2</v>
      </c>
    </row>
    <row r="1858" spans="1:2" x14ac:dyDescent="0.25">
      <c r="A1858" t="s">
        <v>1858</v>
      </c>
      <c r="B1858" s="1">
        <v>2</v>
      </c>
    </row>
    <row r="1859" spans="1:2" x14ac:dyDescent="0.25">
      <c r="A1859" t="s">
        <v>1859</v>
      </c>
      <c r="B1859" s="1">
        <v>2</v>
      </c>
    </row>
    <row r="1860" spans="1:2" x14ac:dyDescent="0.25">
      <c r="A1860" t="s">
        <v>1860</v>
      </c>
      <c r="B1860" s="1">
        <v>2</v>
      </c>
    </row>
    <row r="1861" spans="1:2" x14ac:dyDescent="0.25">
      <c r="A1861" t="s">
        <v>1861</v>
      </c>
      <c r="B1861" s="1">
        <v>2</v>
      </c>
    </row>
    <row r="1862" spans="1:2" x14ac:dyDescent="0.25">
      <c r="A1862" t="s">
        <v>1862</v>
      </c>
      <c r="B1862" s="1">
        <v>2</v>
      </c>
    </row>
    <row r="1863" spans="1:2" x14ac:dyDescent="0.25">
      <c r="A1863" t="s">
        <v>1863</v>
      </c>
      <c r="B1863" s="1">
        <v>2</v>
      </c>
    </row>
    <row r="1864" spans="1:2" x14ac:dyDescent="0.25">
      <c r="A1864" t="s">
        <v>1864</v>
      </c>
      <c r="B1864" s="1">
        <v>2</v>
      </c>
    </row>
    <row r="1865" spans="1:2" x14ac:dyDescent="0.25">
      <c r="A1865" t="s">
        <v>1865</v>
      </c>
      <c r="B1865" s="1">
        <v>2</v>
      </c>
    </row>
    <row r="1866" spans="1:2" x14ac:dyDescent="0.25">
      <c r="A1866" t="s">
        <v>1866</v>
      </c>
      <c r="B1866" s="1">
        <v>2</v>
      </c>
    </row>
    <row r="1867" spans="1:2" x14ac:dyDescent="0.25">
      <c r="A1867" t="s">
        <v>1867</v>
      </c>
      <c r="B1867" s="1">
        <v>2</v>
      </c>
    </row>
    <row r="1868" spans="1:2" x14ac:dyDescent="0.25">
      <c r="A1868" t="s">
        <v>1868</v>
      </c>
      <c r="B1868" s="1">
        <v>2</v>
      </c>
    </row>
    <row r="1869" spans="1:2" x14ac:dyDescent="0.25">
      <c r="A1869" t="s">
        <v>1869</v>
      </c>
      <c r="B1869" s="1">
        <v>2</v>
      </c>
    </row>
    <row r="1870" spans="1:2" x14ac:dyDescent="0.25">
      <c r="A1870" t="s">
        <v>1870</v>
      </c>
      <c r="B1870" s="1">
        <v>2</v>
      </c>
    </row>
    <row r="1871" spans="1:2" x14ac:dyDescent="0.25">
      <c r="A1871" t="s">
        <v>1871</v>
      </c>
      <c r="B1871" s="1">
        <v>2</v>
      </c>
    </row>
    <row r="1872" spans="1:2" x14ac:dyDescent="0.25">
      <c r="A1872" t="s">
        <v>1872</v>
      </c>
      <c r="B1872" s="1">
        <v>2</v>
      </c>
    </row>
    <row r="1873" spans="1:2" x14ac:dyDescent="0.25">
      <c r="A1873" t="s">
        <v>1873</v>
      </c>
      <c r="B1873" s="1">
        <v>2</v>
      </c>
    </row>
    <row r="1874" spans="1:2" x14ac:dyDescent="0.25">
      <c r="A1874" t="s">
        <v>1874</v>
      </c>
      <c r="B1874" s="1">
        <v>2</v>
      </c>
    </row>
    <row r="1875" spans="1:2" x14ac:dyDescent="0.25">
      <c r="A1875" t="s">
        <v>1875</v>
      </c>
      <c r="B1875" s="1">
        <v>2</v>
      </c>
    </row>
    <row r="1876" spans="1:2" x14ac:dyDescent="0.25">
      <c r="A1876" t="s">
        <v>1876</v>
      </c>
      <c r="B1876" s="1">
        <v>2</v>
      </c>
    </row>
    <row r="1877" spans="1:2" x14ac:dyDescent="0.25">
      <c r="A1877" t="s">
        <v>1877</v>
      </c>
      <c r="B1877" s="1">
        <v>2</v>
      </c>
    </row>
    <row r="1878" spans="1:2" x14ac:dyDescent="0.25">
      <c r="A1878" t="s">
        <v>1878</v>
      </c>
      <c r="B1878" s="1">
        <v>2</v>
      </c>
    </row>
    <row r="1879" spans="1:2" x14ac:dyDescent="0.25">
      <c r="A1879" t="s">
        <v>1879</v>
      </c>
      <c r="B1879" s="1">
        <v>2</v>
      </c>
    </row>
    <row r="1880" spans="1:2" x14ac:dyDescent="0.25">
      <c r="A1880" t="s">
        <v>1880</v>
      </c>
      <c r="B1880" s="1">
        <v>2</v>
      </c>
    </row>
    <row r="1881" spans="1:2" x14ac:dyDescent="0.25">
      <c r="A1881" t="s">
        <v>1881</v>
      </c>
      <c r="B1881" s="1">
        <v>2</v>
      </c>
    </row>
    <row r="1882" spans="1:2" x14ac:dyDescent="0.25">
      <c r="A1882" t="s">
        <v>1882</v>
      </c>
      <c r="B1882" s="1">
        <v>2</v>
      </c>
    </row>
    <row r="1883" spans="1:2" x14ac:dyDescent="0.25">
      <c r="A1883" t="s">
        <v>1883</v>
      </c>
      <c r="B1883" s="1">
        <v>2</v>
      </c>
    </row>
    <row r="1884" spans="1:2" x14ac:dyDescent="0.25">
      <c r="A1884" t="s">
        <v>1884</v>
      </c>
      <c r="B1884" s="1">
        <v>2</v>
      </c>
    </row>
    <row r="1885" spans="1:2" x14ac:dyDescent="0.25">
      <c r="A1885" t="s">
        <v>1885</v>
      </c>
      <c r="B1885" s="1">
        <v>2</v>
      </c>
    </row>
    <row r="1886" spans="1:2" x14ac:dyDescent="0.25">
      <c r="A1886" t="s">
        <v>1886</v>
      </c>
      <c r="B1886" s="1">
        <v>2</v>
      </c>
    </row>
    <row r="1887" spans="1:2" x14ac:dyDescent="0.25">
      <c r="A1887" t="s">
        <v>1887</v>
      </c>
      <c r="B1887" s="1">
        <v>2</v>
      </c>
    </row>
    <row r="1888" spans="1:2" x14ac:dyDescent="0.25">
      <c r="A1888" t="s">
        <v>1888</v>
      </c>
      <c r="B1888" s="1">
        <v>2</v>
      </c>
    </row>
    <row r="1889" spans="1:2" x14ac:dyDescent="0.25">
      <c r="A1889" t="s">
        <v>1889</v>
      </c>
      <c r="B1889" s="1">
        <v>2</v>
      </c>
    </row>
    <row r="1890" spans="1:2" x14ac:dyDescent="0.25">
      <c r="A1890" t="s">
        <v>1890</v>
      </c>
      <c r="B1890" s="1">
        <v>2</v>
      </c>
    </row>
    <row r="1891" spans="1:2" x14ac:dyDescent="0.25">
      <c r="A1891" t="s">
        <v>1891</v>
      </c>
      <c r="B1891" s="1">
        <v>2</v>
      </c>
    </row>
    <row r="1892" spans="1:2" x14ac:dyDescent="0.25">
      <c r="A1892" t="s">
        <v>1892</v>
      </c>
      <c r="B1892" s="1">
        <v>2</v>
      </c>
    </row>
    <row r="1893" spans="1:2" x14ac:dyDescent="0.25">
      <c r="A1893" t="s">
        <v>1893</v>
      </c>
      <c r="B1893" s="1">
        <v>2</v>
      </c>
    </row>
    <row r="1894" spans="1:2" x14ac:dyDescent="0.25">
      <c r="A1894" t="s">
        <v>1894</v>
      </c>
      <c r="B1894" s="1">
        <v>2</v>
      </c>
    </row>
    <row r="1895" spans="1:2" x14ac:dyDescent="0.25">
      <c r="A1895" t="s">
        <v>1895</v>
      </c>
      <c r="B1895" s="1">
        <v>2</v>
      </c>
    </row>
    <row r="1896" spans="1:2" x14ac:dyDescent="0.25">
      <c r="A1896" t="s">
        <v>1896</v>
      </c>
      <c r="B1896" s="1">
        <v>2</v>
      </c>
    </row>
    <row r="1897" spans="1:2" x14ac:dyDescent="0.25">
      <c r="A1897" t="s">
        <v>1897</v>
      </c>
      <c r="B1897" s="1">
        <v>2</v>
      </c>
    </row>
    <row r="1898" spans="1:2" x14ac:dyDescent="0.25">
      <c r="A1898" t="s">
        <v>1898</v>
      </c>
      <c r="B1898" s="1">
        <v>2</v>
      </c>
    </row>
    <row r="1899" spans="1:2" x14ac:dyDescent="0.25">
      <c r="A1899" t="s">
        <v>1899</v>
      </c>
      <c r="B1899" s="1">
        <v>2</v>
      </c>
    </row>
    <row r="1900" spans="1:2" x14ac:dyDescent="0.25">
      <c r="A1900" t="s">
        <v>1900</v>
      </c>
      <c r="B1900" s="1">
        <v>2</v>
      </c>
    </row>
    <row r="1901" spans="1:2" x14ac:dyDescent="0.25">
      <c r="A1901" t="s">
        <v>1901</v>
      </c>
      <c r="B1901" s="1">
        <v>2</v>
      </c>
    </row>
    <row r="1902" spans="1:2" x14ac:dyDescent="0.25">
      <c r="A1902" t="s">
        <v>1902</v>
      </c>
      <c r="B1902" s="1">
        <v>2</v>
      </c>
    </row>
    <row r="1903" spans="1:2" x14ac:dyDescent="0.25">
      <c r="A1903" t="s">
        <v>1903</v>
      </c>
      <c r="B1903" s="1">
        <v>2</v>
      </c>
    </row>
    <row r="1904" spans="1:2" x14ac:dyDescent="0.25">
      <c r="A1904" t="s">
        <v>1904</v>
      </c>
      <c r="B1904" s="1">
        <v>2</v>
      </c>
    </row>
    <row r="1905" spans="1:2" x14ac:dyDescent="0.25">
      <c r="A1905" t="s">
        <v>1905</v>
      </c>
      <c r="B1905" s="1">
        <v>2</v>
      </c>
    </row>
    <row r="1906" spans="1:2" x14ac:dyDescent="0.25">
      <c r="A1906" t="s">
        <v>1906</v>
      </c>
      <c r="B1906" s="1">
        <v>2</v>
      </c>
    </row>
    <row r="1907" spans="1:2" x14ac:dyDescent="0.25">
      <c r="A1907" t="s">
        <v>1907</v>
      </c>
      <c r="B1907" s="1">
        <v>2</v>
      </c>
    </row>
    <row r="1908" spans="1:2" x14ac:dyDescent="0.25">
      <c r="A1908" t="s">
        <v>1908</v>
      </c>
      <c r="B1908" s="1">
        <v>2</v>
      </c>
    </row>
    <row r="1909" spans="1:2" x14ac:dyDescent="0.25">
      <c r="A1909" t="s">
        <v>1909</v>
      </c>
      <c r="B1909" s="1">
        <v>2</v>
      </c>
    </row>
    <row r="1910" spans="1:2" x14ac:dyDescent="0.25">
      <c r="A1910" t="s">
        <v>1910</v>
      </c>
      <c r="B1910" s="1">
        <v>2</v>
      </c>
    </row>
    <row r="1911" spans="1:2" x14ac:dyDescent="0.25">
      <c r="A1911" t="s">
        <v>1911</v>
      </c>
      <c r="B1911" s="1">
        <v>2</v>
      </c>
    </row>
    <row r="1912" spans="1:2" x14ac:dyDescent="0.25">
      <c r="A1912" t="s">
        <v>1912</v>
      </c>
      <c r="B1912" s="1">
        <v>2</v>
      </c>
    </row>
    <row r="1913" spans="1:2" x14ac:dyDescent="0.25">
      <c r="A1913" t="s">
        <v>1913</v>
      </c>
      <c r="B1913" s="1">
        <v>2</v>
      </c>
    </row>
    <row r="1914" spans="1:2" x14ac:dyDescent="0.25">
      <c r="A1914" t="s">
        <v>1914</v>
      </c>
      <c r="B1914" s="1">
        <v>2</v>
      </c>
    </row>
    <row r="1915" spans="1:2" x14ac:dyDescent="0.25">
      <c r="A1915" t="s">
        <v>1915</v>
      </c>
      <c r="B1915" s="1">
        <v>2</v>
      </c>
    </row>
    <row r="1916" spans="1:2" x14ac:dyDescent="0.25">
      <c r="A1916" t="s">
        <v>1916</v>
      </c>
      <c r="B1916" s="1">
        <v>2</v>
      </c>
    </row>
    <row r="1917" spans="1:2" x14ac:dyDescent="0.25">
      <c r="A1917" t="s">
        <v>1917</v>
      </c>
      <c r="B1917" s="1">
        <v>2</v>
      </c>
    </row>
    <row r="1918" spans="1:2" x14ac:dyDescent="0.25">
      <c r="A1918" t="s">
        <v>1918</v>
      </c>
      <c r="B1918" s="1">
        <v>2</v>
      </c>
    </row>
    <row r="1919" spans="1:2" x14ac:dyDescent="0.25">
      <c r="A1919" t="s">
        <v>1919</v>
      </c>
      <c r="B1919" s="1">
        <v>2</v>
      </c>
    </row>
    <row r="1920" spans="1:2" x14ac:dyDescent="0.25">
      <c r="A1920" t="s">
        <v>1920</v>
      </c>
      <c r="B1920" s="1">
        <v>2</v>
      </c>
    </row>
    <row r="1921" spans="1:2" x14ac:dyDescent="0.25">
      <c r="A1921" t="s">
        <v>1921</v>
      </c>
      <c r="B1921" s="1">
        <v>2</v>
      </c>
    </row>
    <row r="1922" spans="1:2" x14ac:dyDescent="0.25">
      <c r="A1922" t="s">
        <v>1922</v>
      </c>
      <c r="B1922" s="1">
        <v>2</v>
      </c>
    </row>
    <row r="1923" spans="1:2" x14ac:dyDescent="0.25">
      <c r="A1923" t="s">
        <v>1923</v>
      </c>
      <c r="B1923" s="1">
        <v>2</v>
      </c>
    </row>
    <row r="1924" spans="1:2" x14ac:dyDescent="0.25">
      <c r="A1924" t="s">
        <v>1924</v>
      </c>
      <c r="B1924" s="1">
        <v>2</v>
      </c>
    </row>
    <row r="1925" spans="1:2" x14ac:dyDescent="0.25">
      <c r="A1925" t="s">
        <v>1925</v>
      </c>
      <c r="B1925" s="1">
        <v>2</v>
      </c>
    </row>
    <row r="1926" spans="1:2" x14ac:dyDescent="0.25">
      <c r="A1926" t="s">
        <v>1926</v>
      </c>
      <c r="B1926" s="1">
        <v>2</v>
      </c>
    </row>
    <row r="1927" spans="1:2" x14ac:dyDescent="0.25">
      <c r="A1927" t="s">
        <v>1927</v>
      </c>
      <c r="B1927" s="1">
        <v>2.02</v>
      </c>
    </row>
    <row r="1928" spans="1:2" x14ac:dyDescent="0.25">
      <c r="A1928" t="s">
        <v>1928</v>
      </c>
      <c r="B1928" s="1">
        <v>2.0499999999999998</v>
      </c>
    </row>
    <row r="1929" spans="1:2" x14ac:dyDescent="0.25">
      <c r="A1929" t="s">
        <v>1929</v>
      </c>
      <c r="B1929" s="1">
        <v>2.14</v>
      </c>
    </row>
    <row r="1930" spans="1:2" x14ac:dyDescent="0.25">
      <c r="A1930" t="s">
        <v>1930</v>
      </c>
      <c r="B1930" s="1">
        <v>3</v>
      </c>
    </row>
    <row r="1931" spans="1:2" x14ac:dyDescent="0.25">
      <c r="A1931" t="s">
        <v>1931</v>
      </c>
      <c r="B1931" s="1">
        <v>3</v>
      </c>
    </row>
    <row r="1932" spans="1:2" x14ac:dyDescent="0.25">
      <c r="A1932" t="s">
        <v>1932</v>
      </c>
      <c r="B1932" s="1">
        <v>3</v>
      </c>
    </row>
    <row r="1933" spans="1:2" x14ac:dyDescent="0.25">
      <c r="A1933" t="s">
        <v>1933</v>
      </c>
      <c r="B1933" s="1">
        <v>3</v>
      </c>
    </row>
    <row r="1934" spans="1:2" x14ac:dyDescent="0.25">
      <c r="A1934" t="s">
        <v>1934</v>
      </c>
      <c r="B1934" s="1">
        <v>3</v>
      </c>
    </row>
    <row r="1935" spans="1:2" x14ac:dyDescent="0.25">
      <c r="A1935" t="s">
        <v>1935</v>
      </c>
      <c r="B1935" s="1">
        <v>3</v>
      </c>
    </row>
    <row r="1936" spans="1:2" x14ac:dyDescent="0.25">
      <c r="A1936" t="s">
        <v>1936</v>
      </c>
      <c r="B1936" s="1">
        <v>3</v>
      </c>
    </row>
    <row r="1937" spans="1:2" x14ac:dyDescent="0.25">
      <c r="A1937" t="s">
        <v>1937</v>
      </c>
      <c r="B1937" s="1">
        <v>3</v>
      </c>
    </row>
    <row r="1938" spans="1:2" x14ac:dyDescent="0.25">
      <c r="A1938" t="s">
        <v>1938</v>
      </c>
      <c r="B1938" s="1">
        <v>3</v>
      </c>
    </row>
    <row r="1939" spans="1:2" x14ac:dyDescent="0.25">
      <c r="A1939" t="s">
        <v>1939</v>
      </c>
      <c r="B1939" s="1">
        <v>3</v>
      </c>
    </row>
    <row r="1940" spans="1:2" x14ac:dyDescent="0.25">
      <c r="A1940" t="s">
        <v>1940</v>
      </c>
      <c r="B1940" s="1">
        <v>3</v>
      </c>
    </row>
    <row r="1941" spans="1:2" x14ac:dyDescent="0.25">
      <c r="A1941" t="s">
        <v>1941</v>
      </c>
      <c r="B1941" s="1">
        <v>3</v>
      </c>
    </row>
    <row r="1942" spans="1:2" x14ac:dyDescent="0.25">
      <c r="A1942" t="s">
        <v>1942</v>
      </c>
      <c r="B1942" s="1">
        <v>3</v>
      </c>
    </row>
    <row r="1943" spans="1:2" x14ac:dyDescent="0.25">
      <c r="A1943" t="s">
        <v>1943</v>
      </c>
      <c r="B1943" s="1">
        <v>3</v>
      </c>
    </row>
    <row r="1944" spans="1:2" x14ac:dyDescent="0.25">
      <c r="A1944" t="s">
        <v>1944</v>
      </c>
      <c r="B1944" s="1">
        <v>3</v>
      </c>
    </row>
    <row r="1945" spans="1:2" x14ac:dyDescent="0.25">
      <c r="A1945" t="s">
        <v>1945</v>
      </c>
      <c r="B1945" s="1">
        <v>3</v>
      </c>
    </row>
    <row r="1946" spans="1:2" x14ac:dyDescent="0.25">
      <c r="A1946" t="s">
        <v>1946</v>
      </c>
      <c r="B1946" s="1">
        <v>3</v>
      </c>
    </row>
    <row r="1947" spans="1:2" x14ac:dyDescent="0.25">
      <c r="A1947" t="s">
        <v>1947</v>
      </c>
      <c r="B1947" s="1">
        <v>3</v>
      </c>
    </row>
    <row r="1948" spans="1:2" x14ac:dyDescent="0.25">
      <c r="A1948" t="s">
        <v>1948</v>
      </c>
      <c r="B1948" s="1">
        <v>3</v>
      </c>
    </row>
    <row r="1949" spans="1:2" x14ac:dyDescent="0.25">
      <c r="A1949" t="s">
        <v>1949</v>
      </c>
      <c r="B1949" s="1">
        <v>3</v>
      </c>
    </row>
    <row r="1950" spans="1:2" x14ac:dyDescent="0.25">
      <c r="A1950" t="s">
        <v>1950</v>
      </c>
      <c r="B1950" s="1">
        <v>3</v>
      </c>
    </row>
    <row r="1951" spans="1:2" x14ac:dyDescent="0.25">
      <c r="A1951" t="s">
        <v>1951</v>
      </c>
      <c r="B1951" s="1">
        <v>3</v>
      </c>
    </row>
    <row r="1952" spans="1:2" x14ac:dyDescent="0.25">
      <c r="A1952" t="s">
        <v>1952</v>
      </c>
      <c r="B1952" s="1">
        <v>3</v>
      </c>
    </row>
    <row r="1953" spans="1:2" x14ac:dyDescent="0.25">
      <c r="A1953" t="s">
        <v>1953</v>
      </c>
      <c r="B1953" s="1">
        <v>3</v>
      </c>
    </row>
    <row r="1954" spans="1:2" x14ac:dyDescent="0.25">
      <c r="A1954" t="s">
        <v>1954</v>
      </c>
      <c r="B1954" s="1">
        <v>3</v>
      </c>
    </row>
    <row r="1955" spans="1:2" x14ac:dyDescent="0.25">
      <c r="A1955" t="s">
        <v>1955</v>
      </c>
      <c r="B1955" s="1">
        <v>3</v>
      </c>
    </row>
    <row r="1956" spans="1:2" x14ac:dyDescent="0.25">
      <c r="A1956" t="s">
        <v>1956</v>
      </c>
      <c r="B1956" s="1">
        <v>3</v>
      </c>
    </row>
    <row r="1957" spans="1:2" x14ac:dyDescent="0.25">
      <c r="A1957" t="s">
        <v>1957</v>
      </c>
      <c r="B1957" s="1">
        <v>3</v>
      </c>
    </row>
    <row r="1958" spans="1:2" x14ac:dyDescent="0.25">
      <c r="A1958" t="s">
        <v>1958</v>
      </c>
      <c r="B1958" s="1">
        <v>3</v>
      </c>
    </row>
    <row r="1959" spans="1:2" x14ac:dyDescent="0.25">
      <c r="A1959" t="s">
        <v>1959</v>
      </c>
      <c r="B1959" s="1">
        <v>3</v>
      </c>
    </row>
    <row r="1960" spans="1:2" x14ac:dyDescent="0.25">
      <c r="A1960" t="s">
        <v>1960</v>
      </c>
      <c r="B1960" s="1">
        <v>3</v>
      </c>
    </row>
    <row r="1961" spans="1:2" x14ac:dyDescent="0.25">
      <c r="A1961" t="s">
        <v>1961</v>
      </c>
      <c r="B1961" s="1">
        <v>3</v>
      </c>
    </row>
    <row r="1962" spans="1:2" x14ac:dyDescent="0.25">
      <c r="A1962" t="s">
        <v>1962</v>
      </c>
      <c r="B1962" s="1">
        <v>3</v>
      </c>
    </row>
    <row r="1963" spans="1:2" x14ac:dyDescent="0.25">
      <c r="A1963" t="s">
        <v>1963</v>
      </c>
      <c r="B1963" s="1">
        <v>3</v>
      </c>
    </row>
    <row r="1964" spans="1:2" x14ac:dyDescent="0.25">
      <c r="A1964" t="s">
        <v>1964</v>
      </c>
      <c r="B1964" s="1">
        <v>3</v>
      </c>
    </row>
    <row r="1965" spans="1:2" x14ac:dyDescent="0.25">
      <c r="A1965" t="s">
        <v>1965</v>
      </c>
      <c r="B1965" s="1">
        <v>3</v>
      </c>
    </row>
    <row r="1966" spans="1:2" x14ac:dyDescent="0.25">
      <c r="A1966" t="s">
        <v>1966</v>
      </c>
      <c r="B1966" s="1">
        <v>3</v>
      </c>
    </row>
    <row r="1967" spans="1:2" x14ac:dyDescent="0.25">
      <c r="A1967" t="s">
        <v>1967</v>
      </c>
      <c r="B1967" s="1">
        <v>3</v>
      </c>
    </row>
    <row r="1968" spans="1:2" x14ac:dyDescent="0.25">
      <c r="A1968" t="s">
        <v>1968</v>
      </c>
      <c r="B1968" s="1">
        <v>3</v>
      </c>
    </row>
    <row r="1969" spans="1:2" x14ac:dyDescent="0.25">
      <c r="A1969" t="s">
        <v>1969</v>
      </c>
      <c r="B1969" s="1">
        <v>3</v>
      </c>
    </row>
    <row r="1970" spans="1:2" x14ac:dyDescent="0.25">
      <c r="A1970" t="s">
        <v>1970</v>
      </c>
      <c r="B1970" s="1">
        <v>3</v>
      </c>
    </row>
    <row r="1971" spans="1:2" x14ac:dyDescent="0.25">
      <c r="A1971" t="s">
        <v>1971</v>
      </c>
      <c r="B1971" s="1">
        <v>3</v>
      </c>
    </row>
    <row r="1972" spans="1:2" x14ac:dyDescent="0.25">
      <c r="A1972" t="s">
        <v>1972</v>
      </c>
      <c r="B1972" s="1">
        <v>3</v>
      </c>
    </row>
    <row r="1973" spans="1:2" x14ac:dyDescent="0.25">
      <c r="A1973" t="s">
        <v>1973</v>
      </c>
      <c r="B1973" s="1">
        <v>3</v>
      </c>
    </row>
    <row r="1974" spans="1:2" x14ac:dyDescent="0.25">
      <c r="A1974" t="s">
        <v>1974</v>
      </c>
      <c r="B1974" s="1">
        <v>3</v>
      </c>
    </row>
    <row r="1975" spans="1:2" x14ac:dyDescent="0.25">
      <c r="A1975" t="s">
        <v>1975</v>
      </c>
      <c r="B1975" s="1">
        <v>3</v>
      </c>
    </row>
    <row r="1976" spans="1:2" x14ac:dyDescent="0.25">
      <c r="A1976" t="s">
        <v>1976</v>
      </c>
      <c r="B1976" s="1">
        <v>3</v>
      </c>
    </row>
    <row r="1977" spans="1:2" x14ac:dyDescent="0.25">
      <c r="A1977" t="s">
        <v>1977</v>
      </c>
      <c r="B1977" s="1">
        <v>3</v>
      </c>
    </row>
    <row r="1978" spans="1:2" x14ac:dyDescent="0.25">
      <c r="A1978" t="s">
        <v>1978</v>
      </c>
      <c r="B1978" s="1">
        <v>3</v>
      </c>
    </row>
    <row r="1979" spans="1:2" x14ac:dyDescent="0.25">
      <c r="A1979" t="s">
        <v>1979</v>
      </c>
      <c r="B1979" s="1">
        <v>3</v>
      </c>
    </row>
    <row r="1980" spans="1:2" x14ac:dyDescent="0.25">
      <c r="A1980" t="s">
        <v>1980</v>
      </c>
      <c r="B1980" s="1">
        <v>3</v>
      </c>
    </row>
    <row r="1981" spans="1:2" x14ac:dyDescent="0.25">
      <c r="A1981" t="s">
        <v>1981</v>
      </c>
      <c r="B1981" s="1">
        <v>3</v>
      </c>
    </row>
    <row r="1982" spans="1:2" x14ac:dyDescent="0.25">
      <c r="A1982" t="s">
        <v>1982</v>
      </c>
      <c r="B1982" s="1">
        <v>3</v>
      </c>
    </row>
    <row r="1983" spans="1:2" x14ac:dyDescent="0.25">
      <c r="A1983" t="s">
        <v>1983</v>
      </c>
      <c r="B1983" s="1">
        <v>4</v>
      </c>
    </row>
    <row r="1984" spans="1:2" x14ac:dyDescent="0.25">
      <c r="A1984" t="s">
        <v>1984</v>
      </c>
      <c r="B1984" s="1">
        <v>4</v>
      </c>
    </row>
    <row r="1985" spans="1:2" x14ac:dyDescent="0.25">
      <c r="A1985" t="s">
        <v>1985</v>
      </c>
      <c r="B1985" s="1">
        <v>4</v>
      </c>
    </row>
    <row r="1986" spans="1:2" x14ac:dyDescent="0.25">
      <c r="A1986" t="s">
        <v>1986</v>
      </c>
      <c r="B1986" s="1">
        <v>4</v>
      </c>
    </row>
    <row r="1987" spans="1:2" x14ac:dyDescent="0.25">
      <c r="A1987" t="s">
        <v>1987</v>
      </c>
      <c r="B1987" s="1">
        <v>4</v>
      </c>
    </row>
    <row r="1988" spans="1:2" x14ac:dyDescent="0.25">
      <c r="A1988" t="s">
        <v>1988</v>
      </c>
      <c r="B1988" s="1">
        <v>4</v>
      </c>
    </row>
    <row r="1989" spans="1:2" x14ac:dyDescent="0.25">
      <c r="A1989" t="s">
        <v>1989</v>
      </c>
      <c r="B1989" s="1">
        <v>4</v>
      </c>
    </row>
    <row r="1990" spans="1:2" x14ac:dyDescent="0.25">
      <c r="A1990" t="s">
        <v>1990</v>
      </c>
      <c r="B1990" s="1">
        <v>4</v>
      </c>
    </row>
    <row r="1991" spans="1:2" x14ac:dyDescent="0.25">
      <c r="A1991" t="s">
        <v>1991</v>
      </c>
      <c r="B1991" s="1">
        <v>4</v>
      </c>
    </row>
    <row r="1992" spans="1:2" x14ac:dyDescent="0.25">
      <c r="A1992" t="s">
        <v>1992</v>
      </c>
      <c r="B1992" s="1">
        <v>4</v>
      </c>
    </row>
    <row r="1993" spans="1:2" x14ac:dyDescent="0.25">
      <c r="A1993" t="s">
        <v>1993</v>
      </c>
      <c r="B1993" s="1">
        <v>4</v>
      </c>
    </row>
    <row r="1994" spans="1:2" x14ac:dyDescent="0.25">
      <c r="A1994" t="s">
        <v>1994</v>
      </c>
      <c r="B1994" s="1">
        <v>4</v>
      </c>
    </row>
    <row r="1995" spans="1:2" x14ac:dyDescent="0.25">
      <c r="A1995" t="s">
        <v>1995</v>
      </c>
      <c r="B1995" s="1">
        <v>5</v>
      </c>
    </row>
    <row r="1996" spans="1:2" x14ac:dyDescent="0.25">
      <c r="A1996" t="s">
        <v>1996</v>
      </c>
      <c r="B1996" s="1">
        <v>5</v>
      </c>
    </row>
    <row r="1997" spans="1:2" x14ac:dyDescent="0.25">
      <c r="A1997" t="s">
        <v>1997</v>
      </c>
      <c r="B1997" s="1">
        <v>5</v>
      </c>
    </row>
    <row r="1998" spans="1:2" x14ac:dyDescent="0.25">
      <c r="A1998" t="s">
        <v>1998</v>
      </c>
      <c r="B1998" s="1">
        <v>5</v>
      </c>
    </row>
    <row r="1999" spans="1:2" x14ac:dyDescent="0.25">
      <c r="A1999" t="s">
        <v>1999</v>
      </c>
      <c r="B1999" s="1">
        <v>5</v>
      </c>
    </row>
    <row r="2000" spans="1:2" x14ac:dyDescent="0.25">
      <c r="A2000" t="s">
        <v>2000</v>
      </c>
      <c r="B2000" s="1">
        <v>5</v>
      </c>
    </row>
    <row r="2001" spans="1:2" x14ac:dyDescent="0.25">
      <c r="A2001" t="s">
        <v>2001</v>
      </c>
      <c r="B2001" s="1">
        <v>5.79</v>
      </c>
    </row>
    <row r="2002" spans="1:2" x14ac:dyDescent="0.25">
      <c r="A2002" t="s">
        <v>2002</v>
      </c>
      <c r="B2002" s="1">
        <v>6</v>
      </c>
    </row>
    <row r="2003" spans="1:2" x14ac:dyDescent="0.25">
      <c r="A2003" t="s">
        <v>2003</v>
      </c>
      <c r="B2003" s="1">
        <v>6</v>
      </c>
    </row>
    <row r="2004" spans="1:2" x14ac:dyDescent="0.25">
      <c r="A2004" t="s">
        <v>2004</v>
      </c>
      <c r="B2004" s="1">
        <v>6</v>
      </c>
    </row>
    <row r="2005" spans="1:2" x14ac:dyDescent="0.25">
      <c r="A2005" t="s">
        <v>2005</v>
      </c>
      <c r="B2005" s="1">
        <v>6</v>
      </c>
    </row>
    <row r="2006" spans="1:2" x14ac:dyDescent="0.25">
      <c r="A2006" t="s">
        <v>2006</v>
      </c>
      <c r="B2006" s="1">
        <v>6</v>
      </c>
    </row>
    <row r="2007" spans="1:2" x14ac:dyDescent="0.25">
      <c r="A2007" t="s">
        <v>2007</v>
      </c>
      <c r="B2007" s="1">
        <v>6</v>
      </c>
    </row>
    <row r="2008" spans="1:2" x14ac:dyDescent="0.25">
      <c r="A2008" t="s">
        <v>2008</v>
      </c>
      <c r="B2008" s="1">
        <v>6</v>
      </c>
    </row>
    <row r="2009" spans="1:2" x14ac:dyDescent="0.25">
      <c r="A2009" t="s">
        <v>2009</v>
      </c>
      <c r="B2009" s="1">
        <v>6.01</v>
      </c>
    </row>
    <row r="2010" spans="1:2" x14ac:dyDescent="0.25">
      <c r="A2010" t="s">
        <v>2010</v>
      </c>
      <c r="B2010" s="1">
        <v>7</v>
      </c>
    </row>
    <row r="2011" spans="1:2" x14ac:dyDescent="0.25">
      <c r="A2011" t="s">
        <v>2011</v>
      </c>
      <c r="B2011" s="1">
        <v>7</v>
      </c>
    </row>
    <row r="2012" spans="1:2" x14ac:dyDescent="0.25">
      <c r="A2012" t="s">
        <v>2012</v>
      </c>
      <c r="B2012" s="1">
        <v>7</v>
      </c>
    </row>
    <row r="2013" spans="1:2" x14ac:dyDescent="0.25">
      <c r="A2013" t="s">
        <v>2013</v>
      </c>
      <c r="B2013" s="1">
        <v>7</v>
      </c>
    </row>
    <row r="2014" spans="1:2" x14ac:dyDescent="0.25">
      <c r="A2014" t="s">
        <v>2014</v>
      </c>
      <c r="B2014" s="1">
        <v>7</v>
      </c>
    </row>
    <row r="2015" spans="1:2" x14ac:dyDescent="0.25">
      <c r="A2015" t="s">
        <v>2015</v>
      </c>
      <c r="B2015" s="1">
        <v>7</v>
      </c>
    </row>
    <row r="2016" spans="1:2" x14ac:dyDescent="0.25">
      <c r="A2016" t="s">
        <v>2016</v>
      </c>
      <c r="B2016" s="1">
        <v>7</v>
      </c>
    </row>
    <row r="2017" spans="1:2" x14ac:dyDescent="0.25">
      <c r="A2017" t="s">
        <v>2017</v>
      </c>
      <c r="B2017" s="1">
        <v>8</v>
      </c>
    </row>
    <row r="2018" spans="1:2" x14ac:dyDescent="0.25">
      <c r="A2018" t="s">
        <v>2018</v>
      </c>
      <c r="B2018" s="1">
        <v>8</v>
      </c>
    </row>
    <row r="2019" spans="1:2" x14ac:dyDescent="0.25">
      <c r="A2019" t="s">
        <v>2019</v>
      </c>
      <c r="B2019" s="1">
        <v>9</v>
      </c>
    </row>
    <row r="2020" spans="1:2" x14ac:dyDescent="0.25">
      <c r="A2020" t="s">
        <v>2020</v>
      </c>
      <c r="B2020" s="1">
        <v>9</v>
      </c>
    </row>
    <row r="2021" spans="1:2" x14ac:dyDescent="0.25">
      <c r="A2021" t="s">
        <v>2021</v>
      </c>
      <c r="B2021" s="1">
        <v>10</v>
      </c>
    </row>
    <row r="2022" spans="1:2" x14ac:dyDescent="0.25">
      <c r="A2022" t="s">
        <v>2022</v>
      </c>
      <c r="B2022" s="1">
        <v>10</v>
      </c>
    </row>
    <row r="2023" spans="1:2" x14ac:dyDescent="0.25">
      <c r="A2023" t="s">
        <v>2023</v>
      </c>
      <c r="B2023" s="1">
        <v>10</v>
      </c>
    </row>
    <row r="2024" spans="1:2" x14ac:dyDescent="0.25">
      <c r="A2024" t="s">
        <v>2024</v>
      </c>
      <c r="B2024" s="1">
        <v>10</v>
      </c>
    </row>
    <row r="2025" spans="1:2" x14ac:dyDescent="0.25">
      <c r="A2025" t="s">
        <v>2025</v>
      </c>
      <c r="B2025" s="1">
        <v>10</v>
      </c>
    </row>
    <row r="2026" spans="1:2" x14ac:dyDescent="0.25">
      <c r="A2026" t="s">
        <v>2026</v>
      </c>
      <c r="B2026" s="1">
        <v>11</v>
      </c>
    </row>
    <row r="2027" spans="1:2" x14ac:dyDescent="0.25">
      <c r="A2027" t="s">
        <v>2027</v>
      </c>
      <c r="B2027" s="1">
        <v>12</v>
      </c>
    </row>
    <row r="2028" spans="1:2" x14ac:dyDescent="0.25">
      <c r="A2028" t="s">
        <v>2028</v>
      </c>
      <c r="B2028" s="1">
        <v>12</v>
      </c>
    </row>
    <row r="2029" spans="1:2" x14ac:dyDescent="0.25">
      <c r="A2029" t="s">
        <v>2029</v>
      </c>
      <c r="B2029" s="1">
        <v>12</v>
      </c>
    </row>
    <row r="2030" spans="1:2" x14ac:dyDescent="0.25">
      <c r="A2030" t="s">
        <v>2030</v>
      </c>
      <c r="B2030" s="1">
        <v>13</v>
      </c>
    </row>
    <row r="2031" spans="1:2" x14ac:dyDescent="0.25">
      <c r="A2031" t="s">
        <v>2031</v>
      </c>
      <c r="B2031" s="1">
        <v>14</v>
      </c>
    </row>
    <row r="2032" spans="1:2" x14ac:dyDescent="0.25">
      <c r="A2032" t="s">
        <v>2032</v>
      </c>
      <c r="B2032" s="1">
        <v>14</v>
      </c>
    </row>
    <row r="2033" spans="1:2" x14ac:dyDescent="0.25">
      <c r="A2033" t="s">
        <v>2033</v>
      </c>
      <c r="B2033" s="1">
        <v>14</v>
      </c>
    </row>
    <row r="2034" spans="1:2" x14ac:dyDescent="0.25">
      <c r="A2034" t="s">
        <v>2034</v>
      </c>
      <c r="B2034" s="1">
        <v>16</v>
      </c>
    </row>
    <row r="2035" spans="1:2" x14ac:dyDescent="0.25">
      <c r="A2035" t="s">
        <v>2035</v>
      </c>
      <c r="B2035" s="1">
        <v>16</v>
      </c>
    </row>
    <row r="2036" spans="1:2" x14ac:dyDescent="0.25">
      <c r="A2036" t="s">
        <v>2036</v>
      </c>
      <c r="B2036" s="1">
        <v>16</v>
      </c>
    </row>
    <row r="2037" spans="1:2" x14ac:dyDescent="0.25">
      <c r="A2037" t="s">
        <v>2037</v>
      </c>
      <c r="B2037" s="1">
        <v>17</v>
      </c>
    </row>
    <row r="2038" spans="1:2" x14ac:dyDescent="0.25">
      <c r="A2038" t="s">
        <v>2038</v>
      </c>
      <c r="B2038" s="1">
        <v>18</v>
      </c>
    </row>
    <row r="2039" spans="1:2" x14ac:dyDescent="0.25">
      <c r="A2039" t="s">
        <v>2039</v>
      </c>
      <c r="B2039" s="1">
        <v>18</v>
      </c>
    </row>
    <row r="2040" spans="1:2" x14ac:dyDescent="0.25">
      <c r="A2040" t="s">
        <v>2040</v>
      </c>
      <c r="B2040" s="1">
        <v>18</v>
      </c>
    </row>
    <row r="2041" spans="1:2" x14ac:dyDescent="0.25">
      <c r="A2041" t="s">
        <v>2041</v>
      </c>
      <c r="B2041" s="1">
        <v>18</v>
      </c>
    </row>
    <row r="2042" spans="1:2" x14ac:dyDescent="0.25">
      <c r="A2042" t="s">
        <v>2042</v>
      </c>
      <c r="B2042" s="1">
        <v>18</v>
      </c>
    </row>
    <row r="2043" spans="1:2" x14ac:dyDescent="0.25">
      <c r="A2043" t="s">
        <v>2043</v>
      </c>
      <c r="B2043" s="1">
        <v>18</v>
      </c>
    </row>
    <row r="2044" spans="1:2" x14ac:dyDescent="0.25">
      <c r="A2044" t="s">
        <v>2044</v>
      </c>
      <c r="B2044" s="1">
        <v>18</v>
      </c>
    </row>
    <row r="2045" spans="1:2" x14ac:dyDescent="0.25">
      <c r="A2045" t="s">
        <v>2045</v>
      </c>
      <c r="B2045" s="1">
        <v>18</v>
      </c>
    </row>
    <row r="2046" spans="1:2" x14ac:dyDescent="0.25">
      <c r="A2046" t="s">
        <v>2046</v>
      </c>
      <c r="B2046" s="1">
        <v>18</v>
      </c>
    </row>
    <row r="2047" spans="1:2" x14ac:dyDescent="0.25">
      <c r="A2047" t="s">
        <v>2047</v>
      </c>
      <c r="B2047" s="1">
        <v>18</v>
      </c>
    </row>
    <row r="2048" spans="1:2" x14ac:dyDescent="0.25">
      <c r="A2048" t="s">
        <v>2048</v>
      </c>
      <c r="B2048" s="1">
        <v>18</v>
      </c>
    </row>
    <row r="2049" spans="1:2" x14ac:dyDescent="0.25">
      <c r="A2049" t="s">
        <v>2049</v>
      </c>
      <c r="B2049" s="1">
        <v>18</v>
      </c>
    </row>
    <row r="2050" spans="1:2" x14ac:dyDescent="0.25">
      <c r="A2050" t="s">
        <v>2050</v>
      </c>
      <c r="B2050" s="1">
        <v>18</v>
      </c>
    </row>
    <row r="2051" spans="1:2" x14ac:dyDescent="0.25">
      <c r="A2051" t="s">
        <v>2051</v>
      </c>
      <c r="B2051" s="1">
        <v>18</v>
      </c>
    </row>
    <row r="2052" spans="1:2" x14ac:dyDescent="0.25">
      <c r="A2052" t="s">
        <v>2052</v>
      </c>
      <c r="B2052" s="1">
        <v>18</v>
      </c>
    </row>
    <row r="2053" spans="1:2" x14ac:dyDescent="0.25">
      <c r="A2053" t="s">
        <v>2053</v>
      </c>
      <c r="B2053" s="1">
        <v>18</v>
      </c>
    </row>
    <row r="2054" spans="1:2" x14ac:dyDescent="0.25">
      <c r="A2054" t="s">
        <v>2054</v>
      </c>
      <c r="B2054" s="1">
        <v>18</v>
      </c>
    </row>
    <row r="2055" spans="1:2" x14ac:dyDescent="0.25">
      <c r="A2055" t="s">
        <v>2055</v>
      </c>
      <c r="B2055" s="1">
        <v>19</v>
      </c>
    </row>
    <row r="2056" spans="1:2" x14ac:dyDescent="0.25">
      <c r="A2056" t="s">
        <v>2056</v>
      </c>
      <c r="B2056" s="1">
        <v>19</v>
      </c>
    </row>
    <row r="2057" spans="1:2" x14ac:dyDescent="0.25">
      <c r="A2057" t="s">
        <v>2057</v>
      </c>
      <c r="B2057" s="1">
        <v>19</v>
      </c>
    </row>
    <row r="2058" spans="1:2" x14ac:dyDescent="0.25">
      <c r="A2058" t="s">
        <v>2058</v>
      </c>
      <c r="B2058" s="1">
        <v>19</v>
      </c>
    </row>
    <row r="2059" spans="1:2" x14ac:dyDescent="0.25">
      <c r="A2059" t="s">
        <v>2059</v>
      </c>
      <c r="B2059" s="1">
        <v>19</v>
      </c>
    </row>
    <row r="2060" spans="1:2" x14ac:dyDescent="0.25">
      <c r="A2060" t="s">
        <v>2060</v>
      </c>
      <c r="B2060" s="1">
        <v>19</v>
      </c>
    </row>
    <row r="2061" spans="1:2" x14ac:dyDescent="0.25">
      <c r="A2061" t="s">
        <v>2061</v>
      </c>
      <c r="B2061" s="1">
        <v>19</v>
      </c>
    </row>
    <row r="2062" spans="1:2" x14ac:dyDescent="0.25">
      <c r="A2062" t="s">
        <v>2062</v>
      </c>
      <c r="B2062" s="1">
        <v>20</v>
      </c>
    </row>
    <row r="2063" spans="1:2" x14ac:dyDescent="0.25">
      <c r="A2063" t="s">
        <v>2063</v>
      </c>
      <c r="B2063" s="1">
        <v>20</v>
      </c>
    </row>
    <row r="2064" spans="1:2" x14ac:dyDescent="0.25">
      <c r="A2064" t="s">
        <v>2064</v>
      </c>
      <c r="B2064" s="1">
        <v>20</v>
      </c>
    </row>
    <row r="2065" spans="1:2" x14ac:dyDescent="0.25">
      <c r="A2065" t="s">
        <v>2065</v>
      </c>
      <c r="B2065" s="1">
        <v>20</v>
      </c>
    </row>
    <row r="2066" spans="1:2" x14ac:dyDescent="0.25">
      <c r="A2066" t="s">
        <v>2066</v>
      </c>
      <c r="B2066" s="1">
        <v>20</v>
      </c>
    </row>
    <row r="2067" spans="1:2" x14ac:dyDescent="0.25">
      <c r="A2067" t="s">
        <v>2067</v>
      </c>
      <c r="B2067" s="1">
        <v>20</v>
      </c>
    </row>
    <row r="2068" spans="1:2" x14ac:dyDescent="0.25">
      <c r="A2068" t="s">
        <v>2068</v>
      </c>
      <c r="B2068" s="1">
        <v>20</v>
      </c>
    </row>
    <row r="2069" spans="1:2" x14ac:dyDescent="0.25">
      <c r="A2069" t="s">
        <v>2069</v>
      </c>
      <c r="B2069" s="1">
        <v>20</v>
      </c>
    </row>
    <row r="2070" spans="1:2" x14ac:dyDescent="0.25">
      <c r="A2070" t="s">
        <v>2070</v>
      </c>
      <c r="B2070" s="1">
        <v>20</v>
      </c>
    </row>
    <row r="2071" spans="1:2" x14ac:dyDescent="0.25">
      <c r="A2071" t="s">
        <v>2071</v>
      </c>
      <c r="B2071" s="1">
        <v>20</v>
      </c>
    </row>
    <row r="2072" spans="1:2" x14ac:dyDescent="0.25">
      <c r="A2072" t="s">
        <v>2072</v>
      </c>
      <c r="B2072" s="1">
        <v>20</v>
      </c>
    </row>
    <row r="2073" spans="1:2" x14ac:dyDescent="0.25">
      <c r="A2073" t="s">
        <v>2073</v>
      </c>
      <c r="B2073" s="1">
        <v>20</v>
      </c>
    </row>
    <row r="2074" spans="1:2" x14ac:dyDescent="0.25">
      <c r="A2074" t="s">
        <v>2074</v>
      </c>
      <c r="B2074" s="1">
        <v>20</v>
      </c>
    </row>
    <row r="2075" spans="1:2" x14ac:dyDescent="0.25">
      <c r="A2075" t="s">
        <v>2075</v>
      </c>
      <c r="B2075" s="1">
        <v>20</v>
      </c>
    </row>
    <row r="2076" spans="1:2" x14ac:dyDescent="0.25">
      <c r="A2076" t="s">
        <v>2076</v>
      </c>
      <c r="B2076" s="1">
        <v>20</v>
      </c>
    </row>
    <row r="2077" spans="1:2" x14ac:dyDescent="0.25">
      <c r="A2077" t="s">
        <v>2077</v>
      </c>
      <c r="B2077" s="1">
        <v>20</v>
      </c>
    </row>
    <row r="2078" spans="1:2" x14ac:dyDescent="0.25">
      <c r="A2078" t="s">
        <v>2078</v>
      </c>
      <c r="B2078" s="1">
        <v>20</v>
      </c>
    </row>
    <row r="2079" spans="1:2" x14ac:dyDescent="0.25">
      <c r="A2079" t="s">
        <v>2079</v>
      </c>
      <c r="B2079" s="1">
        <v>21</v>
      </c>
    </row>
    <row r="2080" spans="1:2" x14ac:dyDescent="0.25">
      <c r="A2080" t="s">
        <v>2080</v>
      </c>
      <c r="B2080" s="1">
        <v>21</v>
      </c>
    </row>
    <row r="2081" spans="1:2" x14ac:dyDescent="0.25">
      <c r="A2081" t="s">
        <v>2081</v>
      </c>
      <c r="B2081" s="1">
        <v>21</v>
      </c>
    </row>
    <row r="2082" spans="1:2" x14ac:dyDescent="0.25">
      <c r="A2082" t="s">
        <v>2082</v>
      </c>
      <c r="B2082" s="1">
        <v>21</v>
      </c>
    </row>
    <row r="2083" spans="1:2" x14ac:dyDescent="0.25">
      <c r="A2083" t="s">
        <v>2083</v>
      </c>
      <c r="B2083" s="1">
        <v>21</v>
      </c>
    </row>
    <row r="2084" spans="1:2" x14ac:dyDescent="0.25">
      <c r="A2084" t="s">
        <v>2084</v>
      </c>
      <c r="B2084" s="1">
        <v>23</v>
      </c>
    </row>
    <row r="2085" spans="1:2" x14ac:dyDescent="0.25">
      <c r="A2085" t="s">
        <v>2085</v>
      </c>
      <c r="B2085" s="1">
        <v>23</v>
      </c>
    </row>
    <row r="2086" spans="1:2" x14ac:dyDescent="0.25">
      <c r="A2086" t="s">
        <v>2086</v>
      </c>
      <c r="B2086" s="1">
        <v>23</v>
      </c>
    </row>
    <row r="2087" spans="1:2" x14ac:dyDescent="0.25">
      <c r="A2087" t="s">
        <v>2087</v>
      </c>
      <c r="B2087" s="1">
        <v>23</v>
      </c>
    </row>
    <row r="2088" spans="1:2" x14ac:dyDescent="0.25">
      <c r="A2088" t="s">
        <v>2088</v>
      </c>
      <c r="B2088" s="1">
        <v>24</v>
      </c>
    </row>
    <row r="2089" spans="1:2" x14ac:dyDescent="0.25">
      <c r="A2089" t="s">
        <v>2089</v>
      </c>
      <c r="B2089" s="1">
        <v>24</v>
      </c>
    </row>
    <row r="2090" spans="1:2" x14ac:dyDescent="0.25">
      <c r="A2090" t="s">
        <v>2090</v>
      </c>
      <c r="B2090" s="1">
        <v>24</v>
      </c>
    </row>
    <row r="2091" spans="1:2" x14ac:dyDescent="0.25">
      <c r="A2091" t="s">
        <v>2091</v>
      </c>
      <c r="B2091" s="1">
        <v>25</v>
      </c>
    </row>
    <row r="2092" spans="1:2" x14ac:dyDescent="0.25">
      <c r="A2092" t="s">
        <v>2092</v>
      </c>
      <c r="B2092" s="1">
        <v>25</v>
      </c>
    </row>
    <row r="2093" spans="1:2" x14ac:dyDescent="0.25">
      <c r="A2093" t="s">
        <v>2093</v>
      </c>
      <c r="B2093" s="1">
        <v>26</v>
      </c>
    </row>
    <row r="2094" spans="1:2" x14ac:dyDescent="0.25">
      <c r="A2094" t="s">
        <v>2094</v>
      </c>
      <c r="B2094" s="1">
        <v>26</v>
      </c>
    </row>
    <row r="2095" spans="1:2" x14ac:dyDescent="0.25">
      <c r="A2095" t="s">
        <v>2095</v>
      </c>
      <c r="B2095" s="1">
        <v>26</v>
      </c>
    </row>
    <row r="2096" spans="1:2" x14ac:dyDescent="0.25">
      <c r="A2096" t="s">
        <v>2096</v>
      </c>
      <c r="B2096" s="1">
        <v>26</v>
      </c>
    </row>
    <row r="2097" spans="1:2" x14ac:dyDescent="0.25">
      <c r="A2097" t="s">
        <v>2097</v>
      </c>
      <c r="B2097" s="1">
        <v>26</v>
      </c>
    </row>
    <row r="2098" spans="1:2" x14ac:dyDescent="0.25">
      <c r="A2098" t="s">
        <v>2098</v>
      </c>
      <c r="B2098" s="1">
        <v>27</v>
      </c>
    </row>
    <row r="2099" spans="1:2" x14ac:dyDescent="0.25">
      <c r="A2099" t="s">
        <v>2099</v>
      </c>
      <c r="B2099" s="1">
        <v>27</v>
      </c>
    </row>
    <row r="2100" spans="1:2" x14ac:dyDescent="0.25">
      <c r="A2100" t="s">
        <v>2100</v>
      </c>
      <c r="B2100" s="1">
        <v>27</v>
      </c>
    </row>
    <row r="2101" spans="1:2" x14ac:dyDescent="0.25">
      <c r="A2101" t="s">
        <v>2101</v>
      </c>
      <c r="B2101" s="1">
        <v>27</v>
      </c>
    </row>
    <row r="2102" spans="1:2" x14ac:dyDescent="0.25">
      <c r="A2102" t="s">
        <v>2102</v>
      </c>
      <c r="B2102" s="1">
        <v>27</v>
      </c>
    </row>
    <row r="2103" spans="1:2" x14ac:dyDescent="0.25">
      <c r="A2103" t="s">
        <v>2103</v>
      </c>
      <c r="B2103" s="1">
        <v>28</v>
      </c>
    </row>
    <row r="2104" spans="1:2" x14ac:dyDescent="0.25">
      <c r="A2104" t="s">
        <v>2104</v>
      </c>
      <c r="B2104" s="1">
        <v>28</v>
      </c>
    </row>
    <row r="2105" spans="1:2" x14ac:dyDescent="0.25">
      <c r="A2105" t="s">
        <v>2105</v>
      </c>
      <c r="B2105" s="1">
        <v>28</v>
      </c>
    </row>
    <row r="2106" spans="1:2" x14ac:dyDescent="0.25">
      <c r="A2106" t="s">
        <v>2106</v>
      </c>
      <c r="B2106" s="1">
        <v>29</v>
      </c>
    </row>
    <row r="2107" spans="1:2" x14ac:dyDescent="0.25">
      <c r="A2107" t="s">
        <v>2107</v>
      </c>
      <c r="B2107" s="1">
        <v>29</v>
      </c>
    </row>
    <row r="2108" spans="1:2" x14ac:dyDescent="0.25">
      <c r="A2108" t="s">
        <v>2108</v>
      </c>
      <c r="B2108" s="1">
        <v>29</v>
      </c>
    </row>
    <row r="2109" spans="1:2" x14ac:dyDescent="0.25">
      <c r="A2109" t="s">
        <v>2109</v>
      </c>
      <c r="B2109" s="1">
        <v>29</v>
      </c>
    </row>
    <row r="2110" spans="1:2" x14ac:dyDescent="0.25">
      <c r="A2110" t="s">
        <v>2110</v>
      </c>
      <c r="B2110" s="1">
        <v>30</v>
      </c>
    </row>
    <row r="2111" spans="1:2" x14ac:dyDescent="0.25">
      <c r="A2111" t="s">
        <v>2111</v>
      </c>
      <c r="B2111" s="1">
        <v>30</v>
      </c>
    </row>
    <row r="2112" spans="1:2" x14ac:dyDescent="0.25">
      <c r="A2112" t="s">
        <v>2112</v>
      </c>
      <c r="B2112" s="1">
        <v>30</v>
      </c>
    </row>
    <row r="2113" spans="1:2" x14ac:dyDescent="0.25">
      <c r="A2113" t="s">
        <v>2113</v>
      </c>
      <c r="B2113" s="1">
        <v>30</v>
      </c>
    </row>
    <row r="2114" spans="1:2" x14ac:dyDescent="0.25">
      <c r="A2114" t="s">
        <v>2114</v>
      </c>
      <c r="B2114" s="1">
        <v>31</v>
      </c>
    </row>
    <row r="2115" spans="1:2" x14ac:dyDescent="0.25">
      <c r="A2115" t="s">
        <v>2115</v>
      </c>
      <c r="B2115" s="1">
        <v>31</v>
      </c>
    </row>
    <row r="2116" spans="1:2" x14ac:dyDescent="0.25">
      <c r="A2116" t="s">
        <v>2116</v>
      </c>
      <c r="B2116" s="1">
        <v>32</v>
      </c>
    </row>
    <row r="2117" spans="1:2" x14ac:dyDescent="0.25">
      <c r="A2117" t="s">
        <v>2117</v>
      </c>
      <c r="B2117" s="1">
        <v>33</v>
      </c>
    </row>
    <row r="2118" spans="1:2" x14ac:dyDescent="0.25">
      <c r="A2118" t="s">
        <v>2118</v>
      </c>
      <c r="B2118" s="1">
        <v>33</v>
      </c>
    </row>
    <row r="2119" spans="1:2" x14ac:dyDescent="0.25">
      <c r="A2119" t="s">
        <v>2119</v>
      </c>
      <c r="B2119" s="1">
        <v>33</v>
      </c>
    </row>
    <row r="2120" spans="1:2" x14ac:dyDescent="0.25">
      <c r="A2120" t="s">
        <v>2120</v>
      </c>
      <c r="B2120" s="1">
        <v>33</v>
      </c>
    </row>
    <row r="2121" spans="1:2" x14ac:dyDescent="0.25">
      <c r="A2121" t="s">
        <v>2121</v>
      </c>
      <c r="B2121" s="1">
        <v>34</v>
      </c>
    </row>
    <row r="2122" spans="1:2" x14ac:dyDescent="0.25">
      <c r="A2122" t="s">
        <v>2122</v>
      </c>
      <c r="B2122" s="1">
        <v>35</v>
      </c>
    </row>
    <row r="2123" spans="1:2" x14ac:dyDescent="0.25">
      <c r="A2123" t="s">
        <v>2123</v>
      </c>
      <c r="B2123" s="1">
        <v>36</v>
      </c>
    </row>
    <row r="2124" spans="1:2" x14ac:dyDescent="0.25">
      <c r="A2124" t="s">
        <v>2124</v>
      </c>
      <c r="B2124" s="1">
        <v>36</v>
      </c>
    </row>
    <row r="2125" spans="1:2" x14ac:dyDescent="0.25">
      <c r="A2125" t="s">
        <v>2125</v>
      </c>
      <c r="B2125" s="1">
        <v>36</v>
      </c>
    </row>
    <row r="2126" spans="1:2" x14ac:dyDescent="0.25">
      <c r="A2126" t="s">
        <v>2126</v>
      </c>
      <c r="B2126" s="1">
        <v>37</v>
      </c>
    </row>
    <row r="2127" spans="1:2" x14ac:dyDescent="0.25">
      <c r="A2127" t="s">
        <v>2127</v>
      </c>
      <c r="B2127" s="1">
        <v>37</v>
      </c>
    </row>
    <row r="2128" spans="1:2" x14ac:dyDescent="0.25">
      <c r="A2128" t="s">
        <v>2128</v>
      </c>
      <c r="B2128" s="1">
        <v>37</v>
      </c>
    </row>
    <row r="2129" spans="1:2" x14ac:dyDescent="0.25">
      <c r="A2129" t="s">
        <v>2129</v>
      </c>
      <c r="B2129" s="1">
        <v>37</v>
      </c>
    </row>
    <row r="2130" spans="1:2" x14ac:dyDescent="0.25">
      <c r="A2130" t="s">
        <v>2130</v>
      </c>
      <c r="B2130" s="1">
        <v>37</v>
      </c>
    </row>
    <row r="2131" spans="1:2" x14ac:dyDescent="0.25">
      <c r="A2131" t="s">
        <v>2131</v>
      </c>
      <c r="B2131" s="1">
        <v>37</v>
      </c>
    </row>
    <row r="2132" spans="1:2" x14ac:dyDescent="0.25">
      <c r="A2132" t="s">
        <v>2132</v>
      </c>
      <c r="B2132" s="1">
        <v>37</v>
      </c>
    </row>
    <row r="2133" spans="1:2" x14ac:dyDescent="0.25">
      <c r="A2133" t="s">
        <v>2133</v>
      </c>
      <c r="B2133" s="1">
        <v>38</v>
      </c>
    </row>
    <row r="2134" spans="1:2" x14ac:dyDescent="0.25">
      <c r="A2134" t="s">
        <v>2134</v>
      </c>
      <c r="B2134" s="1">
        <v>38</v>
      </c>
    </row>
    <row r="2135" spans="1:2" x14ac:dyDescent="0.25">
      <c r="A2135" t="s">
        <v>2135</v>
      </c>
      <c r="B2135" s="1">
        <v>38</v>
      </c>
    </row>
    <row r="2136" spans="1:2" x14ac:dyDescent="0.25">
      <c r="A2136" t="s">
        <v>2136</v>
      </c>
      <c r="B2136" s="1">
        <v>38</v>
      </c>
    </row>
    <row r="2137" spans="1:2" x14ac:dyDescent="0.25">
      <c r="A2137" t="s">
        <v>2137</v>
      </c>
      <c r="B2137" s="1">
        <v>38</v>
      </c>
    </row>
    <row r="2138" spans="1:2" x14ac:dyDescent="0.25">
      <c r="A2138" t="s">
        <v>2138</v>
      </c>
      <c r="B2138" s="1">
        <v>39</v>
      </c>
    </row>
    <row r="2139" spans="1:2" x14ac:dyDescent="0.25">
      <c r="A2139" t="s">
        <v>2139</v>
      </c>
      <c r="B2139" s="1">
        <v>39</v>
      </c>
    </row>
    <row r="2140" spans="1:2" x14ac:dyDescent="0.25">
      <c r="A2140" t="s">
        <v>2140</v>
      </c>
      <c r="B2140" s="1">
        <v>39</v>
      </c>
    </row>
    <row r="2141" spans="1:2" x14ac:dyDescent="0.25">
      <c r="A2141" t="s">
        <v>2141</v>
      </c>
      <c r="B2141" s="1">
        <v>40</v>
      </c>
    </row>
    <row r="2142" spans="1:2" x14ac:dyDescent="0.25">
      <c r="A2142" t="s">
        <v>2142</v>
      </c>
      <c r="B2142" s="1">
        <v>40</v>
      </c>
    </row>
    <row r="2143" spans="1:2" x14ac:dyDescent="0.25">
      <c r="A2143" t="s">
        <v>2143</v>
      </c>
      <c r="B2143" s="1">
        <v>40</v>
      </c>
    </row>
    <row r="2144" spans="1:2" x14ac:dyDescent="0.25">
      <c r="A2144" t="s">
        <v>2144</v>
      </c>
      <c r="B2144" s="1">
        <v>41</v>
      </c>
    </row>
    <row r="2145" spans="1:2" x14ac:dyDescent="0.25">
      <c r="A2145" t="s">
        <v>2145</v>
      </c>
      <c r="B2145" s="1">
        <v>41</v>
      </c>
    </row>
    <row r="2146" spans="1:2" x14ac:dyDescent="0.25">
      <c r="A2146" t="s">
        <v>2146</v>
      </c>
      <c r="B2146" s="1">
        <v>41</v>
      </c>
    </row>
    <row r="2147" spans="1:2" x14ac:dyDescent="0.25">
      <c r="A2147" t="s">
        <v>2147</v>
      </c>
      <c r="B2147" s="1">
        <v>41.6</v>
      </c>
    </row>
    <row r="2148" spans="1:2" x14ac:dyDescent="0.25">
      <c r="A2148" t="s">
        <v>2148</v>
      </c>
      <c r="B2148" s="1">
        <v>44</v>
      </c>
    </row>
    <row r="2149" spans="1:2" x14ac:dyDescent="0.25">
      <c r="A2149" t="s">
        <v>2149</v>
      </c>
      <c r="B2149" s="1">
        <v>45</v>
      </c>
    </row>
    <row r="2150" spans="1:2" x14ac:dyDescent="0.25">
      <c r="A2150" t="s">
        <v>2150</v>
      </c>
      <c r="B2150" s="1">
        <v>45</v>
      </c>
    </row>
    <row r="2151" spans="1:2" x14ac:dyDescent="0.25">
      <c r="A2151" t="s">
        <v>2151</v>
      </c>
      <c r="B2151" s="1">
        <v>46</v>
      </c>
    </row>
    <row r="2152" spans="1:2" x14ac:dyDescent="0.25">
      <c r="A2152" t="s">
        <v>2152</v>
      </c>
      <c r="B2152" s="1">
        <v>46</v>
      </c>
    </row>
    <row r="2153" spans="1:2" x14ac:dyDescent="0.25">
      <c r="A2153" t="s">
        <v>2153</v>
      </c>
      <c r="B2153" s="1">
        <v>46</v>
      </c>
    </row>
    <row r="2154" spans="1:2" x14ac:dyDescent="0.25">
      <c r="A2154" t="s">
        <v>2154</v>
      </c>
      <c r="B2154" s="1">
        <v>47</v>
      </c>
    </row>
    <row r="2155" spans="1:2" x14ac:dyDescent="0.25">
      <c r="A2155" t="s">
        <v>2155</v>
      </c>
      <c r="B2155" s="1">
        <v>49</v>
      </c>
    </row>
    <row r="2156" spans="1:2" x14ac:dyDescent="0.25">
      <c r="A2156" t="s">
        <v>2156</v>
      </c>
      <c r="B2156" s="1">
        <v>49</v>
      </c>
    </row>
    <row r="2157" spans="1:2" x14ac:dyDescent="0.25">
      <c r="A2157" t="s">
        <v>2157</v>
      </c>
      <c r="B2157" s="1">
        <v>49</v>
      </c>
    </row>
    <row r="2158" spans="1:2" x14ac:dyDescent="0.25">
      <c r="A2158" t="s">
        <v>2158</v>
      </c>
      <c r="B2158" s="1">
        <v>50</v>
      </c>
    </row>
    <row r="2159" spans="1:2" x14ac:dyDescent="0.25">
      <c r="A2159" t="s">
        <v>2159</v>
      </c>
      <c r="B2159" s="1">
        <v>50</v>
      </c>
    </row>
    <row r="2160" spans="1:2" x14ac:dyDescent="0.25">
      <c r="A2160" t="s">
        <v>2160</v>
      </c>
      <c r="B2160" s="1">
        <v>50</v>
      </c>
    </row>
    <row r="2161" spans="1:2" x14ac:dyDescent="0.25">
      <c r="A2161" t="s">
        <v>2161</v>
      </c>
      <c r="B2161" s="1">
        <v>50</v>
      </c>
    </row>
    <row r="2162" spans="1:2" x14ac:dyDescent="0.25">
      <c r="A2162" t="s">
        <v>2162</v>
      </c>
      <c r="B2162" s="1">
        <v>50</v>
      </c>
    </row>
    <row r="2163" spans="1:2" x14ac:dyDescent="0.25">
      <c r="A2163" t="s">
        <v>2163</v>
      </c>
      <c r="B2163" s="1">
        <v>50</v>
      </c>
    </row>
    <row r="2164" spans="1:2" x14ac:dyDescent="0.25">
      <c r="A2164" t="s">
        <v>2164</v>
      </c>
      <c r="B2164" s="1">
        <v>50</v>
      </c>
    </row>
    <row r="2165" spans="1:2" x14ac:dyDescent="0.25">
      <c r="A2165" t="s">
        <v>2165</v>
      </c>
      <c r="B2165" s="1">
        <v>50</v>
      </c>
    </row>
    <row r="2166" spans="1:2" x14ac:dyDescent="0.25">
      <c r="A2166" t="s">
        <v>2166</v>
      </c>
      <c r="B2166" s="1">
        <v>50</v>
      </c>
    </row>
    <row r="2167" spans="1:2" x14ac:dyDescent="0.25">
      <c r="A2167" t="s">
        <v>2167</v>
      </c>
      <c r="B2167" s="1">
        <v>50</v>
      </c>
    </row>
    <row r="2168" spans="1:2" x14ac:dyDescent="0.25">
      <c r="A2168" t="s">
        <v>2168</v>
      </c>
      <c r="B2168" s="1">
        <v>50</v>
      </c>
    </row>
    <row r="2169" spans="1:2" x14ac:dyDescent="0.25">
      <c r="A2169" t="s">
        <v>2169</v>
      </c>
      <c r="B2169" s="1">
        <v>50</v>
      </c>
    </row>
    <row r="2170" spans="1:2" x14ac:dyDescent="0.25">
      <c r="A2170" t="s">
        <v>2170</v>
      </c>
      <c r="B2170" s="1">
        <v>50</v>
      </c>
    </row>
    <row r="2171" spans="1:2" x14ac:dyDescent="0.25">
      <c r="A2171" t="s">
        <v>2171</v>
      </c>
      <c r="B2171" s="1">
        <v>50</v>
      </c>
    </row>
    <row r="2172" spans="1:2" x14ac:dyDescent="0.25">
      <c r="A2172" t="s">
        <v>2172</v>
      </c>
      <c r="B2172" s="1">
        <v>50</v>
      </c>
    </row>
    <row r="2173" spans="1:2" x14ac:dyDescent="0.25">
      <c r="A2173" t="s">
        <v>2173</v>
      </c>
      <c r="B2173" s="1">
        <v>50</v>
      </c>
    </row>
    <row r="2174" spans="1:2" x14ac:dyDescent="0.25">
      <c r="A2174" t="s">
        <v>2174</v>
      </c>
      <c r="B2174" s="1">
        <v>50</v>
      </c>
    </row>
    <row r="2175" spans="1:2" x14ac:dyDescent="0.25">
      <c r="A2175" t="s">
        <v>2175</v>
      </c>
      <c r="B2175" s="1">
        <v>50</v>
      </c>
    </row>
    <row r="2176" spans="1:2" x14ac:dyDescent="0.25">
      <c r="A2176" t="s">
        <v>2176</v>
      </c>
      <c r="B2176" s="1">
        <v>50</v>
      </c>
    </row>
    <row r="2177" spans="1:2" x14ac:dyDescent="0.25">
      <c r="A2177" t="s">
        <v>2177</v>
      </c>
      <c r="B2177" s="1">
        <v>50</v>
      </c>
    </row>
    <row r="2178" spans="1:2" x14ac:dyDescent="0.25">
      <c r="A2178" t="s">
        <v>2178</v>
      </c>
      <c r="B2178" s="1">
        <v>50</v>
      </c>
    </row>
    <row r="2179" spans="1:2" x14ac:dyDescent="0.25">
      <c r="A2179" t="s">
        <v>2179</v>
      </c>
      <c r="B2179" s="1">
        <v>50</v>
      </c>
    </row>
    <row r="2180" spans="1:2" x14ac:dyDescent="0.25">
      <c r="A2180" t="s">
        <v>2180</v>
      </c>
      <c r="B2180" s="1">
        <v>50</v>
      </c>
    </row>
    <row r="2181" spans="1:2" x14ac:dyDescent="0.25">
      <c r="A2181" t="s">
        <v>2181</v>
      </c>
      <c r="B2181" s="1">
        <v>50</v>
      </c>
    </row>
    <row r="2182" spans="1:2" x14ac:dyDescent="0.25">
      <c r="A2182" t="s">
        <v>2182</v>
      </c>
      <c r="B2182" s="1">
        <v>50</v>
      </c>
    </row>
    <row r="2183" spans="1:2" x14ac:dyDescent="0.25">
      <c r="A2183" t="s">
        <v>2183</v>
      </c>
      <c r="B2183" s="1">
        <v>50</v>
      </c>
    </row>
    <row r="2184" spans="1:2" x14ac:dyDescent="0.25">
      <c r="A2184" t="s">
        <v>2184</v>
      </c>
      <c r="B2184" s="1">
        <v>50</v>
      </c>
    </row>
    <row r="2185" spans="1:2" x14ac:dyDescent="0.25">
      <c r="A2185" t="s">
        <v>2185</v>
      </c>
      <c r="B2185" s="1">
        <v>50</v>
      </c>
    </row>
    <row r="2186" spans="1:2" x14ac:dyDescent="0.25">
      <c r="A2186" t="s">
        <v>2186</v>
      </c>
      <c r="B2186" s="1">
        <v>50</v>
      </c>
    </row>
    <row r="2187" spans="1:2" x14ac:dyDescent="0.25">
      <c r="A2187" t="s">
        <v>2187</v>
      </c>
      <c r="B2187" s="1">
        <v>50</v>
      </c>
    </row>
    <row r="2188" spans="1:2" x14ac:dyDescent="0.25">
      <c r="A2188" t="s">
        <v>2188</v>
      </c>
      <c r="B2188" s="1">
        <v>50</v>
      </c>
    </row>
    <row r="2189" spans="1:2" x14ac:dyDescent="0.25">
      <c r="A2189" t="s">
        <v>2189</v>
      </c>
      <c r="B2189" s="1">
        <v>50</v>
      </c>
    </row>
    <row r="2190" spans="1:2" x14ac:dyDescent="0.25">
      <c r="A2190" t="s">
        <v>2190</v>
      </c>
      <c r="B2190" s="1">
        <v>50</v>
      </c>
    </row>
    <row r="2191" spans="1:2" x14ac:dyDescent="0.25">
      <c r="A2191" t="s">
        <v>2191</v>
      </c>
      <c r="B2191" s="1">
        <v>50</v>
      </c>
    </row>
    <row r="2192" spans="1:2" x14ac:dyDescent="0.25">
      <c r="A2192" t="s">
        <v>2192</v>
      </c>
      <c r="B2192" s="1">
        <v>50</v>
      </c>
    </row>
    <row r="2193" spans="1:2" x14ac:dyDescent="0.25">
      <c r="A2193" t="s">
        <v>2193</v>
      </c>
      <c r="B2193" s="1">
        <v>50</v>
      </c>
    </row>
    <row r="2194" spans="1:2" x14ac:dyDescent="0.25">
      <c r="A2194" t="s">
        <v>2194</v>
      </c>
      <c r="B2194" s="1">
        <v>50</v>
      </c>
    </row>
    <row r="2195" spans="1:2" x14ac:dyDescent="0.25">
      <c r="A2195" t="s">
        <v>2195</v>
      </c>
      <c r="B2195" s="1">
        <v>50</v>
      </c>
    </row>
    <row r="2196" spans="1:2" x14ac:dyDescent="0.25">
      <c r="A2196" t="s">
        <v>2196</v>
      </c>
      <c r="B2196" s="1">
        <v>51</v>
      </c>
    </row>
    <row r="2197" spans="1:2" x14ac:dyDescent="0.25">
      <c r="A2197" t="s">
        <v>2197</v>
      </c>
      <c r="B2197" s="1">
        <v>51</v>
      </c>
    </row>
    <row r="2198" spans="1:2" x14ac:dyDescent="0.25">
      <c r="A2198" t="s">
        <v>2198</v>
      </c>
      <c r="B2198" s="1">
        <v>54</v>
      </c>
    </row>
    <row r="2199" spans="1:2" x14ac:dyDescent="0.25">
      <c r="A2199" t="s">
        <v>2199</v>
      </c>
      <c r="B2199" s="1">
        <v>55</v>
      </c>
    </row>
    <row r="2200" spans="1:2" x14ac:dyDescent="0.25">
      <c r="A2200" t="s">
        <v>2200</v>
      </c>
      <c r="B2200" s="1">
        <v>57</v>
      </c>
    </row>
    <row r="2201" spans="1:2" x14ac:dyDescent="0.25">
      <c r="A2201" t="s">
        <v>2201</v>
      </c>
      <c r="B2201" s="1">
        <v>58</v>
      </c>
    </row>
    <row r="2202" spans="1:2" x14ac:dyDescent="0.25">
      <c r="A2202" t="s">
        <v>2202</v>
      </c>
      <c r="B2202" s="1">
        <v>59</v>
      </c>
    </row>
    <row r="2203" spans="1:2" x14ac:dyDescent="0.25">
      <c r="A2203" t="s">
        <v>2203</v>
      </c>
      <c r="B2203" s="1">
        <v>59</v>
      </c>
    </row>
    <row r="2204" spans="1:2" x14ac:dyDescent="0.25">
      <c r="A2204" t="s">
        <v>2204</v>
      </c>
      <c r="B2204" s="1">
        <v>59</v>
      </c>
    </row>
    <row r="2205" spans="1:2" x14ac:dyDescent="0.25">
      <c r="A2205" t="s">
        <v>2205</v>
      </c>
      <c r="B2205" s="1">
        <v>59</v>
      </c>
    </row>
    <row r="2206" spans="1:2" x14ac:dyDescent="0.25">
      <c r="A2206" t="s">
        <v>2206</v>
      </c>
      <c r="B2206" s="1">
        <v>59</v>
      </c>
    </row>
    <row r="2207" spans="1:2" x14ac:dyDescent="0.25">
      <c r="A2207" t="s">
        <v>2207</v>
      </c>
      <c r="B2207" s="1">
        <v>59</v>
      </c>
    </row>
    <row r="2208" spans="1:2" x14ac:dyDescent="0.25">
      <c r="A2208" t="s">
        <v>2208</v>
      </c>
      <c r="B2208" s="1">
        <v>59</v>
      </c>
    </row>
    <row r="2209" spans="1:2" x14ac:dyDescent="0.25">
      <c r="A2209" t="s">
        <v>2209</v>
      </c>
      <c r="B2209" s="1">
        <v>59</v>
      </c>
    </row>
    <row r="2210" spans="1:2" x14ac:dyDescent="0.25">
      <c r="A2210" t="s">
        <v>2210</v>
      </c>
      <c r="B2210" s="1">
        <v>59</v>
      </c>
    </row>
    <row r="2211" spans="1:2" x14ac:dyDescent="0.25">
      <c r="A2211" t="s">
        <v>2211</v>
      </c>
      <c r="B2211" s="1">
        <v>59</v>
      </c>
    </row>
    <row r="2212" spans="1:2" x14ac:dyDescent="0.25">
      <c r="A2212" t="s">
        <v>2212</v>
      </c>
      <c r="B2212" s="1">
        <v>59</v>
      </c>
    </row>
    <row r="2213" spans="1:2" x14ac:dyDescent="0.25">
      <c r="A2213" t="s">
        <v>2213</v>
      </c>
      <c r="B2213" s="1">
        <v>59</v>
      </c>
    </row>
    <row r="2214" spans="1:2" x14ac:dyDescent="0.25">
      <c r="A2214" t="s">
        <v>2214</v>
      </c>
      <c r="B2214" s="1">
        <v>59</v>
      </c>
    </row>
    <row r="2215" spans="1:2" x14ac:dyDescent="0.25">
      <c r="A2215" t="s">
        <v>2215</v>
      </c>
      <c r="B2215" s="1">
        <v>59</v>
      </c>
    </row>
    <row r="2216" spans="1:2" x14ac:dyDescent="0.25">
      <c r="A2216" t="s">
        <v>2216</v>
      </c>
      <c r="B2216" s="1">
        <v>59</v>
      </c>
    </row>
    <row r="2217" spans="1:2" x14ac:dyDescent="0.25">
      <c r="A2217" t="s">
        <v>2217</v>
      </c>
      <c r="B2217" s="1">
        <v>59</v>
      </c>
    </row>
    <row r="2218" spans="1:2" x14ac:dyDescent="0.25">
      <c r="A2218" t="s">
        <v>2218</v>
      </c>
      <c r="B2218" s="1">
        <v>59</v>
      </c>
    </row>
    <row r="2219" spans="1:2" x14ac:dyDescent="0.25">
      <c r="A2219" t="s">
        <v>2219</v>
      </c>
      <c r="B2219" s="1">
        <v>59</v>
      </c>
    </row>
    <row r="2220" spans="1:2" x14ac:dyDescent="0.25">
      <c r="A2220" t="s">
        <v>2220</v>
      </c>
      <c r="B2220" s="1">
        <v>59</v>
      </c>
    </row>
    <row r="2221" spans="1:2" x14ac:dyDescent="0.25">
      <c r="A2221" t="s">
        <v>2221</v>
      </c>
      <c r="B2221" s="1">
        <v>59</v>
      </c>
    </row>
    <row r="2222" spans="1:2" x14ac:dyDescent="0.25">
      <c r="A2222" t="s">
        <v>2222</v>
      </c>
      <c r="B2222" s="1">
        <v>59</v>
      </c>
    </row>
    <row r="2223" spans="1:2" x14ac:dyDescent="0.25">
      <c r="A2223" t="s">
        <v>2223</v>
      </c>
      <c r="B2223" s="1">
        <v>59</v>
      </c>
    </row>
    <row r="2224" spans="1:2" x14ac:dyDescent="0.25">
      <c r="A2224" t="s">
        <v>2224</v>
      </c>
      <c r="B2224" s="1">
        <v>59</v>
      </c>
    </row>
    <row r="2225" spans="1:2" x14ac:dyDescent="0.25">
      <c r="A2225" t="s">
        <v>2225</v>
      </c>
      <c r="B2225" s="1">
        <v>59</v>
      </c>
    </row>
    <row r="2226" spans="1:2" x14ac:dyDescent="0.25">
      <c r="A2226" t="s">
        <v>2226</v>
      </c>
      <c r="B2226" s="1">
        <v>59</v>
      </c>
    </row>
    <row r="2227" spans="1:2" x14ac:dyDescent="0.25">
      <c r="A2227" t="s">
        <v>2227</v>
      </c>
      <c r="B2227" s="1">
        <v>59</v>
      </c>
    </row>
    <row r="2228" spans="1:2" x14ac:dyDescent="0.25">
      <c r="A2228" t="s">
        <v>2228</v>
      </c>
      <c r="B2228" s="1">
        <v>59</v>
      </c>
    </row>
    <row r="2229" spans="1:2" x14ac:dyDescent="0.25">
      <c r="A2229" t="s">
        <v>2229</v>
      </c>
      <c r="B2229" s="1">
        <v>59</v>
      </c>
    </row>
    <row r="2230" spans="1:2" x14ac:dyDescent="0.25">
      <c r="A2230" t="s">
        <v>2230</v>
      </c>
      <c r="B2230" s="1">
        <v>60</v>
      </c>
    </row>
    <row r="2231" spans="1:2" x14ac:dyDescent="0.25">
      <c r="A2231" t="s">
        <v>2231</v>
      </c>
      <c r="B2231" s="1">
        <v>60</v>
      </c>
    </row>
    <row r="2232" spans="1:2" x14ac:dyDescent="0.25">
      <c r="A2232" t="s">
        <v>2232</v>
      </c>
      <c r="B2232" s="1">
        <v>60</v>
      </c>
    </row>
    <row r="2233" spans="1:2" x14ac:dyDescent="0.25">
      <c r="A2233" t="s">
        <v>2233</v>
      </c>
      <c r="B2233" s="1">
        <v>60</v>
      </c>
    </row>
    <row r="2234" spans="1:2" x14ac:dyDescent="0.25">
      <c r="A2234" t="s">
        <v>2234</v>
      </c>
      <c r="B2234" s="1">
        <v>60</v>
      </c>
    </row>
    <row r="2235" spans="1:2" x14ac:dyDescent="0.25">
      <c r="A2235" t="s">
        <v>2235</v>
      </c>
      <c r="B2235" s="1">
        <v>60</v>
      </c>
    </row>
    <row r="2236" spans="1:2" x14ac:dyDescent="0.25">
      <c r="A2236" t="s">
        <v>2236</v>
      </c>
      <c r="B2236" s="1">
        <v>61</v>
      </c>
    </row>
    <row r="2237" spans="1:2" x14ac:dyDescent="0.25">
      <c r="A2237" t="s">
        <v>2237</v>
      </c>
      <c r="B2237" s="1">
        <v>61</v>
      </c>
    </row>
    <row r="2238" spans="1:2" x14ac:dyDescent="0.25">
      <c r="A2238" t="s">
        <v>2238</v>
      </c>
      <c r="B2238" s="1">
        <v>62</v>
      </c>
    </row>
    <row r="2239" spans="1:2" x14ac:dyDescent="0.25">
      <c r="A2239" t="s">
        <v>2239</v>
      </c>
      <c r="B2239" s="1">
        <v>63</v>
      </c>
    </row>
    <row r="2240" spans="1:2" x14ac:dyDescent="0.25">
      <c r="A2240" t="s">
        <v>2240</v>
      </c>
      <c r="B2240" s="1">
        <v>63</v>
      </c>
    </row>
    <row r="2241" spans="1:2" x14ac:dyDescent="0.25">
      <c r="A2241" t="s">
        <v>2241</v>
      </c>
      <c r="B2241" s="1">
        <v>63</v>
      </c>
    </row>
    <row r="2242" spans="1:2" x14ac:dyDescent="0.25">
      <c r="A2242" t="s">
        <v>2242</v>
      </c>
      <c r="B2242" s="1">
        <v>64</v>
      </c>
    </row>
    <row r="2243" spans="1:2" x14ac:dyDescent="0.25">
      <c r="A2243" t="s">
        <v>2243</v>
      </c>
      <c r="B2243" s="1">
        <v>66</v>
      </c>
    </row>
    <row r="2244" spans="1:2" x14ac:dyDescent="0.25">
      <c r="A2244" t="s">
        <v>2244</v>
      </c>
      <c r="B2244" s="1">
        <v>66</v>
      </c>
    </row>
    <row r="2245" spans="1:2" x14ac:dyDescent="0.25">
      <c r="A2245" t="s">
        <v>2245</v>
      </c>
      <c r="B2245" s="1">
        <v>67</v>
      </c>
    </row>
    <row r="2246" spans="1:2" x14ac:dyDescent="0.25">
      <c r="A2246" t="s">
        <v>2246</v>
      </c>
      <c r="B2246" s="1">
        <v>67</v>
      </c>
    </row>
    <row r="2247" spans="1:2" x14ac:dyDescent="0.25">
      <c r="A2247" t="s">
        <v>2247</v>
      </c>
      <c r="B2247" s="1">
        <v>69</v>
      </c>
    </row>
    <row r="2248" spans="1:2" x14ac:dyDescent="0.25">
      <c r="A2248" t="s">
        <v>2248</v>
      </c>
      <c r="B2248" s="1">
        <v>70</v>
      </c>
    </row>
    <row r="2249" spans="1:2" x14ac:dyDescent="0.25">
      <c r="A2249" t="s">
        <v>2249</v>
      </c>
      <c r="B2249" s="1">
        <v>70</v>
      </c>
    </row>
    <row r="2250" spans="1:2" x14ac:dyDescent="0.25">
      <c r="A2250" t="s">
        <v>2250</v>
      </c>
      <c r="B2250" s="1">
        <v>72</v>
      </c>
    </row>
    <row r="2251" spans="1:2" x14ac:dyDescent="0.25">
      <c r="A2251" t="s">
        <v>2251</v>
      </c>
      <c r="B2251" s="1">
        <v>74</v>
      </c>
    </row>
    <row r="2252" spans="1:2" x14ac:dyDescent="0.25">
      <c r="A2252" t="s">
        <v>2252</v>
      </c>
      <c r="B2252" s="1">
        <v>74</v>
      </c>
    </row>
    <row r="2253" spans="1:2" x14ac:dyDescent="0.25">
      <c r="A2253" t="s">
        <v>2253</v>
      </c>
      <c r="B2253" s="1">
        <v>76</v>
      </c>
    </row>
    <row r="2254" spans="1:2" x14ac:dyDescent="0.25">
      <c r="A2254" t="s">
        <v>2254</v>
      </c>
      <c r="B2254" s="1">
        <v>76</v>
      </c>
    </row>
    <row r="2255" spans="1:2" x14ac:dyDescent="0.25">
      <c r="A2255" t="s">
        <v>2255</v>
      </c>
      <c r="B2255" s="1">
        <v>76</v>
      </c>
    </row>
    <row r="2256" spans="1:2" x14ac:dyDescent="0.25">
      <c r="A2256" t="s">
        <v>2256</v>
      </c>
      <c r="B2256" s="1">
        <v>76</v>
      </c>
    </row>
    <row r="2257" spans="1:2" x14ac:dyDescent="0.25">
      <c r="A2257" t="s">
        <v>2257</v>
      </c>
      <c r="B2257" s="1">
        <v>76</v>
      </c>
    </row>
    <row r="2258" spans="1:2" x14ac:dyDescent="0.25">
      <c r="A2258" t="s">
        <v>2258</v>
      </c>
      <c r="B2258" s="1">
        <v>76</v>
      </c>
    </row>
    <row r="2259" spans="1:2" x14ac:dyDescent="0.25">
      <c r="A2259" t="s">
        <v>2259</v>
      </c>
      <c r="B2259" s="1">
        <v>77</v>
      </c>
    </row>
    <row r="2260" spans="1:2" x14ac:dyDescent="0.25">
      <c r="A2260" t="s">
        <v>2260</v>
      </c>
      <c r="B2260" s="1">
        <v>77</v>
      </c>
    </row>
    <row r="2261" spans="1:2" x14ac:dyDescent="0.25">
      <c r="A2261" t="s">
        <v>2261</v>
      </c>
      <c r="B2261" s="1">
        <v>78</v>
      </c>
    </row>
    <row r="2262" spans="1:2" x14ac:dyDescent="0.25">
      <c r="A2262" t="s">
        <v>2262</v>
      </c>
      <c r="B2262" s="1">
        <v>78</v>
      </c>
    </row>
    <row r="2263" spans="1:2" x14ac:dyDescent="0.25">
      <c r="A2263" t="s">
        <v>2263</v>
      </c>
      <c r="B2263" s="1">
        <v>78</v>
      </c>
    </row>
    <row r="2264" spans="1:2" x14ac:dyDescent="0.25">
      <c r="A2264" t="s">
        <v>2264</v>
      </c>
      <c r="B2264" s="1">
        <v>79</v>
      </c>
    </row>
    <row r="2265" spans="1:2" x14ac:dyDescent="0.25">
      <c r="A2265" t="s">
        <v>2265</v>
      </c>
      <c r="B2265" s="1">
        <v>79</v>
      </c>
    </row>
    <row r="2266" spans="1:2" x14ac:dyDescent="0.25">
      <c r="A2266" t="s">
        <v>2266</v>
      </c>
      <c r="B2266" s="1">
        <v>79</v>
      </c>
    </row>
    <row r="2267" spans="1:2" x14ac:dyDescent="0.25">
      <c r="A2267" t="s">
        <v>2267</v>
      </c>
      <c r="B2267" s="1">
        <v>80</v>
      </c>
    </row>
    <row r="2268" spans="1:2" x14ac:dyDescent="0.25">
      <c r="A2268" t="s">
        <v>2268</v>
      </c>
      <c r="B2268" s="1">
        <v>80</v>
      </c>
    </row>
    <row r="2269" spans="1:2" x14ac:dyDescent="0.25">
      <c r="A2269" t="s">
        <v>2269</v>
      </c>
      <c r="B2269" s="1">
        <v>80</v>
      </c>
    </row>
    <row r="2270" spans="1:2" x14ac:dyDescent="0.25">
      <c r="A2270" t="s">
        <v>2270</v>
      </c>
      <c r="B2270" s="1">
        <v>80</v>
      </c>
    </row>
    <row r="2271" spans="1:2" x14ac:dyDescent="0.25">
      <c r="A2271" t="s">
        <v>2271</v>
      </c>
      <c r="B2271" s="1">
        <v>80</v>
      </c>
    </row>
    <row r="2272" spans="1:2" x14ac:dyDescent="0.25">
      <c r="A2272" t="s">
        <v>2272</v>
      </c>
      <c r="B2272" s="1">
        <v>80</v>
      </c>
    </row>
    <row r="2273" spans="1:2" x14ac:dyDescent="0.25">
      <c r="A2273" t="s">
        <v>2273</v>
      </c>
      <c r="B2273" s="1">
        <v>80</v>
      </c>
    </row>
    <row r="2274" spans="1:2" x14ac:dyDescent="0.25">
      <c r="A2274" t="s">
        <v>2274</v>
      </c>
      <c r="B2274" s="1">
        <v>80</v>
      </c>
    </row>
    <row r="2275" spans="1:2" x14ac:dyDescent="0.25">
      <c r="A2275" t="s">
        <v>2275</v>
      </c>
      <c r="B2275" s="1">
        <v>80</v>
      </c>
    </row>
    <row r="2276" spans="1:2" x14ac:dyDescent="0.25">
      <c r="A2276" t="s">
        <v>2276</v>
      </c>
      <c r="B2276" s="1">
        <v>80</v>
      </c>
    </row>
    <row r="2277" spans="1:2" x14ac:dyDescent="0.25">
      <c r="A2277" t="s">
        <v>2277</v>
      </c>
      <c r="B2277" s="1">
        <v>81</v>
      </c>
    </row>
    <row r="2278" spans="1:2" x14ac:dyDescent="0.25">
      <c r="A2278" t="s">
        <v>2278</v>
      </c>
      <c r="B2278" s="1">
        <v>82</v>
      </c>
    </row>
    <row r="2279" spans="1:2" x14ac:dyDescent="0.25">
      <c r="A2279" t="s">
        <v>2279</v>
      </c>
      <c r="B2279" s="1">
        <v>82</v>
      </c>
    </row>
    <row r="2280" spans="1:2" x14ac:dyDescent="0.25">
      <c r="A2280" t="s">
        <v>2280</v>
      </c>
      <c r="B2280" s="1">
        <v>84</v>
      </c>
    </row>
    <row r="2281" spans="1:2" x14ac:dyDescent="0.25">
      <c r="A2281" t="s">
        <v>2281</v>
      </c>
      <c r="B2281" s="1">
        <v>84</v>
      </c>
    </row>
    <row r="2282" spans="1:2" x14ac:dyDescent="0.25">
      <c r="A2282" t="s">
        <v>2282</v>
      </c>
      <c r="B2282" s="1">
        <v>85</v>
      </c>
    </row>
    <row r="2283" spans="1:2" x14ac:dyDescent="0.25">
      <c r="A2283" t="s">
        <v>2283</v>
      </c>
      <c r="B2283" s="1">
        <v>85</v>
      </c>
    </row>
    <row r="2284" spans="1:2" x14ac:dyDescent="0.25">
      <c r="A2284" t="s">
        <v>2284</v>
      </c>
      <c r="B2284" s="1">
        <v>85</v>
      </c>
    </row>
    <row r="2285" spans="1:2" x14ac:dyDescent="0.25">
      <c r="A2285" t="s">
        <v>2285</v>
      </c>
      <c r="B2285" s="1">
        <v>85</v>
      </c>
    </row>
    <row r="2286" spans="1:2" x14ac:dyDescent="0.25">
      <c r="A2286" t="s">
        <v>2286</v>
      </c>
      <c r="B2286" s="1">
        <v>86</v>
      </c>
    </row>
    <row r="2287" spans="1:2" x14ac:dyDescent="0.25">
      <c r="A2287" t="s">
        <v>2287</v>
      </c>
      <c r="B2287" s="1">
        <v>88</v>
      </c>
    </row>
    <row r="2288" spans="1:2" x14ac:dyDescent="0.25">
      <c r="A2288" t="s">
        <v>2288</v>
      </c>
      <c r="B2288" s="1">
        <v>88</v>
      </c>
    </row>
    <row r="2289" spans="1:2" x14ac:dyDescent="0.25">
      <c r="A2289" t="s">
        <v>2289</v>
      </c>
      <c r="B2289" s="1">
        <v>89</v>
      </c>
    </row>
    <row r="2290" spans="1:2" x14ac:dyDescent="0.25">
      <c r="A2290" t="s">
        <v>2290</v>
      </c>
      <c r="B2290" s="1">
        <v>89</v>
      </c>
    </row>
    <row r="2291" spans="1:2" x14ac:dyDescent="0.25">
      <c r="A2291" t="s">
        <v>2291</v>
      </c>
      <c r="B2291" s="1">
        <v>89</v>
      </c>
    </row>
    <row r="2292" spans="1:2" x14ac:dyDescent="0.25">
      <c r="A2292" t="s">
        <v>2292</v>
      </c>
      <c r="B2292" s="1">
        <v>89</v>
      </c>
    </row>
    <row r="2293" spans="1:2" x14ac:dyDescent="0.25">
      <c r="A2293" t="s">
        <v>2293</v>
      </c>
      <c r="B2293" s="1">
        <v>89</v>
      </c>
    </row>
    <row r="2294" spans="1:2" x14ac:dyDescent="0.25">
      <c r="A2294" t="s">
        <v>2294</v>
      </c>
      <c r="B2294" s="1">
        <v>90</v>
      </c>
    </row>
    <row r="2295" spans="1:2" x14ac:dyDescent="0.25">
      <c r="A2295" t="s">
        <v>2295</v>
      </c>
      <c r="B2295" s="1">
        <v>90</v>
      </c>
    </row>
    <row r="2296" spans="1:2" x14ac:dyDescent="0.25">
      <c r="A2296" t="s">
        <v>2296</v>
      </c>
      <c r="B2296" s="1">
        <v>93</v>
      </c>
    </row>
    <row r="2297" spans="1:2" x14ac:dyDescent="0.25">
      <c r="A2297" t="s">
        <v>2297</v>
      </c>
      <c r="B2297" s="1">
        <v>93</v>
      </c>
    </row>
    <row r="2298" spans="1:2" x14ac:dyDescent="0.25">
      <c r="A2298" t="s">
        <v>2298</v>
      </c>
      <c r="B2298" s="1">
        <v>94</v>
      </c>
    </row>
    <row r="2299" spans="1:2" x14ac:dyDescent="0.25">
      <c r="A2299" t="s">
        <v>2299</v>
      </c>
      <c r="B2299" s="1">
        <v>94</v>
      </c>
    </row>
    <row r="2300" spans="1:2" x14ac:dyDescent="0.25">
      <c r="A2300" t="s">
        <v>2300</v>
      </c>
      <c r="B2300" s="1">
        <v>94</v>
      </c>
    </row>
    <row r="2301" spans="1:2" x14ac:dyDescent="0.25">
      <c r="A2301" t="s">
        <v>2301</v>
      </c>
      <c r="B2301" s="1">
        <v>95</v>
      </c>
    </row>
    <row r="2302" spans="1:2" x14ac:dyDescent="0.25">
      <c r="A2302" t="s">
        <v>2302</v>
      </c>
      <c r="B2302" s="1">
        <v>95</v>
      </c>
    </row>
    <row r="2303" spans="1:2" x14ac:dyDescent="0.25">
      <c r="A2303" t="s">
        <v>2303</v>
      </c>
      <c r="B2303" s="1">
        <v>96</v>
      </c>
    </row>
    <row r="2304" spans="1:2" x14ac:dyDescent="0.25">
      <c r="A2304" t="s">
        <v>2304</v>
      </c>
      <c r="B2304" s="1">
        <v>97</v>
      </c>
    </row>
    <row r="2305" spans="1:2" x14ac:dyDescent="0.25">
      <c r="A2305" t="s">
        <v>2305</v>
      </c>
      <c r="B2305" s="1">
        <v>97</v>
      </c>
    </row>
    <row r="2306" spans="1:2" x14ac:dyDescent="0.25">
      <c r="A2306" t="s">
        <v>2306</v>
      </c>
      <c r="B2306" s="1">
        <v>98</v>
      </c>
    </row>
    <row r="2307" spans="1:2" x14ac:dyDescent="0.25">
      <c r="A2307" t="s">
        <v>2307</v>
      </c>
      <c r="B2307" s="1">
        <v>98</v>
      </c>
    </row>
    <row r="2308" spans="1:2" x14ac:dyDescent="0.25">
      <c r="A2308" t="s">
        <v>2308</v>
      </c>
      <c r="B2308" s="1">
        <v>98</v>
      </c>
    </row>
    <row r="2309" spans="1:2" x14ac:dyDescent="0.25">
      <c r="A2309" t="s">
        <v>2309</v>
      </c>
      <c r="B2309" s="1">
        <v>100</v>
      </c>
    </row>
    <row r="2310" spans="1:2" x14ac:dyDescent="0.25">
      <c r="A2310" t="s">
        <v>2310</v>
      </c>
      <c r="B2310" s="1">
        <v>100</v>
      </c>
    </row>
    <row r="2311" spans="1:2" x14ac:dyDescent="0.25">
      <c r="A2311" t="s">
        <v>2311</v>
      </c>
      <c r="B2311" s="1">
        <v>100</v>
      </c>
    </row>
    <row r="2312" spans="1:2" x14ac:dyDescent="0.25">
      <c r="A2312" t="s">
        <v>2312</v>
      </c>
      <c r="B2312" s="1">
        <v>100</v>
      </c>
    </row>
    <row r="2313" spans="1:2" x14ac:dyDescent="0.25">
      <c r="A2313" t="s">
        <v>2313</v>
      </c>
      <c r="B2313" s="1">
        <v>100</v>
      </c>
    </row>
    <row r="2314" spans="1:2" x14ac:dyDescent="0.25">
      <c r="A2314" t="s">
        <v>2314</v>
      </c>
      <c r="B2314" s="1">
        <v>100</v>
      </c>
    </row>
    <row r="2315" spans="1:2" x14ac:dyDescent="0.25">
      <c r="A2315" t="s">
        <v>2315</v>
      </c>
      <c r="B2315" s="1">
        <v>100</v>
      </c>
    </row>
    <row r="2316" spans="1:2" x14ac:dyDescent="0.25">
      <c r="A2316" t="s">
        <v>2316</v>
      </c>
      <c r="B2316" s="1">
        <v>100</v>
      </c>
    </row>
    <row r="2317" spans="1:2" x14ac:dyDescent="0.25">
      <c r="A2317" t="s">
        <v>2317</v>
      </c>
      <c r="B2317" s="1">
        <v>100</v>
      </c>
    </row>
    <row r="2318" spans="1:2" x14ac:dyDescent="0.25">
      <c r="A2318" t="s">
        <v>2318</v>
      </c>
      <c r="B2318" s="1">
        <v>100</v>
      </c>
    </row>
    <row r="2319" spans="1:2" x14ac:dyDescent="0.25">
      <c r="A2319" t="s">
        <v>2319</v>
      </c>
      <c r="B2319" s="1">
        <v>100</v>
      </c>
    </row>
    <row r="2320" spans="1:2" x14ac:dyDescent="0.25">
      <c r="A2320" t="s">
        <v>2320</v>
      </c>
      <c r="B2320" s="1">
        <v>100</v>
      </c>
    </row>
    <row r="2321" spans="1:2" x14ac:dyDescent="0.25">
      <c r="A2321" t="s">
        <v>2321</v>
      </c>
      <c r="B2321" s="1">
        <v>100</v>
      </c>
    </row>
    <row r="2322" spans="1:2" x14ac:dyDescent="0.25">
      <c r="A2322" t="s">
        <v>2322</v>
      </c>
      <c r="B2322" s="1">
        <v>100</v>
      </c>
    </row>
    <row r="2323" spans="1:2" x14ac:dyDescent="0.25">
      <c r="A2323" t="s">
        <v>2323</v>
      </c>
      <c r="B2323" s="1">
        <v>100</v>
      </c>
    </row>
    <row r="2324" spans="1:2" x14ac:dyDescent="0.25">
      <c r="A2324" t="s">
        <v>2324</v>
      </c>
      <c r="B2324" s="1">
        <v>100</v>
      </c>
    </row>
    <row r="2325" spans="1:2" x14ac:dyDescent="0.25">
      <c r="A2325" t="s">
        <v>2325</v>
      </c>
      <c r="B2325" s="1">
        <v>100</v>
      </c>
    </row>
    <row r="2326" spans="1:2" x14ac:dyDescent="0.25">
      <c r="A2326" t="s">
        <v>2326</v>
      </c>
      <c r="B2326" s="1">
        <v>100</v>
      </c>
    </row>
    <row r="2327" spans="1:2" x14ac:dyDescent="0.25">
      <c r="A2327" t="s">
        <v>2327</v>
      </c>
      <c r="B2327" s="1">
        <v>100</v>
      </c>
    </row>
    <row r="2328" spans="1:2" x14ac:dyDescent="0.25">
      <c r="A2328" t="s">
        <v>2328</v>
      </c>
      <c r="B2328" s="1">
        <v>100</v>
      </c>
    </row>
    <row r="2329" spans="1:2" x14ac:dyDescent="0.25">
      <c r="A2329" t="s">
        <v>2329</v>
      </c>
      <c r="B2329" s="1">
        <v>100</v>
      </c>
    </row>
    <row r="2330" spans="1:2" x14ac:dyDescent="0.25">
      <c r="A2330" t="s">
        <v>2330</v>
      </c>
      <c r="B2330" s="1">
        <v>100</v>
      </c>
    </row>
    <row r="2331" spans="1:2" x14ac:dyDescent="0.25">
      <c r="A2331" t="s">
        <v>2331</v>
      </c>
      <c r="B2331" s="1">
        <v>100</v>
      </c>
    </row>
    <row r="2332" spans="1:2" x14ac:dyDescent="0.25">
      <c r="A2332" t="s">
        <v>2332</v>
      </c>
      <c r="B2332" s="1">
        <v>100</v>
      </c>
    </row>
    <row r="2333" spans="1:2" x14ac:dyDescent="0.25">
      <c r="A2333" t="s">
        <v>2333</v>
      </c>
      <c r="B2333" s="1">
        <v>100</v>
      </c>
    </row>
    <row r="2334" spans="1:2" x14ac:dyDescent="0.25">
      <c r="A2334" s="2" t="s">
        <v>2334</v>
      </c>
      <c r="B2334" s="3">
        <f>SUM(B2:B2333)</f>
        <v>15249.659000000012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F39D6-53A1-4DA8-8B45-0C523845FC4D}">
  <sheetPr filterMode="1"/>
  <dimension ref="A1:H2337"/>
  <sheetViews>
    <sheetView tabSelected="1" topLeftCell="A2332" workbookViewId="0">
      <selection activeCell="D2333" sqref="D2333"/>
    </sheetView>
  </sheetViews>
  <sheetFormatPr defaultRowHeight="15" x14ac:dyDescent="0.25"/>
  <cols>
    <col min="1" max="1" width="38.7109375" bestFit="1" customWidth="1"/>
    <col min="2" max="2" width="14" bestFit="1" customWidth="1"/>
    <col min="3" max="3" width="13.28515625" bestFit="1" customWidth="1"/>
    <col min="4" max="4" width="11.42578125" bestFit="1" customWidth="1"/>
    <col min="5" max="5" width="16.28515625" bestFit="1" customWidth="1"/>
    <col min="6" max="6" width="99" customWidth="1"/>
    <col min="7" max="7" width="89.85546875" customWidth="1"/>
    <col min="8" max="8" width="80.5703125" customWidth="1"/>
  </cols>
  <sheetData>
    <row r="1" spans="1:8" x14ac:dyDescent="0.25">
      <c r="A1" s="5" t="s">
        <v>8004</v>
      </c>
      <c r="B1" t="s">
        <v>8005</v>
      </c>
      <c r="D1" s="6" t="s">
        <v>8006</v>
      </c>
      <c r="E1" s="7" t="s">
        <v>8345</v>
      </c>
    </row>
    <row r="2" spans="1:8" ht="115.5" customHeight="1" x14ac:dyDescent="0.25">
      <c r="A2" t="s">
        <v>2</v>
      </c>
      <c r="B2" s="8" t="str">
        <f>VLOOKUP(A2,assortedcode!B:C,2,0)</f>
        <v>070000106483</v>
      </c>
      <c r="C2" s="1">
        <v>-100</v>
      </c>
      <c r="D2" s="9">
        <f>ROUND(C2,0)</f>
        <v>-100</v>
      </c>
      <c r="E2" s="7" t="s">
        <v>8345</v>
      </c>
      <c r="F2" s="10" t="str">
        <f t="shared" ref="F2:F65" si="0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2" s="11" t="str">
        <f>"('"&amp;E2&amp;"','"&amp;B2&amp;"','"&amp;ROUND(D2,2)&amp;"',(select max(to_number(i.premium_rcv_detail_code))+1
from ins_premium_det i),'"&amp;D2&amp;"','"&amp;D2&amp;"','02', '11000003','00','Request by Mr. Omair Ali 29-Nov-2024');"</f>
        <v>('28Nov240101','070000106483','-100',(select max(to_number(i.premium_rcv_detail_code))+1
from ins_premium_det i),'-100','-100','02', '11000003','00','Request by Mr. Omair Ali 29-Nov-2024');</v>
      </c>
      <c r="H2" s="12" t="str">
        <f>F2&amp;G2</f>
        <v>insert into ins_premium_det (premium_rcv_code,assorted_code, rec_amount,premium_rcv_detail_code,remaining_amt, payrec, mode_code,coinsurance_code,class_cd,it_remarks) values('28Nov240101','070000106483','-100',(select max(to_number(i.premium_rcv_detail_code))+1
from ins_premium_det i),'-100','-100','02', '11000003','00','Request by Mr. Omair Ali 29-Nov-2024');</v>
      </c>
    </row>
    <row r="3" spans="1:8" ht="105" x14ac:dyDescent="0.25">
      <c r="A3" t="s">
        <v>3</v>
      </c>
      <c r="B3" s="8" t="str">
        <f>VLOOKUP(A3,assortedcode!B:C,2,0)</f>
        <v>040000140987</v>
      </c>
      <c r="C3" s="1">
        <v>-100</v>
      </c>
      <c r="D3" s="9">
        <f t="shared" ref="D3:D66" si="1">ROUND(C3,0)</f>
        <v>-100</v>
      </c>
      <c r="E3" s="7" t="s">
        <v>8345</v>
      </c>
      <c r="F3" s="10" t="str">
        <f t="shared" si="0"/>
        <v>insert into ins_premium_det (premium_rcv_code,assorted_code, rec_amount,premium_rcv_detail_code,remaining_amt, payrec, mode_code,coinsurance_code,class_cd,it_remarks) values</v>
      </c>
      <c r="G3" s="11" t="str">
        <f t="shared" ref="G3:G66" si="2">"('"&amp;E3&amp;"','"&amp;B3&amp;"','"&amp;ROUND(D3,2)&amp;"',(select max(to_number(i.premium_rcv_detail_code))+1
from ins_premium_det i),'"&amp;D3&amp;"','"&amp;D3&amp;"','02', '11000003','00','Request by Mr. Omair Ali 29-Nov-2024');"</f>
        <v>('28Nov240101','040000140987','-100',(select max(to_number(i.premium_rcv_detail_code))+1
from ins_premium_det i),'-100','-100','02', '11000003','00','Request by Mr. Omair Ali 29-Nov-2024');</v>
      </c>
      <c r="H3" s="12" t="str">
        <f t="shared" ref="H3:H66" si="3">F3&amp;G3</f>
        <v>insert into ins_premium_det (premium_rcv_code,assorted_code, rec_amount,premium_rcv_detail_code,remaining_amt, payrec, mode_code,coinsurance_code,class_cd,it_remarks) values('28Nov240101','040000140987','-100',(select max(to_number(i.premium_rcv_detail_code))+1
from ins_premium_det i),'-100','-100','02', '11000003','00','Request by Mr. Omair Ali 29-Nov-2024');</v>
      </c>
    </row>
    <row r="4" spans="1:8" ht="105" x14ac:dyDescent="0.25">
      <c r="A4" t="s">
        <v>4</v>
      </c>
      <c r="B4" s="8" t="str">
        <f>VLOOKUP(A4,assortedcode!B:C,2,0)</f>
        <v>040000122044</v>
      </c>
      <c r="C4" s="1">
        <v>-80</v>
      </c>
      <c r="D4" s="9">
        <f t="shared" si="1"/>
        <v>-80</v>
      </c>
      <c r="E4" s="7" t="s">
        <v>8345</v>
      </c>
      <c r="F4" s="10" t="str">
        <f t="shared" si="0"/>
        <v>insert into ins_premium_det (premium_rcv_code,assorted_code, rec_amount,premium_rcv_detail_code,remaining_amt, payrec, mode_code,coinsurance_code,class_cd,it_remarks) values</v>
      </c>
      <c r="G4" s="11" t="str">
        <f t="shared" si="2"/>
        <v>('28Nov240101','040000122044','-80',(select max(to_number(i.premium_rcv_detail_code))+1
from ins_premium_det i),'-80','-80','02', '11000003','00','Request by Mr. Omair Ali 29-Nov-2024');</v>
      </c>
      <c r="H4" s="12" t="str">
        <f t="shared" si="3"/>
        <v>insert into ins_premium_det (premium_rcv_code,assorted_code, rec_amount,premium_rcv_detail_code,remaining_amt, payrec, mode_code,coinsurance_code,class_cd,it_remarks) values('28Nov240101','040000122044','-80',(select max(to_number(i.premium_rcv_detail_code))+1
from ins_premium_det i),'-80','-80','02', '11000003','00','Request by Mr. Omair Ali 29-Nov-2024');</v>
      </c>
    </row>
    <row r="5" spans="1:8" ht="105" x14ac:dyDescent="0.25">
      <c r="A5" t="s">
        <v>5</v>
      </c>
      <c r="B5" s="8" t="str">
        <f>VLOOKUP(A5,assortedcode!B:C,2,0)</f>
        <v>040000122210</v>
      </c>
      <c r="C5" s="1">
        <v>-80</v>
      </c>
      <c r="D5" s="9">
        <f t="shared" si="1"/>
        <v>-80</v>
      </c>
      <c r="E5" s="7" t="s">
        <v>8345</v>
      </c>
      <c r="F5" s="10" t="str">
        <f t="shared" si="0"/>
        <v>insert into ins_premium_det (premium_rcv_code,assorted_code, rec_amount,premium_rcv_detail_code,remaining_amt, payrec, mode_code,coinsurance_code,class_cd,it_remarks) values</v>
      </c>
      <c r="G5" s="11" t="str">
        <f t="shared" si="2"/>
        <v>('28Nov240101','040000122210','-80',(select max(to_number(i.premium_rcv_detail_code))+1
from ins_premium_det i),'-80','-80','02', '11000003','00','Request by Mr. Omair Ali 29-Nov-2024');</v>
      </c>
      <c r="H5" s="12" t="str">
        <f t="shared" si="3"/>
        <v>insert into ins_premium_det (premium_rcv_code,assorted_code, rec_amount,premium_rcv_detail_code,remaining_amt, payrec, mode_code,coinsurance_code,class_cd,it_remarks) values('28Nov240101','040000122210','-80',(select max(to_number(i.premium_rcv_detail_code))+1
from ins_premium_det i),'-80','-80','02', '11000003','00','Request by Mr. Omair Ali 29-Nov-2024');</v>
      </c>
    </row>
    <row r="6" spans="1:8" ht="105" x14ac:dyDescent="0.25">
      <c r="A6" t="s">
        <v>6</v>
      </c>
      <c r="B6" s="8" t="str">
        <f>VLOOKUP(A6,assortedcode!B:C,2,0)</f>
        <v>040000140504</v>
      </c>
      <c r="C6" s="1">
        <v>-75</v>
      </c>
      <c r="D6" s="9">
        <f t="shared" si="1"/>
        <v>-75</v>
      </c>
      <c r="E6" s="7" t="s">
        <v>8345</v>
      </c>
      <c r="F6" s="10" t="str">
        <f t="shared" si="0"/>
        <v>insert into ins_premium_det (premium_rcv_code,assorted_code, rec_amount,premium_rcv_detail_code,remaining_amt, payrec, mode_code,coinsurance_code,class_cd,it_remarks) values</v>
      </c>
      <c r="G6" s="11" t="str">
        <f t="shared" si="2"/>
        <v>('28Nov240101','040000140504','-75',(select max(to_number(i.premium_rcv_detail_code))+1
from ins_premium_det i),'-75','-75','02', '11000003','00','Request by Mr. Omair Ali 29-Nov-2024');</v>
      </c>
      <c r="H6" s="12" t="str">
        <f t="shared" si="3"/>
        <v>insert into ins_premium_det (premium_rcv_code,assorted_code, rec_amount,premium_rcv_detail_code,remaining_amt, payrec, mode_code,coinsurance_code,class_cd,it_remarks) values('28Nov240101','040000140504','-75',(select max(to_number(i.premium_rcv_detail_code))+1
from ins_premium_det i),'-75','-75','02', '11000003','00','Request by Mr. Omair Ali 29-Nov-2024');</v>
      </c>
    </row>
    <row r="7" spans="1:8" ht="105" x14ac:dyDescent="0.25">
      <c r="A7" t="s">
        <v>7</v>
      </c>
      <c r="B7" s="8" t="str">
        <f>VLOOKUP(A7,assortedcode!B:C,2,0)</f>
        <v>040000144672</v>
      </c>
      <c r="C7" s="1">
        <v>-75</v>
      </c>
      <c r="D7" s="9">
        <f t="shared" si="1"/>
        <v>-75</v>
      </c>
      <c r="E7" s="7" t="s">
        <v>8345</v>
      </c>
      <c r="F7" s="10" t="str">
        <f t="shared" si="0"/>
        <v>insert into ins_premium_det (premium_rcv_code,assorted_code, rec_amount,premium_rcv_detail_code,remaining_amt, payrec, mode_code,coinsurance_code,class_cd,it_remarks) values</v>
      </c>
      <c r="G7" s="11" t="str">
        <f t="shared" si="2"/>
        <v>('28Nov240101','040000144672','-75',(select max(to_number(i.premium_rcv_detail_code))+1
from ins_premium_det i),'-75','-75','02', '11000003','00','Request by Mr. Omair Ali 29-Nov-2024');</v>
      </c>
      <c r="H7" s="12" t="str">
        <f t="shared" si="3"/>
        <v>insert into ins_premium_det (premium_rcv_code,assorted_code, rec_amount,premium_rcv_detail_code,remaining_amt, payrec, mode_code,coinsurance_code,class_cd,it_remarks) values('28Nov240101','040000144672','-75',(select max(to_number(i.premium_rcv_detail_code))+1
from ins_premium_det i),'-75','-75','02', '11000003','00','Request by Mr. Omair Ali 29-Nov-2024');</v>
      </c>
    </row>
    <row r="8" spans="1:8" ht="105" x14ac:dyDescent="0.25">
      <c r="A8" t="s">
        <v>8</v>
      </c>
      <c r="B8" s="8" t="str">
        <f>VLOOKUP(A8,assortedcode!B:C,2,0)</f>
        <v>070000156195</v>
      </c>
      <c r="C8" s="1">
        <v>-63</v>
      </c>
      <c r="D8" s="9">
        <f t="shared" si="1"/>
        <v>-63</v>
      </c>
      <c r="E8" s="7" t="s">
        <v>8345</v>
      </c>
      <c r="F8" s="10" t="str">
        <f t="shared" si="0"/>
        <v>insert into ins_premium_det (premium_rcv_code,assorted_code, rec_amount,premium_rcv_detail_code,remaining_amt, payrec, mode_code,coinsurance_code,class_cd,it_remarks) values</v>
      </c>
      <c r="G8" s="11" t="str">
        <f t="shared" si="2"/>
        <v>('28Nov240101','070000156195','-63',(select max(to_number(i.premium_rcv_detail_code))+1
from ins_premium_det i),'-63','-63','02', '11000003','00','Request by Mr. Omair Ali 29-Nov-2024');</v>
      </c>
      <c r="H8" s="12" t="str">
        <f t="shared" si="3"/>
        <v>insert into ins_premium_det (premium_rcv_code,assorted_code, rec_amount,premium_rcv_detail_code,remaining_amt, payrec, mode_code,coinsurance_code,class_cd,it_remarks) values('28Nov240101','070000156195','-63',(select max(to_number(i.premium_rcv_detail_code))+1
from ins_premium_det i),'-63','-63','02', '11000003','00','Request by Mr. Omair Ali 29-Nov-2024');</v>
      </c>
    </row>
    <row r="9" spans="1:8" ht="105" x14ac:dyDescent="0.25">
      <c r="A9" t="s">
        <v>9</v>
      </c>
      <c r="B9" s="8" t="str">
        <f>VLOOKUP(A9,assortedcode!B:C,2,0)</f>
        <v>040000139494</v>
      </c>
      <c r="C9" s="1">
        <v>-57</v>
      </c>
      <c r="D9" s="9">
        <f t="shared" si="1"/>
        <v>-57</v>
      </c>
      <c r="E9" s="7" t="s">
        <v>8345</v>
      </c>
      <c r="F9" s="10" t="str">
        <f t="shared" si="0"/>
        <v>insert into ins_premium_det (premium_rcv_code,assorted_code, rec_amount,premium_rcv_detail_code,remaining_amt, payrec, mode_code,coinsurance_code,class_cd,it_remarks) values</v>
      </c>
      <c r="G9" s="11" t="str">
        <f t="shared" si="2"/>
        <v>('28Nov240101','040000139494','-57',(select max(to_number(i.premium_rcv_detail_code))+1
from ins_premium_det i),'-57','-57','02', '11000003','00','Request by Mr. Omair Ali 29-Nov-2024');</v>
      </c>
      <c r="H9" s="12" t="str">
        <f t="shared" si="3"/>
        <v>insert into ins_premium_det (premium_rcv_code,assorted_code, rec_amount,premium_rcv_detail_code,remaining_amt, payrec, mode_code,coinsurance_code,class_cd,it_remarks) values('28Nov240101','040000139494','-57',(select max(to_number(i.premium_rcv_detail_code))+1
from ins_premium_det i),'-57','-57','02', '11000003','00','Request by Mr. Omair Ali 29-Nov-2024');</v>
      </c>
    </row>
    <row r="10" spans="1:8" ht="105" x14ac:dyDescent="0.25">
      <c r="A10" t="s">
        <v>10</v>
      </c>
      <c r="B10" s="8" t="str">
        <f>VLOOKUP(A10,assortedcode!B:C,2,0)</f>
        <v>040000153537</v>
      </c>
      <c r="C10" s="1">
        <v>-50</v>
      </c>
      <c r="D10" s="9">
        <f t="shared" si="1"/>
        <v>-50</v>
      </c>
      <c r="E10" s="7" t="s">
        <v>8345</v>
      </c>
      <c r="F10" s="10" t="str">
        <f t="shared" si="0"/>
        <v>insert into ins_premium_det (premium_rcv_code,assorted_code, rec_amount,premium_rcv_detail_code,remaining_amt, payrec, mode_code,coinsurance_code,class_cd,it_remarks) values</v>
      </c>
      <c r="G10" s="11" t="str">
        <f t="shared" si="2"/>
        <v>('28Nov240101','040000153537','-50',(select max(to_number(i.premium_rcv_detail_code))+1
from ins_premium_det i),'-50','-50','02', '11000003','00','Request by Mr. Omair Ali 29-Nov-2024');</v>
      </c>
      <c r="H10" s="12" t="str">
        <f t="shared" si="3"/>
        <v>insert into ins_premium_det (premium_rcv_code,assorted_code, rec_amount,premium_rcv_detail_code,remaining_amt, payrec, mode_code,coinsurance_code,class_cd,it_remarks) values('28Nov240101','040000153537','-50',(select max(to_number(i.premium_rcv_detail_code))+1
from ins_premium_det i),'-50','-50','02', '11000003','00','Request by Mr. Omair Ali 29-Nov-2024');</v>
      </c>
    </row>
    <row r="11" spans="1:8" ht="105" x14ac:dyDescent="0.25">
      <c r="A11" t="s">
        <v>11</v>
      </c>
      <c r="B11" s="8" t="str">
        <f>VLOOKUP(A11,assortedcode!B:C,2,0)</f>
        <v>040000153561</v>
      </c>
      <c r="C11" s="1">
        <v>-50</v>
      </c>
      <c r="D11" s="9">
        <f t="shared" si="1"/>
        <v>-50</v>
      </c>
      <c r="E11" s="7" t="s">
        <v>8345</v>
      </c>
      <c r="F11" s="10" t="str">
        <f t="shared" si="0"/>
        <v>insert into ins_premium_det (premium_rcv_code,assorted_code, rec_amount,premium_rcv_detail_code,remaining_amt, payrec, mode_code,coinsurance_code,class_cd,it_remarks) values</v>
      </c>
      <c r="G11" s="11" t="str">
        <f t="shared" si="2"/>
        <v>('28Nov240101','040000153561','-50',(select max(to_number(i.premium_rcv_detail_code))+1
from ins_premium_det i),'-50','-50','02', '11000003','00','Request by Mr. Omair Ali 29-Nov-2024');</v>
      </c>
      <c r="H11" s="12" t="str">
        <f t="shared" si="3"/>
        <v>insert into ins_premium_det (premium_rcv_code,assorted_code, rec_amount,premium_rcv_detail_code,remaining_amt, payrec, mode_code,coinsurance_code,class_cd,it_remarks) values('28Nov240101','040000153561','-50',(select max(to_number(i.premium_rcv_detail_code))+1
from ins_premium_det i),'-50','-50','02', '11000003','00','Request by Mr. Omair Ali 29-Nov-2024');</v>
      </c>
    </row>
    <row r="12" spans="1:8" ht="105" x14ac:dyDescent="0.25">
      <c r="A12" t="s">
        <v>12</v>
      </c>
      <c r="B12" s="8" t="str">
        <f>VLOOKUP(A12,assortedcode!B:C,2,0)</f>
        <v>040000153563</v>
      </c>
      <c r="C12" s="1">
        <v>-50</v>
      </c>
      <c r="D12" s="9">
        <f t="shared" si="1"/>
        <v>-50</v>
      </c>
      <c r="E12" s="7" t="s">
        <v>8345</v>
      </c>
      <c r="F12" s="10" t="str">
        <f t="shared" si="0"/>
        <v>insert into ins_premium_det (premium_rcv_code,assorted_code, rec_amount,premium_rcv_detail_code,remaining_amt, payrec, mode_code,coinsurance_code,class_cd,it_remarks) values</v>
      </c>
      <c r="G12" s="11" t="str">
        <f t="shared" si="2"/>
        <v>('28Nov240101','040000153563','-50',(select max(to_number(i.premium_rcv_detail_code))+1
from ins_premium_det i),'-50','-50','02', '11000003','00','Request by Mr. Omair Ali 29-Nov-2024');</v>
      </c>
      <c r="H12" s="12" t="str">
        <f t="shared" si="3"/>
        <v>insert into ins_premium_det (premium_rcv_code,assorted_code, rec_amount,premium_rcv_detail_code,remaining_amt, payrec, mode_code,coinsurance_code,class_cd,it_remarks) values('28Nov240101','040000153563','-50',(select max(to_number(i.premium_rcv_detail_code))+1
from ins_premium_det i),'-50','-50','02', '11000003','00','Request by Mr. Omair Ali 29-Nov-2024');</v>
      </c>
    </row>
    <row r="13" spans="1:8" ht="105" x14ac:dyDescent="0.25">
      <c r="A13" t="s">
        <v>13</v>
      </c>
      <c r="B13" s="8" t="str">
        <f>VLOOKUP(A13,assortedcode!B:C,2,0)</f>
        <v>040000095469</v>
      </c>
      <c r="C13" s="1">
        <v>-50</v>
      </c>
      <c r="D13" s="9">
        <f t="shared" si="1"/>
        <v>-50</v>
      </c>
      <c r="E13" s="7" t="s">
        <v>8345</v>
      </c>
      <c r="F13" s="10" t="str">
        <f t="shared" si="0"/>
        <v>insert into ins_premium_det (premium_rcv_code,assorted_code, rec_amount,premium_rcv_detail_code,remaining_amt, payrec, mode_code,coinsurance_code,class_cd,it_remarks) values</v>
      </c>
      <c r="G13" s="11" t="str">
        <f t="shared" si="2"/>
        <v>('28Nov240101','040000095469','-50',(select max(to_number(i.premium_rcv_detail_code))+1
from ins_premium_det i),'-50','-50','02', '11000003','00','Request by Mr. Omair Ali 29-Nov-2024');</v>
      </c>
      <c r="H13" s="12" t="str">
        <f t="shared" si="3"/>
        <v>insert into ins_premium_det (premium_rcv_code,assorted_code, rec_amount,premium_rcv_detail_code,remaining_amt, payrec, mode_code,coinsurance_code,class_cd,it_remarks) values('28Nov240101','040000095469','-50',(select max(to_number(i.premium_rcv_detail_code))+1
from ins_premium_det i),'-50','-50','02', '11000003','00','Request by Mr. Omair Ali 29-Nov-2024');</v>
      </c>
    </row>
    <row r="14" spans="1:8" ht="105" x14ac:dyDescent="0.25">
      <c r="A14" t="s">
        <v>14</v>
      </c>
      <c r="B14" s="8" t="str">
        <f>VLOOKUP(A14,assortedcode!B:C,2,0)</f>
        <v>040000153566</v>
      </c>
      <c r="C14" s="1">
        <v>-50</v>
      </c>
      <c r="D14" s="9">
        <f t="shared" si="1"/>
        <v>-50</v>
      </c>
      <c r="E14" s="7" t="s">
        <v>8345</v>
      </c>
      <c r="F14" s="10" t="str">
        <f t="shared" si="0"/>
        <v>insert into ins_premium_det (premium_rcv_code,assorted_code, rec_amount,premium_rcv_detail_code,remaining_amt, payrec, mode_code,coinsurance_code,class_cd,it_remarks) values</v>
      </c>
      <c r="G14" s="11" t="str">
        <f t="shared" si="2"/>
        <v>('28Nov240101','040000153566','-50',(select max(to_number(i.premium_rcv_detail_code))+1
from ins_premium_det i),'-50','-50','02', '11000003','00','Request by Mr. Omair Ali 29-Nov-2024');</v>
      </c>
      <c r="H14" s="12" t="str">
        <f t="shared" si="3"/>
        <v>insert into ins_premium_det (premium_rcv_code,assorted_code, rec_amount,premium_rcv_detail_code,remaining_amt, payrec, mode_code,coinsurance_code,class_cd,it_remarks) values('28Nov240101','040000153566','-50',(select max(to_number(i.premium_rcv_detail_code))+1
from ins_premium_det i),'-50','-50','02', '11000003','00','Request by Mr. Omair Ali 29-Nov-2024');</v>
      </c>
    </row>
    <row r="15" spans="1:8" ht="105" x14ac:dyDescent="0.25">
      <c r="A15" t="s">
        <v>15</v>
      </c>
      <c r="B15" s="8" t="str">
        <f>VLOOKUP(A15,assortedcode!B:C,2,0)</f>
        <v>040000153496</v>
      </c>
      <c r="C15" s="1">
        <v>-50</v>
      </c>
      <c r="D15" s="9">
        <f t="shared" si="1"/>
        <v>-50</v>
      </c>
      <c r="E15" s="7" t="s">
        <v>8345</v>
      </c>
      <c r="F15" s="10" t="str">
        <f t="shared" si="0"/>
        <v>insert into ins_premium_det (premium_rcv_code,assorted_code, rec_amount,premium_rcv_detail_code,remaining_amt, payrec, mode_code,coinsurance_code,class_cd,it_remarks) values</v>
      </c>
      <c r="G15" s="11" t="str">
        <f t="shared" si="2"/>
        <v>('28Nov240101','040000153496','-50',(select max(to_number(i.premium_rcv_detail_code))+1
from ins_premium_det i),'-50','-50','02', '11000003','00','Request by Mr. Omair Ali 29-Nov-2024');</v>
      </c>
      <c r="H15" s="12" t="str">
        <f t="shared" si="3"/>
        <v>insert into ins_premium_det (premium_rcv_code,assorted_code, rec_amount,premium_rcv_detail_code,remaining_amt, payrec, mode_code,coinsurance_code,class_cd,it_remarks) values('28Nov240101','040000153496','-50',(select max(to_number(i.premium_rcv_detail_code))+1
from ins_premium_det i),'-50','-50','02', '11000003','00','Request by Mr. Omair Ali 29-Nov-2024');</v>
      </c>
    </row>
    <row r="16" spans="1:8" ht="105" x14ac:dyDescent="0.25">
      <c r="A16" t="s">
        <v>16</v>
      </c>
      <c r="B16" s="8" t="str">
        <f>VLOOKUP(A16,assortedcode!B:C,2,0)</f>
        <v>040000153575</v>
      </c>
      <c r="C16" s="1">
        <v>-50</v>
      </c>
      <c r="D16" s="9">
        <f t="shared" si="1"/>
        <v>-50</v>
      </c>
      <c r="E16" s="7" t="s">
        <v>8345</v>
      </c>
      <c r="F16" s="10" t="str">
        <f t="shared" si="0"/>
        <v>insert into ins_premium_det (premium_rcv_code,assorted_code, rec_amount,premium_rcv_detail_code,remaining_amt, payrec, mode_code,coinsurance_code,class_cd,it_remarks) values</v>
      </c>
      <c r="G16" s="11" t="str">
        <f t="shared" si="2"/>
        <v>('28Nov240101','040000153575','-50',(select max(to_number(i.premium_rcv_detail_code))+1
from ins_premium_det i),'-50','-50','02', '11000003','00','Request by Mr. Omair Ali 29-Nov-2024');</v>
      </c>
      <c r="H16" s="12" t="str">
        <f t="shared" si="3"/>
        <v>insert into ins_premium_det (premium_rcv_code,assorted_code, rec_amount,premium_rcv_detail_code,remaining_amt, payrec, mode_code,coinsurance_code,class_cd,it_remarks) values('28Nov240101','040000153575','-50',(select max(to_number(i.premium_rcv_detail_code))+1
from ins_premium_det i),'-50','-50','02', '11000003','00','Request by Mr. Omair Ali 29-Nov-2024');</v>
      </c>
    </row>
    <row r="17" spans="1:8" ht="105" x14ac:dyDescent="0.25">
      <c r="A17" t="s">
        <v>17</v>
      </c>
      <c r="B17" s="8" t="str">
        <f>VLOOKUP(A17,assortedcode!B:C,2,0)</f>
        <v>040000153501</v>
      </c>
      <c r="C17" s="1">
        <v>-50</v>
      </c>
      <c r="D17" s="9">
        <f t="shared" si="1"/>
        <v>-50</v>
      </c>
      <c r="E17" s="7" t="s">
        <v>8345</v>
      </c>
      <c r="F17" s="10" t="str">
        <f t="shared" si="0"/>
        <v>insert into ins_premium_det (premium_rcv_code,assorted_code, rec_amount,premium_rcv_detail_code,remaining_amt, payrec, mode_code,coinsurance_code,class_cd,it_remarks) values</v>
      </c>
      <c r="G17" s="11" t="str">
        <f t="shared" si="2"/>
        <v>('28Nov240101','040000153501','-50',(select max(to_number(i.premium_rcv_detail_code))+1
from ins_premium_det i),'-50','-50','02', '11000003','00','Request by Mr. Omair Ali 29-Nov-2024');</v>
      </c>
      <c r="H17" s="12" t="str">
        <f t="shared" si="3"/>
        <v>insert into ins_premium_det (premium_rcv_code,assorted_code, rec_amount,premium_rcv_detail_code,remaining_amt, payrec, mode_code,coinsurance_code,class_cd,it_remarks) values('28Nov240101','040000153501','-50',(select max(to_number(i.premium_rcv_detail_code))+1
from ins_premium_det i),'-50','-50','02', '11000003','00','Request by Mr. Omair Ali 29-Nov-2024');</v>
      </c>
    </row>
    <row r="18" spans="1:8" ht="105" x14ac:dyDescent="0.25">
      <c r="A18" t="s">
        <v>18</v>
      </c>
      <c r="B18" s="8" t="str">
        <f>VLOOKUP(A18,assortedcode!B:C,2,0)</f>
        <v>040000153253</v>
      </c>
      <c r="C18" s="1">
        <v>-50</v>
      </c>
      <c r="D18" s="9">
        <f t="shared" si="1"/>
        <v>-50</v>
      </c>
      <c r="E18" s="7" t="s">
        <v>8345</v>
      </c>
      <c r="F18" s="10" t="str">
        <f t="shared" si="0"/>
        <v>insert into ins_premium_det (premium_rcv_code,assorted_code, rec_amount,premium_rcv_detail_code,remaining_amt, payrec, mode_code,coinsurance_code,class_cd,it_remarks) values</v>
      </c>
      <c r="G18" s="11" t="str">
        <f t="shared" si="2"/>
        <v>('28Nov240101','040000153253','-50',(select max(to_number(i.premium_rcv_detail_code))+1
from ins_premium_det i),'-50','-50','02', '11000003','00','Request by Mr. Omair Ali 29-Nov-2024');</v>
      </c>
      <c r="H18" s="12" t="str">
        <f t="shared" si="3"/>
        <v>insert into ins_premium_det (premium_rcv_code,assorted_code, rec_amount,premium_rcv_detail_code,remaining_amt, payrec, mode_code,coinsurance_code,class_cd,it_remarks) values('28Nov240101','040000153253','-50',(select max(to_number(i.premium_rcv_detail_code))+1
from ins_premium_det i),'-50','-50','02', '11000003','00','Request by Mr. Omair Ali 29-Nov-2024');</v>
      </c>
    </row>
    <row r="19" spans="1:8" ht="105" x14ac:dyDescent="0.25">
      <c r="A19" t="s">
        <v>19</v>
      </c>
      <c r="B19" s="8" t="str">
        <f>VLOOKUP(A19,assortedcode!B:C,2,0)</f>
        <v>040000153536</v>
      </c>
      <c r="C19" s="1">
        <v>-50</v>
      </c>
      <c r="D19" s="9">
        <f t="shared" si="1"/>
        <v>-50</v>
      </c>
      <c r="E19" s="7" t="s">
        <v>8345</v>
      </c>
      <c r="F19" s="10" t="str">
        <f t="shared" si="0"/>
        <v>insert into ins_premium_det (premium_rcv_code,assorted_code, rec_amount,premium_rcv_detail_code,remaining_amt, payrec, mode_code,coinsurance_code,class_cd,it_remarks) values</v>
      </c>
      <c r="G19" s="11" t="str">
        <f t="shared" si="2"/>
        <v>('28Nov240101','040000153536','-50',(select max(to_number(i.premium_rcv_detail_code))+1
from ins_premium_det i),'-50','-50','02', '11000003','00','Request by Mr. Omair Ali 29-Nov-2024');</v>
      </c>
      <c r="H19" s="12" t="str">
        <f t="shared" si="3"/>
        <v>insert into ins_premium_det (premium_rcv_code,assorted_code, rec_amount,premium_rcv_detail_code,remaining_amt, payrec, mode_code,coinsurance_code,class_cd,it_remarks) values('28Nov240101','040000153536','-50',(select max(to_number(i.premium_rcv_detail_code))+1
from ins_premium_det i),'-50','-50','02', '11000003','00','Request by Mr. Omair Ali 29-Nov-2024');</v>
      </c>
    </row>
    <row r="20" spans="1:8" ht="105" x14ac:dyDescent="0.25">
      <c r="A20" t="s">
        <v>20</v>
      </c>
      <c r="B20" s="8" t="str">
        <f>VLOOKUP(A20,assortedcode!B:C,2,0)</f>
        <v>040000153489</v>
      </c>
      <c r="C20" s="1">
        <v>-50</v>
      </c>
      <c r="D20" s="9">
        <f t="shared" si="1"/>
        <v>-50</v>
      </c>
      <c r="E20" s="7" t="s">
        <v>8345</v>
      </c>
      <c r="F20" s="10" t="str">
        <f t="shared" si="0"/>
        <v>insert into ins_premium_det (premium_rcv_code,assorted_code, rec_amount,premium_rcv_detail_code,remaining_amt, payrec, mode_code,coinsurance_code,class_cd,it_remarks) values</v>
      </c>
      <c r="G20" s="11" t="str">
        <f t="shared" si="2"/>
        <v>('28Nov240101','040000153489','-50',(select max(to_number(i.premium_rcv_detail_code))+1
from ins_premium_det i),'-50','-50','02', '11000003','00','Request by Mr. Omair Ali 29-Nov-2024');</v>
      </c>
      <c r="H20" s="12" t="str">
        <f t="shared" si="3"/>
        <v>insert into ins_premium_det (premium_rcv_code,assorted_code, rec_amount,premium_rcv_detail_code,remaining_amt, payrec, mode_code,coinsurance_code,class_cd,it_remarks) values('28Nov240101','040000153489','-50',(select max(to_number(i.premium_rcv_detail_code))+1
from ins_premium_det i),'-50','-50','02', '11000003','00','Request by Mr. Omair Ali 29-Nov-2024');</v>
      </c>
    </row>
    <row r="21" spans="1:8" ht="105" x14ac:dyDescent="0.25">
      <c r="A21" t="s">
        <v>21</v>
      </c>
      <c r="B21" s="8" t="str">
        <f>VLOOKUP(A21,assortedcode!B:C,2,0)</f>
        <v>040000153538</v>
      </c>
      <c r="C21" s="1">
        <v>-50</v>
      </c>
      <c r="D21" s="9">
        <f t="shared" si="1"/>
        <v>-50</v>
      </c>
      <c r="E21" s="7" t="s">
        <v>8345</v>
      </c>
      <c r="F21" s="10" t="str">
        <f t="shared" si="0"/>
        <v>insert into ins_premium_det (premium_rcv_code,assorted_code, rec_amount,premium_rcv_detail_code,remaining_amt, payrec, mode_code,coinsurance_code,class_cd,it_remarks) values</v>
      </c>
      <c r="G21" s="11" t="str">
        <f t="shared" si="2"/>
        <v>('28Nov240101','040000153538','-50',(select max(to_number(i.premium_rcv_detail_code))+1
from ins_premium_det i),'-50','-50','02', '11000003','00','Request by Mr. Omair Ali 29-Nov-2024');</v>
      </c>
      <c r="H21" s="12" t="str">
        <f t="shared" si="3"/>
        <v>insert into ins_premium_det (premium_rcv_code,assorted_code, rec_amount,premium_rcv_detail_code,remaining_amt, payrec, mode_code,coinsurance_code,class_cd,it_remarks) values('28Nov240101','040000153538','-50',(select max(to_number(i.premium_rcv_detail_code))+1
from ins_premium_det i),'-50','-50','02', '11000003','00','Request by Mr. Omair Ali 29-Nov-2024');</v>
      </c>
    </row>
    <row r="22" spans="1:8" ht="105" x14ac:dyDescent="0.25">
      <c r="A22" t="s">
        <v>22</v>
      </c>
      <c r="B22" s="8" t="str">
        <f>VLOOKUP(A22,assortedcode!B:C,2,0)</f>
        <v>040000152937</v>
      </c>
      <c r="C22" s="1">
        <v>-50</v>
      </c>
      <c r="D22" s="9">
        <f t="shared" si="1"/>
        <v>-50</v>
      </c>
      <c r="E22" s="7" t="s">
        <v>8345</v>
      </c>
      <c r="F22" s="10" t="str">
        <f t="shared" si="0"/>
        <v>insert into ins_premium_det (premium_rcv_code,assorted_code, rec_amount,premium_rcv_detail_code,remaining_amt, payrec, mode_code,coinsurance_code,class_cd,it_remarks) values</v>
      </c>
      <c r="G22" s="11" t="str">
        <f t="shared" si="2"/>
        <v>('28Nov240101','040000152937','-50',(select max(to_number(i.premium_rcv_detail_code))+1
from ins_premium_det i),'-50','-50','02', '11000003','00','Request by Mr. Omair Ali 29-Nov-2024');</v>
      </c>
      <c r="H22" s="12" t="str">
        <f t="shared" si="3"/>
        <v>insert into ins_premium_det (premium_rcv_code,assorted_code, rec_amount,premium_rcv_detail_code,remaining_amt, payrec, mode_code,coinsurance_code,class_cd,it_remarks) values('28Nov240101','040000152937','-50',(select max(to_number(i.premium_rcv_detail_code))+1
from ins_premium_det i),'-50','-50','02', '11000003','00','Request by Mr. Omair Ali 29-Nov-2024');</v>
      </c>
    </row>
    <row r="23" spans="1:8" ht="105" x14ac:dyDescent="0.25">
      <c r="A23" t="s">
        <v>23</v>
      </c>
      <c r="B23" s="8" t="str">
        <f>VLOOKUP(A23,assortedcode!B:C,2,0)</f>
        <v>040000153540</v>
      </c>
      <c r="C23" s="1">
        <v>-50</v>
      </c>
      <c r="D23" s="9">
        <f t="shared" si="1"/>
        <v>-50</v>
      </c>
      <c r="E23" s="7" t="s">
        <v>8345</v>
      </c>
      <c r="F23" s="10" t="str">
        <f t="shared" si="0"/>
        <v>insert into ins_premium_det (premium_rcv_code,assorted_code, rec_amount,premium_rcv_detail_code,remaining_amt, payrec, mode_code,coinsurance_code,class_cd,it_remarks) values</v>
      </c>
      <c r="G23" s="11" t="str">
        <f t="shared" si="2"/>
        <v>('28Nov240101','040000153540','-50',(select max(to_number(i.premium_rcv_detail_code))+1
from ins_premium_det i),'-50','-50','02', '11000003','00','Request by Mr. Omair Ali 29-Nov-2024');</v>
      </c>
      <c r="H23" s="12" t="str">
        <f t="shared" si="3"/>
        <v>insert into ins_premium_det (premium_rcv_code,assorted_code, rec_amount,premium_rcv_detail_code,remaining_amt, payrec, mode_code,coinsurance_code,class_cd,it_remarks) values('28Nov240101','040000153540','-50',(select max(to_number(i.premium_rcv_detail_code))+1
from ins_premium_det i),'-50','-50','02', '11000003','00','Request by Mr. Omair Ali 29-Nov-2024');</v>
      </c>
    </row>
    <row r="24" spans="1:8" ht="105" x14ac:dyDescent="0.25">
      <c r="A24" t="s">
        <v>24</v>
      </c>
      <c r="B24" s="8" t="str">
        <f>VLOOKUP(A24,assortedcode!B:C,2,0)</f>
        <v>040000153494</v>
      </c>
      <c r="C24" s="1">
        <v>-50</v>
      </c>
      <c r="D24" s="9">
        <f t="shared" si="1"/>
        <v>-50</v>
      </c>
      <c r="E24" s="7" t="s">
        <v>8345</v>
      </c>
      <c r="F24" s="10" t="str">
        <f t="shared" si="0"/>
        <v>insert into ins_premium_det (premium_rcv_code,assorted_code, rec_amount,premium_rcv_detail_code,remaining_amt, payrec, mode_code,coinsurance_code,class_cd,it_remarks) values</v>
      </c>
      <c r="G24" s="11" t="str">
        <f t="shared" si="2"/>
        <v>('28Nov240101','040000153494','-50',(select max(to_number(i.premium_rcv_detail_code))+1
from ins_premium_det i),'-50','-50','02', '11000003','00','Request by Mr. Omair Ali 29-Nov-2024');</v>
      </c>
      <c r="H24" s="12" t="str">
        <f t="shared" si="3"/>
        <v>insert into ins_premium_det (premium_rcv_code,assorted_code, rec_amount,premium_rcv_detail_code,remaining_amt, payrec, mode_code,coinsurance_code,class_cd,it_remarks) values('28Nov240101','040000153494','-50',(select max(to_number(i.premium_rcv_detail_code))+1
from ins_premium_det i),'-50','-50','02', '11000003','00','Request by Mr. Omair Ali 29-Nov-2024');</v>
      </c>
    </row>
    <row r="25" spans="1:8" ht="105" x14ac:dyDescent="0.25">
      <c r="A25" t="s">
        <v>25</v>
      </c>
      <c r="B25" s="8" t="str">
        <f>VLOOKUP(A25,assortedcode!B:C,2,0)</f>
        <v>040000095467</v>
      </c>
      <c r="C25" s="1">
        <v>-50</v>
      </c>
      <c r="D25" s="9">
        <f t="shared" si="1"/>
        <v>-50</v>
      </c>
      <c r="E25" s="7" t="s">
        <v>8345</v>
      </c>
      <c r="F25" s="10" t="str">
        <f t="shared" si="0"/>
        <v>insert into ins_premium_det (premium_rcv_code,assorted_code, rec_amount,premium_rcv_detail_code,remaining_amt, payrec, mode_code,coinsurance_code,class_cd,it_remarks) values</v>
      </c>
      <c r="G25" s="11" t="str">
        <f t="shared" si="2"/>
        <v>('28Nov240101','040000095467','-50',(select max(to_number(i.premium_rcv_detail_code))+1
from ins_premium_det i),'-50','-50','02', '11000003','00','Request by Mr. Omair Ali 29-Nov-2024');</v>
      </c>
      <c r="H25" s="12" t="str">
        <f t="shared" si="3"/>
        <v>insert into ins_premium_det (premium_rcv_code,assorted_code, rec_amount,premium_rcv_detail_code,remaining_amt, payrec, mode_code,coinsurance_code,class_cd,it_remarks) values('28Nov240101','040000095467','-50',(select max(to_number(i.premium_rcv_detail_code))+1
from ins_premium_det i),'-50','-50','02', '11000003','00','Request by Mr. Omair Ali 29-Nov-2024');</v>
      </c>
    </row>
    <row r="26" spans="1:8" ht="105" x14ac:dyDescent="0.25">
      <c r="A26" t="s">
        <v>26</v>
      </c>
      <c r="B26" s="8" t="str">
        <f>VLOOKUP(A26,assortedcode!B:C,2,0)</f>
        <v>040000153284</v>
      </c>
      <c r="C26" s="1">
        <v>-50</v>
      </c>
      <c r="D26" s="9">
        <f t="shared" si="1"/>
        <v>-50</v>
      </c>
      <c r="E26" s="7" t="s">
        <v>8345</v>
      </c>
      <c r="F26" s="10" t="str">
        <f t="shared" si="0"/>
        <v>insert into ins_premium_det (premium_rcv_code,assorted_code, rec_amount,premium_rcv_detail_code,remaining_amt, payrec, mode_code,coinsurance_code,class_cd,it_remarks) values</v>
      </c>
      <c r="G26" s="11" t="str">
        <f t="shared" si="2"/>
        <v>('28Nov240101','040000153284','-50',(select max(to_number(i.premium_rcv_detail_code))+1
from ins_premium_det i),'-50','-50','02', '11000003','00','Request by Mr. Omair Ali 29-Nov-2024');</v>
      </c>
      <c r="H26" s="12" t="str">
        <f t="shared" si="3"/>
        <v>insert into ins_premium_det (premium_rcv_code,assorted_code, rec_amount,premium_rcv_detail_code,remaining_amt, payrec, mode_code,coinsurance_code,class_cd,it_remarks) values('28Nov240101','040000153284','-50',(select max(to_number(i.premium_rcv_detail_code))+1
from ins_premium_det i),'-50','-50','02', '11000003','00','Request by Mr. Omair Ali 29-Nov-2024');</v>
      </c>
    </row>
    <row r="27" spans="1:8" ht="105" x14ac:dyDescent="0.25">
      <c r="A27" t="s">
        <v>27</v>
      </c>
      <c r="B27" s="8" t="str">
        <f>VLOOKUP(A27,assortedcode!B:C,2,0)</f>
        <v>040000153573</v>
      </c>
      <c r="C27" s="1">
        <v>-50</v>
      </c>
      <c r="D27" s="9">
        <f t="shared" si="1"/>
        <v>-50</v>
      </c>
      <c r="E27" s="7" t="s">
        <v>8345</v>
      </c>
      <c r="F27" s="10" t="str">
        <f t="shared" si="0"/>
        <v>insert into ins_premium_det (premium_rcv_code,assorted_code, rec_amount,premium_rcv_detail_code,remaining_amt, payrec, mode_code,coinsurance_code,class_cd,it_remarks) values</v>
      </c>
      <c r="G27" s="11" t="str">
        <f t="shared" si="2"/>
        <v>('28Nov240101','040000153573','-50',(select max(to_number(i.premium_rcv_detail_code))+1
from ins_premium_det i),'-50','-50','02', '11000003','00','Request by Mr. Omair Ali 29-Nov-2024');</v>
      </c>
      <c r="H27" s="12" t="str">
        <f t="shared" si="3"/>
        <v>insert into ins_premium_det (premium_rcv_code,assorted_code, rec_amount,premium_rcv_detail_code,remaining_amt, payrec, mode_code,coinsurance_code,class_cd,it_remarks) values('28Nov240101','040000153573','-50',(select max(to_number(i.premium_rcv_detail_code))+1
from ins_premium_det i),'-50','-50','02', '11000003','00','Request by Mr. Omair Ali 29-Nov-2024');</v>
      </c>
    </row>
    <row r="28" spans="1:8" ht="105" x14ac:dyDescent="0.25">
      <c r="A28" t="s">
        <v>28</v>
      </c>
      <c r="B28" s="8" t="str">
        <f>VLOOKUP(A28,assortedcode!B:C,2,0)</f>
        <v>040000185325</v>
      </c>
      <c r="C28" s="1">
        <v>-46</v>
      </c>
      <c r="D28" s="9">
        <f t="shared" si="1"/>
        <v>-46</v>
      </c>
      <c r="E28" s="7" t="s">
        <v>8345</v>
      </c>
      <c r="F28" s="10" t="str">
        <f t="shared" si="0"/>
        <v>insert into ins_premium_det (premium_rcv_code,assorted_code, rec_amount,premium_rcv_detail_code,remaining_amt, payrec, mode_code,coinsurance_code,class_cd,it_remarks) values</v>
      </c>
      <c r="G28" s="11" t="str">
        <f t="shared" si="2"/>
        <v>('28Nov240101','040000185325','-46',(select max(to_number(i.premium_rcv_detail_code))+1
from ins_premium_det i),'-46','-46','02', '11000003','00','Request by Mr. Omair Ali 29-Nov-2024');</v>
      </c>
      <c r="H28" s="12" t="str">
        <f t="shared" si="3"/>
        <v>insert into ins_premium_det (premium_rcv_code,assorted_code, rec_amount,premium_rcv_detail_code,remaining_amt, payrec, mode_code,coinsurance_code,class_cd,it_remarks) values('28Nov240101','040000185325','-46',(select max(to_number(i.premium_rcv_detail_code))+1
from ins_premium_det i),'-46','-46','02', '11000003','00','Request by Mr. Omair Ali 29-Nov-2024');</v>
      </c>
    </row>
    <row r="29" spans="1:8" ht="105" x14ac:dyDescent="0.25">
      <c r="A29" t="s">
        <v>29</v>
      </c>
      <c r="B29" s="8" t="str">
        <f>VLOOKUP(A29,assortedcode!B:C,2,0)</f>
        <v>070000156187</v>
      </c>
      <c r="C29" s="1">
        <v>-45</v>
      </c>
      <c r="D29" s="9">
        <f t="shared" si="1"/>
        <v>-45</v>
      </c>
      <c r="E29" s="7" t="s">
        <v>8345</v>
      </c>
      <c r="F29" s="10" t="str">
        <f t="shared" si="0"/>
        <v>insert into ins_premium_det (premium_rcv_code,assorted_code, rec_amount,premium_rcv_detail_code,remaining_amt, payrec, mode_code,coinsurance_code,class_cd,it_remarks) values</v>
      </c>
      <c r="G29" s="11" t="str">
        <f t="shared" si="2"/>
        <v>('28Nov240101','070000156187','-45',(select max(to_number(i.premium_rcv_detail_code))+1
from ins_premium_det i),'-45','-45','02', '11000003','00','Request by Mr. Omair Ali 29-Nov-2024');</v>
      </c>
      <c r="H29" s="12" t="str">
        <f t="shared" si="3"/>
        <v>insert into ins_premium_det (premium_rcv_code,assorted_code, rec_amount,premium_rcv_detail_code,remaining_amt, payrec, mode_code,coinsurance_code,class_cd,it_remarks) values('28Nov240101','070000156187','-45',(select max(to_number(i.premium_rcv_detail_code))+1
from ins_premium_det i),'-45','-45','02', '11000003','00','Request by Mr. Omair Ali 29-Nov-2024');</v>
      </c>
    </row>
    <row r="30" spans="1:8" ht="105" x14ac:dyDescent="0.25">
      <c r="A30" t="s">
        <v>30</v>
      </c>
      <c r="B30" s="8" t="str">
        <f>VLOOKUP(A30,assortedcode!B:C,2,0)</f>
        <v>040000176248</v>
      </c>
      <c r="C30" s="1">
        <v>-45</v>
      </c>
      <c r="D30" s="9">
        <f t="shared" si="1"/>
        <v>-45</v>
      </c>
      <c r="E30" s="7" t="s">
        <v>8345</v>
      </c>
      <c r="F30" s="10" t="str">
        <f t="shared" si="0"/>
        <v>insert into ins_premium_det (premium_rcv_code,assorted_code, rec_amount,premium_rcv_detail_code,remaining_amt, payrec, mode_code,coinsurance_code,class_cd,it_remarks) values</v>
      </c>
      <c r="G30" s="11" t="str">
        <f t="shared" si="2"/>
        <v>('28Nov240101','040000176248','-45',(select max(to_number(i.premium_rcv_detail_code))+1
from ins_premium_det i),'-45','-45','02', '11000003','00','Request by Mr. Omair Ali 29-Nov-2024');</v>
      </c>
      <c r="H30" s="12" t="str">
        <f t="shared" si="3"/>
        <v>insert into ins_premium_det (premium_rcv_code,assorted_code, rec_amount,premium_rcv_detail_code,remaining_amt, payrec, mode_code,coinsurance_code,class_cd,it_remarks) values('28Nov240101','040000176248','-45',(select max(to_number(i.premium_rcv_detail_code))+1
from ins_premium_det i),'-45','-45','02', '11000003','00','Request by Mr. Omair Ali 29-Nov-2024');</v>
      </c>
    </row>
    <row r="31" spans="1:8" ht="105" x14ac:dyDescent="0.25">
      <c r="A31" t="s">
        <v>31</v>
      </c>
      <c r="B31" s="8" t="str">
        <f>VLOOKUP(A31,assortedcode!B:C,2,0)</f>
        <v>040000149452</v>
      </c>
      <c r="C31" s="1">
        <v>-34</v>
      </c>
      <c r="D31" s="9">
        <f t="shared" si="1"/>
        <v>-34</v>
      </c>
      <c r="E31" s="7" t="s">
        <v>8345</v>
      </c>
      <c r="F31" s="10" t="str">
        <f t="shared" si="0"/>
        <v>insert into ins_premium_det (premium_rcv_code,assorted_code, rec_amount,premium_rcv_detail_code,remaining_amt, payrec, mode_code,coinsurance_code,class_cd,it_remarks) values</v>
      </c>
      <c r="G31" s="11" t="str">
        <f t="shared" si="2"/>
        <v>('28Nov240101','040000149452','-34',(select max(to_number(i.premium_rcv_detail_code))+1
from ins_premium_det i),'-34','-34','02', '11000003','00','Request by Mr. Omair Ali 29-Nov-2024');</v>
      </c>
      <c r="H31" s="12" t="str">
        <f t="shared" si="3"/>
        <v>insert into ins_premium_det (premium_rcv_code,assorted_code, rec_amount,premium_rcv_detail_code,remaining_amt, payrec, mode_code,coinsurance_code,class_cd,it_remarks) values('28Nov240101','040000149452','-34',(select max(to_number(i.premium_rcv_detail_code))+1
from ins_premium_det i),'-34','-34','02', '11000003','00','Request by Mr. Omair Ali 29-Nov-2024');</v>
      </c>
    </row>
    <row r="32" spans="1:8" ht="105" x14ac:dyDescent="0.25">
      <c r="A32" t="s">
        <v>32</v>
      </c>
      <c r="B32" s="8" t="str">
        <f>VLOOKUP(A32,assortedcode!B:C,2,0)</f>
        <v>040000146512</v>
      </c>
      <c r="C32" s="1">
        <v>-25</v>
      </c>
      <c r="D32" s="9">
        <f t="shared" si="1"/>
        <v>-25</v>
      </c>
      <c r="E32" s="7" t="s">
        <v>8345</v>
      </c>
      <c r="F32" s="10" t="str">
        <f t="shared" si="0"/>
        <v>insert into ins_premium_det (premium_rcv_code,assorted_code, rec_amount,premium_rcv_detail_code,remaining_amt, payrec, mode_code,coinsurance_code,class_cd,it_remarks) values</v>
      </c>
      <c r="G32" s="11" t="str">
        <f t="shared" si="2"/>
        <v>('28Nov240101','040000146512','-25',(select max(to_number(i.premium_rcv_detail_code))+1
from ins_premium_det i),'-25','-25','02', '11000003','00','Request by Mr. Omair Ali 29-Nov-2024');</v>
      </c>
      <c r="H32" s="12" t="str">
        <f t="shared" si="3"/>
        <v>insert into ins_premium_det (premium_rcv_code,assorted_code, rec_amount,premium_rcv_detail_code,remaining_amt, payrec, mode_code,coinsurance_code,class_cd,it_remarks) values('28Nov240101','040000146512','-25',(select max(to_number(i.premium_rcv_detail_code))+1
from ins_premium_det i),'-25','-25','02', '11000003','00','Request by Mr. Omair Ali 29-Nov-2024');</v>
      </c>
    </row>
    <row r="33" spans="1:8" ht="105" x14ac:dyDescent="0.25">
      <c r="A33" t="s">
        <v>33</v>
      </c>
      <c r="B33" s="8" t="str">
        <f>VLOOKUP(A33,assortedcode!B:C,2,0)</f>
        <v>040000152374</v>
      </c>
      <c r="C33" s="1">
        <v>-21</v>
      </c>
      <c r="D33" s="9">
        <f t="shared" si="1"/>
        <v>-21</v>
      </c>
      <c r="E33" s="7" t="s">
        <v>8345</v>
      </c>
      <c r="F33" s="10" t="str">
        <f t="shared" si="0"/>
        <v>insert into ins_premium_det (premium_rcv_code,assorted_code, rec_amount,premium_rcv_detail_code,remaining_amt, payrec, mode_code,coinsurance_code,class_cd,it_remarks) values</v>
      </c>
      <c r="G33" s="11" t="str">
        <f t="shared" si="2"/>
        <v>('28Nov240101','040000152374','-21',(select max(to_number(i.premium_rcv_detail_code))+1
from ins_premium_det i),'-21','-21','02', '11000003','00','Request by Mr. Omair Ali 29-Nov-2024');</v>
      </c>
      <c r="H33" s="12" t="str">
        <f t="shared" si="3"/>
        <v>insert into ins_premium_det (premium_rcv_code,assorted_code, rec_amount,premium_rcv_detail_code,remaining_amt, payrec, mode_code,coinsurance_code,class_cd,it_remarks) values('28Nov240101','040000152374','-21',(select max(to_number(i.premium_rcv_detail_code))+1
from ins_premium_det i),'-21','-21','02', '11000003','00','Request by Mr. Omair Ali 29-Nov-2024');</v>
      </c>
    </row>
    <row r="34" spans="1:8" ht="105" x14ac:dyDescent="0.25">
      <c r="A34" t="s">
        <v>34</v>
      </c>
      <c r="B34" s="8" t="str">
        <f>VLOOKUP(A34,assortedcode!B:C,2,0)</f>
        <v>040000181070</v>
      </c>
      <c r="C34" s="1">
        <v>-20</v>
      </c>
      <c r="D34" s="9">
        <f t="shared" si="1"/>
        <v>-20</v>
      </c>
      <c r="E34" s="7" t="s">
        <v>8345</v>
      </c>
      <c r="F34" s="10" t="str">
        <f t="shared" si="0"/>
        <v>insert into ins_premium_det (premium_rcv_code,assorted_code, rec_amount,premium_rcv_detail_code,remaining_amt, payrec, mode_code,coinsurance_code,class_cd,it_remarks) values</v>
      </c>
      <c r="G34" s="11" t="str">
        <f t="shared" si="2"/>
        <v>('28Nov240101','040000181070','-20',(select max(to_number(i.premium_rcv_detail_code))+1
from ins_premium_det i),'-20','-20','02', '11000003','00','Request by Mr. Omair Ali 29-Nov-2024');</v>
      </c>
      <c r="H34" s="12" t="str">
        <f t="shared" si="3"/>
        <v>insert into ins_premium_det (premium_rcv_code,assorted_code, rec_amount,premium_rcv_detail_code,remaining_amt, payrec, mode_code,coinsurance_code,class_cd,it_remarks) values('28Nov240101','040000181070','-20',(select max(to_number(i.premium_rcv_detail_code))+1
from ins_premium_det i),'-20','-20','02', '11000003','00','Request by Mr. Omair Ali 29-Nov-2024');</v>
      </c>
    </row>
    <row r="35" spans="1:8" ht="105" x14ac:dyDescent="0.25">
      <c r="A35" t="s">
        <v>35</v>
      </c>
      <c r="B35" s="8" t="str">
        <f>VLOOKUP(A35,assortedcode!B:C,2,0)</f>
        <v>070000156189</v>
      </c>
      <c r="C35" s="1">
        <v>-12</v>
      </c>
      <c r="D35" s="9">
        <f t="shared" si="1"/>
        <v>-12</v>
      </c>
      <c r="E35" s="7" t="s">
        <v>8345</v>
      </c>
      <c r="F35" s="10" t="str">
        <f t="shared" si="0"/>
        <v>insert into ins_premium_det (premium_rcv_code,assorted_code, rec_amount,premium_rcv_detail_code,remaining_amt, payrec, mode_code,coinsurance_code,class_cd,it_remarks) values</v>
      </c>
      <c r="G35" s="11" t="str">
        <f t="shared" si="2"/>
        <v>('28Nov240101','070000156189','-12',(select max(to_number(i.premium_rcv_detail_code))+1
from ins_premium_det i),'-12','-12','02', '11000003','00','Request by Mr. Omair Ali 29-Nov-2024');</v>
      </c>
      <c r="H35" s="12" t="str">
        <f t="shared" si="3"/>
        <v>insert into ins_premium_det (premium_rcv_code,assorted_code, rec_amount,premium_rcv_detail_code,remaining_amt, payrec, mode_code,coinsurance_code,class_cd,it_remarks) values('28Nov240101','070000156189','-12',(select max(to_number(i.premium_rcv_detail_code))+1
from ins_premium_det i),'-12','-12','02', '11000003','00','Request by Mr. Omair Ali 29-Nov-2024');</v>
      </c>
    </row>
    <row r="36" spans="1:8" ht="105" x14ac:dyDescent="0.25">
      <c r="A36" t="s">
        <v>36</v>
      </c>
      <c r="B36" s="8" t="str">
        <f>VLOOKUP(A36,assortedcode!B:C,2,0)</f>
        <v>040000170918</v>
      </c>
      <c r="C36" s="1">
        <v>-11</v>
      </c>
      <c r="D36" s="9">
        <f t="shared" si="1"/>
        <v>-11</v>
      </c>
      <c r="E36" s="7" t="s">
        <v>8345</v>
      </c>
      <c r="F36" s="10" t="str">
        <f t="shared" si="0"/>
        <v>insert into ins_premium_det (premium_rcv_code,assorted_code, rec_amount,premium_rcv_detail_code,remaining_amt, payrec, mode_code,coinsurance_code,class_cd,it_remarks) values</v>
      </c>
      <c r="G36" s="11" t="str">
        <f t="shared" si="2"/>
        <v>('28Nov240101','040000170918','-11',(select max(to_number(i.premium_rcv_detail_code))+1
from ins_premium_det i),'-11','-11','02', '11000003','00','Request by Mr. Omair Ali 29-Nov-2024');</v>
      </c>
      <c r="H36" s="12" t="str">
        <f t="shared" si="3"/>
        <v>insert into ins_premium_det (premium_rcv_code,assorted_code, rec_amount,premium_rcv_detail_code,remaining_amt, payrec, mode_code,coinsurance_code,class_cd,it_remarks) values('28Nov240101','040000170918','-11',(select max(to_number(i.premium_rcv_detail_code))+1
from ins_premium_det i),'-11','-11','02', '11000003','00','Request by Mr. Omair Ali 29-Nov-2024');</v>
      </c>
    </row>
    <row r="37" spans="1:8" ht="105" x14ac:dyDescent="0.25">
      <c r="A37" t="s">
        <v>37</v>
      </c>
      <c r="B37" s="8" t="str">
        <f>VLOOKUP(A37,assortedcode!B:C,2,0)</f>
        <v>040000141593</v>
      </c>
      <c r="C37" s="1">
        <v>-4</v>
      </c>
      <c r="D37" s="9">
        <f t="shared" si="1"/>
        <v>-4</v>
      </c>
      <c r="E37" s="7" t="s">
        <v>8345</v>
      </c>
      <c r="F37" s="10" t="str">
        <f t="shared" si="0"/>
        <v>insert into ins_premium_det (premium_rcv_code,assorted_code, rec_amount,premium_rcv_detail_code,remaining_amt, payrec, mode_code,coinsurance_code,class_cd,it_remarks) values</v>
      </c>
      <c r="G37" s="11" t="str">
        <f t="shared" si="2"/>
        <v>('28Nov240101','040000141593','-4',(select max(to_number(i.premium_rcv_detail_code))+1
from ins_premium_det i),'-4','-4','02', '11000003','00','Request by Mr. Omair Ali 29-Nov-2024');</v>
      </c>
      <c r="H37" s="12" t="str">
        <f t="shared" si="3"/>
        <v>insert into ins_premium_det (premium_rcv_code,assorted_code, rec_amount,premium_rcv_detail_code,remaining_amt, payrec, mode_code,coinsurance_code,class_cd,it_remarks) values('28Nov240101','040000141593','-4',(select max(to_number(i.premium_rcv_detail_code))+1
from ins_premium_det i),'-4','-4','02', '11000003','00','Request by Mr. Omair Ali 29-Nov-2024');</v>
      </c>
    </row>
    <row r="38" spans="1:8" ht="105" x14ac:dyDescent="0.25">
      <c r="A38" t="s">
        <v>38</v>
      </c>
      <c r="B38" s="8" t="str">
        <f>VLOOKUP(A38,assortedcode!B:C,2,0)</f>
        <v>040000134279</v>
      </c>
      <c r="C38" s="1">
        <v>-4</v>
      </c>
      <c r="D38" s="9">
        <f t="shared" si="1"/>
        <v>-4</v>
      </c>
      <c r="E38" s="7" t="s">
        <v>8345</v>
      </c>
      <c r="F38" s="10" t="str">
        <f t="shared" si="0"/>
        <v>insert into ins_premium_det (premium_rcv_code,assorted_code, rec_amount,premium_rcv_detail_code,remaining_amt, payrec, mode_code,coinsurance_code,class_cd,it_remarks) values</v>
      </c>
      <c r="G38" s="11" t="str">
        <f t="shared" si="2"/>
        <v>('28Nov240101','040000134279','-4',(select max(to_number(i.premium_rcv_detail_code))+1
from ins_premium_det i),'-4','-4','02', '11000003','00','Request by Mr. Omair Ali 29-Nov-2024');</v>
      </c>
      <c r="H38" s="12" t="str">
        <f t="shared" si="3"/>
        <v>insert into ins_premium_det (premium_rcv_code,assorted_code, rec_amount,premium_rcv_detail_code,remaining_amt, payrec, mode_code,coinsurance_code,class_cd,it_remarks) values('28Nov240101','040000134279','-4',(select max(to_number(i.premium_rcv_detail_code))+1
from ins_premium_det i),'-4','-4','02', '11000003','00','Request by Mr. Omair Ali 29-Nov-2024');</v>
      </c>
    </row>
    <row r="39" spans="1:8" ht="105" x14ac:dyDescent="0.25">
      <c r="A39" t="s">
        <v>39</v>
      </c>
      <c r="B39" s="8" t="str">
        <f>VLOOKUP(A39,assortedcode!B:C,2,0)</f>
        <v>040000139450</v>
      </c>
      <c r="C39" s="1">
        <v>-3</v>
      </c>
      <c r="D39" s="9">
        <f t="shared" si="1"/>
        <v>-3</v>
      </c>
      <c r="E39" s="7" t="s">
        <v>8345</v>
      </c>
      <c r="F39" s="10" t="str">
        <f t="shared" si="0"/>
        <v>insert into ins_premium_det (premium_rcv_code,assorted_code, rec_amount,premium_rcv_detail_code,remaining_amt, payrec, mode_code,coinsurance_code,class_cd,it_remarks) values</v>
      </c>
      <c r="G39" s="11" t="str">
        <f t="shared" si="2"/>
        <v>('28Nov240101','040000139450','-3',(select max(to_number(i.premium_rcv_detail_code))+1
from ins_premium_det i),'-3','-3','02', '11000003','00','Request by Mr. Omair Ali 29-Nov-2024');</v>
      </c>
      <c r="H39" s="12" t="str">
        <f t="shared" si="3"/>
        <v>insert into ins_premium_det (premium_rcv_code,assorted_code, rec_amount,premium_rcv_detail_code,remaining_amt, payrec, mode_code,coinsurance_code,class_cd,it_remarks) values('28Nov240101','040000139450','-3',(select max(to_number(i.premium_rcv_detail_code))+1
from ins_premium_det i),'-3','-3','02', '11000003','00','Request by Mr. Omair Ali 29-Nov-2024');</v>
      </c>
    </row>
    <row r="40" spans="1:8" ht="105" x14ac:dyDescent="0.25">
      <c r="A40" t="s">
        <v>40</v>
      </c>
      <c r="B40" s="8" t="str">
        <f>VLOOKUP(A40,assortedcode!B:C,2,0)</f>
        <v>040000144226</v>
      </c>
      <c r="C40" s="1">
        <v>-3</v>
      </c>
      <c r="D40" s="9">
        <f t="shared" si="1"/>
        <v>-3</v>
      </c>
      <c r="E40" s="7" t="s">
        <v>8345</v>
      </c>
      <c r="F40" s="10" t="str">
        <f t="shared" si="0"/>
        <v>insert into ins_premium_det (premium_rcv_code,assorted_code, rec_amount,premium_rcv_detail_code,remaining_amt, payrec, mode_code,coinsurance_code,class_cd,it_remarks) values</v>
      </c>
      <c r="G40" s="11" t="str">
        <f t="shared" si="2"/>
        <v>('28Nov240101','040000144226','-3',(select max(to_number(i.premium_rcv_detail_code))+1
from ins_premium_det i),'-3','-3','02', '11000003','00','Request by Mr. Omair Ali 29-Nov-2024');</v>
      </c>
      <c r="H40" s="12" t="str">
        <f t="shared" si="3"/>
        <v>insert into ins_premium_det (premium_rcv_code,assorted_code, rec_amount,premium_rcv_detail_code,remaining_amt, payrec, mode_code,coinsurance_code,class_cd,it_remarks) values('28Nov240101','040000144226','-3',(select max(to_number(i.premium_rcv_detail_code))+1
from ins_premium_det i),'-3','-3','02', '11000003','00','Request by Mr. Omair Ali 29-Nov-2024');</v>
      </c>
    </row>
    <row r="41" spans="1:8" ht="105" x14ac:dyDescent="0.25">
      <c r="A41" t="s">
        <v>41</v>
      </c>
      <c r="B41" s="8" t="str">
        <f>VLOOKUP(A41,assortedcode!B:C,2,0)</f>
        <v>040000111691</v>
      </c>
      <c r="C41" s="1">
        <v>-3</v>
      </c>
      <c r="D41" s="9">
        <f t="shared" si="1"/>
        <v>-3</v>
      </c>
      <c r="E41" s="7" t="s">
        <v>8345</v>
      </c>
      <c r="F41" s="10" t="str">
        <f t="shared" si="0"/>
        <v>insert into ins_premium_det (premium_rcv_code,assorted_code, rec_amount,premium_rcv_detail_code,remaining_amt, payrec, mode_code,coinsurance_code,class_cd,it_remarks) values</v>
      </c>
      <c r="G41" s="11" t="str">
        <f t="shared" si="2"/>
        <v>('28Nov240101','040000111691','-3',(select max(to_number(i.premium_rcv_detail_code))+1
from ins_premium_det i),'-3','-3','02', '11000003','00','Request by Mr. Omair Ali 29-Nov-2024');</v>
      </c>
      <c r="H41" s="12" t="str">
        <f t="shared" si="3"/>
        <v>insert into ins_premium_det (premium_rcv_code,assorted_code, rec_amount,premium_rcv_detail_code,remaining_amt, payrec, mode_code,coinsurance_code,class_cd,it_remarks) values('28Nov240101','040000111691','-3',(select max(to_number(i.premium_rcv_detail_code))+1
from ins_premium_det i),'-3','-3','02', '11000003','00','Request by Mr. Omair Ali 29-Nov-2024');</v>
      </c>
    </row>
    <row r="42" spans="1:8" ht="105" x14ac:dyDescent="0.25">
      <c r="A42" t="s">
        <v>42</v>
      </c>
      <c r="B42" s="8" t="str">
        <f>VLOOKUP(A42,assortedcode!B:C,2,0)</f>
        <v>040000140328</v>
      </c>
      <c r="C42" s="1">
        <v>-2</v>
      </c>
      <c r="D42" s="9">
        <f t="shared" si="1"/>
        <v>-2</v>
      </c>
      <c r="E42" s="7" t="s">
        <v>8345</v>
      </c>
      <c r="F42" s="10" t="str">
        <f t="shared" si="0"/>
        <v>insert into ins_premium_det (premium_rcv_code,assorted_code, rec_amount,premium_rcv_detail_code,remaining_amt, payrec, mode_code,coinsurance_code,class_cd,it_remarks) values</v>
      </c>
      <c r="G42" s="11" t="str">
        <f t="shared" si="2"/>
        <v>('28Nov240101','040000140328','-2',(select max(to_number(i.premium_rcv_detail_code))+1
from ins_premium_det i),'-2','-2','02', '11000003','00','Request by Mr. Omair Ali 29-Nov-2024');</v>
      </c>
      <c r="H42" s="12" t="str">
        <f t="shared" si="3"/>
        <v>insert into ins_premium_det (premium_rcv_code,assorted_code, rec_amount,premium_rcv_detail_code,remaining_amt, payrec, mode_code,coinsurance_code,class_cd,it_remarks) values('28Nov240101','040000140328','-2',(select max(to_number(i.premium_rcv_detail_code))+1
from ins_premium_det i),'-2','-2','02', '11000003','00','Request by Mr. Omair Ali 29-Nov-2024');</v>
      </c>
    </row>
    <row r="43" spans="1:8" ht="105" x14ac:dyDescent="0.25">
      <c r="A43" t="s">
        <v>43</v>
      </c>
      <c r="B43" s="8" t="str">
        <f>VLOOKUP(A43,assortedcode!B:C,2,0)</f>
        <v>040000137040</v>
      </c>
      <c r="C43" s="1">
        <v>-2</v>
      </c>
      <c r="D43" s="9">
        <f t="shared" si="1"/>
        <v>-2</v>
      </c>
      <c r="E43" s="7" t="s">
        <v>8345</v>
      </c>
      <c r="F43" s="10" t="str">
        <f t="shared" si="0"/>
        <v>insert into ins_premium_det (premium_rcv_code,assorted_code, rec_amount,premium_rcv_detail_code,remaining_amt, payrec, mode_code,coinsurance_code,class_cd,it_remarks) values</v>
      </c>
      <c r="G43" s="11" t="str">
        <f t="shared" si="2"/>
        <v>('28Nov240101','040000137040','-2',(select max(to_number(i.premium_rcv_detail_code))+1
from ins_premium_det i),'-2','-2','02', '11000003','00','Request by Mr. Omair Ali 29-Nov-2024');</v>
      </c>
      <c r="H43" s="12" t="str">
        <f t="shared" si="3"/>
        <v>insert into ins_premium_det (premium_rcv_code,assorted_code, rec_amount,premium_rcv_detail_code,remaining_amt, payrec, mode_code,coinsurance_code,class_cd,it_remarks) values('28Nov240101','040000137040','-2',(select max(to_number(i.premium_rcv_detail_code))+1
from ins_premium_det i),'-2','-2','02', '11000003','00','Request by Mr. Omair Ali 29-Nov-2024');</v>
      </c>
    </row>
    <row r="44" spans="1:8" ht="105" x14ac:dyDescent="0.25">
      <c r="A44" t="s">
        <v>44</v>
      </c>
      <c r="B44" s="8" t="str">
        <f>VLOOKUP(A44,assortedcode!B:C,2,0)</f>
        <v>040000123935</v>
      </c>
      <c r="C44" s="1">
        <v>-2</v>
      </c>
      <c r="D44" s="9">
        <f t="shared" si="1"/>
        <v>-2</v>
      </c>
      <c r="E44" s="7" t="s">
        <v>8345</v>
      </c>
      <c r="F44" s="10" t="str">
        <f t="shared" si="0"/>
        <v>insert into ins_premium_det (premium_rcv_code,assorted_code, rec_amount,premium_rcv_detail_code,remaining_amt, payrec, mode_code,coinsurance_code,class_cd,it_remarks) values</v>
      </c>
      <c r="G44" s="11" t="str">
        <f t="shared" si="2"/>
        <v>('28Nov240101','040000123935','-2',(select max(to_number(i.premium_rcv_detail_code))+1
from ins_premium_det i),'-2','-2','02', '11000003','00','Request by Mr. Omair Ali 29-Nov-2024');</v>
      </c>
      <c r="H44" s="12" t="str">
        <f t="shared" si="3"/>
        <v>insert into ins_premium_det (premium_rcv_code,assorted_code, rec_amount,premium_rcv_detail_code,remaining_amt, payrec, mode_code,coinsurance_code,class_cd,it_remarks) values('28Nov240101','040000123935','-2',(select max(to_number(i.premium_rcv_detail_code))+1
from ins_premium_det i),'-2','-2','02', '11000003','00','Request by Mr. Omair Ali 29-Nov-2024');</v>
      </c>
    </row>
    <row r="45" spans="1:8" ht="105" x14ac:dyDescent="0.25">
      <c r="A45" t="s">
        <v>45</v>
      </c>
      <c r="B45" s="8" t="str">
        <f>VLOOKUP(A45,assortedcode!B:C,2,0)</f>
        <v>040000111582</v>
      </c>
      <c r="C45" s="1">
        <v>-2</v>
      </c>
      <c r="D45" s="9">
        <f t="shared" si="1"/>
        <v>-2</v>
      </c>
      <c r="E45" s="7" t="s">
        <v>8345</v>
      </c>
      <c r="F45" s="10" t="str">
        <f t="shared" si="0"/>
        <v>insert into ins_premium_det (premium_rcv_code,assorted_code, rec_amount,premium_rcv_detail_code,remaining_amt, payrec, mode_code,coinsurance_code,class_cd,it_remarks) values</v>
      </c>
      <c r="G45" s="11" t="str">
        <f t="shared" si="2"/>
        <v>('28Nov240101','040000111582','-2',(select max(to_number(i.premium_rcv_detail_code))+1
from ins_premium_det i),'-2','-2','02', '11000003','00','Request by Mr. Omair Ali 29-Nov-2024');</v>
      </c>
      <c r="H45" s="12" t="str">
        <f t="shared" si="3"/>
        <v>insert into ins_premium_det (premium_rcv_code,assorted_code, rec_amount,premium_rcv_detail_code,remaining_amt, payrec, mode_code,coinsurance_code,class_cd,it_remarks) values('28Nov240101','040000111582','-2',(select max(to_number(i.premium_rcv_detail_code))+1
from ins_premium_det i),'-2','-2','02', '11000003','00','Request by Mr. Omair Ali 29-Nov-2024');</v>
      </c>
    </row>
    <row r="46" spans="1:8" ht="105" x14ac:dyDescent="0.25">
      <c r="A46" t="s">
        <v>46</v>
      </c>
      <c r="B46" s="8" t="str">
        <f>VLOOKUP(A46,assortedcode!B:C,2,0)</f>
        <v>040000107600</v>
      </c>
      <c r="C46" s="1">
        <v>-2</v>
      </c>
      <c r="D46" s="9">
        <f t="shared" si="1"/>
        <v>-2</v>
      </c>
      <c r="E46" s="7" t="s">
        <v>8345</v>
      </c>
      <c r="F46" s="10" t="str">
        <f t="shared" si="0"/>
        <v>insert into ins_premium_det (premium_rcv_code,assorted_code, rec_amount,premium_rcv_detail_code,remaining_amt, payrec, mode_code,coinsurance_code,class_cd,it_remarks) values</v>
      </c>
      <c r="G46" s="11" t="str">
        <f t="shared" si="2"/>
        <v>('28Nov240101','040000107600','-2',(select max(to_number(i.premium_rcv_detail_code))+1
from ins_premium_det i),'-2','-2','02', '11000003','00','Request by Mr. Omair Ali 29-Nov-2024');</v>
      </c>
      <c r="H46" s="12" t="str">
        <f t="shared" si="3"/>
        <v>insert into ins_premium_det (premium_rcv_code,assorted_code, rec_amount,premium_rcv_detail_code,remaining_amt, payrec, mode_code,coinsurance_code,class_cd,it_remarks) values('28Nov240101','040000107600','-2',(select max(to_number(i.premium_rcv_detail_code))+1
from ins_premium_det i),'-2','-2','02', '11000003','00','Request by Mr. Omair Ali 29-Nov-2024');</v>
      </c>
    </row>
    <row r="47" spans="1:8" ht="105" x14ac:dyDescent="0.25">
      <c r="A47" t="s">
        <v>47</v>
      </c>
      <c r="B47" s="8" t="str">
        <f>VLOOKUP(A47,assortedcode!B:C,2,0)</f>
        <v>040000131567</v>
      </c>
      <c r="C47" s="1">
        <v>-2</v>
      </c>
      <c r="D47" s="9">
        <f t="shared" si="1"/>
        <v>-2</v>
      </c>
      <c r="E47" s="7" t="s">
        <v>8345</v>
      </c>
      <c r="F47" s="10" t="str">
        <f t="shared" si="0"/>
        <v>insert into ins_premium_det (premium_rcv_code,assorted_code, rec_amount,premium_rcv_detail_code,remaining_amt, payrec, mode_code,coinsurance_code,class_cd,it_remarks) values</v>
      </c>
      <c r="G47" s="11" t="str">
        <f t="shared" si="2"/>
        <v>('28Nov240101','040000131567','-2',(select max(to_number(i.premium_rcv_detail_code))+1
from ins_premium_det i),'-2','-2','02', '11000003','00','Request by Mr. Omair Ali 29-Nov-2024');</v>
      </c>
      <c r="H47" s="12" t="str">
        <f t="shared" si="3"/>
        <v>insert into ins_premium_det (premium_rcv_code,assorted_code, rec_amount,premium_rcv_detail_code,remaining_amt, payrec, mode_code,coinsurance_code,class_cd,it_remarks) values('28Nov240101','040000131567','-2',(select max(to_number(i.premium_rcv_detail_code))+1
from ins_premium_det i),'-2','-2','02', '11000003','00','Request by Mr. Omair Ali 29-Nov-2024');</v>
      </c>
    </row>
    <row r="48" spans="1:8" ht="105" x14ac:dyDescent="0.25">
      <c r="A48" t="s">
        <v>48</v>
      </c>
      <c r="B48" s="8" t="str">
        <f>VLOOKUP(A48,assortedcode!B:C,2,0)</f>
        <v>040000111843</v>
      </c>
      <c r="C48" s="1">
        <v>-2</v>
      </c>
      <c r="D48" s="9">
        <f t="shared" si="1"/>
        <v>-2</v>
      </c>
      <c r="E48" s="7" t="s">
        <v>8345</v>
      </c>
      <c r="F48" s="10" t="str">
        <f t="shared" si="0"/>
        <v>insert into ins_premium_det (premium_rcv_code,assorted_code, rec_amount,premium_rcv_detail_code,remaining_amt, payrec, mode_code,coinsurance_code,class_cd,it_remarks) values</v>
      </c>
      <c r="G48" s="11" t="str">
        <f t="shared" si="2"/>
        <v>('28Nov240101','040000111843','-2',(select max(to_number(i.premium_rcv_detail_code))+1
from ins_premium_det i),'-2','-2','02', '11000003','00','Request by Mr. Omair Ali 29-Nov-2024');</v>
      </c>
      <c r="H48" s="12" t="str">
        <f t="shared" si="3"/>
        <v>insert into ins_premium_det (premium_rcv_code,assorted_code, rec_amount,premium_rcv_detail_code,remaining_amt, payrec, mode_code,coinsurance_code,class_cd,it_remarks) values('28Nov240101','040000111843','-2',(select max(to_number(i.premium_rcv_detail_code))+1
from ins_premium_det i),'-2','-2','02', '11000003','00','Request by Mr. Omair Ali 29-Nov-2024');</v>
      </c>
    </row>
    <row r="49" spans="1:8" ht="105" x14ac:dyDescent="0.25">
      <c r="A49" t="s">
        <v>49</v>
      </c>
      <c r="B49" s="8" t="str">
        <f>VLOOKUP(A49,assortedcode!B:C,2,0)</f>
        <v>040000138768</v>
      </c>
      <c r="C49" s="1">
        <v>-1</v>
      </c>
      <c r="D49" s="9">
        <f t="shared" si="1"/>
        <v>-1</v>
      </c>
      <c r="E49" s="7" t="s">
        <v>8345</v>
      </c>
      <c r="F49" s="10" t="str">
        <f t="shared" si="0"/>
        <v>insert into ins_premium_det (premium_rcv_code,assorted_code, rec_amount,premium_rcv_detail_code,remaining_amt, payrec, mode_code,coinsurance_code,class_cd,it_remarks) values</v>
      </c>
      <c r="G49" s="11" t="str">
        <f t="shared" si="2"/>
        <v>('28Nov240101','040000138768','-1',(select max(to_number(i.premium_rcv_detail_code))+1
from ins_premium_det i),'-1','-1','02', '11000003','00','Request by Mr. Omair Ali 29-Nov-2024');</v>
      </c>
      <c r="H49" s="12" t="str">
        <f t="shared" si="3"/>
        <v>insert into ins_premium_det (premium_rcv_code,assorted_code, rec_amount,premium_rcv_detail_code,remaining_amt, payrec, mode_code,coinsurance_code,class_cd,it_remarks) values('28Nov240101','040000138768','-1',(select max(to_number(i.premium_rcv_detail_code))+1
from ins_premium_det i),'-1','-1','02', '11000003','00','Request by Mr. Omair Ali 29-Nov-2024');</v>
      </c>
    </row>
    <row r="50" spans="1:8" ht="105" x14ac:dyDescent="0.25">
      <c r="A50" t="s">
        <v>50</v>
      </c>
      <c r="B50" s="8" t="str">
        <f>VLOOKUP(A50,assortedcode!B:C,2,0)</f>
        <v>040000150587</v>
      </c>
      <c r="C50" s="1">
        <v>-1</v>
      </c>
      <c r="D50" s="9">
        <f t="shared" si="1"/>
        <v>-1</v>
      </c>
      <c r="E50" s="7" t="s">
        <v>8345</v>
      </c>
      <c r="F50" s="10" t="str">
        <f t="shared" si="0"/>
        <v>insert into ins_premium_det (premium_rcv_code,assorted_code, rec_amount,premium_rcv_detail_code,remaining_amt, payrec, mode_code,coinsurance_code,class_cd,it_remarks) values</v>
      </c>
      <c r="G50" s="11" t="str">
        <f t="shared" si="2"/>
        <v>('28Nov240101','040000150587','-1',(select max(to_number(i.premium_rcv_detail_code))+1
from ins_premium_det i),'-1','-1','02', '11000003','00','Request by Mr. Omair Ali 29-Nov-2024');</v>
      </c>
      <c r="H50" s="12" t="str">
        <f t="shared" si="3"/>
        <v>insert into ins_premium_det (premium_rcv_code,assorted_code, rec_amount,premium_rcv_detail_code,remaining_amt, payrec, mode_code,coinsurance_code,class_cd,it_remarks) values('28Nov240101','040000150587','-1',(select max(to_number(i.premium_rcv_detail_code))+1
from ins_premium_det i),'-1','-1','02', '11000003','00','Request by Mr. Omair Ali 29-Nov-2024');</v>
      </c>
    </row>
    <row r="51" spans="1:8" ht="105" x14ac:dyDescent="0.25">
      <c r="A51" t="s">
        <v>51</v>
      </c>
      <c r="B51" s="8" t="str">
        <f>VLOOKUP(A51,assortedcode!B:C,2,0)</f>
        <v>070000157111</v>
      </c>
      <c r="C51" s="1">
        <v>-1</v>
      </c>
      <c r="D51" s="9">
        <f t="shared" si="1"/>
        <v>-1</v>
      </c>
      <c r="E51" s="7" t="s">
        <v>8345</v>
      </c>
      <c r="F51" s="10" t="str">
        <f t="shared" si="0"/>
        <v>insert into ins_premium_det (premium_rcv_code,assorted_code, rec_amount,premium_rcv_detail_code,remaining_amt, payrec, mode_code,coinsurance_code,class_cd,it_remarks) values</v>
      </c>
      <c r="G51" s="11" t="str">
        <f t="shared" si="2"/>
        <v>('28Nov240101','070000157111','-1',(select max(to_number(i.premium_rcv_detail_code))+1
from ins_premium_det i),'-1','-1','02', '11000003','00','Request by Mr. Omair Ali 29-Nov-2024');</v>
      </c>
      <c r="H51" s="12" t="str">
        <f t="shared" si="3"/>
        <v>insert into ins_premium_det (premium_rcv_code,assorted_code, rec_amount,premium_rcv_detail_code,remaining_amt, payrec, mode_code,coinsurance_code,class_cd,it_remarks) values('28Nov240101','070000157111','-1',(select max(to_number(i.premium_rcv_detail_code))+1
from ins_premium_det i),'-1','-1','02', '11000003','00','Request by Mr. Omair Ali 29-Nov-2024');</v>
      </c>
    </row>
    <row r="52" spans="1:8" ht="105" x14ac:dyDescent="0.25">
      <c r="A52" t="s">
        <v>52</v>
      </c>
      <c r="B52" s="8" t="str">
        <f>VLOOKUP(A52,assortedcode!B:C,2,0)</f>
        <v>040000181567</v>
      </c>
      <c r="C52" s="1">
        <v>-1</v>
      </c>
      <c r="D52" s="9">
        <f t="shared" si="1"/>
        <v>-1</v>
      </c>
      <c r="E52" s="7" t="s">
        <v>8345</v>
      </c>
      <c r="F52" s="10" t="str">
        <f t="shared" si="0"/>
        <v>insert into ins_premium_det (premium_rcv_code,assorted_code, rec_amount,premium_rcv_detail_code,remaining_amt, payrec, mode_code,coinsurance_code,class_cd,it_remarks) values</v>
      </c>
      <c r="G52" s="11" t="str">
        <f t="shared" si="2"/>
        <v>('28Nov240101','040000181567','-1',(select max(to_number(i.premium_rcv_detail_code))+1
from ins_premium_det i),'-1','-1','02', '11000003','00','Request by Mr. Omair Ali 29-Nov-2024');</v>
      </c>
      <c r="H52" s="12" t="str">
        <f t="shared" si="3"/>
        <v>insert into ins_premium_det (premium_rcv_code,assorted_code, rec_amount,premium_rcv_detail_code,remaining_amt, payrec, mode_code,coinsurance_code,class_cd,it_remarks) values('28Nov240101','040000181567','-1',(select max(to_number(i.premium_rcv_detail_code))+1
from ins_premium_det i),'-1','-1','02', '11000003','00','Request by Mr. Omair Ali 29-Nov-2024');</v>
      </c>
    </row>
    <row r="53" spans="1:8" ht="105" x14ac:dyDescent="0.25">
      <c r="A53" t="s">
        <v>53</v>
      </c>
      <c r="B53" s="8" t="str">
        <f>VLOOKUP(A53,assortedcode!B:C,2,0)</f>
        <v>040000171469</v>
      </c>
      <c r="C53" s="1">
        <v>-1</v>
      </c>
      <c r="D53" s="9">
        <f t="shared" si="1"/>
        <v>-1</v>
      </c>
      <c r="E53" s="7" t="s">
        <v>8345</v>
      </c>
      <c r="F53" s="10" t="str">
        <f t="shared" si="0"/>
        <v>insert into ins_premium_det (premium_rcv_code,assorted_code, rec_amount,premium_rcv_detail_code,remaining_amt, payrec, mode_code,coinsurance_code,class_cd,it_remarks) values</v>
      </c>
      <c r="G53" s="11" t="str">
        <f t="shared" si="2"/>
        <v>('28Nov240101','040000171469','-1',(select max(to_number(i.premium_rcv_detail_code))+1
from ins_premium_det i),'-1','-1','02', '11000003','00','Request by Mr. Omair Ali 29-Nov-2024');</v>
      </c>
      <c r="H53" s="12" t="str">
        <f t="shared" si="3"/>
        <v>insert into ins_premium_det (premium_rcv_code,assorted_code, rec_amount,premium_rcv_detail_code,remaining_amt, payrec, mode_code,coinsurance_code,class_cd,it_remarks) values('28Nov240101','040000171469','-1',(select max(to_number(i.premium_rcv_detail_code))+1
from ins_premium_det i),'-1','-1','02', '11000003','00','Request by Mr. Omair Ali 29-Nov-2024');</v>
      </c>
    </row>
    <row r="54" spans="1:8" ht="105" x14ac:dyDescent="0.25">
      <c r="A54" t="s">
        <v>54</v>
      </c>
      <c r="B54" s="8" t="str">
        <f>VLOOKUP(A54,assortedcode!B:C,2,0)</f>
        <v>070000158892</v>
      </c>
      <c r="C54" s="1">
        <v>-1</v>
      </c>
      <c r="D54" s="9">
        <f t="shared" si="1"/>
        <v>-1</v>
      </c>
      <c r="E54" s="7" t="s">
        <v>8345</v>
      </c>
      <c r="F54" s="10" t="str">
        <f t="shared" si="0"/>
        <v>insert into ins_premium_det (premium_rcv_code,assorted_code, rec_amount,premium_rcv_detail_code,remaining_amt, payrec, mode_code,coinsurance_code,class_cd,it_remarks) values</v>
      </c>
      <c r="G54" s="11" t="str">
        <f t="shared" si="2"/>
        <v>('28Nov240101','070000158892','-1',(select max(to_number(i.premium_rcv_detail_code))+1
from ins_premium_det i),'-1','-1','02', '11000003','00','Request by Mr. Omair Ali 29-Nov-2024');</v>
      </c>
      <c r="H54" s="12" t="str">
        <f t="shared" si="3"/>
        <v>insert into ins_premium_det (premium_rcv_code,assorted_code, rec_amount,premium_rcv_detail_code,remaining_amt, payrec, mode_code,coinsurance_code,class_cd,it_remarks) values('28Nov240101','070000158892','-1',(select max(to_number(i.premium_rcv_detail_code))+1
from ins_premium_det i),'-1','-1','02', '11000003','00','Request by Mr. Omair Ali 29-Nov-2024');</v>
      </c>
    </row>
    <row r="55" spans="1:8" ht="105" x14ac:dyDescent="0.25">
      <c r="A55" t="s">
        <v>55</v>
      </c>
      <c r="B55" s="8" t="str">
        <f>VLOOKUP(A55,assortedcode!B:C,2,0)</f>
        <v>070000165901</v>
      </c>
      <c r="C55" s="1">
        <v>-1</v>
      </c>
      <c r="D55" s="9">
        <f t="shared" si="1"/>
        <v>-1</v>
      </c>
      <c r="E55" s="7" t="s">
        <v>8345</v>
      </c>
      <c r="F55" s="10" t="str">
        <f t="shared" si="0"/>
        <v>insert into ins_premium_det (premium_rcv_code,assorted_code, rec_amount,premium_rcv_detail_code,remaining_amt, payrec, mode_code,coinsurance_code,class_cd,it_remarks) values</v>
      </c>
      <c r="G55" s="11" t="str">
        <f t="shared" si="2"/>
        <v>('28Nov240101','070000165901','-1',(select max(to_number(i.premium_rcv_detail_code))+1
from ins_premium_det i),'-1','-1','02', '11000003','00','Request by Mr. Omair Ali 29-Nov-2024');</v>
      </c>
      <c r="H55" s="12" t="str">
        <f t="shared" si="3"/>
        <v>insert into ins_premium_det (premium_rcv_code,assorted_code, rec_amount,premium_rcv_detail_code,remaining_amt, payrec, mode_code,coinsurance_code,class_cd,it_remarks) values('28Nov240101','070000165901','-1',(select max(to_number(i.premium_rcv_detail_code))+1
from ins_premium_det i),'-1','-1','02', '11000003','00','Request by Mr. Omair Ali 29-Nov-2024');</v>
      </c>
    </row>
    <row r="56" spans="1:8" ht="105" x14ac:dyDescent="0.25">
      <c r="A56" t="s">
        <v>56</v>
      </c>
      <c r="B56" s="8" t="str">
        <f>VLOOKUP(A56,assortedcode!B:C,2,0)</f>
        <v>070000165834</v>
      </c>
      <c r="C56" s="1">
        <v>-1</v>
      </c>
      <c r="D56" s="9">
        <f t="shared" si="1"/>
        <v>-1</v>
      </c>
      <c r="E56" s="7" t="s">
        <v>8345</v>
      </c>
      <c r="F56" s="10" t="str">
        <f t="shared" si="0"/>
        <v>insert into ins_premium_det (premium_rcv_code,assorted_code, rec_amount,premium_rcv_detail_code,remaining_amt, payrec, mode_code,coinsurance_code,class_cd,it_remarks) values</v>
      </c>
      <c r="G56" s="11" t="str">
        <f t="shared" si="2"/>
        <v>('28Nov240101','070000165834','-1',(select max(to_number(i.premium_rcv_detail_code))+1
from ins_premium_det i),'-1','-1','02', '11000003','00','Request by Mr. Omair Ali 29-Nov-2024');</v>
      </c>
      <c r="H56" s="12" t="str">
        <f t="shared" si="3"/>
        <v>insert into ins_premium_det (premium_rcv_code,assorted_code, rec_amount,premium_rcv_detail_code,remaining_amt, payrec, mode_code,coinsurance_code,class_cd,it_remarks) values('28Nov240101','070000165834','-1',(select max(to_number(i.premium_rcv_detail_code))+1
from ins_premium_det i),'-1','-1','02', '11000003','00','Request by Mr. Omair Ali 29-Nov-2024');</v>
      </c>
    </row>
    <row r="57" spans="1:8" ht="105" x14ac:dyDescent="0.25">
      <c r="A57" t="s">
        <v>57</v>
      </c>
      <c r="B57" s="8" t="str">
        <f>VLOOKUP(A57,assortedcode!B:C,2,0)</f>
        <v>040000143391</v>
      </c>
      <c r="C57" s="1">
        <v>-1</v>
      </c>
      <c r="D57" s="9">
        <f t="shared" si="1"/>
        <v>-1</v>
      </c>
      <c r="E57" s="7" t="s">
        <v>8345</v>
      </c>
      <c r="F57" s="10" t="str">
        <f t="shared" si="0"/>
        <v>insert into ins_premium_det (premium_rcv_code,assorted_code, rec_amount,premium_rcv_detail_code,remaining_amt, payrec, mode_code,coinsurance_code,class_cd,it_remarks) values</v>
      </c>
      <c r="G57" s="11" t="str">
        <f t="shared" si="2"/>
        <v>('28Nov240101','040000143391','-1',(select max(to_number(i.premium_rcv_detail_code))+1
from ins_premium_det i),'-1','-1','02', '11000003','00','Request by Mr. Omair Ali 29-Nov-2024');</v>
      </c>
      <c r="H57" s="12" t="str">
        <f t="shared" si="3"/>
        <v>insert into ins_premium_det (premium_rcv_code,assorted_code, rec_amount,premium_rcv_detail_code,remaining_amt, payrec, mode_code,coinsurance_code,class_cd,it_remarks) values('28Nov240101','040000143391','-1',(select max(to_number(i.premium_rcv_detail_code))+1
from ins_premium_det i),'-1','-1','02', '11000003','00','Request by Mr. Omair Ali 29-Nov-2024');</v>
      </c>
    </row>
    <row r="58" spans="1:8" ht="105" x14ac:dyDescent="0.25">
      <c r="A58" t="s">
        <v>58</v>
      </c>
      <c r="B58" s="8" t="str">
        <f>VLOOKUP(A58,assortedcode!B:C,2,0)</f>
        <v>070000124111</v>
      </c>
      <c r="C58" s="1">
        <v>-1</v>
      </c>
      <c r="D58" s="9">
        <f t="shared" si="1"/>
        <v>-1</v>
      </c>
      <c r="E58" s="7" t="s">
        <v>8345</v>
      </c>
      <c r="F58" s="10" t="str">
        <f t="shared" si="0"/>
        <v>insert into ins_premium_det (premium_rcv_code,assorted_code, rec_amount,premium_rcv_detail_code,remaining_amt, payrec, mode_code,coinsurance_code,class_cd,it_remarks) values</v>
      </c>
      <c r="G58" s="11" t="str">
        <f t="shared" si="2"/>
        <v>('28Nov240101','070000124111','-1',(select max(to_number(i.premium_rcv_detail_code))+1
from ins_premium_det i),'-1','-1','02', '11000003','00','Request by Mr. Omair Ali 29-Nov-2024');</v>
      </c>
      <c r="H58" s="12" t="str">
        <f t="shared" si="3"/>
        <v>insert into ins_premium_det (premium_rcv_code,assorted_code, rec_amount,premium_rcv_detail_code,remaining_amt, payrec, mode_code,coinsurance_code,class_cd,it_remarks) values('28Nov240101','070000124111','-1',(select max(to_number(i.premium_rcv_detail_code))+1
from ins_premium_det i),'-1','-1','02', '11000003','00','Request by Mr. Omair Ali 29-Nov-2024');</v>
      </c>
    </row>
    <row r="59" spans="1:8" ht="105" x14ac:dyDescent="0.25">
      <c r="A59" t="s">
        <v>59</v>
      </c>
      <c r="B59" s="8" t="str">
        <f>VLOOKUP(A59,assortedcode!B:C,2,0)</f>
        <v>070000166095</v>
      </c>
      <c r="C59" s="1">
        <v>-1</v>
      </c>
      <c r="D59" s="9">
        <f t="shared" si="1"/>
        <v>-1</v>
      </c>
      <c r="E59" s="7" t="s">
        <v>8345</v>
      </c>
      <c r="F59" s="10" t="str">
        <f t="shared" si="0"/>
        <v>insert into ins_premium_det (premium_rcv_code,assorted_code, rec_amount,premium_rcv_detail_code,remaining_amt, payrec, mode_code,coinsurance_code,class_cd,it_remarks) values</v>
      </c>
      <c r="G59" s="11" t="str">
        <f t="shared" si="2"/>
        <v>('28Nov240101','070000166095','-1',(select max(to_number(i.premium_rcv_detail_code))+1
from ins_premium_det i),'-1','-1','02', '11000003','00','Request by Mr. Omair Ali 29-Nov-2024');</v>
      </c>
      <c r="H59" s="12" t="str">
        <f t="shared" si="3"/>
        <v>insert into ins_premium_det (premium_rcv_code,assorted_code, rec_amount,premium_rcv_detail_code,remaining_amt, payrec, mode_code,coinsurance_code,class_cd,it_remarks) values('28Nov240101','070000166095','-1',(select max(to_number(i.premium_rcv_detail_code))+1
from ins_premium_det i),'-1','-1','02', '11000003','00','Request by Mr. Omair Ali 29-Nov-2024');</v>
      </c>
    </row>
    <row r="60" spans="1:8" ht="105" x14ac:dyDescent="0.25">
      <c r="A60" t="s">
        <v>60</v>
      </c>
      <c r="B60" s="8" t="str">
        <f>VLOOKUP(A60,assortedcode!B:C,2,0)</f>
        <v>070000165898</v>
      </c>
      <c r="C60" s="1">
        <v>-1</v>
      </c>
      <c r="D60" s="9">
        <f t="shared" si="1"/>
        <v>-1</v>
      </c>
      <c r="E60" s="7" t="s">
        <v>8345</v>
      </c>
      <c r="F60" s="10" t="str">
        <f t="shared" si="0"/>
        <v>insert into ins_premium_det (premium_rcv_code,assorted_code, rec_amount,premium_rcv_detail_code,remaining_amt, payrec, mode_code,coinsurance_code,class_cd,it_remarks) values</v>
      </c>
      <c r="G60" s="11" t="str">
        <f t="shared" si="2"/>
        <v>('28Nov240101','070000165898','-1',(select max(to_number(i.premium_rcv_detail_code))+1
from ins_premium_det i),'-1','-1','02', '11000003','00','Request by Mr. Omair Ali 29-Nov-2024');</v>
      </c>
      <c r="H60" s="12" t="str">
        <f t="shared" si="3"/>
        <v>insert into ins_premium_det (premium_rcv_code,assorted_code, rec_amount,premium_rcv_detail_code,remaining_amt, payrec, mode_code,coinsurance_code,class_cd,it_remarks) values('28Nov240101','070000165898','-1',(select max(to_number(i.premium_rcv_detail_code))+1
from ins_premium_det i),'-1','-1','02', '11000003','00','Request by Mr. Omair Ali 29-Nov-2024');</v>
      </c>
    </row>
    <row r="61" spans="1:8" ht="105" x14ac:dyDescent="0.25">
      <c r="A61" t="s">
        <v>61</v>
      </c>
      <c r="B61" s="8" t="str">
        <f>VLOOKUP(A61,assortedcode!B:C,2,0)</f>
        <v>070000165972</v>
      </c>
      <c r="C61" s="1">
        <v>-1</v>
      </c>
      <c r="D61" s="9">
        <f t="shared" si="1"/>
        <v>-1</v>
      </c>
      <c r="E61" s="7" t="s">
        <v>8345</v>
      </c>
      <c r="F61" s="10" t="str">
        <f t="shared" si="0"/>
        <v>insert into ins_premium_det (premium_rcv_code,assorted_code, rec_amount,premium_rcv_detail_code,remaining_amt, payrec, mode_code,coinsurance_code,class_cd,it_remarks) values</v>
      </c>
      <c r="G61" s="11" t="str">
        <f t="shared" si="2"/>
        <v>('28Nov240101','070000165972','-1',(select max(to_number(i.premium_rcv_detail_code))+1
from ins_premium_det i),'-1','-1','02', '11000003','00','Request by Mr. Omair Ali 29-Nov-2024');</v>
      </c>
      <c r="H61" s="12" t="str">
        <f t="shared" si="3"/>
        <v>insert into ins_premium_det (premium_rcv_code,assorted_code, rec_amount,premium_rcv_detail_code,remaining_amt, payrec, mode_code,coinsurance_code,class_cd,it_remarks) values('28Nov240101','070000165972','-1',(select max(to_number(i.premium_rcv_detail_code))+1
from ins_premium_det i),'-1','-1','02', '11000003','00','Request by Mr. Omair Ali 29-Nov-2024');</v>
      </c>
    </row>
    <row r="62" spans="1:8" ht="105" x14ac:dyDescent="0.25">
      <c r="A62" t="s">
        <v>62</v>
      </c>
      <c r="B62" s="8" t="str">
        <f>VLOOKUP(A62,assortedcode!B:C,2,0)</f>
        <v>070000166035</v>
      </c>
      <c r="C62" s="1">
        <v>-1</v>
      </c>
      <c r="D62" s="9">
        <f t="shared" si="1"/>
        <v>-1</v>
      </c>
      <c r="E62" s="7" t="s">
        <v>8345</v>
      </c>
      <c r="F62" s="10" t="str">
        <f t="shared" si="0"/>
        <v>insert into ins_premium_det (premium_rcv_code,assorted_code, rec_amount,premium_rcv_detail_code,remaining_amt, payrec, mode_code,coinsurance_code,class_cd,it_remarks) values</v>
      </c>
      <c r="G62" s="11" t="str">
        <f t="shared" si="2"/>
        <v>('28Nov240101','070000166035','-1',(select max(to_number(i.premium_rcv_detail_code))+1
from ins_premium_det i),'-1','-1','02', '11000003','00','Request by Mr. Omair Ali 29-Nov-2024');</v>
      </c>
      <c r="H62" s="12" t="str">
        <f t="shared" si="3"/>
        <v>insert into ins_premium_det (premium_rcv_code,assorted_code, rec_amount,premium_rcv_detail_code,remaining_amt, payrec, mode_code,coinsurance_code,class_cd,it_remarks) values('28Nov240101','070000166035','-1',(select max(to_number(i.premium_rcv_detail_code))+1
from ins_premium_det i),'-1','-1','02', '11000003','00','Request by Mr. Omair Ali 29-Nov-2024');</v>
      </c>
    </row>
    <row r="63" spans="1:8" ht="105" x14ac:dyDescent="0.25">
      <c r="A63" t="s">
        <v>63</v>
      </c>
      <c r="B63" s="8" t="str">
        <f>VLOOKUP(A63,assortedcode!B:C,2,0)</f>
        <v>070000166101</v>
      </c>
      <c r="C63" s="1">
        <v>-1</v>
      </c>
      <c r="D63" s="9">
        <f t="shared" si="1"/>
        <v>-1</v>
      </c>
      <c r="E63" s="7" t="s">
        <v>8345</v>
      </c>
      <c r="F63" s="10" t="str">
        <f t="shared" si="0"/>
        <v>insert into ins_premium_det (premium_rcv_code,assorted_code, rec_amount,premium_rcv_detail_code,remaining_amt, payrec, mode_code,coinsurance_code,class_cd,it_remarks) values</v>
      </c>
      <c r="G63" s="11" t="str">
        <f t="shared" si="2"/>
        <v>('28Nov240101','070000166101','-1',(select max(to_number(i.premium_rcv_detail_code))+1
from ins_premium_det i),'-1','-1','02', '11000003','00','Request by Mr. Omair Ali 29-Nov-2024');</v>
      </c>
      <c r="H63" s="12" t="str">
        <f t="shared" si="3"/>
        <v>insert into ins_premium_det (premium_rcv_code,assorted_code, rec_amount,premium_rcv_detail_code,remaining_amt, payrec, mode_code,coinsurance_code,class_cd,it_remarks) values('28Nov240101','070000166101','-1',(select max(to_number(i.premium_rcv_detail_code))+1
from ins_premium_det i),'-1','-1','02', '11000003','00','Request by Mr. Omair Ali 29-Nov-2024');</v>
      </c>
    </row>
    <row r="64" spans="1:8" ht="105" x14ac:dyDescent="0.25">
      <c r="A64" t="s">
        <v>64</v>
      </c>
      <c r="B64" s="8" t="str">
        <f>VLOOKUP(A64,assortedcode!B:C,2,0)</f>
        <v>070000165780</v>
      </c>
      <c r="C64" s="1">
        <v>-1</v>
      </c>
      <c r="D64" s="9">
        <f t="shared" si="1"/>
        <v>-1</v>
      </c>
      <c r="E64" s="7" t="s">
        <v>8345</v>
      </c>
      <c r="F64" s="10" t="str">
        <f t="shared" si="0"/>
        <v>insert into ins_premium_det (premium_rcv_code,assorted_code, rec_amount,premium_rcv_detail_code,remaining_amt, payrec, mode_code,coinsurance_code,class_cd,it_remarks) values</v>
      </c>
      <c r="G64" s="11" t="str">
        <f t="shared" si="2"/>
        <v>('28Nov240101','070000165780','-1',(select max(to_number(i.premium_rcv_detail_code))+1
from ins_premium_det i),'-1','-1','02', '11000003','00','Request by Mr. Omair Ali 29-Nov-2024');</v>
      </c>
      <c r="H64" s="12" t="str">
        <f t="shared" si="3"/>
        <v>insert into ins_premium_det (premium_rcv_code,assorted_code, rec_amount,premium_rcv_detail_code,remaining_amt, payrec, mode_code,coinsurance_code,class_cd,it_remarks) values('28Nov240101','070000165780','-1',(select max(to_number(i.premium_rcv_detail_code))+1
from ins_premium_det i),'-1','-1','02', '11000003','00','Request by Mr. Omair Ali 29-Nov-2024');</v>
      </c>
    </row>
    <row r="65" spans="1:8" ht="105" x14ac:dyDescent="0.25">
      <c r="A65" t="s">
        <v>65</v>
      </c>
      <c r="B65" s="8" t="str">
        <f>VLOOKUP(A65,assortedcode!B:C,2,0)</f>
        <v>070000165888</v>
      </c>
      <c r="C65" s="1">
        <v>-1</v>
      </c>
      <c r="D65" s="9">
        <f t="shared" si="1"/>
        <v>-1</v>
      </c>
      <c r="E65" s="7" t="s">
        <v>8345</v>
      </c>
      <c r="F65" s="10" t="str">
        <f t="shared" si="0"/>
        <v>insert into ins_premium_det (premium_rcv_code,assorted_code, rec_amount,premium_rcv_detail_code,remaining_amt, payrec, mode_code,coinsurance_code,class_cd,it_remarks) values</v>
      </c>
      <c r="G65" s="11" t="str">
        <f t="shared" si="2"/>
        <v>('28Nov240101','070000165888','-1',(select max(to_number(i.premium_rcv_detail_code))+1
from ins_premium_det i),'-1','-1','02', '11000003','00','Request by Mr. Omair Ali 29-Nov-2024');</v>
      </c>
      <c r="H65" s="12" t="str">
        <f t="shared" si="3"/>
        <v>insert into ins_premium_det (premium_rcv_code,assorted_code, rec_amount,premium_rcv_detail_code,remaining_amt, payrec, mode_code,coinsurance_code,class_cd,it_remarks) values('28Nov240101','070000165888','-1',(select max(to_number(i.premium_rcv_detail_code))+1
from ins_premium_det i),'-1','-1','02', '11000003','00','Request by Mr. Omair Ali 29-Nov-2024');</v>
      </c>
    </row>
    <row r="66" spans="1:8" ht="105" x14ac:dyDescent="0.25">
      <c r="A66" t="s">
        <v>66</v>
      </c>
      <c r="B66" s="8" t="str">
        <f>VLOOKUP(A66,assortedcode!B:C,2,0)</f>
        <v>070000166071</v>
      </c>
      <c r="C66" s="1">
        <v>-1</v>
      </c>
      <c r="D66" s="9">
        <f t="shared" si="1"/>
        <v>-1</v>
      </c>
      <c r="E66" s="7" t="s">
        <v>8345</v>
      </c>
      <c r="F66" s="10" t="str">
        <f t="shared" ref="F66:F129" si="4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66" s="11" t="str">
        <f t="shared" si="2"/>
        <v>('28Nov240101','070000166071','-1',(select max(to_number(i.premium_rcv_detail_code))+1
from ins_premium_det i),'-1','-1','02', '11000003','00','Request by Mr. Omair Ali 29-Nov-2024');</v>
      </c>
      <c r="H66" s="12" t="str">
        <f t="shared" si="3"/>
        <v>insert into ins_premium_det (premium_rcv_code,assorted_code, rec_amount,premium_rcv_detail_code,remaining_amt, payrec, mode_code,coinsurance_code,class_cd,it_remarks) values('28Nov240101','070000166071','-1',(select max(to_number(i.premium_rcv_detail_code))+1
from ins_premium_det i),'-1','-1','02', '11000003','00','Request by Mr. Omair Ali 29-Nov-2024');</v>
      </c>
    </row>
    <row r="67" spans="1:8" ht="105" x14ac:dyDescent="0.25">
      <c r="A67" t="s">
        <v>67</v>
      </c>
      <c r="B67" s="8" t="str">
        <f>VLOOKUP(A67,assortedcode!B:C,2,0)</f>
        <v>070000165985</v>
      </c>
      <c r="C67" s="1">
        <v>-1</v>
      </c>
      <c r="D67" s="9">
        <f t="shared" ref="D67:D130" si="5">ROUND(C67,0)</f>
        <v>-1</v>
      </c>
      <c r="E67" s="7" t="s">
        <v>8345</v>
      </c>
      <c r="F67" s="10" t="str">
        <f t="shared" si="4"/>
        <v>insert into ins_premium_det (premium_rcv_code,assorted_code, rec_amount,premium_rcv_detail_code,remaining_amt, payrec, mode_code,coinsurance_code,class_cd,it_remarks) values</v>
      </c>
      <c r="G67" s="11" t="str">
        <f t="shared" ref="G67:G130" si="6">"('"&amp;E67&amp;"','"&amp;B67&amp;"','"&amp;ROUND(D67,2)&amp;"',(select max(to_number(i.premium_rcv_detail_code))+1
from ins_premium_det i),'"&amp;D67&amp;"','"&amp;D67&amp;"','02', '11000003','00','Request by Mr. Omair Ali 29-Nov-2024');"</f>
        <v>('28Nov240101','070000165985','-1',(select max(to_number(i.premium_rcv_detail_code))+1
from ins_premium_det i),'-1','-1','02', '11000003','00','Request by Mr. Omair Ali 29-Nov-2024');</v>
      </c>
      <c r="H67" s="12" t="str">
        <f t="shared" ref="H67:H130" si="7">F67&amp;G67</f>
        <v>insert into ins_premium_det (premium_rcv_code,assorted_code, rec_amount,premium_rcv_detail_code,remaining_amt, payrec, mode_code,coinsurance_code,class_cd,it_remarks) values('28Nov240101','070000165985','-1',(select max(to_number(i.premium_rcv_detail_code))+1
from ins_premium_det i),'-1','-1','02', '11000003','00','Request by Mr. Omair Ali 29-Nov-2024');</v>
      </c>
    </row>
    <row r="68" spans="1:8" ht="105" x14ac:dyDescent="0.25">
      <c r="A68" t="s">
        <v>68</v>
      </c>
      <c r="B68" s="8" t="str">
        <f>VLOOKUP(A68,assortedcode!B:C,2,0)</f>
        <v>070000103246</v>
      </c>
      <c r="C68" s="1">
        <v>-1</v>
      </c>
      <c r="D68" s="9">
        <f t="shared" si="5"/>
        <v>-1</v>
      </c>
      <c r="E68" s="7" t="s">
        <v>8345</v>
      </c>
      <c r="F68" s="10" t="str">
        <f t="shared" si="4"/>
        <v>insert into ins_premium_det (premium_rcv_code,assorted_code, rec_amount,premium_rcv_detail_code,remaining_amt, payrec, mode_code,coinsurance_code,class_cd,it_remarks) values</v>
      </c>
      <c r="G68" s="11" t="str">
        <f t="shared" si="6"/>
        <v>('28Nov240101','070000103246','-1',(select max(to_number(i.premium_rcv_detail_code))+1
from ins_premium_det i),'-1','-1','02', '11000003','00','Request by Mr. Omair Ali 29-Nov-2024');</v>
      </c>
      <c r="H68" s="12" t="str">
        <f t="shared" si="7"/>
        <v>insert into ins_premium_det (premium_rcv_code,assorted_code, rec_amount,premium_rcv_detail_code,remaining_amt, payrec, mode_code,coinsurance_code,class_cd,it_remarks) values('28Nov240101','070000103246','-1',(select max(to_number(i.premium_rcv_detail_code))+1
from ins_premium_det i),'-1','-1','02', '11000003','00','Request by Mr. Omair Ali 29-Nov-2024');</v>
      </c>
    </row>
    <row r="69" spans="1:8" ht="105" x14ac:dyDescent="0.25">
      <c r="A69" t="s">
        <v>69</v>
      </c>
      <c r="B69" s="8" t="str">
        <f>VLOOKUP(A69,assortedcode!B:C,2,0)</f>
        <v>070000158890</v>
      </c>
      <c r="C69" s="1">
        <v>-1</v>
      </c>
      <c r="D69" s="9">
        <f t="shared" si="5"/>
        <v>-1</v>
      </c>
      <c r="E69" s="7" t="s">
        <v>8345</v>
      </c>
      <c r="F69" s="10" t="str">
        <f t="shared" si="4"/>
        <v>insert into ins_premium_det (premium_rcv_code,assorted_code, rec_amount,premium_rcv_detail_code,remaining_amt, payrec, mode_code,coinsurance_code,class_cd,it_remarks) values</v>
      </c>
      <c r="G69" s="11" t="str">
        <f t="shared" si="6"/>
        <v>('28Nov240101','070000158890','-1',(select max(to_number(i.premium_rcv_detail_code))+1
from ins_premium_det i),'-1','-1','02', '11000003','00','Request by Mr. Omair Ali 29-Nov-2024');</v>
      </c>
      <c r="H69" s="12" t="str">
        <f t="shared" si="7"/>
        <v>insert into ins_premium_det (premium_rcv_code,assorted_code, rec_amount,premium_rcv_detail_code,remaining_amt, payrec, mode_code,coinsurance_code,class_cd,it_remarks) values('28Nov240101','070000158890','-1',(select max(to_number(i.premium_rcv_detail_code))+1
from ins_premium_det i),'-1','-1','02', '11000003','00','Request by Mr. Omair Ali 29-Nov-2024');</v>
      </c>
    </row>
    <row r="70" spans="1:8" ht="105" x14ac:dyDescent="0.25">
      <c r="A70" t="s">
        <v>70</v>
      </c>
      <c r="B70" s="8" t="str">
        <f>VLOOKUP(A70,assortedcode!B:C,2,0)</f>
        <v>070000123453</v>
      </c>
      <c r="C70" s="1">
        <v>-1</v>
      </c>
      <c r="D70" s="9">
        <f t="shared" si="5"/>
        <v>-1</v>
      </c>
      <c r="E70" s="7" t="s">
        <v>8345</v>
      </c>
      <c r="F70" s="10" t="str">
        <f t="shared" si="4"/>
        <v>insert into ins_premium_det (premium_rcv_code,assorted_code, rec_amount,premium_rcv_detail_code,remaining_amt, payrec, mode_code,coinsurance_code,class_cd,it_remarks) values</v>
      </c>
      <c r="G70" s="11" t="str">
        <f t="shared" si="6"/>
        <v>('28Nov240101','070000123453','-1',(select max(to_number(i.premium_rcv_detail_code))+1
from ins_premium_det i),'-1','-1','02', '11000003','00','Request by Mr. Omair Ali 29-Nov-2024');</v>
      </c>
      <c r="H70" s="12" t="str">
        <f t="shared" si="7"/>
        <v>insert into ins_premium_det (premium_rcv_code,assorted_code, rec_amount,premium_rcv_detail_code,remaining_amt, payrec, mode_code,coinsurance_code,class_cd,it_remarks) values('28Nov240101','070000123453','-1',(select max(to_number(i.premium_rcv_detail_code))+1
from ins_premium_det i),'-1','-1','02', '11000003','00','Request by Mr. Omair Ali 29-Nov-2024');</v>
      </c>
    </row>
    <row r="71" spans="1:8" ht="105" x14ac:dyDescent="0.25">
      <c r="A71" t="s">
        <v>71</v>
      </c>
      <c r="B71" s="8" t="str">
        <f>VLOOKUP(A71,assortedcode!B:C,2,0)</f>
        <v>070000165838</v>
      </c>
      <c r="C71" s="1">
        <v>-1</v>
      </c>
      <c r="D71" s="9">
        <f t="shared" si="5"/>
        <v>-1</v>
      </c>
      <c r="E71" s="7" t="s">
        <v>8345</v>
      </c>
      <c r="F71" s="10" t="str">
        <f t="shared" si="4"/>
        <v>insert into ins_premium_det (premium_rcv_code,assorted_code, rec_amount,premium_rcv_detail_code,remaining_amt, payrec, mode_code,coinsurance_code,class_cd,it_remarks) values</v>
      </c>
      <c r="G71" s="11" t="str">
        <f t="shared" si="6"/>
        <v>('28Nov240101','070000165838','-1',(select max(to_number(i.premium_rcv_detail_code))+1
from ins_premium_det i),'-1','-1','02', '11000003','00','Request by Mr. Omair Ali 29-Nov-2024');</v>
      </c>
      <c r="H71" s="12" t="str">
        <f t="shared" si="7"/>
        <v>insert into ins_premium_det (premium_rcv_code,assorted_code, rec_amount,premium_rcv_detail_code,remaining_amt, payrec, mode_code,coinsurance_code,class_cd,it_remarks) values('28Nov240101','070000165838','-1',(select max(to_number(i.premium_rcv_detail_code))+1
from ins_premium_det i),'-1','-1','02', '11000003','00','Request by Mr. Omair Ali 29-Nov-2024');</v>
      </c>
    </row>
    <row r="72" spans="1:8" ht="105" x14ac:dyDescent="0.25">
      <c r="A72" t="s">
        <v>72</v>
      </c>
      <c r="B72" s="8" t="str">
        <f>VLOOKUP(A72,assortedcode!B:C,2,0)</f>
        <v>070000124097</v>
      </c>
      <c r="C72" s="1">
        <v>-1</v>
      </c>
      <c r="D72" s="9">
        <f t="shared" si="5"/>
        <v>-1</v>
      </c>
      <c r="E72" s="7" t="s">
        <v>8345</v>
      </c>
      <c r="F72" s="10" t="str">
        <f t="shared" si="4"/>
        <v>insert into ins_premium_det (premium_rcv_code,assorted_code, rec_amount,premium_rcv_detail_code,remaining_amt, payrec, mode_code,coinsurance_code,class_cd,it_remarks) values</v>
      </c>
      <c r="G72" s="11" t="str">
        <f t="shared" si="6"/>
        <v>('28Nov240101','070000124097','-1',(select max(to_number(i.premium_rcv_detail_code))+1
from ins_premium_det i),'-1','-1','02', '11000003','00','Request by Mr. Omair Ali 29-Nov-2024');</v>
      </c>
      <c r="H72" s="12" t="str">
        <f t="shared" si="7"/>
        <v>insert into ins_premium_det (premium_rcv_code,assorted_code, rec_amount,premium_rcv_detail_code,remaining_amt, payrec, mode_code,coinsurance_code,class_cd,it_remarks) values('28Nov240101','070000124097','-1',(select max(to_number(i.premium_rcv_detail_code))+1
from ins_premium_det i),'-1','-1','02', '11000003','00','Request by Mr. Omair Ali 29-Nov-2024');</v>
      </c>
    </row>
    <row r="73" spans="1:8" ht="105" x14ac:dyDescent="0.25">
      <c r="A73" t="s">
        <v>73</v>
      </c>
      <c r="B73" s="8" t="str">
        <f>VLOOKUP(A73,assortedcode!B:C,2,0)</f>
        <v>070000133565</v>
      </c>
      <c r="C73" s="1">
        <v>-1</v>
      </c>
      <c r="D73" s="9">
        <f t="shared" si="5"/>
        <v>-1</v>
      </c>
      <c r="E73" s="7" t="s">
        <v>8345</v>
      </c>
      <c r="F73" s="10" t="str">
        <f t="shared" si="4"/>
        <v>insert into ins_premium_det (premium_rcv_code,assorted_code, rec_amount,premium_rcv_detail_code,remaining_amt, payrec, mode_code,coinsurance_code,class_cd,it_remarks) values</v>
      </c>
      <c r="G73" s="11" t="str">
        <f t="shared" si="6"/>
        <v>('28Nov240101','070000133565','-1',(select max(to_number(i.premium_rcv_detail_code))+1
from ins_premium_det i),'-1','-1','02', '11000003','00','Request by Mr. Omair Ali 29-Nov-2024');</v>
      </c>
      <c r="H73" s="12" t="str">
        <f t="shared" si="7"/>
        <v>insert into ins_premium_det (premium_rcv_code,assorted_code, rec_amount,premium_rcv_detail_code,remaining_amt, payrec, mode_code,coinsurance_code,class_cd,it_remarks) values('28Nov240101','070000133565','-1',(select max(to_number(i.premium_rcv_detail_code))+1
from ins_premium_det i),'-1','-1','02', '11000003','00','Request by Mr. Omair Ali 29-Nov-2024');</v>
      </c>
    </row>
    <row r="74" spans="1:8" ht="105" x14ac:dyDescent="0.25">
      <c r="A74" t="s">
        <v>74</v>
      </c>
      <c r="B74" s="8" t="str">
        <f>VLOOKUP(A74,assortedcode!B:C,2,0)</f>
        <v>040000129093</v>
      </c>
      <c r="C74" s="1">
        <v>-1</v>
      </c>
      <c r="D74" s="9">
        <f t="shared" si="5"/>
        <v>-1</v>
      </c>
      <c r="E74" s="7" t="s">
        <v>8345</v>
      </c>
      <c r="F74" s="10" t="str">
        <f t="shared" si="4"/>
        <v>insert into ins_premium_det (premium_rcv_code,assorted_code, rec_amount,premium_rcv_detail_code,remaining_amt, payrec, mode_code,coinsurance_code,class_cd,it_remarks) values</v>
      </c>
      <c r="G74" s="11" t="str">
        <f t="shared" si="6"/>
        <v>('28Nov240101','040000129093','-1',(select max(to_number(i.premium_rcv_detail_code))+1
from ins_premium_det i),'-1','-1','02', '11000003','00','Request by Mr. Omair Ali 29-Nov-2024');</v>
      </c>
      <c r="H74" s="12" t="str">
        <f t="shared" si="7"/>
        <v>insert into ins_premium_det (premium_rcv_code,assorted_code, rec_amount,premium_rcv_detail_code,remaining_amt, payrec, mode_code,coinsurance_code,class_cd,it_remarks) values('28Nov240101','040000129093','-1',(select max(to_number(i.premium_rcv_detail_code))+1
from ins_premium_det i),'-1','-1','02', '11000003','00','Request by Mr. Omair Ali 29-Nov-2024');</v>
      </c>
    </row>
    <row r="75" spans="1:8" ht="105" x14ac:dyDescent="0.25">
      <c r="A75" t="s">
        <v>75</v>
      </c>
      <c r="B75" s="8" t="str">
        <f>VLOOKUP(A75,assortedcode!B:C,2,0)</f>
        <v>040000138344</v>
      </c>
      <c r="C75" s="1">
        <v>-1</v>
      </c>
      <c r="D75" s="9">
        <f t="shared" si="5"/>
        <v>-1</v>
      </c>
      <c r="E75" s="7" t="s">
        <v>8345</v>
      </c>
      <c r="F75" s="10" t="str">
        <f t="shared" si="4"/>
        <v>insert into ins_premium_det (premium_rcv_code,assorted_code, rec_amount,premium_rcv_detail_code,remaining_amt, payrec, mode_code,coinsurance_code,class_cd,it_remarks) values</v>
      </c>
      <c r="G75" s="11" t="str">
        <f t="shared" si="6"/>
        <v>('28Nov240101','040000138344','-1',(select max(to_number(i.premium_rcv_detail_code))+1
from ins_premium_det i),'-1','-1','02', '11000003','00','Request by Mr. Omair Ali 29-Nov-2024');</v>
      </c>
      <c r="H75" s="12" t="str">
        <f t="shared" si="7"/>
        <v>insert into ins_premium_det (premium_rcv_code,assorted_code, rec_amount,premium_rcv_detail_code,remaining_amt, payrec, mode_code,coinsurance_code,class_cd,it_remarks) values('28Nov240101','040000138344','-1',(select max(to_number(i.premium_rcv_detail_code))+1
from ins_premium_det i),'-1','-1','02', '11000003','00','Request by Mr. Omair Ali 29-Nov-2024');</v>
      </c>
    </row>
    <row r="76" spans="1:8" ht="105" x14ac:dyDescent="0.25">
      <c r="A76" t="s">
        <v>76</v>
      </c>
      <c r="B76" s="8" t="str">
        <f>VLOOKUP(A76,assortedcode!B:C,2,0)</f>
        <v>040000137703</v>
      </c>
      <c r="C76" s="1">
        <v>-1</v>
      </c>
      <c r="D76" s="9">
        <f t="shared" si="5"/>
        <v>-1</v>
      </c>
      <c r="E76" s="7" t="s">
        <v>8345</v>
      </c>
      <c r="F76" s="10" t="str">
        <f t="shared" si="4"/>
        <v>insert into ins_premium_det (premium_rcv_code,assorted_code, rec_amount,premium_rcv_detail_code,remaining_amt, payrec, mode_code,coinsurance_code,class_cd,it_remarks) values</v>
      </c>
      <c r="G76" s="11" t="str">
        <f t="shared" si="6"/>
        <v>('28Nov240101','040000137703','-1',(select max(to_number(i.premium_rcv_detail_code))+1
from ins_premium_det i),'-1','-1','02', '11000003','00','Request by Mr. Omair Ali 29-Nov-2024');</v>
      </c>
      <c r="H76" s="12" t="str">
        <f t="shared" si="7"/>
        <v>insert into ins_premium_det (premium_rcv_code,assorted_code, rec_amount,premium_rcv_detail_code,remaining_amt, payrec, mode_code,coinsurance_code,class_cd,it_remarks) values('28Nov240101','040000137703','-1',(select max(to_number(i.premium_rcv_detail_code))+1
from ins_premium_det i),'-1','-1','02', '11000003','00','Request by Mr. Omair Ali 29-Nov-2024');</v>
      </c>
    </row>
    <row r="77" spans="1:8" ht="105" x14ac:dyDescent="0.25">
      <c r="A77" t="s">
        <v>77</v>
      </c>
      <c r="B77" s="8" t="str">
        <f>VLOOKUP(A77,assortedcode!B:C,2,0)</f>
        <v>040000137037</v>
      </c>
      <c r="C77" s="1">
        <v>-1</v>
      </c>
      <c r="D77" s="9">
        <f t="shared" si="5"/>
        <v>-1</v>
      </c>
      <c r="E77" s="7" t="s">
        <v>8345</v>
      </c>
      <c r="F77" s="10" t="str">
        <f t="shared" si="4"/>
        <v>insert into ins_premium_det (premium_rcv_code,assorted_code, rec_amount,premium_rcv_detail_code,remaining_amt, payrec, mode_code,coinsurance_code,class_cd,it_remarks) values</v>
      </c>
      <c r="G77" s="11" t="str">
        <f t="shared" si="6"/>
        <v>('28Nov240101','040000137037','-1',(select max(to_number(i.premium_rcv_detail_code))+1
from ins_premium_det i),'-1','-1','02', '11000003','00','Request by Mr. Omair Ali 29-Nov-2024');</v>
      </c>
      <c r="H77" s="12" t="str">
        <f t="shared" si="7"/>
        <v>insert into ins_premium_det (premium_rcv_code,assorted_code, rec_amount,premium_rcv_detail_code,remaining_amt, payrec, mode_code,coinsurance_code,class_cd,it_remarks) values('28Nov240101','040000137037','-1',(select max(to_number(i.premium_rcv_detail_code))+1
from ins_premium_det i),'-1','-1','02', '11000003','00','Request by Mr. Omair Ali 29-Nov-2024');</v>
      </c>
    </row>
    <row r="78" spans="1:8" ht="105" x14ac:dyDescent="0.25">
      <c r="A78" t="s">
        <v>78</v>
      </c>
      <c r="B78" s="8" t="str">
        <f>VLOOKUP(A78,assortedcode!B:C,2,0)</f>
        <v>040000145999</v>
      </c>
      <c r="C78" s="1">
        <v>-1</v>
      </c>
      <c r="D78" s="9">
        <f t="shared" si="5"/>
        <v>-1</v>
      </c>
      <c r="E78" s="7" t="s">
        <v>8345</v>
      </c>
      <c r="F78" s="10" t="str">
        <f t="shared" si="4"/>
        <v>insert into ins_premium_det (premium_rcv_code,assorted_code, rec_amount,premium_rcv_detail_code,remaining_amt, payrec, mode_code,coinsurance_code,class_cd,it_remarks) values</v>
      </c>
      <c r="G78" s="11" t="str">
        <f t="shared" si="6"/>
        <v>('28Nov240101','040000145999','-1',(select max(to_number(i.premium_rcv_detail_code))+1
from ins_premium_det i),'-1','-1','02', '11000003','00','Request by Mr. Omair Ali 29-Nov-2024');</v>
      </c>
      <c r="H78" s="12" t="str">
        <f t="shared" si="7"/>
        <v>insert into ins_premium_det (premium_rcv_code,assorted_code, rec_amount,premium_rcv_detail_code,remaining_amt, payrec, mode_code,coinsurance_code,class_cd,it_remarks) values('28Nov240101','040000145999','-1',(select max(to_number(i.premium_rcv_detail_code))+1
from ins_premium_det i),'-1','-1','02', '11000003','00','Request by Mr. Omair Ali 29-Nov-2024');</v>
      </c>
    </row>
    <row r="79" spans="1:8" ht="105" x14ac:dyDescent="0.25">
      <c r="A79" t="s">
        <v>79</v>
      </c>
      <c r="B79" s="8" t="str">
        <f>VLOOKUP(A79,assortedcode!B:C,2,0)</f>
        <v>040000137199</v>
      </c>
      <c r="C79" s="1">
        <v>-1</v>
      </c>
      <c r="D79" s="9">
        <f t="shared" si="5"/>
        <v>-1</v>
      </c>
      <c r="E79" s="7" t="s">
        <v>8345</v>
      </c>
      <c r="F79" s="10" t="str">
        <f t="shared" si="4"/>
        <v>insert into ins_premium_det (premium_rcv_code,assorted_code, rec_amount,premium_rcv_detail_code,remaining_amt, payrec, mode_code,coinsurance_code,class_cd,it_remarks) values</v>
      </c>
      <c r="G79" s="11" t="str">
        <f t="shared" si="6"/>
        <v>('28Nov240101','040000137199','-1',(select max(to_number(i.premium_rcv_detail_code))+1
from ins_premium_det i),'-1','-1','02', '11000003','00','Request by Mr. Omair Ali 29-Nov-2024');</v>
      </c>
      <c r="H79" s="12" t="str">
        <f t="shared" si="7"/>
        <v>insert into ins_premium_det (premium_rcv_code,assorted_code, rec_amount,premium_rcv_detail_code,remaining_amt, payrec, mode_code,coinsurance_code,class_cd,it_remarks) values('28Nov240101','040000137199','-1',(select max(to_number(i.premium_rcv_detail_code))+1
from ins_premium_det i),'-1','-1','02', '11000003','00','Request by Mr. Omair Ali 29-Nov-2024');</v>
      </c>
    </row>
    <row r="80" spans="1:8" ht="105" x14ac:dyDescent="0.25">
      <c r="A80" t="s">
        <v>80</v>
      </c>
      <c r="B80" s="8" t="str">
        <f>VLOOKUP(A80,assortedcode!B:C,2,0)</f>
        <v>040000146779</v>
      </c>
      <c r="C80" s="1">
        <v>-1</v>
      </c>
      <c r="D80" s="9">
        <f t="shared" si="5"/>
        <v>-1</v>
      </c>
      <c r="E80" s="7" t="s">
        <v>8345</v>
      </c>
      <c r="F80" s="10" t="str">
        <f t="shared" si="4"/>
        <v>insert into ins_premium_det (premium_rcv_code,assorted_code, rec_amount,premium_rcv_detail_code,remaining_amt, payrec, mode_code,coinsurance_code,class_cd,it_remarks) values</v>
      </c>
      <c r="G80" s="11" t="str">
        <f t="shared" si="6"/>
        <v>('28Nov240101','040000146779','-1',(select max(to_number(i.premium_rcv_detail_code))+1
from ins_premium_det i),'-1','-1','02', '11000003','00','Request by Mr. Omair Ali 29-Nov-2024');</v>
      </c>
      <c r="H80" s="12" t="str">
        <f t="shared" si="7"/>
        <v>insert into ins_premium_det (premium_rcv_code,assorted_code, rec_amount,premium_rcv_detail_code,remaining_amt, payrec, mode_code,coinsurance_code,class_cd,it_remarks) values('28Nov240101','040000146779','-1',(select max(to_number(i.premium_rcv_detail_code))+1
from ins_premium_det i),'-1','-1','02', '11000003','00','Request by Mr. Omair Ali 29-Nov-2024');</v>
      </c>
    </row>
    <row r="81" spans="1:8" ht="105" x14ac:dyDescent="0.25">
      <c r="A81" t="s">
        <v>81</v>
      </c>
      <c r="B81" s="8" t="str">
        <f>VLOOKUP(A81,assortedcode!B:C,2,0)</f>
        <v>040000176941</v>
      </c>
      <c r="C81" s="1">
        <v>-1</v>
      </c>
      <c r="D81" s="9">
        <f t="shared" si="5"/>
        <v>-1</v>
      </c>
      <c r="E81" s="7" t="s">
        <v>8345</v>
      </c>
      <c r="F81" s="10" t="str">
        <f t="shared" si="4"/>
        <v>insert into ins_premium_det (premium_rcv_code,assorted_code, rec_amount,premium_rcv_detail_code,remaining_amt, payrec, mode_code,coinsurance_code,class_cd,it_remarks) values</v>
      </c>
      <c r="G81" s="11" t="str">
        <f t="shared" si="6"/>
        <v>('28Nov240101','040000176941','-1',(select max(to_number(i.premium_rcv_detail_code))+1
from ins_premium_det i),'-1','-1','02', '11000003','00','Request by Mr. Omair Ali 29-Nov-2024');</v>
      </c>
      <c r="H81" s="12" t="str">
        <f t="shared" si="7"/>
        <v>insert into ins_premium_det (premium_rcv_code,assorted_code, rec_amount,premium_rcv_detail_code,remaining_amt, payrec, mode_code,coinsurance_code,class_cd,it_remarks) values('28Nov240101','040000176941','-1',(select max(to_number(i.premium_rcv_detail_code))+1
from ins_premium_det i),'-1','-1','02', '11000003','00','Request by Mr. Omair Ali 29-Nov-2024');</v>
      </c>
    </row>
    <row r="82" spans="1:8" ht="105" x14ac:dyDescent="0.25">
      <c r="A82" t="s">
        <v>82</v>
      </c>
      <c r="B82" s="8" t="str">
        <f>VLOOKUP(A82,assortedcode!B:C,2,0)</f>
        <v>040000143414</v>
      </c>
      <c r="C82" s="1">
        <v>-1</v>
      </c>
      <c r="D82" s="9">
        <f t="shared" si="5"/>
        <v>-1</v>
      </c>
      <c r="E82" s="7" t="s">
        <v>8345</v>
      </c>
      <c r="F82" s="10" t="str">
        <f t="shared" si="4"/>
        <v>insert into ins_premium_det (premium_rcv_code,assorted_code, rec_amount,premium_rcv_detail_code,remaining_amt, payrec, mode_code,coinsurance_code,class_cd,it_remarks) values</v>
      </c>
      <c r="G82" s="11" t="str">
        <f t="shared" si="6"/>
        <v>('28Nov240101','040000143414','-1',(select max(to_number(i.premium_rcv_detail_code))+1
from ins_premium_det i),'-1','-1','02', '11000003','00','Request by Mr. Omair Ali 29-Nov-2024');</v>
      </c>
      <c r="H82" s="12" t="str">
        <f t="shared" si="7"/>
        <v>insert into ins_premium_det (premium_rcv_code,assorted_code, rec_amount,premium_rcv_detail_code,remaining_amt, payrec, mode_code,coinsurance_code,class_cd,it_remarks) values('28Nov240101','040000143414','-1',(select max(to_number(i.premium_rcv_detail_code))+1
from ins_premium_det i),'-1','-1','02', '11000003','00','Request by Mr. Omair Ali 29-Nov-2024');</v>
      </c>
    </row>
    <row r="83" spans="1:8" ht="105" x14ac:dyDescent="0.25">
      <c r="A83" t="s">
        <v>83</v>
      </c>
      <c r="B83" s="8" t="str">
        <f>VLOOKUP(A83,assortedcode!B:C,2,0)</f>
        <v>040000176956</v>
      </c>
      <c r="C83" s="1">
        <v>-1</v>
      </c>
      <c r="D83" s="9">
        <f t="shared" si="5"/>
        <v>-1</v>
      </c>
      <c r="E83" s="7" t="s">
        <v>8345</v>
      </c>
      <c r="F83" s="10" t="str">
        <f t="shared" si="4"/>
        <v>insert into ins_premium_det (premium_rcv_code,assorted_code, rec_amount,premium_rcv_detail_code,remaining_amt, payrec, mode_code,coinsurance_code,class_cd,it_remarks) values</v>
      </c>
      <c r="G83" s="11" t="str">
        <f t="shared" si="6"/>
        <v>('28Nov240101','040000176956','-1',(select max(to_number(i.premium_rcv_detail_code))+1
from ins_premium_det i),'-1','-1','02', '11000003','00','Request by Mr. Omair Ali 29-Nov-2024');</v>
      </c>
      <c r="H83" s="12" t="str">
        <f t="shared" si="7"/>
        <v>insert into ins_premium_det (premium_rcv_code,assorted_code, rec_amount,premium_rcv_detail_code,remaining_amt, payrec, mode_code,coinsurance_code,class_cd,it_remarks) values('28Nov240101','040000176956','-1',(select max(to_number(i.premium_rcv_detail_code))+1
from ins_premium_det i),'-1','-1','02', '11000003','00','Request by Mr. Omair Ali 29-Nov-2024');</v>
      </c>
    </row>
    <row r="84" spans="1:8" ht="105" x14ac:dyDescent="0.25">
      <c r="A84" t="s">
        <v>84</v>
      </c>
      <c r="B84" s="8" t="str">
        <f>VLOOKUP(A84,assortedcode!B:C,2,0)</f>
        <v>040000137974</v>
      </c>
      <c r="C84" s="1">
        <v>-1</v>
      </c>
      <c r="D84" s="9">
        <f t="shared" si="5"/>
        <v>-1</v>
      </c>
      <c r="E84" s="7" t="s">
        <v>8345</v>
      </c>
      <c r="F84" s="10" t="str">
        <f t="shared" si="4"/>
        <v>insert into ins_premium_det (premium_rcv_code,assorted_code, rec_amount,premium_rcv_detail_code,remaining_amt, payrec, mode_code,coinsurance_code,class_cd,it_remarks) values</v>
      </c>
      <c r="G84" s="11" t="str">
        <f t="shared" si="6"/>
        <v>('28Nov240101','040000137974','-1',(select max(to_number(i.premium_rcv_detail_code))+1
from ins_premium_det i),'-1','-1','02', '11000003','00','Request by Mr. Omair Ali 29-Nov-2024');</v>
      </c>
      <c r="H84" s="12" t="str">
        <f t="shared" si="7"/>
        <v>insert into ins_premium_det (premium_rcv_code,assorted_code, rec_amount,premium_rcv_detail_code,remaining_amt, payrec, mode_code,coinsurance_code,class_cd,it_remarks) values('28Nov240101','040000137974','-1',(select max(to_number(i.premium_rcv_detail_code))+1
from ins_premium_det i),'-1','-1','02', '11000003','00','Request by Mr. Omair Ali 29-Nov-2024');</v>
      </c>
    </row>
    <row r="85" spans="1:8" ht="105" x14ac:dyDescent="0.25">
      <c r="A85" t="s">
        <v>85</v>
      </c>
      <c r="B85" s="8" t="str">
        <f>VLOOKUP(A85,assortedcode!B:C,2,0)</f>
        <v>040000176975</v>
      </c>
      <c r="C85" s="1">
        <v>-1</v>
      </c>
      <c r="D85" s="9">
        <f t="shared" si="5"/>
        <v>-1</v>
      </c>
      <c r="E85" s="7" t="s">
        <v>8345</v>
      </c>
      <c r="F85" s="10" t="str">
        <f t="shared" si="4"/>
        <v>insert into ins_premium_det (premium_rcv_code,assorted_code, rec_amount,premium_rcv_detail_code,remaining_amt, payrec, mode_code,coinsurance_code,class_cd,it_remarks) values</v>
      </c>
      <c r="G85" s="11" t="str">
        <f t="shared" si="6"/>
        <v>('28Nov240101','040000176975','-1',(select max(to_number(i.premium_rcv_detail_code))+1
from ins_premium_det i),'-1','-1','02', '11000003','00','Request by Mr. Omair Ali 29-Nov-2024');</v>
      </c>
      <c r="H85" s="12" t="str">
        <f t="shared" si="7"/>
        <v>insert into ins_premium_det (premium_rcv_code,assorted_code, rec_amount,premium_rcv_detail_code,remaining_amt, payrec, mode_code,coinsurance_code,class_cd,it_remarks) values('28Nov240101','040000176975','-1',(select max(to_number(i.premium_rcv_detail_code))+1
from ins_premium_det i),'-1','-1','02', '11000003','00','Request by Mr. Omair Ali 29-Nov-2024');</v>
      </c>
    </row>
    <row r="86" spans="1:8" ht="105" x14ac:dyDescent="0.25">
      <c r="A86" t="s">
        <v>86</v>
      </c>
      <c r="B86" s="8" t="str">
        <f>VLOOKUP(A86,assortedcode!B:C,2,0)</f>
        <v>040000138303</v>
      </c>
      <c r="C86" s="1">
        <v>-1</v>
      </c>
      <c r="D86" s="9">
        <f t="shared" si="5"/>
        <v>-1</v>
      </c>
      <c r="E86" s="7" t="s">
        <v>8345</v>
      </c>
      <c r="F86" s="10" t="str">
        <f t="shared" si="4"/>
        <v>insert into ins_premium_det (premium_rcv_code,assorted_code, rec_amount,premium_rcv_detail_code,remaining_amt, payrec, mode_code,coinsurance_code,class_cd,it_remarks) values</v>
      </c>
      <c r="G86" s="11" t="str">
        <f t="shared" si="6"/>
        <v>('28Nov240101','040000138303','-1',(select max(to_number(i.premium_rcv_detail_code))+1
from ins_premium_det i),'-1','-1','02', '11000003','00','Request by Mr. Omair Ali 29-Nov-2024');</v>
      </c>
      <c r="H86" s="12" t="str">
        <f t="shared" si="7"/>
        <v>insert into ins_premium_det (premium_rcv_code,assorted_code, rec_amount,premium_rcv_detail_code,remaining_amt, payrec, mode_code,coinsurance_code,class_cd,it_remarks) values('28Nov240101','040000138303','-1',(select max(to_number(i.premium_rcv_detail_code))+1
from ins_premium_det i),'-1','-1','02', '11000003','00','Request by Mr. Omair Ali 29-Nov-2024');</v>
      </c>
    </row>
    <row r="87" spans="1:8" ht="105" x14ac:dyDescent="0.25">
      <c r="A87" t="s">
        <v>87</v>
      </c>
      <c r="B87" s="8" t="str">
        <f>VLOOKUP(A87,assortedcode!B:C,2,0)</f>
        <v>040000177724</v>
      </c>
      <c r="C87" s="1">
        <v>-1</v>
      </c>
      <c r="D87" s="9">
        <f t="shared" si="5"/>
        <v>-1</v>
      </c>
      <c r="E87" s="7" t="s">
        <v>8345</v>
      </c>
      <c r="F87" s="10" t="str">
        <f t="shared" si="4"/>
        <v>insert into ins_premium_det (premium_rcv_code,assorted_code, rec_amount,premium_rcv_detail_code,remaining_amt, payrec, mode_code,coinsurance_code,class_cd,it_remarks) values</v>
      </c>
      <c r="G87" s="11" t="str">
        <f t="shared" si="6"/>
        <v>('28Nov240101','040000177724','-1',(select max(to_number(i.premium_rcv_detail_code))+1
from ins_premium_det i),'-1','-1','02', '11000003','00','Request by Mr. Omair Ali 29-Nov-2024');</v>
      </c>
      <c r="H87" s="12" t="str">
        <f t="shared" si="7"/>
        <v>insert into ins_premium_det (premium_rcv_code,assorted_code, rec_amount,premium_rcv_detail_code,remaining_amt, payrec, mode_code,coinsurance_code,class_cd,it_remarks) values('28Nov240101','040000177724','-1',(select max(to_number(i.premium_rcv_detail_code))+1
from ins_premium_det i),'-1','-1','02', '11000003','00','Request by Mr. Omair Ali 29-Nov-2024');</v>
      </c>
    </row>
    <row r="88" spans="1:8" ht="105" x14ac:dyDescent="0.25">
      <c r="A88" t="s">
        <v>88</v>
      </c>
      <c r="B88" s="8" t="str">
        <f>VLOOKUP(A88,assortedcode!B:C,2,0)</f>
        <v>040000144913</v>
      </c>
      <c r="C88" s="1">
        <v>-1</v>
      </c>
      <c r="D88" s="9">
        <f t="shared" si="5"/>
        <v>-1</v>
      </c>
      <c r="E88" s="7" t="s">
        <v>8345</v>
      </c>
      <c r="F88" s="10" t="str">
        <f t="shared" si="4"/>
        <v>insert into ins_premium_det (premium_rcv_code,assorted_code, rec_amount,premium_rcv_detail_code,remaining_amt, payrec, mode_code,coinsurance_code,class_cd,it_remarks) values</v>
      </c>
      <c r="G88" s="11" t="str">
        <f t="shared" si="6"/>
        <v>('28Nov240101','040000144913','-1',(select max(to_number(i.premium_rcv_detail_code))+1
from ins_premium_det i),'-1','-1','02', '11000003','00','Request by Mr. Omair Ali 29-Nov-2024');</v>
      </c>
      <c r="H88" s="12" t="str">
        <f t="shared" si="7"/>
        <v>insert into ins_premium_det (premium_rcv_code,assorted_code, rec_amount,premium_rcv_detail_code,remaining_amt, payrec, mode_code,coinsurance_code,class_cd,it_remarks) values('28Nov240101','040000144913','-1',(select max(to_number(i.premium_rcv_detail_code))+1
from ins_premium_det i),'-1','-1','02', '11000003','00','Request by Mr. Omair Ali 29-Nov-2024');</v>
      </c>
    </row>
    <row r="89" spans="1:8" ht="105" x14ac:dyDescent="0.25">
      <c r="A89" t="s">
        <v>89</v>
      </c>
      <c r="B89" s="8" t="str">
        <f>VLOOKUP(A89,assortedcode!B:C,2,0)</f>
        <v>040000177812</v>
      </c>
      <c r="C89" s="1">
        <v>-1</v>
      </c>
      <c r="D89" s="9">
        <f t="shared" si="5"/>
        <v>-1</v>
      </c>
      <c r="E89" s="7" t="s">
        <v>8345</v>
      </c>
      <c r="F89" s="10" t="str">
        <f t="shared" si="4"/>
        <v>insert into ins_premium_det (premium_rcv_code,assorted_code, rec_amount,premium_rcv_detail_code,remaining_amt, payrec, mode_code,coinsurance_code,class_cd,it_remarks) values</v>
      </c>
      <c r="G89" s="11" t="str">
        <f t="shared" si="6"/>
        <v>('28Nov240101','040000177812','-1',(select max(to_number(i.premium_rcv_detail_code))+1
from ins_premium_det i),'-1','-1','02', '11000003','00','Request by Mr. Omair Ali 29-Nov-2024');</v>
      </c>
      <c r="H89" s="12" t="str">
        <f t="shared" si="7"/>
        <v>insert into ins_premium_det (premium_rcv_code,assorted_code, rec_amount,premium_rcv_detail_code,remaining_amt, payrec, mode_code,coinsurance_code,class_cd,it_remarks) values('28Nov240101','040000177812','-1',(select max(to_number(i.premium_rcv_detail_code))+1
from ins_premium_det i),'-1','-1','02', '11000003','00','Request by Mr. Omair Ali 29-Nov-2024');</v>
      </c>
    </row>
    <row r="90" spans="1:8" ht="105" x14ac:dyDescent="0.25">
      <c r="A90" t="s">
        <v>90</v>
      </c>
      <c r="B90" s="8" t="str">
        <f>VLOOKUP(A90,assortedcode!B:C,2,0)</f>
        <v>040000145046</v>
      </c>
      <c r="C90" s="1">
        <v>-1</v>
      </c>
      <c r="D90" s="9">
        <f t="shared" si="5"/>
        <v>-1</v>
      </c>
      <c r="E90" s="7" t="s">
        <v>8345</v>
      </c>
      <c r="F90" s="10" t="str">
        <f t="shared" si="4"/>
        <v>insert into ins_premium_det (premium_rcv_code,assorted_code, rec_amount,premium_rcv_detail_code,remaining_amt, payrec, mode_code,coinsurance_code,class_cd,it_remarks) values</v>
      </c>
      <c r="G90" s="11" t="str">
        <f t="shared" si="6"/>
        <v>('28Nov240101','040000145046','-1',(select max(to_number(i.premium_rcv_detail_code))+1
from ins_premium_det i),'-1','-1','02', '11000003','00','Request by Mr. Omair Ali 29-Nov-2024');</v>
      </c>
      <c r="H90" s="12" t="str">
        <f t="shared" si="7"/>
        <v>insert into ins_premium_det (premium_rcv_code,assorted_code, rec_amount,premium_rcv_detail_code,remaining_amt, payrec, mode_code,coinsurance_code,class_cd,it_remarks) values('28Nov240101','040000145046','-1',(select max(to_number(i.premium_rcv_detail_code))+1
from ins_premium_det i),'-1','-1','02', '11000003','00','Request by Mr. Omair Ali 29-Nov-2024');</v>
      </c>
    </row>
    <row r="91" spans="1:8" ht="105" x14ac:dyDescent="0.25">
      <c r="A91" t="s">
        <v>91</v>
      </c>
      <c r="B91" s="8" t="str">
        <f>VLOOKUP(A91,assortedcode!B:C,2,0)</f>
        <v>040000177906</v>
      </c>
      <c r="C91" s="1">
        <v>-1</v>
      </c>
      <c r="D91" s="9">
        <f t="shared" si="5"/>
        <v>-1</v>
      </c>
      <c r="E91" s="7" t="s">
        <v>8345</v>
      </c>
      <c r="F91" s="10" t="str">
        <f t="shared" si="4"/>
        <v>insert into ins_premium_det (premium_rcv_code,assorted_code, rec_amount,premium_rcv_detail_code,remaining_amt, payrec, mode_code,coinsurance_code,class_cd,it_remarks) values</v>
      </c>
      <c r="G91" s="11" t="str">
        <f t="shared" si="6"/>
        <v>('28Nov240101','040000177906','-1',(select max(to_number(i.premium_rcv_detail_code))+1
from ins_premium_det i),'-1','-1','02', '11000003','00','Request by Mr. Omair Ali 29-Nov-2024');</v>
      </c>
      <c r="H91" s="12" t="str">
        <f t="shared" si="7"/>
        <v>insert into ins_premium_det (premium_rcv_code,assorted_code, rec_amount,premium_rcv_detail_code,remaining_amt, payrec, mode_code,coinsurance_code,class_cd,it_remarks) values('28Nov240101','040000177906','-1',(select max(to_number(i.premium_rcv_detail_code))+1
from ins_premium_det i),'-1','-1','02', '11000003','00','Request by Mr. Omair Ali 29-Nov-2024');</v>
      </c>
    </row>
    <row r="92" spans="1:8" ht="105" x14ac:dyDescent="0.25">
      <c r="A92" t="s">
        <v>92</v>
      </c>
      <c r="B92" s="8" t="str">
        <f>VLOOKUP(A92,assortedcode!B:C,2,0)</f>
        <v>040000145571</v>
      </c>
      <c r="C92" s="1">
        <v>-1</v>
      </c>
      <c r="D92" s="9">
        <f t="shared" si="5"/>
        <v>-1</v>
      </c>
      <c r="E92" s="7" t="s">
        <v>8345</v>
      </c>
      <c r="F92" s="10" t="str">
        <f t="shared" si="4"/>
        <v>insert into ins_premium_det (premium_rcv_code,assorted_code, rec_amount,premium_rcv_detail_code,remaining_amt, payrec, mode_code,coinsurance_code,class_cd,it_remarks) values</v>
      </c>
      <c r="G92" s="11" t="str">
        <f t="shared" si="6"/>
        <v>('28Nov240101','040000145571','-1',(select max(to_number(i.premium_rcv_detail_code))+1
from ins_premium_det i),'-1','-1','02', '11000003','00','Request by Mr. Omair Ali 29-Nov-2024');</v>
      </c>
      <c r="H92" s="12" t="str">
        <f t="shared" si="7"/>
        <v>insert into ins_premium_det (premium_rcv_code,assorted_code, rec_amount,premium_rcv_detail_code,remaining_amt, payrec, mode_code,coinsurance_code,class_cd,it_remarks) values('28Nov240101','040000145571','-1',(select max(to_number(i.premium_rcv_detail_code))+1
from ins_premium_det i),'-1','-1','02', '11000003','00','Request by Mr. Omair Ali 29-Nov-2024');</v>
      </c>
    </row>
    <row r="93" spans="1:8" ht="105" x14ac:dyDescent="0.25">
      <c r="A93" t="s">
        <v>93</v>
      </c>
      <c r="B93" s="8" t="str">
        <f>VLOOKUP(A93,assortedcode!B:C,2,0)</f>
        <v>070000133418</v>
      </c>
      <c r="C93" s="1">
        <v>-1</v>
      </c>
      <c r="D93" s="9">
        <f t="shared" si="5"/>
        <v>-1</v>
      </c>
      <c r="E93" s="7" t="s">
        <v>8345</v>
      </c>
      <c r="F93" s="10" t="str">
        <f t="shared" si="4"/>
        <v>insert into ins_premium_det (premium_rcv_code,assorted_code, rec_amount,premium_rcv_detail_code,remaining_amt, payrec, mode_code,coinsurance_code,class_cd,it_remarks) values</v>
      </c>
      <c r="G93" s="11" t="str">
        <f t="shared" si="6"/>
        <v>('28Nov240101','070000133418','-1',(select max(to_number(i.premium_rcv_detail_code))+1
from ins_premium_det i),'-1','-1','02', '11000003','00','Request by Mr. Omair Ali 29-Nov-2024');</v>
      </c>
      <c r="H93" s="12" t="str">
        <f t="shared" si="7"/>
        <v>insert into ins_premium_det (premium_rcv_code,assorted_code, rec_amount,premium_rcv_detail_code,remaining_amt, payrec, mode_code,coinsurance_code,class_cd,it_remarks) values('28Nov240101','070000133418','-1',(select max(to_number(i.premium_rcv_detail_code))+1
from ins_premium_det i),'-1','-1','02', '11000003','00','Request by Mr. Omair Ali 29-Nov-2024');</v>
      </c>
    </row>
    <row r="94" spans="1:8" ht="105" x14ac:dyDescent="0.25">
      <c r="A94" t="s">
        <v>94</v>
      </c>
      <c r="B94" s="8" t="str">
        <f>VLOOKUP(A94,assortedcode!B:C,2,0)</f>
        <v>040000145620</v>
      </c>
      <c r="C94" s="1">
        <v>-1</v>
      </c>
      <c r="D94" s="9">
        <f t="shared" si="5"/>
        <v>-1</v>
      </c>
      <c r="E94" s="7" t="s">
        <v>8345</v>
      </c>
      <c r="F94" s="10" t="str">
        <f t="shared" si="4"/>
        <v>insert into ins_premium_det (premium_rcv_code,assorted_code, rec_amount,premium_rcv_detail_code,remaining_amt, payrec, mode_code,coinsurance_code,class_cd,it_remarks) values</v>
      </c>
      <c r="G94" s="11" t="str">
        <f t="shared" si="6"/>
        <v>('28Nov240101','040000145620','-1',(select max(to_number(i.premium_rcv_detail_code))+1
from ins_premium_det i),'-1','-1','02', '11000003','00','Request by Mr. Omair Ali 29-Nov-2024');</v>
      </c>
      <c r="H94" s="12" t="str">
        <f t="shared" si="7"/>
        <v>insert into ins_premium_det (premium_rcv_code,assorted_code, rec_amount,premium_rcv_detail_code,remaining_amt, payrec, mode_code,coinsurance_code,class_cd,it_remarks) values('28Nov240101','040000145620','-1',(select max(to_number(i.premium_rcv_detail_code))+1
from ins_premium_det i),'-1','-1','02', '11000003','00','Request by Mr. Omair Ali 29-Nov-2024');</v>
      </c>
    </row>
    <row r="95" spans="1:8" ht="105" x14ac:dyDescent="0.25">
      <c r="A95" t="s">
        <v>95</v>
      </c>
      <c r="B95" s="8" t="str">
        <f>VLOOKUP(A95,assortedcode!B:C,2,0)</f>
        <v>070000133428</v>
      </c>
      <c r="C95" s="1">
        <v>-1</v>
      </c>
      <c r="D95" s="9">
        <f t="shared" si="5"/>
        <v>-1</v>
      </c>
      <c r="E95" s="7" t="s">
        <v>8345</v>
      </c>
      <c r="F95" s="10" t="str">
        <f t="shared" si="4"/>
        <v>insert into ins_premium_det (premium_rcv_code,assorted_code, rec_amount,premium_rcv_detail_code,remaining_amt, payrec, mode_code,coinsurance_code,class_cd,it_remarks) values</v>
      </c>
      <c r="G95" s="11" t="str">
        <f t="shared" si="6"/>
        <v>('28Nov240101','070000133428','-1',(select max(to_number(i.premium_rcv_detail_code))+1
from ins_premium_det i),'-1','-1','02', '11000003','00','Request by Mr. Omair Ali 29-Nov-2024');</v>
      </c>
      <c r="H95" s="12" t="str">
        <f t="shared" si="7"/>
        <v>insert into ins_premium_det (premium_rcv_code,assorted_code, rec_amount,premium_rcv_detail_code,remaining_amt, payrec, mode_code,coinsurance_code,class_cd,it_remarks) values('28Nov240101','070000133428','-1',(select max(to_number(i.premium_rcv_detail_code))+1
from ins_premium_det i),'-1','-1','02', '11000003','00','Request by Mr. Omair Ali 29-Nov-2024');</v>
      </c>
    </row>
    <row r="96" spans="1:8" ht="105" x14ac:dyDescent="0.25">
      <c r="A96" t="s">
        <v>96</v>
      </c>
      <c r="B96" s="8" t="str">
        <f>VLOOKUP(A96,assortedcode!B:C,2,0)</f>
        <v>040000145621</v>
      </c>
      <c r="C96" s="1">
        <v>-1</v>
      </c>
      <c r="D96" s="9">
        <f t="shared" si="5"/>
        <v>-1</v>
      </c>
      <c r="E96" s="7" t="s">
        <v>8345</v>
      </c>
      <c r="F96" s="10" t="str">
        <f t="shared" si="4"/>
        <v>insert into ins_premium_det (premium_rcv_code,assorted_code, rec_amount,premium_rcv_detail_code,remaining_amt, payrec, mode_code,coinsurance_code,class_cd,it_remarks) values</v>
      </c>
      <c r="G96" s="11" t="str">
        <f t="shared" si="6"/>
        <v>('28Nov240101','040000145621','-1',(select max(to_number(i.premium_rcv_detail_code))+1
from ins_premium_det i),'-1','-1','02', '11000003','00','Request by Mr. Omair Ali 29-Nov-2024');</v>
      </c>
      <c r="H96" s="12" t="str">
        <f t="shared" si="7"/>
        <v>insert into ins_premium_det (premium_rcv_code,assorted_code, rec_amount,premium_rcv_detail_code,remaining_amt, payrec, mode_code,coinsurance_code,class_cd,it_remarks) values('28Nov240101','040000145621','-1',(select max(to_number(i.premium_rcv_detail_code))+1
from ins_premium_det i),'-1','-1','02', '11000003','00','Request by Mr. Omair Ali 29-Nov-2024');</v>
      </c>
    </row>
    <row r="97" spans="1:8" ht="105" x14ac:dyDescent="0.25">
      <c r="A97" t="s">
        <v>97</v>
      </c>
      <c r="B97" s="8" t="str">
        <f>VLOOKUP(A97,assortedcode!B:C,2,0)</f>
        <v>070000133453</v>
      </c>
      <c r="C97" s="1">
        <v>-1</v>
      </c>
      <c r="D97" s="9">
        <f t="shared" si="5"/>
        <v>-1</v>
      </c>
      <c r="E97" s="7" t="s">
        <v>8345</v>
      </c>
      <c r="F97" s="10" t="str">
        <f t="shared" si="4"/>
        <v>insert into ins_premium_det (premium_rcv_code,assorted_code, rec_amount,premium_rcv_detail_code,remaining_amt, payrec, mode_code,coinsurance_code,class_cd,it_remarks) values</v>
      </c>
      <c r="G97" s="11" t="str">
        <f t="shared" si="6"/>
        <v>('28Nov240101','070000133453','-1',(select max(to_number(i.premium_rcv_detail_code))+1
from ins_premium_det i),'-1','-1','02', '11000003','00','Request by Mr. Omair Ali 29-Nov-2024');</v>
      </c>
      <c r="H97" s="12" t="str">
        <f t="shared" si="7"/>
        <v>insert into ins_premium_det (premium_rcv_code,assorted_code, rec_amount,premium_rcv_detail_code,remaining_amt, payrec, mode_code,coinsurance_code,class_cd,it_remarks) values('28Nov240101','070000133453','-1',(select max(to_number(i.premium_rcv_detail_code))+1
from ins_premium_det i),'-1','-1','02', '11000003','00','Request by Mr. Omair Ali 29-Nov-2024');</v>
      </c>
    </row>
    <row r="98" spans="1:8" ht="105" x14ac:dyDescent="0.25">
      <c r="A98" t="s">
        <v>98</v>
      </c>
      <c r="B98" s="8" t="str">
        <f>VLOOKUP(A98,assortedcode!B:C,2,0)</f>
        <v>040000146080</v>
      </c>
      <c r="C98" s="1">
        <v>-1</v>
      </c>
      <c r="D98" s="9">
        <f t="shared" si="5"/>
        <v>-1</v>
      </c>
      <c r="E98" s="7" t="s">
        <v>8345</v>
      </c>
      <c r="F98" s="10" t="str">
        <f t="shared" si="4"/>
        <v>insert into ins_premium_det (premium_rcv_code,assorted_code, rec_amount,premium_rcv_detail_code,remaining_amt, payrec, mode_code,coinsurance_code,class_cd,it_remarks) values</v>
      </c>
      <c r="G98" s="11" t="str">
        <f t="shared" si="6"/>
        <v>('28Nov240101','040000146080','-1',(select max(to_number(i.premium_rcv_detail_code))+1
from ins_premium_det i),'-1','-1','02', '11000003','00','Request by Mr. Omair Ali 29-Nov-2024');</v>
      </c>
      <c r="H98" s="12" t="str">
        <f t="shared" si="7"/>
        <v>insert into ins_premium_det (premium_rcv_code,assorted_code, rec_amount,premium_rcv_detail_code,remaining_amt, payrec, mode_code,coinsurance_code,class_cd,it_remarks) values('28Nov240101','040000146080','-1',(select max(to_number(i.premium_rcv_detail_code))+1
from ins_premium_det i),'-1','-1','02', '11000003','00','Request by Mr. Omair Ali 29-Nov-2024');</v>
      </c>
    </row>
    <row r="99" spans="1:8" ht="105" x14ac:dyDescent="0.25">
      <c r="A99" t="s">
        <v>99</v>
      </c>
      <c r="B99" s="8" t="str">
        <f>VLOOKUP(A99,assortedcode!B:C,2,0)</f>
        <v>070000133472</v>
      </c>
      <c r="C99" s="1">
        <v>-1</v>
      </c>
      <c r="D99" s="9">
        <f t="shared" si="5"/>
        <v>-1</v>
      </c>
      <c r="E99" s="7" t="s">
        <v>8345</v>
      </c>
      <c r="F99" s="10" t="str">
        <f t="shared" si="4"/>
        <v>insert into ins_premium_det (premium_rcv_code,assorted_code, rec_amount,premium_rcv_detail_code,remaining_amt, payrec, mode_code,coinsurance_code,class_cd,it_remarks) values</v>
      </c>
      <c r="G99" s="11" t="str">
        <f t="shared" si="6"/>
        <v>('28Nov240101','070000133472','-1',(select max(to_number(i.premium_rcv_detail_code))+1
from ins_premium_det i),'-1','-1','02', '11000003','00','Request by Mr. Omair Ali 29-Nov-2024');</v>
      </c>
      <c r="H99" s="12" t="str">
        <f t="shared" si="7"/>
        <v>insert into ins_premium_det (premium_rcv_code,assorted_code, rec_amount,premium_rcv_detail_code,remaining_amt, payrec, mode_code,coinsurance_code,class_cd,it_remarks) values('28Nov240101','070000133472','-1',(select max(to_number(i.premium_rcv_detail_code))+1
from ins_premium_det i),'-1','-1','02', '11000003','00','Request by Mr. Omair Ali 29-Nov-2024');</v>
      </c>
    </row>
    <row r="100" spans="1:8" ht="105" x14ac:dyDescent="0.25">
      <c r="A100" t="s">
        <v>100</v>
      </c>
      <c r="B100" s="8" t="str">
        <f>VLOOKUP(A100,assortedcode!B:C,2,0)</f>
        <v>040000147319</v>
      </c>
      <c r="C100" s="1">
        <v>-1</v>
      </c>
      <c r="D100" s="9">
        <f t="shared" si="5"/>
        <v>-1</v>
      </c>
      <c r="E100" s="7" t="s">
        <v>8345</v>
      </c>
      <c r="F100" s="10" t="str">
        <f t="shared" si="4"/>
        <v>insert into ins_premium_det (premium_rcv_code,assorted_code, rec_amount,premium_rcv_detail_code,remaining_amt, payrec, mode_code,coinsurance_code,class_cd,it_remarks) values</v>
      </c>
      <c r="G100" s="11" t="str">
        <f t="shared" si="6"/>
        <v>('28Nov240101','040000147319','-1',(select max(to_number(i.premium_rcv_detail_code))+1
from ins_premium_det i),'-1','-1','02', '11000003','00','Request by Mr. Omair Ali 29-Nov-2024');</v>
      </c>
      <c r="H100" s="12" t="str">
        <f t="shared" si="7"/>
        <v>insert into ins_premium_det (premium_rcv_code,assorted_code, rec_amount,premium_rcv_detail_code,remaining_amt, payrec, mode_code,coinsurance_code,class_cd,it_remarks) values('28Nov240101','040000147319','-1',(select max(to_number(i.premium_rcv_detail_code))+1
from ins_premium_det i),'-1','-1','02', '11000003','00','Request by Mr. Omair Ali 29-Nov-2024');</v>
      </c>
    </row>
    <row r="101" spans="1:8" ht="105" x14ac:dyDescent="0.25">
      <c r="A101" t="s">
        <v>101</v>
      </c>
      <c r="B101" s="8" t="str">
        <f>VLOOKUP(A101,assortedcode!B:C,2,0)</f>
        <v>070000133479</v>
      </c>
      <c r="C101" s="1">
        <v>-1</v>
      </c>
      <c r="D101" s="9">
        <f t="shared" si="5"/>
        <v>-1</v>
      </c>
      <c r="E101" s="7" t="s">
        <v>8345</v>
      </c>
      <c r="F101" s="10" t="str">
        <f t="shared" si="4"/>
        <v>insert into ins_premium_det (premium_rcv_code,assorted_code, rec_amount,premium_rcv_detail_code,remaining_amt, payrec, mode_code,coinsurance_code,class_cd,it_remarks) values</v>
      </c>
      <c r="G101" s="11" t="str">
        <f t="shared" si="6"/>
        <v>('28Nov240101','070000133479','-1',(select max(to_number(i.premium_rcv_detail_code))+1
from ins_premium_det i),'-1','-1','02', '11000003','00','Request by Mr. Omair Ali 29-Nov-2024');</v>
      </c>
      <c r="H101" s="12" t="str">
        <f t="shared" si="7"/>
        <v>insert into ins_premium_det (premium_rcv_code,assorted_code, rec_amount,premium_rcv_detail_code,remaining_amt, payrec, mode_code,coinsurance_code,class_cd,it_remarks) values('28Nov240101','070000133479','-1',(select max(to_number(i.premium_rcv_detail_code))+1
from ins_premium_det i),'-1','-1','02', '11000003','00','Request by Mr. Omair Ali 29-Nov-2024');</v>
      </c>
    </row>
    <row r="102" spans="1:8" ht="105" x14ac:dyDescent="0.25">
      <c r="A102" t="s">
        <v>102</v>
      </c>
      <c r="B102" s="8" t="str">
        <f>VLOOKUP(A102,assortedcode!B:C,2,0)</f>
        <v>040000147325</v>
      </c>
      <c r="C102" s="1">
        <v>-1</v>
      </c>
      <c r="D102" s="9">
        <f t="shared" si="5"/>
        <v>-1</v>
      </c>
      <c r="E102" s="7" t="s">
        <v>8345</v>
      </c>
      <c r="F102" s="10" t="str">
        <f t="shared" si="4"/>
        <v>insert into ins_premium_det (premium_rcv_code,assorted_code, rec_amount,premium_rcv_detail_code,remaining_amt, payrec, mode_code,coinsurance_code,class_cd,it_remarks) values</v>
      </c>
      <c r="G102" s="11" t="str">
        <f t="shared" si="6"/>
        <v>('28Nov240101','040000147325','-1',(select max(to_number(i.premium_rcv_detail_code))+1
from ins_premium_det i),'-1','-1','02', '11000003','00','Request by Mr. Omair Ali 29-Nov-2024');</v>
      </c>
      <c r="H102" s="12" t="str">
        <f t="shared" si="7"/>
        <v>insert into ins_premium_det (premium_rcv_code,assorted_code, rec_amount,premium_rcv_detail_code,remaining_amt, payrec, mode_code,coinsurance_code,class_cd,it_remarks) values('28Nov240101','040000147325','-1',(select max(to_number(i.premium_rcv_detail_code))+1
from ins_premium_det i),'-1','-1','02', '11000003','00','Request by Mr. Omair Ali 29-Nov-2024');</v>
      </c>
    </row>
    <row r="103" spans="1:8" ht="105" x14ac:dyDescent="0.25">
      <c r="A103" t="s">
        <v>103</v>
      </c>
      <c r="B103" s="8" t="str">
        <f>VLOOKUP(A103,assortedcode!B:C,2,0)</f>
        <v>070000133485</v>
      </c>
      <c r="C103" s="1">
        <v>-1</v>
      </c>
      <c r="D103" s="9">
        <f t="shared" si="5"/>
        <v>-1</v>
      </c>
      <c r="E103" s="7" t="s">
        <v>8345</v>
      </c>
      <c r="F103" s="10" t="str">
        <f t="shared" si="4"/>
        <v>insert into ins_premium_det (premium_rcv_code,assorted_code, rec_amount,premium_rcv_detail_code,remaining_amt, payrec, mode_code,coinsurance_code,class_cd,it_remarks) values</v>
      </c>
      <c r="G103" s="11" t="str">
        <f t="shared" si="6"/>
        <v>('28Nov240101','070000133485','-1',(select max(to_number(i.premium_rcv_detail_code))+1
from ins_premium_det i),'-1','-1','02', '11000003','00','Request by Mr. Omair Ali 29-Nov-2024');</v>
      </c>
      <c r="H103" s="12" t="str">
        <f t="shared" si="7"/>
        <v>insert into ins_premium_det (premium_rcv_code,assorted_code, rec_amount,premium_rcv_detail_code,remaining_amt, payrec, mode_code,coinsurance_code,class_cd,it_remarks) values('28Nov240101','070000133485','-1',(select max(to_number(i.premium_rcv_detail_code))+1
from ins_premium_det i),'-1','-1','02', '11000003','00','Request by Mr. Omair Ali 29-Nov-2024');</v>
      </c>
    </row>
    <row r="104" spans="1:8" ht="105" x14ac:dyDescent="0.25">
      <c r="A104" t="s">
        <v>104</v>
      </c>
      <c r="B104" s="8" t="str">
        <f>VLOOKUP(A104,assortedcode!B:C,2,0)</f>
        <v>040000147345</v>
      </c>
      <c r="C104" s="1">
        <v>-1</v>
      </c>
      <c r="D104" s="9">
        <f t="shared" si="5"/>
        <v>-1</v>
      </c>
      <c r="E104" s="7" t="s">
        <v>8345</v>
      </c>
      <c r="F104" s="10" t="str">
        <f t="shared" si="4"/>
        <v>insert into ins_premium_det (premium_rcv_code,assorted_code, rec_amount,premium_rcv_detail_code,remaining_amt, payrec, mode_code,coinsurance_code,class_cd,it_remarks) values</v>
      </c>
      <c r="G104" s="11" t="str">
        <f t="shared" si="6"/>
        <v>('28Nov240101','040000147345','-1',(select max(to_number(i.premium_rcv_detail_code))+1
from ins_premium_det i),'-1','-1','02', '11000003','00','Request by Mr. Omair Ali 29-Nov-2024');</v>
      </c>
      <c r="H104" s="12" t="str">
        <f t="shared" si="7"/>
        <v>insert into ins_premium_det (premium_rcv_code,assorted_code, rec_amount,premium_rcv_detail_code,remaining_amt, payrec, mode_code,coinsurance_code,class_cd,it_remarks) values('28Nov240101','040000147345','-1',(select max(to_number(i.premium_rcv_detail_code))+1
from ins_premium_det i),'-1','-1','02', '11000003','00','Request by Mr. Omair Ali 29-Nov-2024');</v>
      </c>
    </row>
    <row r="105" spans="1:8" ht="105" x14ac:dyDescent="0.25">
      <c r="A105" t="s">
        <v>105</v>
      </c>
      <c r="B105" s="8" t="str">
        <f>VLOOKUP(A105,assortedcode!B:C,2,0)</f>
        <v>070000133503</v>
      </c>
      <c r="C105" s="1">
        <v>-1</v>
      </c>
      <c r="D105" s="9">
        <f t="shared" si="5"/>
        <v>-1</v>
      </c>
      <c r="E105" s="7" t="s">
        <v>8345</v>
      </c>
      <c r="F105" s="10" t="str">
        <f t="shared" si="4"/>
        <v>insert into ins_premium_det (premium_rcv_code,assorted_code, rec_amount,premium_rcv_detail_code,remaining_amt, payrec, mode_code,coinsurance_code,class_cd,it_remarks) values</v>
      </c>
      <c r="G105" s="11" t="str">
        <f t="shared" si="6"/>
        <v>('28Nov240101','070000133503','-1',(select max(to_number(i.premium_rcv_detail_code))+1
from ins_premium_det i),'-1','-1','02', '11000003','00','Request by Mr. Omair Ali 29-Nov-2024');</v>
      </c>
      <c r="H105" s="12" t="str">
        <f t="shared" si="7"/>
        <v>insert into ins_premium_det (premium_rcv_code,assorted_code, rec_amount,premium_rcv_detail_code,remaining_amt, payrec, mode_code,coinsurance_code,class_cd,it_remarks) values('28Nov240101','070000133503','-1',(select max(to_number(i.premium_rcv_detail_code))+1
from ins_premium_det i),'-1','-1','02', '11000003','00','Request by Mr. Omair Ali 29-Nov-2024');</v>
      </c>
    </row>
    <row r="106" spans="1:8" ht="105" x14ac:dyDescent="0.25">
      <c r="A106" t="s">
        <v>106</v>
      </c>
      <c r="B106" s="8" t="str">
        <f>VLOOKUP(A106,assortedcode!B:C,2,0)</f>
        <v>040000147368</v>
      </c>
      <c r="C106" s="1">
        <v>-1</v>
      </c>
      <c r="D106" s="9">
        <f t="shared" si="5"/>
        <v>-1</v>
      </c>
      <c r="E106" s="7" t="s">
        <v>8345</v>
      </c>
      <c r="F106" s="10" t="str">
        <f t="shared" si="4"/>
        <v>insert into ins_premium_det (premium_rcv_code,assorted_code, rec_amount,premium_rcv_detail_code,remaining_amt, payrec, mode_code,coinsurance_code,class_cd,it_remarks) values</v>
      </c>
      <c r="G106" s="11" t="str">
        <f t="shared" si="6"/>
        <v>('28Nov240101','040000147368','-1',(select max(to_number(i.premium_rcv_detail_code))+1
from ins_premium_det i),'-1','-1','02', '11000003','00','Request by Mr. Omair Ali 29-Nov-2024');</v>
      </c>
      <c r="H106" s="12" t="str">
        <f t="shared" si="7"/>
        <v>insert into ins_premium_det (premium_rcv_code,assorted_code, rec_amount,premium_rcv_detail_code,remaining_amt, payrec, mode_code,coinsurance_code,class_cd,it_remarks) values('28Nov240101','040000147368','-1',(select max(to_number(i.premium_rcv_detail_code))+1
from ins_premium_det i),'-1','-1','02', '11000003','00','Request by Mr. Omair Ali 29-Nov-2024');</v>
      </c>
    </row>
    <row r="107" spans="1:8" ht="105" x14ac:dyDescent="0.25">
      <c r="A107" t="s">
        <v>107</v>
      </c>
      <c r="B107" s="8" t="str">
        <f>VLOOKUP(A107,assortedcode!B:C,2,0)</f>
        <v>070000133512</v>
      </c>
      <c r="C107" s="1">
        <v>-1</v>
      </c>
      <c r="D107" s="9">
        <f t="shared" si="5"/>
        <v>-1</v>
      </c>
      <c r="E107" s="7" t="s">
        <v>8345</v>
      </c>
      <c r="F107" s="10" t="str">
        <f t="shared" si="4"/>
        <v>insert into ins_premium_det (premium_rcv_code,assorted_code, rec_amount,premium_rcv_detail_code,remaining_amt, payrec, mode_code,coinsurance_code,class_cd,it_remarks) values</v>
      </c>
      <c r="G107" s="11" t="str">
        <f t="shared" si="6"/>
        <v>('28Nov240101','070000133512','-1',(select max(to_number(i.premium_rcv_detail_code))+1
from ins_premium_det i),'-1','-1','02', '11000003','00','Request by Mr. Omair Ali 29-Nov-2024');</v>
      </c>
      <c r="H107" s="12" t="str">
        <f t="shared" si="7"/>
        <v>insert into ins_premium_det (premium_rcv_code,assorted_code, rec_amount,premium_rcv_detail_code,remaining_amt, payrec, mode_code,coinsurance_code,class_cd,it_remarks) values('28Nov240101','070000133512','-1',(select max(to_number(i.premium_rcv_detail_code))+1
from ins_premium_det i),'-1','-1','02', '11000003','00','Request by Mr. Omair Ali 29-Nov-2024');</v>
      </c>
    </row>
    <row r="108" spans="1:8" ht="105" x14ac:dyDescent="0.25">
      <c r="A108" t="s">
        <v>108</v>
      </c>
      <c r="B108" s="8" t="str">
        <f>VLOOKUP(A108,assortedcode!B:C,2,0)</f>
        <v>040000138321</v>
      </c>
      <c r="C108" s="1">
        <v>-1</v>
      </c>
      <c r="D108" s="9">
        <f t="shared" si="5"/>
        <v>-1</v>
      </c>
      <c r="E108" s="7" t="s">
        <v>8345</v>
      </c>
      <c r="F108" s="10" t="str">
        <f t="shared" si="4"/>
        <v>insert into ins_premium_det (premium_rcv_code,assorted_code, rec_amount,premium_rcv_detail_code,remaining_amt, payrec, mode_code,coinsurance_code,class_cd,it_remarks) values</v>
      </c>
      <c r="G108" s="11" t="str">
        <f t="shared" si="6"/>
        <v>('28Nov240101','040000138321','-1',(select max(to_number(i.premium_rcv_detail_code))+1
from ins_premium_det i),'-1','-1','02', '11000003','00','Request by Mr. Omair Ali 29-Nov-2024');</v>
      </c>
      <c r="H108" s="12" t="str">
        <f t="shared" si="7"/>
        <v>insert into ins_premium_det (premium_rcv_code,assorted_code, rec_amount,premium_rcv_detail_code,remaining_amt, payrec, mode_code,coinsurance_code,class_cd,it_remarks) values('28Nov240101','040000138321','-1',(select max(to_number(i.premium_rcv_detail_code))+1
from ins_premium_det i),'-1','-1','02', '11000003','00','Request by Mr. Omair Ali 29-Nov-2024');</v>
      </c>
    </row>
    <row r="109" spans="1:8" ht="105" x14ac:dyDescent="0.25">
      <c r="A109" t="s">
        <v>109</v>
      </c>
      <c r="B109" s="8" t="str">
        <f>VLOOKUP(A109,assortedcode!B:C,2,0)</f>
        <v>070000133514</v>
      </c>
      <c r="C109" s="1">
        <v>-1</v>
      </c>
      <c r="D109" s="9">
        <f t="shared" si="5"/>
        <v>-1</v>
      </c>
      <c r="E109" s="7" t="s">
        <v>8345</v>
      </c>
      <c r="F109" s="10" t="str">
        <f t="shared" si="4"/>
        <v>insert into ins_premium_det (premium_rcv_code,assorted_code, rec_amount,premium_rcv_detail_code,remaining_amt, payrec, mode_code,coinsurance_code,class_cd,it_remarks) values</v>
      </c>
      <c r="G109" s="11" t="str">
        <f t="shared" si="6"/>
        <v>('28Nov240101','070000133514','-1',(select max(to_number(i.premium_rcv_detail_code))+1
from ins_premium_det i),'-1','-1','02', '11000003','00','Request by Mr. Omair Ali 29-Nov-2024');</v>
      </c>
      <c r="H109" s="12" t="str">
        <f t="shared" si="7"/>
        <v>insert into ins_premium_det (premium_rcv_code,assorted_code, rec_amount,premium_rcv_detail_code,remaining_amt, payrec, mode_code,coinsurance_code,class_cd,it_remarks) values('28Nov240101','070000133514','-1',(select max(to_number(i.premium_rcv_detail_code))+1
from ins_premium_det i),'-1','-1','02', '11000003','00','Request by Mr. Omair Ali 29-Nov-2024');</v>
      </c>
    </row>
    <row r="110" spans="1:8" ht="105" x14ac:dyDescent="0.25">
      <c r="A110" t="s">
        <v>110</v>
      </c>
      <c r="B110" s="8" t="str">
        <f>VLOOKUP(A110,assortedcode!B:C,2,0)</f>
        <v>040000164768</v>
      </c>
      <c r="C110" s="1">
        <v>-1</v>
      </c>
      <c r="D110" s="9">
        <f t="shared" si="5"/>
        <v>-1</v>
      </c>
      <c r="E110" s="7" t="s">
        <v>8345</v>
      </c>
      <c r="F110" s="10" t="str">
        <f t="shared" si="4"/>
        <v>insert into ins_premium_det (premium_rcv_code,assorted_code, rec_amount,premium_rcv_detail_code,remaining_amt, payrec, mode_code,coinsurance_code,class_cd,it_remarks) values</v>
      </c>
      <c r="G110" s="11" t="str">
        <f t="shared" si="6"/>
        <v>('28Nov240101','040000164768','-1',(select max(to_number(i.premium_rcv_detail_code))+1
from ins_premium_det i),'-1','-1','02', '11000003','00','Request by Mr. Omair Ali 29-Nov-2024');</v>
      </c>
      <c r="H110" s="12" t="str">
        <f t="shared" si="7"/>
        <v>insert into ins_premium_det (premium_rcv_code,assorted_code, rec_amount,premium_rcv_detail_code,remaining_amt, payrec, mode_code,coinsurance_code,class_cd,it_remarks) values('28Nov240101','040000164768','-1',(select max(to_number(i.premium_rcv_detail_code))+1
from ins_premium_det i),'-1','-1','02', '11000003','00','Request by Mr. Omair Ali 29-Nov-2024');</v>
      </c>
    </row>
    <row r="111" spans="1:8" ht="105" x14ac:dyDescent="0.25">
      <c r="A111" t="s">
        <v>111</v>
      </c>
      <c r="B111" s="8" t="str">
        <f>VLOOKUP(A111,assortedcode!B:C,2,0)</f>
        <v>070000133540</v>
      </c>
      <c r="C111" s="1">
        <v>-1</v>
      </c>
      <c r="D111" s="9">
        <f t="shared" si="5"/>
        <v>-1</v>
      </c>
      <c r="E111" s="7" t="s">
        <v>8345</v>
      </c>
      <c r="F111" s="10" t="str">
        <f t="shared" si="4"/>
        <v>insert into ins_premium_det (premium_rcv_code,assorted_code, rec_amount,premium_rcv_detail_code,remaining_amt, payrec, mode_code,coinsurance_code,class_cd,it_remarks) values</v>
      </c>
      <c r="G111" s="11" t="str">
        <f t="shared" si="6"/>
        <v>('28Nov240101','070000133540','-1',(select max(to_number(i.premium_rcv_detail_code))+1
from ins_premium_det i),'-1','-1','02', '11000003','00','Request by Mr. Omair Ali 29-Nov-2024');</v>
      </c>
      <c r="H111" s="12" t="str">
        <f t="shared" si="7"/>
        <v>insert into ins_premium_det (premium_rcv_code,assorted_code, rec_amount,premium_rcv_detail_code,remaining_amt, payrec, mode_code,coinsurance_code,class_cd,it_remarks) values('28Nov240101','070000133540','-1',(select max(to_number(i.premium_rcv_detail_code))+1
from ins_premium_det i),'-1','-1','02', '11000003','00','Request by Mr. Omair Ali 29-Nov-2024');</v>
      </c>
    </row>
    <row r="112" spans="1:8" ht="105" x14ac:dyDescent="0.25">
      <c r="A112" t="s">
        <v>112</v>
      </c>
      <c r="B112" s="8" t="str">
        <f>VLOOKUP(A112,assortedcode!B:C,2,0)</f>
        <v>040000165688</v>
      </c>
      <c r="C112" s="1">
        <v>-1</v>
      </c>
      <c r="D112" s="9">
        <f t="shared" si="5"/>
        <v>-1</v>
      </c>
      <c r="E112" s="7" t="s">
        <v>8345</v>
      </c>
      <c r="F112" s="10" t="str">
        <f t="shared" si="4"/>
        <v>insert into ins_premium_det (premium_rcv_code,assorted_code, rec_amount,premium_rcv_detail_code,remaining_amt, payrec, mode_code,coinsurance_code,class_cd,it_remarks) values</v>
      </c>
      <c r="G112" s="11" t="str">
        <f t="shared" si="6"/>
        <v>('28Nov240101','040000165688','-1',(select max(to_number(i.premium_rcv_detail_code))+1
from ins_premium_det i),'-1','-1','02', '11000003','00','Request by Mr. Omair Ali 29-Nov-2024');</v>
      </c>
      <c r="H112" s="12" t="str">
        <f t="shared" si="7"/>
        <v>insert into ins_premium_det (premium_rcv_code,assorted_code, rec_amount,premium_rcv_detail_code,remaining_amt, payrec, mode_code,coinsurance_code,class_cd,it_remarks) values('28Nov240101','040000165688','-1',(select max(to_number(i.premium_rcv_detail_code))+1
from ins_premium_det i),'-1','-1','02', '11000003','00','Request by Mr. Omair Ali 29-Nov-2024');</v>
      </c>
    </row>
    <row r="113" spans="1:8" ht="105" x14ac:dyDescent="0.25">
      <c r="A113" t="s">
        <v>113</v>
      </c>
      <c r="B113" s="8" t="str">
        <f>VLOOKUP(A113,assortedcode!B:C,2,0)</f>
        <v>040000149946</v>
      </c>
      <c r="C113" s="1">
        <v>-1</v>
      </c>
      <c r="D113" s="9">
        <f t="shared" si="5"/>
        <v>-1</v>
      </c>
      <c r="E113" s="7" t="s">
        <v>8345</v>
      </c>
      <c r="F113" s="10" t="str">
        <f t="shared" si="4"/>
        <v>insert into ins_premium_det (premium_rcv_code,assorted_code, rec_amount,premium_rcv_detail_code,remaining_amt, payrec, mode_code,coinsurance_code,class_cd,it_remarks) values</v>
      </c>
      <c r="G113" s="11" t="str">
        <f t="shared" si="6"/>
        <v>('28Nov240101','040000149946','-1',(select max(to_number(i.premium_rcv_detail_code))+1
from ins_premium_det i),'-1','-1','02', '11000003','00','Request by Mr. Omair Ali 29-Nov-2024');</v>
      </c>
      <c r="H113" s="12" t="str">
        <f t="shared" si="7"/>
        <v>insert into ins_premium_det (premium_rcv_code,assorted_code, rec_amount,premium_rcv_detail_code,remaining_amt, payrec, mode_code,coinsurance_code,class_cd,it_remarks) values('28Nov240101','040000149946','-1',(select max(to_number(i.premium_rcv_detail_code))+1
from ins_premium_det i),'-1','-1','02', '11000003','00','Request by Mr. Omair Ali 29-Nov-2024');</v>
      </c>
    </row>
    <row r="114" spans="1:8" ht="105" x14ac:dyDescent="0.25">
      <c r="A114" t="s">
        <v>114</v>
      </c>
      <c r="B114" s="8" t="str">
        <f>VLOOKUP(A114,assortedcode!B:C,2,0)</f>
        <v>040000165703</v>
      </c>
      <c r="C114" s="1">
        <v>-1</v>
      </c>
      <c r="D114" s="9">
        <f t="shared" si="5"/>
        <v>-1</v>
      </c>
      <c r="E114" s="7" t="s">
        <v>8345</v>
      </c>
      <c r="F114" s="10" t="str">
        <f t="shared" si="4"/>
        <v>insert into ins_premium_det (premium_rcv_code,assorted_code, rec_amount,premium_rcv_detail_code,remaining_amt, payrec, mode_code,coinsurance_code,class_cd,it_remarks) values</v>
      </c>
      <c r="G114" s="11" t="str">
        <f t="shared" si="6"/>
        <v>('28Nov240101','040000165703','-1',(select max(to_number(i.premium_rcv_detail_code))+1
from ins_premium_det i),'-1','-1','02', '11000003','00','Request by Mr. Omair Ali 29-Nov-2024');</v>
      </c>
      <c r="H114" s="12" t="str">
        <f t="shared" si="7"/>
        <v>insert into ins_premium_det (premium_rcv_code,assorted_code, rec_amount,premium_rcv_detail_code,remaining_amt, payrec, mode_code,coinsurance_code,class_cd,it_remarks) values('28Nov240101','040000165703','-1',(select max(to_number(i.premium_rcv_detail_code))+1
from ins_premium_det i),'-1','-1','02', '11000003','00','Request by Mr. Omair Ali 29-Nov-2024');</v>
      </c>
    </row>
    <row r="115" spans="1:8" ht="105" x14ac:dyDescent="0.25">
      <c r="A115" t="s">
        <v>115</v>
      </c>
      <c r="B115" s="8" t="str">
        <f>VLOOKUP(A115,assortedcode!B:C,2,0)</f>
        <v>070000133570</v>
      </c>
      <c r="C115" s="1">
        <v>-1</v>
      </c>
      <c r="D115" s="9">
        <f t="shared" si="5"/>
        <v>-1</v>
      </c>
      <c r="E115" s="7" t="s">
        <v>8345</v>
      </c>
      <c r="F115" s="10" t="str">
        <f t="shared" si="4"/>
        <v>insert into ins_premium_det (premium_rcv_code,assorted_code, rec_amount,premium_rcv_detail_code,remaining_amt, payrec, mode_code,coinsurance_code,class_cd,it_remarks) values</v>
      </c>
      <c r="G115" s="11" t="str">
        <f t="shared" si="6"/>
        <v>('28Nov240101','070000133570','-1',(select max(to_number(i.premium_rcv_detail_code))+1
from ins_premium_det i),'-1','-1','02', '11000003','00','Request by Mr. Omair Ali 29-Nov-2024');</v>
      </c>
      <c r="H115" s="12" t="str">
        <f t="shared" si="7"/>
        <v>insert into ins_premium_det (premium_rcv_code,assorted_code, rec_amount,premium_rcv_detail_code,remaining_amt, payrec, mode_code,coinsurance_code,class_cd,it_remarks) values('28Nov240101','070000133570','-1',(select max(to_number(i.premium_rcv_detail_code))+1
from ins_premium_det i),'-1','-1','02', '11000003','00','Request by Mr. Omair Ali 29-Nov-2024');</v>
      </c>
    </row>
    <row r="116" spans="1:8" ht="105" x14ac:dyDescent="0.25">
      <c r="A116" t="s">
        <v>116</v>
      </c>
      <c r="B116" s="8" t="str">
        <f>VLOOKUP(A116,assortedcode!B:C,2,0)</f>
        <v>040000165806</v>
      </c>
      <c r="C116" s="1">
        <v>-1</v>
      </c>
      <c r="D116" s="9">
        <f t="shared" si="5"/>
        <v>-1</v>
      </c>
      <c r="E116" s="7" t="s">
        <v>8345</v>
      </c>
      <c r="F116" s="10" t="str">
        <f t="shared" si="4"/>
        <v>insert into ins_premium_det (premium_rcv_code,assorted_code, rec_amount,premium_rcv_detail_code,remaining_amt, payrec, mode_code,coinsurance_code,class_cd,it_remarks) values</v>
      </c>
      <c r="G116" s="11" t="str">
        <f t="shared" si="6"/>
        <v>('28Nov240101','040000165806','-1',(select max(to_number(i.premium_rcv_detail_code))+1
from ins_premium_det i),'-1','-1','02', '11000003','00','Request by Mr. Omair Ali 29-Nov-2024');</v>
      </c>
      <c r="H116" s="12" t="str">
        <f t="shared" si="7"/>
        <v>insert into ins_premium_det (premium_rcv_code,assorted_code, rec_amount,premium_rcv_detail_code,remaining_amt, payrec, mode_code,coinsurance_code,class_cd,it_remarks) values('28Nov240101','040000165806','-1',(select max(to_number(i.premium_rcv_detail_code))+1
from ins_premium_det i),'-1','-1','02', '11000003','00','Request by Mr. Omair Ali 29-Nov-2024');</v>
      </c>
    </row>
    <row r="117" spans="1:8" ht="105" x14ac:dyDescent="0.25">
      <c r="A117" t="s">
        <v>117</v>
      </c>
      <c r="B117" s="8" t="str">
        <f>VLOOKUP(A117,assortedcode!B:C,2,0)</f>
        <v>040000137451</v>
      </c>
      <c r="C117" s="1">
        <v>-1</v>
      </c>
      <c r="D117" s="9">
        <f t="shared" si="5"/>
        <v>-1</v>
      </c>
      <c r="E117" s="7" t="s">
        <v>8345</v>
      </c>
      <c r="F117" s="10" t="str">
        <f t="shared" si="4"/>
        <v>insert into ins_premium_det (premium_rcv_code,assorted_code, rec_amount,premium_rcv_detail_code,remaining_amt, payrec, mode_code,coinsurance_code,class_cd,it_remarks) values</v>
      </c>
      <c r="G117" s="11" t="str">
        <f t="shared" si="6"/>
        <v>('28Nov240101','040000137451','-1',(select max(to_number(i.premium_rcv_detail_code))+1
from ins_premium_det i),'-1','-1','02', '11000003','00','Request by Mr. Omair Ali 29-Nov-2024');</v>
      </c>
      <c r="H117" s="12" t="str">
        <f t="shared" si="7"/>
        <v>insert into ins_premium_det (premium_rcv_code,assorted_code, rec_amount,premium_rcv_detail_code,remaining_amt, payrec, mode_code,coinsurance_code,class_cd,it_remarks) values('28Nov240101','040000137451','-1',(select max(to_number(i.premium_rcv_detail_code))+1
from ins_premium_det i),'-1','-1','02', '11000003','00','Request by Mr. Omair Ali 29-Nov-2024');</v>
      </c>
    </row>
    <row r="118" spans="1:8" ht="105" x14ac:dyDescent="0.25">
      <c r="A118" t="s">
        <v>118</v>
      </c>
      <c r="B118" s="8" t="str">
        <f>VLOOKUP(A118,assortedcode!B:C,2,0)</f>
        <v>040000166345</v>
      </c>
      <c r="C118" s="1">
        <v>-1</v>
      </c>
      <c r="D118" s="9">
        <f t="shared" si="5"/>
        <v>-1</v>
      </c>
      <c r="E118" s="7" t="s">
        <v>8345</v>
      </c>
      <c r="F118" s="10" t="str">
        <f t="shared" si="4"/>
        <v>insert into ins_premium_det (premium_rcv_code,assorted_code, rec_amount,premium_rcv_detail_code,remaining_amt, payrec, mode_code,coinsurance_code,class_cd,it_remarks) values</v>
      </c>
      <c r="G118" s="11" t="str">
        <f t="shared" si="6"/>
        <v>('28Nov240101','040000166345','-1',(select max(to_number(i.premium_rcv_detail_code))+1
from ins_premium_det i),'-1','-1','02', '11000003','00','Request by Mr. Omair Ali 29-Nov-2024');</v>
      </c>
      <c r="H118" s="12" t="str">
        <f t="shared" si="7"/>
        <v>insert into ins_premium_det (premium_rcv_code,assorted_code, rec_amount,premium_rcv_detail_code,remaining_amt, payrec, mode_code,coinsurance_code,class_cd,it_remarks) values('28Nov240101','040000166345','-1',(select max(to_number(i.premium_rcv_detail_code))+1
from ins_premium_det i),'-1','-1','02', '11000003','00','Request by Mr. Omair Ali 29-Nov-2024');</v>
      </c>
    </row>
    <row r="119" spans="1:8" ht="105" x14ac:dyDescent="0.25">
      <c r="A119" t="s">
        <v>119</v>
      </c>
      <c r="B119" s="8" t="str">
        <f>VLOOKUP(A119,assortedcode!B:C,2,0)</f>
        <v>040000138430</v>
      </c>
      <c r="C119" s="1">
        <v>-1</v>
      </c>
      <c r="D119" s="9">
        <f t="shared" si="5"/>
        <v>-1</v>
      </c>
      <c r="E119" s="7" t="s">
        <v>8345</v>
      </c>
      <c r="F119" s="10" t="str">
        <f t="shared" si="4"/>
        <v>insert into ins_premium_det (premium_rcv_code,assorted_code, rec_amount,premium_rcv_detail_code,remaining_amt, payrec, mode_code,coinsurance_code,class_cd,it_remarks) values</v>
      </c>
      <c r="G119" s="11" t="str">
        <f t="shared" si="6"/>
        <v>('28Nov240101','040000138430','-1',(select max(to_number(i.premium_rcv_detail_code))+1
from ins_premium_det i),'-1','-1','02', '11000003','00','Request by Mr. Omair Ali 29-Nov-2024');</v>
      </c>
      <c r="H119" s="12" t="str">
        <f t="shared" si="7"/>
        <v>insert into ins_premium_det (premium_rcv_code,assorted_code, rec_amount,premium_rcv_detail_code,remaining_amt, payrec, mode_code,coinsurance_code,class_cd,it_remarks) values('28Nov240101','040000138430','-1',(select max(to_number(i.premium_rcv_detail_code))+1
from ins_premium_det i),'-1','-1','02', '11000003','00','Request by Mr. Omair Ali 29-Nov-2024');</v>
      </c>
    </row>
    <row r="120" spans="1:8" ht="105" x14ac:dyDescent="0.25">
      <c r="A120" t="s">
        <v>120</v>
      </c>
      <c r="B120" s="8" t="str">
        <f>VLOOKUP(A120,assortedcode!B:C,2,0)</f>
        <v>040000166363</v>
      </c>
      <c r="C120" s="1">
        <v>-1</v>
      </c>
      <c r="D120" s="9">
        <f t="shared" si="5"/>
        <v>-1</v>
      </c>
      <c r="E120" s="7" t="s">
        <v>8345</v>
      </c>
      <c r="F120" s="10" t="str">
        <f t="shared" si="4"/>
        <v>insert into ins_premium_det (premium_rcv_code,assorted_code, rec_amount,premium_rcv_detail_code,remaining_amt, payrec, mode_code,coinsurance_code,class_cd,it_remarks) values</v>
      </c>
      <c r="G120" s="11" t="str">
        <f t="shared" si="6"/>
        <v>('28Nov240101','040000166363','-1',(select max(to_number(i.premium_rcv_detail_code))+1
from ins_premium_det i),'-1','-1','02', '11000003','00','Request by Mr. Omair Ali 29-Nov-2024');</v>
      </c>
      <c r="H120" s="12" t="str">
        <f t="shared" si="7"/>
        <v>insert into ins_premium_det (premium_rcv_code,assorted_code, rec_amount,premium_rcv_detail_code,remaining_amt, payrec, mode_code,coinsurance_code,class_cd,it_remarks) values('28Nov240101','040000166363','-1',(select max(to_number(i.premium_rcv_detail_code))+1
from ins_premium_det i),'-1','-1','02', '11000003','00','Request by Mr. Omair Ali 29-Nov-2024');</v>
      </c>
    </row>
    <row r="121" spans="1:8" ht="105" x14ac:dyDescent="0.25">
      <c r="A121" t="s">
        <v>121</v>
      </c>
      <c r="B121" s="8" t="str">
        <f>VLOOKUP(A121,assortedcode!B:C,2,0)</f>
        <v>040000176920</v>
      </c>
      <c r="C121" s="1">
        <v>-1</v>
      </c>
      <c r="D121" s="9">
        <f t="shared" si="5"/>
        <v>-1</v>
      </c>
      <c r="E121" s="7" t="s">
        <v>8345</v>
      </c>
      <c r="F121" s="10" t="str">
        <f t="shared" si="4"/>
        <v>insert into ins_premium_det (premium_rcv_code,assorted_code, rec_amount,premium_rcv_detail_code,remaining_amt, payrec, mode_code,coinsurance_code,class_cd,it_remarks) values</v>
      </c>
      <c r="G121" s="11" t="str">
        <f t="shared" si="6"/>
        <v>('28Nov240101','040000176920','-1',(select max(to_number(i.premium_rcv_detail_code))+1
from ins_premium_det i),'-1','-1','02', '11000003','00','Request by Mr. Omair Ali 29-Nov-2024');</v>
      </c>
      <c r="H121" s="12" t="str">
        <f t="shared" si="7"/>
        <v>insert into ins_premium_det (premium_rcv_code,assorted_code, rec_amount,premium_rcv_detail_code,remaining_amt, payrec, mode_code,coinsurance_code,class_cd,it_remarks) values('28Nov240101','040000176920','-1',(select max(to_number(i.premium_rcv_detail_code))+1
from ins_premium_det i),'-1','-1','02', '11000003','00','Request by Mr. Omair Ali 29-Nov-2024');</v>
      </c>
    </row>
    <row r="122" spans="1:8" ht="105" x14ac:dyDescent="0.25">
      <c r="A122" t="s">
        <v>122</v>
      </c>
      <c r="B122" s="8" t="str">
        <f>VLOOKUP(A122,assortedcode!B:C,2,0)</f>
        <v>040000166375</v>
      </c>
      <c r="C122" s="1">
        <v>-1</v>
      </c>
      <c r="D122" s="9">
        <f t="shared" si="5"/>
        <v>-1</v>
      </c>
      <c r="E122" s="7" t="s">
        <v>8345</v>
      </c>
      <c r="F122" s="10" t="str">
        <f t="shared" si="4"/>
        <v>insert into ins_premium_det (premium_rcv_code,assorted_code, rec_amount,premium_rcv_detail_code,remaining_amt, payrec, mode_code,coinsurance_code,class_cd,it_remarks) values</v>
      </c>
      <c r="G122" s="11" t="str">
        <f t="shared" si="6"/>
        <v>('28Nov240101','040000166375','-1',(select max(to_number(i.premium_rcv_detail_code))+1
from ins_premium_det i),'-1','-1','02', '11000003','00','Request by Mr. Omair Ali 29-Nov-2024');</v>
      </c>
      <c r="H122" s="12" t="str">
        <f t="shared" si="7"/>
        <v>insert into ins_premium_det (premium_rcv_code,assorted_code, rec_amount,premium_rcv_detail_code,remaining_amt, payrec, mode_code,coinsurance_code,class_cd,it_remarks) values('28Nov240101','040000166375','-1',(select max(to_number(i.premium_rcv_detail_code))+1
from ins_premium_det i),'-1','-1','02', '11000003','00','Request by Mr. Omair Ali 29-Nov-2024');</v>
      </c>
    </row>
    <row r="123" spans="1:8" ht="105" x14ac:dyDescent="0.25">
      <c r="A123" t="s">
        <v>123</v>
      </c>
      <c r="B123" s="8" t="str">
        <f>VLOOKUP(A123,assortedcode!B:C,2,0)</f>
        <v>040000176960</v>
      </c>
      <c r="C123" s="1">
        <v>-1</v>
      </c>
      <c r="D123" s="9">
        <f t="shared" si="5"/>
        <v>-1</v>
      </c>
      <c r="E123" s="7" t="s">
        <v>8345</v>
      </c>
      <c r="F123" s="10" t="str">
        <f t="shared" si="4"/>
        <v>insert into ins_premium_det (premium_rcv_code,assorted_code, rec_amount,premium_rcv_detail_code,remaining_amt, payrec, mode_code,coinsurance_code,class_cd,it_remarks) values</v>
      </c>
      <c r="G123" s="11" t="str">
        <f t="shared" si="6"/>
        <v>('28Nov240101','040000176960','-1',(select max(to_number(i.premium_rcv_detail_code))+1
from ins_premium_det i),'-1','-1','02', '11000003','00','Request by Mr. Omair Ali 29-Nov-2024');</v>
      </c>
      <c r="H123" s="12" t="str">
        <f t="shared" si="7"/>
        <v>insert into ins_premium_det (premium_rcv_code,assorted_code, rec_amount,premium_rcv_detail_code,remaining_amt, payrec, mode_code,coinsurance_code,class_cd,it_remarks) values('28Nov240101','040000176960','-1',(select max(to_number(i.premium_rcv_detail_code))+1
from ins_premium_det i),'-1','-1','02', '11000003','00','Request by Mr. Omair Ali 29-Nov-2024');</v>
      </c>
    </row>
    <row r="124" spans="1:8" ht="105" x14ac:dyDescent="0.25">
      <c r="A124" t="s">
        <v>124</v>
      </c>
      <c r="B124" s="8" t="str">
        <f>VLOOKUP(A124,assortedcode!B:C,2,0)</f>
        <v>040000151695</v>
      </c>
      <c r="C124" s="1">
        <v>-1</v>
      </c>
      <c r="D124" s="9">
        <f t="shared" si="5"/>
        <v>-1</v>
      </c>
      <c r="E124" s="7" t="s">
        <v>8345</v>
      </c>
      <c r="F124" s="10" t="str">
        <f t="shared" si="4"/>
        <v>insert into ins_premium_det (premium_rcv_code,assorted_code, rec_amount,premium_rcv_detail_code,remaining_amt, payrec, mode_code,coinsurance_code,class_cd,it_remarks) values</v>
      </c>
      <c r="G124" s="11" t="str">
        <f t="shared" si="6"/>
        <v>('28Nov240101','040000151695','-1',(select max(to_number(i.premium_rcv_detail_code))+1
from ins_premium_det i),'-1','-1','02', '11000003','00','Request by Mr. Omair Ali 29-Nov-2024');</v>
      </c>
      <c r="H124" s="12" t="str">
        <f t="shared" si="7"/>
        <v>insert into ins_premium_det (premium_rcv_code,assorted_code, rec_amount,premium_rcv_detail_code,remaining_amt, payrec, mode_code,coinsurance_code,class_cd,it_remarks) values('28Nov240101','040000151695','-1',(select max(to_number(i.premium_rcv_detail_code))+1
from ins_premium_det i),'-1','-1','02', '11000003','00','Request by Mr. Omair Ali 29-Nov-2024');</v>
      </c>
    </row>
    <row r="125" spans="1:8" ht="105" x14ac:dyDescent="0.25">
      <c r="A125" t="s">
        <v>125</v>
      </c>
      <c r="B125" s="8" t="str">
        <f>VLOOKUP(A125,assortedcode!B:C,2,0)</f>
        <v>040000177809</v>
      </c>
      <c r="C125" s="1">
        <v>-1</v>
      </c>
      <c r="D125" s="9">
        <f t="shared" si="5"/>
        <v>-1</v>
      </c>
      <c r="E125" s="7" t="s">
        <v>8345</v>
      </c>
      <c r="F125" s="10" t="str">
        <f t="shared" si="4"/>
        <v>insert into ins_premium_det (premium_rcv_code,assorted_code, rec_amount,premium_rcv_detail_code,remaining_amt, payrec, mode_code,coinsurance_code,class_cd,it_remarks) values</v>
      </c>
      <c r="G125" s="11" t="str">
        <f t="shared" si="6"/>
        <v>('28Nov240101','040000177809','-1',(select max(to_number(i.premium_rcv_detail_code))+1
from ins_premium_det i),'-1','-1','02', '11000003','00','Request by Mr. Omair Ali 29-Nov-2024');</v>
      </c>
      <c r="H125" s="12" t="str">
        <f t="shared" si="7"/>
        <v>insert into ins_premium_det (premium_rcv_code,assorted_code, rec_amount,premium_rcv_detail_code,remaining_amt, payrec, mode_code,coinsurance_code,class_cd,it_remarks) values('28Nov240101','040000177809','-1',(select max(to_number(i.premium_rcv_detail_code))+1
from ins_premium_det i),'-1','-1','02', '11000003','00','Request by Mr. Omair Ali 29-Nov-2024');</v>
      </c>
    </row>
    <row r="126" spans="1:8" ht="105" x14ac:dyDescent="0.25">
      <c r="A126" t="s">
        <v>126</v>
      </c>
      <c r="B126" s="8" t="str">
        <f>VLOOKUP(A126,assortedcode!B:C,2,0)</f>
        <v>040000125400</v>
      </c>
      <c r="C126" s="1">
        <v>-1</v>
      </c>
      <c r="D126" s="9">
        <f t="shared" si="5"/>
        <v>-1</v>
      </c>
      <c r="E126" s="7" t="s">
        <v>8345</v>
      </c>
      <c r="F126" s="10" t="str">
        <f t="shared" si="4"/>
        <v>insert into ins_premium_det (premium_rcv_code,assorted_code, rec_amount,premium_rcv_detail_code,remaining_amt, payrec, mode_code,coinsurance_code,class_cd,it_remarks) values</v>
      </c>
      <c r="G126" s="11" t="str">
        <f t="shared" si="6"/>
        <v>('28Nov240101','040000125400','-1',(select max(to_number(i.premium_rcv_detail_code))+1
from ins_premium_det i),'-1','-1','02', '11000003','00','Request by Mr. Omair Ali 29-Nov-2024');</v>
      </c>
      <c r="H126" s="12" t="str">
        <f t="shared" si="7"/>
        <v>insert into ins_premium_det (premium_rcv_code,assorted_code, rec_amount,premium_rcv_detail_code,remaining_amt, payrec, mode_code,coinsurance_code,class_cd,it_remarks) values('28Nov240101','040000125400','-1',(select max(to_number(i.premium_rcv_detail_code))+1
from ins_premium_det i),'-1','-1','02', '11000003','00','Request by Mr. Omair Ali 29-Nov-2024');</v>
      </c>
    </row>
    <row r="127" spans="1:8" ht="105" x14ac:dyDescent="0.25">
      <c r="A127" t="s">
        <v>127</v>
      </c>
      <c r="B127" s="8" t="str">
        <f>VLOOKUP(A127,assortedcode!B:C,2,0)</f>
        <v>070000150601</v>
      </c>
      <c r="C127" s="1">
        <v>-1</v>
      </c>
      <c r="D127" s="9">
        <f t="shared" si="5"/>
        <v>-1</v>
      </c>
      <c r="E127" s="7" t="s">
        <v>8345</v>
      </c>
      <c r="F127" s="10" t="str">
        <f t="shared" si="4"/>
        <v>insert into ins_premium_det (premium_rcv_code,assorted_code, rec_amount,premium_rcv_detail_code,remaining_amt, payrec, mode_code,coinsurance_code,class_cd,it_remarks) values</v>
      </c>
      <c r="G127" s="11" t="str">
        <f t="shared" si="6"/>
        <v>('28Nov240101','070000150601','-1',(select max(to_number(i.premium_rcv_detail_code))+1
from ins_premium_det i),'-1','-1','02', '11000003','00','Request by Mr. Omair Ali 29-Nov-2024');</v>
      </c>
      <c r="H127" s="12" t="str">
        <f t="shared" si="7"/>
        <v>insert into ins_premium_det (premium_rcv_code,assorted_code, rec_amount,premium_rcv_detail_code,remaining_amt, payrec, mode_code,coinsurance_code,class_cd,it_remarks) values('28Nov240101','070000150601','-1',(select max(to_number(i.premium_rcv_detail_code))+1
from ins_premium_det i),'-1','-1','02', '11000003','00','Request by Mr. Omair Ali 29-Nov-2024');</v>
      </c>
    </row>
    <row r="128" spans="1:8" ht="105" x14ac:dyDescent="0.25">
      <c r="A128" t="s">
        <v>128</v>
      </c>
      <c r="B128" s="8" t="str">
        <f>VLOOKUP(A128,assortedcode!B:C,2,0)</f>
        <v>040000141416</v>
      </c>
      <c r="C128" s="1">
        <v>-1</v>
      </c>
      <c r="D128" s="9">
        <f t="shared" si="5"/>
        <v>-1</v>
      </c>
      <c r="E128" s="7" t="s">
        <v>8345</v>
      </c>
      <c r="F128" s="10" t="str">
        <f t="shared" si="4"/>
        <v>insert into ins_premium_det (premium_rcv_code,assorted_code, rec_amount,premium_rcv_detail_code,remaining_amt, payrec, mode_code,coinsurance_code,class_cd,it_remarks) values</v>
      </c>
      <c r="G128" s="11" t="str">
        <f t="shared" si="6"/>
        <v>('28Nov240101','040000141416','-1',(select max(to_number(i.premium_rcv_detail_code))+1
from ins_premium_det i),'-1','-1','02', '11000003','00','Request by Mr. Omair Ali 29-Nov-2024');</v>
      </c>
      <c r="H128" s="12" t="str">
        <f t="shared" si="7"/>
        <v>insert into ins_premium_det (premium_rcv_code,assorted_code, rec_amount,premium_rcv_detail_code,remaining_amt, payrec, mode_code,coinsurance_code,class_cd,it_remarks) values('28Nov240101','040000141416','-1',(select max(to_number(i.premium_rcv_detail_code))+1
from ins_premium_det i),'-1','-1','02', '11000003','00','Request by Mr. Omair Ali 29-Nov-2024');</v>
      </c>
    </row>
    <row r="129" spans="1:8" ht="105" x14ac:dyDescent="0.25">
      <c r="A129" t="s">
        <v>129</v>
      </c>
      <c r="B129" s="8" t="str">
        <f>VLOOKUP(A129,assortedcode!B:C,2,0)</f>
        <v>070000133433</v>
      </c>
      <c r="C129" s="1">
        <v>-1</v>
      </c>
      <c r="D129" s="9">
        <f t="shared" si="5"/>
        <v>-1</v>
      </c>
      <c r="E129" s="7" t="s">
        <v>8345</v>
      </c>
      <c r="F129" s="10" t="str">
        <f t="shared" si="4"/>
        <v>insert into ins_premium_det (premium_rcv_code,assorted_code, rec_amount,premium_rcv_detail_code,remaining_amt, payrec, mode_code,coinsurance_code,class_cd,it_remarks) values</v>
      </c>
      <c r="G129" s="11" t="str">
        <f t="shared" si="6"/>
        <v>('28Nov240101','070000133433','-1',(select max(to_number(i.premium_rcv_detail_code))+1
from ins_premium_det i),'-1','-1','02', '11000003','00','Request by Mr. Omair Ali 29-Nov-2024');</v>
      </c>
      <c r="H129" s="12" t="str">
        <f t="shared" si="7"/>
        <v>insert into ins_premium_det (premium_rcv_code,assorted_code, rec_amount,premium_rcv_detail_code,remaining_amt, payrec, mode_code,coinsurance_code,class_cd,it_remarks) values('28Nov240101','070000133433','-1',(select max(to_number(i.premium_rcv_detail_code))+1
from ins_premium_det i),'-1','-1','02', '11000003','00','Request by Mr. Omair Ali 29-Nov-2024');</v>
      </c>
    </row>
    <row r="130" spans="1:8" ht="105" x14ac:dyDescent="0.25">
      <c r="A130" t="s">
        <v>130</v>
      </c>
      <c r="B130" s="8" t="str">
        <f>VLOOKUP(A130,assortedcode!B:C,2,0)</f>
        <v>040000143241</v>
      </c>
      <c r="C130" s="1">
        <v>-1</v>
      </c>
      <c r="D130" s="9">
        <f t="shared" si="5"/>
        <v>-1</v>
      </c>
      <c r="E130" s="7" t="s">
        <v>8345</v>
      </c>
      <c r="F130" s="10" t="str">
        <f t="shared" ref="F130:F193" si="8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130" s="11" t="str">
        <f t="shared" si="6"/>
        <v>('28Nov240101','040000143241','-1',(select max(to_number(i.premium_rcv_detail_code))+1
from ins_premium_det i),'-1','-1','02', '11000003','00','Request by Mr. Omair Ali 29-Nov-2024');</v>
      </c>
      <c r="H130" s="12" t="str">
        <f t="shared" si="7"/>
        <v>insert into ins_premium_det (premium_rcv_code,assorted_code, rec_amount,premium_rcv_detail_code,remaining_amt, payrec, mode_code,coinsurance_code,class_cd,it_remarks) values('28Nov240101','040000143241','-1',(select max(to_number(i.premium_rcv_detail_code))+1
from ins_premium_det i),'-1','-1','02', '11000003','00','Request by Mr. Omair Ali 29-Nov-2024');</v>
      </c>
    </row>
    <row r="131" spans="1:8" ht="105" x14ac:dyDescent="0.25">
      <c r="A131" t="s">
        <v>131</v>
      </c>
      <c r="B131" s="8" t="str">
        <f>VLOOKUP(A131,assortedcode!B:C,2,0)</f>
        <v>070000133476</v>
      </c>
      <c r="C131" s="1">
        <v>-1</v>
      </c>
      <c r="D131" s="9">
        <f t="shared" ref="D131:D194" si="9">ROUND(C131,0)</f>
        <v>-1</v>
      </c>
      <c r="E131" s="7" t="s">
        <v>8345</v>
      </c>
      <c r="F131" s="10" t="str">
        <f t="shared" si="8"/>
        <v>insert into ins_premium_det (premium_rcv_code,assorted_code, rec_amount,premium_rcv_detail_code,remaining_amt, payrec, mode_code,coinsurance_code,class_cd,it_remarks) values</v>
      </c>
      <c r="G131" s="11" t="str">
        <f t="shared" ref="G131:G194" si="10">"('"&amp;E131&amp;"','"&amp;B131&amp;"','"&amp;ROUND(D131,2)&amp;"',(select max(to_number(i.premium_rcv_detail_code))+1
from ins_premium_det i),'"&amp;D131&amp;"','"&amp;D131&amp;"','02', '11000003','00','Request by Mr. Omair Ali 29-Nov-2024');"</f>
        <v>('28Nov240101','070000133476','-1',(select max(to_number(i.premium_rcv_detail_code))+1
from ins_premium_det i),'-1','-1','02', '11000003','00','Request by Mr. Omair Ali 29-Nov-2024');</v>
      </c>
      <c r="H131" s="12" t="str">
        <f t="shared" ref="H131:H194" si="11">F131&amp;G131</f>
        <v>insert into ins_premium_det (premium_rcv_code,assorted_code, rec_amount,premium_rcv_detail_code,remaining_amt, payrec, mode_code,coinsurance_code,class_cd,it_remarks) values('28Nov240101','070000133476','-1',(select max(to_number(i.premium_rcv_detail_code))+1
from ins_premium_det i),'-1','-1','02', '11000003','00','Request by Mr. Omair Ali 29-Nov-2024');</v>
      </c>
    </row>
    <row r="132" spans="1:8" ht="105" x14ac:dyDescent="0.25">
      <c r="A132" t="s">
        <v>132</v>
      </c>
      <c r="B132" s="8" t="str">
        <f>VLOOKUP(A132,assortedcode!B:C,2,0)</f>
        <v>040000113297</v>
      </c>
      <c r="C132" s="1">
        <v>-1</v>
      </c>
      <c r="D132" s="9">
        <f t="shared" si="9"/>
        <v>-1</v>
      </c>
      <c r="E132" s="7" t="s">
        <v>8345</v>
      </c>
      <c r="F132" s="10" t="str">
        <f t="shared" si="8"/>
        <v>insert into ins_premium_det (premium_rcv_code,assorted_code, rec_amount,premium_rcv_detail_code,remaining_amt, payrec, mode_code,coinsurance_code,class_cd,it_remarks) values</v>
      </c>
      <c r="G132" s="11" t="str">
        <f t="shared" si="10"/>
        <v>('28Nov240101','040000113297','-1',(select max(to_number(i.premium_rcv_detail_code))+1
from ins_premium_det i),'-1','-1','02', '11000003','00','Request by Mr. Omair Ali 29-Nov-2024');</v>
      </c>
      <c r="H132" s="12" t="str">
        <f t="shared" si="11"/>
        <v>insert into ins_premium_det (premium_rcv_code,assorted_code, rec_amount,premium_rcv_detail_code,remaining_amt, payrec, mode_code,coinsurance_code,class_cd,it_remarks) values('28Nov240101','040000113297','-1',(select max(to_number(i.premium_rcv_detail_code))+1
from ins_premium_det i),'-1','-1','02', '11000003','00','Request by Mr. Omair Ali 29-Nov-2024');</v>
      </c>
    </row>
    <row r="133" spans="1:8" ht="105" x14ac:dyDescent="0.25">
      <c r="A133" t="s">
        <v>133</v>
      </c>
      <c r="B133" s="8" t="str">
        <f>VLOOKUP(A133,assortedcode!B:C,2,0)</f>
        <v>070000133491</v>
      </c>
      <c r="C133" s="1">
        <v>-1</v>
      </c>
      <c r="D133" s="9">
        <f t="shared" si="9"/>
        <v>-1</v>
      </c>
      <c r="E133" s="7" t="s">
        <v>8345</v>
      </c>
      <c r="F133" s="10" t="str">
        <f t="shared" si="8"/>
        <v>insert into ins_premium_det (premium_rcv_code,assorted_code, rec_amount,premium_rcv_detail_code,remaining_amt, payrec, mode_code,coinsurance_code,class_cd,it_remarks) values</v>
      </c>
      <c r="G133" s="11" t="str">
        <f t="shared" si="10"/>
        <v>('28Nov240101','070000133491','-1',(select max(to_number(i.premium_rcv_detail_code))+1
from ins_premium_det i),'-1','-1','02', '11000003','00','Request by Mr. Omair Ali 29-Nov-2024');</v>
      </c>
      <c r="H133" s="12" t="str">
        <f t="shared" si="11"/>
        <v>insert into ins_premium_det (premium_rcv_code,assorted_code, rec_amount,premium_rcv_detail_code,remaining_amt, payrec, mode_code,coinsurance_code,class_cd,it_remarks) values('28Nov240101','070000133491','-1',(select max(to_number(i.premium_rcv_detail_code))+1
from ins_premium_det i),'-1','-1','02', '11000003','00','Request by Mr. Omair Ali 29-Nov-2024');</v>
      </c>
    </row>
    <row r="134" spans="1:8" ht="105" x14ac:dyDescent="0.25">
      <c r="A134" t="s">
        <v>134</v>
      </c>
      <c r="B134" s="8" t="str">
        <f>VLOOKUP(A134,assortedcode!B:C,2,0)</f>
        <v>040000130011</v>
      </c>
      <c r="C134" s="1">
        <v>-1</v>
      </c>
      <c r="D134" s="9">
        <f t="shared" si="9"/>
        <v>-1</v>
      </c>
      <c r="E134" s="7" t="s">
        <v>8345</v>
      </c>
      <c r="F134" s="10" t="str">
        <f t="shared" si="8"/>
        <v>insert into ins_premium_det (premium_rcv_code,assorted_code, rec_amount,premium_rcv_detail_code,remaining_amt, payrec, mode_code,coinsurance_code,class_cd,it_remarks) values</v>
      </c>
      <c r="G134" s="11" t="str">
        <f t="shared" si="10"/>
        <v>('28Nov240101','040000130011','-1',(select max(to_number(i.premium_rcv_detail_code))+1
from ins_premium_det i),'-1','-1','02', '11000003','00','Request by Mr. Omair Ali 29-Nov-2024');</v>
      </c>
      <c r="H134" s="12" t="str">
        <f t="shared" si="11"/>
        <v>insert into ins_premium_det (premium_rcv_code,assorted_code, rec_amount,premium_rcv_detail_code,remaining_amt, payrec, mode_code,coinsurance_code,class_cd,it_remarks) values('28Nov240101','040000130011','-1',(select max(to_number(i.premium_rcv_detail_code))+1
from ins_premium_det i),'-1','-1','02', '11000003','00','Request by Mr. Omair Ali 29-Nov-2024');</v>
      </c>
    </row>
    <row r="135" spans="1:8" ht="105" x14ac:dyDescent="0.25">
      <c r="A135" t="s">
        <v>135</v>
      </c>
      <c r="B135" s="8" t="str">
        <f>VLOOKUP(A135,assortedcode!B:C,2,0)</f>
        <v>070000133513</v>
      </c>
      <c r="C135" s="1">
        <v>-1</v>
      </c>
      <c r="D135" s="9">
        <f t="shared" si="9"/>
        <v>-1</v>
      </c>
      <c r="E135" s="7" t="s">
        <v>8345</v>
      </c>
      <c r="F135" s="10" t="str">
        <f t="shared" si="8"/>
        <v>insert into ins_premium_det (premium_rcv_code,assorted_code, rec_amount,premium_rcv_detail_code,remaining_amt, payrec, mode_code,coinsurance_code,class_cd,it_remarks) values</v>
      </c>
      <c r="G135" s="11" t="str">
        <f t="shared" si="10"/>
        <v>('28Nov240101','070000133513','-1',(select max(to_number(i.premium_rcv_detail_code))+1
from ins_premium_det i),'-1','-1','02', '11000003','00','Request by Mr. Omair Ali 29-Nov-2024');</v>
      </c>
      <c r="H135" s="12" t="str">
        <f t="shared" si="11"/>
        <v>insert into ins_premium_det (premium_rcv_code,assorted_code, rec_amount,premium_rcv_detail_code,remaining_amt, payrec, mode_code,coinsurance_code,class_cd,it_remarks) values('28Nov240101','070000133513','-1',(select max(to_number(i.premium_rcv_detail_code))+1
from ins_premium_det i),'-1','-1','02', '11000003','00','Request by Mr. Omair Ali 29-Nov-2024');</v>
      </c>
    </row>
    <row r="136" spans="1:8" ht="105" x14ac:dyDescent="0.25">
      <c r="A136" t="s">
        <v>136</v>
      </c>
      <c r="B136" s="8" t="str">
        <f>VLOOKUP(A136,assortedcode!B:C,2,0)</f>
        <v>040000139147</v>
      </c>
      <c r="C136" s="1">
        <v>-1</v>
      </c>
      <c r="D136" s="9">
        <f t="shared" si="9"/>
        <v>-1</v>
      </c>
      <c r="E136" s="7" t="s">
        <v>8345</v>
      </c>
      <c r="F136" s="10" t="str">
        <f t="shared" si="8"/>
        <v>insert into ins_premium_det (premium_rcv_code,assorted_code, rec_amount,premium_rcv_detail_code,remaining_amt, payrec, mode_code,coinsurance_code,class_cd,it_remarks) values</v>
      </c>
      <c r="G136" s="11" t="str">
        <f t="shared" si="10"/>
        <v>('28Nov240101','040000139147','-1',(select max(to_number(i.premium_rcv_detail_code))+1
from ins_premium_det i),'-1','-1','02', '11000003','00','Request by Mr. Omair Ali 29-Nov-2024');</v>
      </c>
      <c r="H136" s="12" t="str">
        <f t="shared" si="11"/>
        <v>insert into ins_premium_det (premium_rcv_code,assorted_code, rec_amount,premium_rcv_detail_code,remaining_amt, payrec, mode_code,coinsurance_code,class_cd,it_remarks) values('28Nov240101','040000139147','-1',(select max(to_number(i.premium_rcv_detail_code))+1
from ins_premium_det i),'-1','-1','02', '11000003','00','Request by Mr. Omair Ali 29-Nov-2024');</v>
      </c>
    </row>
    <row r="137" spans="1:8" ht="105" x14ac:dyDescent="0.25">
      <c r="A137" t="s">
        <v>137</v>
      </c>
      <c r="B137" s="8" t="str">
        <f>VLOOKUP(A137,assortedcode!B:C,2,0)</f>
        <v>070000133545</v>
      </c>
      <c r="C137" s="1">
        <v>-1</v>
      </c>
      <c r="D137" s="9">
        <f t="shared" si="9"/>
        <v>-1</v>
      </c>
      <c r="E137" s="7" t="s">
        <v>8345</v>
      </c>
      <c r="F137" s="10" t="str">
        <f t="shared" si="8"/>
        <v>insert into ins_premium_det (premium_rcv_code,assorted_code, rec_amount,premium_rcv_detail_code,remaining_amt, payrec, mode_code,coinsurance_code,class_cd,it_remarks) values</v>
      </c>
      <c r="G137" s="11" t="str">
        <f t="shared" si="10"/>
        <v>('28Nov240101','070000133545','-1',(select max(to_number(i.premium_rcv_detail_code))+1
from ins_premium_det i),'-1','-1','02', '11000003','00','Request by Mr. Omair Ali 29-Nov-2024');</v>
      </c>
      <c r="H137" s="12" t="str">
        <f t="shared" si="11"/>
        <v>insert into ins_premium_det (premium_rcv_code,assorted_code, rec_amount,premium_rcv_detail_code,remaining_amt, payrec, mode_code,coinsurance_code,class_cd,it_remarks) values('28Nov240101','070000133545','-1',(select max(to_number(i.premium_rcv_detail_code))+1
from ins_premium_det i),'-1','-1','02', '11000003','00','Request by Mr. Omair Ali 29-Nov-2024');</v>
      </c>
    </row>
    <row r="138" spans="1:8" ht="105" x14ac:dyDescent="0.25">
      <c r="A138" t="s">
        <v>138</v>
      </c>
      <c r="B138" s="8" t="str">
        <f>VLOOKUP(A138,assortedcode!B:C,2,0)</f>
        <v>040000141250</v>
      </c>
      <c r="C138" s="1">
        <v>-1</v>
      </c>
      <c r="D138" s="9">
        <f t="shared" si="9"/>
        <v>-1</v>
      </c>
      <c r="E138" s="7" t="s">
        <v>8345</v>
      </c>
      <c r="F138" s="10" t="str">
        <f t="shared" si="8"/>
        <v>insert into ins_premium_det (premium_rcv_code,assorted_code, rec_amount,premium_rcv_detail_code,remaining_amt, payrec, mode_code,coinsurance_code,class_cd,it_remarks) values</v>
      </c>
      <c r="G138" s="11" t="str">
        <f t="shared" si="10"/>
        <v>('28Nov240101','040000141250','-1',(select max(to_number(i.premium_rcv_detail_code))+1
from ins_premium_det i),'-1','-1','02', '11000003','00','Request by Mr. Omair Ali 29-Nov-2024');</v>
      </c>
      <c r="H138" s="12" t="str">
        <f t="shared" si="11"/>
        <v>insert into ins_premium_det (premium_rcv_code,assorted_code, rec_amount,premium_rcv_detail_code,remaining_amt, payrec, mode_code,coinsurance_code,class_cd,it_remarks) values('28Nov240101','040000141250','-1',(select max(to_number(i.premium_rcv_detail_code))+1
from ins_premium_det i),'-1','-1','02', '11000003','00','Request by Mr. Omair Ali 29-Nov-2024');</v>
      </c>
    </row>
    <row r="139" spans="1:8" ht="105" x14ac:dyDescent="0.25">
      <c r="A139" t="s">
        <v>139</v>
      </c>
      <c r="B139" s="8" t="str">
        <f>VLOOKUP(A139,assortedcode!B:C,2,0)</f>
        <v>070000133584</v>
      </c>
      <c r="C139" s="1">
        <v>-1</v>
      </c>
      <c r="D139" s="9">
        <f t="shared" si="9"/>
        <v>-1</v>
      </c>
      <c r="E139" s="7" t="s">
        <v>8345</v>
      </c>
      <c r="F139" s="10" t="str">
        <f t="shared" si="8"/>
        <v>insert into ins_premium_det (premium_rcv_code,assorted_code, rec_amount,premium_rcv_detail_code,remaining_amt, payrec, mode_code,coinsurance_code,class_cd,it_remarks) values</v>
      </c>
      <c r="G139" s="11" t="str">
        <f t="shared" si="10"/>
        <v>('28Nov240101','070000133584','-1',(select max(to_number(i.premium_rcv_detail_code))+1
from ins_premium_det i),'-1','-1','02', '11000003','00','Request by Mr. Omair Ali 29-Nov-2024');</v>
      </c>
      <c r="H139" s="12" t="str">
        <f t="shared" si="11"/>
        <v>insert into ins_premium_det (premium_rcv_code,assorted_code, rec_amount,premium_rcv_detail_code,remaining_amt, payrec, mode_code,coinsurance_code,class_cd,it_remarks) values('28Nov240101','070000133584','-1',(select max(to_number(i.premium_rcv_detail_code))+1
from ins_premium_det i),'-1','-1','02', '11000003','00','Request by Mr. Omair Ali 29-Nov-2024');</v>
      </c>
    </row>
    <row r="140" spans="1:8" ht="105" x14ac:dyDescent="0.25">
      <c r="A140" t="s">
        <v>140</v>
      </c>
      <c r="B140" s="8" t="str">
        <f>VLOOKUP(A140,assortedcode!B:C,2,0)</f>
        <v>040000146141</v>
      </c>
      <c r="C140" s="1">
        <v>-1</v>
      </c>
      <c r="D140" s="9">
        <f t="shared" si="9"/>
        <v>-1</v>
      </c>
      <c r="E140" s="7" t="s">
        <v>8345</v>
      </c>
      <c r="F140" s="10" t="str">
        <f t="shared" si="8"/>
        <v>insert into ins_premium_det (premium_rcv_code,assorted_code, rec_amount,premium_rcv_detail_code,remaining_amt, payrec, mode_code,coinsurance_code,class_cd,it_remarks) values</v>
      </c>
      <c r="G140" s="11" t="str">
        <f t="shared" si="10"/>
        <v>('28Nov240101','040000146141','-1',(select max(to_number(i.premium_rcv_detail_code))+1
from ins_premium_det i),'-1','-1','02', '11000003','00','Request by Mr. Omair Ali 29-Nov-2024');</v>
      </c>
      <c r="H140" s="12" t="str">
        <f t="shared" si="11"/>
        <v>insert into ins_premium_det (premium_rcv_code,assorted_code, rec_amount,premium_rcv_detail_code,remaining_amt, payrec, mode_code,coinsurance_code,class_cd,it_remarks) values('28Nov240101','040000146141','-1',(select max(to_number(i.premium_rcv_detail_code))+1
from ins_premium_det i),'-1','-1','02', '11000003','00','Request by Mr. Omair Ali 29-Nov-2024');</v>
      </c>
    </row>
    <row r="141" spans="1:8" ht="105" x14ac:dyDescent="0.25">
      <c r="A141" t="s">
        <v>141</v>
      </c>
      <c r="B141" s="8" t="str">
        <f>VLOOKUP(A141,assortedcode!B:C,2,0)</f>
        <v>040000136939</v>
      </c>
      <c r="C141" s="1">
        <v>-1</v>
      </c>
      <c r="D141" s="9">
        <f t="shared" si="9"/>
        <v>-1</v>
      </c>
      <c r="E141" s="7" t="s">
        <v>8345</v>
      </c>
      <c r="F141" s="10" t="str">
        <f t="shared" si="8"/>
        <v>insert into ins_premium_det (premium_rcv_code,assorted_code, rec_amount,premium_rcv_detail_code,remaining_amt, payrec, mode_code,coinsurance_code,class_cd,it_remarks) values</v>
      </c>
      <c r="G141" s="11" t="str">
        <f t="shared" si="10"/>
        <v>('28Nov240101','040000136939','-1',(select max(to_number(i.premium_rcv_detail_code))+1
from ins_premium_det i),'-1','-1','02', '11000003','00','Request by Mr. Omair Ali 29-Nov-2024');</v>
      </c>
      <c r="H141" s="12" t="str">
        <f t="shared" si="11"/>
        <v>insert into ins_premium_det (premium_rcv_code,assorted_code, rec_amount,premium_rcv_detail_code,remaining_amt, payrec, mode_code,coinsurance_code,class_cd,it_remarks) values('28Nov240101','040000136939','-1',(select max(to_number(i.premium_rcv_detail_code))+1
from ins_premium_det i),'-1','-1','02', '11000003','00','Request by Mr. Omair Ali 29-Nov-2024');</v>
      </c>
    </row>
    <row r="142" spans="1:8" ht="105" x14ac:dyDescent="0.25">
      <c r="A142" t="s">
        <v>142</v>
      </c>
      <c r="B142" s="8" t="str">
        <f>VLOOKUP(A142,assortedcode!B:C,2,0)</f>
        <v>040000114890</v>
      </c>
      <c r="C142" s="1">
        <v>-1</v>
      </c>
      <c r="D142" s="9">
        <f t="shared" si="9"/>
        <v>-1</v>
      </c>
      <c r="E142" s="7" t="s">
        <v>8345</v>
      </c>
      <c r="F142" s="10" t="str">
        <f t="shared" si="8"/>
        <v>insert into ins_premium_det (premium_rcv_code,assorted_code, rec_amount,premium_rcv_detail_code,remaining_amt, payrec, mode_code,coinsurance_code,class_cd,it_remarks) values</v>
      </c>
      <c r="G142" s="11" t="str">
        <f t="shared" si="10"/>
        <v>('28Nov240101','040000114890','-1',(select max(to_number(i.premium_rcv_detail_code))+1
from ins_premium_det i),'-1','-1','02', '11000003','00','Request by Mr. Omair Ali 29-Nov-2024');</v>
      </c>
      <c r="H142" s="12" t="str">
        <f t="shared" si="11"/>
        <v>insert into ins_premium_det (premium_rcv_code,assorted_code, rec_amount,premium_rcv_detail_code,remaining_amt, payrec, mode_code,coinsurance_code,class_cd,it_remarks) values('28Nov240101','040000114890','-1',(select max(to_number(i.premium_rcv_detail_code))+1
from ins_premium_det i),'-1','-1','02', '11000003','00','Request by Mr. Omair Ali 29-Nov-2024');</v>
      </c>
    </row>
    <row r="143" spans="1:8" ht="105" x14ac:dyDescent="0.25">
      <c r="A143" t="s">
        <v>143</v>
      </c>
      <c r="B143" s="8" t="str">
        <f>VLOOKUP(A143,assortedcode!B:C,2,0)</f>
        <v>040000177412</v>
      </c>
      <c r="C143" s="1">
        <v>-1</v>
      </c>
      <c r="D143" s="9">
        <f t="shared" si="9"/>
        <v>-1</v>
      </c>
      <c r="E143" s="7" t="s">
        <v>8345</v>
      </c>
      <c r="F143" s="10" t="str">
        <f t="shared" si="8"/>
        <v>insert into ins_premium_det (premium_rcv_code,assorted_code, rec_amount,premium_rcv_detail_code,remaining_amt, payrec, mode_code,coinsurance_code,class_cd,it_remarks) values</v>
      </c>
      <c r="G143" s="11" t="str">
        <f t="shared" si="10"/>
        <v>('28Nov240101','040000177412','-1',(select max(to_number(i.premium_rcv_detail_code))+1
from ins_premium_det i),'-1','-1','02', '11000003','00','Request by Mr. Omair Ali 29-Nov-2024');</v>
      </c>
      <c r="H143" s="12" t="str">
        <f t="shared" si="11"/>
        <v>insert into ins_premium_det (premium_rcv_code,assorted_code, rec_amount,premium_rcv_detail_code,remaining_amt, payrec, mode_code,coinsurance_code,class_cd,it_remarks) values('28Nov240101','040000177412','-1',(select max(to_number(i.premium_rcv_detail_code))+1
from ins_premium_det i),'-1','-1','02', '11000003','00','Request by Mr. Omair Ali 29-Nov-2024');</v>
      </c>
    </row>
    <row r="144" spans="1:8" ht="105" x14ac:dyDescent="0.25">
      <c r="A144" t="s">
        <v>144</v>
      </c>
      <c r="B144" s="8" t="str">
        <f>VLOOKUP(A144,assortedcode!B:C,2,0)</f>
        <v>040000121465</v>
      </c>
      <c r="C144" s="1">
        <v>-1</v>
      </c>
      <c r="D144" s="9">
        <f t="shared" si="9"/>
        <v>-1</v>
      </c>
      <c r="E144" s="7" t="s">
        <v>8345</v>
      </c>
      <c r="F144" s="10" t="str">
        <f t="shared" si="8"/>
        <v>insert into ins_premium_det (premium_rcv_code,assorted_code, rec_amount,premium_rcv_detail_code,remaining_amt, payrec, mode_code,coinsurance_code,class_cd,it_remarks) values</v>
      </c>
      <c r="G144" s="11" t="str">
        <f t="shared" si="10"/>
        <v>('28Nov240101','040000121465','-1',(select max(to_number(i.premium_rcv_detail_code))+1
from ins_premium_det i),'-1','-1','02', '11000003','00','Request by Mr. Omair Ali 29-Nov-2024');</v>
      </c>
      <c r="H144" s="12" t="str">
        <f t="shared" si="11"/>
        <v>insert into ins_premium_det (premium_rcv_code,assorted_code, rec_amount,premium_rcv_detail_code,remaining_amt, payrec, mode_code,coinsurance_code,class_cd,it_remarks) values('28Nov240101','040000121465','-1',(select max(to_number(i.premium_rcv_detail_code))+1
from ins_premium_det i),'-1','-1','02', '11000003','00','Request by Mr. Omair Ali 29-Nov-2024');</v>
      </c>
    </row>
    <row r="145" spans="1:8" ht="105" x14ac:dyDescent="0.25">
      <c r="A145" t="s">
        <v>145</v>
      </c>
      <c r="B145" s="8" t="str">
        <f>VLOOKUP(A145,assortedcode!B:C,2,0)</f>
        <v>070000133424</v>
      </c>
      <c r="C145" s="1">
        <v>-1</v>
      </c>
      <c r="D145" s="9">
        <f t="shared" si="9"/>
        <v>-1</v>
      </c>
      <c r="E145" s="7" t="s">
        <v>8345</v>
      </c>
      <c r="F145" s="10" t="str">
        <f t="shared" si="8"/>
        <v>insert into ins_premium_det (premium_rcv_code,assorted_code, rec_amount,premium_rcv_detail_code,remaining_amt, payrec, mode_code,coinsurance_code,class_cd,it_remarks) values</v>
      </c>
      <c r="G145" s="11" t="str">
        <f t="shared" si="10"/>
        <v>('28Nov240101','070000133424','-1',(select max(to_number(i.premium_rcv_detail_code))+1
from ins_premium_det i),'-1','-1','02', '11000003','00','Request by Mr. Omair Ali 29-Nov-2024');</v>
      </c>
      <c r="H145" s="12" t="str">
        <f t="shared" si="11"/>
        <v>insert into ins_premium_det (premium_rcv_code,assorted_code, rec_amount,premium_rcv_detail_code,remaining_amt, payrec, mode_code,coinsurance_code,class_cd,it_remarks) values('28Nov240101','070000133424','-1',(select max(to_number(i.premium_rcv_detail_code))+1
from ins_premium_det i),'-1','-1','02', '11000003','00','Request by Mr. Omair Ali 29-Nov-2024');</v>
      </c>
    </row>
    <row r="146" spans="1:8" ht="105" x14ac:dyDescent="0.25">
      <c r="A146" t="s">
        <v>146</v>
      </c>
      <c r="B146" s="8" t="str">
        <f>VLOOKUP(A146,assortedcode!B:C,2,0)</f>
        <v>040000128371</v>
      </c>
      <c r="C146" s="1">
        <v>-1</v>
      </c>
      <c r="D146" s="9">
        <f t="shared" si="9"/>
        <v>-1</v>
      </c>
      <c r="E146" s="7" t="s">
        <v>8345</v>
      </c>
      <c r="F146" s="10" t="str">
        <f t="shared" si="8"/>
        <v>insert into ins_premium_det (premium_rcv_code,assorted_code, rec_amount,premium_rcv_detail_code,remaining_amt, payrec, mode_code,coinsurance_code,class_cd,it_remarks) values</v>
      </c>
      <c r="G146" s="11" t="str">
        <f t="shared" si="10"/>
        <v>('28Nov240101','040000128371','-1',(select max(to_number(i.premium_rcv_detail_code))+1
from ins_premium_det i),'-1','-1','02', '11000003','00','Request by Mr. Omair Ali 29-Nov-2024');</v>
      </c>
      <c r="H146" s="12" t="str">
        <f t="shared" si="11"/>
        <v>insert into ins_premium_det (premium_rcv_code,assorted_code, rec_amount,premium_rcv_detail_code,remaining_amt, payrec, mode_code,coinsurance_code,class_cd,it_remarks) values('28Nov240101','040000128371','-1',(select max(to_number(i.premium_rcv_detail_code))+1
from ins_premium_det i),'-1','-1','02', '11000003','00','Request by Mr. Omair Ali 29-Nov-2024');</v>
      </c>
    </row>
    <row r="147" spans="1:8" ht="105" x14ac:dyDescent="0.25">
      <c r="A147" t="s">
        <v>147</v>
      </c>
      <c r="B147" s="8" t="str">
        <f>VLOOKUP(A147,assortedcode!B:C,2,0)</f>
        <v>070000133483</v>
      </c>
      <c r="C147" s="1">
        <v>-1</v>
      </c>
      <c r="D147" s="9">
        <f t="shared" si="9"/>
        <v>-1</v>
      </c>
      <c r="E147" s="7" t="s">
        <v>8345</v>
      </c>
      <c r="F147" s="10" t="str">
        <f t="shared" si="8"/>
        <v>insert into ins_premium_det (premium_rcv_code,assorted_code, rec_amount,premium_rcv_detail_code,remaining_amt, payrec, mode_code,coinsurance_code,class_cd,it_remarks) values</v>
      </c>
      <c r="G147" s="11" t="str">
        <f t="shared" si="10"/>
        <v>('28Nov240101','070000133483','-1',(select max(to_number(i.premium_rcv_detail_code))+1
from ins_premium_det i),'-1','-1','02', '11000003','00','Request by Mr. Omair Ali 29-Nov-2024');</v>
      </c>
      <c r="H147" s="12" t="str">
        <f t="shared" si="11"/>
        <v>insert into ins_premium_det (premium_rcv_code,assorted_code, rec_amount,premium_rcv_detail_code,remaining_amt, payrec, mode_code,coinsurance_code,class_cd,it_remarks) values('28Nov240101','070000133483','-1',(select max(to_number(i.premium_rcv_detail_code))+1
from ins_premium_det i),'-1','-1','02', '11000003','00','Request by Mr. Omair Ali 29-Nov-2024');</v>
      </c>
    </row>
    <row r="148" spans="1:8" ht="105" x14ac:dyDescent="0.25">
      <c r="A148" t="s">
        <v>148</v>
      </c>
      <c r="B148" s="8" t="str">
        <f>VLOOKUP(A148,assortedcode!B:C,2,0)</f>
        <v>040000128610</v>
      </c>
      <c r="C148" s="1">
        <v>-1</v>
      </c>
      <c r="D148" s="9">
        <f t="shared" si="9"/>
        <v>-1</v>
      </c>
      <c r="E148" s="7" t="s">
        <v>8345</v>
      </c>
      <c r="F148" s="10" t="str">
        <f t="shared" si="8"/>
        <v>insert into ins_premium_det (premium_rcv_code,assorted_code, rec_amount,premium_rcv_detail_code,remaining_amt, payrec, mode_code,coinsurance_code,class_cd,it_remarks) values</v>
      </c>
      <c r="G148" s="11" t="str">
        <f t="shared" si="10"/>
        <v>('28Nov240101','040000128610','-1',(select max(to_number(i.premium_rcv_detail_code))+1
from ins_premium_det i),'-1','-1','02', '11000003','00','Request by Mr. Omair Ali 29-Nov-2024');</v>
      </c>
      <c r="H148" s="12" t="str">
        <f t="shared" si="11"/>
        <v>insert into ins_premium_det (premium_rcv_code,assorted_code, rec_amount,premium_rcv_detail_code,remaining_amt, payrec, mode_code,coinsurance_code,class_cd,it_remarks) values('28Nov240101','040000128610','-1',(select max(to_number(i.premium_rcv_detail_code))+1
from ins_premium_det i),'-1','-1','02', '11000003','00','Request by Mr. Omair Ali 29-Nov-2024');</v>
      </c>
    </row>
    <row r="149" spans="1:8" ht="105" x14ac:dyDescent="0.25">
      <c r="A149" t="s">
        <v>149</v>
      </c>
      <c r="B149" s="8" t="str">
        <f>VLOOKUP(A149,assortedcode!B:C,2,0)</f>
        <v>070000133534</v>
      </c>
      <c r="C149" s="1">
        <v>-1</v>
      </c>
      <c r="D149" s="9">
        <f t="shared" si="9"/>
        <v>-1</v>
      </c>
      <c r="E149" s="7" t="s">
        <v>8345</v>
      </c>
      <c r="F149" s="10" t="str">
        <f t="shared" si="8"/>
        <v>insert into ins_premium_det (premium_rcv_code,assorted_code, rec_amount,premium_rcv_detail_code,remaining_amt, payrec, mode_code,coinsurance_code,class_cd,it_remarks) values</v>
      </c>
      <c r="G149" s="11" t="str">
        <f t="shared" si="10"/>
        <v>('28Nov240101','070000133534','-1',(select max(to_number(i.premium_rcv_detail_code))+1
from ins_premium_det i),'-1','-1','02', '11000003','00','Request by Mr. Omair Ali 29-Nov-2024');</v>
      </c>
      <c r="H149" s="12" t="str">
        <f t="shared" si="11"/>
        <v>insert into ins_premium_det (premium_rcv_code,assorted_code, rec_amount,premium_rcv_detail_code,remaining_amt, payrec, mode_code,coinsurance_code,class_cd,it_remarks) values('28Nov240101','070000133534','-1',(select max(to_number(i.premium_rcv_detail_code))+1
from ins_premium_det i),'-1','-1','02', '11000003','00','Request by Mr. Omair Ali 29-Nov-2024');</v>
      </c>
    </row>
    <row r="150" spans="1:8" ht="105" x14ac:dyDescent="0.25">
      <c r="A150" t="s">
        <v>150</v>
      </c>
      <c r="B150" s="8" t="str">
        <f>VLOOKUP(A150,assortedcode!B:C,2,0)</f>
        <v>040000130991</v>
      </c>
      <c r="C150" s="1">
        <v>-1</v>
      </c>
      <c r="D150" s="9">
        <f t="shared" si="9"/>
        <v>-1</v>
      </c>
      <c r="E150" s="7" t="s">
        <v>8345</v>
      </c>
      <c r="F150" s="10" t="str">
        <f t="shared" si="8"/>
        <v>insert into ins_premium_det (premium_rcv_code,assorted_code, rec_amount,premium_rcv_detail_code,remaining_amt, payrec, mode_code,coinsurance_code,class_cd,it_remarks) values</v>
      </c>
      <c r="G150" s="11" t="str">
        <f t="shared" si="10"/>
        <v>('28Nov240101','040000130991','-1',(select max(to_number(i.premium_rcv_detail_code))+1
from ins_premium_det i),'-1','-1','02', '11000003','00','Request by Mr. Omair Ali 29-Nov-2024');</v>
      </c>
      <c r="H150" s="12" t="str">
        <f t="shared" si="11"/>
        <v>insert into ins_premium_det (premium_rcv_code,assorted_code, rec_amount,premium_rcv_detail_code,remaining_amt, payrec, mode_code,coinsurance_code,class_cd,it_remarks) values('28Nov240101','040000130991','-1',(select max(to_number(i.premium_rcv_detail_code))+1
from ins_premium_det i),'-1','-1','02', '11000003','00','Request by Mr. Omair Ali 29-Nov-2024');</v>
      </c>
    </row>
    <row r="151" spans="1:8" ht="105" x14ac:dyDescent="0.25">
      <c r="A151" t="s">
        <v>151</v>
      </c>
      <c r="B151" s="8" t="str">
        <f>VLOOKUP(A151,assortedcode!B:C,2,0)</f>
        <v>040000137453</v>
      </c>
      <c r="C151" s="1">
        <v>-1</v>
      </c>
      <c r="D151" s="9">
        <f t="shared" si="9"/>
        <v>-1</v>
      </c>
      <c r="E151" s="7" t="s">
        <v>8345</v>
      </c>
      <c r="F151" s="10" t="str">
        <f t="shared" si="8"/>
        <v>insert into ins_premium_det (premium_rcv_code,assorted_code, rec_amount,premium_rcv_detail_code,remaining_amt, payrec, mode_code,coinsurance_code,class_cd,it_remarks) values</v>
      </c>
      <c r="G151" s="11" t="str">
        <f t="shared" si="10"/>
        <v>('28Nov240101','040000137453','-1',(select max(to_number(i.premium_rcv_detail_code))+1
from ins_premium_det i),'-1','-1','02', '11000003','00','Request by Mr. Omair Ali 29-Nov-2024');</v>
      </c>
      <c r="H151" s="12" t="str">
        <f t="shared" si="11"/>
        <v>insert into ins_premium_det (premium_rcv_code,assorted_code, rec_amount,premium_rcv_detail_code,remaining_amt, payrec, mode_code,coinsurance_code,class_cd,it_remarks) values('28Nov240101','040000137453','-1',(select max(to_number(i.premium_rcv_detail_code))+1
from ins_premium_det i),'-1','-1','02', '11000003','00','Request by Mr. Omair Ali 29-Nov-2024');</v>
      </c>
    </row>
    <row r="152" spans="1:8" ht="105" x14ac:dyDescent="0.25">
      <c r="A152" t="s">
        <v>152</v>
      </c>
      <c r="B152" s="8" t="str">
        <f>VLOOKUP(A152,assortedcode!B:C,2,0)</f>
        <v>040000131781</v>
      </c>
      <c r="C152" s="1">
        <v>-1</v>
      </c>
      <c r="D152" s="9">
        <f t="shared" si="9"/>
        <v>-1</v>
      </c>
      <c r="E152" s="7" t="s">
        <v>8345</v>
      </c>
      <c r="F152" s="10" t="str">
        <f t="shared" si="8"/>
        <v>insert into ins_premium_det (premium_rcv_code,assorted_code, rec_amount,premium_rcv_detail_code,remaining_amt, payrec, mode_code,coinsurance_code,class_cd,it_remarks) values</v>
      </c>
      <c r="G152" s="11" t="str">
        <f t="shared" si="10"/>
        <v>('28Nov240101','040000131781','-1',(select max(to_number(i.premium_rcv_detail_code))+1
from ins_premium_det i),'-1','-1','02', '11000003','00','Request by Mr. Omair Ali 29-Nov-2024');</v>
      </c>
      <c r="H152" s="12" t="str">
        <f t="shared" si="11"/>
        <v>insert into ins_premium_det (premium_rcv_code,assorted_code, rec_amount,premium_rcv_detail_code,remaining_amt, payrec, mode_code,coinsurance_code,class_cd,it_remarks) values('28Nov240101','040000131781','-1',(select max(to_number(i.premium_rcv_detail_code))+1
from ins_premium_det i),'-1','-1','02', '11000003','00','Request by Mr. Omair Ali 29-Nov-2024');</v>
      </c>
    </row>
    <row r="153" spans="1:8" ht="105" x14ac:dyDescent="0.25">
      <c r="A153" t="s">
        <v>153</v>
      </c>
      <c r="B153" s="8" t="str">
        <f>VLOOKUP(A153,assortedcode!B:C,2,0)</f>
        <v>040000177904</v>
      </c>
      <c r="C153" s="1">
        <v>-1</v>
      </c>
      <c r="D153" s="9">
        <f t="shared" si="9"/>
        <v>-1</v>
      </c>
      <c r="E153" s="7" t="s">
        <v>8345</v>
      </c>
      <c r="F153" s="10" t="str">
        <f t="shared" si="8"/>
        <v>insert into ins_premium_det (premium_rcv_code,assorted_code, rec_amount,premium_rcv_detail_code,remaining_amt, payrec, mode_code,coinsurance_code,class_cd,it_remarks) values</v>
      </c>
      <c r="G153" s="11" t="str">
        <f t="shared" si="10"/>
        <v>('28Nov240101','040000177904','-1',(select max(to_number(i.premium_rcv_detail_code))+1
from ins_premium_det i),'-1','-1','02', '11000003','00','Request by Mr. Omair Ali 29-Nov-2024');</v>
      </c>
      <c r="H153" s="12" t="str">
        <f t="shared" si="11"/>
        <v>insert into ins_premium_det (premium_rcv_code,assorted_code, rec_amount,premium_rcv_detail_code,remaining_amt, payrec, mode_code,coinsurance_code,class_cd,it_remarks) values('28Nov240101','040000177904','-1',(select max(to_number(i.premium_rcv_detail_code))+1
from ins_premium_det i),'-1','-1','02', '11000003','00','Request by Mr. Omair Ali 29-Nov-2024');</v>
      </c>
    </row>
    <row r="154" spans="1:8" ht="105" x14ac:dyDescent="0.25">
      <c r="A154" t="s">
        <v>154</v>
      </c>
      <c r="B154" s="8" t="str">
        <f>VLOOKUP(A154,assortedcode!B:C,2,0)</f>
        <v>040000138485</v>
      </c>
      <c r="C154" s="1">
        <v>-1</v>
      </c>
      <c r="D154" s="9">
        <f t="shared" si="9"/>
        <v>-1</v>
      </c>
      <c r="E154" s="7" t="s">
        <v>8345</v>
      </c>
      <c r="F154" s="10" t="str">
        <f t="shared" si="8"/>
        <v>insert into ins_premium_det (premium_rcv_code,assorted_code, rec_amount,premium_rcv_detail_code,remaining_amt, payrec, mode_code,coinsurance_code,class_cd,it_remarks) values</v>
      </c>
      <c r="G154" s="11" t="str">
        <f t="shared" si="10"/>
        <v>('28Nov240101','040000138485','-1',(select max(to_number(i.premium_rcv_detail_code))+1
from ins_premium_det i),'-1','-1','02', '11000003','00','Request by Mr. Omair Ali 29-Nov-2024');</v>
      </c>
      <c r="H154" s="12" t="str">
        <f t="shared" si="11"/>
        <v>insert into ins_premium_det (premium_rcv_code,assorted_code, rec_amount,premium_rcv_detail_code,remaining_amt, payrec, mode_code,coinsurance_code,class_cd,it_remarks) values('28Nov240101','040000138485','-1',(select max(to_number(i.premium_rcv_detail_code))+1
from ins_premium_det i),'-1','-1','02', '11000003','00','Request by Mr. Omair Ali 29-Nov-2024');</v>
      </c>
    </row>
    <row r="155" spans="1:8" ht="105" x14ac:dyDescent="0.25">
      <c r="A155" t="s">
        <v>155</v>
      </c>
      <c r="B155" s="8" t="str">
        <f>VLOOKUP(A155,assortedcode!B:C,2,0)</f>
        <v>070000133504</v>
      </c>
      <c r="C155" s="1">
        <v>-1</v>
      </c>
      <c r="D155" s="9">
        <f t="shared" si="9"/>
        <v>-1</v>
      </c>
      <c r="E155" s="7" t="s">
        <v>8345</v>
      </c>
      <c r="F155" s="10" t="str">
        <f t="shared" si="8"/>
        <v>insert into ins_premium_det (premium_rcv_code,assorted_code, rec_amount,premium_rcv_detail_code,remaining_amt, payrec, mode_code,coinsurance_code,class_cd,it_remarks) values</v>
      </c>
      <c r="G155" s="11" t="str">
        <f t="shared" si="10"/>
        <v>('28Nov240101','070000133504','-1',(select max(to_number(i.premium_rcv_detail_code))+1
from ins_premium_det i),'-1','-1','02', '11000003','00','Request by Mr. Omair Ali 29-Nov-2024');</v>
      </c>
      <c r="H155" s="12" t="str">
        <f t="shared" si="11"/>
        <v>insert into ins_premium_det (premium_rcv_code,assorted_code, rec_amount,premium_rcv_detail_code,remaining_amt, payrec, mode_code,coinsurance_code,class_cd,it_remarks) values('28Nov240101','070000133504','-1',(select max(to_number(i.premium_rcv_detail_code))+1
from ins_premium_det i),'-1','-1','02', '11000003','00','Request by Mr. Omair Ali 29-Nov-2024');</v>
      </c>
    </row>
    <row r="156" spans="1:8" ht="105" x14ac:dyDescent="0.25">
      <c r="A156" t="s">
        <v>156</v>
      </c>
      <c r="B156" s="8" t="str">
        <f>VLOOKUP(A156,assortedcode!B:C,2,0)</f>
        <v>040000140961</v>
      </c>
      <c r="C156" s="1">
        <v>-1</v>
      </c>
      <c r="D156" s="9">
        <f t="shared" si="9"/>
        <v>-1</v>
      </c>
      <c r="E156" s="7" t="s">
        <v>8345</v>
      </c>
      <c r="F156" s="10" t="str">
        <f t="shared" si="8"/>
        <v>insert into ins_premium_det (premium_rcv_code,assorted_code, rec_amount,premium_rcv_detail_code,remaining_amt, payrec, mode_code,coinsurance_code,class_cd,it_remarks) values</v>
      </c>
      <c r="G156" s="11" t="str">
        <f t="shared" si="10"/>
        <v>('28Nov240101','040000140961','-1',(select max(to_number(i.premium_rcv_detail_code))+1
from ins_premium_det i),'-1','-1','02', '11000003','00','Request by Mr. Omair Ali 29-Nov-2024');</v>
      </c>
      <c r="H156" s="12" t="str">
        <f t="shared" si="11"/>
        <v>insert into ins_premium_det (premium_rcv_code,assorted_code, rec_amount,premium_rcv_detail_code,remaining_amt, payrec, mode_code,coinsurance_code,class_cd,it_remarks) values('28Nov240101','040000140961','-1',(select max(to_number(i.premium_rcv_detail_code))+1
from ins_premium_det i),'-1','-1','02', '11000003','00','Request by Mr. Omair Ali 29-Nov-2024');</v>
      </c>
    </row>
    <row r="157" spans="1:8" ht="105" x14ac:dyDescent="0.25">
      <c r="A157" t="s">
        <v>157</v>
      </c>
      <c r="B157" s="8" t="str">
        <f>VLOOKUP(A157,assortedcode!B:C,2,0)</f>
        <v>040000176950</v>
      </c>
      <c r="C157" s="1">
        <v>-1</v>
      </c>
      <c r="D157" s="9">
        <f t="shared" si="9"/>
        <v>-1</v>
      </c>
      <c r="E157" s="7" t="s">
        <v>8345</v>
      </c>
      <c r="F157" s="10" t="str">
        <f t="shared" si="8"/>
        <v>insert into ins_premium_det (premium_rcv_code,assorted_code, rec_amount,premium_rcv_detail_code,remaining_amt, payrec, mode_code,coinsurance_code,class_cd,it_remarks) values</v>
      </c>
      <c r="G157" s="11" t="str">
        <f t="shared" si="10"/>
        <v>('28Nov240101','040000176950','-1',(select max(to_number(i.premium_rcv_detail_code))+1
from ins_premium_det i),'-1','-1','02', '11000003','00','Request by Mr. Omair Ali 29-Nov-2024');</v>
      </c>
      <c r="H157" s="12" t="str">
        <f t="shared" si="11"/>
        <v>insert into ins_premium_det (premium_rcv_code,assorted_code, rec_amount,premium_rcv_detail_code,remaining_amt, payrec, mode_code,coinsurance_code,class_cd,it_remarks) values('28Nov240101','040000176950','-1',(select max(to_number(i.premium_rcv_detail_code))+1
from ins_premium_det i),'-1','-1','02', '11000003','00','Request by Mr. Omair Ali 29-Nov-2024');</v>
      </c>
    </row>
    <row r="158" spans="1:8" ht="105" x14ac:dyDescent="0.25">
      <c r="A158" t="s">
        <v>158</v>
      </c>
      <c r="B158" s="8" t="str">
        <f>VLOOKUP(A158,assortedcode!B:C,2,0)</f>
        <v>040000140973</v>
      </c>
      <c r="C158" s="1">
        <v>-1</v>
      </c>
      <c r="D158" s="9">
        <f t="shared" si="9"/>
        <v>-1</v>
      </c>
      <c r="E158" s="7" t="s">
        <v>8345</v>
      </c>
      <c r="F158" s="10" t="str">
        <f t="shared" si="8"/>
        <v>insert into ins_premium_det (premium_rcv_code,assorted_code, rec_amount,premium_rcv_detail_code,remaining_amt, payrec, mode_code,coinsurance_code,class_cd,it_remarks) values</v>
      </c>
      <c r="G158" s="11" t="str">
        <f t="shared" si="10"/>
        <v>('28Nov240101','040000140973','-1',(select max(to_number(i.premium_rcv_detail_code))+1
from ins_premium_det i),'-1','-1','02', '11000003','00','Request by Mr. Omair Ali 29-Nov-2024');</v>
      </c>
      <c r="H158" s="12" t="str">
        <f t="shared" si="11"/>
        <v>insert into ins_premium_det (premium_rcv_code,assorted_code, rec_amount,premium_rcv_detail_code,remaining_amt, payrec, mode_code,coinsurance_code,class_cd,it_remarks) values('28Nov240101','040000140973','-1',(select max(to_number(i.premium_rcv_detail_code))+1
from ins_premium_det i),'-1','-1','02', '11000003','00','Request by Mr. Omair Ali 29-Nov-2024');</v>
      </c>
    </row>
    <row r="159" spans="1:8" ht="105" x14ac:dyDescent="0.25">
      <c r="A159" t="s">
        <v>159</v>
      </c>
      <c r="B159" s="8" t="str">
        <f>VLOOKUP(A159,assortedcode!B:C,2,0)</f>
        <v>070000133569</v>
      </c>
      <c r="C159" s="1">
        <v>-1</v>
      </c>
      <c r="D159" s="9">
        <f t="shared" si="9"/>
        <v>-1</v>
      </c>
      <c r="E159" s="7" t="s">
        <v>8345</v>
      </c>
      <c r="F159" s="10" t="str">
        <f t="shared" si="8"/>
        <v>insert into ins_premium_det (premium_rcv_code,assorted_code, rec_amount,premium_rcv_detail_code,remaining_amt, payrec, mode_code,coinsurance_code,class_cd,it_remarks) values</v>
      </c>
      <c r="G159" s="11" t="str">
        <f t="shared" si="10"/>
        <v>('28Nov240101','070000133569','-1',(select max(to_number(i.premium_rcv_detail_code))+1
from ins_premium_det i),'-1','-1','02', '11000003','00','Request by Mr. Omair Ali 29-Nov-2024');</v>
      </c>
      <c r="H159" s="12" t="str">
        <f t="shared" si="11"/>
        <v>insert into ins_premium_det (premium_rcv_code,assorted_code, rec_amount,premium_rcv_detail_code,remaining_amt, payrec, mode_code,coinsurance_code,class_cd,it_remarks) values('28Nov240101','070000133569','-1',(select max(to_number(i.premium_rcv_detail_code))+1
from ins_premium_det i),'-1','-1','02', '11000003','00','Request by Mr. Omair Ali 29-Nov-2024');</v>
      </c>
    </row>
    <row r="160" spans="1:8" ht="105" x14ac:dyDescent="0.25">
      <c r="A160" t="s">
        <v>160</v>
      </c>
      <c r="B160" s="8" t="str">
        <f>VLOOKUP(A160,assortedcode!B:C,2,0)</f>
        <v>040000141659</v>
      </c>
      <c r="C160" s="1">
        <v>-1</v>
      </c>
      <c r="D160" s="9">
        <f t="shared" si="9"/>
        <v>-1</v>
      </c>
      <c r="E160" s="7" t="s">
        <v>8345</v>
      </c>
      <c r="F160" s="10" t="str">
        <f t="shared" si="8"/>
        <v>insert into ins_premium_det (premium_rcv_code,assorted_code, rec_amount,premium_rcv_detail_code,remaining_amt, payrec, mode_code,coinsurance_code,class_cd,it_remarks) values</v>
      </c>
      <c r="G160" s="11" t="str">
        <f t="shared" si="10"/>
        <v>('28Nov240101','040000141659','-1',(select max(to_number(i.premium_rcv_detail_code))+1
from ins_premium_det i),'-1','-1','02', '11000003','00','Request by Mr. Omair Ali 29-Nov-2024');</v>
      </c>
      <c r="H160" s="12" t="str">
        <f t="shared" si="11"/>
        <v>insert into ins_premium_det (premium_rcv_code,assorted_code, rec_amount,premium_rcv_detail_code,remaining_amt, payrec, mode_code,coinsurance_code,class_cd,it_remarks) values('28Nov240101','040000141659','-1',(select max(to_number(i.premium_rcv_detail_code))+1
from ins_premium_det i),'-1','-1','02', '11000003','00','Request by Mr. Omair Ali 29-Nov-2024');</v>
      </c>
    </row>
    <row r="161" spans="1:8" ht="105" x14ac:dyDescent="0.25">
      <c r="A161" t="s">
        <v>161</v>
      </c>
      <c r="B161" s="8" t="str">
        <f>VLOOKUP(A161,assortedcode!B:C,2,0)</f>
        <v>070000133466</v>
      </c>
      <c r="C161" s="1">
        <v>-1</v>
      </c>
      <c r="D161" s="9">
        <f t="shared" si="9"/>
        <v>-1</v>
      </c>
      <c r="E161" s="7" t="s">
        <v>8345</v>
      </c>
      <c r="F161" s="10" t="str">
        <f t="shared" si="8"/>
        <v>insert into ins_premium_det (premium_rcv_code,assorted_code, rec_amount,premium_rcv_detail_code,remaining_amt, payrec, mode_code,coinsurance_code,class_cd,it_remarks) values</v>
      </c>
      <c r="G161" s="11" t="str">
        <f t="shared" si="10"/>
        <v>('28Nov240101','070000133466','-1',(select max(to_number(i.premium_rcv_detail_code))+1
from ins_premium_det i),'-1','-1','02', '11000003','00','Request by Mr. Omair Ali 29-Nov-2024');</v>
      </c>
      <c r="H161" s="12" t="str">
        <f t="shared" si="11"/>
        <v>insert into ins_premium_det (premium_rcv_code,assorted_code, rec_amount,premium_rcv_detail_code,remaining_amt, payrec, mode_code,coinsurance_code,class_cd,it_remarks) values('28Nov240101','070000133466','-1',(select max(to_number(i.premium_rcv_detail_code))+1
from ins_premium_det i),'-1','-1','02', '11000003','00','Request by Mr. Omair Ali 29-Nov-2024');</v>
      </c>
    </row>
    <row r="162" spans="1:8" ht="105" x14ac:dyDescent="0.25">
      <c r="A162" t="s">
        <v>162</v>
      </c>
      <c r="B162" s="8" t="str">
        <f>VLOOKUP(A162,assortedcode!B:C,2,0)</f>
        <v>040000141999</v>
      </c>
      <c r="C162" s="1">
        <v>-1</v>
      </c>
      <c r="D162" s="9">
        <f t="shared" si="9"/>
        <v>-1</v>
      </c>
      <c r="E162" s="7" t="s">
        <v>8345</v>
      </c>
      <c r="F162" s="10" t="str">
        <f t="shared" si="8"/>
        <v>insert into ins_premium_det (premium_rcv_code,assorted_code, rec_amount,premium_rcv_detail_code,remaining_amt, payrec, mode_code,coinsurance_code,class_cd,it_remarks) values</v>
      </c>
      <c r="G162" s="11" t="str">
        <f t="shared" si="10"/>
        <v>('28Nov240101','040000141999','-1',(select max(to_number(i.premium_rcv_detail_code))+1
from ins_premium_det i),'-1','-1','02', '11000003','00','Request by Mr. Omair Ali 29-Nov-2024');</v>
      </c>
      <c r="H162" s="12" t="str">
        <f t="shared" si="11"/>
        <v>insert into ins_premium_det (premium_rcv_code,assorted_code, rec_amount,premium_rcv_detail_code,remaining_amt, payrec, mode_code,coinsurance_code,class_cd,it_remarks) values('28Nov240101','040000141999','-1',(select max(to_number(i.premium_rcv_detail_code))+1
from ins_premium_det i),'-1','-1','02', '11000003','00','Request by Mr. Omair Ali 29-Nov-2024');</v>
      </c>
    </row>
    <row r="163" spans="1:8" ht="105" x14ac:dyDescent="0.25">
      <c r="A163" t="s">
        <v>163</v>
      </c>
      <c r="B163" s="8" t="str">
        <f>VLOOKUP(A163,assortedcode!B:C,2,0)</f>
        <v>040000141779</v>
      </c>
      <c r="C163" s="1">
        <v>-1</v>
      </c>
      <c r="D163" s="9">
        <f t="shared" si="9"/>
        <v>-1</v>
      </c>
      <c r="E163" s="7" t="s">
        <v>8345</v>
      </c>
      <c r="F163" s="10" t="str">
        <f t="shared" si="8"/>
        <v>insert into ins_premium_det (premium_rcv_code,assorted_code, rec_amount,premium_rcv_detail_code,remaining_amt, payrec, mode_code,coinsurance_code,class_cd,it_remarks) values</v>
      </c>
      <c r="G163" s="11" t="str">
        <f t="shared" si="10"/>
        <v>('28Nov240101','040000141779','-1',(select max(to_number(i.premium_rcv_detail_code))+1
from ins_premium_det i),'-1','-1','02', '11000003','00','Request by Mr. Omair Ali 29-Nov-2024');</v>
      </c>
      <c r="H163" s="12" t="str">
        <f t="shared" si="11"/>
        <v>insert into ins_premium_det (premium_rcv_code,assorted_code, rec_amount,premium_rcv_detail_code,remaining_amt, payrec, mode_code,coinsurance_code,class_cd,it_remarks) values('28Nov240101','040000141779','-1',(select max(to_number(i.premium_rcv_detail_code))+1
from ins_premium_det i),'-1','-1','02', '11000003','00','Request by Mr. Omair Ali 29-Nov-2024');</v>
      </c>
    </row>
    <row r="164" spans="1:8" ht="105" x14ac:dyDescent="0.25">
      <c r="A164" t="s">
        <v>164</v>
      </c>
      <c r="B164" s="8" t="str">
        <f>VLOOKUP(A164,assortedcode!B:C,2,0)</f>
        <v>040000142038</v>
      </c>
      <c r="C164" s="1">
        <v>-1</v>
      </c>
      <c r="D164" s="9">
        <f t="shared" si="9"/>
        <v>-1</v>
      </c>
      <c r="E164" s="7" t="s">
        <v>8345</v>
      </c>
      <c r="F164" s="10" t="str">
        <f t="shared" si="8"/>
        <v>insert into ins_premium_det (premium_rcv_code,assorted_code, rec_amount,premium_rcv_detail_code,remaining_amt, payrec, mode_code,coinsurance_code,class_cd,it_remarks) values</v>
      </c>
      <c r="G164" s="11" t="str">
        <f t="shared" si="10"/>
        <v>('28Nov240101','040000142038','-1',(select max(to_number(i.premium_rcv_detail_code))+1
from ins_premium_det i),'-1','-1','02', '11000003','00','Request by Mr. Omair Ali 29-Nov-2024');</v>
      </c>
      <c r="H164" s="12" t="str">
        <f t="shared" si="11"/>
        <v>insert into ins_premium_det (premium_rcv_code,assorted_code, rec_amount,premium_rcv_detail_code,remaining_amt, payrec, mode_code,coinsurance_code,class_cd,it_remarks) values('28Nov240101','040000142038','-1',(select max(to_number(i.premium_rcv_detail_code))+1
from ins_premium_det i),'-1','-1','02', '11000003','00','Request by Mr. Omair Ali 29-Nov-2024');</v>
      </c>
    </row>
    <row r="165" spans="1:8" ht="105" x14ac:dyDescent="0.25">
      <c r="A165" t="s">
        <v>165</v>
      </c>
      <c r="B165" s="8" t="str">
        <f>VLOOKUP(A165,assortedcode!B:C,2,0)</f>
        <v>040000141941</v>
      </c>
      <c r="C165" s="1">
        <v>-1</v>
      </c>
      <c r="D165" s="9">
        <f t="shared" si="9"/>
        <v>-1</v>
      </c>
      <c r="E165" s="7" t="s">
        <v>8345</v>
      </c>
      <c r="F165" s="10" t="str">
        <f t="shared" si="8"/>
        <v>insert into ins_premium_det (premium_rcv_code,assorted_code, rec_amount,premium_rcv_detail_code,remaining_amt, payrec, mode_code,coinsurance_code,class_cd,it_remarks) values</v>
      </c>
      <c r="G165" s="11" t="str">
        <f t="shared" si="10"/>
        <v>('28Nov240101','040000141941','-1',(select max(to_number(i.premium_rcv_detail_code))+1
from ins_premium_det i),'-1','-1','02', '11000003','00','Request by Mr. Omair Ali 29-Nov-2024');</v>
      </c>
      <c r="H165" s="12" t="str">
        <f t="shared" si="11"/>
        <v>insert into ins_premium_det (premium_rcv_code,assorted_code, rec_amount,premium_rcv_detail_code,remaining_amt, payrec, mode_code,coinsurance_code,class_cd,it_remarks) values('28Nov240101','040000141941','-1',(select max(to_number(i.premium_rcv_detail_code))+1
from ins_premium_det i),'-1','-1','02', '11000003','00','Request by Mr. Omair Ali 29-Nov-2024');</v>
      </c>
    </row>
    <row r="166" spans="1:8" ht="105" x14ac:dyDescent="0.25">
      <c r="A166" t="s">
        <v>166</v>
      </c>
      <c r="B166" s="8" t="str">
        <f>VLOOKUP(A166,assortedcode!B:C,2,0)</f>
        <v>040000140853</v>
      </c>
      <c r="C166" s="1">
        <v>-1</v>
      </c>
      <c r="D166" s="9">
        <f t="shared" si="9"/>
        <v>-1</v>
      </c>
      <c r="E166" s="7" t="s">
        <v>8345</v>
      </c>
      <c r="F166" s="10" t="str">
        <f t="shared" si="8"/>
        <v>insert into ins_premium_det (premium_rcv_code,assorted_code, rec_amount,premium_rcv_detail_code,remaining_amt, payrec, mode_code,coinsurance_code,class_cd,it_remarks) values</v>
      </c>
      <c r="G166" s="11" t="str">
        <f t="shared" si="10"/>
        <v>('28Nov240101','040000140853','-1',(select max(to_number(i.premium_rcv_detail_code))+1
from ins_premium_det i),'-1','-1','02', '11000003','00','Request by Mr. Omair Ali 29-Nov-2024');</v>
      </c>
      <c r="H166" s="12" t="str">
        <f t="shared" si="11"/>
        <v>insert into ins_premium_det (premium_rcv_code,assorted_code, rec_amount,premium_rcv_detail_code,remaining_amt, payrec, mode_code,coinsurance_code,class_cd,it_remarks) values('28Nov240101','040000140853','-1',(select max(to_number(i.premium_rcv_detail_code))+1
from ins_premium_det i),'-1','-1','02', '11000003','00','Request by Mr. Omair Ali 29-Nov-2024');</v>
      </c>
    </row>
    <row r="167" spans="1:8" ht="105" x14ac:dyDescent="0.25">
      <c r="A167" t="s">
        <v>167</v>
      </c>
      <c r="B167" s="8" t="str">
        <f>VLOOKUP(A167,assortedcode!B:C,2,0)</f>
        <v>040000142031</v>
      </c>
      <c r="C167" s="1">
        <v>-1</v>
      </c>
      <c r="D167" s="9">
        <f t="shared" si="9"/>
        <v>-1</v>
      </c>
      <c r="E167" s="7" t="s">
        <v>8345</v>
      </c>
      <c r="F167" s="10" t="str">
        <f t="shared" si="8"/>
        <v>insert into ins_premium_det (premium_rcv_code,assorted_code, rec_amount,premium_rcv_detail_code,remaining_amt, payrec, mode_code,coinsurance_code,class_cd,it_remarks) values</v>
      </c>
      <c r="G167" s="11" t="str">
        <f t="shared" si="10"/>
        <v>('28Nov240101','040000142031','-1',(select max(to_number(i.premium_rcv_detail_code))+1
from ins_premium_det i),'-1','-1','02', '11000003','00','Request by Mr. Omair Ali 29-Nov-2024');</v>
      </c>
      <c r="H167" s="12" t="str">
        <f t="shared" si="11"/>
        <v>insert into ins_premium_det (premium_rcv_code,assorted_code, rec_amount,premium_rcv_detail_code,remaining_amt, payrec, mode_code,coinsurance_code,class_cd,it_remarks) values('28Nov240101','040000142031','-1',(select max(to_number(i.premium_rcv_detail_code))+1
from ins_premium_det i),'-1','-1','02', '11000003','00','Request by Mr. Omair Ali 29-Nov-2024');</v>
      </c>
    </row>
    <row r="168" spans="1:8" ht="105" x14ac:dyDescent="0.25">
      <c r="A168" t="s">
        <v>168</v>
      </c>
      <c r="B168" s="8" t="str">
        <f>VLOOKUP(A168,assortedcode!B:C,2,0)</f>
        <v>040000110044</v>
      </c>
      <c r="C168" s="1">
        <v>-1</v>
      </c>
      <c r="D168" s="9">
        <f t="shared" si="9"/>
        <v>-1</v>
      </c>
      <c r="E168" s="7" t="s">
        <v>8345</v>
      </c>
      <c r="F168" s="10" t="str">
        <f t="shared" si="8"/>
        <v>insert into ins_premium_det (premium_rcv_code,assorted_code, rec_amount,premium_rcv_detail_code,remaining_amt, payrec, mode_code,coinsurance_code,class_cd,it_remarks) values</v>
      </c>
      <c r="G168" s="11" t="str">
        <f t="shared" si="10"/>
        <v>('28Nov240101','040000110044','-1',(select max(to_number(i.premium_rcv_detail_code))+1
from ins_premium_det i),'-1','-1','02', '11000003','00','Request by Mr. Omair Ali 29-Nov-2024');</v>
      </c>
      <c r="H168" s="12" t="str">
        <f t="shared" si="11"/>
        <v>insert into ins_premium_det (premium_rcv_code,assorted_code, rec_amount,premium_rcv_detail_code,remaining_amt, payrec, mode_code,coinsurance_code,class_cd,it_remarks) values('28Nov240101','040000110044','-1',(select max(to_number(i.premium_rcv_detail_code))+1
from ins_premium_det i),'-1','-1','02', '11000003','00','Request by Mr. Omair Ali 29-Nov-2024');</v>
      </c>
    </row>
    <row r="169" spans="1:8" ht="105" x14ac:dyDescent="0.25">
      <c r="A169" t="s">
        <v>169</v>
      </c>
      <c r="B169" s="8" t="str">
        <f>VLOOKUP(A169,assortedcode!B:C,2,0)</f>
        <v>040000142407</v>
      </c>
      <c r="C169" s="1">
        <v>-1</v>
      </c>
      <c r="D169" s="9">
        <f t="shared" si="9"/>
        <v>-1</v>
      </c>
      <c r="E169" s="7" t="s">
        <v>8345</v>
      </c>
      <c r="F169" s="10" t="str">
        <f t="shared" si="8"/>
        <v>insert into ins_premium_det (premium_rcv_code,assorted_code, rec_amount,premium_rcv_detail_code,remaining_amt, payrec, mode_code,coinsurance_code,class_cd,it_remarks) values</v>
      </c>
      <c r="G169" s="11" t="str">
        <f t="shared" si="10"/>
        <v>('28Nov240101','040000142407','-1',(select max(to_number(i.premium_rcv_detail_code))+1
from ins_premium_det i),'-1','-1','02', '11000003','00','Request by Mr. Omair Ali 29-Nov-2024');</v>
      </c>
      <c r="H169" s="12" t="str">
        <f t="shared" si="11"/>
        <v>insert into ins_premium_det (premium_rcv_code,assorted_code, rec_amount,premium_rcv_detail_code,remaining_amt, payrec, mode_code,coinsurance_code,class_cd,it_remarks) values('28Nov240101','040000142407','-1',(select max(to_number(i.premium_rcv_detail_code))+1
from ins_premium_det i),'-1','-1','02', '11000003','00','Request by Mr. Omair Ali 29-Nov-2024');</v>
      </c>
    </row>
    <row r="170" spans="1:8" ht="105" x14ac:dyDescent="0.25">
      <c r="A170" t="s">
        <v>170</v>
      </c>
      <c r="B170" s="8" t="str">
        <f>VLOOKUP(A170,assortedcode!B:C,2,0)</f>
        <v>040000113454</v>
      </c>
      <c r="C170" s="1">
        <v>-1</v>
      </c>
      <c r="D170" s="9">
        <f t="shared" si="9"/>
        <v>-1</v>
      </c>
      <c r="E170" s="7" t="s">
        <v>8345</v>
      </c>
      <c r="F170" s="10" t="str">
        <f t="shared" si="8"/>
        <v>insert into ins_premium_det (premium_rcv_code,assorted_code, rec_amount,premium_rcv_detail_code,remaining_amt, payrec, mode_code,coinsurance_code,class_cd,it_remarks) values</v>
      </c>
      <c r="G170" s="11" t="str">
        <f t="shared" si="10"/>
        <v>('28Nov240101','040000113454','-1',(select max(to_number(i.premium_rcv_detail_code))+1
from ins_premium_det i),'-1','-1','02', '11000003','00','Request by Mr. Omair Ali 29-Nov-2024');</v>
      </c>
      <c r="H170" s="12" t="str">
        <f t="shared" si="11"/>
        <v>insert into ins_premium_det (premium_rcv_code,assorted_code, rec_amount,premium_rcv_detail_code,remaining_amt, payrec, mode_code,coinsurance_code,class_cd,it_remarks) values('28Nov240101','040000113454','-1',(select max(to_number(i.premium_rcv_detail_code))+1
from ins_premium_det i),'-1','-1','02', '11000003','00','Request by Mr. Omair Ali 29-Nov-2024');</v>
      </c>
    </row>
    <row r="171" spans="1:8" ht="105" x14ac:dyDescent="0.25">
      <c r="A171" t="s">
        <v>171</v>
      </c>
      <c r="B171" s="8" t="str">
        <f>VLOOKUP(A171,assortedcode!B:C,2,0)</f>
        <v>040000142819</v>
      </c>
      <c r="C171" s="1">
        <v>-1</v>
      </c>
      <c r="D171" s="9">
        <f t="shared" si="9"/>
        <v>-1</v>
      </c>
      <c r="E171" s="7" t="s">
        <v>8345</v>
      </c>
      <c r="F171" s="10" t="str">
        <f t="shared" si="8"/>
        <v>insert into ins_premium_det (premium_rcv_code,assorted_code, rec_amount,premium_rcv_detail_code,remaining_amt, payrec, mode_code,coinsurance_code,class_cd,it_remarks) values</v>
      </c>
      <c r="G171" s="11" t="str">
        <f t="shared" si="10"/>
        <v>('28Nov240101','040000142819','-1',(select max(to_number(i.premium_rcv_detail_code))+1
from ins_premium_det i),'-1','-1','02', '11000003','00','Request by Mr. Omair Ali 29-Nov-2024');</v>
      </c>
      <c r="H171" s="12" t="str">
        <f t="shared" si="11"/>
        <v>insert into ins_premium_det (premium_rcv_code,assorted_code, rec_amount,premium_rcv_detail_code,remaining_amt, payrec, mode_code,coinsurance_code,class_cd,it_remarks) values('28Nov240101','040000142819','-1',(select max(to_number(i.premium_rcv_detail_code))+1
from ins_premium_det i),'-1','-1','02', '11000003','00','Request by Mr. Omair Ali 29-Nov-2024');</v>
      </c>
    </row>
    <row r="172" spans="1:8" ht="105" x14ac:dyDescent="0.25">
      <c r="A172" t="s">
        <v>172</v>
      </c>
      <c r="B172" s="8" t="str">
        <f>VLOOKUP(A172,assortedcode!B:C,2,0)</f>
        <v>040000123362</v>
      </c>
      <c r="C172" s="1">
        <v>-1</v>
      </c>
      <c r="D172" s="9">
        <f t="shared" si="9"/>
        <v>-1</v>
      </c>
      <c r="E172" s="7" t="s">
        <v>8345</v>
      </c>
      <c r="F172" s="10" t="str">
        <f t="shared" si="8"/>
        <v>insert into ins_premium_det (premium_rcv_code,assorted_code, rec_amount,premium_rcv_detail_code,remaining_amt, payrec, mode_code,coinsurance_code,class_cd,it_remarks) values</v>
      </c>
      <c r="G172" s="11" t="str">
        <f t="shared" si="10"/>
        <v>('28Nov240101','040000123362','-1',(select max(to_number(i.premium_rcv_detail_code))+1
from ins_premium_det i),'-1','-1','02', '11000003','00','Request by Mr. Omair Ali 29-Nov-2024');</v>
      </c>
      <c r="H172" s="12" t="str">
        <f t="shared" si="11"/>
        <v>insert into ins_premium_det (premium_rcv_code,assorted_code, rec_amount,premium_rcv_detail_code,remaining_amt, payrec, mode_code,coinsurance_code,class_cd,it_remarks) values('28Nov240101','040000123362','-1',(select max(to_number(i.premium_rcv_detail_code))+1
from ins_premium_det i),'-1','-1','02', '11000003','00','Request by Mr. Omair Ali 29-Nov-2024');</v>
      </c>
    </row>
    <row r="173" spans="1:8" ht="105" x14ac:dyDescent="0.25">
      <c r="A173" t="s">
        <v>173</v>
      </c>
      <c r="B173" s="8" t="str">
        <f>VLOOKUP(A173,assortedcode!B:C,2,0)</f>
        <v>040000142837</v>
      </c>
      <c r="C173" s="1">
        <v>-1</v>
      </c>
      <c r="D173" s="9">
        <f t="shared" si="9"/>
        <v>-1</v>
      </c>
      <c r="E173" s="7" t="s">
        <v>8345</v>
      </c>
      <c r="F173" s="10" t="str">
        <f t="shared" si="8"/>
        <v>insert into ins_premium_det (premium_rcv_code,assorted_code, rec_amount,premium_rcv_detail_code,remaining_amt, payrec, mode_code,coinsurance_code,class_cd,it_remarks) values</v>
      </c>
      <c r="G173" s="11" t="str">
        <f t="shared" si="10"/>
        <v>('28Nov240101','040000142837','-1',(select max(to_number(i.premium_rcv_detail_code))+1
from ins_premium_det i),'-1','-1','02', '11000003','00','Request by Mr. Omair Ali 29-Nov-2024');</v>
      </c>
      <c r="H173" s="12" t="str">
        <f t="shared" si="11"/>
        <v>insert into ins_premium_det (premium_rcv_code,assorted_code, rec_amount,premium_rcv_detail_code,remaining_amt, payrec, mode_code,coinsurance_code,class_cd,it_remarks) values('28Nov240101','040000142837','-1',(select max(to_number(i.premium_rcv_detail_code))+1
from ins_premium_det i),'-1','-1','02', '11000003','00','Request by Mr. Omair Ali 29-Nov-2024');</v>
      </c>
    </row>
    <row r="174" spans="1:8" ht="105" x14ac:dyDescent="0.25">
      <c r="A174" t="s">
        <v>174</v>
      </c>
      <c r="B174" s="8" t="str">
        <f>VLOOKUP(A174,assortedcode!B:C,2,0)</f>
        <v>040000125661</v>
      </c>
      <c r="C174" s="1">
        <v>-1</v>
      </c>
      <c r="D174" s="9">
        <f t="shared" si="9"/>
        <v>-1</v>
      </c>
      <c r="E174" s="7" t="s">
        <v>8345</v>
      </c>
      <c r="F174" s="10" t="str">
        <f t="shared" si="8"/>
        <v>insert into ins_premium_det (premium_rcv_code,assorted_code, rec_amount,premium_rcv_detail_code,remaining_amt, payrec, mode_code,coinsurance_code,class_cd,it_remarks) values</v>
      </c>
      <c r="G174" s="11" t="str">
        <f t="shared" si="10"/>
        <v>('28Nov240101','040000125661','-1',(select max(to_number(i.premium_rcv_detail_code))+1
from ins_premium_det i),'-1','-1','02', '11000003','00','Request by Mr. Omair Ali 29-Nov-2024');</v>
      </c>
      <c r="H174" s="12" t="str">
        <f t="shared" si="11"/>
        <v>insert into ins_premium_det (premium_rcv_code,assorted_code, rec_amount,premium_rcv_detail_code,remaining_amt, payrec, mode_code,coinsurance_code,class_cd,it_remarks) values('28Nov240101','040000125661','-1',(select max(to_number(i.premium_rcv_detail_code))+1
from ins_premium_det i),'-1','-1','02', '11000003','00','Request by Mr. Omair Ali 29-Nov-2024');</v>
      </c>
    </row>
    <row r="175" spans="1:8" ht="105" x14ac:dyDescent="0.25">
      <c r="A175" t="s">
        <v>175</v>
      </c>
      <c r="B175" s="8" t="str">
        <f>VLOOKUP(A175,assortedcode!B:C,2,0)</f>
        <v>040000142856</v>
      </c>
      <c r="C175" s="1">
        <v>-1</v>
      </c>
      <c r="D175" s="9">
        <f t="shared" si="9"/>
        <v>-1</v>
      </c>
      <c r="E175" s="7" t="s">
        <v>8345</v>
      </c>
      <c r="F175" s="10" t="str">
        <f t="shared" si="8"/>
        <v>insert into ins_premium_det (premium_rcv_code,assorted_code, rec_amount,premium_rcv_detail_code,remaining_amt, payrec, mode_code,coinsurance_code,class_cd,it_remarks) values</v>
      </c>
      <c r="G175" s="11" t="str">
        <f t="shared" si="10"/>
        <v>('28Nov240101','040000142856','-1',(select max(to_number(i.premium_rcv_detail_code))+1
from ins_premium_det i),'-1','-1','02', '11000003','00','Request by Mr. Omair Ali 29-Nov-2024');</v>
      </c>
      <c r="H175" s="12" t="str">
        <f t="shared" si="11"/>
        <v>insert into ins_premium_det (premium_rcv_code,assorted_code, rec_amount,premium_rcv_detail_code,remaining_amt, payrec, mode_code,coinsurance_code,class_cd,it_remarks) values('28Nov240101','040000142856','-1',(select max(to_number(i.premium_rcv_detail_code))+1
from ins_premium_det i),'-1','-1','02', '11000003','00','Request by Mr. Omair Ali 29-Nov-2024');</v>
      </c>
    </row>
    <row r="176" spans="1:8" ht="105" x14ac:dyDescent="0.25">
      <c r="A176" t="s">
        <v>176</v>
      </c>
      <c r="B176" s="8" t="str">
        <f>VLOOKUP(A176,assortedcode!B:C,2,0)</f>
        <v>040000125831</v>
      </c>
      <c r="C176" s="1">
        <v>-1</v>
      </c>
      <c r="D176" s="9">
        <f t="shared" si="9"/>
        <v>-1</v>
      </c>
      <c r="E176" s="7" t="s">
        <v>8345</v>
      </c>
      <c r="F176" s="10" t="str">
        <f t="shared" si="8"/>
        <v>insert into ins_premium_det (premium_rcv_code,assorted_code, rec_amount,premium_rcv_detail_code,remaining_amt, payrec, mode_code,coinsurance_code,class_cd,it_remarks) values</v>
      </c>
      <c r="G176" s="11" t="str">
        <f t="shared" si="10"/>
        <v>('28Nov240101','040000125831','-1',(select max(to_number(i.premium_rcv_detail_code))+1
from ins_premium_det i),'-1','-1','02', '11000003','00','Request by Mr. Omair Ali 29-Nov-2024');</v>
      </c>
      <c r="H176" s="12" t="str">
        <f t="shared" si="11"/>
        <v>insert into ins_premium_det (premium_rcv_code,assorted_code, rec_amount,premium_rcv_detail_code,remaining_amt, payrec, mode_code,coinsurance_code,class_cd,it_remarks) values('28Nov240101','040000125831','-1',(select max(to_number(i.premium_rcv_detail_code))+1
from ins_premium_det i),'-1','-1','02', '11000003','00','Request by Mr. Omair Ali 29-Nov-2024');</v>
      </c>
    </row>
    <row r="177" spans="1:8" ht="105" x14ac:dyDescent="0.25">
      <c r="A177" t="s">
        <v>177</v>
      </c>
      <c r="B177" s="8" t="str">
        <f>VLOOKUP(A177,assortedcode!B:C,2,0)</f>
        <v>040000142932</v>
      </c>
      <c r="C177" s="1">
        <v>-1</v>
      </c>
      <c r="D177" s="9">
        <f t="shared" si="9"/>
        <v>-1</v>
      </c>
      <c r="E177" s="7" t="s">
        <v>8345</v>
      </c>
      <c r="F177" s="10" t="str">
        <f t="shared" si="8"/>
        <v>insert into ins_premium_det (premium_rcv_code,assorted_code, rec_amount,premium_rcv_detail_code,remaining_amt, payrec, mode_code,coinsurance_code,class_cd,it_remarks) values</v>
      </c>
      <c r="G177" s="11" t="str">
        <f t="shared" si="10"/>
        <v>('28Nov240101','040000142932','-1',(select max(to_number(i.premium_rcv_detail_code))+1
from ins_premium_det i),'-1','-1','02', '11000003','00','Request by Mr. Omair Ali 29-Nov-2024');</v>
      </c>
      <c r="H177" s="12" t="str">
        <f t="shared" si="11"/>
        <v>insert into ins_premium_det (premium_rcv_code,assorted_code, rec_amount,premium_rcv_detail_code,remaining_amt, payrec, mode_code,coinsurance_code,class_cd,it_remarks) values('28Nov240101','040000142932','-1',(select max(to_number(i.premium_rcv_detail_code))+1
from ins_premium_det i),'-1','-1','02', '11000003','00','Request by Mr. Omair Ali 29-Nov-2024');</v>
      </c>
    </row>
    <row r="178" spans="1:8" ht="105" x14ac:dyDescent="0.25">
      <c r="A178" t="s">
        <v>178</v>
      </c>
      <c r="B178" s="8" t="str">
        <f>VLOOKUP(A178,assortedcode!B:C,2,0)</f>
        <v>040000126610</v>
      </c>
      <c r="C178" s="1">
        <v>-1</v>
      </c>
      <c r="D178" s="9">
        <f t="shared" si="9"/>
        <v>-1</v>
      </c>
      <c r="E178" s="7" t="s">
        <v>8345</v>
      </c>
      <c r="F178" s="10" t="str">
        <f t="shared" si="8"/>
        <v>insert into ins_premium_det (premium_rcv_code,assorted_code, rec_amount,premium_rcv_detail_code,remaining_amt, payrec, mode_code,coinsurance_code,class_cd,it_remarks) values</v>
      </c>
      <c r="G178" s="11" t="str">
        <f t="shared" si="10"/>
        <v>('28Nov240101','040000126610','-1',(select max(to_number(i.premium_rcv_detail_code))+1
from ins_premium_det i),'-1','-1','02', '11000003','00','Request by Mr. Omair Ali 29-Nov-2024');</v>
      </c>
      <c r="H178" s="12" t="str">
        <f t="shared" si="11"/>
        <v>insert into ins_premium_det (premium_rcv_code,assorted_code, rec_amount,premium_rcv_detail_code,remaining_amt, payrec, mode_code,coinsurance_code,class_cd,it_remarks) values('28Nov240101','040000126610','-1',(select max(to_number(i.premium_rcv_detail_code))+1
from ins_premium_det i),'-1','-1','02', '11000003','00','Request by Mr. Omair Ali 29-Nov-2024');</v>
      </c>
    </row>
    <row r="179" spans="1:8" ht="105" x14ac:dyDescent="0.25">
      <c r="A179" t="s">
        <v>179</v>
      </c>
      <c r="B179" s="8" t="str">
        <f>VLOOKUP(A179,assortedcode!B:C,2,0)</f>
        <v>040000143035</v>
      </c>
      <c r="C179" s="1">
        <v>-1</v>
      </c>
      <c r="D179" s="9">
        <f t="shared" si="9"/>
        <v>-1</v>
      </c>
      <c r="E179" s="7" t="s">
        <v>8345</v>
      </c>
      <c r="F179" s="10" t="str">
        <f t="shared" si="8"/>
        <v>insert into ins_premium_det (premium_rcv_code,assorted_code, rec_amount,premium_rcv_detail_code,remaining_amt, payrec, mode_code,coinsurance_code,class_cd,it_remarks) values</v>
      </c>
      <c r="G179" s="11" t="str">
        <f t="shared" si="10"/>
        <v>('28Nov240101','040000143035','-1',(select max(to_number(i.premium_rcv_detail_code))+1
from ins_premium_det i),'-1','-1','02', '11000003','00','Request by Mr. Omair Ali 29-Nov-2024');</v>
      </c>
      <c r="H179" s="12" t="str">
        <f t="shared" si="11"/>
        <v>insert into ins_premium_det (premium_rcv_code,assorted_code, rec_amount,premium_rcv_detail_code,remaining_amt, payrec, mode_code,coinsurance_code,class_cd,it_remarks) values('28Nov240101','040000143035','-1',(select max(to_number(i.premium_rcv_detail_code))+1
from ins_premium_det i),'-1','-1','02', '11000003','00','Request by Mr. Omair Ali 29-Nov-2024');</v>
      </c>
    </row>
    <row r="180" spans="1:8" ht="105" x14ac:dyDescent="0.25">
      <c r="A180" t="s">
        <v>180</v>
      </c>
      <c r="B180" s="8" t="str">
        <f>VLOOKUP(A180,assortedcode!B:C,2,0)</f>
        <v>040000126994</v>
      </c>
      <c r="C180" s="1">
        <v>-1</v>
      </c>
      <c r="D180" s="9">
        <f t="shared" si="9"/>
        <v>-1</v>
      </c>
      <c r="E180" s="7" t="s">
        <v>8345</v>
      </c>
      <c r="F180" s="10" t="str">
        <f t="shared" si="8"/>
        <v>insert into ins_premium_det (premium_rcv_code,assorted_code, rec_amount,premium_rcv_detail_code,remaining_amt, payrec, mode_code,coinsurance_code,class_cd,it_remarks) values</v>
      </c>
      <c r="G180" s="11" t="str">
        <f t="shared" si="10"/>
        <v>('28Nov240101','040000126994','-1',(select max(to_number(i.premium_rcv_detail_code))+1
from ins_premium_det i),'-1','-1','02', '11000003','00','Request by Mr. Omair Ali 29-Nov-2024');</v>
      </c>
      <c r="H180" s="12" t="str">
        <f t="shared" si="11"/>
        <v>insert into ins_premium_det (premium_rcv_code,assorted_code, rec_amount,premium_rcv_detail_code,remaining_amt, payrec, mode_code,coinsurance_code,class_cd,it_remarks) values('28Nov240101','040000126994','-1',(select max(to_number(i.premium_rcv_detail_code))+1
from ins_premium_det i),'-1','-1','02', '11000003','00','Request by Mr. Omair Ali 29-Nov-2024');</v>
      </c>
    </row>
    <row r="181" spans="1:8" ht="105" x14ac:dyDescent="0.25">
      <c r="A181" t="s">
        <v>181</v>
      </c>
      <c r="B181" s="8" t="str">
        <f>VLOOKUP(A181,assortedcode!B:C,2,0)</f>
        <v>040000143063</v>
      </c>
      <c r="C181" s="1">
        <v>-1</v>
      </c>
      <c r="D181" s="9">
        <f t="shared" si="9"/>
        <v>-1</v>
      </c>
      <c r="E181" s="7" t="s">
        <v>8345</v>
      </c>
      <c r="F181" s="10" t="str">
        <f t="shared" si="8"/>
        <v>insert into ins_premium_det (premium_rcv_code,assorted_code, rec_amount,premium_rcv_detail_code,remaining_amt, payrec, mode_code,coinsurance_code,class_cd,it_remarks) values</v>
      </c>
      <c r="G181" s="11" t="str">
        <f t="shared" si="10"/>
        <v>('28Nov240101','040000143063','-1',(select max(to_number(i.premium_rcv_detail_code))+1
from ins_premium_det i),'-1','-1','02', '11000003','00','Request by Mr. Omair Ali 29-Nov-2024');</v>
      </c>
      <c r="H181" s="12" t="str">
        <f t="shared" si="11"/>
        <v>insert into ins_premium_det (premium_rcv_code,assorted_code, rec_amount,premium_rcv_detail_code,remaining_amt, payrec, mode_code,coinsurance_code,class_cd,it_remarks) values('28Nov240101','040000143063','-1',(select max(to_number(i.premium_rcv_detail_code))+1
from ins_premium_det i),'-1','-1','02', '11000003','00','Request by Mr. Omair Ali 29-Nov-2024');</v>
      </c>
    </row>
    <row r="182" spans="1:8" ht="105" x14ac:dyDescent="0.25">
      <c r="A182" t="s">
        <v>182</v>
      </c>
      <c r="B182" s="8" t="str">
        <f>VLOOKUP(A182,assortedcode!B:C,2,0)</f>
        <v>040000130666</v>
      </c>
      <c r="C182" s="1">
        <v>-1</v>
      </c>
      <c r="D182" s="9">
        <f t="shared" si="9"/>
        <v>-1</v>
      </c>
      <c r="E182" s="7" t="s">
        <v>8345</v>
      </c>
      <c r="F182" s="10" t="str">
        <f t="shared" si="8"/>
        <v>insert into ins_premium_det (premium_rcv_code,assorted_code, rec_amount,premium_rcv_detail_code,remaining_amt, payrec, mode_code,coinsurance_code,class_cd,it_remarks) values</v>
      </c>
      <c r="G182" s="11" t="str">
        <f t="shared" si="10"/>
        <v>('28Nov240101','040000130666','-1',(select max(to_number(i.premium_rcv_detail_code))+1
from ins_premium_det i),'-1','-1','02', '11000003','00','Request by Mr. Omair Ali 29-Nov-2024');</v>
      </c>
      <c r="H182" s="12" t="str">
        <f t="shared" si="11"/>
        <v>insert into ins_premium_det (premium_rcv_code,assorted_code, rec_amount,premium_rcv_detail_code,remaining_amt, payrec, mode_code,coinsurance_code,class_cd,it_remarks) values('28Nov240101','040000130666','-1',(select max(to_number(i.premium_rcv_detail_code))+1
from ins_premium_det i),'-1','-1','02', '11000003','00','Request by Mr. Omair Ali 29-Nov-2024');</v>
      </c>
    </row>
    <row r="183" spans="1:8" ht="105" x14ac:dyDescent="0.25">
      <c r="A183" t="s">
        <v>183</v>
      </c>
      <c r="B183" s="8" t="str">
        <f>VLOOKUP(A183,assortedcode!B:C,2,0)</f>
        <v>040000143124</v>
      </c>
      <c r="C183" s="1">
        <v>-1</v>
      </c>
      <c r="D183" s="9">
        <f t="shared" si="9"/>
        <v>-1</v>
      </c>
      <c r="E183" s="7" t="s">
        <v>8345</v>
      </c>
      <c r="F183" s="10" t="str">
        <f t="shared" si="8"/>
        <v>insert into ins_premium_det (premium_rcv_code,assorted_code, rec_amount,premium_rcv_detail_code,remaining_amt, payrec, mode_code,coinsurance_code,class_cd,it_remarks) values</v>
      </c>
      <c r="G183" s="11" t="str">
        <f t="shared" si="10"/>
        <v>('28Nov240101','040000143124','-1',(select max(to_number(i.premium_rcv_detail_code))+1
from ins_premium_det i),'-1','-1','02', '11000003','00','Request by Mr. Omair Ali 29-Nov-2024');</v>
      </c>
      <c r="H183" s="12" t="str">
        <f t="shared" si="11"/>
        <v>insert into ins_premium_det (premium_rcv_code,assorted_code, rec_amount,premium_rcv_detail_code,remaining_amt, payrec, mode_code,coinsurance_code,class_cd,it_remarks) values('28Nov240101','040000143124','-1',(select max(to_number(i.premium_rcv_detail_code))+1
from ins_premium_det i),'-1','-1','02', '11000003','00','Request by Mr. Omair Ali 29-Nov-2024');</v>
      </c>
    </row>
    <row r="184" spans="1:8" ht="105" x14ac:dyDescent="0.25">
      <c r="A184" t="s">
        <v>184</v>
      </c>
      <c r="B184" s="8" t="str">
        <f>VLOOKUP(A184,assortedcode!B:C,2,0)</f>
        <v>040000130681</v>
      </c>
      <c r="C184" s="1">
        <v>-1</v>
      </c>
      <c r="D184" s="9">
        <f t="shared" si="9"/>
        <v>-1</v>
      </c>
      <c r="E184" s="7" t="s">
        <v>8345</v>
      </c>
      <c r="F184" s="10" t="str">
        <f t="shared" si="8"/>
        <v>insert into ins_premium_det (premium_rcv_code,assorted_code, rec_amount,premium_rcv_detail_code,remaining_amt, payrec, mode_code,coinsurance_code,class_cd,it_remarks) values</v>
      </c>
      <c r="G184" s="11" t="str">
        <f t="shared" si="10"/>
        <v>('28Nov240101','040000130681','-1',(select max(to_number(i.premium_rcv_detail_code))+1
from ins_premium_det i),'-1','-1','02', '11000003','00','Request by Mr. Omair Ali 29-Nov-2024');</v>
      </c>
      <c r="H184" s="12" t="str">
        <f t="shared" si="11"/>
        <v>insert into ins_premium_det (premium_rcv_code,assorted_code, rec_amount,premium_rcv_detail_code,remaining_amt, payrec, mode_code,coinsurance_code,class_cd,it_remarks) values('28Nov240101','040000130681','-1',(select max(to_number(i.premium_rcv_detail_code))+1
from ins_premium_det i),'-1','-1','02', '11000003','00','Request by Mr. Omair Ali 29-Nov-2024');</v>
      </c>
    </row>
    <row r="185" spans="1:8" ht="105" x14ac:dyDescent="0.25">
      <c r="A185" t="s">
        <v>185</v>
      </c>
      <c r="B185" s="8" t="str">
        <f>VLOOKUP(A185,assortedcode!B:C,2,0)</f>
        <v>040000144256</v>
      </c>
      <c r="C185" s="1">
        <v>-1</v>
      </c>
      <c r="D185" s="9">
        <f t="shared" si="9"/>
        <v>-1</v>
      </c>
      <c r="E185" s="7" t="s">
        <v>8345</v>
      </c>
      <c r="F185" s="10" t="str">
        <f t="shared" si="8"/>
        <v>insert into ins_premium_det (premium_rcv_code,assorted_code, rec_amount,premium_rcv_detail_code,remaining_amt, payrec, mode_code,coinsurance_code,class_cd,it_remarks) values</v>
      </c>
      <c r="G185" s="11" t="str">
        <f t="shared" si="10"/>
        <v>('28Nov240101','040000144256','-1',(select max(to_number(i.premium_rcv_detail_code))+1
from ins_premium_det i),'-1','-1','02', '11000003','00','Request by Mr. Omair Ali 29-Nov-2024');</v>
      </c>
      <c r="H185" s="12" t="str">
        <f t="shared" si="11"/>
        <v>insert into ins_premium_det (premium_rcv_code,assorted_code, rec_amount,premium_rcv_detail_code,remaining_amt, payrec, mode_code,coinsurance_code,class_cd,it_remarks) values('28Nov240101','040000144256','-1',(select max(to_number(i.premium_rcv_detail_code))+1
from ins_premium_det i),'-1','-1','02', '11000003','00','Request by Mr. Omair Ali 29-Nov-2024');</v>
      </c>
    </row>
    <row r="186" spans="1:8" ht="105" x14ac:dyDescent="0.25">
      <c r="A186" t="s">
        <v>186</v>
      </c>
      <c r="B186" s="8" t="str">
        <f>VLOOKUP(A186,assortedcode!B:C,2,0)</f>
        <v>040000131001</v>
      </c>
      <c r="C186" s="1">
        <v>-1</v>
      </c>
      <c r="D186" s="9">
        <f t="shared" si="9"/>
        <v>-1</v>
      </c>
      <c r="E186" s="7" t="s">
        <v>8345</v>
      </c>
      <c r="F186" s="10" t="str">
        <f t="shared" si="8"/>
        <v>insert into ins_premium_det (premium_rcv_code,assorted_code, rec_amount,premium_rcv_detail_code,remaining_amt, payrec, mode_code,coinsurance_code,class_cd,it_remarks) values</v>
      </c>
      <c r="G186" s="11" t="str">
        <f t="shared" si="10"/>
        <v>('28Nov240101','040000131001','-1',(select max(to_number(i.premium_rcv_detail_code))+1
from ins_premium_det i),'-1','-1','02', '11000003','00','Request by Mr. Omair Ali 29-Nov-2024');</v>
      </c>
      <c r="H186" s="12" t="str">
        <f t="shared" si="11"/>
        <v>insert into ins_premium_det (premium_rcv_code,assorted_code, rec_amount,premium_rcv_detail_code,remaining_amt, payrec, mode_code,coinsurance_code,class_cd,it_remarks) values('28Nov240101','040000131001','-1',(select max(to_number(i.premium_rcv_detail_code))+1
from ins_premium_det i),'-1','-1','02', '11000003','00','Request by Mr. Omair Ali 29-Nov-2024');</v>
      </c>
    </row>
    <row r="187" spans="1:8" ht="105" x14ac:dyDescent="0.25">
      <c r="A187" t="s">
        <v>187</v>
      </c>
      <c r="B187" s="8" t="str">
        <f>VLOOKUP(A187,assortedcode!B:C,2,0)</f>
        <v>040000144487</v>
      </c>
      <c r="C187" s="1">
        <v>-1</v>
      </c>
      <c r="D187" s="9">
        <f t="shared" si="9"/>
        <v>-1</v>
      </c>
      <c r="E187" s="7" t="s">
        <v>8345</v>
      </c>
      <c r="F187" s="10" t="str">
        <f t="shared" si="8"/>
        <v>insert into ins_premium_det (premium_rcv_code,assorted_code, rec_amount,premium_rcv_detail_code,remaining_amt, payrec, mode_code,coinsurance_code,class_cd,it_remarks) values</v>
      </c>
      <c r="G187" s="11" t="str">
        <f t="shared" si="10"/>
        <v>('28Nov240101','040000144487','-1',(select max(to_number(i.premium_rcv_detail_code))+1
from ins_premium_det i),'-1','-1','02', '11000003','00','Request by Mr. Omair Ali 29-Nov-2024');</v>
      </c>
      <c r="H187" s="12" t="str">
        <f t="shared" si="11"/>
        <v>insert into ins_premium_det (premium_rcv_code,assorted_code, rec_amount,premium_rcv_detail_code,remaining_amt, payrec, mode_code,coinsurance_code,class_cd,it_remarks) values('28Nov240101','040000144487','-1',(select max(to_number(i.premium_rcv_detail_code))+1
from ins_premium_det i),'-1','-1','02', '11000003','00','Request by Mr. Omair Ali 29-Nov-2024');</v>
      </c>
    </row>
    <row r="188" spans="1:8" ht="105" x14ac:dyDescent="0.25">
      <c r="A188" t="s">
        <v>188</v>
      </c>
      <c r="B188" s="8" t="str">
        <f>VLOOKUP(A188,assortedcode!B:C,2,0)</f>
        <v>040000131579</v>
      </c>
      <c r="C188" s="1">
        <v>-1</v>
      </c>
      <c r="D188" s="9">
        <f t="shared" si="9"/>
        <v>-1</v>
      </c>
      <c r="E188" s="7" t="s">
        <v>8345</v>
      </c>
      <c r="F188" s="10" t="str">
        <f t="shared" si="8"/>
        <v>insert into ins_premium_det (premium_rcv_code,assorted_code, rec_amount,premium_rcv_detail_code,remaining_amt, payrec, mode_code,coinsurance_code,class_cd,it_remarks) values</v>
      </c>
      <c r="G188" s="11" t="str">
        <f t="shared" si="10"/>
        <v>('28Nov240101','040000131579','-1',(select max(to_number(i.premium_rcv_detail_code))+1
from ins_premium_det i),'-1','-1','02', '11000003','00','Request by Mr. Omair Ali 29-Nov-2024');</v>
      </c>
      <c r="H188" s="12" t="str">
        <f t="shared" si="11"/>
        <v>insert into ins_premium_det (premium_rcv_code,assorted_code, rec_amount,premium_rcv_detail_code,remaining_amt, payrec, mode_code,coinsurance_code,class_cd,it_remarks) values('28Nov240101','040000131579','-1',(select max(to_number(i.premium_rcv_detail_code))+1
from ins_premium_det i),'-1','-1','02', '11000003','00','Request by Mr. Omair Ali 29-Nov-2024');</v>
      </c>
    </row>
    <row r="189" spans="1:8" ht="105" x14ac:dyDescent="0.25">
      <c r="A189" t="s">
        <v>189</v>
      </c>
      <c r="B189" s="8" t="str">
        <f>VLOOKUP(A189,assortedcode!B:C,2,0)</f>
        <v>040000144545</v>
      </c>
      <c r="C189" s="1">
        <v>-1</v>
      </c>
      <c r="D189" s="9">
        <f t="shared" si="9"/>
        <v>-1</v>
      </c>
      <c r="E189" s="7" t="s">
        <v>8345</v>
      </c>
      <c r="F189" s="10" t="str">
        <f t="shared" si="8"/>
        <v>insert into ins_premium_det (premium_rcv_code,assorted_code, rec_amount,premium_rcv_detail_code,remaining_amt, payrec, mode_code,coinsurance_code,class_cd,it_remarks) values</v>
      </c>
      <c r="G189" s="11" t="str">
        <f t="shared" si="10"/>
        <v>('28Nov240101','040000144545','-1',(select max(to_number(i.premium_rcv_detail_code))+1
from ins_premium_det i),'-1','-1','02', '11000003','00','Request by Mr. Omair Ali 29-Nov-2024');</v>
      </c>
      <c r="H189" s="12" t="str">
        <f t="shared" si="11"/>
        <v>insert into ins_premium_det (premium_rcv_code,assorted_code, rec_amount,premium_rcv_detail_code,remaining_amt, payrec, mode_code,coinsurance_code,class_cd,it_remarks) values('28Nov240101','040000144545','-1',(select max(to_number(i.premium_rcv_detail_code))+1
from ins_premium_det i),'-1','-1','02', '11000003','00','Request by Mr. Omair Ali 29-Nov-2024');</v>
      </c>
    </row>
    <row r="190" spans="1:8" ht="105" x14ac:dyDescent="0.25">
      <c r="A190" t="s">
        <v>190</v>
      </c>
      <c r="B190" s="8" t="str">
        <f>VLOOKUP(A190,assortedcode!B:C,2,0)</f>
        <v>040000131736</v>
      </c>
      <c r="C190" s="1">
        <v>-1</v>
      </c>
      <c r="D190" s="9">
        <f t="shared" si="9"/>
        <v>-1</v>
      </c>
      <c r="E190" s="7" t="s">
        <v>8345</v>
      </c>
      <c r="F190" s="10" t="str">
        <f t="shared" si="8"/>
        <v>insert into ins_premium_det (premium_rcv_code,assorted_code, rec_amount,premium_rcv_detail_code,remaining_amt, payrec, mode_code,coinsurance_code,class_cd,it_remarks) values</v>
      </c>
      <c r="G190" s="11" t="str">
        <f t="shared" si="10"/>
        <v>('28Nov240101','040000131736','-1',(select max(to_number(i.premium_rcv_detail_code))+1
from ins_premium_det i),'-1','-1','02', '11000003','00','Request by Mr. Omair Ali 29-Nov-2024');</v>
      </c>
      <c r="H190" s="12" t="str">
        <f t="shared" si="11"/>
        <v>insert into ins_premium_det (premium_rcv_code,assorted_code, rec_amount,premium_rcv_detail_code,remaining_amt, payrec, mode_code,coinsurance_code,class_cd,it_remarks) values('28Nov240101','040000131736','-1',(select max(to_number(i.premium_rcv_detail_code))+1
from ins_premium_det i),'-1','-1','02', '11000003','00','Request by Mr. Omair Ali 29-Nov-2024');</v>
      </c>
    </row>
    <row r="191" spans="1:8" ht="105" x14ac:dyDescent="0.25">
      <c r="A191" t="s">
        <v>191</v>
      </c>
      <c r="B191" s="8" t="str">
        <f>VLOOKUP(A191,assortedcode!B:C,2,0)</f>
        <v>040000145396</v>
      </c>
      <c r="C191" s="1">
        <v>-1</v>
      </c>
      <c r="D191" s="9">
        <f t="shared" si="9"/>
        <v>-1</v>
      </c>
      <c r="E191" s="7" t="s">
        <v>8345</v>
      </c>
      <c r="F191" s="10" t="str">
        <f t="shared" si="8"/>
        <v>insert into ins_premium_det (premium_rcv_code,assorted_code, rec_amount,premium_rcv_detail_code,remaining_amt, payrec, mode_code,coinsurance_code,class_cd,it_remarks) values</v>
      </c>
      <c r="G191" s="11" t="str">
        <f t="shared" si="10"/>
        <v>('28Nov240101','040000145396','-1',(select max(to_number(i.premium_rcv_detail_code))+1
from ins_premium_det i),'-1','-1','02', '11000003','00','Request by Mr. Omair Ali 29-Nov-2024');</v>
      </c>
      <c r="H191" s="12" t="str">
        <f t="shared" si="11"/>
        <v>insert into ins_premium_det (premium_rcv_code,assorted_code, rec_amount,premium_rcv_detail_code,remaining_amt, payrec, mode_code,coinsurance_code,class_cd,it_remarks) values('28Nov240101','040000145396','-1',(select max(to_number(i.premium_rcv_detail_code))+1
from ins_premium_det i),'-1','-1','02', '11000003','00','Request by Mr. Omair Ali 29-Nov-2024');</v>
      </c>
    </row>
    <row r="192" spans="1:8" ht="105" x14ac:dyDescent="0.25">
      <c r="A192" t="s">
        <v>192</v>
      </c>
      <c r="B192" s="8" t="str">
        <f>VLOOKUP(A192,assortedcode!B:C,2,0)</f>
        <v>040000131766</v>
      </c>
      <c r="C192" s="1">
        <v>-1</v>
      </c>
      <c r="D192" s="9">
        <f t="shared" si="9"/>
        <v>-1</v>
      </c>
      <c r="E192" s="7" t="s">
        <v>8345</v>
      </c>
      <c r="F192" s="10" t="str">
        <f t="shared" si="8"/>
        <v>insert into ins_premium_det (premium_rcv_code,assorted_code, rec_amount,premium_rcv_detail_code,remaining_amt, payrec, mode_code,coinsurance_code,class_cd,it_remarks) values</v>
      </c>
      <c r="G192" s="11" t="str">
        <f t="shared" si="10"/>
        <v>('28Nov240101','040000131766','-1',(select max(to_number(i.premium_rcv_detail_code))+1
from ins_premium_det i),'-1','-1','02', '11000003','00','Request by Mr. Omair Ali 29-Nov-2024');</v>
      </c>
      <c r="H192" s="12" t="str">
        <f t="shared" si="11"/>
        <v>insert into ins_premium_det (premium_rcv_code,assorted_code, rec_amount,premium_rcv_detail_code,remaining_amt, payrec, mode_code,coinsurance_code,class_cd,it_remarks) values('28Nov240101','040000131766','-1',(select max(to_number(i.premium_rcv_detail_code))+1
from ins_premium_det i),'-1','-1','02', '11000003','00','Request by Mr. Omair Ali 29-Nov-2024');</v>
      </c>
    </row>
    <row r="193" spans="1:8" ht="105" x14ac:dyDescent="0.25">
      <c r="A193" t="s">
        <v>193</v>
      </c>
      <c r="B193" s="8" t="str">
        <f>VLOOKUP(A193,assortedcode!B:C,2,0)</f>
        <v>040000147218</v>
      </c>
      <c r="C193" s="1">
        <v>-1</v>
      </c>
      <c r="D193" s="9">
        <f t="shared" si="9"/>
        <v>-1</v>
      </c>
      <c r="E193" s="7" t="s">
        <v>8345</v>
      </c>
      <c r="F193" s="10" t="str">
        <f t="shared" si="8"/>
        <v>insert into ins_premium_det (premium_rcv_code,assorted_code, rec_amount,premium_rcv_detail_code,remaining_amt, payrec, mode_code,coinsurance_code,class_cd,it_remarks) values</v>
      </c>
      <c r="G193" s="11" t="str">
        <f t="shared" si="10"/>
        <v>('28Nov240101','040000147218','-1',(select max(to_number(i.premium_rcv_detail_code))+1
from ins_premium_det i),'-1','-1','02', '11000003','00','Request by Mr. Omair Ali 29-Nov-2024');</v>
      </c>
      <c r="H193" s="12" t="str">
        <f t="shared" si="11"/>
        <v>insert into ins_premium_det (premium_rcv_code,assorted_code, rec_amount,premium_rcv_detail_code,remaining_amt, payrec, mode_code,coinsurance_code,class_cd,it_remarks) values('28Nov240101','040000147218','-1',(select max(to_number(i.premium_rcv_detail_code))+1
from ins_premium_det i),'-1','-1','02', '11000003','00','Request by Mr. Omair Ali 29-Nov-2024');</v>
      </c>
    </row>
    <row r="194" spans="1:8" ht="105" x14ac:dyDescent="0.25">
      <c r="A194" t="s">
        <v>194</v>
      </c>
      <c r="B194" s="8" t="str">
        <f>VLOOKUP(A194,assortedcode!B:C,2,0)</f>
        <v>040000134330</v>
      </c>
      <c r="C194" s="1">
        <v>-1</v>
      </c>
      <c r="D194" s="9">
        <f t="shared" si="9"/>
        <v>-1</v>
      </c>
      <c r="E194" s="7" t="s">
        <v>8345</v>
      </c>
      <c r="F194" s="10" t="str">
        <f t="shared" ref="F194:F257" si="12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194" s="11" t="str">
        <f t="shared" si="10"/>
        <v>('28Nov240101','040000134330','-1',(select max(to_number(i.premium_rcv_detail_code))+1
from ins_premium_det i),'-1','-1','02', '11000003','00','Request by Mr. Omair Ali 29-Nov-2024');</v>
      </c>
      <c r="H194" s="12" t="str">
        <f t="shared" si="11"/>
        <v>insert into ins_premium_det (premium_rcv_code,assorted_code, rec_amount,premium_rcv_detail_code,remaining_amt, payrec, mode_code,coinsurance_code,class_cd,it_remarks) values('28Nov240101','040000134330','-1',(select max(to_number(i.premium_rcv_detail_code))+1
from ins_premium_det i),'-1','-1','02', '11000003','00','Request by Mr. Omair Ali 29-Nov-2024');</v>
      </c>
    </row>
    <row r="195" spans="1:8" ht="105" x14ac:dyDescent="0.25">
      <c r="A195" t="s">
        <v>195</v>
      </c>
      <c r="B195" s="8" t="str">
        <f>VLOOKUP(A195,assortedcode!B:C,2,0)</f>
        <v>040000130250</v>
      </c>
      <c r="C195" s="1">
        <v>-1</v>
      </c>
      <c r="D195" s="9">
        <f t="shared" ref="D195:D258" si="13">ROUND(C195,0)</f>
        <v>-1</v>
      </c>
      <c r="E195" s="7" t="s">
        <v>8345</v>
      </c>
      <c r="F195" s="10" t="str">
        <f t="shared" si="12"/>
        <v>insert into ins_premium_det (premium_rcv_code,assorted_code, rec_amount,premium_rcv_detail_code,remaining_amt, payrec, mode_code,coinsurance_code,class_cd,it_remarks) values</v>
      </c>
      <c r="G195" s="11" t="str">
        <f t="shared" ref="G195:G258" si="14">"('"&amp;E195&amp;"','"&amp;B195&amp;"','"&amp;ROUND(D195,2)&amp;"',(select max(to_number(i.premium_rcv_detail_code))+1
from ins_premium_det i),'"&amp;D195&amp;"','"&amp;D195&amp;"','02', '11000003','00','Request by Mr. Omair Ali 29-Nov-2024');"</f>
        <v>('28Nov240101','040000130250','-1',(select max(to_number(i.premium_rcv_detail_code))+1
from ins_premium_det i),'-1','-1','02', '11000003','00','Request by Mr. Omair Ali 29-Nov-2024');</v>
      </c>
      <c r="H195" s="12" t="str">
        <f t="shared" ref="H195:H258" si="15">F195&amp;G195</f>
        <v>insert into ins_premium_det (premium_rcv_code,assorted_code, rec_amount,premium_rcv_detail_code,remaining_amt, payrec, mode_code,coinsurance_code,class_cd,it_remarks) values('28Nov240101','040000130250','-1',(select max(to_number(i.premium_rcv_detail_code))+1
from ins_premium_det i),'-1','-1','02', '11000003','00','Request by Mr. Omair Ali 29-Nov-2024');</v>
      </c>
    </row>
    <row r="196" spans="1:8" ht="105" x14ac:dyDescent="0.25">
      <c r="A196" t="s">
        <v>196</v>
      </c>
      <c r="B196" s="8" t="str">
        <f>VLOOKUP(A196,assortedcode!B:C,2,0)</f>
        <v>040000134422</v>
      </c>
      <c r="C196" s="1">
        <v>-1</v>
      </c>
      <c r="D196" s="9">
        <f t="shared" si="13"/>
        <v>-1</v>
      </c>
      <c r="E196" s="7" t="s">
        <v>8345</v>
      </c>
      <c r="F196" s="10" t="str">
        <f t="shared" si="12"/>
        <v>insert into ins_premium_det (premium_rcv_code,assorted_code, rec_amount,premium_rcv_detail_code,remaining_amt, payrec, mode_code,coinsurance_code,class_cd,it_remarks) values</v>
      </c>
      <c r="G196" s="11" t="str">
        <f t="shared" si="14"/>
        <v>('28Nov240101','040000134422','-1',(select max(to_number(i.premium_rcv_detail_code))+1
from ins_premium_det i),'-1','-1','02', '11000003','00','Request by Mr. Omair Ali 29-Nov-2024');</v>
      </c>
      <c r="H196" s="12" t="str">
        <f t="shared" si="15"/>
        <v>insert into ins_premium_det (premium_rcv_code,assorted_code, rec_amount,premium_rcv_detail_code,remaining_amt, payrec, mode_code,coinsurance_code,class_cd,it_remarks) values('28Nov240101','040000134422','-1',(select max(to_number(i.premium_rcv_detail_code))+1
from ins_premium_det i),'-1','-1','02', '11000003','00','Request by Mr. Omair Ali 29-Nov-2024');</v>
      </c>
    </row>
    <row r="197" spans="1:8" ht="105" x14ac:dyDescent="0.25">
      <c r="A197" t="s">
        <v>197</v>
      </c>
      <c r="B197" s="8" t="str">
        <f>VLOOKUP(A197,assortedcode!B:C,2,0)</f>
        <v>040000141741</v>
      </c>
      <c r="C197" s="1">
        <v>-1</v>
      </c>
      <c r="D197" s="9">
        <f t="shared" si="13"/>
        <v>-1</v>
      </c>
      <c r="E197" s="7" t="s">
        <v>8345</v>
      </c>
      <c r="F197" s="10" t="str">
        <f t="shared" si="12"/>
        <v>insert into ins_premium_det (premium_rcv_code,assorted_code, rec_amount,premium_rcv_detail_code,remaining_amt, payrec, mode_code,coinsurance_code,class_cd,it_remarks) values</v>
      </c>
      <c r="G197" s="11" t="str">
        <f t="shared" si="14"/>
        <v>('28Nov240101','040000141741','-1',(select max(to_number(i.premium_rcv_detail_code))+1
from ins_premium_det i),'-1','-1','02', '11000003','00','Request by Mr. Omair Ali 29-Nov-2024');</v>
      </c>
      <c r="H197" s="12" t="str">
        <f t="shared" si="15"/>
        <v>insert into ins_premium_det (premium_rcv_code,assorted_code, rec_amount,premium_rcv_detail_code,remaining_amt, payrec, mode_code,coinsurance_code,class_cd,it_remarks) values('28Nov240101','040000141741','-1',(select max(to_number(i.premium_rcv_detail_code))+1
from ins_premium_det i),'-1','-1','02', '11000003','00','Request by Mr. Omair Ali 29-Nov-2024');</v>
      </c>
    </row>
    <row r="198" spans="1:8" ht="105" x14ac:dyDescent="0.25">
      <c r="A198" t="s">
        <v>198</v>
      </c>
      <c r="B198" s="8" t="str">
        <f>VLOOKUP(A198,assortedcode!B:C,2,0)</f>
        <v>040000135162</v>
      </c>
      <c r="C198" s="1">
        <v>-1</v>
      </c>
      <c r="D198" s="9">
        <f t="shared" si="13"/>
        <v>-1</v>
      </c>
      <c r="E198" s="7" t="s">
        <v>8345</v>
      </c>
      <c r="F198" s="10" t="str">
        <f t="shared" si="12"/>
        <v>insert into ins_premium_det (premium_rcv_code,assorted_code, rec_amount,premium_rcv_detail_code,remaining_amt, payrec, mode_code,coinsurance_code,class_cd,it_remarks) values</v>
      </c>
      <c r="G198" s="11" t="str">
        <f t="shared" si="14"/>
        <v>('28Nov240101','040000135162','-1',(select max(to_number(i.premium_rcv_detail_code))+1
from ins_premium_det i),'-1','-1','02', '11000003','00','Request by Mr. Omair Ali 29-Nov-2024');</v>
      </c>
      <c r="H198" s="12" t="str">
        <f t="shared" si="15"/>
        <v>insert into ins_premium_det (premium_rcv_code,assorted_code, rec_amount,premium_rcv_detail_code,remaining_amt, payrec, mode_code,coinsurance_code,class_cd,it_remarks) values('28Nov240101','040000135162','-1',(select max(to_number(i.premium_rcv_detail_code))+1
from ins_premium_det i),'-1','-1','02', '11000003','00','Request by Mr. Omair Ali 29-Nov-2024');</v>
      </c>
    </row>
    <row r="199" spans="1:8" ht="105" x14ac:dyDescent="0.25">
      <c r="A199" t="s">
        <v>199</v>
      </c>
      <c r="B199" s="8" t="str">
        <f>VLOOKUP(A199,assortedcode!B:C,2,0)</f>
        <v>040000141887</v>
      </c>
      <c r="C199" s="1">
        <v>-1</v>
      </c>
      <c r="D199" s="9">
        <f t="shared" si="13"/>
        <v>-1</v>
      </c>
      <c r="E199" s="7" t="s">
        <v>8345</v>
      </c>
      <c r="F199" s="10" t="str">
        <f t="shared" si="12"/>
        <v>insert into ins_premium_det (premium_rcv_code,assorted_code, rec_amount,premium_rcv_detail_code,remaining_amt, payrec, mode_code,coinsurance_code,class_cd,it_remarks) values</v>
      </c>
      <c r="G199" s="11" t="str">
        <f t="shared" si="14"/>
        <v>('28Nov240101','040000141887','-1',(select max(to_number(i.premium_rcv_detail_code))+1
from ins_premium_det i),'-1','-1','02', '11000003','00','Request by Mr. Omair Ali 29-Nov-2024');</v>
      </c>
      <c r="H199" s="12" t="str">
        <f t="shared" si="15"/>
        <v>insert into ins_premium_det (premium_rcv_code,assorted_code, rec_amount,premium_rcv_detail_code,remaining_amt, payrec, mode_code,coinsurance_code,class_cd,it_remarks) values('28Nov240101','040000141887','-1',(select max(to_number(i.premium_rcv_detail_code))+1
from ins_premium_det i),'-1','-1','02', '11000003','00','Request by Mr. Omair Ali 29-Nov-2024');</v>
      </c>
    </row>
    <row r="200" spans="1:8" ht="105" x14ac:dyDescent="0.25">
      <c r="A200" t="s">
        <v>200</v>
      </c>
      <c r="B200" s="8" t="str">
        <f>VLOOKUP(A200,assortedcode!B:C,2,0)</f>
        <v>040000138978</v>
      </c>
      <c r="C200" s="1">
        <v>-1</v>
      </c>
      <c r="D200" s="9">
        <f t="shared" si="13"/>
        <v>-1</v>
      </c>
      <c r="E200" s="7" t="s">
        <v>8345</v>
      </c>
      <c r="F200" s="10" t="str">
        <f t="shared" si="12"/>
        <v>insert into ins_premium_det (premium_rcv_code,assorted_code, rec_amount,premium_rcv_detail_code,remaining_amt, payrec, mode_code,coinsurance_code,class_cd,it_remarks) values</v>
      </c>
      <c r="G200" s="11" t="str">
        <f t="shared" si="14"/>
        <v>('28Nov240101','040000138978','-1',(select max(to_number(i.premium_rcv_detail_code))+1
from ins_premium_det i),'-1','-1','02', '11000003','00','Request by Mr. Omair Ali 29-Nov-2024');</v>
      </c>
      <c r="H200" s="12" t="str">
        <f t="shared" si="15"/>
        <v>insert into ins_premium_det (premium_rcv_code,assorted_code, rec_amount,premium_rcv_detail_code,remaining_amt, payrec, mode_code,coinsurance_code,class_cd,it_remarks) values('28Nov240101','040000138978','-1',(select max(to_number(i.premium_rcv_detail_code))+1
from ins_premium_det i),'-1','-1','02', '11000003','00','Request by Mr. Omair Ali 29-Nov-2024');</v>
      </c>
    </row>
    <row r="201" spans="1:8" ht="105" x14ac:dyDescent="0.25">
      <c r="A201" t="s">
        <v>201</v>
      </c>
      <c r="B201" s="8" t="str">
        <f>VLOOKUP(A201,assortedcode!B:C,2,0)</f>
        <v>040000130079</v>
      </c>
      <c r="C201" s="1">
        <v>-1</v>
      </c>
      <c r="D201" s="9">
        <f t="shared" si="13"/>
        <v>-1</v>
      </c>
      <c r="E201" s="7" t="s">
        <v>8345</v>
      </c>
      <c r="F201" s="10" t="str">
        <f t="shared" si="12"/>
        <v>insert into ins_premium_det (premium_rcv_code,assorted_code, rec_amount,premium_rcv_detail_code,remaining_amt, payrec, mode_code,coinsurance_code,class_cd,it_remarks) values</v>
      </c>
      <c r="G201" s="11" t="str">
        <f t="shared" si="14"/>
        <v>('28Nov240101','040000130079','-1',(select max(to_number(i.premium_rcv_detail_code))+1
from ins_premium_det i),'-1','-1','02', '11000003','00','Request by Mr. Omair Ali 29-Nov-2024');</v>
      </c>
      <c r="H201" s="12" t="str">
        <f t="shared" si="15"/>
        <v>insert into ins_premium_det (premium_rcv_code,assorted_code, rec_amount,premium_rcv_detail_code,remaining_amt, payrec, mode_code,coinsurance_code,class_cd,it_remarks) values('28Nov240101','040000130079','-1',(select max(to_number(i.premium_rcv_detail_code))+1
from ins_premium_det i),'-1','-1','02', '11000003','00','Request by Mr. Omair Ali 29-Nov-2024');</v>
      </c>
    </row>
    <row r="202" spans="1:8" ht="105" x14ac:dyDescent="0.25">
      <c r="A202" t="s">
        <v>202</v>
      </c>
      <c r="B202" s="8" t="str">
        <f>VLOOKUP(A202,assortedcode!B:C,2,0)</f>
        <v>040000140748</v>
      </c>
      <c r="C202" s="1">
        <v>-1</v>
      </c>
      <c r="D202" s="9">
        <f t="shared" si="13"/>
        <v>-1</v>
      </c>
      <c r="E202" s="7" t="s">
        <v>8345</v>
      </c>
      <c r="F202" s="10" t="str">
        <f t="shared" si="12"/>
        <v>insert into ins_premium_det (premium_rcv_code,assorted_code, rec_amount,premium_rcv_detail_code,remaining_amt, payrec, mode_code,coinsurance_code,class_cd,it_remarks) values</v>
      </c>
      <c r="G202" s="11" t="str">
        <f t="shared" si="14"/>
        <v>('28Nov240101','040000140748','-1',(select max(to_number(i.premium_rcv_detail_code))+1
from ins_premium_det i),'-1','-1','02', '11000003','00','Request by Mr. Omair Ali 29-Nov-2024');</v>
      </c>
      <c r="H202" s="12" t="str">
        <f t="shared" si="15"/>
        <v>insert into ins_premium_det (premium_rcv_code,assorted_code, rec_amount,premium_rcv_detail_code,remaining_amt, payrec, mode_code,coinsurance_code,class_cd,it_remarks) values('28Nov240101','040000140748','-1',(select max(to_number(i.premium_rcv_detail_code))+1
from ins_premium_det i),'-1','-1','02', '11000003','00','Request by Mr. Omair Ali 29-Nov-2024');</v>
      </c>
    </row>
    <row r="203" spans="1:8" ht="105" x14ac:dyDescent="0.25">
      <c r="A203" t="s">
        <v>203</v>
      </c>
      <c r="B203" s="8" t="str">
        <f>VLOOKUP(A203,assortedcode!B:C,2,0)</f>
        <v>040000136552</v>
      </c>
      <c r="C203" s="1">
        <v>-1</v>
      </c>
      <c r="D203" s="9">
        <f t="shared" si="13"/>
        <v>-1</v>
      </c>
      <c r="E203" s="7" t="s">
        <v>8345</v>
      </c>
      <c r="F203" s="10" t="str">
        <f t="shared" si="12"/>
        <v>insert into ins_premium_det (premium_rcv_code,assorted_code, rec_amount,premium_rcv_detail_code,remaining_amt, payrec, mode_code,coinsurance_code,class_cd,it_remarks) values</v>
      </c>
      <c r="G203" s="11" t="str">
        <f t="shared" si="14"/>
        <v>('28Nov240101','040000136552','-1',(select max(to_number(i.premium_rcv_detail_code))+1
from ins_premium_det i),'-1','-1','02', '11000003','00','Request by Mr. Omair Ali 29-Nov-2024');</v>
      </c>
      <c r="H203" s="12" t="str">
        <f t="shared" si="15"/>
        <v>insert into ins_premium_det (premium_rcv_code,assorted_code, rec_amount,premium_rcv_detail_code,remaining_amt, payrec, mode_code,coinsurance_code,class_cd,it_remarks) values('28Nov240101','040000136552','-1',(select max(to_number(i.premium_rcv_detail_code))+1
from ins_premium_det i),'-1','-1','02', '11000003','00','Request by Mr. Omair Ali 29-Nov-2024');</v>
      </c>
    </row>
    <row r="204" spans="1:8" ht="105" x14ac:dyDescent="0.25">
      <c r="A204" t="s">
        <v>204</v>
      </c>
      <c r="B204" s="8" t="str">
        <f>VLOOKUP(A204,assortedcode!B:C,2,0)</f>
        <v>040000141586</v>
      </c>
      <c r="C204" s="1">
        <v>-1</v>
      </c>
      <c r="D204" s="9">
        <f t="shared" si="13"/>
        <v>-1</v>
      </c>
      <c r="E204" s="7" t="s">
        <v>8345</v>
      </c>
      <c r="F204" s="10" t="str">
        <f t="shared" si="12"/>
        <v>insert into ins_premium_det (premium_rcv_code,assorted_code, rec_amount,premium_rcv_detail_code,remaining_amt, payrec, mode_code,coinsurance_code,class_cd,it_remarks) values</v>
      </c>
      <c r="G204" s="11" t="str">
        <f t="shared" si="14"/>
        <v>('28Nov240101','040000141586','-1',(select max(to_number(i.premium_rcv_detail_code))+1
from ins_premium_det i),'-1','-1','02', '11000003','00','Request by Mr. Omair Ali 29-Nov-2024');</v>
      </c>
      <c r="H204" s="12" t="str">
        <f t="shared" si="15"/>
        <v>insert into ins_premium_det (premium_rcv_code,assorted_code, rec_amount,premium_rcv_detail_code,remaining_amt, payrec, mode_code,coinsurance_code,class_cd,it_remarks) values('28Nov240101','040000141586','-1',(select max(to_number(i.premium_rcv_detail_code))+1
from ins_premium_det i),'-1','-1','02', '11000003','00','Request by Mr. Omair Ali 29-Nov-2024');</v>
      </c>
    </row>
    <row r="205" spans="1:8" ht="105" x14ac:dyDescent="0.25">
      <c r="A205" t="s">
        <v>205</v>
      </c>
      <c r="B205" s="8" t="str">
        <f>VLOOKUP(A205,assortedcode!B:C,2,0)</f>
        <v>040000143000</v>
      </c>
      <c r="C205" s="1">
        <v>-1</v>
      </c>
      <c r="D205" s="9">
        <f t="shared" si="13"/>
        <v>-1</v>
      </c>
      <c r="E205" s="7" t="s">
        <v>8345</v>
      </c>
      <c r="F205" s="10" t="str">
        <f t="shared" si="12"/>
        <v>insert into ins_premium_det (premium_rcv_code,assorted_code, rec_amount,premium_rcv_detail_code,remaining_amt, payrec, mode_code,coinsurance_code,class_cd,it_remarks) values</v>
      </c>
      <c r="G205" s="11" t="str">
        <f t="shared" si="14"/>
        <v>('28Nov240101','040000143000','-1',(select max(to_number(i.premium_rcv_detail_code))+1
from ins_premium_det i),'-1','-1','02', '11000003','00','Request by Mr. Omair Ali 29-Nov-2024');</v>
      </c>
      <c r="H205" s="12" t="str">
        <f t="shared" si="15"/>
        <v>insert into ins_premium_det (premium_rcv_code,assorted_code, rec_amount,premium_rcv_detail_code,remaining_amt, payrec, mode_code,coinsurance_code,class_cd,it_remarks) values('28Nov240101','040000143000','-1',(select max(to_number(i.premium_rcv_detail_code))+1
from ins_premium_det i),'-1','-1','02', '11000003','00','Request by Mr. Omair Ali 29-Nov-2024');</v>
      </c>
    </row>
    <row r="206" spans="1:8" ht="105" x14ac:dyDescent="0.25">
      <c r="A206" t="s">
        <v>206</v>
      </c>
      <c r="B206" s="8" t="str">
        <f>VLOOKUP(A206,assortedcode!B:C,2,0)</f>
        <v>040000141665</v>
      </c>
      <c r="C206" s="1">
        <v>-1</v>
      </c>
      <c r="D206" s="9">
        <f t="shared" si="13"/>
        <v>-1</v>
      </c>
      <c r="E206" s="7" t="s">
        <v>8345</v>
      </c>
      <c r="F206" s="10" t="str">
        <f t="shared" si="12"/>
        <v>insert into ins_premium_det (premium_rcv_code,assorted_code, rec_amount,premium_rcv_detail_code,remaining_amt, payrec, mode_code,coinsurance_code,class_cd,it_remarks) values</v>
      </c>
      <c r="G206" s="11" t="str">
        <f t="shared" si="14"/>
        <v>('28Nov240101','040000141665','-1',(select max(to_number(i.premium_rcv_detail_code))+1
from ins_premium_det i),'-1','-1','02', '11000003','00','Request by Mr. Omair Ali 29-Nov-2024');</v>
      </c>
      <c r="H206" s="12" t="str">
        <f t="shared" si="15"/>
        <v>insert into ins_premium_det (premium_rcv_code,assorted_code, rec_amount,premium_rcv_detail_code,remaining_amt, payrec, mode_code,coinsurance_code,class_cd,it_remarks) values('28Nov240101','040000141665','-1',(select max(to_number(i.premium_rcv_detail_code))+1
from ins_premium_det i),'-1','-1','02', '11000003','00','Request by Mr. Omair Ali 29-Nov-2024');</v>
      </c>
    </row>
    <row r="207" spans="1:8" ht="105" x14ac:dyDescent="0.25">
      <c r="A207" t="s">
        <v>207</v>
      </c>
      <c r="B207" s="8" t="str">
        <f>VLOOKUP(A207,assortedcode!B:C,2,0)</f>
        <v>040000139056</v>
      </c>
      <c r="C207" s="1">
        <v>-1</v>
      </c>
      <c r="D207" s="9">
        <f t="shared" si="13"/>
        <v>-1</v>
      </c>
      <c r="E207" s="7" t="s">
        <v>8345</v>
      </c>
      <c r="F207" s="10" t="str">
        <f t="shared" si="12"/>
        <v>insert into ins_premium_det (premium_rcv_code,assorted_code, rec_amount,premium_rcv_detail_code,remaining_amt, payrec, mode_code,coinsurance_code,class_cd,it_remarks) values</v>
      </c>
      <c r="G207" s="11" t="str">
        <f t="shared" si="14"/>
        <v>('28Nov240101','040000139056','-1',(select max(to_number(i.premium_rcv_detail_code))+1
from ins_premium_det i),'-1','-1','02', '11000003','00','Request by Mr. Omair Ali 29-Nov-2024');</v>
      </c>
      <c r="H207" s="12" t="str">
        <f t="shared" si="15"/>
        <v>insert into ins_premium_det (premium_rcv_code,assorted_code, rec_amount,premium_rcv_detail_code,remaining_amt, payrec, mode_code,coinsurance_code,class_cd,it_remarks) values('28Nov240101','040000139056','-1',(select max(to_number(i.premium_rcv_detail_code))+1
from ins_premium_det i),'-1','-1','02', '11000003','00','Request by Mr. Omair Ali 29-Nov-2024');</v>
      </c>
    </row>
    <row r="208" spans="1:8" ht="105" x14ac:dyDescent="0.25">
      <c r="A208" t="s">
        <v>208</v>
      </c>
      <c r="B208" s="8" t="str">
        <f>VLOOKUP(A208,assortedcode!B:C,2,0)</f>
        <v>040000141790</v>
      </c>
      <c r="C208" s="1">
        <v>-1</v>
      </c>
      <c r="D208" s="9">
        <f t="shared" si="13"/>
        <v>-1</v>
      </c>
      <c r="E208" s="7" t="s">
        <v>8345</v>
      </c>
      <c r="F208" s="10" t="str">
        <f t="shared" si="12"/>
        <v>insert into ins_premium_det (premium_rcv_code,assorted_code, rec_amount,premium_rcv_detail_code,remaining_amt, payrec, mode_code,coinsurance_code,class_cd,it_remarks) values</v>
      </c>
      <c r="G208" s="11" t="str">
        <f t="shared" si="14"/>
        <v>('28Nov240101','040000141790','-1',(select max(to_number(i.premium_rcv_detail_code))+1
from ins_premium_det i),'-1','-1','02', '11000003','00','Request by Mr. Omair Ali 29-Nov-2024');</v>
      </c>
      <c r="H208" s="12" t="str">
        <f t="shared" si="15"/>
        <v>insert into ins_premium_det (premium_rcv_code,assorted_code, rec_amount,premium_rcv_detail_code,remaining_amt, payrec, mode_code,coinsurance_code,class_cd,it_remarks) values('28Nov240101','040000141790','-1',(select max(to_number(i.premium_rcv_detail_code))+1
from ins_premium_det i),'-1','-1','02', '11000003','00','Request by Mr. Omair Ali 29-Nov-2024');</v>
      </c>
    </row>
    <row r="209" spans="1:8" ht="105" x14ac:dyDescent="0.25">
      <c r="A209" t="s">
        <v>209</v>
      </c>
      <c r="B209" s="8" t="str">
        <f>VLOOKUP(A209,assortedcode!B:C,2,0)</f>
        <v>040000129258</v>
      </c>
      <c r="C209" s="1">
        <v>-1</v>
      </c>
      <c r="D209" s="9">
        <f t="shared" si="13"/>
        <v>-1</v>
      </c>
      <c r="E209" s="7" t="s">
        <v>8345</v>
      </c>
      <c r="F209" s="10" t="str">
        <f t="shared" si="12"/>
        <v>insert into ins_premium_det (premium_rcv_code,assorted_code, rec_amount,premium_rcv_detail_code,remaining_amt, payrec, mode_code,coinsurance_code,class_cd,it_remarks) values</v>
      </c>
      <c r="G209" s="11" t="str">
        <f t="shared" si="14"/>
        <v>('28Nov240101','040000129258','-1',(select max(to_number(i.premium_rcv_detail_code))+1
from ins_premium_det i),'-1','-1','02', '11000003','00','Request by Mr. Omair Ali 29-Nov-2024');</v>
      </c>
      <c r="H209" s="12" t="str">
        <f t="shared" si="15"/>
        <v>insert into ins_premium_det (premium_rcv_code,assorted_code, rec_amount,premium_rcv_detail_code,remaining_amt, payrec, mode_code,coinsurance_code,class_cd,it_remarks) values('28Nov240101','040000129258','-1',(select max(to_number(i.premium_rcv_detail_code))+1
from ins_premium_det i),'-1','-1','02', '11000003','00','Request by Mr. Omair Ali 29-Nov-2024');</v>
      </c>
    </row>
    <row r="210" spans="1:8" ht="105" x14ac:dyDescent="0.25">
      <c r="A210" t="s">
        <v>210</v>
      </c>
      <c r="B210" s="8" t="str">
        <f>VLOOKUP(A210,assortedcode!B:C,2,0)</f>
        <v>040000111923</v>
      </c>
      <c r="C210" s="1">
        <v>-1</v>
      </c>
      <c r="D210" s="9">
        <f t="shared" si="13"/>
        <v>-1</v>
      </c>
      <c r="E210" s="7" t="s">
        <v>8345</v>
      </c>
      <c r="F210" s="10" t="str">
        <f t="shared" si="12"/>
        <v>insert into ins_premium_det (premium_rcv_code,assorted_code, rec_amount,premium_rcv_detail_code,remaining_amt, payrec, mode_code,coinsurance_code,class_cd,it_remarks) values</v>
      </c>
      <c r="G210" s="11" t="str">
        <f t="shared" si="14"/>
        <v>('28Nov240101','040000111923','-1',(select max(to_number(i.premium_rcv_detail_code))+1
from ins_premium_det i),'-1','-1','02', '11000003','00','Request by Mr. Omair Ali 29-Nov-2024');</v>
      </c>
      <c r="H210" s="12" t="str">
        <f t="shared" si="15"/>
        <v>insert into ins_premium_det (premium_rcv_code,assorted_code, rec_amount,premium_rcv_detail_code,remaining_amt, payrec, mode_code,coinsurance_code,class_cd,it_remarks) values('28Nov240101','040000111923','-1',(select max(to_number(i.premium_rcv_detail_code))+1
from ins_premium_det i),'-1','-1','02', '11000003','00','Request by Mr. Omair Ali 29-Nov-2024');</v>
      </c>
    </row>
    <row r="211" spans="1:8" ht="105" x14ac:dyDescent="0.25">
      <c r="A211" t="s">
        <v>211</v>
      </c>
      <c r="B211" s="8" t="str">
        <f>VLOOKUP(A211,assortedcode!B:C,2,0)</f>
        <v>040000132011</v>
      </c>
      <c r="C211" s="1">
        <v>-1</v>
      </c>
      <c r="D211" s="9">
        <f t="shared" si="13"/>
        <v>-1</v>
      </c>
      <c r="E211" s="7" t="s">
        <v>8345</v>
      </c>
      <c r="F211" s="10" t="str">
        <f t="shared" si="12"/>
        <v>insert into ins_premium_det (premium_rcv_code,assorted_code, rec_amount,premium_rcv_detail_code,remaining_amt, payrec, mode_code,coinsurance_code,class_cd,it_remarks) values</v>
      </c>
      <c r="G211" s="11" t="str">
        <f t="shared" si="14"/>
        <v>('28Nov240101','040000132011','-1',(select max(to_number(i.premium_rcv_detail_code))+1
from ins_premium_det i),'-1','-1','02', '11000003','00','Request by Mr. Omair Ali 29-Nov-2024');</v>
      </c>
      <c r="H211" s="12" t="str">
        <f t="shared" si="15"/>
        <v>insert into ins_premium_det (premium_rcv_code,assorted_code, rec_amount,premium_rcv_detail_code,remaining_amt, payrec, mode_code,coinsurance_code,class_cd,it_remarks) values('28Nov240101','040000132011','-1',(select max(to_number(i.premium_rcv_detail_code))+1
from ins_premium_det i),'-1','-1','02', '11000003','00','Request by Mr. Omair Ali 29-Nov-2024');</v>
      </c>
    </row>
    <row r="212" spans="1:8" ht="105" x14ac:dyDescent="0.25">
      <c r="A212" t="s">
        <v>212</v>
      </c>
      <c r="B212" s="8" t="str">
        <f>VLOOKUP(A212,assortedcode!B:C,2,0)</f>
        <v>040000124068</v>
      </c>
      <c r="C212" s="1">
        <v>-1</v>
      </c>
      <c r="D212" s="9">
        <f t="shared" si="13"/>
        <v>-1</v>
      </c>
      <c r="E212" s="7" t="s">
        <v>8345</v>
      </c>
      <c r="F212" s="10" t="str">
        <f t="shared" si="12"/>
        <v>insert into ins_premium_det (premium_rcv_code,assorted_code, rec_amount,premium_rcv_detail_code,remaining_amt, payrec, mode_code,coinsurance_code,class_cd,it_remarks) values</v>
      </c>
      <c r="G212" s="11" t="str">
        <f t="shared" si="14"/>
        <v>('28Nov240101','040000124068','-1',(select max(to_number(i.premium_rcv_detail_code))+1
from ins_premium_det i),'-1','-1','02', '11000003','00','Request by Mr. Omair Ali 29-Nov-2024');</v>
      </c>
      <c r="H212" s="12" t="str">
        <f t="shared" si="15"/>
        <v>insert into ins_premium_det (premium_rcv_code,assorted_code, rec_amount,premium_rcv_detail_code,remaining_amt, payrec, mode_code,coinsurance_code,class_cd,it_remarks) values('28Nov240101','040000124068','-1',(select max(to_number(i.premium_rcv_detail_code))+1
from ins_premium_det i),'-1','-1','02', '11000003','00','Request by Mr. Omair Ali 29-Nov-2024');</v>
      </c>
    </row>
    <row r="213" spans="1:8" ht="105" x14ac:dyDescent="0.25">
      <c r="A213" t="s">
        <v>213</v>
      </c>
      <c r="B213" s="8" t="str">
        <f>VLOOKUP(A213,assortedcode!B:C,2,0)</f>
        <v>040000132626</v>
      </c>
      <c r="C213" s="1">
        <v>-1</v>
      </c>
      <c r="D213" s="9">
        <f t="shared" si="13"/>
        <v>-1</v>
      </c>
      <c r="E213" s="7" t="s">
        <v>8345</v>
      </c>
      <c r="F213" s="10" t="str">
        <f t="shared" si="12"/>
        <v>insert into ins_premium_det (premium_rcv_code,assorted_code, rec_amount,premium_rcv_detail_code,remaining_amt, payrec, mode_code,coinsurance_code,class_cd,it_remarks) values</v>
      </c>
      <c r="G213" s="11" t="str">
        <f t="shared" si="14"/>
        <v>('28Nov240101','040000132626','-1',(select max(to_number(i.premium_rcv_detail_code))+1
from ins_premium_det i),'-1','-1','02', '11000003','00','Request by Mr. Omair Ali 29-Nov-2024');</v>
      </c>
      <c r="H213" s="12" t="str">
        <f t="shared" si="15"/>
        <v>insert into ins_premium_det (premium_rcv_code,assorted_code, rec_amount,premium_rcv_detail_code,remaining_amt, payrec, mode_code,coinsurance_code,class_cd,it_remarks) values('28Nov240101','040000132626','-1',(select max(to_number(i.premium_rcv_detail_code))+1
from ins_premium_det i),'-1','-1','02', '11000003','00','Request by Mr. Omair Ali 29-Nov-2024');</v>
      </c>
    </row>
    <row r="214" spans="1:8" ht="105" x14ac:dyDescent="0.25">
      <c r="A214" t="s">
        <v>214</v>
      </c>
      <c r="B214" s="8" t="str">
        <f>VLOOKUP(A214,assortedcode!B:C,2,0)</f>
        <v>040000126193</v>
      </c>
      <c r="C214" s="1">
        <v>-1</v>
      </c>
      <c r="D214" s="9">
        <f t="shared" si="13"/>
        <v>-1</v>
      </c>
      <c r="E214" s="7" t="s">
        <v>8345</v>
      </c>
      <c r="F214" s="10" t="str">
        <f t="shared" si="12"/>
        <v>insert into ins_premium_det (premium_rcv_code,assorted_code, rec_amount,premium_rcv_detail_code,remaining_amt, payrec, mode_code,coinsurance_code,class_cd,it_remarks) values</v>
      </c>
      <c r="G214" s="11" t="str">
        <f t="shared" si="14"/>
        <v>('28Nov240101','040000126193','-1',(select max(to_number(i.premium_rcv_detail_code))+1
from ins_premium_det i),'-1','-1','02', '11000003','00','Request by Mr. Omair Ali 29-Nov-2024');</v>
      </c>
      <c r="H214" s="12" t="str">
        <f t="shared" si="15"/>
        <v>insert into ins_premium_det (premium_rcv_code,assorted_code, rec_amount,premium_rcv_detail_code,remaining_amt, payrec, mode_code,coinsurance_code,class_cd,it_remarks) values('28Nov240101','040000126193','-1',(select max(to_number(i.premium_rcv_detail_code))+1
from ins_premium_det i),'-1','-1','02', '11000003','00','Request by Mr. Omair Ali 29-Nov-2024');</v>
      </c>
    </row>
    <row r="215" spans="1:8" ht="105" x14ac:dyDescent="0.25">
      <c r="A215" t="s">
        <v>215</v>
      </c>
      <c r="B215" s="8" t="str">
        <f>VLOOKUP(A215,assortedcode!B:C,2,0)</f>
        <v>040000132797</v>
      </c>
      <c r="C215" s="1">
        <v>-1</v>
      </c>
      <c r="D215" s="9">
        <f t="shared" si="13"/>
        <v>-1</v>
      </c>
      <c r="E215" s="7" t="s">
        <v>8345</v>
      </c>
      <c r="F215" s="10" t="str">
        <f t="shared" si="12"/>
        <v>insert into ins_premium_det (premium_rcv_code,assorted_code, rec_amount,premium_rcv_detail_code,remaining_amt, payrec, mode_code,coinsurance_code,class_cd,it_remarks) values</v>
      </c>
      <c r="G215" s="11" t="str">
        <f t="shared" si="14"/>
        <v>('28Nov240101','040000132797','-1',(select max(to_number(i.premium_rcv_detail_code))+1
from ins_premium_det i),'-1','-1','02', '11000003','00','Request by Mr. Omair Ali 29-Nov-2024');</v>
      </c>
      <c r="H215" s="12" t="str">
        <f t="shared" si="15"/>
        <v>insert into ins_premium_det (premium_rcv_code,assorted_code, rec_amount,premium_rcv_detail_code,remaining_amt, payrec, mode_code,coinsurance_code,class_cd,it_remarks) values('28Nov240101','040000132797','-1',(select max(to_number(i.premium_rcv_detail_code))+1
from ins_premium_det i),'-1','-1','02', '11000003','00','Request by Mr. Omair Ali 29-Nov-2024');</v>
      </c>
    </row>
    <row r="216" spans="1:8" ht="105" x14ac:dyDescent="0.25">
      <c r="A216" t="s">
        <v>216</v>
      </c>
      <c r="B216" s="8" t="str">
        <f>VLOOKUP(A216,assortedcode!B:C,2,0)</f>
        <v>040000127962</v>
      </c>
      <c r="C216" s="1">
        <v>-1</v>
      </c>
      <c r="D216" s="9">
        <f t="shared" si="13"/>
        <v>-1</v>
      </c>
      <c r="E216" s="7" t="s">
        <v>8345</v>
      </c>
      <c r="F216" s="10" t="str">
        <f t="shared" si="12"/>
        <v>insert into ins_premium_det (premium_rcv_code,assorted_code, rec_amount,premium_rcv_detail_code,remaining_amt, payrec, mode_code,coinsurance_code,class_cd,it_remarks) values</v>
      </c>
      <c r="G216" s="11" t="str">
        <f t="shared" si="14"/>
        <v>('28Nov240101','040000127962','-1',(select max(to_number(i.premium_rcv_detail_code))+1
from ins_premium_det i),'-1','-1','02', '11000003','00','Request by Mr. Omair Ali 29-Nov-2024');</v>
      </c>
      <c r="H216" s="12" t="str">
        <f t="shared" si="15"/>
        <v>insert into ins_premium_det (premium_rcv_code,assorted_code, rec_amount,premium_rcv_detail_code,remaining_amt, payrec, mode_code,coinsurance_code,class_cd,it_remarks) values('28Nov240101','040000127962','-1',(select max(to_number(i.premium_rcv_detail_code))+1
from ins_premium_det i),'-1','-1','02', '11000003','00','Request by Mr. Omair Ali 29-Nov-2024');</v>
      </c>
    </row>
    <row r="217" spans="1:8" ht="105" x14ac:dyDescent="0.25">
      <c r="A217" t="s">
        <v>217</v>
      </c>
      <c r="B217" s="8" t="str">
        <f>VLOOKUP(A217,assortedcode!B:C,2,0)</f>
        <v>040000132881</v>
      </c>
      <c r="C217" s="1">
        <v>-1</v>
      </c>
      <c r="D217" s="9">
        <f t="shared" si="13"/>
        <v>-1</v>
      </c>
      <c r="E217" s="7" t="s">
        <v>8345</v>
      </c>
      <c r="F217" s="10" t="str">
        <f t="shared" si="12"/>
        <v>insert into ins_premium_det (premium_rcv_code,assorted_code, rec_amount,premium_rcv_detail_code,remaining_amt, payrec, mode_code,coinsurance_code,class_cd,it_remarks) values</v>
      </c>
      <c r="G217" s="11" t="str">
        <f t="shared" si="14"/>
        <v>('28Nov240101','040000132881','-1',(select max(to_number(i.premium_rcv_detail_code))+1
from ins_premium_det i),'-1','-1','02', '11000003','00','Request by Mr. Omair Ali 29-Nov-2024');</v>
      </c>
      <c r="H217" s="12" t="str">
        <f t="shared" si="15"/>
        <v>insert into ins_premium_det (premium_rcv_code,assorted_code, rec_amount,premium_rcv_detail_code,remaining_amt, payrec, mode_code,coinsurance_code,class_cd,it_remarks) values('28Nov240101','040000132881','-1',(select max(to_number(i.premium_rcv_detail_code))+1
from ins_premium_det i),'-1','-1','02', '11000003','00','Request by Mr. Omair Ali 29-Nov-2024');</v>
      </c>
    </row>
    <row r="218" spans="1:8" ht="105" x14ac:dyDescent="0.25">
      <c r="A218" t="s">
        <v>218</v>
      </c>
      <c r="B218" s="8" t="str">
        <f>VLOOKUP(A218,assortedcode!B:C,2,0)</f>
        <v>040000130807</v>
      </c>
      <c r="C218" s="1">
        <v>-1</v>
      </c>
      <c r="D218" s="9">
        <f t="shared" si="13"/>
        <v>-1</v>
      </c>
      <c r="E218" s="7" t="s">
        <v>8345</v>
      </c>
      <c r="F218" s="10" t="str">
        <f t="shared" si="12"/>
        <v>insert into ins_premium_det (premium_rcv_code,assorted_code, rec_amount,premium_rcv_detail_code,remaining_amt, payrec, mode_code,coinsurance_code,class_cd,it_remarks) values</v>
      </c>
      <c r="G218" s="11" t="str">
        <f t="shared" si="14"/>
        <v>('28Nov240101','040000130807','-1',(select max(to_number(i.premium_rcv_detail_code))+1
from ins_premium_det i),'-1','-1','02', '11000003','00','Request by Mr. Omair Ali 29-Nov-2024');</v>
      </c>
      <c r="H218" s="12" t="str">
        <f t="shared" si="15"/>
        <v>insert into ins_premium_det (premium_rcv_code,assorted_code, rec_amount,premium_rcv_detail_code,remaining_amt, payrec, mode_code,coinsurance_code,class_cd,it_remarks) values('28Nov240101','040000130807','-1',(select max(to_number(i.premium_rcv_detail_code))+1
from ins_premium_det i),'-1','-1','02', '11000003','00','Request by Mr. Omair Ali 29-Nov-2024');</v>
      </c>
    </row>
    <row r="219" spans="1:8" ht="105" x14ac:dyDescent="0.25">
      <c r="A219" t="s">
        <v>219</v>
      </c>
      <c r="B219" s="8" t="str">
        <f>VLOOKUP(A219,assortedcode!B:C,2,0)</f>
        <v>040000132889</v>
      </c>
      <c r="C219" s="1">
        <v>-1</v>
      </c>
      <c r="D219" s="9">
        <f t="shared" si="13"/>
        <v>-1</v>
      </c>
      <c r="E219" s="7" t="s">
        <v>8345</v>
      </c>
      <c r="F219" s="10" t="str">
        <f t="shared" si="12"/>
        <v>insert into ins_premium_det (premium_rcv_code,assorted_code, rec_amount,premium_rcv_detail_code,remaining_amt, payrec, mode_code,coinsurance_code,class_cd,it_remarks) values</v>
      </c>
      <c r="G219" s="11" t="str">
        <f t="shared" si="14"/>
        <v>('28Nov240101','040000132889','-1',(select max(to_number(i.premium_rcv_detail_code))+1
from ins_premium_det i),'-1','-1','02', '11000003','00','Request by Mr. Omair Ali 29-Nov-2024');</v>
      </c>
      <c r="H219" s="12" t="str">
        <f t="shared" si="15"/>
        <v>insert into ins_premium_det (premium_rcv_code,assorted_code, rec_amount,premium_rcv_detail_code,remaining_amt, payrec, mode_code,coinsurance_code,class_cd,it_remarks) values('28Nov240101','040000132889','-1',(select max(to_number(i.premium_rcv_detail_code))+1
from ins_premium_det i),'-1','-1','02', '11000003','00','Request by Mr. Omair Ali 29-Nov-2024');</v>
      </c>
    </row>
    <row r="220" spans="1:8" ht="105" x14ac:dyDescent="0.25">
      <c r="A220" t="s">
        <v>220</v>
      </c>
      <c r="B220" s="8" t="str">
        <f>VLOOKUP(A220,assortedcode!B:C,2,0)</f>
        <v>040000131642</v>
      </c>
      <c r="C220" s="1">
        <v>-1</v>
      </c>
      <c r="D220" s="9">
        <f t="shared" si="13"/>
        <v>-1</v>
      </c>
      <c r="E220" s="7" t="s">
        <v>8345</v>
      </c>
      <c r="F220" s="10" t="str">
        <f t="shared" si="12"/>
        <v>insert into ins_premium_det (premium_rcv_code,assorted_code, rec_amount,premium_rcv_detail_code,remaining_amt, payrec, mode_code,coinsurance_code,class_cd,it_remarks) values</v>
      </c>
      <c r="G220" s="11" t="str">
        <f t="shared" si="14"/>
        <v>('28Nov240101','040000131642','-1',(select max(to_number(i.premium_rcv_detail_code))+1
from ins_premium_det i),'-1','-1','02', '11000003','00','Request by Mr. Omair Ali 29-Nov-2024');</v>
      </c>
      <c r="H220" s="12" t="str">
        <f t="shared" si="15"/>
        <v>insert into ins_premium_det (premium_rcv_code,assorted_code, rec_amount,premium_rcv_detail_code,remaining_amt, payrec, mode_code,coinsurance_code,class_cd,it_remarks) values('28Nov240101','040000131642','-1',(select max(to_number(i.premium_rcv_detail_code))+1
from ins_premium_det i),'-1','-1','02', '11000003','00','Request by Mr. Omair Ali 29-Nov-2024');</v>
      </c>
    </row>
    <row r="221" spans="1:8" ht="105" x14ac:dyDescent="0.25">
      <c r="A221" t="s">
        <v>221</v>
      </c>
      <c r="B221" s="8" t="str">
        <f>VLOOKUP(A221,assortedcode!B:C,2,0)</f>
        <v>040000135446</v>
      </c>
      <c r="C221" s="1">
        <v>-1</v>
      </c>
      <c r="D221" s="9">
        <f t="shared" si="13"/>
        <v>-1</v>
      </c>
      <c r="E221" s="7" t="s">
        <v>8345</v>
      </c>
      <c r="F221" s="10" t="str">
        <f t="shared" si="12"/>
        <v>insert into ins_premium_det (premium_rcv_code,assorted_code, rec_amount,premium_rcv_detail_code,remaining_amt, payrec, mode_code,coinsurance_code,class_cd,it_remarks) values</v>
      </c>
      <c r="G221" s="11" t="str">
        <f t="shared" si="14"/>
        <v>('28Nov240101','040000135446','-1',(select max(to_number(i.premium_rcv_detail_code))+1
from ins_premium_det i),'-1','-1','02', '11000003','00','Request by Mr. Omair Ali 29-Nov-2024');</v>
      </c>
      <c r="H221" s="12" t="str">
        <f t="shared" si="15"/>
        <v>insert into ins_premium_det (premium_rcv_code,assorted_code, rec_amount,premium_rcv_detail_code,remaining_amt, payrec, mode_code,coinsurance_code,class_cd,it_remarks) values('28Nov240101','040000135446','-1',(select max(to_number(i.premium_rcv_detail_code))+1
from ins_premium_det i),'-1','-1','02', '11000003','00','Request by Mr. Omair Ali 29-Nov-2024');</v>
      </c>
    </row>
    <row r="222" spans="1:8" ht="105" x14ac:dyDescent="0.25">
      <c r="A222" t="s">
        <v>222</v>
      </c>
      <c r="B222" s="8" t="str">
        <f>VLOOKUP(A222,assortedcode!B:C,2,0)</f>
        <v>040000133824</v>
      </c>
      <c r="C222" s="1">
        <v>-1</v>
      </c>
      <c r="D222" s="9">
        <f t="shared" si="13"/>
        <v>-1</v>
      </c>
      <c r="E222" s="7" t="s">
        <v>8345</v>
      </c>
      <c r="F222" s="10" t="str">
        <f t="shared" si="12"/>
        <v>insert into ins_premium_det (premium_rcv_code,assorted_code, rec_amount,premium_rcv_detail_code,remaining_amt, payrec, mode_code,coinsurance_code,class_cd,it_remarks) values</v>
      </c>
      <c r="G222" s="11" t="str">
        <f t="shared" si="14"/>
        <v>('28Nov240101','040000133824','-1',(select max(to_number(i.premium_rcv_detail_code))+1
from ins_premium_det i),'-1','-1','02', '11000003','00','Request by Mr. Omair Ali 29-Nov-2024');</v>
      </c>
      <c r="H222" s="12" t="str">
        <f t="shared" si="15"/>
        <v>insert into ins_premium_det (premium_rcv_code,assorted_code, rec_amount,premium_rcv_detail_code,remaining_amt, payrec, mode_code,coinsurance_code,class_cd,it_remarks) values('28Nov240101','040000133824','-1',(select max(to_number(i.premium_rcv_detail_code))+1
from ins_premium_det i),'-1','-1','02', '11000003','00','Request by Mr. Omair Ali 29-Nov-2024');</v>
      </c>
    </row>
    <row r="223" spans="1:8" ht="105" x14ac:dyDescent="0.25">
      <c r="A223" t="s">
        <v>223</v>
      </c>
      <c r="B223" s="8" t="str">
        <f>VLOOKUP(A223,assortedcode!B:C,2,0)</f>
        <v>040000140767</v>
      </c>
      <c r="C223" s="1">
        <v>-1</v>
      </c>
      <c r="D223" s="9">
        <f t="shared" si="13"/>
        <v>-1</v>
      </c>
      <c r="E223" s="7" t="s">
        <v>8345</v>
      </c>
      <c r="F223" s="10" t="str">
        <f t="shared" si="12"/>
        <v>insert into ins_premium_det (premium_rcv_code,assorted_code, rec_amount,premium_rcv_detail_code,remaining_amt, payrec, mode_code,coinsurance_code,class_cd,it_remarks) values</v>
      </c>
      <c r="G223" s="11" t="str">
        <f t="shared" si="14"/>
        <v>('28Nov240101','040000140767','-1',(select max(to_number(i.premium_rcv_detail_code))+1
from ins_premium_det i),'-1','-1','02', '11000003','00','Request by Mr. Omair Ali 29-Nov-2024');</v>
      </c>
      <c r="H223" s="12" t="str">
        <f t="shared" si="15"/>
        <v>insert into ins_premium_det (premium_rcv_code,assorted_code, rec_amount,premium_rcv_detail_code,remaining_amt, payrec, mode_code,coinsurance_code,class_cd,it_remarks) values('28Nov240101','040000140767','-1',(select max(to_number(i.premium_rcv_detail_code))+1
from ins_premium_det i),'-1','-1','02', '11000003','00','Request by Mr. Omair Ali 29-Nov-2024');</v>
      </c>
    </row>
    <row r="224" spans="1:8" ht="105" x14ac:dyDescent="0.25">
      <c r="A224" t="s">
        <v>224</v>
      </c>
      <c r="B224" s="8" t="str">
        <f>VLOOKUP(A224,assortedcode!B:C,2,0)</f>
        <v>040000134473</v>
      </c>
      <c r="C224" s="1">
        <v>-1</v>
      </c>
      <c r="D224" s="9">
        <f t="shared" si="13"/>
        <v>-1</v>
      </c>
      <c r="E224" s="7" t="s">
        <v>8345</v>
      </c>
      <c r="F224" s="10" t="str">
        <f t="shared" si="12"/>
        <v>insert into ins_premium_det (premium_rcv_code,assorted_code, rec_amount,premium_rcv_detail_code,remaining_amt, payrec, mode_code,coinsurance_code,class_cd,it_remarks) values</v>
      </c>
      <c r="G224" s="11" t="str">
        <f t="shared" si="14"/>
        <v>('28Nov240101','040000134473','-1',(select max(to_number(i.premium_rcv_detail_code))+1
from ins_premium_det i),'-1','-1','02', '11000003','00','Request by Mr. Omair Ali 29-Nov-2024');</v>
      </c>
      <c r="H224" s="12" t="str">
        <f t="shared" si="15"/>
        <v>insert into ins_premium_det (premium_rcv_code,assorted_code, rec_amount,premium_rcv_detail_code,remaining_amt, payrec, mode_code,coinsurance_code,class_cd,it_remarks) values('28Nov240101','040000134473','-1',(select max(to_number(i.premium_rcv_detail_code))+1
from ins_premium_det i),'-1','-1','02', '11000003','00','Request by Mr. Omair Ali 29-Nov-2024');</v>
      </c>
    </row>
    <row r="225" spans="1:8" ht="105" x14ac:dyDescent="0.25">
      <c r="A225" t="s">
        <v>225</v>
      </c>
      <c r="B225" s="8" t="str">
        <f>VLOOKUP(A225,assortedcode!B:C,2,0)</f>
        <v>040000140769</v>
      </c>
      <c r="C225" s="1">
        <v>-1</v>
      </c>
      <c r="D225" s="9">
        <f t="shared" si="13"/>
        <v>-1</v>
      </c>
      <c r="E225" s="7" t="s">
        <v>8345</v>
      </c>
      <c r="F225" s="10" t="str">
        <f t="shared" si="12"/>
        <v>insert into ins_premium_det (premium_rcv_code,assorted_code, rec_amount,premium_rcv_detail_code,remaining_amt, payrec, mode_code,coinsurance_code,class_cd,it_remarks) values</v>
      </c>
      <c r="G225" s="11" t="str">
        <f t="shared" si="14"/>
        <v>('28Nov240101','040000140769','-1',(select max(to_number(i.premium_rcv_detail_code))+1
from ins_premium_det i),'-1','-1','02', '11000003','00','Request by Mr. Omair Ali 29-Nov-2024');</v>
      </c>
      <c r="H225" s="12" t="str">
        <f t="shared" si="15"/>
        <v>insert into ins_premium_det (premium_rcv_code,assorted_code, rec_amount,premium_rcv_detail_code,remaining_amt, payrec, mode_code,coinsurance_code,class_cd,it_remarks) values('28Nov240101','040000140769','-1',(select max(to_number(i.premium_rcv_detail_code))+1
from ins_premium_det i),'-1','-1','02', '11000003','00','Request by Mr. Omair Ali 29-Nov-2024');</v>
      </c>
    </row>
    <row r="226" spans="1:8" ht="105" x14ac:dyDescent="0.25">
      <c r="A226" t="s">
        <v>226</v>
      </c>
      <c r="B226" s="8" t="str">
        <f>VLOOKUP(A226,assortedcode!B:C,2,0)</f>
        <v>040000140746</v>
      </c>
      <c r="C226" s="1">
        <v>-1</v>
      </c>
      <c r="D226" s="9">
        <f t="shared" si="13"/>
        <v>-1</v>
      </c>
      <c r="E226" s="7" t="s">
        <v>8345</v>
      </c>
      <c r="F226" s="10" t="str">
        <f t="shared" si="12"/>
        <v>insert into ins_premium_det (premium_rcv_code,assorted_code, rec_amount,premium_rcv_detail_code,remaining_amt, payrec, mode_code,coinsurance_code,class_cd,it_remarks) values</v>
      </c>
      <c r="G226" s="11" t="str">
        <f t="shared" si="14"/>
        <v>('28Nov240101','040000140746','-1',(select max(to_number(i.premium_rcv_detail_code))+1
from ins_premium_det i),'-1','-1','02', '11000003','00','Request by Mr. Omair Ali 29-Nov-2024');</v>
      </c>
      <c r="H226" s="12" t="str">
        <f t="shared" si="15"/>
        <v>insert into ins_premium_det (premium_rcv_code,assorted_code, rec_amount,premium_rcv_detail_code,remaining_amt, payrec, mode_code,coinsurance_code,class_cd,it_remarks) values('28Nov240101','040000140746','-1',(select max(to_number(i.premium_rcv_detail_code))+1
from ins_premium_det i),'-1','-1','02', '11000003','00','Request by Mr. Omair Ali 29-Nov-2024');</v>
      </c>
    </row>
    <row r="227" spans="1:8" ht="105" x14ac:dyDescent="0.25">
      <c r="A227" t="s">
        <v>227</v>
      </c>
      <c r="B227" s="8" t="str">
        <f>VLOOKUP(A227,assortedcode!B:C,2,0)</f>
        <v>040000141114</v>
      </c>
      <c r="C227" s="1">
        <v>-1</v>
      </c>
      <c r="D227" s="9">
        <f t="shared" si="13"/>
        <v>-1</v>
      </c>
      <c r="E227" s="7" t="s">
        <v>8345</v>
      </c>
      <c r="F227" s="10" t="str">
        <f t="shared" si="12"/>
        <v>insert into ins_premium_det (premium_rcv_code,assorted_code, rec_amount,premium_rcv_detail_code,remaining_amt, payrec, mode_code,coinsurance_code,class_cd,it_remarks) values</v>
      </c>
      <c r="G227" s="11" t="str">
        <f t="shared" si="14"/>
        <v>('28Nov240101','040000141114','-1',(select max(to_number(i.premium_rcv_detail_code))+1
from ins_premium_det i),'-1','-1','02', '11000003','00','Request by Mr. Omair Ali 29-Nov-2024');</v>
      </c>
      <c r="H227" s="12" t="str">
        <f t="shared" si="15"/>
        <v>insert into ins_premium_det (premium_rcv_code,assorted_code, rec_amount,premium_rcv_detail_code,remaining_amt, payrec, mode_code,coinsurance_code,class_cd,it_remarks) values('28Nov240101','040000141114','-1',(select max(to_number(i.premium_rcv_detail_code))+1
from ins_premium_det i),'-1','-1','02', '11000003','00','Request by Mr. Omair Ali 29-Nov-2024');</v>
      </c>
    </row>
    <row r="228" spans="1:8" ht="105" x14ac:dyDescent="0.25">
      <c r="A228" t="s">
        <v>228</v>
      </c>
      <c r="B228" s="8" t="str">
        <f>VLOOKUP(A228,assortedcode!B:C,2,0)</f>
        <v>040000141618</v>
      </c>
      <c r="C228" s="1">
        <v>-1</v>
      </c>
      <c r="D228" s="9">
        <f t="shared" si="13"/>
        <v>-1</v>
      </c>
      <c r="E228" s="7" t="s">
        <v>8345</v>
      </c>
      <c r="F228" s="10" t="str">
        <f t="shared" si="12"/>
        <v>insert into ins_premium_det (premium_rcv_code,assorted_code, rec_amount,premium_rcv_detail_code,remaining_amt, payrec, mode_code,coinsurance_code,class_cd,it_remarks) values</v>
      </c>
      <c r="G228" s="11" t="str">
        <f t="shared" si="14"/>
        <v>('28Nov240101','040000141618','-1',(select max(to_number(i.premium_rcv_detail_code))+1
from ins_premium_det i),'-1','-1','02', '11000003','00','Request by Mr. Omair Ali 29-Nov-2024');</v>
      </c>
      <c r="H228" s="12" t="str">
        <f t="shared" si="15"/>
        <v>insert into ins_premium_det (premium_rcv_code,assorted_code, rec_amount,premium_rcv_detail_code,remaining_amt, payrec, mode_code,coinsurance_code,class_cd,it_remarks) values('28Nov240101','040000141618','-1',(select max(to_number(i.premium_rcv_detail_code))+1
from ins_premium_det i),'-1','-1','02', '11000003','00','Request by Mr. Omair Ali 29-Nov-2024');</v>
      </c>
    </row>
    <row r="229" spans="1:8" ht="105" x14ac:dyDescent="0.25">
      <c r="A229" t="s">
        <v>229</v>
      </c>
      <c r="B229" s="8" t="str">
        <f>VLOOKUP(A229,assortedcode!B:C,2,0)</f>
        <v>040000141118</v>
      </c>
      <c r="C229" s="1">
        <v>-1</v>
      </c>
      <c r="D229" s="9">
        <f t="shared" si="13"/>
        <v>-1</v>
      </c>
      <c r="E229" s="7" t="s">
        <v>8345</v>
      </c>
      <c r="F229" s="10" t="str">
        <f t="shared" si="12"/>
        <v>insert into ins_premium_det (premium_rcv_code,assorted_code, rec_amount,premium_rcv_detail_code,remaining_amt, payrec, mode_code,coinsurance_code,class_cd,it_remarks) values</v>
      </c>
      <c r="G229" s="11" t="str">
        <f t="shared" si="14"/>
        <v>('28Nov240101','040000141118','-1',(select max(to_number(i.premium_rcv_detail_code))+1
from ins_premium_det i),'-1','-1','02', '11000003','00','Request by Mr. Omair Ali 29-Nov-2024');</v>
      </c>
      <c r="H229" s="12" t="str">
        <f t="shared" si="15"/>
        <v>insert into ins_premium_det (premium_rcv_code,assorted_code, rec_amount,premium_rcv_detail_code,remaining_amt, payrec, mode_code,coinsurance_code,class_cd,it_remarks) values('28Nov240101','040000141118','-1',(select max(to_number(i.premium_rcv_detail_code))+1
from ins_premium_det i),'-1','-1','02', '11000003','00','Request by Mr. Omair Ali 29-Nov-2024');</v>
      </c>
    </row>
    <row r="230" spans="1:8" ht="105" x14ac:dyDescent="0.25">
      <c r="A230" t="s">
        <v>230</v>
      </c>
      <c r="B230" s="8" t="str">
        <f>VLOOKUP(A230,assortedcode!B:C,2,0)</f>
        <v>040000108321</v>
      </c>
      <c r="C230" s="1">
        <v>-1</v>
      </c>
      <c r="D230" s="9">
        <f t="shared" si="13"/>
        <v>-1</v>
      </c>
      <c r="E230" s="7" t="s">
        <v>8345</v>
      </c>
      <c r="F230" s="10" t="str">
        <f t="shared" si="12"/>
        <v>insert into ins_premium_det (premium_rcv_code,assorted_code, rec_amount,premium_rcv_detail_code,remaining_amt, payrec, mode_code,coinsurance_code,class_cd,it_remarks) values</v>
      </c>
      <c r="G230" s="11" t="str">
        <f t="shared" si="14"/>
        <v>('28Nov240101','040000108321','-1',(select max(to_number(i.premium_rcv_detail_code))+1
from ins_premium_det i),'-1','-1','02', '11000003','00','Request by Mr. Omair Ali 29-Nov-2024');</v>
      </c>
      <c r="H230" s="12" t="str">
        <f t="shared" si="15"/>
        <v>insert into ins_premium_det (premium_rcv_code,assorted_code, rec_amount,premium_rcv_detail_code,remaining_amt, payrec, mode_code,coinsurance_code,class_cd,it_remarks) values('28Nov240101','040000108321','-1',(select max(to_number(i.premium_rcv_detail_code))+1
from ins_premium_det i),'-1','-1','02', '11000003','00','Request by Mr. Omair Ali 29-Nov-2024');</v>
      </c>
    </row>
    <row r="231" spans="1:8" ht="105" x14ac:dyDescent="0.25">
      <c r="A231" t="s">
        <v>231</v>
      </c>
      <c r="B231" s="8" t="str">
        <f>VLOOKUP(A231,assortedcode!B:C,2,0)</f>
        <v>040000141305</v>
      </c>
      <c r="C231" s="1">
        <v>-1</v>
      </c>
      <c r="D231" s="9">
        <f t="shared" si="13"/>
        <v>-1</v>
      </c>
      <c r="E231" s="7" t="s">
        <v>8345</v>
      </c>
      <c r="F231" s="10" t="str">
        <f t="shared" si="12"/>
        <v>insert into ins_premium_det (premium_rcv_code,assorted_code, rec_amount,premium_rcv_detail_code,remaining_amt, payrec, mode_code,coinsurance_code,class_cd,it_remarks) values</v>
      </c>
      <c r="G231" s="11" t="str">
        <f t="shared" si="14"/>
        <v>('28Nov240101','040000141305','-1',(select max(to_number(i.premium_rcv_detail_code))+1
from ins_premium_det i),'-1','-1','02', '11000003','00','Request by Mr. Omair Ali 29-Nov-2024');</v>
      </c>
      <c r="H231" s="12" t="str">
        <f t="shared" si="15"/>
        <v>insert into ins_premium_det (premium_rcv_code,assorted_code, rec_amount,premium_rcv_detail_code,remaining_amt, payrec, mode_code,coinsurance_code,class_cd,it_remarks) values('28Nov240101','040000141305','-1',(select max(to_number(i.premium_rcv_detail_code))+1
from ins_premium_det i),'-1','-1','02', '11000003','00','Request by Mr. Omair Ali 29-Nov-2024');</v>
      </c>
    </row>
    <row r="232" spans="1:8" ht="105" x14ac:dyDescent="0.25">
      <c r="A232" t="s">
        <v>232</v>
      </c>
      <c r="B232" s="8" t="str">
        <f>VLOOKUP(A232,assortedcode!B:C,2,0)</f>
        <v>040000125668</v>
      </c>
      <c r="C232" s="1">
        <v>-1</v>
      </c>
      <c r="D232" s="9">
        <f t="shared" si="13"/>
        <v>-1</v>
      </c>
      <c r="E232" s="7" t="s">
        <v>8345</v>
      </c>
      <c r="F232" s="10" t="str">
        <f t="shared" si="12"/>
        <v>insert into ins_premium_det (premium_rcv_code,assorted_code, rec_amount,premium_rcv_detail_code,remaining_amt, payrec, mode_code,coinsurance_code,class_cd,it_remarks) values</v>
      </c>
      <c r="G232" s="11" t="str">
        <f t="shared" si="14"/>
        <v>('28Nov240101','040000125668','-1',(select max(to_number(i.premium_rcv_detail_code))+1
from ins_premium_det i),'-1','-1','02', '11000003','00','Request by Mr. Omair Ali 29-Nov-2024');</v>
      </c>
      <c r="H232" s="12" t="str">
        <f t="shared" si="15"/>
        <v>insert into ins_premium_det (premium_rcv_code,assorted_code, rec_amount,premium_rcv_detail_code,remaining_amt, payrec, mode_code,coinsurance_code,class_cd,it_remarks) values('28Nov240101','040000125668','-1',(select max(to_number(i.premium_rcv_detail_code))+1
from ins_premium_det i),'-1','-1','02', '11000003','00','Request by Mr. Omair Ali 29-Nov-2024');</v>
      </c>
    </row>
    <row r="233" spans="1:8" ht="105" x14ac:dyDescent="0.25">
      <c r="A233" t="s">
        <v>233</v>
      </c>
      <c r="B233" s="8" t="str">
        <f>VLOOKUP(A233,assortedcode!B:C,2,0)</f>
        <v>040000141347</v>
      </c>
      <c r="C233" s="1">
        <v>-1</v>
      </c>
      <c r="D233" s="9">
        <f t="shared" si="13"/>
        <v>-1</v>
      </c>
      <c r="E233" s="7" t="s">
        <v>8345</v>
      </c>
      <c r="F233" s="10" t="str">
        <f t="shared" si="12"/>
        <v>insert into ins_premium_det (premium_rcv_code,assorted_code, rec_amount,premium_rcv_detail_code,remaining_amt, payrec, mode_code,coinsurance_code,class_cd,it_remarks) values</v>
      </c>
      <c r="G233" s="11" t="str">
        <f t="shared" si="14"/>
        <v>('28Nov240101','040000141347','-1',(select max(to_number(i.premium_rcv_detail_code))+1
from ins_premium_det i),'-1','-1','02', '11000003','00','Request by Mr. Omair Ali 29-Nov-2024');</v>
      </c>
      <c r="H233" s="12" t="str">
        <f t="shared" si="15"/>
        <v>insert into ins_premium_det (premium_rcv_code,assorted_code, rec_amount,premium_rcv_detail_code,remaining_amt, payrec, mode_code,coinsurance_code,class_cd,it_remarks) values('28Nov240101','040000141347','-1',(select max(to_number(i.premium_rcv_detail_code))+1
from ins_premium_det i),'-1','-1','02', '11000003','00','Request by Mr. Omair Ali 29-Nov-2024');</v>
      </c>
    </row>
    <row r="234" spans="1:8" ht="105" x14ac:dyDescent="0.25">
      <c r="A234" t="s">
        <v>234</v>
      </c>
      <c r="B234" s="8" t="str">
        <f>VLOOKUP(A234,assortedcode!B:C,2,0)</f>
        <v>040000130670</v>
      </c>
      <c r="C234" s="1">
        <v>-1</v>
      </c>
      <c r="D234" s="9">
        <f t="shared" si="13"/>
        <v>-1</v>
      </c>
      <c r="E234" s="7" t="s">
        <v>8345</v>
      </c>
      <c r="F234" s="10" t="str">
        <f t="shared" si="12"/>
        <v>insert into ins_premium_det (premium_rcv_code,assorted_code, rec_amount,premium_rcv_detail_code,remaining_amt, payrec, mode_code,coinsurance_code,class_cd,it_remarks) values</v>
      </c>
      <c r="G234" s="11" t="str">
        <f t="shared" si="14"/>
        <v>('28Nov240101','040000130670','-1',(select max(to_number(i.premium_rcv_detail_code))+1
from ins_premium_det i),'-1','-1','02', '11000003','00','Request by Mr. Omair Ali 29-Nov-2024');</v>
      </c>
      <c r="H234" s="12" t="str">
        <f t="shared" si="15"/>
        <v>insert into ins_premium_det (premium_rcv_code,assorted_code, rec_amount,premium_rcv_detail_code,remaining_amt, payrec, mode_code,coinsurance_code,class_cd,it_remarks) values('28Nov240101','040000130670','-1',(select max(to_number(i.premium_rcv_detail_code))+1
from ins_premium_det i),'-1','-1','02', '11000003','00','Request by Mr. Omair Ali 29-Nov-2024');</v>
      </c>
    </row>
    <row r="235" spans="1:8" ht="105" x14ac:dyDescent="0.25">
      <c r="A235" t="s">
        <v>235</v>
      </c>
      <c r="B235" s="8" t="str">
        <f>VLOOKUP(A235,assortedcode!B:C,2,0)</f>
        <v>040000144506</v>
      </c>
      <c r="C235" s="1">
        <v>-1</v>
      </c>
      <c r="D235" s="9">
        <f t="shared" si="13"/>
        <v>-1</v>
      </c>
      <c r="E235" s="7" t="s">
        <v>8345</v>
      </c>
      <c r="F235" s="10" t="str">
        <f t="shared" si="12"/>
        <v>insert into ins_premium_det (premium_rcv_code,assorted_code, rec_amount,premium_rcv_detail_code,remaining_amt, payrec, mode_code,coinsurance_code,class_cd,it_remarks) values</v>
      </c>
      <c r="G235" s="11" t="str">
        <f t="shared" si="14"/>
        <v>('28Nov240101','040000144506','-1',(select max(to_number(i.premium_rcv_detail_code))+1
from ins_premium_det i),'-1','-1','02', '11000003','00','Request by Mr. Omair Ali 29-Nov-2024');</v>
      </c>
      <c r="H235" s="12" t="str">
        <f t="shared" si="15"/>
        <v>insert into ins_premium_det (premium_rcv_code,assorted_code, rec_amount,premium_rcv_detail_code,remaining_amt, payrec, mode_code,coinsurance_code,class_cd,it_remarks) values('28Nov240101','040000144506','-1',(select max(to_number(i.premium_rcv_detail_code))+1
from ins_premium_det i),'-1','-1','02', '11000003','00','Request by Mr. Omair Ali 29-Nov-2024');</v>
      </c>
    </row>
    <row r="236" spans="1:8" ht="105" x14ac:dyDescent="0.25">
      <c r="A236" t="s">
        <v>236</v>
      </c>
      <c r="B236" s="8" t="str">
        <f>VLOOKUP(A236,assortedcode!B:C,2,0)</f>
        <v>040000131757</v>
      </c>
      <c r="C236" s="1">
        <v>-1</v>
      </c>
      <c r="D236" s="9">
        <f t="shared" si="13"/>
        <v>-1</v>
      </c>
      <c r="E236" s="7" t="s">
        <v>8345</v>
      </c>
      <c r="F236" s="10" t="str">
        <f t="shared" si="12"/>
        <v>insert into ins_premium_det (premium_rcv_code,assorted_code, rec_amount,premium_rcv_detail_code,remaining_amt, payrec, mode_code,coinsurance_code,class_cd,it_remarks) values</v>
      </c>
      <c r="G236" s="11" t="str">
        <f t="shared" si="14"/>
        <v>('28Nov240101','040000131757','-1',(select max(to_number(i.premium_rcv_detail_code))+1
from ins_premium_det i),'-1','-1','02', '11000003','00','Request by Mr. Omair Ali 29-Nov-2024');</v>
      </c>
      <c r="H236" s="12" t="str">
        <f t="shared" si="15"/>
        <v>insert into ins_premium_det (premium_rcv_code,assorted_code, rec_amount,premium_rcv_detail_code,remaining_amt, payrec, mode_code,coinsurance_code,class_cd,it_remarks) values('28Nov240101','040000131757','-1',(select max(to_number(i.premium_rcv_detail_code))+1
from ins_premium_det i),'-1','-1','02', '11000003','00','Request by Mr. Omair Ali 29-Nov-2024');</v>
      </c>
    </row>
    <row r="237" spans="1:8" ht="105" x14ac:dyDescent="0.25">
      <c r="A237" t="s">
        <v>237</v>
      </c>
      <c r="B237" s="8" t="str">
        <f>VLOOKUP(A237,assortedcode!B:C,2,0)</f>
        <v>040000145467</v>
      </c>
      <c r="C237" s="1">
        <v>-1</v>
      </c>
      <c r="D237" s="9">
        <f t="shared" si="13"/>
        <v>-1</v>
      </c>
      <c r="E237" s="7" t="s">
        <v>8345</v>
      </c>
      <c r="F237" s="10" t="str">
        <f t="shared" si="12"/>
        <v>insert into ins_premium_det (premium_rcv_code,assorted_code, rec_amount,premium_rcv_detail_code,remaining_amt, payrec, mode_code,coinsurance_code,class_cd,it_remarks) values</v>
      </c>
      <c r="G237" s="11" t="str">
        <f t="shared" si="14"/>
        <v>('28Nov240101','040000145467','-1',(select max(to_number(i.premium_rcv_detail_code))+1
from ins_premium_det i),'-1','-1','02', '11000003','00','Request by Mr. Omair Ali 29-Nov-2024');</v>
      </c>
      <c r="H237" s="12" t="str">
        <f t="shared" si="15"/>
        <v>insert into ins_premium_det (premium_rcv_code,assorted_code, rec_amount,premium_rcv_detail_code,remaining_amt, payrec, mode_code,coinsurance_code,class_cd,it_remarks) values('28Nov240101','040000145467','-1',(select max(to_number(i.premium_rcv_detail_code))+1
from ins_premium_det i),'-1','-1','02', '11000003','00','Request by Mr. Omair Ali 29-Nov-2024');</v>
      </c>
    </row>
    <row r="238" spans="1:8" ht="105" x14ac:dyDescent="0.25">
      <c r="A238" t="s">
        <v>238</v>
      </c>
      <c r="B238" s="8" t="str">
        <f>VLOOKUP(A238,assortedcode!B:C,2,0)</f>
        <v>040000136075</v>
      </c>
      <c r="C238" s="1">
        <v>-1</v>
      </c>
      <c r="D238" s="9">
        <f t="shared" si="13"/>
        <v>-1</v>
      </c>
      <c r="E238" s="7" t="s">
        <v>8345</v>
      </c>
      <c r="F238" s="10" t="str">
        <f t="shared" si="12"/>
        <v>insert into ins_premium_det (premium_rcv_code,assorted_code, rec_amount,premium_rcv_detail_code,remaining_amt, payrec, mode_code,coinsurance_code,class_cd,it_remarks) values</v>
      </c>
      <c r="G238" s="11" t="str">
        <f t="shared" si="14"/>
        <v>('28Nov240101','040000136075','-1',(select max(to_number(i.premium_rcv_detail_code))+1
from ins_premium_det i),'-1','-1','02', '11000003','00','Request by Mr. Omair Ali 29-Nov-2024');</v>
      </c>
      <c r="H238" s="12" t="str">
        <f t="shared" si="15"/>
        <v>insert into ins_premium_det (premium_rcv_code,assorted_code, rec_amount,premium_rcv_detail_code,remaining_amt, payrec, mode_code,coinsurance_code,class_cd,it_remarks) values('28Nov240101','040000136075','-1',(select max(to_number(i.premium_rcv_detail_code))+1
from ins_premium_det i),'-1','-1','02', '11000003','00','Request by Mr. Omair Ali 29-Nov-2024');</v>
      </c>
    </row>
    <row r="239" spans="1:8" ht="105" x14ac:dyDescent="0.25">
      <c r="A239" t="s">
        <v>239</v>
      </c>
      <c r="B239" s="8" t="str">
        <f>VLOOKUP(A239,assortedcode!B:C,2,0)</f>
        <v>040000155018</v>
      </c>
      <c r="C239" s="1">
        <v>-1</v>
      </c>
      <c r="D239" s="9">
        <f t="shared" si="13"/>
        <v>-1</v>
      </c>
      <c r="E239" s="7" t="s">
        <v>8345</v>
      </c>
      <c r="F239" s="10" t="str">
        <f t="shared" si="12"/>
        <v>insert into ins_premium_det (premium_rcv_code,assorted_code, rec_amount,premium_rcv_detail_code,remaining_amt, payrec, mode_code,coinsurance_code,class_cd,it_remarks) values</v>
      </c>
      <c r="G239" s="11" t="str">
        <f t="shared" si="14"/>
        <v>('28Nov240101','040000155018','-1',(select max(to_number(i.premium_rcv_detail_code))+1
from ins_premium_det i),'-1','-1','02', '11000003','00','Request by Mr. Omair Ali 29-Nov-2024');</v>
      </c>
      <c r="H239" s="12" t="str">
        <f t="shared" si="15"/>
        <v>insert into ins_premium_det (premium_rcv_code,assorted_code, rec_amount,premium_rcv_detail_code,remaining_amt, payrec, mode_code,coinsurance_code,class_cd,it_remarks) values('28Nov240101','040000155018','-1',(select max(to_number(i.premium_rcv_detail_code))+1
from ins_premium_det i),'-1','-1','02', '11000003','00','Request by Mr. Omair Ali 29-Nov-2024');</v>
      </c>
    </row>
    <row r="240" spans="1:8" ht="105" x14ac:dyDescent="0.25">
      <c r="A240" t="s">
        <v>240</v>
      </c>
      <c r="B240" s="8" t="str">
        <f>VLOOKUP(A240,assortedcode!B:C,2,0)</f>
        <v>040000141787</v>
      </c>
      <c r="C240" s="1">
        <v>-1</v>
      </c>
      <c r="D240" s="9">
        <f t="shared" si="13"/>
        <v>-1</v>
      </c>
      <c r="E240" s="7" t="s">
        <v>8345</v>
      </c>
      <c r="F240" s="10" t="str">
        <f t="shared" si="12"/>
        <v>insert into ins_premium_det (premium_rcv_code,assorted_code, rec_amount,premium_rcv_detail_code,remaining_amt, payrec, mode_code,coinsurance_code,class_cd,it_remarks) values</v>
      </c>
      <c r="G240" s="11" t="str">
        <f t="shared" si="14"/>
        <v>('28Nov240101','040000141787','-1',(select max(to_number(i.premium_rcv_detail_code))+1
from ins_premium_det i),'-1','-1','02', '11000003','00','Request by Mr. Omair Ali 29-Nov-2024');</v>
      </c>
      <c r="H240" s="12" t="str">
        <f t="shared" si="15"/>
        <v>insert into ins_premium_det (premium_rcv_code,assorted_code, rec_amount,premium_rcv_detail_code,remaining_amt, payrec, mode_code,coinsurance_code,class_cd,it_remarks) values('28Nov240101','040000141787','-1',(select max(to_number(i.premium_rcv_detail_code))+1
from ins_premium_det i),'-1','-1','02', '11000003','00','Request by Mr. Omair Ali 29-Nov-2024');</v>
      </c>
    </row>
    <row r="241" spans="1:8" ht="105" x14ac:dyDescent="0.25">
      <c r="A241" t="s">
        <v>241</v>
      </c>
      <c r="B241" s="8" t="str">
        <f>VLOOKUP(A241,assortedcode!B:C,2,0)</f>
        <v>040000155068</v>
      </c>
      <c r="C241" s="1">
        <v>-1</v>
      </c>
      <c r="D241" s="9">
        <f t="shared" si="13"/>
        <v>-1</v>
      </c>
      <c r="E241" s="7" t="s">
        <v>8345</v>
      </c>
      <c r="F241" s="10" t="str">
        <f t="shared" si="12"/>
        <v>insert into ins_premium_det (premium_rcv_code,assorted_code, rec_amount,premium_rcv_detail_code,remaining_amt, payrec, mode_code,coinsurance_code,class_cd,it_remarks) values</v>
      </c>
      <c r="G241" s="11" t="str">
        <f t="shared" si="14"/>
        <v>('28Nov240101','040000155068','-1',(select max(to_number(i.premium_rcv_detail_code))+1
from ins_premium_det i),'-1','-1','02', '11000003','00','Request by Mr. Omair Ali 29-Nov-2024');</v>
      </c>
      <c r="H241" s="12" t="str">
        <f t="shared" si="15"/>
        <v>insert into ins_premium_det (premium_rcv_code,assorted_code, rec_amount,premium_rcv_detail_code,remaining_amt, payrec, mode_code,coinsurance_code,class_cd,it_remarks) values('28Nov240101','040000155068','-1',(select max(to_number(i.premium_rcv_detail_code))+1
from ins_premium_det i),'-1','-1','02', '11000003','00','Request by Mr. Omair Ali 29-Nov-2024');</v>
      </c>
    </row>
    <row r="242" spans="1:8" ht="105" x14ac:dyDescent="0.25">
      <c r="A242" t="s">
        <v>242</v>
      </c>
      <c r="B242" s="8" t="str">
        <f>VLOOKUP(A242,assortedcode!B:C,2,0)</f>
        <v>040000126829</v>
      </c>
      <c r="C242" s="1">
        <v>-1</v>
      </c>
      <c r="D242" s="9">
        <f t="shared" si="13"/>
        <v>-1</v>
      </c>
      <c r="E242" s="7" t="s">
        <v>8345</v>
      </c>
      <c r="F242" s="10" t="str">
        <f t="shared" si="12"/>
        <v>insert into ins_premium_det (premium_rcv_code,assorted_code, rec_amount,premium_rcv_detail_code,remaining_amt, payrec, mode_code,coinsurance_code,class_cd,it_remarks) values</v>
      </c>
      <c r="G242" s="11" t="str">
        <f t="shared" si="14"/>
        <v>('28Nov240101','040000126829','-1',(select max(to_number(i.premium_rcv_detail_code))+1
from ins_premium_det i),'-1','-1','02', '11000003','00','Request by Mr. Omair Ali 29-Nov-2024');</v>
      </c>
      <c r="H242" s="12" t="str">
        <f t="shared" si="15"/>
        <v>insert into ins_premium_det (premium_rcv_code,assorted_code, rec_amount,premium_rcv_detail_code,remaining_amt, payrec, mode_code,coinsurance_code,class_cd,it_remarks) values('28Nov240101','040000126829','-1',(select max(to_number(i.premium_rcv_detail_code))+1
from ins_premium_det i),'-1','-1','02', '11000003','00','Request by Mr. Omair Ali 29-Nov-2024');</v>
      </c>
    </row>
    <row r="243" spans="1:8" ht="105" x14ac:dyDescent="0.25">
      <c r="A243" t="s">
        <v>243</v>
      </c>
      <c r="B243" s="8" t="str">
        <f>VLOOKUP(A243,assortedcode!B:C,2,0)</f>
        <v>040000155084</v>
      </c>
      <c r="C243" s="1">
        <v>-1</v>
      </c>
      <c r="D243" s="9">
        <f t="shared" si="13"/>
        <v>-1</v>
      </c>
      <c r="E243" s="7" t="s">
        <v>8345</v>
      </c>
      <c r="F243" s="10" t="str">
        <f t="shared" si="12"/>
        <v>insert into ins_premium_det (premium_rcv_code,assorted_code, rec_amount,premium_rcv_detail_code,remaining_amt, payrec, mode_code,coinsurance_code,class_cd,it_remarks) values</v>
      </c>
      <c r="G243" s="11" t="str">
        <f t="shared" si="14"/>
        <v>('28Nov240101','040000155084','-1',(select max(to_number(i.premium_rcv_detail_code))+1
from ins_premium_det i),'-1','-1','02', '11000003','00','Request by Mr. Omair Ali 29-Nov-2024');</v>
      </c>
      <c r="H243" s="12" t="str">
        <f t="shared" si="15"/>
        <v>insert into ins_premium_det (premium_rcv_code,assorted_code, rec_amount,premium_rcv_detail_code,remaining_amt, payrec, mode_code,coinsurance_code,class_cd,it_remarks) values('28Nov240101','040000155084','-1',(select max(to_number(i.premium_rcv_detail_code))+1
from ins_premium_det i),'-1','-1','02', '11000003','00','Request by Mr. Omair Ali 29-Nov-2024');</v>
      </c>
    </row>
    <row r="244" spans="1:8" ht="105" x14ac:dyDescent="0.25">
      <c r="A244" t="s">
        <v>244</v>
      </c>
      <c r="B244" s="8" t="str">
        <f>VLOOKUP(A244,assortedcode!B:C,2,0)</f>
        <v>040000134390</v>
      </c>
      <c r="C244" s="1">
        <v>-1</v>
      </c>
      <c r="D244" s="9">
        <f t="shared" si="13"/>
        <v>-1</v>
      </c>
      <c r="E244" s="7" t="s">
        <v>8345</v>
      </c>
      <c r="F244" s="10" t="str">
        <f t="shared" si="12"/>
        <v>insert into ins_premium_det (premium_rcv_code,assorted_code, rec_amount,premium_rcv_detail_code,remaining_amt, payrec, mode_code,coinsurance_code,class_cd,it_remarks) values</v>
      </c>
      <c r="G244" s="11" t="str">
        <f t="shared" si="14"/>
        <v>('28Nov240101','040000134390','-1',(select max(to_number(i.premium_rcv_detail_code))+1
from ins_premium_det i),'-1','-1','02', '11000003','00','Request by Mr. Omair Ali 29-Nov-2024');</v>
      </c>
      <c r="H244" s="12" t="str">
        <f t="shared" si="15"/>
        <v>insert into ins_premium_det (premium_rcv_code,assorted_code, rec_amount,premium_rcv_detail_code,remaining_amt, payrec, mode_code,coinsurance_code,class_cd,it_remarks) values('28Nov240101','040000134390','-1',(select max(to_number(i.premium_rcv_detail_code))+1
from ins_premium_det i),'-1','-1','02', '11000003','00','Request by Mr. Omair Ali 29-Nov-2024');</v>
      </c>
    </row>
    <row r="245" spans="1:8" ht="105" x14ac:dyDescent="0.25">
      <c r="A245" t="s">
        <v>245</v>
      </c>
      <c r="B245" s="8" t="str">
        <f>VLOOKUP(A245,assortedcode!B:C,2,0)</f>
        <v>040000155203</v>
      </c>
      <c r="C245" s="1">
        <v>-1</v>
      </c>
      <c r="D245" s="9">
        <f t="shared" si="13"/>
        <v>-1</v>
      </c>
      <c r="E245" s="7" t="s">
        <v>8345</v>
      </c>
      <c r="F245" s="10" t="str">
        <f t="shared" si="12"/>
        <v>insert into ins_premium_det (premium_rcv_code,assorted_code, rec_amount,premium_rcv_detail_code,remaining_amt, payrec, mode_code,coinsurance_code,class_cd,it_remarks) values</v>
      </c>
      <c r="G245" s="11" t="str">
        <f t="shared" si="14"/>
        <v>('28Nov240101','040000155203','-1',(select max(to_number(i.premium_rcv_detail_code))+1
from ins_premium_det i),'-1','-1','02', '11000003','00','Request by Mr. Omair Ali 29-Nov-2024');</v>
      </c>
      <c r="H245" s="12" t="str">
        <f t="shared" si="15"/>
        <v>insert into ins_premium_det (premium_rcv_code,assorted_code, rec_amount,premium_rcv_detail_code,remaining_amt, payrec, mode_code,coinsurance_code,class_cd,it_remarks) values('28Nov240101','040000155203','-1',(select max(to_number(i.premium_rcv_detail_code))+1
from ins_premium_det i),'-1','-1','02', '11000003','00','Request by Mr. Omair Ali 29-Nov-2024');</v>
      </c>
    </row>
    <row r="246" spans="1:8" ht="105" x14ac:dyDescent="0.25">
      <c r="A246" t="s">
        <v>246</v>
      </c>
      <c r="B246" s="8" t="str">
        <f>VLOOKUP(A246,assortedcode!B:C,2,0)</f>
        <v>040000121345</v>
      </c>
      <c r="C246" s="1">
        <v>-1</v>
      </c>
      <c r="D246" s="9">
        <f t="shared" si="13"/>
        <v>-1</v>
      </c>
      <c r="E246" s="7" t="s">
        <v>8345</v>
      </c>
      <c r="F246" s="10" t="str">
        <f t="shared" si="12"/>
        <v>insert into ins_premium_det (premium_rcv_code,assorted_code, rec_amount,premium_rcv_detail_code,remaining_amt, payrec, mode_code,coinsurance_code,class_cd,it_remarks) values</v>
      </c>
      <c r="G246" s="11" t="str">
        <f t="shared" si="14"/>
        <v>('28Nov240101','040000121345','-1',(select max(to_number(i.premium_rcv_detail_code))+1
from ins_premium_det i),'-1','-1','02', '11000003','00','Request by Mr. Omair Ali 29-Nov-2024');</v>
      </c>
      <c r="H246" s="12" t="str">
        <f t="shared" si="15"/>
        <v>insert into ins_premium_det (premium_rcv_code,assorted_code, rec_amount,premium_rcv_detail_code,remaining_amt, payrec, mode_code,coinsurance_code,class_cd,it_remarks) values('28Nov240101','040000121345','-1',(select max(to_number(i.premium_rcv_detail_code))+1
from ins_premium_det i),'-1','-1','02', '11000003','00','Request by Mr. Omair Ali 29-Nov-2024');</v>
      </c>
    </row>
    <row r="247" spans="1:8" ht="105" x14ac:dyDescent="0.25">
      <c r="A247" t="s">
        <v>247</v>
      </c>
      <c r="B247" s="8" t="str">
        <f>VLOOKUP(A247,assortedcode!B:C,2,0)</f>
        <v>040000140826</v>
      </c>
      <c r="C247" s="1">
        <v>-1</v>
      </c>
      <c r="D247" s="9">
        <f t="shared" si="13"/>
        <v>-1</v>
      </c>
      <c r="E247" s="7" t="s">
        <v>8345</v>
      </c>
      <c r="F247" s="10" t="str">
        <f t="shared" si="12"/>
        <v>insert into ins_premium_det (premium_rcv_code,assorted_code, rec_amount,premium_rcv_detail_code,remaining_amt, payrec, mode_code,coinsurance_code,class_cd,it_remarks) values</v>
      </c>
      <c r="G247" s="11" t="str">
        <f t="shared" si="14"/>
        <v>('28Nov240101','040000140826','-1',(select max(to_number(i.premium_rcv_detail_code))+1
from ins_premium_det i),'-1','-1','02', '11000003','00','Request by Mr. Omair Ali 29-Nov-2024');</v>
      </c>
      <c r="H247" s="12" t="str">
        <f t="shared" si="15"/>
        <v>insert into ins_premium_det (premium_rcv_code,assorted_code, rec_amount,premium_rcv_detail_code,remaining_amt, payrec, mode_code,coinsurance_code,class_cd,it_remarks) values('28Nov240101','040000140826','-1',(select max(to_number(i.premium_rcv_detail_code))+1
from ins_premium_det i),'-1','-1','02', '11000003','00','Request by Mr. Omair Ali 29-Nov-2024');</v>
      </c>
    </row>
    <row r="248" spans="1:8" ht="105" x14ac:dyDescent="0.25">
      <c r="A248" t="s">
        <v>248</v>
      </c>
      <c r="B248" s="8" t="str">
        <f>VLOOKUP(A248,assortedcode!B:C,2,0)</f>
        <v>040000141515</v>
      </c>
      <c r="C248" s="1">
        <v>-1</v>
      </c>
      <c r="D248" s="9">
        <f t="shared" si="13"/>
        <v>-1</v>
      </c>
      <c r="E248" s="7" t="s">
        <v>8345</v>
      </c>
      <c r="F248" s="10" t="str">
        <f t="shared" si="12"/>
        <v>insert into ins_premium_det (premium_rcv_code,assorted_code, rec_amount,premium_rcv_detail_code,remaining_amt, payrec, mode_code,coinsurance_code,class_cd,it_remarks) values</v>
      </c>
      <c r="G248" s="11" t="str">
        <f t="shared" si="14"/>
        <v>('28Nov240101','040000141515','-1',(select max(to_number(i.premium_rcv_detail_code))+1
from ins_premium_det i),'-1','-1','02', '11000003','00','Request by Mr. Omair Ali 29-Nov-2024');</v>
      </c>
      <c r="H248" s="12" t="str">
        <f t="shared" si="15"/>
        <v>insert into ins_premium_det (premium_rcv_code,assorted_code, rec_amount,premium_rcv_detail_code,remaining_amt, payrec, mode_code,coinsurance_code,class_cd,it_remarks) values('28Nov240101','040000141515','-1',(select max(to_number(i.premium_rcv_detail_code))+1
from ins_premium_det i),'-1','-1','02', '11000003','00','Request by Mr. Omair Ali 29-Nov-2024');</v>
      </c>
    </row>
    <row r="249" spans="1:8" ht="105" x14ac:dyDescent="0.25">
      <c r="A249" t="s">
        <v>249</v>
      </c>
      <c r="B249" s="8" t="str">
        <f>VLOOKUP(A249,assortedcode!B:C,2,0)</f>
        <v>040000140832</v>
      </c>
      <c r="C249" s="1">
        <v>-1</v>
      </c>
      <c r="D249" s="9">
        <f t="shared" si="13"/>
        <v>-1</v>
      </c>
      <c r="E249" s="7" t="s">
        <v>8345</v>
      </c>
      <c r="F249" s="10" t="str">
        <f t="shared" si="12"/>
        <v>insert into ins_premium_det (premium_rcv_code,assorted_code, rec_amount,premium_rcv_detail_code,remaining_amt, payrec, mode_code,coinsurance_code,class_cd,it_remarks) values</v>
      </c>
      <c r="G249" s="11" t="str">
        <f t="shared" si="14"/>
        <v>('28Nov240101','040000140832','-1',(select max(to_number(i.premium_rcv_detail_code))+1
from ins_premium_det i),'-1','-1','02', '11000003','00','Request by Mr. Omair Ali 29-Nov-2024');</v>
      </c>
      <c r="H249" s="12" t="str">
        <f t="shared" si="15"/>
        <v>insert into ins_premium_det (premium_rcv_code,assorted_code, rec_amount,premium_rcv_detail_code,remaining_amt, payrec, mode_code,coinsurance_code,class_cd,it_remarks) values('28Nov240101','040000140832','-1',(select max(to_number(i.premium_rcv_detail_code))+1
from ins_premium_det i),'-1','-1','02', '11000003','00','Request by Mr. Omair Ali 29-Nov-2024');</v>
      </c>
    </row>
    <row r="250" spans="1:8" ht="105" x14ac:dyDescent="0.25">
      <c r="A250" t="s">
        <v>250</v>
      </c>
      <c r="B250" s="8" t="str">
        <f>VLOOKUP(A250,assortedcode!B:C,2,0)</f>
        <v>040000131571</v>
      </c>
      <c r="C250" s="1">
        <v>-1</v>
      </c>
      <c r="D250" s="9">
        <f t="shared" si="13"/>
        <v>-1</v>
      </c>
      <c r="E250" s="7" t="s">
        <v>8345</v>
      </c>
      <c r="F250" s="10" t="str">
        <f t="shared" si="12"/>
        <v>insert into ins_premium_det (premium_rcv_code,assorted_code, rec_amount,premium_rcv_detail_code,remaining_amt, payrec, mode_code,coinsurance_code,class_cd,it_remarks) values</v>
      </c>
      <c r="G250" s="11" t="str">
        <f t="shared" si="14"/>
        <v>('28Nov240101','040000131571','-1',(select max(to_number(i.premium_rcv_detail_code))+1
from ins_premium_det i),'-1','-1','02', '11000003','00','Request by Mr. Omair Ali 29-Nov-2024');</v>
      </c>
      <c r="H250" s="12" t="str">
        <f t="shared" si="15"/>
        <v>insert into ins_premium_det (premium_rcv_code,assorted_code, rec_amount,premium_rcv_detail_code,remaining_amt, payrec, mode_code,coinsurance_code,class_cd,it_remarks) values('28Nov240101','040000131571','-1',(select max(to_number(i.premium_rcv_detail_code))+1
from ins_premium_det i),'-1','-1','02', '11000003','00','Request by Mr. Omair Ali 29-Nov-2024');</v>
      </c>
    </row>
    <row r="251" spans="1:8" ht="105" x14ac:dyDescent="0.25">
      <c r="A251" t="s">
        <v>251</v>
      </c>
      <c r="B251" s="8" t="str">
        <f>VLOOKUP(A251,assortedcode!B:C,2,0)</f>
        <v>040000140843</v>
      </c>
      <c r="C251" s="1">
        <v>-1</v>
      </c>
      <c r="D251" s="9">
        <f t="shared" si="13"/>
        <v>-1</v>
      </c>
      <c r="E251" s="7" t="s">
        <v>8345</v>
      </c>
      <c r="F251" s="10" t="str">
        <f t="shared" si="12"/>
        <v>insert into ins_premium_det (premium_rcv_code,assorted_code, rec_amount,premium_rcv_detail_code,remaining_amt, payrec, mode_code,coinsurance_code,class_cd,it_remarks) values</v>
      </c>
      <c r="G251" s="11" t="str">
        <f t="shared" si="14"/>
        <v>('28Nov240101','040000140843','-1',(select max(to_number(i.premium_rcv_detail_code))+1
from ins_premium_det i),'-1','-1','02', '11000003','00','Request by Mr. Omair Ali 29-Nov-2024');</v>
      </c>
      <c r="H251" s="12" t="str">
        <f t="shared" si="15"/>
        <v>insert into ins_premium_det (premium_rcv_code,assorted_code, rec_amount,premium_rcv_detail_code,remaining_amt, payrec, mode_code,coinsurance_code,class_cd,it_remarks) values('28Nov240101','040000140843','-1',(select max(to_number(i.premium_rcv_detail_code))+1
from ins_premium_det i),'-1','-1','02', '11000003','00','Request by Mr. Omair Ali 29-Nov-2024');</v>
      </c>
    </row>
    <row r="252" spans="1:8" ht="105" x14ac:dyDescent="0.25">
      <c r="A252" t="s">
        <v>252</v>
      </c>
      <c r="B252" s="8" t="str">
        <f>VLOOKUP(A252,assortedcode!B:C,2,0)</f>
        <v>040000148145</v>
      </c>
      <c r="C252" s="1">
        <v>-0.5</v>
      </c>
      <c r="D252" s="9">
        <f t="shared" si="13"/>
        <v>-1</v>
      </c>
      <c r="E252" s="7" t="s">
        <v>8345</v>
      </c>
      <c r="F252" s="10" t="str">
        <f t="shared" si="12"/>
        <v>insert into ins_premium_det (premium_rcv_code,assorted_code, rec_amount,premium_rcv_detail_code,remaining_amt, payrec, mode_code,coinsurance_code,class_cd,it_remarks) values</v>
      </c>
      <c r="G252" s="11" t="str">
        <f t="shared" si="14"/>
        <v>('28Nov240101','040000148145','-1',(select max(to_number(i.premium_rcv_detail_code))+1
from ins_premium_det i),'-1','-1','02', '11000003','00','Request by Mr. Omair Ali 29-Nov-2024');</v>
      </c>
      <c r="H252" s="12" t="str">
        <f t="shared" si="15"/>
        <v>insert into ins_premium_det (premium_rcv_code,assorted_code, rec_amount,premium_rcv_detail_code,remaining_amt, payrec, mode_code,coinsurance_code,class_cd,it_remarks) values('28Nov240101','040000148145','-1',(select max(to_number(i.premium_rcv_detail_code))+1
from ins_premium_det i),'-1','-1','02', '11000003','00','Request by Mr. Omair Ali 29-Nov-2024');</v>
      </c>
    </row>
    <row r="253" spans="1:8" ht="105" x14ac:dyDescent="0.25">
      <c r="A253" t="s">
        <v>253</v>
      </c>
      <c r="B253" s="8" t="str">
        <f>VLOOKUP(A253,assortedcode!B:C,2,0)</f>
        <v>040000134114</v>
      </c>
      <c r="C253" s="1">
        <v>-0.5</v>
      </c>
      <c r="D253" s="9">
        <f t="shared" si="13"/>
        <v>-1</v>
      </c>
      <c r="E253" s="7" t="s">
        <v>8345</v>
      </c>
      <c r="F253" s="10" t="str">
        <f t="shared" si="12"/>
        <v>insert into ins_premium_det (premium_rcv_code,assorted_code, rec_amount,premium_rcv_detail_code,remaining_amt, payrec, mode_code,coinsurance_code,class_cd,it_remarks) values</v>
      </c>
      <c r="G253" s="11" t="str">
        <f t="shared" si="14"/>
        <v>('28Nov240101','040000134114','-1',(select max(to_number(i.premium_rcv_detail_code))+1
from ins_premium_det i),'-1','-1','02', '11000003','00','Request by Mr. Omair Ali 29-Nov-2024');</v>
      </c>
      <c r="H253" s="12" t="str">
        <f t="shared" si="15"/>
        <v>insert into ins_premium_det (premium_rcv_code,assorted_code, rec_amount,premium_rcv_detail_code,remaining_amt, payrec, mode_code,coinsurance_code,class_cd,it_remarks) values('28Nov240101','040000134114','-1',(select max(to_number(i.premium_rcv_detail_code))+1
from ins_premium_det i),'-1','-1','02', '11000003','00','Request by Mr. Omair Ali 29-Nov-2024');</v>
      </c>
    </row>
    <row r="254" spans="1:8" ht="105" x14ac:dyDescent="0.25">
      <c r="A254" t="s">
        <v>254</v>
      </c>
      <c r="B254" s="8" t="str">
        <f>VLOOKUP(A254,assortedcode!B:C,2,0)</f>
        <v>040000134435</v>
      </c>
      <c r="C254" s="1">
        <v>-0.5</v>
      </c>
      <c r="D254" s="9">
        <f t="shared" si="13"/>
        <v>-1</v>
      </c>
      <c r="E254" s="7" t="s">
        <v>8345</v>
      </c>
      <c r="F254" s="10" t="str">
        <f t="shared" si="12"/>
        <v>insert into ins_premium_det (premium_rcv_code,assorted_code, rec_amount,premium_rcv_detail_code,remaining_amt, payrec, mode_code,coinsurance_code,class_cd,it_remarks) values</v>
      </c>
      <c r="G254" s="11" t="str">
        <f t="shared" si="14"/>
        <v>('28Nov240101','040000134435','-1',(select max(to_number(i.premium_rcv_detail_code))+1
from ins_premium_det i),'-1','-1','02', '11000003','00','Request by Mr. Omair Ali 29-Nov-2024');</v>
      </c>
      <c r="H254" s="12" t="str">
        <f t="shared" si="15"/>
        <v>insert into ins_premium_det (premium_rcv_code,assorted_code, rec_amount,premium_rcv_detail_code,remaining_amt, payrec, mode_code,coinsurance_code,class_cd,it_remarks) values('28Nov240101','040000134435','-1',(select max(to_number(i.premium_rcv_detail_code))+1
from ins_premium_det i),'-1','-1','02', '11000003','00','Request by Mr. Omair Ali 29-Nov-2024');</v>
      </c>
    </row>
    <row r="255" spans="1:8" ht="105" x14ac:dyDescent="0.25">
      <c r="A255" t="s">
        <v>255</v>
      </c>
      <c r="B255" s="8" t="str">
        <f>VLOOKUP(A255,assortedcode!B:C,2,0)</f>
        <v>040000129631</v>
      </c>
      <c r="C255" s="1">
        <v>-0.5</v>
      </c>
      <c r="D255" s="9">
        <f t="shared" si="13"/>
        <v>-1</v>
      </c>
      <c r="E255" s="7" t="s">
        <v>8345</v>
      </c>
      <c r="F255" s="10" t="str">
        <f t="shared" si="12"/>
        <v>insert into ins_premium_det (premium_rcv_code,assorted_code, rec_amount,premium_rcv_detail_code,remaining_amt, payrec, mode_code,coinsurance_code,class_cd,it_remarks) values</v>
      </c>
      <c r="G255" s="11" t="str">
        <f t="shared" si="14"/>
        <v>('28Nov240101','040000129631','-1',(select max(to_number(i.premium_rcv_detail_code))+1
from ins_premium_det i),'-1','-1','02', '11000003','00','Request by Mr. Omair Ali 29-Nov-2024');</v>
      </c>
      <c r="H255" s="12" t="str">
        <f t="shared" si="15"/>
        <v>insert into ins_premium_det (premium_rcv_code,assorted_code, rec_amount,premium_rcv_detail_code,remaining_amt, payrec, mode_code,coinsurance_code,class_cd,it_remarks) values('28Nov240101','040000129631','-1',(select max(to_number(i.premium_rcv_detail_code))+1
from ins_premium_det i),'-1','-1','02', '11000003','00','Request by Mr. Omair Ali 29-Nov-2024');</v>
      </c>
    </row>
    <row r="256" spans="1:8" ht="105" x14ac:dyDescent="0.25">
      <c r="A256" t="s">
        <v>256</v>
      </c>
      <c r="B256" s="8" t="str">
        <f>VLOOKUP(A256,assortedcode!B:C,2,0)</f>
        <v>040000138821</v>
      </c>
      <c r="C256" s="1">
        <v>-0.5</v>
      </c>
      <c r="D256" s="9">
        <f t="shared" si="13"/>
        <v>-1</v>
      </c>
      <c r="E256" s="7" t="s">
        <v>8345</v>
      </c>
      <c r="F256" s="10" t="str">
        <f t="shared" si="12"/>
        <v>insert into ins_premium_det (premium_rcv_code,assorted_code, rec_amount,premium_rcv_detail_code,remaining_amt, payrec, mode_code,coinsurance_code,class_cd,it_remarks) values</v>
      </c>
      <c r="G256" s="11" t="str">
        <f t="shared" si="14"/>
        <v>('28Nov240101','040000138821','-1',(select max(to_number(i.premium_rcv_detail_code))+1
from ins_premium_det i),'-1','-1','02', '11000003','00','Request by Mr. Omair Ali 29-Nov-2024');</v>
      </c>
      <c r="H256" s="12" t="str">
        <f t="shared" si="15"/>
        <v>insert into ins_premium_det (premium_rcv_code,assorted_code, rec_amount,premium_rcv_detail_code,remaining_amt, payrec, mode_code,coinsurance_code,class_cd,it_remarks) values('28Nov240101','040000138821','-1',(select max(to_number(i.premium_rcv_detail_code))+1
from ins_premium_det i),'-1','-1','02', '11000003','00','Request by Mr. Omair Ali 29-Nov-2024');</v>
      </c>
    </row>
    <row r="257" spans="1:8" ht="105" x14ac:dyDescent="0.25">
      <c r="A257" t="s">
        <v>257</v>
      </c>
      <c r="B257" s="8" t="str">
        <f>VLOOKUP(A257,assortedcode!B:C,2,0)</f>
        <v>040000134113</v>
      </c>
      <c r="C257" s="1">
        <v>-0.5</v>
      </c>
      <c r="D257" s="9">
        <f t="shared" si="13"/>
        <v>-1</v>
      </c>
      <c r="E257" s="7" t="s">
        <v>8345</v>
      </c>
      <c r="F257" s="10" t="str">
        <f t="shared" si="12"/>
        <v>insert into ins_premium_det (premium_rcv_code,assorted_code, rec_amount,premium_rcv_detail_code,remaining_amt, payrec, mode_code,coinsurance_code,class_cd,it_remarks) values</v>
      </c>
      <c r="G257" s="11" t="str">
        <f t="shared" si="14"/>
        <v>('28Nov240101','040000134113','-1',(select max(to_number(i.premium_rcv_detail_code))+1
from ins_premium_det i),'-1','-1','02', '11000003','00','Request by Mr. Omair Ali 29-Nov-2024');</v>
      </c>
      <c r="H257" s="12" t="str">
        <f t="shared" si="15"/>
        <v>insert into ins_premium_det (premium_rcv_code,assorted_code, rec_amount,premium_rcv_detail_code,remaining_amt, payrec, mode_code,coinsurance_code,class_cd,it_remarks) values('28Nov240101','040000134113','-1',(select max(to_number(i.premium_rcv_detail_code))+1
from ins_premium_det i),'-1','-1','02', '11000003','00','Request by Mr. Omair Ali 29-Nov-2024');</v>
      </c>
    </row>
    <row r="258" spans="1:8" ht="105" x14ac:dyDescent="0.25">
      <c r="A258" t="s">
        <v>258</v>
      </c>
      <c r="B258" s="8" t="str">
        <f>VLOOKUP(A258,assortedcode!B:C,2,0)</f>
        <v>040000124878</v>
      </c>
      <c r="C258" s="1">
        <v>-0.5</v>
      </c>
      <c r="D258" s="9">
        <f t="shared" si="13"/>
        <v>-1</v>
      </c>
      <c r="E258" s="7" t="s">
        <v>8345</v>
      </c>
      <c r="F258" s="10" t="str">
        <f t="shared" ref="F258:F321" si="16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258" s="11" t="str">
        <f t="shared" si="14"/>
        <v>('28Nov240101','040000124878','-1',(select max(to_number(i.premium_rcv_detail_code))+1
from ins_premium_det i),'-1','-1','02', '11000003','00','Request by Mr. Omair Ali 29-Nov-2024');</v>
      </c>
      <c r="H258" s="12" t="str">
        <f t="shared" si="15"/>
        <v>insert into ins_premium_det (premium_rcv_code,assorted_code, rec_amount,premium_rcv_detail_code,remaining_amt, payrec, mode_code,coinsurance_code,class_cd,it_remarks) values('28Nov240101','040000124878','-1',(select max(to_number(i.premium_rcv_detail_code))+1
from ins_premium_det i),'-1','-1','02', '11000003','00','Request by Mr. Omair Ali 29-Nov-2024');</v>
      </c>
    </row>
    <row r="259" spans="1:8" ht="105" x14ac:dyDescent="0.25">
      <c r="A259" t="s">
        <v>259</v>
      </c>
      <c r="B259" s="8" t="str">
        <f>VLOOKUP(A259,assortedcode!B:C,2,0)</f>
        <v>040000146998</v>
      </c>
      <c r="C259" s="1">
        <v>-0.5</v>
      </c>
      <c r="D259" s="9">
        <f t="shared" ref="D259:D322" si="17">ROUND(C259,0)</f>
        <v>-1</v>
      </c>
      <c r="E259" s="7" t="s">
        <v>8345</v>
      </c>
      <c r="F259" s="10" t="str">
        <f t="shared" si="16"/>
        <v>insert into ins_premium_det (premium_rcv_code,assorted_code, rec_amount,premium_rcv_detail_code,remaining_amt, payrec, mode_code,coinsurance_code,class_cd,it_remarks) values</v>
      </c>
      <c r="G259" s="11" t="str">
        <f t="shared" ref="G259:G322" si="18">"('"&amp;E259&amp;"','"&amp;B259&amp;"','"&amp;ROUND(D259,2)&amp;"',(select max(to_number(i.premium_rcv_detail_code))+1
from ins_premium_det i),'"&amp;D259&amp;"','"&amp;D259&amp;"','02', '11000003','00','Request by Mr. Omair Ali 29-Nov-2024');"</f>
        <v>('28Nov240101','040000146998','-1',(select max(to_number(i.premium_rcv_detail_code))+1
from ins_premium_det i),'-1','-1','02', '11000003','00','Request by Mr. Omair Ali 29-Nov-2024');</v>
      </c>
      <c r="H259" s="12" t="str">
        <f t="shared" ref="H259:H322" si="19">F259&amp;G259</f>
        <v>insert into ins_premium_det (premium_rcv_code,assorted_code, rec_amount,premium_rcv_detail_code,remaining_amt, payrec, mode_code,coinsurance_code,class_cd,it_remarks) values('28Nov240101','040000146998','-1',(select max(to_number(i.premium_rcv_detail_code))+1
from ins_premium_det i),'-1','-1','02', '11000003','00','Request by Mr. Omair Ali 29-Nov-2024');</v>
      </c>
    </row>
    <row r="260" spans="1:8" ht="105" x14ac:dyDescent="0.25">
      <c r="A260" t="s">
        <v>260</v>
      </c>
      <c r="B260" s="8" t="str">
        <f>VLOOKUP(A260,assortedcode!B:C,2,0)</f>
        <v>040000129619</v>
      </c>
      <c r="C260" s="1">
        <v>-0.5</v>
      </c>
      <c r="D260" s="9">
        <f t="shared" si="17"/>
        <v>-1</v>
      </c>
      <c r="E260" s="7" t="s">
        <v>8345</v>
      </c>
      <c r="F260" s="10" t="str">
        <f t="shared" si="16"/>
        <v>insert into ins_premium_det (premium_rcv_code,assorted_code, rec_amount,premium_rcv_detail_code,remaining_amt, payrec, mode_code,coinsurance_code,class_cd,it_remarks) values</v>
      </c>
      <c r="G260" s="11" t="str">
        <f t="shared" si="18"/>
        <v>('28Nov240101','040000129619','-1',(select max(to_number(i.premium_rcv_detail_code))+1
from ins_premium_det i),'-1','-1','02', '11000003','00','Request by Mr. Omair Ali 29-Nov-2024');</v>
      </c>
      <c r="H260" s="12" t="str">
        <f t="shared" si="19"/>
        <v>insert into ins_premium_det (premium_rcv_code,assorted_code, rec_amount,premium_rcv_detail_code,remaining_amt, payrec, mode_code,coinsurance_code,class_cd,it_remarks) values('28Nov240101','040000129619','-1',(select max(to_number(i.premium_rcv_detail_code))+1
from ins_premium_det i),'-1','-1','02', '11000003','00','Request by Mr. Omair Ali 29-Nov-2024');</v>
      </c>
    </row>
    <row r="261" spans="1:8" ht="105" x14ac:dyDescent="0.25">
      <c r="A261" t="s">
        <v>261</v>
      </c>
      <c r="B261" s="8" t="str">
        <f>VLOOKUP(A261,assortedcode!B:C,2,0)</f>
        <v>040000180517</v>
      </c>
      <c r="C261" s="1">
        <v>-0.4</v>
      </c>
      <c r="D261" s="9">
        <f t="shared" si="17"/>
        <v>0</v>
      </c>
      <c r="E261" s="7" t="s">
        <v>8345</v>
      </c>
      <c r="F261" s="10" t="str">
        <f t="shared" si="16"/>
        <v>insert into ins_premium_det (premium_rcv_code,assorted_code, rec_amount,premium_rcv_detail_code,remaining_amt, payrec, mode_code,coinsurance_code,class_cd,it_remarks) values</v>
      </c>
      <c r="G261" s="11" t="str">
        <f t="shared" si="18"/>
        <v>('28Nov240101','040000180517','0',(select max(to_number(i.premium_rcv_detail_code))+1
from ins_premium_det i),'0','0','02', '11000003','00','Request by Mr. Omair Ali 29-Nov-2024');</v>
      </c>
      <c r="H261" s="12" t="str">
        <f t="shared" si="19"/>
        <v>insert into ins_premium_det (premium_rcv_code,assorted_code, rec_amount,premium_rcv_detail_code,remaining_amt, payrec, mode_code,coinsurance_code,class_cd,it_remarks) values('28Nov240101','040000180517','0',(select max(to_number(i.premium_rcv_detail_code))+1
from ins_premium_det i),'0','0','02', '11000003','00','Request by Mr. Omair Ali 29-Nov-2024');</v>
      </c>
    </row>
    <row r="262" spans="1:8" ht="105" x14ac:dyDescent="0.25">
      <c r="A262" t="s">
        <v>262</v>
      </c>
      <c r="B262" s="8" t="str">
        <f>VLOOKUP(A262,assortedcode!B:C,2,0)</f>
        <v>040000144937</v>
      </c>
      <c r="C262" s="1">
        <v>-0.29999999999883586</v>
      </c>
      <c r="D262" s="9">
        <f t="shared" si="17"/>
        <v>0</v>
      </c>
      <c r="E262" s="7" t="s">
        <v>8345</v>
      </c>
      <c r="F262" s="10" t="str">
        <f t="shared" si="16"/>
        <v>insert into ins_premium_det (premium_rcv_code,assorted_code, rec_amount,premium_rcv_detail_code,remaining_amt, payrec, mode_code,coinsurance_code,class_cd,it_remarks) values</v>
      </c>
      <c r="G262" s="11" t="str">
        <f t="shared" si="18"/>
        <v>('28Nov240101','040000144937','0',(select max(to_number(i.premium_rcv_detail_code))+1
from ins_premium_det i),'0','0','02', '11000003','00','Request by Mr. Omair Ali 29-Nov-2024');</v>
      </c>
      <c r="H262" s="12" t="str">
        <f t="shared" si="19"/>
        <v>insert into ins_premium_det (premium_rcv_code,assorted_code, rec_amount,premium_rcv_detail_code,remaining_amt, payrec, mode_code,coinsurance_code,class_cd,it_remarks) values('28Nov240101','040000144937','0',(select max(to_number(i.premium_rcv_detail_code))+1
from ins_premium_det i),'0','0','02', '11000003','00','Request by Mr. Omair Ali 29-Nov-2024');</v>
      </c>
    </row>
    <row r="263" spans="1:8" ht="105" x14ac:dyDescent="0.25">
      <c r="A263" t="s">
        <v>263</v>
      </c>
      <c r="B263" s="8" t="str">
        <f>VLOOKUP(A263,assortedcode!B:C,2,0)</f>
        <v>040000130865</v>
      </c>
      <c r="C263" s="1">
        <v>-0.25</v>
      </c>
      <c r="D263" s="9">
        <f t="shared" si="17"/>
        <v>0</v>
      </c>
      <c r="E263" s="7" t="s">
        <v>8345</v>
      </c>
      <c r="F263" s="10" t="str">
        <f t="shared" si="16"/>
        <v>insert into ins_premium_det (premium_rcv_code,assorted_code, rec_amount,premium_rcv_detail_code,remaining_amt, payrec, mode_code,coinsurance_code,class_cd,it_remarks) values</v>
      </c>
      <c r="G263" s="11" t="str">
        <f t="shared" si="18"/>
        <v>('28Nov240101','040000130865','0',(select max(to_number(i.premium_rcv_detail_code))+1
from ins_premium_det i),'0','0','02', '11000003','00','Request by Mr. Omair Ali 29-Nov-2024');</v>
      </c>
      <c r="H263" s="12" t="str">
        <f t="shared" si="19"/>
        <v>insert into ins_premium_det (premium_rcv_code,assorted_code, rec_amount,premium_rcv_detail_code,remaining_amt, payrec, mode_code,coinsurance_code,class_cd,it_remarks) values('28Nov240101','040000130865','0',(select max(to_number(i.premium_rcv_detail_code))+1
from ins_premium_det i),'0','0','02', '11000003','00','Request by Mr. Omair Ali 29-Nov-2024');</v>
      </c>
    </row>
    <row r="264" spans="1:8" ht="105" x14ac:dyDescent="0.25">
      <c r="A264" t="s">
        <v>264</v>
      </c>
      <c r="B264" s="8" t="str">
        <f>VLOOKUP(A264,assortedcode!B:C,2,0)</f>
        <v>040000177762</v>
      </c>
      <c r="C264" s="1">
        <v>0</v>
      </c>
      <c r="D264" s="9">
        <f t="shared" si="17"/>
        <v>0</v>
      </c>
      <c r="E264" s="7" t="s">
        <v>8345</v>
      </c>
      <c r="F264" s="10" t="str">
        <f t="shared" si="16"/>
        <v>insert into ins_premium_det (premium_rcv_code,assorted_code, rec_amount,premium_rcv_detail_code,remaining_amt, payrec, mode_code,coinsurance_code,class_cd,it_remarks) values</v>
      </c>
      <c r="G264" s="11" t="str">
        <f t="shared" si="18"/>
        <v>('28Nov240101','040000177762','0',(select max(to_number(i.premium_rcv_detail_code))+1
from ins_premium_det i),'0','0','02', '11000003','00','Request by Mr. Omair Ali 29-Nov-2024');</v>
      </c>
      <c r="H264" s="12" t="str">
        <f t="shared" si="19"/>
        <v>insert into ins_premium_det (premium_rcv_code,assorted_code, rec_amount,premium_rcv_detail_code,remaining_amt, payrec, mode_code,coinsurance_code,class_cd,it_remarks) values('28Nov240101','040000177762','0',(select max(to_number(i.premium_rcv_detail_code))+1
from ins_premium_det i),'0','0','02', '11000003','00','Request by Mr. Omair Ali 29-Nov-2024');</v>
      </c>
    </row>
    <row r="265" spans="1:8" ht="105" x14ac:dyDescent="0.25">
      <c r="A265" t="s">
        <v>265</v>
      </c>
      <c r="B265" s="8" t="str">
        <f>VLOOKUP(A265,assortedcode!B:C,2,0)</f>
        <v>040000180468</v>
      </c>
      <c r="C265" s="1">
        <v>0</v>
      </c>
      <c r="D265" s="9">
        <f t="shared" si="17"/>
        <v>0</v>
      </c>
      <c r="E265" s="7" t="s">
        <v>8345</v>
      </c>
      <c r="F265" s="10" t="str">
        <f t="shared" si="16"/>
        <v>insert into ins_premium_det (premium_rcv_code,assorted_code, rec_amount,premium_rcv_detail_code,remaining_amt, payrec, mode_code,coinsurance_code,class_cd,it_remarks) values</v>
      </c>
      <c r="G265" s="11" t="str">
        <f t="shared" si="18"/>
        <v>('28Nov240101','040000180468','0',(select max(to_number(i.premium_rcv_detail_code))+1
from ins_premium_det i),'0','0','02', '11000003','00','Request by Mr. Omair Ali 29-Nov-2024');</v>
      </c>
      <c r="H265" s="12" t="str">
        <f t="shared" si="19"/>
        <v>insert into ins_premium_det (premium_rcv_code,assorted_code, rec_amount,premium_rcv_detail_code,remaining_amt, payrec, mode_code,coinsurance_code,class_cd,it_remarks) values('28Nov240101','040000180468','0',(select max(to_number(i.premium_rcv_detail_code))+1
from ins_premium_det i),'0','0','02', '11000003','00','Request by Mr. Omair Ali 29-Nov-2024');</v>
      </c>
    </row>
    <row r="266" spans="1:8" ht="105" x14ac:dyDescent="0.25">
      <c r="A266" t="s">
        <v>266</v>
      </c>
      <c r="B266" s="8" t="str">
        <f>VLOOKUP(A266,assortedcode!B:C,2,0)</f>
        <v>040000180469</v>
      </c>
      <c r="C266" s="1">
        <v>0</v>
      </c>
      <c r="D266" s="9">
        <f t="shared" si="17"/>
        <v>0</v>
      </c>
      <c r="E266" s="7" t="s">
        <v>8345</v>
      </c>
      <c r="F266" s="10" t="str">
        <f t="shared" si="16"/>
        <v>insert into ins_premium_det (premium_rcv_code,assorted_code, rec_amount,premium_rcv_detail_code,remaining_amt, payrec, mode_code,coinsurance_code,class_cd,it_remarks) values</v>
      </c>
      <c r="G266" s="11" t="str">
        <f t="shared" si="18"/>
        <v>('28Nov240101','040000180469','0',(select max(to_number(i.premium_rcv_detail_code))+1
from ins_premium_det i),'0','0','02', '11000003','00','Request by Mr. Omair Ali 29-Nov-2024');</v>
      </c>
      <c r="H266" s="12" t="str">
        <f t="shared" si="19"/>
        <v>insert into ins_premium_det (premium_rcv_code,assorted_code, rec_amount,premium_rcv_detail_code,remaining_amt, payrec, mode_code,coinsurance_code,class_cd,it_remarks) values('28Nov240101','040000180469','0',(select max(to_number(i.premium_rcv_detail_code))+1
from ins_premium_det i),'0','0','02', '11000003','00','Request by Mr. Omair Ali 29-Nov-2024');</v>
      </c>
    </row>
    <row r="267" spans="1:8" ht="105" x14ac:dyDescent="0.25">
      <c r="A267" t="s">
        <v>267</v>
      </c>
      <c r="B267" s="8" t="str">
        <f>VLOOKUP(A267,assortedcode!B:C,2,0)</f>
        <v>040000094807</v>
      </c>
      <c r="C267" s="1">
        <v>0</v>
      </c>
      <c r="D267" s="9">
        <f t="shared" si="17"/>
        <v>0</v>
      </c>
      <c r="E267" s="7" t="s">
        <v>8345</v>
      </c>
      <c r="F267" s="10" t="str">
        <f t="shared" si="16"/>
        <v>insert into ins_premium_det (premium_rcv_code,assorted_code, rec_amount,premium_rcv_detail_code,remaining_amt, payrec, mode_code,coinsurance_code,class_cd,it_remarks) values</v>
      </c>
      <c r="G267" s="11" t="str">
        <f t="shared" si="18"/>
        <v>('28Nov240101','040000094807','0',(select max(to_number(i.premium_rcv_detail_code))+1
from ins_premium_det i),'0','0','02', '11000003','00','Request by Mr. Omair Ali 29-Nov-2024');</v>
      </c>
      <c r="H267" s="12" t="str">
        <f t="shared" si="19"/>
        <v>insert into ins_premium_det (premium_rcv_code,assorted_code, rec_amount,premium_rcv_detail_code,remaining_amt, payrec, mode_code,coinsurance_code,class_cd,it_remarks) values('28Nov240101','040000094807','0',(select max(to_number(i.premium_rcv_detail_code))+1
from ins_premium_det i),'0','0','02', '11000003','00','Request by Mr. Omair Ali 29-Nov-2024');</v>
      </c>
    </row>
    <row r="268" spans="1:8" ht="105" x14ac:dyDescent="0.25">
      <c r="A268" t="s">
        <v>268</v>
      </c>
      <c r="B268" s="8" t="str">
        <f>VLOOKUP(A268,assortedcode!B:C,2,0)</f>
        <v>040000180479</v>
      </c>
      <c r="C268" s="1">
        <v>0</v>
      </c>
      <c r="D268" s="9">
        <f t="shared" si="17"/>
        <v>0</v>
      </c>
      <c r="E268" s="7" t="s">
        <v>8345</v>
      </c>
      <c r="F268" s="10" t="str">
        <f t="shared" si="16"/>
        <v>insert into ins_premium_det (premium_rcv_code,assorted_code, rec_amount,premium_rcv_detail_code,remaining_amt, payrec, mode_code,coinsurance_code,class_cd,it_remarks) values</v>
      </c>
      <c r="G268" s="11" t="str">
        <f t="shared" si="18"/>
        <v>('28Nov240101','040000180479','0',(select max(to_number(i.premium_rcv_detail_code))+1
from ins_premium_det i),'0','0','02', '11000003','00','Request by Mr. Omair Ali 29-Nov-2024');</v>
      </c>
      <c r="H268" s="12" t="str">
        <f t="shared" si="19"/>
        <v>insert into ins_premium_det (premium_rcv_code,assorted_code, rec_amount,premium_rcv_detail_code,remaining_amt, payrec, mode_code,coinsurance_code,class_cd,it_remarks) values('28Nov240101','040000180479','0',(select max(to_number(i.premium_rcv_detail_code))+1
from ins_premium_det i),'0','0','02', '11000003','00','Request by Mr. Omair Ali 29-Nov-2024');</v>
      </c>
    </row>
    <row r="269" spans="1:8" ht="105" x14ac:dyDescent="0.25">
      <c r="A269" t="s">
        <v>269</v>
      </c>
      <c r="B269" s="8" t="str">
        <f>VLOOKUP(A269,assortedcode!B:C,2,0)</f>
        <v>040000139899</v>
      </c>
      <c r="C269" s="1">
        <v>0</v>
      </c>
      <c r="D269" s="9">
        <f t="shared" si="17"/>
        <v>0</v>
      </c>
      <c r="E269" s="7" t="s">
        <v>8345</v>
      </c>
      <c r="F269" s="10" t="str">
        <f t="shared" si="16"/>
        <v>insert into ins_premium_det (premium_rcv_code,assorted_code, rec_amount,premium_rcv_detail_code,remaining_amt, payrec, mode_code,coinsurance_code,class_cd,it_remarks) values</v>
      </c>
      <c r="G269" s="11" t="str">
        <f t="shared" si="18"/>
        <v>('28Nov240101','040000139899','0',(select max(to_number(i.premium_rcv_detail_code))+1
from ins_premium_det i),'0','0','02', '11000003','00','Request by Mr. Omair Ali 29-Nov-2024');</v>
      </c>
      <c r="H269" s="12" t="str">
        <f t="shared" si="19"/>
        <v>insert into ins_premium_det (premium_rcv_code,assorted_code, rec_amount,premium_rcv_detail_code,remaining_amt, payrec, mode_code,coinsurance_code,class_cd,it_remarks) values('28Nov240101','040000139899','0',(select max(to_number(i.premium_rcv_detail_code))+1
from ins_premium_det i),'0','0','02', '11000003','00','Request by Mr. Omair Ali 29-Nov-2024');</v>
      </c>
    </row>
    <row r="270" spans="1:8" ht="105" x14ac:dyDescent="0.25">
      <c r="A270" t="s">
        <v>270</v>
      </c>
      <c r="B270" s="8" t="str">
        <f>VLOOKUP(A270,assortedcode!B:C,2,0)</f>
        <v>040000180490</v>
      </c>
      <c r="C270" s="1">
        <v>0</v>
      </c>
      <c r="D270" s="9">
        <f t="shared" si="17"/>
        <v>0</v>
      </c>
      <c r="E270" s="7" t="s">
        <v>8345</v>
      </c>
      <c r="F270" s="10" t="str">
        <f t="shared" si="16"/>
        <v>insert into ins_premium_det (premium_rcv_code,assorted_code, rec_amount,premium_rcv_detail_code,remaining_amt, payrec, mode_code,coinsurance_code,class_cd,it_remarks) values</v>
      </c>
      <c r="G270" s="11" t="str">
        <f t="shared" si="18"/>
        <v>('28Nov240101','040000180490','0',(select max(to_number(i.premium_rcv_detail_code))+1
from ins_premium_det i),'0','0','02', '11000003','00','Request by Mr. Omair Ali 29-Nov-2024');</v>
      </c>
      <c r="H270" s="12" t="str">
        <f t="shared" si="19"/>
        <v>insert into ins_premium_det (premium_rcv_code,assorted_code, rec_amount,premium_rcv_detail_code,remaining_amt, payrec, mode_code,coinsurance_code,class_cd,it_remarks) values('28Nov240101','040000180490','0',(select max(to_number(i.premium_rcv_detail_code))+1
from ins_premium_det i),'0','0','02', '11000003','00','Request by Mr. Omair Ali 29-Nov-2024');</v>
      </c>
    </row>
    <row r="271" spans="1:8" ht="105" x14ac:dyDescent="0.25">
      <c r="A271" t="s">
        <v>271</v>
      </c>
      <c r="B271" s="8" t="str">
        <f>VLOOKUP(A271,assortedcode!B:C,2,0)</f>
        <v>040000093375</v>
      </c>
      <c r="C271" s="1">
        <v>0</v>
      </c>
      <c r="D271" s="9">
        <f t="shared" si="17"/>
        <v>0</v>
      </c>
      <c r="E271" s="7" t="s">
        <v>8345</v>
      </c>
      <c r="F271" s="10" t="str">
        <f t="shared" si="16"/>
        <v>insert into ins_premium_det (premium_rcv_code,assorted_code, rec_amount,premium_rcv_detail_code,remaining_amt, payrec, mode_code,coinsurance_code,class_cd,it_remarks) values</v>
      </c>
      <c r="G271" s="11" t="str">
        <f t="shared" si="18"/>
        <v>('28Nov240101','040000093375','0',(select max(to_number(i.premium_rcv_detail_code))+1
from ins_premium_det i),'0','0','02', '11000003','00','Request by Mr. Omair Ali 29-Nov-2024');</v>
      </c>
      <c r="H271" s="12" t="str">
        <f t="shared" si="19"/>
        <v>insert into ins_premium_det (premium_rcv_code,assorted_code, rec_amount,premium_rcv_detail_code,remaining_amt, payrec, mode_code,coinsurance_code,class_cd,it_remarks) values('28Nov240101','040000093375','0',(select max(to_number(i.premium_rcv_detail_code))+1
from ins_premium_det i),'0','0','02', '11000003','00','Request by Mr. Omair Ali 29-Nov-2024');</v>
      </c>
    </row>
    <row r="272" spans="1:8" ht="105" x14ac:dyDescent="0.25">
      <c r="A272" t="s">
        <v>272</v>
      </c>
      <c r="B272" s="8" t="str">
        <f>VLOOKUP(A272,assortedcode!B:C,2,0)</f>
        <v>040000180491</v>
      </c>
      <c r="C272" s="1">
        <v>0</v>
      </c>
      <c r="D272" s="9">
        <f t="shared" si="17"/>
        <v>0</v>
      </c>
      <c r="E272" s="7" t="s">
        <v>8345</v>
      </c>
      <c r="F272" s="10" t="str">
        <f t="shared" si="16"/>
        <v>insert into ins_premium_det (premium_rcv_code,assorted_code, rec_amount,premium_rcv_detail_code,remaining_amt, payrec, mode_code,coinsurance_code,class_cd,it_remarks) values</v>
      </c>
      <c r="G272" s="11" t="str">
        <f t="shared" si="18"/>
        <v>('28Nov240101','040000180491','0',(select max(to_number(i.premium_rcv_detail_code))+1
from ins_premium_det i),'0','0','02', '11000003','00','Request by Mr. Omair Ali 29-Nov-2024');</v>
      </c>
      <c r="H272" s="12" t="str">
        <f t="shared" si="19"/>
        <v>insert into ins_premium_det (premium_rcv_code,assorted_code, rec_amount,premium_rcv_detail_code,remaining_amt, payrec, mode_code,coinsurance_code,class_cd,it_remarks) values('28Nov240101','040000180491','0',(select max(to_number(i.premium_rcv_detail_code))+1
from ins_premium_det i),'0','0','02', '11000003','00','Request by Mr. Omair Ali 29-Nov-2024');</v>
      </c>
    </row>
    <row r="273" spans="1:8" ht="105" x14ac:dyDescent="0.25">
      <c r="A273" t="s">
        <v>273</v>
      </c>
      <c r="B273" s="8" t="str">
        <f>VLOOKUP(A273,assortedcode!B:C,2,0)</f>
        <v>040000141696</v>
      </c>
      <c r="C273" s="1">
        <v>0</v>
      </c>
      <c r="D273" s="9">
        <f t="shared" si="17"/>
        <v>0</v>
      </c>
      <c r="E273" s="7" t="s">
        <v>8345</v>
      </c>
      <c r="F273" s="10" t="str">
        <f t="shared" si="16"/>
        <v>insert into ins_premium_det (premium_rcv_code,assorted_code, rec_amount,premium_rcv_detail_code,remaining_amt, payrec, mode_code,coinsurance_code,class_cd,it_remarks) values</v>
      </c>
      <c r="G273" s="11" t="str">
        <f t="shared" si="18"/>
        <v>('28Nov240101','040000141696','0',(select max(to_number(i.premium_rcv_detail_code))+1
from ins_premium_det i),'0','0','02', '11000003','00','Request by Mr. Omair Ali 29-Nov-2024');</v>
      </c>
      <c r="H273" s="12" t="str">
        <f t="shared" si="19"/>
        <v>insert into ins_premium_det (premium_rcv_code,assorted_code, rec_amount,premium_rcv_detail_code,remaining_amt, payrec, mode_code,coinsurance_code,class_cd,it_remarks) values('28Nov240101','040000141696','0',(select max(to_number(i.premium_rcv_detail_code))+1
from ins_premium_det i),'0','0','02', '11000003','00','Request by Mr. Omair Ali 29-Nov-2024');</v>
      </c>
    </row>
    <row r="274" spans="1:8" ht="105" x14ac:dyDescent="0.25">
      <c r="A274" t="s">
        <v>274</v>
      </c>
      <c r="B274" s="8" t="str">
        <f>VLOOKUP(A274,assortedcode!B:C,2,0)</f>
        <v>040000180509</v>
      </c>
      <c r="C274" s="1">
        <v>0</v>
      </c>
      <c r="D274" s="9">
        <f t="shared" si="17"/>
        <v>0</v>
      </c>
      <c r="E274" s="7" t="s">
        <v>8345</v>
      </c>
      <c r="F274" s="10" t="str">
        <f t="shared" si="16"/>
        <v>insert into ins_premium_det (premium_rcv_code,assorted_code, rec_amount,premium_rcv_detail_code,remaining_amt, payrec, mode_code,coinsurance_code,class_cd,it_remarks) values</v>
      </c>
      <c r="G274" s="11" t="str">
        <f t="shared" si="18"/>
        <v>('28Nov240101','040000180509','0',(select max(to_number(i.premium_rcv_detail_code))+1
from ins_premium_det i),'0','0','02', '11000003','00','Request by Mr. Omair Ali 29-Nov-2024');</v>
      </c>
      <c r="H274" s="12" t="str">
        <f t="shared" si="19"/>
        <v>insert into ins_premium_det (premium_rcv_code,assorted_code, rec_amount,premium_rcv_detail_code,remaining_amt, payrec, mode_code,coinsurance_code,class_cd,it_remarks) values('28Nov240101','040000180509','0',(select max(to_number(i.premium_rcv_detail_code))+1
from ins_premium_det i),'0','0','02', '11000003','00','Request by Mr. Omair Ali 29-Nov-2024');</v>
      </c>
    </row>
    <row r="275" spans="1:8" ht="105" x14ac:dyDescent="0.25">
      <c r="A275" t="s">
        <v>275</v>
      </c>
      <c r="B275" s="8" t="str">
        <f>VLOOKUP(A275,assortedcode!B:C,2,0)</f>
        <v>040000122870</v>
      </c>
      <c r="C275" s="1">
        <v>0</v>
      </c>
      <c r="D275" s="9">
        <f t="shared" si="17"/>
        <v>0</v>
      </c>
      <c r="E275" s="7" t="s">
        <v>8345</v>
      </c>
      <c r="F275" s="10" t="str">
        <f t="shared" si="16"/>
        <v>insert into ins_premium_det (premium_rcv_code,assorted_code, rec_amount,premium_rcv_detail_code,remaining_amt, payrec, mode_code,coinsurance_code,class_cd,it_remarks) values</v>
      </c>
      <c r="G275" s="11" t="str">
        <f t="shared" si="18"/>
        <v>('28Nov240101','040000122870','0',(select max(to_number(i.premium_rcv_detail_code))+1
from ins_premium_det i),'0','0','02', '11000003','00','Request by Mr. Omair Ali 29-Nov-2024');</v>
      </c>
      <c r="H275" s="12" t="str">
        <f t="shared" si="19"/>
        <v>insert into ins_premium_det (premium_rcv_code,assorted_code, rec_amount,premium_rcv_detail_code,remaining_amt, payrec, mode_code,coinsurance_code,class_cd,it_remarks) values('28Nov240101','040000122870','0',(select max(to_number(i.premium_rcv_detail_code))+1
from ins_premium_det i),'0','0','02', '11000003','00','Request by Mr. Omair Ali 29-Nov-2024');</v>
      </c>
    </row>
    <row r="276" spans="1:8" ht="105" x14ac:dyDescent="0.25">
      <c r="A276" t="s">
        <v>276</v>
      </c>
      <c r="B276" s="8" t="str">
        <f>VLOOKUP(A276,assortedcode!B:C,2,0)</f>
        <v>040000180510</v>
      </c>
      <c r="C276" s="1">
        <v>0</v>
      </c>
      <c r="D276" s="9">
        <f t="shared" si="17"/>
        <v>0</v>
      </c>
      <c r="E276" s="7" t="s">
        <v>8345</v>
      </c>
      <c r="F276" s="10" t="str">
        <f t="shared" si="16"/>
        <v>insert into ins_premium_det (premium_rcv_code,assorted_code, rec_amount,premium_rcv_detail_code,remaining_amt, payrec, mode_code,coinsurance_code,class_cd,it_remarks) values</v>
      </c>
      <c r="G276" s="11" t="str">
        <f t="shared" si="18"/>
        <v>('28Nov240101','040000180510','0',(select max(to_number(i.premium_rcv_detail_code))+1
from ins_premium_det i),'0','0','02', '11000003','00','Request by Mr. Omair Ali 29-Nov-2024');</v>
      </c>
      <c r="H276" s="12" t="str">
        <f t="shared" si="19"/>
        <v>insert into ins_premium_det (premium_rcv_code,assorted_code, rec_amount,premium_rcv_detail_code,remaining_amt, payrec, mode_code,coinsurance_code,class_cd,it_remarks) values('28Nov240101','040000180510','0',(select max(to_number(i.premium_rcv_detail_code))+1
from ins_premium_det i),'0','0','02', '11000003','00','Request by Mr. Omair Ali 29-Nov-2024');</v>
      </c>
    </row>
    <row r="277" spans="1:8" ht="105" x14ac:dyDescent="0.25">
      <c r="A277" t="s">
        <v>277</v>
      </c>
      <c r="B277" s="8" t="str">
        <f>VLOOKUP(A277,assortedcode!B:C,2,0)</f>
        <v>040000135952</v>
      </c>
      <c r="C277" s="1">
        <v>0</v>
      </c>
      <c r="D277" s="9">
        <f t="shared" si="17"/>
        <v>0</v>
      </c>
      <c r="E277" s="7" t="s">
        <v>8345</v>
      </c>
      <c r="F277" s="10" t="str">
        <f t="shared" si="16"/>
        <v>insert into ins_premium_det (premium_rcv_code,assorted_code, rec_amount,premium_rcv_detail_code,remaining_amt, payrec, mode_code,coinsurance_code,class_cd,it_remarks) values</v>
      </c>
      <c r="G277" s="11" t="str">
        <f t="shared" si="18"/>
        <v>('28Nov240101','040000135952','0',(select max(to_number(i.premium_rcv_detail_code))+1
from ins_premium_det i),'0','0','02', '11000003','00','Request by Mr. Omair Ali 29-Nov-2024');</v>
      </c>
      <c r="H277" s="12" t="str">
        <f t="shared" si="19"/>
        <v>insert into ins_premium_det (premium_rcv_code,assorted_code, rec_amount,premium_rcv_detail_code,remaining_amt, payrec, mode_code,coinsurance_code,class_cd,it_remarks) values('28Nov240101','040000135952','0',(select max(to_number(i.premium_rcv_detail_code))+1
from ins_premium_det i),'0','0','02', '11000003','00','Request by Mr. Omair Ali 29-Nov-2024');</v>
      </c>
    </row>
    <row r="278" spans="1:8" ht="105" x14ac:dyDescent="0.25">
      <c r="A278" t="s">
        <v>278</v>
      </c>
      <c r="B278" s="8" t="str">
        <f>VLOOKUP(A278,assortedcode!B:C,2,0)</f>
        <v>040000180514</v>
      </c>
      <c r="C278" s="1">
        <v>0</v>
      </c>
      <c r="D278" s="9">
        <f t="shared" si="17"/>
        <v>0</v>
      </c>
      <c r="E278" s="7" t="s">
        <v>8345</v>
      </c>
      <c r="F278" s="10" t="str">
        <f t="shared" si="16"/>
        <v>insert into ins_premium_det (premium_rcv_code,assorted_code, rec_amount,premium_rcv_detail_code,remaining_amt, payrec, mode_code,coinsurance_code,class_cd,it_remarks) values</v>
      </c>
      <c r="G278" s="11" t="str">
        <f t="shared" si="18"/>
        <v>('28Nov240101','040000180514','0',(select max(to_number(i.premium_rcv_detail_code))+1
from ins_premium_det i),'0','0','02', '11000003','00','Request by Mr. Omair Ali 29-Nov-2024');</v>
      </c>
      <c r="H278" s="12" t="str">
        <f t="shared" si="19"/>
        <v>insert into ins_premium_det (premium_rcv_code,assorted_code, rec_amount,premium_rcv_detail_code,remaining_amt, payrec, mode_code,coinsurance_code,class_cd,it_remarks) values('28Nov240101','040000180514','0',(select max(to_number(i.premium_rcv_detail_code))+1
from ins_premium_det i),'0','0','02', '11000003','00','Request by Mr. Omair Ali 29-Nov-2024');</v>
      </c>
    </row>
    <row r="279" spans="1:8" ht="105" x14ac:dyDescent="0.25">
      <c r="A279" t="s">
        <v>279</v>
      </c>
      <c r="B279" s="8" t="str">
        <f>VLOOKUP(A279,assortedcode!B:C,2,0)</f>
        <v>040000140242</v>
      </c>
      <c r="C279" s="1">
        <v>0</v>
      </c>
      <c r="D279" s="9">
        <f t="shared" si="17"/>
        <v>0</v>
      </c>
      <c r="E279" s="7" t="s">
        <v>8345</v>
      </c>
      <c r="F279" s="10" t="str">
        <f t="shared" si="16"/>
        <v>insert into ins_premium_det (premium_rcv_code,assorted_code, rec_amount,premium_rcv_detail_code,remaining_amt, payrec, mode_code,coinsurance_code,class_cd,it_remarks) values</v>
      </c>
      <c r="G279" s="11" t="str">
        <f t="shared" si="18"/>
        <v>('28Nov240101','040000140242','0',(select max(to_number(i.premium_rcv_detail_code))+1
from ins_premium_det i),'0','0','02', '11000003','00','Request by Mr. Omair Ali 29-Nov-2024');</v>
      </c>
      <c r="H279" s="12" t="str">
        <f t="shared" si="19"/>
        <v>insert into ins_premium_det (premium_rcv_code,assorted_code, rec_amount,premium_rcv_detail_code,remaining_amt, payrec, mode_code,coinsurance_code,class_cd,it_remarks) values('28Nov240101','040000140242','0',(select max(to_number(i.premium_rcv_detail_code))+1
from ins_premium_det i),'0','0','02', '11000003','00','Request by Mr. Omair Ali 29-Nov-2024');</v>
      </c>
    </row>
    <row r="280" spans="1:8" ht="105" x14ac:dyDescent="0.25">
      <c r="A280" t="s">
        <v>280</v>
      </c>
      <c r="B280" s="8" t="str">
        <f>VLOOKUP(A280,assortedcode!B:C,2,0)</f>
        <v>040000180515</v>
      </c>
      <c r="C280" s="1">
        <v>0</v>
      </c>
      <c r="D280" s="9">
        <f t="shared" si="17"/>
        <v>0</v>
      </c>
      <c r="E280" s="7" t="s">
        <v>8345</v>
      </c>
      <c r="F280" s="10" t="str">
        <f t="shared" si="16"/>
        <v>insert into ins_premium_det (premium_rcv_code,assorted_code, rec_amount,premium_rcv_detail_code,remaining_amt, payrec, mode_code,coinsurance_code,class_cd,it_remarks) values</v>
      </c>
      <c r="G280" s="11" t="str">
        <f t="shared" si="18"/>
        <v>('28Nov240101','040000180515','0',(select max(to_number(i.premium_rcv_detail_code))+1
from ins_premium_det i),'0','0','02', '11000003','00','Request by Mr. Omair Ali 29-Nov-2024');</v>
      </c>
      <c r="H280" s="12" t="str">
        <f t="shared" si="19"/>
        <v>insert into ins_premium_det (premium_rcv_code,assorted_code, rec_amount,premium_rcv_detail_code,remaining_amt, payrec, mode_code,coinsurance_code,class_cd,it_remarks) values('28Nov240101','040000180515','0',(select max(to_number(i.premium_rcv_detail_code))+1
from ins_premium_det i),'0','0','02', '11000003','00','Request by Mr. Omair Ali 29-Nov-2024');</v>
      </c>
    </row>
    <row r="281" spans="1:8" ht="105" x14ac:dyDescent="0.25">
      <c r="A281" t="s">
        <v>281</v>
      </c>
      <c r="B281" s="8" t="str">
        <f>VLOOKUP(A281,assortedcode!B:C,2,0)</f>
        <v>040000148166</v>
      </c>
      <c r="C281" s="1">
        <v>0</v>
      </c>
      <c r="D281" s="9">
        <f t="shared" si="17"/>
        <v>0</v>
      </c>
      <c r="E281" s="7" t="s">
        <v>8345</v>
      </c>
      <c r="F281" s="10" t="str">
        <f t="shared" si="16"/>
        <v>insert into ins_premium_det (premium_rcv_code,assorted_code, rec_amount,premium_rcv_detail_code,remaining_amt, payrec, mode_code,coinsurance_code,class_cd,it_remarks) values</v>
      </c>
      <c r="G281" s="11" t="str">
        <f t="shared" si="18"/>
        <v>('28Nov240101','040000148166','0',(select max(to_number(i.premium_rcv_detail_code))+1
from ins_premium_det i),'0','0','02', '11000003','00','Request by Mr. Omair Ali 29-Nov-2024');</v>
      </c>
      <c r="H281" s="12" t="str">
        <f t="shared" si="19"/>
        <v>insert into ins_premium_det (premium_rcv_code,assorted_code, rec_amount,premium_rcv_detail_code,remaining_amt, payrec, mode_code,coinsurance_code,class_cd,it_remarks) values('28Nov240101','040000148166','0',(select max(to_number(i.premium_rcv_detail_code))+1
from ins_premium_det i),'0','0','02', '11000003','00','Request by Mr. Omair Ali 29-Nov-2024');</v>
      </c>
    </row>
    <row r="282" spans="1:8" ht="105" x14ac:dyDescent="0.25">
      <c r="A282" t="s">
        <v>282</v>
      </c>
      <c r="B282" s="8" t="str">
        <f>VLOOKUP(A282,assortedcode!B:C,2,0)</f>
        <v>040000180546</v>
      </c>
      <c r="C282" s="1">
        <v>0</v>
      </c>
      <c r="D282" s="9">
        <f t="shared" si="17"/>
        <v>0</v>
      </c>
      <c r="E282" s="7" t="s">
        <v>8345</v>
      </c>
      <c r="F282" s="10" t="str">
        <f t="shared" si="16"/>
        <v>insert into ins_premium_det (premium_rcv_code,assorted_code, rec_amount,premium_rcv_detail_code,remaining_amt, payrec, mode_code,coinsurance_code,class_cd,it_remarks) values</v>
      </c>
      <c r="G282" s="11" t="str">
        <f t="shared" si="18"/>
        <v>('28Nov240101','040000180546','0',(select max(to_number(i.premium_rcv_detail_code))+1
from ins_premium_det i),'0','0','02', '11000003','00','Request by Mr. Omair Ali 29-Nov-2024');</v>
      </c>
      <c r="H282" s="12" t="str">
        <f t="shared" si="19"/>
        <v>insert into ins_premium_det (premium_rcv_code,assorted_code, rec_amount,premium_rcv_detail_code,remaining_amt, payrec, mode_code,coinsurance_code,class_cd,it_remarks) values('28Nov240101','040000180546','0',(select max(to_number(i.premium_rcv_detail_code))+1
from ins_premium_det i),'0','0','02', '11000003','00','Request by Mr. Omair Ali 29-Nov-2024');</v>
      </c>
    </row>
    <row r="283" spans="1:8" ht="105" x14ac:dyDescent="0.25">
      <c r="A283" t="s">
        <v>283</v>
      </c>
      <c r="B283" s="8" t="str">
        <f>VLOOKUP(A283,assortedcode!B:C,2,0)</f>
        <v>040000151055</v>
      </c>
      <c r="C283" s="1">
        <v>0</v>
      </c>
      <c r="D283" s="9">
        <f t="shared" si="17"/>
        <v>0</v>
      </c>
      <c r="E283" s="7" t="s">
        <v>8345</v>
      </c>
      <c r="F283" s="10" t="str">
        <f t="shared" si="16"/>
        <v>insert into ins_premium_det (premium_rcv_code,assorted_code, rec_amount,premium_rcv_detail_code,remaining_amt, payrec, mode_code,coinsurance_code,class_cd,it_remarks) values</v>
      </c>
      <c r="G283" s="11" t="str">
        <f t="shared" si="18"/>
        <v>('28Nov240101','040000151055','0',(select max(to_number(i.premium_rcv_detail_code))+1
from ins_premium_det i),'0','0','02', '11000003','00','Request by Mr. Omair Ali 29-Nov-2024');</v>
      </c>
      <c r="H283" s="12" t="str">
        <f t="shared" si="19"/>
        <v>insert into ins_premium_det (premium_rcv_code,assorted_code, rec_amount,premium_rcv_detail_code,remaining_amt, payrec, mode_code,coinsurance_code,class_cd,it_remarks) values('28Nov240101','040000151055','0',(select max(to_number(i.premium_rcv_detail_code))+1
from ins_premium_det i),'0','0','02', '11000003','00','Request by Mr. Omair Ali 29-Nov-2024');</v>
      </c>
    </row>
    <row r="284" spans="1:8" ht="105" x14ac:dyDescent="0.25">
      <c r="A284" t="s">
        <v>284</v>
      </c>
      <c r="B284" s="8" t="str">
        <f>VLOOKUP(A284,assortedcode!B:C,2,0)</f>
        <v>040000180547</v>
      </c>
      <c r="C284" s="1">
        <v>0</v>
      </c>
      <c r="D284" s="9">
        <f t="shared" si="17"/>
        <v>0</v>
      </c>
      <c r="E284" s="7" t="s">
        <v>8345</v>
      </c>
      <c r="F284" s="10" t="str">
        <f t="shared" si="16"/>
        <v>insert into ins_premium_det (premium_rcv_code,assorted_code, rec_amount,premium_rcv_detail_code,remaining_amt, payrec, mode_code,coinsurance_code,class_cd,it_remarks) values</v>
      </c>
      <c r="G284" s="11" t="str">
        <f t="shared" si="18"/>
        <v>('28Nov240101','040000180547','0',(select max(to_number(i.premium_rcv_detail_code))+1
from ins_premium_det i),'0','0','02', '11000003','00','Request by Mr. Omair Ali 29-Nov-2024');</v>
      </c>
      <c r="H284" s="12" t="str">
        <f t="shared" si="19"/>
        <v>insert into ins_premium_det (premium_rcv_code,assorted_code, rec_amount,premium_rcv_detail_code,remaining_amt, payrec, mode_code,coinsurance_code,class_cd,it_remarks) values('28Nov240101','040000180547','0',(select max(to_number(i.premium_rcv_detail_code))+1
from ins_premium_det i),'0','0','02', '11000003','00','Request by Mr. Omair Ali 29-Nov-2024');</v>
      </c>
    </row>
    <row r="285" spans="1:8" ht="105" x14ac:dyDescent="0.25">
      <c r="A285" t="s">
        <v>285</v>
      </c>
      <c r="B285" s="8" t="str">
        <f>VLOOKUP(A285,assortedcode!B:C,2,0)</f>
        <v>040000152201</v>
      </c>
      <c r="C285" s="1">
        <v>0</v>
      </c>
      <c r="D285" s="9">
        <f t="shared" si="17"/>
        <v>0</v>
      </c>
      <c r="E285" s="7" t="s">
        <v>8345</v>
      </c>
      <c r="F285" s="10" t="str">
        <f t="shared" si="16"/>
        <v>insert into ins_premium_det (premium_rcv_code,assorted_code, rec_amount,premium_rcv_detail_code,remaining_amt, payrec, mode_code,coinsurance_code,class_cd,it_remarks) values</v>
      </c>
      <c r="G285" s="11" t="str">
        <f t="shared" si="18"/>
        <v>('28Nov240101','040000152201','0',(select max(to_number(i.premium_rcv_detail_code))+1
from ins_premium_det i),'0','0','02', '11000003','00','Request by Mr. Omair Ali 29-Nov-2024');</v>
      </c>
      <c r="H285" s="12" t="str">
        <f t="shared" si="19"/>
        <v>insert into ins_premium_det (premium_rcv_code,assorted_code, rec_amount,premium_rcv_detail_code,remaining_amt, payrec, mode_code,coinsurance_code,class_cd,it_remarks) values('28Nov240101','040000152201','0',(select max(to_number(i.premium_rcv_detail_code))+1
from ins_premium_det i),'0','0','02', '11000003','00','Request by Mr. Omair Ali 29-Nov-2024');</v>
      </c>
    </row>
    <row r="286" spans="1:8" ht="105" x14ac:dyDescent="0.25">
      <c r="A286" t="s">
        <v>286</v>
      </c>
      <c r="B286" s="8" t="str">
        <f>VLOOKUP(A286,assortedcode!B:C,2,0)</f>
        <v>040000180550</v>
      </c>
      <c r="C286" s="1">
        <v>0</v>
      </c>
      <c r="D286" s="9">
        <f t="shared" si="17"/>
        <v>0</v>
      </c>
      <c r="E286" s="7" t="s">
        <v>8345</v>
      </c>
      <c r="F286" s="10" t="str">
        <f t="shared" si="16"/>
        <v>insert into ins_premium_det (premium_rcv_code,assorted_code, rec_amount,premium_rcv_detail_code,remaining_amt, payrec, mode_code,coinsurance_code,class_cd,it_remarks) values</v>
      </c>
      <c r="G286" s="11" t="str">
        <f t="shared" si="18"/>
        <v>('28Nov240101','040000180550','0',(select max(to_number(i.premium_rcv_detail_code))+1
from ins_premium_det i),'0','0','02', '11000003','00','Request by Mr. Omair Ali 29-Nov-2024');</v>
      </c>
      <c r="H286" s="12" t="str">
        <f t="shared" si="19"/>
        <v>insert into ins_premium_det (premium_rcv_code,assorted_code, rec_amount,premium_rcv_detail_code,remaining_amt, payrec, mode_code,coinsurance_code,class_cd,it_remarks) values('28Nov240101','040000180550','0',(select max(to_number(i.premium_rcv_detail_code))+1
from ins_premium_det i),'0','0','02', '11000003','00','Request by Mr. Omair Ali 29-Nov-2024');</v>
      </c>
    </row>
    <row r="287" spans="1:8" ht="105" x14ac:dyDescent="0.25">
      <c r="A287" t="s">
        <v>287</v>
      </c>
      <c r="B287" s="8" t="str">
        <f>VLOOKUP(A287,assortedcode!B:C,2,0)</f>
        <v>040000179653</v>
      </c>
      <c r="C287" s="1">
        <v>0</v>
      </c>
      <c r="D287" s="9">
        <f t="shared" si="17"/>
        <v>0</v>
      </c>
      <c r="E287" s="7" t="s">
        <v>8345</v>
      </c>
      <c r="F287" s="10" t="str">
        <f t="shared" si="16"/>
        <v>insert into ins_premium_det (premium_rcv_code,assorted_code, rec_amount,premium_rcv_detail_code,remaining_amt, payrec, mode_code,coinsurance_code,class_cd,it_remarks) values</v>
      </c>
      <c r="G287" s="11" t="str">
        <f t="shared" si="18"/>
        <v>('28Nov240101','040000179653','0',(select max(to_number(i.premium_rcv_detail_code))+1
from ins_premium_det i),'0','0','02', '11000003','00','Request by Mr. Omair Ali 29-Nov-2024');</v>
      </c>
      <c r="H287" s="12" t="str">
        <f t="shared" si="19"/>
        <v>insert into ins_premium_det (premium_rcv_code,assorted_code, rec_amount,premium_rcv_detail_code,remaining_amt, payrec, mode_code,coinsurance_code,class_cd,it_remarks) values('28Nov240101','040000179653','0',(select max(to_number(i.premium_rcv_detail_code))+1
from ins_premium_det i),'0','0','02', '11000003','00','Request by Mr. Omair Ali 29-Nov-2024');</v>
      </c>
    </row>
    <row r="288" spans="1:8" ht="105" x14ac:dyDescent="0.25">
      <c r="A288" t="s">
        <v>288</v>
      </c>
      <c r="B288" s="8" t="str">
        <f>VLOOKUP(A288,assortedcode!B:C,2,0)</f>
        <v>040000180557</v>
      </c>
      <c r="C288" s="1">
        <v>0</v>
      </c>
      <c r="D288" s="9">
        <f t="shared" si="17"/>
        <v>0</v>
      </c>
      <c r="E288" s="7" t="s">
        <v>8345</v>
      </c>
      <c r="F288" s="10" t="str">
        <f t="shared" si="16"/>
        <v>insert into ins_premium_det (premium_rcv_code,assorted_code, rec_amount,premium_rcv_detail_code,remaining_amt, payrec, mode_code,coinsurance_code,class_cd,it_remarks) values</v>
      </c>
      <c r="G288" s="11" t="str">
        <f t="shared" si="18"/>
        <v>('28Nov240101','040000180557','0',(select max(to_number(i.premium_rcv_detail_code))+1
from ins_premium_det i),'0','0','02', '11000003','00','Request by Mr. Omair Ali 29-Nov-2024');</v>
      </c>
      <c r="H288" s="12" t="str">
        <f t="shared" si="19"/>
        <v>insert into ins_premium_det (premium_rcv_code,assorted_code, rec_amount,premium_rcv_detail_code,remaining_amt, payrec, mode_code,coinsurance_code,class_cd,it_remarks) values('28Nov240101','040000180557','0',(select max(to_number(i.premium_rcv_detail_code))+1
from ins_premium_det i),'0','0','02', '11000003','00','Request by Mr. Omair Ali 29-Nov-2024');</v>
      </c>
    </row>
    <row r="289" spans="1:8" ht="105" x14ac:dyDescent="0.25">
      <c r="A289" t="s">
        <v>289</v>
      </c>
      <c r="B289" s="8" t="str">
        <f>VLOOKUP(A289,assortedcode!B:C,2,0)</f>
        <v>040000094864</v>
      </c>
      <c r="C289" s="1">
        <v>0</v>
      </c>
      <c r="D289" s="9">
        <f t="shared" si="17"/>
        <v>0</v>
      </c>
      <c r="E289" s="7" t="s">
        <v>8345</v>
      </c>
      <c r="F289" s="10" t="str">
        <f t="shared" si="16"/>
        <v>insert into ins_premium_det (premium_rcv_code,assorted_code, rec_amount,premium_rcv_detail_code,remaining_amt, payrec, mode_code,coinsurance_code,class_cd,it_remarks) values</v>
      </c>
      <c r="G289" s="11" t="str">
        <f t="shared" si="18"/>
        <v>('28Nov240101','040000094864','0',(select max(to_number(i.premium_rcv_detail_code))+1
from ins_premium_det i),'0','0','02', '11000003','00','Request by Mr. Omair Ali 29-Nov-2024');</v>
      </c>
      <c r="H289" s="12" t="str">
        <f t="shared" si="19"/>
        <v>insert into ins_premium_det (premium_rcv_code,assorted_code, rec_amount,premium_rcv_detail_code,remaining_amt, payrec, mode_code,coinsurance_code,class_cd,it_remarks) values('28Nov240101','040000094864','0',(select max(to_number(i.premium_rcv_detail_code))+1
from ins_premium_det i),'0','0','02', '11000003','00','Request by Mr. Omair Ali 29-Nov-2024');</v>
      </c>
    </row>
    <row r="290" spans="1:8" ht="105" x14ac:dyDescent="0.25">
      <c r="A290" t="s">
        <v>290</v>
      </c>
      <c r="B290" s="8" t="str">
        <f>VLOOKUP(A290,assortedcode!B:C,2,0)</f>
        <v>040000180558</v>
      </c>
      <c r="C290" s="1">
        <v>0</v>
      </c>
      <c r="D290" s="9">
        <f t="shared" si="17"/>
        <v>0</v>
      </c>
      <c r="E290" s="7" t="s">
        <v>8345</v>
      </c>
      <c r="F290" s="10" t="str">
        <f t="shared" si="16"/>
        <v>insert into ins_premium_det (premium_rcv_code,assorted_code, rec_amount,premium_rcv_detail_code,remaining_amt, payrec, mode_code,coinsurance_code,class_cd,it_remarks) values</v>
      </c>
      <c r="G290" s="11" t="str">
        <f t="shared" si="18"/>
        <v>('28Nov240101','040000180558','0',(select max(to_number(i.premium_rcv_detail_code))+1
from ins_premium_det i),'0','0','02', '11000003','00','Request by Mr. Omair Ali 29-Nov-2024');</v>
      </c>
      <c r="H290" s="12" t="str">
        <f t="shared" si="19"/>
        <v>insert into ins_premium_det (premium_rcv_code,assorted_code, rec_amount,premium_rcv_detail_code,remaining_amt, payrec, mode_code,coinsurance_code,class_cd,it_remarks) values('28Nov240101','040000180558','0',(select max(to_number(i.premium_rcv_detail_code))+1
from ins_premium_det i),'0','0','02', '11000003','00','Request by Mr. Omair Ali 29-Nov-2024');</v>
      </c>
    </row>
    <row r="291" spans="1:8" ht="105" x14ac:dyDescent="0.25">
      <c r="A291" t="s">
        <v>291</v>
      </c>
      <c r="B291" s="8" t="str">
        <f>VLOOKUP(A291,assortedcode!B:C,2,0)</f>
        <v>040000180561</v>
      </c>
      <c r="C291" s="1">
        <v>0</v>
      </c>
      <c r="D291" s="9">
        <f t="shared" si="17"/>
        <v>0</v>
      </c>
      <c r="E291" s="7" t="s">
        <v>8345</v>
      </c>
      <c r="F291" s="10" t="str">
        <f t="shared" si="16"/>
        <v>insert into ins_premium_det (premium_rcv_code,assorted_code, rec_amount,premium_rcv_detail_code,remaining_amt, payrec, mode_code,coinsurance_code,class_cd,it_remarks) values</v>
      </c>
      <c r="G291" s="11" t="str">
        <f t="shared" si="18"/>
        <v>('28Nov240101','040000180561','0',(select max(to_number(i.premium_rcv_detail_code))+1
from ins_premium_det i),'0','0','02', '11000003','00','Request by Mr. Omair Ali 29-Nov-2024');</v>
      </c>
      <c r="H291" s="12" t="str">
        <f t="shared" si="19"/>
        <v>insert into ins_premium_det (premium_rcv_code,assorted_code, rec_amount,premium_rcv_detail_code,remaining_amt, payrec, mode_code,coinsurance_code,class_cd,it_remarks) values('28Nov240101','040000180561','0',(select max(to_number(i.premium_rcv_detail_code))+1
from ins_premium_det i),'0','0','02', '11000003','00','Request by Mr. Omair Ali 29-Nov-2024');</v>
      </c>
    </row>
    <row r="292" spans="1:8" ht="105" x14ac:dyDescent="0.25">
      <c r="A292" t="s">
        <v>292</v>
      </c>
      <c r="B292" s="8" t="str">
        <f>VLOOKUP(A292,assortedcode!B:C,2,0)</f>
        <v>040000180562</v>
      </c>
      <c r="C292" s="1">
        <v>0</v>
      </c>
      <c r="D292" s="9">
        <f t="shared" si="17"/>
        <v>0</v>
      </c>
      <c r="E292" s="7" t="s">
        <v>8345</v>
      </c>
      <c r="F292" s="10" t="str">
        <f t="shared" si="16"/>
        <v>insert into ins_premium_det (premium_rcv_code,assorted_code, rec_amount,premium_rcv_detail_code,remaining_amt, payrec, mode_code,coinsurance_code,class_cd,it_remarks) values</v>
      </c>
      <c r="G292" s="11" t="str">
        <f t="shared" si="18"/>
        <v>('28Nov240101','040000180562','0',(select max(to_number(i.premium_rcv_detail_code))+1
from ins_premium_det i),'0','0','02', '11000003','00','Request by Mr. Omair Ali 29-Nov-2024');</v>
      </c>
      <c r="H292" s="12" t="str">
        <f t="shared" si="19"/>
        <v>insert into ins_premium_det (premium_rcv_code,assorted_code, rec_amount,premium_rcv_detail_code,remaining_amt, payrec, mode_code,coinsurance_code,class_cd,it_remarks) values('28Nov240101','040000180562','0',(select max(to_number(i.premium_rcv_detail_code))+1
from ins_premium_det i),'0','0','02', '11000003','00','Request by Mr. Omair Ali 29-Nov-2024');</v>
      </c>
    </row>
    <row r="293" spans="1:8" ht="105" x14ac:dyDescent="0.25">
      <c r="A293" t="s">
        <v>293</v>
      </c>
      <c r="B293" s="8" t="str">
        <f>VLOOKUP(A293,assortedcode!B:C,2,0)</f>
        <v>040000163636</v>
      </c>
      <c r="C293" s="1">
        <v>0</v>
      </c>
      <c r="D293" s="9">
        <f t="shared" si="17"/>
        <v>0</v>
      </c>
      <c r="E293" s="7" t="s">
        <v>8345</v>
      </c>
      <c r="F293" s="10" t="str">
        <f t="shared" si="16"/>
        <v>insert into ins_premium_det (premium_rcv_code,assorted_code, rec_amount,premium_rcv_detail_code,remaining_amt, payrec, mode_code,coinsurance_code,class_cd,it_remarks) values</v>
      </c>
      <c r="G293" s="11" t="str">
        <f t="shared" si="18"/>
        <v>('28Nov240101','040000163636','0',(select max(to_number(i.premium_rcv_detail_code))+1
from ins_premium_det i),'0','0','02', '11000003','00','Request by Mr. Omair Ali 29-Nov-2024');</v>
      </c>
      <c r="H293" s="12" t="str">
        <f t="shared" si="19"/>
        <v>insert into ins_premium_det (premium_rcv_code,assorted_code, rec_amount,premium_rcv_detail_code,remaining_amt, payrec, mode_code,coinsurance_code,class_cd,it_remarks) values('28Nov240101','040000163636','0',(select max(to_number(i.premium_rcv_detail_code))+1
from ins_premium_det i),'0','0','02', '11000003','00','Request by Mr. Omair Ali 29-Nov-2024');</v>
      </c>
    </row>
    <row r="294" spans="1:8" ht="105" x14ac:dyDescent="0.25">
      <c r="A294" t="s">
        <v>294</v>
      </c>
      <c r="B294" s="8" t="str">
        <f>VLOOKUP(A294,assortedcode!B:C,2,0)</f>
        <v>040000180568</v>
      </c>
      <c r="C294" s="1">
        <v>0</v>
      </c>
      <c r="D294" s="9">
        <f t="shared" si="17"/>
        <v>0</v>
      </c>
      <c r="E294" s="7" t="s">
        <v>8345</v>
      </c>
      <c r="F294" s="10" t="str">
        <f t="shared" si="16"/>
        <v>insert into ins_premium_det (premium_rcv_code,assorted_code, rec_amount,premium_rcv_detail_code,remaining_amt, payrec, mode_code,coinsurance_code,class_cd,it_remarks) values</v>
      </c>
      <c r="G294" s="11" t="str">
        <f t="shared" si="18"/>
        <v>('28Nov240101','040000180568','0',(select max(to_number(i.premium_rcv_detail_code))+1
from ins_premium_det i),'0','0','02', '11000003','00','Request by Mr. Omair Ali 29-Nov-2024');</v>
      </c>
      <c r="H294" s="12" t="str">
        <f t="shared" si="19"/>
        <v>insert into ins_premium_det (premium_rcv_code,assorted_code, rec_amount,premium_rcv_detail_code,remaining_amt, payrec, mode_code,coinsurance_code,class_cd,it_remarks) values('28Nov240101','040000180568','0',(select max(to_number(i.premium_rcv_detail_code))+1
from ins_premium_det i),'0','0','02', '11000003','00','Request by Mr. Omair Ali 29-Nov-2024');</v>
      </c>
    </row>
    <row r="295" spans="1:8" ht="105" x14ac:dyDescent="0.25">
      <c r="A295" t="s">
        <v>295</v>
      </c>
      <c r="B295" s="8" t="str">
        <f>VLOOKUP(A295,assortedcode!B:C,2,0)</f>
        <v>040000163638</v>
      </c>
      <c r="C295" s="1">
        <v>0</v>
      </c>
      <c r="D295" s="9">
        <f t="shared" si="17"/>
        <v>0</v>
      </c>
      <c r="E295" s="7" t="s">
        <v>8345</v>
      </c>
      <c r="F295" s="10" t="str">
        <f t="shared" si="16"/>
        <v>insert into ins_premium_det (premium_rcv_code,assorted_code, rec_amount,premium_rcv_detail_code,remaining_amt, payrec, mode_code,coinsurance_code,class_cd,it_remarks) values</v>
      </c>
      <c r="G295" s="11" t="str">
        <f t="shared" si="18"/>
        <v>('28Nov240101','040000163638','0',(select max(to_number(i.premium_rcv_detail_code))+1
from ins_premium_det i),'0','0','02', '11000003','00','Request by Mr. Omair Ali 29-Nov-2024');</v>
      </c>
      <c r="H295" s="12" t="str">
        <f t="shared" si="19"/>
        <v>insert into ins_premium_det (premium_rcv_code,assorted_code, rec_amount,premium_rcv_detail_code,remaining_amt, payrec, mode_code,coinsurance_code,class_cd,it_remarks) values('28Nov240101','040000163638','0',(select max(to_number(i.premium_rcv_detail_code))+1
from ins_premium_det i),'0','0','02', '11000003','00','Request by Mr. Omair Ali 29-Nov-2024');</v>
      </c>
    </row>
    <row r="296" spans="1:8" ht="105" x14ac:dyDescent="0.25">
      <c r="A296" t="s">
        <v>296</v>
      </c>
      <c r="B296" s="8" t="str">
        <f>VLOOKUP(A296,assortedcode!B:C,2,0)</f>
        <v>040000180569</v>
      </c>
      <c r="C296" s="1">
        <v>0</v>
      </c>
      <c r="D296" s="9">
        <f t="shared" si="17"/>
        <v>0</v>
      </c>
      <c r="E296" s="7" t="s">
        <v>8345</v>
      </c>
      <c r="F296" s="10" t="str">
        <f t="shared" si="16"/>
        <v>insert into ins_premium_det (premium_rcv_code,assorted_code, rec_amount,premium_rcv_detail_code,remaining_amt, payrec, mode_code,coinsurance_code,class_cd,it_remarks) values</v>
      </c>
      <c r="G296" s="11" t="str">
        <f t="shared" si="18"/>
        <v>('28Nov240101','040000180569','0',(select max(to_number(i.premium_rcv_detail_code))+1
from ins_premium_det i),'0','0','02', '11000003','00','Request by Mr. Omair Ali 29-Nov-2024');</v>
      </c>
      <c r="H296" s="12" t="str">
        <f t="shared" si="19"/>
        <v>insert into ins_premium_det (premium_rcv_code,assorted_code, rec_amount,premium_rcv_detail_code,remaining_amt, payrec, mode_code,coinsurance_code,class_cd,it_remarks) values('28Nov240101','040000180569','0',(select max(to_number(i.premium_rcv_detail_code))+1
from ins_premium_det i),'0','0','02', '11000003','00','Request by Mr. Omair Ali 29-Nov-2024');</v>
      </c>
    </row>
    <row r="297" spans="1:8" ht="105" x14ac:dyDescent="0.25">
      <c r="A297" t="s">
        <v>297</v>
      </c>
      <c r="B297" s="8" t="str">
        <f>VLOOKUP(A297,assortedcode!B:C,2,0)</f>
        <v>040000163640</v>
      </c>
      <c r="C297" s="1">
        <v>0</v>
      </c>
      <c r="D297" s="9">
        <f t="shared" si="17"/>
        <v>0</v>
      </c>
      <c r="E297" s="7" t="s">
        <v>8345</v>
      </c>
      <c r="F297" s="10" t="str">
        <f t="shared" si="16"/>
        <v>insert into ins_premium_det (premium_rcv_code,assorted_code, rec_amount,premium_rcv_detail_code,remaining_amt, payrec, mode_code,coinsurance_code,class_cd,it_remarks) values</v>
      </c>
      <c r="G297" s="11" t="str">
        <f t="shared" si="18"/>
        <v>('28Nov240101','040000163640','0',(select max(to_number(i.premium_rcv_detail_code))+1
from ins_premium_det i),'0','0','02', '11000003','00','Request by Mr. Omair Ali 29-Nov-2024');</v>
      </c>
      <c r="H297" s="12" t="str">
        <f t="shared" si="19"/>
        <v>insert into ins_premium_det (premium_rcv_code,assorted_code, rec_amount,premium_rcv_detail_code,remaining_amt, payrec, mode_code,coinsurance_code,class_cd,it_remarks) values('28Nov240101','040000163640','0',(select max(to_number(i.premium_rcv_detail_code))+1
from ins_premium_det i),'0','0','02', '11000003','00','Request by Mr. Omair Ali 29-Nov-2024');</v>
      </c>
    </row>
    <row r="298" spans="1:8" ht="105" x14ac:dyDescent="0.25">
      <c r="A298" t="s">
        <v>298</v>
      </c>
      <c r="B298" s="8" t="str">
        <f>VLOOKUP(A298,assortedcode!B:C,2,0)</f>
        <v>040000180583</v>
      </c>
      <c r="C298" s="1">
        <v>0</v>
      </c>
      <c r="D298" s="9">
        <f t="shared" si="17"/>
        <v>0</v>
      </c>
      <c r="E298" s="7" t="s">
        <v>8345</v>
      </c>
      <c r="F298" s="10" t="str">
        <f t="shared" si="16"/>
        <v>insert into ins_premium_det (premium_rcv_code,assorted_code, rec_amount,premium_rcv_detail_code,remaining_amt, payrec, mode_code,coinsurance_code,class_cd,it_remarks) values</v>
      </c>
      <c r="G298" s="11" t="str">
        <f t="shared" si="18"/>
        <v>('28Nov240101','040000180583','0',(select max(to_number(i.premium_rcv_detail_code))+1
from ins_premium_det i),'0','0','02', '11000003','00','Request by Mr. Omair Ali 29-Nov-2024');</v>
      </c>
      <c r="H298" s="12" t="str">
        <f t="shared" si="19"/>
        <v>insert into ins_premium_det (premium_rcv_code,assorted_code, rec_amount,premium_rcv_detail_code,remaining_amt, payrec, mode_code,coinsurance_code,class_cd,it_remarks) values('28Nov240101','040000180583','0',(select max(to_number(i.premium_rcv_detail_code))+1
from ins_premium_det i),'0','0','02', '11000003','00','Request by Mr. Omair Ali 29-Nov-2024');</v>
      </c>
    </row>
    <row r="299" spans="1:8" ht="105" x14ac:dyDescent="0.25">
      <c r="A299" t="s">
        <v>299</v>
      </c>
      <c r="B299" s="8" t="str">
        <f>VLOOKUP(A299,assortedcode!B:C,2,0)</f>
        <v>040000163642</v>
      </c>
      <c r="C299" s="1">
        <v>0</v>
      </c>
      <c r="D299" s="9">
        <f t="shared" si="17"/>
        <v>0</v>
      </c>
      <c r="E299" s="7" t="s">
        <v>8345</v>
      </c>
      <c r="F299" s="10" t="str">
        <f t="shared" si="16"/>
        <v>insert into ins_premium_det (premium_rcv_code,assorted_code, rec_amount,premium_rcv_detail_code,remaining_amt, payrec, mode_code,coinsurance_code,class_cd,it_remarks) values</v>
      </c>
      <c r="G299" s="11" t="str">
        <f t="shared" si="18"/>
        <v>('28Nov240101','040000163642','0',(select max(to_number(i.premium_rcv_detail_code))+1
from ins_premium_det i),'0','0','02', '11000003','00','Request by Mr. Omair Ali 29-Nov-2024');</v>
      </c>
      <c r="H299" s="12" t="str">
        <f t="shared" si="19"/>
        <v>insert into ins_premium_det (premium_rcv_code,assorted_code, rec_amount,premium_rcv_detail_code,remaining_amt, payrec, mode_code,coinsurance_code,class_cd,it_remarks) values('28Nov240101','040000163642','0',(select max(to_number(i.premium_rcv_detail_code))+1
from ins_premium_det i),'0','0','02', '11000003','00','Request by Mr. Omair Ali 29-Nov-2024');</v>
      </c>
    </row>
    <row r="300" spans="1:8" ht="105" x14ac:dyDescent="0.25">
      <c r="A300" t="s">
        <v>300</v>
      </c>
      <c r="B300" s="8" t="str">
        <f>VLOOKUP(A300,assortedcode!B:C,2,0)</f>
        <v>040000180589</v>
      </c>
      <c r="C300" s="1">
        <v>0</v>
      </c>
      <c r="D300" s="9">
        <f t="shared" si="17"/>
        <v>0</v>
      </c>
      <c r="E300" s="7" t="s">
        <v>8345</v>
      </c>
      <c r="F300" s="10" t="str">
        <f t="shared" si="16"/>
        <v>insert into ins_premium_det (premium_rcv_code,assorted_code, rec_amount,premium_rcv_detail_code,remaining_amt, payrec, mode_code,coinsurance_code,class_cd,it_remarks) values</v>
      </c>
      <c r="G300" s="11" t="str">
        <f t="shared" si="18"/>
        <v>('28Nov240101','040000180589','0',(select max(to_number(i.premium_rcv_detail_code))+1
from ins_premium_det i),'0','0','02', '11000003','00','Request by Mr. Omair Ali 29-Nov-2024');</v>
      </c>
      <c r="H300" s="12" t="str">
        <f t="shared" si="19"/>
        <v>insert into ins_premium_det (premium_rcv_code,assorted_code, rec_amount,premium_rcv_detail_code,remaining_amt, payrec, mode_code,coinsurance_code,class_cd,it_remarks) values('28Nov240101','040000180589','0',(select max(to_number(i.premium_rcv_detail_code))+1
from ins_premium_det i),'0','0','02', '11000003','00','Request by Mr. Omair Ali 29-Nov-2024');</v>
      </c>
    </row>
    <row r="301" spans="1:8" ht="105" x14ac:dyDescent="0.25">
      <c r="A301" t="s">
        <v>301</v>
      </c>
      <c r="B301" s="8" t="str">
        <f>VLOOKUP(A301,assortedcode!B:C,2,0)</f>
        <v>040000163644</v>
      </c>
      <c r="C301" s="1">
        <v>0</v>
      </c>
      <c r="D301" s="9">
        <f t="shared" si="17"/>
        <v>0</v>
      </c>
      <c r="E301" s="7" t="s">
        <v>8345</v>
      </c>
      <c r="F301" s="10" t="str">
        <f t="shared" si="16"/>
        <v>insert into ins_premium_det (premium_rcv_code,assorted_code, rec_amount,premium_rcv_detail_code,remaining_amt, payrec, mode_code,coinsurance_code,class_cd,it_remarks) values</v>
      </c>
      <c r="G301" s="11" t="str">
        <f t="shared" si="18"/>
        <v>('28Nov240101','040000163644','0',(select max(to_number(i.premium_rcv_detail_code))+1
from ins_premium_det i),'0','0','02', '11000003','00','Request by Mr. Omair Ali 29-Nov-2024');</v>
      </c>
      <c r="H301" s="12" t="str">
        <f t="shared" si="19"/>
        <v>insert into ins_premium_det (premium_rcv_code,assorted_code, rec_amount,premium_rcv_detail_code,remaining_amt, payrec, mode_code,coinsurance_code,class_cd,it_remarks) values('28Nov240101','040000163644','0',(select max(to_number(i.premium_rcv_detail_code))+1
from ins_premium_det i),'0','0','02', '11000003','00','Request by Mr. Omair Ali 29-Nov-2024');</v>
      </c>
    </row>
    <row r="302" spans="1:8" ht="105" x14ac:dyDescent="0.25">
      <c r="A302" t="s">
        <v>302</v>
      </c>
      <c r="B302" s="8" t="str">
        <f>VLOOKUP(A302,assortedcode!B:C,2,0)</f>
        <v>040000180591</v>
      </c>
      <c r="C302" s="1">
        <v>0</v>
      </c>
      <c r="D302" s="9">
        <f t="shared" si="17"/>
        <v>0</v>
      </c>
      <c r="E302" s="7" t="s">
        <v>8345</v>
      </c>
      <c r="F302" s="10" t="str">
        <f t="shared" si="16"/>
        <v>insert into ins_premium_det (premium_rcv_code,assorted_code, rec_amount,premium_rcv_detail_code,remaining_amt, payrec, mode_code,coinsurance_code,class_cd,it_remarks) values</v>
      </c>
      <c r="G302" s="11" t="str">
        <f t="shared" si="18"/>
        <v>('28Nov240101','040000180591','0',(select max(to_number(i.premium_rcv_detail_code))+1
from ins_premium_det i),'0','0','02', '11000003','00','Request by Mr. Omair Ali 29-Nov-2024');</v>
      </c>
      <c r="H302" s="12" t="str">
        <f t="shared" si="19"/>
        <v>insert into ins_premium_det (premium_rcv_code,assorted_code, rec_amount,premium_rcv_detail_code,remaining_amt, payrec, mode_code,coinsurance_code,class_cd,it_remarks) values('28Nov240101','040000180591','0',(select max(to_number(i.premium_rcv_detail_code))+1
from ins_premium_det i),'0','0','02', '11000003','00','Request by Mr. Omair Ali 29-Nov-2024');</v>
      </c>
    </row>
    <row r="303" spans="1:8" ht="105" x14ac:dyDescent="0.25">
      <c r="A303" t="s">
        <v>303</v>
      </c>
      <c r="B303" s="8" t="str">
        <f>VLOOKUP(A303,assortedcode!B:C,2,0)</f>
        <v>040000163646</v>
      </c>
      <c r="C303" s="1">
        <v>0</v>
      </c>
      <c r="D303" s="9">
        <f t="shared" si="17"/>
        <v>0</v>
      </c>
      <c r="E303" s="7" t="s">
        <v>8345</v>
      </c>
      <c r="F303" s="10" t="str">
        <f t="shared" si="16"/>
        <v>insert into ins_premium_det (premium_rcv_code,assorted_code, rec_amount,premium_rcv_detail_code,remaining_amt, payrec, mode_code,coinsurance_code,class_cd,it_remarks) values</v>
      </c>
      <c r="G303" s="11" t="str">
        <f t="shared" si="18"/>
        <v>('28Nov240101','040000163646','0',(select max(to_number(i.premium_rcv_detail_code))+1
from ins_premium_det i),'0','0','02', '11000003','00','Request by Mr. Omair Ali 29-Nov-2024');</v>
      </c>
      <c r="H303" s="12" t="str">
        <f t="shared" si="19"/>
        <v>insert into ins_premium_det (premium_rcv_code,assorted_code, rec_amount,premium_rcv_detail_code,remaining_amt, payrec, mode_code,coinsurance_code,class_cd,it_remarks) values('28Nov240101','040000163646','0',(select max(to_number(i.premium_rcv_detail_code))+1
from ins_premium_det i),'0','0','02', '11000003','00','Request by Mr. Omair Ali 29-Nov-2024');</v>
      </c>
    </row>
    <row r="304" spans="1:8" ht="105" x14ac:dyDescent="0.25">
      <c r="A304" t="s">
        <v>304</v>
      </c>
      <c r="B304" s="8" t="str">
        <f>VLOOKUP(A304,assortedcode!B:C,2,0)</f>
        <v>040000180595</v>
      </c>
      <c r="C304" s="1">
        <v>0</v>
      </c>
      <c r="D304" s="9">
        <f t="shared" si="17"/>
        <v>0</v>
      </c>
      <c r="E304" s="7" t="s">
        <v>8345</v>
      </c>
      <c r="F304" s="10" t="str">
        <f t="shared" si="16"/>
        <v>insert into ins_premium_det (premium_rcv_code,assorted_code, rec_amount,premium_rcv_detail_code,remaining_amt, payrec, mode_code,coinsurance_code,class_cd,it_remarks) values</v>
      </c>
      <c r="G304" s="11" t="str">
        <f t="shared" si="18"/>
        <v>('28Nov240101','040000180595','0',(select max(to_number(i.premium_rcv_detail_code))+1
from ins_premium_det i),'0','0','02', '11000003','00','Request by Mr. Omair Ali 29-Nov-2024');</v>
      </c>
      <c r="H304" s="12" t="str">
        <f t="shared" si="19"/>
        <v>insert into ins_premium_det (premium_rcv_code,assorted_code, rec_amount,premium_rcv_detail_code,remaining_amt, payrec, mode_code,coinsurance_code,class_cd,it_remarks) values('28Nov240101','040000180595','0',(select max(to_number(i.premium_rcv_detail_code))+1
from ins_premium_det i),'0','0','02', '11000003','00','Request by Mr. Omair Ali 29-Nov-2024');</v>
      </c>
    </row>
    <row r="305" spans="1:8" ht="105" x14ac:dyDescent="0.25">
      <c r="A305" t="s">
        <v>305</v>
      </c>
      <c r="B305" s="8" t="str">
        <f>VLOOKUP(A305,assortedcode!B:C,2,0)</f>
        <v>040000163649</v>
      </c>
      <c r="C305" s="1">
        <v>0</v>
      </c>
      <c r="D305" s="9">
        <f t="shared" si="17"/>
        <v>0</v>
      </c>
      <c r="E305" s="7" t="s">
        <v>8345</v>
      </c>
      <c r="F305" s="10" t="str">
        <f t="shared" si="16"/>
        <v>insert into ins_premium_det (premium_rcv_code,assorted_code, rec_amount,premium_rcv_detail_code,remaining_amt, payrec, mode_code,coinsurance_code,class_cd,it_remarks) values</v>
      </c>
      <c r="G305" s="11" t="str">
        <f t="shared" si="18"/>
        <v>('28Nov240101','040000163649','0',(select max(to_number(i.premium_rcv_detail_code))+1
from ins_premium_det i),'0','0','02', '11000003','00','Request by Mr. Omair Ali 29-Nov-2024');</v>
      </c>
      <c r="H305" s="12" t="str">
        <f t="shared" si="19"/>
        <v>insert into ins_premium_det (premium_rcv_code,assorted_code, rec_amount,premium_rcv_detail_code,remaining_amt, payrec, mode_code,coinsurance_code,class_cd,it_remarks) values('28Nov240101','040000163649','0',(select max(to_number(i.premium_rcv_detail_code))+1
from ins_premium_det i),'0','0','02', '11000003','00','Request by Mr. Omair Ali 29-Nov-2024');</v>
      </c>
    </row>
    <row r="306" spans="1:8" ht="105" x14ac:dyDescent="0.25">
      <c r="A306" t="s">
        <v>306</v>
      </c>
      <c r="B306" s="8" t="str">
        <f>VLOOKUP(A306,assortedcode!B:C,2,0)</f>
        <v>040000180596</v>
      </c>
      <c r="C306" s="1">
        <v>0</v>
      </c>
      <c r="D306" s="9">
        <f t="shared" si="17"/>
        <v>0</v>
      </c>
      <c r="E306" s="7" t="s">
        <v>8345</v>
      </c>
      <c r="F306" s="10" t="str">
        <f t="shared" si="16"/>
        <v>insert into ins_premium_det (premium_rcv_code,assorted_code, rec_amount,premium_rcv_detail_code,remaining_amt, payrec, mode_code,coinsurance_code,class_cd,it_remarks) values</v>
      </c>
      <c r="G306" s="11" t="str">
        <f t="shared" si="18"/>
        <v>('28Nov240101','040000180596','0',(select max(to_number(i.premium_rcv_detail_code))+1
from ins_premium_det i),'0','0','02', '11000003','00','Request by Mr. Omair Ali 29-Nov-2024');</v>
      </c>
      <c r="H306" s="12" t="str">
        <f t="shared" si="19"/>
        <v>insert into ins_premium_det (premium_rcv_code,assorted_code, rec_amount,premium_rcv_detail_code,remaining_amt, payrec, mode_code,coinsurance_code,class_cd,it_remarks) values('28Nov240101','040000180596','0',(select max(to_number(i.premium_rcv_detail_code))+1
from ins_premium_det i),'0','0','02', '11000003','00','Request by Mr. Omair Ali 29-Nov-2024');</v>
      </c>
    </row>
    <row r="307" spans="1:8" ht="105" x14ac:dyDescent="0.25">
      <c r="A307" t="s">
        <v>307</v>
      </c>
      <c r="B307" s="8" t="str">
        <f>VLOOKUP(A307,assortedcode!B:C,2,0)</f>
        <v>040000163651</v>
      </c>
      <c r="C307" s="1">
        <v>0</v>
      </c>
      <c r="D307" s="9">
        <f t="shared" si="17"/>
        <v>0</v>
      </c>
      <c r="E307" s="7" t="s">
        <v>8345</v>
      </c>
      <c r="F307" s="10" t="str">
        <f t="shared" si="16"/>
        <v>insert into ins_premium_det (premium_rcv_code,assorted_code, rec_amount,premium_rcv_detail_code,remaining_amt, payrec, mode_code,coinsurance_code,class_cd,it_remarks) values</v>
      </c>
      <c r="G307" s="11" t="str">
        <f t="shared" si="18"/>
        <v>('28Nov240101','040000163651','0',(select max(to_number(i.premium_rcv_detail_code))+1
from ins_premium_det i),'0','0','02', '11000003','00','Request by Mr. Omair Ali 29-Nov-2024');</v>
      </c>
      <c r="H307" s="12" t="str">
        <f t="shared" si="19"/>
        <v>insert into ins_premium_det (premium_rcv_code,assorted_code, rec_amount,premium_rcv_detail_code,remaining_amt, payrec, mode_code,coinsurance_code,class_cd,it_remarks) values('28Nov240101','040000163651','0',(select max(to_number(i.premium_rcv_detail_code))+1
from ins_premium_det i),'0','0','02', '11000003','00','Request by Mr. Omair Ali 29-Nov-2024');</v>
      </c>
    </row>
    <row r="308" spans="1:8" ht="105" x14ac:dyDescent="0.25">
      <c r="A308" t="s">
        <v>308</v>
      </c>
      <c r="B308" s="8" t="str">
        <f>VLOOKUP(A308,assortedcode!B:C,2,0)</f>
        <v>040000180620</v>
      </c>
      <c r="C308" s="1">
        <v>0</v>
      </c>
      <c r="D308" s="9">
        <f t="shared" si="17"/>
        <v>0</v>
      </c>
      <c r="E308" s="7" t="s">
        <v>8345</v>
      </c>
      <c r="F308" s="10" t="str">
        <f t="shared" si="16"/>
        <v>insert into ins_premium_det (premium_rcv_code,assorted_code, rec_amount,premium_rcv_detail_code,remaining_amt, payrec, mode_code,coinsurance_code,class_cd,it_remarks) values</v>
      </c>
      <c r="G308" s="11" t="str">
        <f t="shared" si="18"/>
        <v>('28Nov240101','040000180620','0',(select max(to_number(i.premium_rcv_detail_code))+1
from ins_premium_det i),'0','0','02', '11000003','00','Request by Mr. Omair Ali 29-Nov-2024');</v>
      </c>
      <c r="H308" s="12" t="str">
        <f t="shared" si="19"/>
        <v>insert into ins_premium_det (premium_rcv_code,assorted_code, rec_amount,premium_rcv_detail_code,remaining_amt, payrec, mode_code,coinsurance_code,class_cd,it_remarks) values('28Nov240101','040000180620','0',(select max(to_number(i.premium_rcv_detail_code))+1
from ins_premium_det i),'0','0','02', '11000003','00','Request by Mr. Omair Ali 29-Nov-2024');</v>
      </c>
    </row>
    <row r="309" spans="1:8" ht="105" x14ac:dyDescent="0.25">
      <c r="A309" t="s">
        <v>309</v>
      </c>
      <c r="B309" s="8" t="str">
        <f>VLOOKUP(A309,assortedcode!B:C,2,0)</f>
        <v>040000165633</v>
      </c>
      <c r="C309" s="1">
        <v>0</v>
      </c>
      <c r="D309" s="9">
        <f t="shared" si="17"/>
        <v>0</v>
      </c>
      <c r="E309" s="7" t="s">
        <v>8345</v>
      </c>
      <c r="F309" s="10" t="str">
        <f t="shared" si="16"/>
        <v>insert into ins_premium_det (premium_rcv_code,assorted_code, rec_amount,premium_rcv_detail_code,remaining_amt, payrec, mode_code,coinsurance_code,class_cd,it_remarks) values</v>
      </c>
      <c r="G309" s="11" t="str">
        <f t="shared" si="18"/>
        <v>('28Nov240101','040000165633','0',(select max(to_number(i.premium_rcv_detail_code))+1
from ins_premium_det i),'0','0','02', '11000003','00','Request by Mr. Omair Ali 29-Nov-2024');</v>
      </c>
      <c r="H309" s="12" t="str">
        <f t="shared" si="19"/>
        <v>insert into ins_premium_det (premium_rcv_code,assorted_code, rec_amount,premium_rcv_detail_code,remaining_amt, payrec, mode_code,coinsurance_code,class_cd,it_remarks) values('28Nov240101','040000165633','0',(select max(to_number(i.premium_rcv_detail_code))+1
from ins_premium_det i),'0','0','02', '11000003','00','Request by Mr. Omair Ali 29-Nov-2024');</v>
      </c>
    </row>
    <row r="310" spans="1:8" ht="105" x14ac:dyDescent="0.25">
      <c r="A310" t="s">
        <v>310</v>
      </c>
      <c r="B310" s="8" t="str">
        <f>VLOOKUP(A310,assortedcode!B:C,2,0)</f>
        <v>040000180621</v>
      </c>
      <c r="C310" s="1">
        <v>0</v>
      </c>
      <c r="D310" s="9">
        <f t="shared" si="17"/>
        <v>0</v>
      </c>
      <c r="E310" s="7" t="s">
        <v>8345</v>
      </c>
      <c r="F310" s="10" t="str">
        <f t="shared" si="16"/>
        <v>insert into ins_premium_det (premium_rcv_code,assorted_code, rec_amount,premium_rcv_detail_code,remaining_amt, payrec, mode_code,coinsurance_code,class_cd,it_remarks) values</v>
      </c>
      <c r="G310" s="11" t="str">
        <f t="shared" si="18"/>
        <v>('28Nov240101','040000180621','0',(select max(to_number(i.premium_rcv_detail_code))+1
from ins_premium_det i),'0','0','02', '11000003','00','Request by Mr. Omair Ali 29-Nov-2024');</v>
      </c>
      <c r="H310" s="12" t="str">
        <f t="shared" si="19"/>
        <v>insert into ins_premium_det (premium_rcv_code,assorted_code, rec_amount,premium_rcv_detail_code,remaining_amt, payrec, mode_code,coinsurance_code,class_cd,it_remarks) values('28Nov240101','040000180621','0',(select max(to_number(i.premium_rcv_detail_code))+1
from ins_premium_det i),'0','0','02', '11000003','00','Request by Mr. Omair Ali 29-Nov-2024');</v>
      </c>
    </row>
    <row r="311" spans="1:8" ht="105" x14ac:dyDescent="0.25">
      <c r="A311" t="s">
        <v>311</v>
      </c>
      <c r="B311" s="8" t="str">
        <f>VLOOKUP(A311,assortedcode!B:C,2,0)</f>
        <v>040000122919</v>
      </c>
      <c r="C311" s="1">
        <v>0</v>
      </c>
      <c r="D311" s="9">
        <f t="shared" si="17"/>
        <v>0</v>
      </c>
      <c r="E311" s="7" t="s">
        <v>8345</v>
      </c>
      <c r="F311" s="10" t="str">
        <f t="shared" si="16"/>
        <v>insert into ins_premium_det (premium_rcv_code,assorted_code, rec_amount,premium_rcv_detail_code,remaining_amt, payrec, mode_code,coinsurance_code,class_cd,it_remarks) values</v>
      </c>
      <c r="G311" s="11" t="str">
        <f t="shared" si="18"/>
        <v>('28Nov240101','040000122919','0',(select max(to_number(i.premium_rcv_detail_code))+1
from ins_premium_det i),'0','0','02', '11000003','00','Request by Mr. Omair Ali 29-Nov-2024');</v>
      </c>
      <c r="H311" s="12" t="str">
        <f t="shared" si="19"/>
        <v>insert into ins_premium_det (premium_rcv_code,assorted_code, rec_amount,premium_rcv_detail_code,remaining_amt, payrec, mode_code,coinsurance_code,class_cd,it_remarks) values('28Nov240101','040000122919','0',(select max(to_number(i.premium_rcv_detail_code))+1
from ins_premium_det i),'0','0','02', '11000003','00','Request by Mr. Omair Ali 29-Nov-2024');</v>
      </c>
    </row>
    <row r="312" spans="1:8" ht="105" x14ac:dyDescent="0.25">
      <c r="A312" t="s">
        <v>312</v>
      </c>
      <c r="B312" s="8" t="str">
        <f>VLOOKUP(A312,assortedcode!B:C,2,0)</f>
        <v>070000155742</v>
      </c>
      <c r="C312" s="1">
        <v>0</v>
      </c>
      <c r="D312" s="9">
        <f t="shared" si="17"/>
        <v>0</v>
      </c>
      <c r="E312" s="7" t="s">
        <v>8345</v>
      </c>
      <c r="F312" s="10" t="str">
        <f t="shared" si="16"/>
        <v>insert into ins_premium_det (premium_rcv_code,assorted_code, rec_amount,premium_rcv_detail_code,remaining_amt, payrec, mode_code,coinsurance_code,class_cd,it_remarks) values</v>
      </c>
      <c r="G312" s="11" t="str">
        <f t="shared" si="18"/>
        <v>('28Nov240101','070000155742','0',(select max(to_number(i.premium_rcv_detail_code))+1
from ins_premium_det i),'0','0','02', '11000003','00','Request by Mr. Omair Ali 29-Nov-2024');</v>
      </c>
      <c r="H312" s="12" t="str">
        <f t="shared" si="19"/>
        <v>insert into ins_premium_det (premium_rcv_code,assorted_code, rec_amount,premium_rcv_detail_code,remaining_amt, payrec, mode_code,coinsurance_code,class_cd,it_remarks) values('28Nov240101','070000155742','0',(select max(to_number(i.premium_rcv_detail_code))+1
from ins_premium_det i),'0','0','02', '11000003','00','Request by Mr. Omair Ali 29-Nov-2024');</v>
      </c>
    </row>
    <row r="313" spans="1:8" ht="105" x14ac:dyDescent="0.25">
      <c r="A313" t="s">
        <v>313</v>
      </c>
      <c r="B313" s="8" t="str">
        <f>VLOOKUP(A313,assortedcode!B:C,2,0)</f>
        <v>040000180622</v>
      </c>
      <c r="C313" s="1">
        <v>0</v>
      </c>
      <c r="D313" s="9">
        <f t="shared" si="17"/>
        <v>0</v>
      </c>
      <c r="E313" s="7" t="s">
        <v>8345</v>
      </c>
      <c r="F313" s="10" t="str">
        <f t="shared" si="16"/>
        <v>insert into ins_premium_det (premium_rcv_code,assorted_code, rec_amount,premium_rcv_detail_code,remaining_amt, payrec, mode_code,coinsurance_code,class_cd,it_remarks) values</v>
      </c>
      <c r="G313" s="11" t="str">
        <f t="shared" si="18"/>
        <v>('28Nov240101','040000180622','0',(select max(to_number(i.premium_rcv_detail_code))+1
from ins_premium_det i),'0','0','02', '11000003','00','Request by Mr. Omair Ali 29-Nov-2024');</v>
      </c>
      <c r="H313" s="12" t="str">
        <f t="shared" si="19"/>
        <v>insert into ins_premium_det (premium_rcv_code,assorted_code, rec_amount,premium_rcv_detail_code,remaining_amt, payrec, mode_code,coinsurance_code,class_cd,it_remarks) values('28Nov240101','040000180622','0',(select max(to_number(i.premium_rcv_detail_code))+1
from ins_premium_det i),'0','0','02', '11000003','00','Request by Mr. Omair Ali 29-Nov-2024');</v>
      </c>
    </row>
    <row r="314" spans="1:8" ht="105" x14ac:dyDescent="0.25">
      <c r="A314" t="s">
        <v>314</v>
      </c>
      <c r="B314" s="8" t="str">
        <f>VLOOKUP(A314,assortedcode!B:C,2,0)</f>
        <v>040000125848</v>
      </c>
      <c r="C314" s="1">
        <v>0</v>
      </c>
      <c r="D314" s="9">
        <f t="shared" si="17"/>
        <v>0</v>
      </c>
      <c r="E314" s="7" t="s">
        <v>8345</v>
      </c>
      <c r="F314" s="10" t="str">
        <f t="shared" si="16"/>
        <v>insert into ins_premium_det (premium_rcv_code,assorted_code, rec_amount,premium_rcv_detail_code,remaining_amt, payrec, mode_code,coinsurance_code,class_cd,it_remarks) values</v>
      </c>
      <c r="G314" s="11" t="str">
        <f t="shared" si="18"/>
        <v>('28Nov240101','040000125848','0',(select max(to_number(i.premium_rcv_detail_code))+1
from ins_premium_det i),'0','0','02', '11000003','00','Request by Mr. Omair Ali 29-Nov-2024');</v>
      </c>
      <c r="H314" s="12" t="str">
        <f t="shared" si="19"/>
        <v>insert into ins_premium_det (premium_rcv_code,assorted_code, rec_amount,premium_rcv_detail_code,remaining_amt, payrec, mode_code,coinsurance_code,class_cd,it_remarks) values('28Nov240101','040000125848','0',(select max(to_number(i.premium_rcv_detail_code))+1
from ins_premium_det i),'0','0','02', '11000003','00','Request by Mr. Omair Ali 29-Nov-2024');</v>
      </c>
    </row>
    <row r="315" spans="1:8" ht="105" x14ac:dyDescent="0.25">
      <c r="A315" t="s">
        <v>315</v>
      </c>
      <c r="B315" s="8" t="str">
        <f>VLOOKUP(A315,assortedcode!B:C,2,0)</f>
        <v>040000180623</v>
      </c>
      <c r="C315" s="1">
        <v>0</v>
      </c>
      <c r="D315" s="9">
        <f t="shared" si="17"/>
        <v>0</v>
      </c>
      <c r="E315" s="7" t="s">
        <v>8345</v>
      </c>
      <c r="F315" s="10" t="str">
        <f t="shared" si="16"/>
        <v>insert into ins_premium_det (premium_rcv_code,assorted_code, rec_amount,premium_rcv_detail_code,remaining_amt, payrec, mode_code,coinsurance_code,class_cd,it_remarks) values</v>
      </c>
      <c r="G315" s="11" t="str">
        <f t="shared" si="18"/>
        <v>('28Nov240101','040000180623','0',(select max(to_number(i.premium_rcv_detail_code))+1
from ins_premium_det i),'0','0','02', '11000003','00','Request by Mr. Omair Ali 29-Nov-2024');</v>
      </c>
      <c r="H315" s="12" t="str">
        <f t="shared" si="19"/>
        <v>insert into ins_premium_det (premium_rcv_code,assorted_code, rec_amount,premium_rcv_detail_code,remaining_amt, payrec, mode_code,coinsurance_code,class_cd,it_remarks) values('28Nov240101','040000180623','0',(select max(to_number(i.premium_rcv_detail_code))+1
from ins_premium_det i),'0','0','02', '11000003','00','Request by Mr. Omair Ali 29-Nov-2024');</v>
      </c>
    </row>
    <row r="316" spans="1:8" ht="105" x14ac:dyDescent="0.25">
      <c r="A316" t="s">
        <v>316</v>
      </c>
      <c r="B316" s="8" t="str">
        <f>VLOOKUP(A316,assortedcode!B:C,2,0)</f>
        <v>040000112973</v>
      </c>
      <c r="C316" s="1">
        <v>0</v>
      </c>
      <c r="D316" s="9">
        <f t="shared" si="17"/>
        <v>0</v>
      </c>
      <c r="E316" s="7" t="s">
        <v>8345</v>
      </c>
      <c r="F316" s="10" t="str">
        <f t="shared" si="16"/>
        <v>insert into ins_premium_det (premium_rcv_code,assorted_code, rec_amount,premium_rcv_detail_code,remaining_amt, payrec, mode_code,coinsurance_code,class_cd,it_remarks) values</v>
      </c>
      <c r="G316" s="11" t="str">
        <f t="shared" si="18"/>
        <v>('28Nov240101','040000112973','0',(select max(to_number(i.premium_rcv_detail_code))+1
from ins_premium_det i),'0','0','02', '11000003','00','Request by Mr. Omair Ali 29-Nov-2024');</v>
      </c>
      <c r="H316" s="12" t="str">
        <f t="shared" si="19"/>
        <v>insert into ins_premium_det (premium_rcv_code,assorted_code, rec_amount,premium_rcv_detail_code,remaining_amt, payrec, mode_code,coinsurance_code,class_cd,it_remarks) values('28Nov240101','040000112973','0',(select max(to_number(i.premium_rcv_detail_code))+1
from ins_premium_det i),'0','0','02', '11000003','00','Request by Mr. Omair Ali 29-Nov-2024');</v>
      </c>
    </row>
    <row r="317" spans="1:8" ht="105" x14ac:dyDescent="0.25">
      <c r="A317" t="s">
        <v>317</v>
      </c>
      <c r="B317" s="8" t="str">
        <f>VLOOKUP(A317,assortedcode!B:C,2,0)</f>
        <v>040000180624</v>
      </c>
      <c r="C317" s="1">
        <v>0</v>
      </c>
      <c r="D317" s="9">
        <f t="shared" si="17"/>
        <v>0</v>
      </c>
      <c r="E317" s="7" t="s">
        <v>8345</v>
      </c>
      <c r="F317" s="10" t="str">
        <f t="shared" si="16"/>
        <v>insert into ins_premium_det (premium_rcv_code,assorted_code, rec_amount,premium_rcv_detail_code,remaining_amt, payrec, mode_code,coinsurance_code,class_cd,it_remarks) values</v>
      </c>
      <c r="G317" s="11" t="str">
        <f t="shared" si="18"/>
        <v>('28Nov240101','040000180624','0',(select max(to_number(i.premium_rcv_detail_code))+1
from ins_premium_det i),'0','0','02', '11000003','00','Request by Mr. Omair Ali 29-Nov-2024');</v>
      </c>
      <c r="H317" s="12" t="str">
        <f t="shared" si="19"/>
        <v>insert into ins_premium_det (premium_rcv_code,assorted_code, rec_amount,premium_rcv_detail_code,remaining_amt, payrec, mode_code,coinsurance_code,class_cd,it_remarks) values('28Nov240101','040000180624','0',(select max(to_number(i.premium_rcv_detail_code))+1
from ins_premium_det i),'0','0','02', '11000003','00','Request by Mr. Omair Ali 29-Nov-2024');</v>
      </c>
    </row>
    <row r="318" spans="1:8" ht="105" x14ac:dyDescent="0.25">
      <c r="A318" t="s">
        <v>318</v>
      </c>
      <c r="B318" s="8" t="str">
        <f>VLOOKUP(A318,assortedcode!B:C,2,0)</f>
        <v>040000130353</v>
      </c>
      <c r="C318" s="1">
        <v>0</v>
      </c>
      <c r="D318" s="9">
        <f t="shared" si="17"/>
        <v>0</v>
      </c>
      <c r="E318" s="7" t="s">
        <v>8345</v>
      </c>
      <c r="F318" s="10" t="str">
        <f t="shared" si="16"/>
        <v>insert into ins_premium_det (premium_rcv_code,assorted_code, rec_amount,premium_rcv_detail_code,remaining_amt, payrec, mode_code,coinsurance_code,class_cd,it_remarks) values</v>
      </c>
      <c r="G318" s="11" t="str">
        <f t="shared" si="18"/>
        <v>('28Nov240101','040000130353','0',(select max(to_number(i.premium_rcv_detail_code))+1
from ins_premium_det i),'0','0','02', '11000003','00','Request by Mr. Omair Ali 29-Nov-2024');</v>
      </c>
      <c r="H318" s="12" t="str">
        <f t="shared" si="19"/>
        <v>insert into ins_premium_det (premium_rcv_code,assorted_code, rec_amount,premium_rcv_detail_code,remaining_amt, payrec, mode_code,coinsurance_code,class_cd,it_remarks) values('28Nov240101','040000130353','0',(select max(to_number(i.premium_rcv_detail_code))+1
from ins_premium_det i),'0','0','02', '11000003','00','Request by Mr. Omair Ali 29-Nov-2024');</v>
      </c>
    </row>
    <row r="319" spans="1:8" ht="105" x14ac:dyDescent="0.25">
      <c r="A319" t="s">
        <v>319</v>
      </c>
      <c r="B319" s="8" t="str">
        <f>VLOOKUP(A319,assortedcode!B:C,2,0)</f>
        <v>040000180625</v>
      </c>
      <c r="C319" s="1">
        <v>0</v>
      </c>
      <c r="D319" s="9">
        <f t="shared" si="17"/>
        <v>0</v>
      </c>
      <c r="E319" s="7" t="s">
        <v>8345</v>
      </c>
      <c r="F319" s="10" t="str">
        <f t="shared" si="16"/>
        <v>insert into ins_premium_det (premium_rcv_code,assorted_code, rec_amount,premium_rcv_detail_code,remaining_amt, payrec, mode_code,coinsurance_code,class_cd,it_remarks) values</v>
      </c>
      <c r="G319" s="11" t="str">
        <f t="shared" si="18"/>
        <v>('28Nov240101','040000180625','0',(select max(to_number(i.premium_rcv_detail_code))+1
from ins_premium_det i),'0','0','02', '11000003','00','Request by Mr. Omair Ali 29-Nov-2024');</v>
      </c>
      <c r="H319" s="12" t="str">
        <f t="shared" si="19"/>
        <v>insert into ins_premium_det (premium_rcv_code,assorted_code, rec_amount,premium_rcv_detail_code,remaining_amt, payrec, mode_code,coinsurance_code,class_cd,it_remarks) values('28Nov240101','040000180625','0',(select max(to_number(i.premium_rcv_detail_code))+1
from ins_premium_det i),'0','0','02', '11000003','00','Request by Mr. Omair Ali 29-Nov-2024');</v>
      </c>
    </row>
    <row r="320" spans="1:8" ht="105" x14ac:dyDescent="0.25">
      <c r="A320" t="s">
        <v>320</v>
      </c>
      <c r="B320" s="8" t="str">
        <f>VLOOKUP(A320,assortedcode!B:C,2,0)</f>
        <v>040000130611</v>
      </c>
      <c r="C320" s="1">
        <v>0</v>
      </c>
      <c r="D320" s="9">
        <f t="shared" si="17"/>
        <v>0</v>
      </c>
      <c r="E320" s="7" t="s">
        <v>8345</v>
      </c>
      <c r="F320" s="10" t="str">
        <f t="shared" si="16"/>
        <v>insert into ins_premium_det (premium_rcv_code,assorted_code, rec_amount,premium_rcv_detail_code,remaining_amt, payrec, mode_code,coinsurance_code,class_cd,it_remarks) values</v>
      </c>
      <c r="G320" s="11" t="str">
        <f t="shared" si="18"/>
        <v>('28Nov240101','040000130611','0',(select max(to_number(i.premium_rcv_detail_code))+1
from ins_premium_det i),'0','0','02', '11000003','00','Request by Mr. Omair Ali 29-Nov-2024');</v>
      </c>
      <c r="H320" s="12" t="str">
        <f t="shared" si="19"/>
        <v>insert into ins_premium_det (premium_rcv_code,assorted_code, rec_amount,premium_rcv_detail_code,remaining_amt, payrec, mode_code,coinsurance_code,class_cd,it_remarks) values('28Nov240101','040000130611','0',(select max(to_number(i.premium_rcv_detail_code))+1
from ins_premium_det i),'0','0','02', '11000003','00','Request by Mr. Omair Ali 29-Nov-2024');</v>
      </c>
    </row>
    <row r="321" spans="1:8" ht="105" x14ac:dyDescent="0.25">
      <c r="A321" t="s">
        <v>321</v>
      </c>
      <c r="B321" s="8" t="str">
        <f>VLOOKUP(A321,assortedcode!B:C,2,0)</f>
        <v>040000180631</v>
      </c>
      <c r="C321" s="1">
        <v>0</v>
      </c>
      <c r="D321" s="9">
        <f t="shared" si="17"/>
        <v>0</v>
      </c>
      <c r="E321" s="7" t="s">
        <v>8345</v>
      </c>
      <c r="F321" s="10" t="str">
        <f t="shared" si="16"/>
        <v>insert into ins_premium_det (premium_rcv_code,assorted_code, rec_amount,premium_rcv_detail_code,remaining_amt, payrec, mode_code,coinsurance_code,class_cd,it_remarks) values</v>
      </c>
      <c r="G321" s="11" t="str">
        <f t="shared" si="18"/>
        <v>('28Nov240101','040000180631','0',(select max(to_number(i.premium_rcv_detail_code))+1
from ins_premium_det i),'0','0','02', '11000003','00','Request by Mr. Omair Ali 29-Nov-2024');</v>
      </c>
      <c r="H321" s="12" t="str">
        <f t="shared" si="19"/>
        <v>insert into ins_premium_det (premium_rcv_code,assorted_code, rec_amount,premium_rcv_detail_code,remaining_amt, payrec, mode_code,coinsurance_code,class_cd,it_remarks) values('28Nov240101','040000180631','0',(select max(to_number(i.premium_rcv_detail_code))+1
from ins_premium_det i),'0','0','02', '11000003','00','Request by Mr. Omair Ali 29-Nov-2024');</v>
      </c>
    </row>
    <row r="322" spans="1:8" ht="105" x14ac:dyDescent="0.25">
      <c r="A322" t="s">
        <v>322</v>
      </c>
      <c r="B322" s="8" t="str">
        <f>VLOOKUP(A322,assortedcode!B:C,2,0)</f>
        <v>040000131711</v>
      </c>
      <c r="C322" s="1">
        <v>0</v>
      </c>
      <c r="D322" s="9">
        <f t="shared" si="17"/>
        <v>0</v>
      </c>
      <c r="E322" s="7" t="s">
        <v>8345</v>
      </c>
      <c r="F322" s="10" t="str">
        <f t="shared" ref="F322:F385" si="20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322" s="11" t="str">
        <f t="shared" si="18"/>
        <v>('28Nov240101','040000131711','0',(select max(to_number(i.premium_rcv_detail_code))+1
from ins_premium_det i),'0','0','02', '11000003','00','Request by Mr. Omair Ali 29-Nov-2024');</v>
      </c>
      <c r="H322" s="12" t="str">
        <f t="shared" si="19"/>
        <v>insert into ins_premium_det (premium_rcv_code,assorted_code, rec_amount,premium_rcv_detail_code,remaining_amt, payrec, mode_code,coinsurance_code,class_cd,it_remarks) values('28Nov240101','040000131711','0',(select max(to_number(i.premium_rcv_detail_code))+1
from ins_premium_det i),'0','0','02', '11000003','00','Request by Mr. Omair Ali 29-Nov-2024');</v>
      </c>
    </row>
    <row r="323" spans="1:8" ht="105" x14ac:dyDescent="0.25">
      <c r="A323" t="s">
        <v>323</v>
      </c>
      <c r="B323" s="8" t="str">
        <f>VLOOKUP(A323,assortedcode!B:C,2,0)</f>
        <v>040000180633</v>
      </c>
      <c r="C323" s="1">
        <v>0</v>
      </c>
      <c r="D323" s="9">
        <f t="shared" ref="D323:D386" si="21">ROUND(C323,0)</f>
        <v>0</v>
      </c>
      <c r="E323" s="7" t="s">
        <v>8345</v>
      </c>
      <c r="F323" s="10" t="str">
        <f t="shared" si="20"/>
        <v>insert into ins_premium_det (premium_rcv_code,assorted_code, rec_amount,premium_rcv_detail_code,remaining_amt, payrec, mode_code,coinsurance_code,class_cd,it_remarks) values</v>
      </c>
      <c r="G323" s="11" t="str">
        <f t="shared" ref="G323:G386" si="22">"('"&amp;E323&amp;"','"&amp;B323&amp;"','"&amp;ROUND(D323,2)&amp;"',(select max(to_number(i.premium_rcv_detail_code))+1
from ins_premium_det i),'"&amp;D323&amp;"','"&amp;D323&amp;"','02', '11000003','00','Request by Mr. Omair Ali 29-Nov-2024');"</f>
        <v>('28Nov240101','040000180633','0',(select max(to_number(i.premium_rcv_detail_code))+1
from ins_premium_det i),'0','0','02', '11000003','00','Request by Mr. Omair Ali 29-Nov-2024');</v>
      </c>
      <c r="H323" s="12" t="str">
        <f t="shared" ref="H323:H386" si="23">F323&amp;G323</f>
        <v>insert into ins_premium_det (premium_rcv_code,assorted_code, rec_amount,premium_rcv_detail_code,remaining_amt, payrec, mode_code,coinsurance_code,class_cd,it_remarks) values('28Nov240101','040000180633','0',(select max(to_number(i.premium_rcv_detail_code))+1
from ins_premium_det i),'0','0','02', '11000003','00','Request by Mr. Omair Ali 29-Nov-2024');</v>
      </c>
    </row>
    <row r="324" spans="1:8" ht="105" x14ac:dyDescent="0.25">
      <c r="A324" t="s">
        <v>324</v>
      </c>
      <c r="B324" s="8" t="str">
        <f>VLOOKUP(A324,assortedcode!B:C,2,0)</f>
        <v>040000131876</v>
      </c>
      <c r="C324" s="1">
        <v>0</v>
      </c>
      <c r="D324" s="9">
        <f t="shared" si="21"/>
        <v>0</v>
      </c>
      <c r="E324" s="7" t="s">
        <v>8345</v>
      </c>
      <c r="F324" s="10" t="str">
        <f t="shared" si="20"/>
        <v>insert into ins_premium_det (premium_rcv_code,assorted_code, rec_amount,premium_rcv_detail_code,remaining_amt, payrec, mode_code,coinsurance_code,class_cd,it_remarks) values</v>
      </c>
      <c r="G324" s="11" t="str">
        <f t="shared" si="22"/>
        <v>('28Nov240101','040000131876','0',(select max(to_number(i.premium_rcv_detail_code))+1
from ins_premium_det i),'0','0','02', '11000003','00','Request by Mr. Omair Ali 29-Nov-2024');</v>
      </c>
      <c r="H324" s="12" t="str">
        <f t="shared" si="23"/>
        <v>insert into ins_premium_det (premium_rcv_code,assorted_code, rec_amount,premium_rcv_detail_code,remaining_amt, payrec, mode_code,coinsurance_code,class_cd,it_remarks) values('28Nov240101','040000131876','0',(select max(to_number(i.premium_rcv_detail_code))+1
from ins_premium_det i),'0','0','02', '11000003','00','Request by Mr. Omair Ali 29-Nov-2024');</v>
      </c>
    </row>
    <row r="325" spans="1:8" ht="105" x14ac:dyDescent="0.25">
      <c r="A325" t="s">
        <v>325</v>
      </c>
      <c r="B325" s="8" t="str">
        <f>VLOOKUP(A325,assortedcode!B:C,2,0)</f>
        <v>040000180634</v>
      </c>
      <c r="C325" s="1">
        <v>0</v>
      </c>
      <c r="D325" s="9">
        <f t="shared" si="21"/>
        <v>0</v>
      </c>
      <c r="E325" s="7" t="s">
        <v>8345</v>
      </c>
      <c r="F325" s="10" t="str">
        <f t="shared" si="20"/>
        <v>insert into ins_premium_det (premium_rcv_code,assorted_code, rec_amount,premium_rcv_detail_code,remaining_amt, payrec, mode_code,coinsurance_code,class_cd,it_remarks) values</v>
      </c>
      <c r="G325" s="11" t="str">
        <f t="shared" si="22"/>
        <v>('28Nov240101','040000180634','0',(select max(to_number(i.premium_rcv_detail_code))+1
from ins_premium_det i),'0','0','02', '11000003','00','Request by Mr. Omair Ali 29-Nov-2024');</v>
      </c>
      <c r="H325" s="12" t="str">
        <f t="shared" si="23"/>
        <v>insert into ins_premium_det (premium_rcv_code,assorted_code, rec_amount,premium_rcv_detail_code,remaining_amt, payrec, mode_code,coinsurance_code,class_cd,it_remarks) values('28Nov240101','040000180634','0',(select max(to_number(i.premium_rcv_detail_code))+1
from ins_premium_det i),'0','0','02', '11000003','00','Request by Mr. Omair Ali 29-Nov-2024');</v>
      </c>
    </row>
    <row r="326" spans="1:8" ht="105" x14ac:dyDescent="0.25">
      <c r="A326" t="s">
        <v>326</v>
      </c>
      <c r="B326" s="8" t="str">
        <f>VLOOKUP(A326,assortedcode!B:C,2,0)</f>
        <v>040000132057</v>
      </c>
      <c r="C326" s="1">
        <v>0</v>
      </c>
      <c r="D326" s="9">
        <f t="shared" si="21"/>
        <v>0</v>
      </c>
      <c r="E326" s="7" t="s">
        <v>8345</v>
      </c>
      <c r="F326" s="10" t="str">
        <f t="shared" si="20"/>
        <v>insert into ins_premium_det (premium_rcv_code,assorted_code, rec_amount,premium_rcv_detail_code,remaining_amt, payrec, mode_code,coinsurance_code,class_cd,it_remarks) values</v>
      </c>
      <c r="G326" s="11" t="str">
        <f t="shared" si="22"/>
        <v>('28Nov240101','040000132057','0',(select max(to_number(i.premium_rcv_detail_code))+1
from ins_premium_det i),'0','0','02', '11000003','00','Request by Mr. Omair Ali 29-Nov-2024');</v>
      </c>
      <c r="H326" s="12" t="str">
        <f t="shared" si="23"/>
        <v>insert into ins_premium_det (premium_rcv_code,assorted_code, rec_amount,premium_rcv_detail_code,remaining_amt, payrec, mode_code,coinsurance_code,class_cd,it_remarks) values('28Nov240101','040000132057','0',(select max(to_number(i.premium_rcv_detail_code))+1
from ins_premium_det i),'0','0','02', '11000003','00','Request by Mr. Omair Ali 29-Nov-2024');</v>
      </c>
    </row>
    <row r="327" spans="1:8" ht="105" x14ac:dyDescent="0.25">
      <c r="A327" t="s">
        <v>327</v>
      </c>
      <c r="B327" s="8" t="str">
        <f>VLOOKUP(A327,assortedcode!B:C,2,0)</f>
        <v>040000180636</v>
      </c>
      <c r="C327" s="1">
        <v>0</v>
      </c>
      <c r="D327" s="9">
        <f t="shared" si="21"/>
        <v>0</v>
      </c>
      <c r="E327" s="7" t="s">
        <v>8345</v>
      </c>
      <c r="F327" s="10" t="str">
        <f t="shared" si="20"/>
        <v>insert into ins_premium_det (premium_rcv_code,assorted_code, rec_amount,premium_rcv_detail_code,remaining_amt, payrec, mode_code,coinsurance_code,class_cd,it_remarks) values</v>
      </c>
      <c r="G327" s="11" t="str">
        <f t="shared" si="22"/>
        <v>('28Nov240101','040000180636','0',(select max(to_number(i.premium_rcv_detail_code))+1
from ins_premium_det i),'0','0','02', '11000003','00','Request by Mr. Omair Ali 29-Nov-2024');</v>
      </c>
      <c r="H327" s="12" t="str">
        <f t="shared" si="23"/>
        <v>insert into ins_premium_det (premium_rcv_code,assorted_code, rec_amount,premium_rcv_detail_code,remaining_amt, payrec, mode_code,coinsurance_code,class_cd,it_remarks) values('28Nov240101','040000180636','0',(select max(to_number(i.premium_rcv_detail_code))+1
from ins_premium_det i),'0','0','02', '11000003','00','Request by Mr. Omair Ali 29-Nov-2024');</v>
      </c>
    </row>
    <row r="328" spans="1:8" ht="105" x14ac:dyDescent="0.25">
      <c r="A328" t="s">
        <v>328</v>
      </c>
      <c r="B328" s="8" t="str">
        <f>VLOOKUP(A328,assortedcode!B:C,2,0)</f>
        <v>040000132106</v>
      </c>
      <c r="C328" s="1">
        <v>0</v>
      </c>
      <c r="D328" s="9">
        <f t="shared" si="21"/>
        <v>0</v>
      </c>
      <c r="E328" s="7" t="s">
        <v>8345</v>
      </c>
      <c r="F328" s="10" t="str">
        <f t="shared" si="20"/>
        <v>insert into ins_premium_det (premium_rcv_code,assorted_code, rec_amount,premium_rcv_detail_code,remaining_amt, payrec, mode_code,coinsurance_code,class_cd,it_remarks) values</v>
      </c>
      <c r="G328" s="11" t="str">
        <f t="shared" si="22"/>
        <v>('28Nov240101','040000132106','0',(select max(to_number(i.premium_rcv_detail_code))+1
from ins_premium_det i),'0','0','02', '11000003','00','Request by Mr. Omair Ali 29-Nov-2024');</v>
      </c>
      <c r="H328" s="12" t="str">
        <f t="shared" si="23"/>
        <v>insert into ins_premium_det (premium_rcv_code,assorted_code, rec_amount,premium_rcv_detail_code,remaining_amt, payrec, mode_code,coinsurance_code,class_cd,it_remarks) values('28Nov240101','040000132106','0',(select max(to_number(i.premium_rcv_detail_code))+1
from ins_premium_det i),'0','0','02', '11000003','00','Request by Mr. Omair Ali 29-Nov-2024');</v>
      </c>
    </row>
    <row r="329" spans="1:8" ht="105" x14ac:dyDescent="0.25">
      <c r="A329" t="s">
        <v>329</v>
      </c>
      <c r="B329" s="8" t="str">
        <f>VLOOKUP(A329,assortedcode!B:C,2,0)</f>
        <v>040000180637</v>
      </c>
      <c r="C329" s="1">
        <v>0</v>
      </c>
      <c r="D329" s="9">
        <f t="shared" si="21"/>
        <v>0</v>
      </c>
      <c r="E329" s="7" t="s">
        <v>8345</v>
      </c>
      <c r="F329" s="10" t="str">
        <f t="shared" si="20"/>
        <v>insert into ins_premium_det (premium_rcv_code,assorted_code, rec_amount,premium_rcv_detail_code,remaining_amt, payrec, mode_code,coinsurance_code,class_cd,it_remarks) values</v>
      </c>
      <c r="G329" s="11" t="str">
        <f t="shared" si="22"/>
        <v>('28Nov240101','040000180637','0',(select max(to_number(i.premium_rcv_detail_code))+1
from ins_premium_det i),'0','0','02', '11000003','00','Request by Mr. Omair Ali 29-Nov-2024');</v>
      </c>
      <c r="H329" s="12" t="str">
        <f t="shared" si="23"/>
        <v>insert into ins_premium_det (premium_rcv_code,assorted_code, rec_amount,premium_rcv_detail_code,remaining_amt, payrec, mode_code,coinsurance_code,class_cd,it_remarks) values('28Nov240101','040000180637','0',(select max(to_number(i.premium_rcv_detail_code))+1
from ins_premium_det i),'0','0','02', '11000003','00','Request by Mr. Omair Ali 29-Nov-2024');</v>
      </c>
    </row>
    <row r="330" spans="1:8" ht="105" x14ac:dyDescent="0.25">
      <c r="A330" t="s">
        <v>330</v>
      </c>
      <c r="B330" s="8" t="str">
        <f>VLOOKUP(A330,assortedcode!B:C,2,0)</f>
        <v>040000132222</v>
      </c>
      <c r="C330" s="1">
        <v>0</v>
      </c>
      <c r="D330" s="9">
        <f t="shared" si="21"/>
        <v>0</v>
      </c>
      <c r="E330" s="7" t="s">
        <v>8345</v>
      </c>
      <c r="F330" s="10" t="str">
        <f t="shared" si="20"/>
        <v>insert into ins_premium_det (premium_rcv_code,assorted_code, rec_amount,premium_rcv_detail_code,remaining_amt, payrec, mode_code,coinsurance_code,class_cd,it_remarks) values</v>
      </c>
      <c r="G330" s="11" t="str">
        <f t="shared" si="22"/>
        <v>('28Nov240101','040000132222','0',(select max(to_number(i.premium_rcv_detail_code))+1
from ins_premium_det i),'0','0','02', '11000003','00','Request by Mr. Omair Ali 29-Nov-2024');</v>
      </c>
      <c r="H330" s="12" t="str">
        <f t="shared" si="23"/>
        <v>insert into ins_premium_det (premium_rcv_code,assorted_code, rec_amount,premium_rcv_detail_code,remaining_amt, payrec, mode_code,coinsurance_code,class_cd,it_remarks) values('28Nov240101','040000132222','0',(select max(to_number(i.premium_rcv_detail_code))+1
from ins_premium_det i),'0','0','02', '11000003','00','Request by Mr. Omair Ali 29-Nov-2024');</v>
      </c>
    </row>
    <row r="331" spans="1:8" ht="105" x14ac:dyDescent="0.25">
      <c r="A331" t="s">
        <v>331</v>
      </c>
      <c r="B331" s="8" t="str">
        <f>VLOOKUP(A331,assortedcode!B:C,2,0)</f>
        <v>040000180639</v>
      </c>
      <c r="C331" s="1">
        <v>0</v>
      </c>
      <c r="D331" s="9">
        <f t="shared" si="21"/>
        <v>0</v>
      </c>
      <c r="E331" s="7" t="s">
        <v>8345</v>
      </c>
      <c r="F331" s="10" t="str">
        <f t="shared" si="20"/>
        <v>insert into ins_premium_det (premium_rcv_code,assorted_code, rec_amount,premium_rcv_detail_code,remaining_amt, payrec, mode_code,coinsurance_code,class_cd,it_remarks) values</v>
      </c>
      <c r="G331" s="11" t="str">
        <f t="shared" si="22"/>
        <v>('28Nov240101','040000180639','0',(select max(to_number(i.premium_rcv_detail_code))+1
from ins_premium_det i),'0','0','02', '11000003','00','Request by Mr. Omair Ali 29-Nov-2024');</v>
      </c>
      <c r="H331" s="12" t="str">
        <f t="shared" si="23"/>
        <v>insert into ins_premium_det (premium_rcv_code,assorted_code, rec_amount,premium_rcv_detail_code,remaining_amt, payrec, mode_code,coinsurance_code,class_cd,it_remarks) values('28Nov240101','040000180639','0',(select max(to_number(i.premium_rcv_detail_code))+1
from ins_premium_det i),'0','0','02', '11000003','00','Request by Mr. Omair Ali 29-Nov-2024');</v>
      </c>
    </row>
    <row r="332" spans="1:8" ht="105" x14ac:dyDescent="0.25">
      <c r="A332" t="s">
        <v>332</v>
      </c>
      <c r="B332" s="8" t="str">
        <f>VLOOKUP(A332,assortedcode!B:C,2,0)</f>
        <v>040000132501</v>
      </c>
      <c r="C332" s="1">
        <v>0</v>
      </c>
      <c r="D332" s="9">
        <f t="shared" si="21"/>
        <v>0</v>
      </c>
      <c r="E332" s="7" t="s">
        <v>8345</v>
      </c>
      <c r="F332" s="10" t="str">
        <f t="shared" si="20"/>
        <v>insert into ins_premium_det (premium_rcv_code,assorted_code, rec_amount,premium_rcv_detail_code,remaining_amt, payrec, mode_code,coinsurance_code,class_cd,it_remarks) values</v>
      </c>
      <c r="G332" s="11" t="str">
        <f t="shared" si="22"/>
        <v>('28Nov240101','040000132501','0',(select max(to_number(i.premium_rcv_detail_code))+1
from ins_premium_det i),'0','0','02', '11000003','00','Request by Mr. Omair Ali 29-Nov-2024');</v>
      </c>
      <c r="H332" s="12" t="str">
        <f t="shared" si="23"/>
        <v>insert into ins_premium_det (premium_rcv_code,assorted_code, rec_amount,premium_rcv_detail_code,remaining_amt, payrec, mode_code,coinsurance_code,class_cd,it_remarks) values('28Nov240101','040000132501','0',(select max(to_number(i.premium_rcv_detail_code))+1
from ins_premium_det i),'0','0','02', '11000003','00','Request by Mr. Omair Ali 29-Nov-2024');</v>
      </c>
    </row>
    <row r="333" spans="1:8" ht="105" x14ac:dyDescent="0.25">
      <c r="A333" t="s">
        <v>333</v>
      </c>
      <c r="B333" s="8" t="str">
        <f>VLOOKUP(A333,assortedcode!B:C,2,0)</f>
        <v>040000180643</v>
      </c>
      <c r="C333" s="1">
        <v>0</v>
      </c>
      <c r="D333" s="9">
        <f t="shared" si="21"/>
        <v>0</v>
      </c>
      <c r="E333" s="7" t="s">
        <v>8345</v>
      </c>
      <c r="F333" s="10" t="str">
        <f t="shared" si="20"/>
        <v>insert into ins_premium_det (premium_rcv_code,assorted_code, rec_amount,premium_rcv_detail_code,remaining_amt, payrec, mode_code,coinsurance_code,class_cd,it_remarks) values</v>
      </c>
      <c r="G333" s="11" t="str">
        <f t="shared" si="22"/>
        <v>('28Nov240101','040000180643','0',(select max(to_number(i.premium_rcv_detail_code))+1
from ins_premium_det i),'0','0','02', '11000003','00','Request by Mr. Omair Ali 29-Nov-2024');</v>
      </c>
      <c r="H333" s="12" t="str">
        <f t="shared" si="23"/>
        <v>insert into ins_premium_det (premium_rcv_code,assorted_code, rec_amount,premium_rcv_detail_code,remaining_amt, payrec, mode_code,coinsurance_code,class_cd,it_remarks) values('28Nov240101','040000180643','0',(select max(to_number(i.premium_rcv_detail_code))+1
from ins_premium_det i),'0','0','02', '11000003','00','Request by Mr. Omair Ali 29-Nov-2024');</v>
      </c>
    </row>
    <row r="334" spans="1:8" ht="105" x14ac:dyDescent="0.25">
      <c r="A334" t="s">
        <v>334</v>
      </c>
      <c r="B334" s="8" t="str">
        <f>VLOOKUP(A334,assortedcode!B:C,2,0)</f>
        <v>040000132753</v>
      </c>
      <c r="C334" s="1">
        <v>0</v>
      </c>
      <c r="D334" s="9">
        <f t="shared" si="21"/>
        <v>0</v>
      </c>
      <c r="E334" s="7" t="s">
        <v>8345</v>
      </c>
      <c r="F334" s="10" t="str">
        <f t="shared" si="20"/>
        <v>insert into ins_premium_det (premium_rcv_code,assorted_code, rec_amount,premium_rcv_detail_code,remaining_amt, payrec, mode_code,coinsurance_code,class_cd,it_remarks) values</v>
      </c>
      <c r="G334" s="11" t="str">
        <f t="shared" si="22"/>
        <v>('28Nov240101','040000132753','0',(select max(to_number(i.premium_rcv_detail_code))+1
from ins_premium_det i),'0','0','02', '11000003','00','Request by Mr. Omair Ali 29-Nov-2024');</v>
      </c>
      <c r="H334" s="12" t="str">
        <f t="shared" si="23"/>
        <v>insert into ins_premium_det (premium_rcv_code,assorted_code, rec_amount,premium_rcv_detail_code,remaining_amt, payrec, mode_code,coinsurance_code,class_cd,it_remarks) values('28Nov240101','040000132753','0',(select max(to_number(i.premium_rcv_detail_code))+1
from ins_premium_det i),'0','0','02', '11000003','00','Request by Mr. Omair Ali 29-Nov-2024');</v>
      </c>
    </row>
    <row r="335" spans="1:8" ht="105" x14ac:dyDescent="0.25">
      <c r="A335" t="s">
        <v>335</v>
      </c>
      <c r="B335" s="8" t="str">
        <f>VLOOKUP(A335,assortedcode!B:C,2,0)</f>
        <v>040000180644</v>
      </c>
      <c r="C335" s="1">
        <v>0</v>
      </c>
      <c r="D335" s="9">
        <f t="shared" si="21"/>
        <v>0</v>
      </c>
      <c r="E335" s="7" t="s">
        <v>8345</v>
      </c>
      <c r="F335" s="10" t="str">
        <f t="shared" si="20"/>
        <v>insert into ins_premium_det (premium_rcv_code,assorted_code, rec_amount,premium_rcv_detail_code,remaining_amt, payrec, mode_code,coinsurance_code,class_cd,it_remarks) values</v>
      </c>
      <c r="G335" s="11" t="str">
        <f t="shared" si="22"/>
        <v>('28Nov240101','040000180644','0',(select max(to_number(i.premium_rcv_detail_code))+1
from ins_premium_det i),'0','0','02', '11000003','00','Request by Mr. Omair Ali 29-Nov-2024');</v>
      </c>
      <c r="H335" s="12" t="str">
        <f t="shared" si="23"/>
        <v>insert into ins_premium_det (premium_rcv_code,assorted_code, rec_amount,premium_rcv_detail_code,remaining_amt, payrec, mode_code,coinsurance_code,class_cd,it_remarks) values('28Nov240101','040000180644','0',(select max(to_number(i.premium_rcv_detail_code))+1
from ins_premium_det i),'0','0','02', '11000003','00','Request by Mr. Omair Ali 29-Nov-2024');</v>
      </c>
    </row>
    <row r="336" spans="1:8" ht="105" x14ac:dyDescent="0.25">
      <c r="A336" t="s">
        <v>336</v>
      </c>
      <c r="B336" s="8" t="str">
        <f>VLOOKUP(A336,assortedcode!B:C,2,0)</f>
        <v>040000132835</v>
      </c>
      <c r="C336" s="1">
        <v>0</v>
      </c>
      <c r="D336" s="9">
        <f t="shared" si="21"/>
        <v>0</v>
      </c>
      <c r="E336" s="7" t="s">
        <v>8345</v>
      </c>
      <c r="F336" s="10" t="str">
        <f t="shared" si="20"/>
        <v>insert into ins_premium_det (premium_rcv_code,assorted_code, rec_amount,premium_rcv_detail_code,remaining_amt, payrec, mode_code,coinsurance_code,class_cd,it_remarks) values</v>
      </c>
      <c r="G336" s="11" t="str">
        <f t="shared" si="22"/>
        <v>('28Nov240101','040000132835','0',(select max(to_number(i.premium_rcv_detail_code))+1
from ins_premium_det i),'0','0','02', '11000003','00','Request by Mr. Omair Ali 29-Nov-2024');</v>
      </c>
      <c r="H336" s="12" t="str">
        <f t="shared" si="23"/>
        <v>insert into ins_premium_det (premium_rcv_code,assorted_code, rec_amount,premium_rcv_detail_code,remaining_amt, payrec, mode_code,coinsurance_code,class_cd,it_remarks) values('28Nov240101','040000132835','0',(select max(to_number(i.premium_rcv_detail_code))+1
from ins_premium_det i),'0','0','02', '11000003','00','Request by Mr. Omair Ali 29-Nov-2024');</v>
      </c>
    </row>
    <row r="337" spans="1:8" ht="105" x14ac:dyDescent="0.25">
      <c r="A337" t="s">
        <v>337</v>
      </c>
      <c r="B337" s="8" t="str">
        <f>VLOOKUP(A337,assortedcode!B:C,2,0)</f>
        <v>040000180647</v>
      </c>
      <c r="C337" s="1">
        <v>0</v>
      </c>
      <c r="D337" s="9">
        <f t="shared" si="21"/>
        <v>0</v>
      </c>
      <c r="E337" s="7" t="s">
        <v>8345</v>
      </c>
      <c r="F337" s="10" t="str">
        <f t="shared" si="20"/>
        <v>insert into ins_premium_det (premium_rcv_code,assorted_code, rec_amount,premium_rcv_detail_code,remaining_amt, payrec, mode_code,coinsurance_code,class_cd,it_remarks) values</v>
      </c>
      <c r="G337" s="11" t="str">
        <f t="shared" si="22"/>
        <v>('28Nov240101','040000180647','0',(select max(to_number(i.premium_rcv_detail_code))+1
from ins_premium_det i),'0','0','02', '11000003','00','Request by Mr. Omair Ali 29-Nov-2024');</v>
      </c>
      <c r="H337" s="12" t="str">
        <f t="shared" si="23"/>
        <v>insert into ins_premium_det (premium_rcv_code,assorted_code, rec_amount,premium_rcv_detail_code,remaining_amt, payrec, mode_code,coinsurance_code,class_cd,it_remarks) values('28Nov240101','040000180647','0',(select max(to_number(i.premium_rcv_detail_code))+1
from ins_premium_det i),'0','0','02', '11000003','00','Request by Mr. Omair Ali 29-Nov-2024');</v>
      </c>
    </row>
    <row r="338" spans="1:8" ht="105" x14ac:dyDescent="0.25">
      <c r="A338" t="s">
        <v>338</v>
      </c>
      <c r="B338" s="8" t="str">
        <f>VLOOKUP(A338,assortedcode!B:C,2,0)</f>
        <v>040000133049</v>
      </c>
      <c r="C338" s="1">
        <v>0</v>
      </c>
      <c r="D338" s="9">
        <f t="shared" si="21"/>
        <v>0</v>
      </c>
      <c r="E338" s="7" t="s">
        <v>8345</v>
      </c>
      <c r="F338" s="10" t="str">
        <f t="shared" si="20"/>
        <v>insert into ins_premium_det (premium_rcv_code,assorted_code, rec_amount,premium_rcv_detail_code,remaining_amt, payrec, mode_code,coinsurance_code,class_cd,it_remarks) values</v>
      </c>
      <c r="G338" s="11" t="str">
        <f t="shared" si="22"/>
        <v>('28Nov240101','040000133049','0',(select max(to_number(i.premium_rcv_detail_code))+1
from ins_premium_det i),'0','0','02', '11000003','00','Request by Mr. Omair Ali 29-Nov-2024');</v>
      </c>
      <c r="H338" s="12" t="str">
        <f t="shared" si="23"/>
        <v>insert into ins_premium_det (premium_rcv_code,assorted_code, rec_amount,premium_rcv_detail_code,remaining_amt, payrec, mode_code,coinsurance_code,class_cd,it_remarks) values('28Nov240101','040000133049','0',(select max(to_number(i.premium_rcv_detail_code))+1
from ins_premium_det i),'0','0','02', '11000003','00','Request by Mr. Omair Ali 29-Nov-2024');</v>
      </c>
    </row>
    <row r="339" spans="1:8" ht="105" x14ac:dyDescent="0.25">
      <c r="A339" t="s">
        <v>339</v>
      </c>
      <c r="B339" s="8" t="str">
        <f>VLOOKUP(A339,assortedcode!B:C,2,0)</f>
        <v>040000180648</v>
      </c>
      <c r="C339" s="1">
        <v>0</v>
      </c>
      <c r="D339" s="9">
        <f t="shared" si="21"/>
        <v>0</v>
      </c>
      <c r="E339" s="7" t="s">
        <v>8345</v>
      </c>
      <c r="F339" s="10" t="str">
        <f t="shared" si="20"/>
        <v>insert into ins_premium_det (premium_rcv_code,assorted_code, rec_amount,premium_rcv_detail_code,remaining_amt, payrec, mode_code,coinsurance_code,class_cd,it_remarks) values</v>
      </c>
      <c r="G339" s="11" t="str">
        <f t="shared" si="22"/>
        <v>('28Nov240101','040000180648','0',(select max(to_number(i.premium_rcv_detail_code))+1
from ins_premium_det i),'0','0','02', '11000003','00','Request by Mr. Omair Ali 29-Nov-2024');</v>
      </c>
      <c r="H339" s="12" t="str">
        <f t="shared" si="23"/>
        <v>insert into ins_premium_det (premium_rcv_code,assorted_code, rec_amount,premium_rcv_detail_code,remaining_amt, payrec, mode_code,coinsurance_code,class_cd,it_remarks) values('28Nov240101','040000180648','0',(select max(to_number(i.premium_rcv_detail_code))+1
from ins_premium_det i),'0','0','02', '11000003','00','Request by Mr. Omair Ali 29-Nov-2024');</v>
      </c>
    </row>
    <row r="340" spans="1:8" ht="105" x14ac:dyDescent="0.25">
      <c r="A340" t="s">
        <v>340</v>
      </c>
      <c r="B340" s="8" t="str">
        <f>VLOOKUP(A340,assortedcode!B:C,2,0)</f>
        <v>040000133130</v>
      </c>
      <c r="C340" s="1">
        <v>0</v>
      </c>
      <c r="D340" s="9">
        <f t="shared" si="21"/>
        <v>0</v>
      </c>
      <c r="E340" s="7" t="s">
        <v>8345</v>
      </c>
      <c r="F340" s="10" t="str">
        <f t="shared" si="20"/>
        <v>insert into ins_premium_det (premium_rcv_code,assorted_code, rec_amount,premium_rcv_detail_code,remaining_amt, payrec, mode_code,coinsurance_code,class_cd,it_remarks) values</v>
      </c>
      <c r="G340" s="11" t="str">
        <f t="shared" si="22"/>
        <v>('28Nov240101','040000133130','0',(select max(to_number(i.premium_rcv_detail_code))+1
from ins_premium_det i),'0','0','02', '11000003','00','Request by Mr. Omair Ali 29-Nov-2024');</v>
      </c>
      <c r="H340" s="12" t="str">
        <f t="shared" si="23"/>
        <v>insert into ins_premium_det (premium_rcv_code,assorted_code, rec_amount,premium_rcv_detail_code,remaining_amt, payrec, mode_code,coinsurance_code,class_cd,it_remarks) values('28Nov240101','040000133130','0',(select max(to_number(i.premium_rcv_detail_code))+1
from ins_premium_det i),'0','0','02', '11000003','00','Request by Mr. Omair Ali 29-Nov-2024');</v>
      </c>
    </row>
    <row r="341" spans="1:8" ht="105" x14ac:dyDescent="0.25">
      <c r="A341" t="s">
        <v>341</v>
      </c>
      <c r="B341" s="8" t="str">
        <f>VLOOKUP(A341,assortedcode!B:C,2,0)</f>
        <v>040000180649</v>
      </c>
      <c r="C341" s="1">
        <v>0</v>
      </c>
      <c r="D341" s="9">
        <f t="shared" si="21"/>
        <v>0</v>
      </c>
      <c r="E341" s="7" t="s">
        <v>8345</v>
      </c>
      <c r="F341" s="10" t="str">
        <f t="shared" si="20"/>
        <v>insert into ins_premium_det (premium_rcv_code,assorted_code, rec_amount,premium_rcv_detail_code,remaining_amt, payrec, mode_code,coinsurance_code,class_cd,it_remarks) values</v>
      </c>
      <c r="G341" s="11" t="str">
        <f t="shared" si="22"/>
        <v>('28Nov240101','040000180649','0',(select max(to_number(i.premium_rcv_detail_code))+1
from ins_premium_det i),'0','0','02', '11000003','00','Request by Mr. Omair Ali 29-Nov-2024');</v>
      </c>
      <c r="H341" s="12" t="str">
        <f t="shared" si="23"/>
        <v>insert into ins_premium_det (premium_rcv_code,assorted_code, rec_amount,premium_rcv_detail_code,remaining_amt, payrec, mode_code,coinsurance_code,class_cd,it_remarks) values('28Nov240101','040000180649','0',(select max(to_number(i.premium_rcv_detail_code))+1
from ins_premium_det i),'0','0','02', '11000003','00','Request by Mr. Omair Ali 29-Nov-2024');</v>
      </c>
    </row>
    <row r="342" spans="1:8" ht="105" x14ac:dyDescent="0.25">
      <c r="A342" t="s">
        <v>342</v>
      </c>
      <c r="B342" s="8" t="str">
        <f>VLOOKUP(A342,assortedcode!B:C,2,0)</f>
        <v>040000133493</v>
      </c>
      <c r="C342" s="1">
        <v>0</v>
      </c>
      <c r="D342" s="9">
        <f t="shared" si="21"/>
        <v>0</v>
      </c>
      <c r="E342" s="7" t="s">
        <v>8345</v>
      </c>
      <c r="F342" s="10" t="str">
        <f t="shared" si="20"/>
        <v>insert into ins_premium_det (premium_rcv_code,assorted_code, rec_amount,premium_rcv_detail_code,remaining_amt, payrec, mode_code,coinsurance_code,class_cd,it_remarks) values</v>
      </c>
      <c r="G342" s="11" t="str">
        <f t="shared" si="22"/>
        <v>('28Nov240101','040000133493','0',(select max(to_number(i.premium_rcv_detail_code))+1
from ins_premium_det i),'0','0','02', '11000003','00','Request by Mr. Omair Ali 29-Nov-2024');</v>
      </c>
      <c r="H342" s="12" t="str">
        <f t="shared" si="23"/>
        <v>insert into ins_premium_det (premium_rcv_code,assorted_code, rec_amount,premium_rcv_detail_code,remaining_amt, payrec, mode_code,coinsurance_code,class_cd,it_remarks) values('28Nov240101','040000133493','0',(select max(to_number(i.premium_rcv_detail_code))+1
from ins_premium_det i),'0','0','02', '11000003','00','Request by Mr. Omair Ali 29-Nov-2024');</v>
      </c>
    </row>
    <row r="343" spans="1:8" ht="105" x14ac:dyDescent="0.25">
      <c r="A343" t="s">
        <v>343</v>
      </c>
      <c r="B343" s="8" t="str">
        <f>VLOOKUP(A343,assortedcode!B:C,2,0)</f>
        <v>040000180650</v>
      </c>
      <c r="C343" s="1">
        <v>0</v>
      </c>
      <c r="D343" s="9">
        <f t="shared" si="21"/>
        <v>0</v>
      </c>
      <c r="E343" s="7" t="s">
        <v>8345</v>
      </c>
      <c r="F343" s="10" t="str">
        <f t="shared" si="20"/>
        <v>insert into ins_premium_det (premium_rcv_code,assorted_code, rec_amount,premium_rcv_detail_code,remaining_amt, payrec, mode_code,coinsurance_code,class_cd,it_remarks) values</v>
      </c>
      <c r="G343" s="11" t="str">
        <f t="shared" si="22"/>
        <v>('28Nov240101','040000180650','0',(select max(to_number(i.premium_rcv_detail_code))+1
from ins_premium_det i),'0','0','02', '11000003','00','Request by Mr. Omair Ali 29-Nov-2024');</v>
      </c>
      <c r="H343" s="12" t="str">
        <f t="shared" si="23"/>
        <v>insert into ins_premium_det (premium_rcv_code,assorted_code, rec_amount,premium_rcv_detail_code,remaining_amt, payrec, mode_code,coinsurance_code,class_cd,it_remarks) values('28Nov240101','040000180650','0',(select max(to_number(i.premium_rcv_detail_code))+1
from ins_premium_det i),'0','0','02', '11000003','00','Request by Mr. Omair Ali 29-Nov-2024');</v>
      </c>
    </row>
    <row r="344" spans="1:8" ht="105" x14ac:dyDescent="0.25">
      <c r="A344" t="s">
        <v>344</v>
      </c>
      <c r="B344" s="8" t="str">
        <f>VLOOKUP(A344,assortedcode!B:C,2,0)</f>
        <v>040000133925</v>
      </c>
      <c r="C344" s="1">
        <v>0</v>
      </c>
      <c r="D344" s="9">
        <f t="shared" si="21"/>
        <v>0</v>
      </c>
      <c r="E344" s="7" t="s">
        <v>8345</v>
      </c>
      <c r="F344" s="10" t="str">
        <f t="shared" si="20"/>
        <v>insert into ins_premium_det (premium_rcv_code,assorted_code, rec_amount,premium_rcv_detail_code,remaining_amt, payrec, mode_code,coinsurance_code,class_cd,it_remarks) values</v>
      </c>
      <c r="G344" s="11" t="str">
        <f t="shared" si="22"/>
        <v>('28Nov240101','040000133925','0',(select max(to_number(i.premium_rcv_detail_code))+1
from ins_premium_det i),'0','0','02', '11000003','00','Request by Mr. Omair Ali 29-Nov-2024');</v>
      </c>
      <c r="H344" s="12" t="str">
        <f t="shared" si="23"/>
        <v>insert into ins_premium_det (premium_rcv_code,assorted_code, rec_amount,premium_rcv_detail_code,remaining_amt, payrec, mode_code,coinsurance_code,class_cd,it_remarks) values('28Nov240101','040000133925','0',(select max(to_number(i.premium_rcv_detail_code))+1
from ins_premium_det i),'0','0','02', '11000003','00','Request by Mr. Omair Ali 29-Nov-2024');</v>
      </c>
    </row>
    <row r="345" spans="1:8" ht="105" x14ac:dyDescent="0.25">
      <c r="A345" t="s">
        <v>345</v>
      </c>
      <c r="B345" s="8" t="str">
        <f>VLOOKUP(A345,assortedcode!B:C,2,0)</f>
        <v>040000180651</v>
      </c>
      <c r="C345" s="1">
        <v>0</v>
      </c>
      <c r="D345" s="9">
        <f t="shared" si="21"/>
        <v>0</v>
      </c>
      <c r="E345" s="7" t="s">
        <v>8345</v>
      </c>
      <c r="F345" s="10" t="str">
        <f t="shared" si="20"/>
        <v>insert into ins_premium_det (premium_rcv_code,assorted_code, rec_amount,premium_rcv_detail_code,remaining_amt, payrec, mode_code,coinsurance_code,class_cd,it_remarks) values</v>
      </c>
      <c r="G345" s="11" t="str">
        <f t="shared" si="22"/>
        <v>('28Nov240101','040000180651','0',(select max(to_number(i.premium_rcv_detail_code))+1
from ins_premium_det i),'0','0','02', '11000003','00','Request by Mr. Omair Ali 29-Nov-2024');</v>
      </c>
      <c r="H345" s="12" t="str">
        <f t="shared" si="23"/>
        <v>insert into ins_premium_det (premium_rcv_code,assorted_code, rec_amount,premium_rcv_detail_code,remaining_amt, payrec, mode_code,coinsurance_code,class_cd,it_remarks) values('28Nov240101','040000180651','0',(select max(to_number(i.premium_rcv_detail_code))+1
from ins_premium_det i),'0','0','02', '11000003','00','Request by Mr. Omair Ali 29-Nov-2024');</v>
      </c>
    </row>
    <row r="346" spans="1:8" ht="105" x14ac:dyDescent="0.25">
      <c r="A346" t="s">
        <v>346</v>
      </c>
      <c r="B346" s="8" t="str">
        <f>VLOOKUP(A346,assortedcode!B:C,2,0)</f>
        <v>040000149484</v>
      </c>
      <c r="C346" s="1">
        <v>0</v>
      </c>
      <c r="D346" s="9">
        <f t="shared" si="21"/>
        <v>0</v>
      </c>
      <c r="E346" s="7" t="s">
        <v>8345</v>
      </c>
      <c r="F346" s="10" t="str">
        <f t="shared" si="20"/>
        <v>insert into ins_premium_det (premium_rcv_code,assorted_code, rec_amount,premium_rcv_detail_code,remaining_amt, payrec, mode_code,coinsurance_code,class_cd,it_remarks) values</v>
      </c>
      <c r="G346" s="11" t="str">
        <f t="shared" si="22"/>
        <v>('28Nov240101','040000149484','0',(select max(to_number(i.premium_rcv_detail_code))+1
from ins_premium_det i),'0','0','02', '11000003','00','Request by Mr. Omair Ali 29-Nov-2024');</v>
      </c>
      <c r="H346" s="12" t="str">
        <f t="shared" si="23"/>
        <v>insert into ins_premium_det (premium_rcv_code,assorted_code, rec_amount,premium_rcv_detail_code,remaining_amt, payrec, mode_code,coinsurance_code,class_cd,it_remarks) values('28Nov240101','040000149484','0',(select max(to_number(i.premium_rcv_detail_code))+1
from ins_premium_det i),'0','0','02', '11000003','00','Request by Mr. Omair Ali 29-Nov-2024');</v>
      </c>
    </row>
    <row r="347" spans="1:8" ht="105" x14ac:dyDescent="0.25">
      <c r="A347" t="s">
        <v>347</v>
      </c>
      <c r="B347" s="8" t="str">
        <f>VLOOKUP(A347,assortedcode!B:C,2,0)</f>
        <v>040000180652</v>
      </c>
      <c r="C347" s="1">
        <v>0</v>
      </c>
      <c r="D347" s="9">
        <f t="shared" si="21"/>
        <v>0</v>
      </c>
      <c r="E347" s="7" t="s">
        <v>8345</v>
      </c>
      <c r="F347" s="10" t="str">
        <f t="shared" si="20"/>
        <v>insert into ins_premium_det (premium_rcv_code,assorted_code, rec_amount,premium_rcv_detail_code,remaining_amt, payrec, mode_code,coinsurance_code,class_cd,it_remarks) values</v>
      </c>
      <c r="G347" s="11" t="str">
        <f t="shared" si="22"/>
        <v>('28Nov240101','040000180652','0',(select max(to_number(i.premium_rcv_detail_code))+1
from ins_premium_det i),'0','0','02', '11000003','00','Request by Mr. Omair Ali 29-Nov-2024');</v>
      </c>
      <c r="H347" s="12" t="str">
        <f t="shared" si="23"/>
        <v>insert into ins_premium_det (premium_rcv_code,assorted_code, rec_amount,premium_rcv_detail_code,remaining_amt, payrec, mode_code,coinsurance_code,class_cd,it_remarks) values('28Nov240101','040000180652','0',(select max(to_number(i.premium_rcv_detail_code))+1
from ins_premium_det i),'0','0','02', '11000003','00','Request by Mr. Omair Ali 29-Nov-2024');</v>
      </c>
    </row>
    <row r="348" spans="1:8" ht="105" x14ac:dyDescent="0.25">
      <c r="A348" t="s">
        <v>348</v>
      </c>
      <c r="B348" s="8" t="str">
        <f>VLOOKUP(A348,assortedcode!B:C,2,0)</f>
        <v>040000134492</v>
      </c>
      <c r="C348" s="1">
        <v>0</v>
      </c>
      <c r="D348" s="9">
        <f t="shared" si="21"/>
        <v>0</v>
      </c>
      <c r="E348" s="7" t="s">
        <v>8345</v>
      </c>
      <c r="F348" s="10" t="str">
        <f t="shared" si="20"/>
        <v>insert into ins_premium_det (premium_rcv_code,assorted_code, rec_amount,premium_rcv_detail_code,remaining_amt, payrec, mode_code,coinsurance_code,class_cd,it_remarks) values</v>
      </c>
      <c r="G348" s="11" t="str">
        <f t="shared" si="22"/>
        <v>('28Nov240101','040000134492','0',(select max(to_number(i.premium_rcv_detail_code))+1
from ins_premium_det i),'0','0','02', '11000003','00','Request by Mr. Omair Ali 29-Nov-2024');</v>
      </c>
      <c r="H348" s="12" t="str">
        <f t="shared" si="23"/>
        <v>insert into ins_premium_det (premium_rcv_code,assorted_code, rec_amount,premium_rcv_detail_code,remaining_amt, payrec, mode_code,coinsurance_code,class_cd,it_remarks) values('28Nov240101','040000134492','0',(select max(to_number(i.premium_rcv_detail_code))+1
from ins_premium_det i),'0','0','02', '11000003','00','Request by Mr. Omair Ali 29-Nov-2024');</v>
      </c>
    </row>
    <row r="349" spans="1:8" ht="105" x14ac:dyDescent="0.25">
      <c r="A349" t="s">
        <v>349</v>
      </c>
      <c r="B349" s="8" t="str">
        <f>VLOOKUP(A349,assortedcode!B:C,2,0)</f>
        <v>040000180653</v>
      </c>
      <c r="C349" s="1">
        <v>0</v>
      </c>
      <c r="D349" s="9">
        <f t="shared" si="21"/>
        <v>0</v>
      </c>
      <c r="E349" s="7" t="s">
        <v>8345</v>
      </c>
      <c r="F349" s="10" t="str">
        <f t="shared" si="20"/>
        <v>insert into ins_premium_det (premium_rcv_code,assorted_code, rec_amount,premium_rcv_detail_code,remaining_amt, payrec, mode_code,coinsurance_code,class_cd,it_remarks) values</v>
      </c>
      <c r="G349" s="11" t="str">
        <f t="shared" si="22"/>
        <v>('28Nov240101','040000180653','0',(select max(to_number(i.premium_rcv_detail_code))+1
from ins_premium_det i),'0','0','02', '11000003','00','Request by Mr. Omair Ali 29-Nov-2024');</v>
      </c>
      <c r="H349" s="12" t="str">
        <f t="shared" si="23"/>
        <v>insert into ins_premium_det (premium_rcv_code,assorted_code, rec_amount,premium_rcv_detail_code,remaining_amt, payrec, mode_code,coinsurance_code,class_cd,it_remarks) values('28Nov240101','040000180653','0',(select max(to_number(i.premium_rcv_detail_code))+1
from ins_premium_det i),'0','0','02', '11000003','00','Request by Mr. Omair Ali 29-Nov-2024');</v>
      </c>
    </row>
    <row r="350" spans="1:8" ht="105" x14ac:dyDescent="0.25">
      <c r="A350" t="s">
        <v>350</v>
      </c>
      <c r="B350" s="8" t="str">
        <f>VLOOKUP(A350,assortedcode!B:C,2,0)</f>
        <v>040000134693</v>
      </c>
      <c r="C350" s="1">
        <v>0</v>
      </c>
      <c r="D350" s="9">
        <f t="shared" si="21"/>
        <v>0</v>
      </c>
      <c r="E350" s="7" t="s">
        <v>8345</v>
      </c>
      <c r="F350" s="10" t="str">
        <f t="shared" si="20"/>
        <v>insert into ins_premium_det (premium_rcv_code,assorted_code, rec_amount,premium_rcv_detail_code,remaining_amt, payrec, mode_code,coinsurance_code,class_cd,it_remarks) values</v>
      </c>
      <c r="G350" s="11" t="str">
        <f t="shared" si="22"/>
        <v>('28Nov240101','040000134693','0',(select max(to_number(i.premium_rcv_detail_code))+1
from ins_premium_det i),'0','0','02', '11000003','00','Request by Mr. Omair Ali 29-Nov-2024');</v>
      </c>
      <c r="H350" s="12" t="str">
        <f t="shared" si="23"/>
        <v>insert into ins_premium_det (premium_rcv_code,assorted_code, rec_amount,premium_rcv_detail_code,remaining_amt, payrec, mode_code,coinsurance_code,class_cd,it_remarks) values('28Nov240101','040000134693','0',(select max(to_number(i.premium_rcv_detail_code))+1
from ins_premium_det i),'0','0','02', '11000003','00','Request by Mr. Omair Ali 29-Nov-2024');</v>
      </c>
    </row>
    <row r="351" spans="1:8" ht="105" x14ac:dyDescent="0.25">
      <c r="A351" t="s">
        <v>351</v>
      </c>
      <c r="B351" s="8" t="str">
        <f>VLOOKUP(A351,assortedcode!B:C,2,0)</f>
        <v>040000180655</v>
      </c>
      <c r="C351" s="1">
        <v>0</v>
      </c>
      <c r="D351" s="9">
        <f t="shared" si="21"/>
        <v>0</v>
      </c>
      <c r="E351" s="7" t="s">
        <v>8345</v>
      </c>
      <c r="F351" s="10" t="str">
        <f t="shared" si="20"/>
        <v>insert into ins_premium_det (premium_rcv_code,assorted_code, rec_amount,premium_rcv_detail_code,remaining_amt, payrec, mode_code,coinsurance_code,class_cd,it_remarks) values</v>
      </c>
      <c r="G351" s="11" t="str">
        <f t="shared" si="22"/>
        <v>('28Nov240101','040000180655','0',(select max(to_number(i.premium_rcv_detail_code))+1
from ins_premium_det i),'0','0','02', '11000003','00','Request by Mr. Omair Ali 29-Nov-2024');</v>
      </c>
      <c r="H351" s="12" t="str">
        <f t="shared" si="23"/>
        <v>insert into ins_premium_det (premium_rcv_code,assorted_code, rec_amount,premium_rcv_detail_code,remaining_amt, payrec, mode_code,coinsurance_code,class_cd,it_remarks) values('28Nov240101','040000180655','0',(select max(to_number(i.premium_rcv_detail_code))+1
from ins_premium_det i),'0','0','02', '11000003','00','Request by Mr. Omair Ali 29-Nov-2024');</v>
      </c>
    </row>
    <row r="352" spans="1:8" ht="105" x14ac:dyDescent="0.25">
      <c r="A352" t="s">
        <v>352</v>
      </c>
      <c r="B352" s="8" t="str">
        <f>VLOOKUP(A352,assortedcode!B:C,2,0)</f>
        <v>040000135894</v>
      </c>
      <c r="C352" s="1">
        <v>0</v>
      </c>
      <c r="D352" s="9">
        <f t="shared" si="21"/>
        <v>0</v>
      </c>
      <c r="E352" s="7" t="s">
        <v>8345</v>
      </c>
      <c r="F352" s="10" t="str">
        <f t="shared" si="20"/>
        <v>insert into ins_premium_det (premium_rcv_code,assorted_code, rec_amount,premium_rcv_detail_code,remaining_amt, payrec, mode_code,coinsurance_code,class_cd,it_remarks) values</v>
      </c>
      <c r="G352" s="11" t="str">
        <f t="shared" si="22"/>
        <v>('28Nov240101','040000135894','0',(select max(to_number(i.premium_rcv_detail_code))+1
from ins_premium_det i),'0','0','02', '11000003','00','Request by Mr. Omair Ali 29-Nov-2024');</v>
      </c>
      <c r="H352" s="12" t="str">
        <f t="shared" si="23"/>
        <v>insert into ins_premium_det (premium_rcv_code,assorted_code, rec_amount,premium_rcv_detail_code,remaining_amt, payrec, mode_code,coinsurance_code,class_cd,it_remarks) values('28Nov240101','040000135894','0',(select max(to_number(i.premium_rcv_detail_code))+1
from ins_premium_det i),'0','0','02', '11000003','00','Request by Mr. Omair Ali 29-Nov-2024');</v>
      </c>
    </row>
    <row r="353" spans="1:8" ht="105" x14ac:dyDescent="0.25">
      <c r="A353" t="s">
        <v>353</v>
      </c>
      <c r="B353" s="8" t="str">
        <f>VLOOKUP(A353,assortedcode!B:C,2,0)</f>
        <v>040000180657</v>
      </c>
      <c r="C353" s="1">
        <v>0</v>
      </c>
      <c r="D353" s="9">
        <f t="shared" si="21"/>
        <v>0</v>
      </c>
      <c r="E353" s="7" t="s">
        <v>8345</v>
      </c>
      <c r="F353" s="10" t="str">
        <f t="shared" si="20"/>
        <v>insert into ins_premium_det (premium_rcv_code,assorted_code, rec_amount,premium_rcv_detail_code,remaining_amt, payrec, mode_code,coinsurance_code,class_cd,it_remarks) values</v>
      </c>
      <c r="G353" s="11" t="str">
        <f t="shared" si="22"/>
        <v>('28Nov240101','040000180657','0',(select max(to_number(i.premium_rcv_detail_code))+1
from ins_premium_det i),'0','0','02', '11000003','00','Request by Mr. Omair Ali 29-Nov-2024');</v>
      </c>
      <c r="H353" s="12" t="str">
        <f t="shared" si="23"/>
        <v>insert into ins_premium_det (premium_rcv_code,assorted_code, rec_amount,premium_rcv_detail_code,remaining_amt, payrec, mode_code,coinsurance_code,class_cd,it_remarks) values('28Nov240101','040000180657','0',(select max(to_number(i.premium_rcv_detail_code))+1
from ins_premium_det i),'0','0','02', '11000003','00','Request by Mr. Omair Ali 29-Nov-2024');</v>
      </c>
    </row>
    <row r="354" spans="1:8" ht="105" x14ac:dyDescent="0.25">
      <c r="A354" t="s">
        <v>354</v>
      </c>
      <c r="B354" s="8" t="str">
        <f>VLOOKUP(A354,assortedcode!B:C,2,0)</f>
        <v>040000135915</v>
      </c>
      <c r="C354" s="1">
        <v>0</v>
      </c>
      <c r="D354" s="9">
        <f t="shared" si="21"/>
        <v>0</v>
      </c>
      <c r="E354" s="7" t="s">
        <v>8345</v>
      </c>
      <c r="F354" s="10" t="str">
        <f t="shared" si="20"/>
        <v>insert into ins_premium_det (premium_rcv_code,assorted_code, rec_amount,premium_rcv_detail_code,remaining_amt, payrec, mode_code,coinsurance_code,class_cd,it_remarks) values</v>
      </c>
      <c r="G354" s="11" t="str">
        <f t="shared" si="22"/>
        <v>('28Nov240101','040000135915','0',(select max(to_number(i.premium_rcv_detail_code))+1
from ins_premium_det i),'0','0','02', '11000003','00','Request by Mr. Omair Ali 29-Nov-2024');</v>
      </c>
      <c r="H354" s="12" t="str">
        <f t="shared" si="23"/>
        <v>insert into ins_premium_det (premium_rcv_code,assorted_code, rec_amount,premium_rcv_detail_code,remaining_amt, payrec, mode_code,coinsurance_code,class_cd,it_remarks) values('28Nov240101','040000135915','0',(select max(to_number(i.premium_rcv_detail_code))+1
from ins_premium_det i),'0','0','02', '11000003','00','Request by Mr. Omair Ali 29-Nov-2024');</v>
      </c>
    </row>
    <row r="355" spans="1:8" ht="105" x14ac:dyDescent="0.25">
      <c r="A355" t="s">
        <v>355</v>
      </c>
      <c r="B355" s="8" t="str">
        <f>VLOOKUP(A355,assortedcode!B:C,2,0)</f>
        <v>040000180658</v>
      </c>
      <c r="C355" s="1">
        <v>0</v>
      </c>
      <c r="D355" s="9">
        <f t="shared" si="21"/>
        <v>0</v>
      </c>
      <c r="E355" s="7" t="s">
        <v>8345</v>
      </c>
      <c r="F355" s="10" t="str">
        <f t="shared" si="20"/>
        <v>insert into ins_premium_det (premium_rcv_code,assorted_code, rec_amount,premium_rcv_detail_code,remaining_amt, payrec, mode_code,coinsurance_code,class_cd,it_remarks) values</v>
      </c>
      <c r="G355" s="11" t="str">
        <f t="shared" si="22"/>
        <v>('28Nov240101','040000180658','0',(select max(to_number(i.premium_rcv_detail_code))+1
from ins_premium_det i),'0','0','02', '11000003','00','Request by Mr. Omair Ali 29-Nov-2024');</v>
      </c>
      <c r="H355" s="12" t="str">
        <f t="shared" si="23"/>
        <v>insert into ins_premium_det (premium_rcv_code,assorted_code, rec_amount,premium_rcv_detail_code,remaining_amt, payrec, mode_code,coinsurance_code,class_cd,it_remarks) values('28Nov240101','040000180658','0',(select max(to_number(i.premium_rcv_detail_code))+1
from ins_premium_det i),'0','0','02', '11000003','00','Request by Mr. Omair Ali 29-Nov-2024');</v>
      </c>
    </row>
    <row r="356" spans="1:8" ht="105" x14ac:dyDescent="0.25">
      <c r="A356" t="s">
        <v>356</v>
      </c>
      <c r="B356" s="8" t="str">
        <f>VLOOKUP(A356,assortedcode!B:C,2,0)</f>
        <v>040000135924</v>
      </c>
      <c r="C356" s="1">
        <v>0</v>
      </c>
      <c r="D356" s="9">
        <f t="shared" si="21"/>
        <v>0</v>
      </c>
      <c r="E356" s="7" t="s">
        <v>8345</v>
      </c>
      <c r="F356" s="10" t="str">
        <f t="shared" si="20"/>
        <v>insert into ins_premium_det (premium_rcv_code,assorted_code, rec_amount,premium_rcv_detail_code,remaining_amt, payrec, mode_code,coinsurance_code,class_cd,it_remarks) values</v>
      </c>
      <c r="G356" s="11" t="str">
        <f t="shared" si="22"/>
        <v>('28Nov240101','040000135924','0',(select max(to_number(i.premium_rcv_detail_code))+1
from ins_premium_det i),'0','0','02', '11000003','00','Request by Mr. Omair Ali 29-Nov-2024');</v>
      </c>
      <c r="H356" s="12" t="str">
        <f t="shared" si="23"/>
        <v>insert into ins_premium_det (premium_rcv_code,assorted_code, rec_amount,premium_rcv_detail_code,remaining_amt, payrec, mode_code,coinsurance_code,class_cd,it_remarks) values('28Nov240101','040000135924','0',(select max(to_number(i.premium_rcv_detail_code))+1
from ins_premium_det i),'0','0','02', '11000003','00','Request by Mr. Omair Ali 29-Nov-2024');</v>
      </c>
    </row>
    <row r="357" spans="1:8" ht="105" x14ac:dyDescent="0.25">
      <c r="A357" t="s">
        <v>357</v>
      </c>
      <c r="B357" s="8" t="str">
        <f>VLOOKUP(A357,assortedcode!B:C,2,0)</f>
        <v>040000180715</v>
      </c>
      <c r="C357" s="1">
        <v>0</v>
      </c>
      <c r="D357" s="9">
        <f t="shared" si="21"/>
        <v>0</v>
      </c>
      <c r="E357" s="7" t="s">
        <v>8345</v>
      </c>
      <c r="F357" s="10" t="str">
        <f t="shared" si="20"/>
        <v>insert into ins_premium_det (premium_rcv_code,assorted_code, rec_amount,premium_rcv_detail_code,remaining_amt, payrec, mode_code,coinsurance_code,class_cd,it_remarks) values</v>
      </c>
      <c r="G357" s="11" t="str">
        <f t="shared" si="22"/>
        <v>('28Nov240101','040000180715','0',(select max(to_number(i.premium_rcv_detail_code))+1
from ins_premium_det i),'0','0','02', '11000003','00','Request by Mr. Omair Ali 29-Nov-2024');</v>
      </c>
      <c r="H357" s="12" t="str">
        <f t="shared" si="23"/>
        <v>insert into ins_premium_det (premium_rcv_code,assorted_code, rec_amount,premium_rcv_detail_code,remaining_amt, payrec, mode_code,coinsurance_code,class_cd,it_remarks) values('28Nov240101','040000180715','0',(select max(to_number(i.premium_rcv_detail_code))+1
from ins_premium_det i),'0','0','02', '11000003','00','Request by Mr. Omair Ali 29-Nov-2024');</v>
      </c>
    </row>
    <row r="358" spans="1:8" ht="105" x14ac:dyDescent="0.25">
      <c r="A358" t="s">
        <v>358</v>
      </c>
      <c r="B358" s="8" t="str">
        <f>VLOOKUP(A358,assortedcode!B:C,2,0)</f>
        <v>040000135993</v>
      </c>
      <c r="C358" s="1">
        <v>0</v>
      </c>
      <c r="D358" s="9">
        <f t="shared" si="21"/>
        <v>0</v>
      </c>
      <c r="E358" s="7" t="s">
        <v>8345</v>
      </c>
      <c r="F358" s="10" t="str">
        <f t="shared" si="20"/>
        <v>insert into ins_premium_det (premium_rcv_code,assorted_code, rec_amount,premium_rcv_detail_code,remaining_amt, payrec, mode_code,coinsurance_code,class_cd,it_remarks) values</v>
      </c>
      <c r="G358" s="11" t="str">
        <f t="shared" si="22"/>
        <v>('28Nov240101','040000135993','0',(select max(to_number(i.premium_rcv_detail_code))+1
from ins_premium_det i),'0','0','02', '11000003','00','Request by Mr. Omair Ali 29-Nov-2024');</v>
      </c>
      <c r="H358" s="12" t="str">
        <f t="shared" si="23"/>
        <v>insert into ins_premium_det (premium_rcv_code,assorted_code, rec_amount,premium_rcv_detail_code,remaining_amt, payrec, mode_code,coinsurance_code,class_cd,it_remarks) values('28Nov240101','040000135993','0',(select max(to_number(i.premium_rcv_detail_code))+1
from ins_premium_det i),'0','0','02', '11000003','00','Request by Mr. Omair Ali 29-Nov-2024');</v>
      </c>
    </row>
    <row r="359" spans="1:8" ht="105" x14ac:dyDescent="0.25">
      <c r="A359" t="s">
        <v>359</v>
      </c>
      <c r="B359" s="8" t="str">
        <f>VLOOKUP(A359,assortedcode!B:C,2,0)</f>
        <v>040000180716</v>
      </c>
      <c r="C359" s="1">
        <v>0</v>
      </c>
      <c r="D359" s="9">
        <f t="shared" si="21"/>
        <v>0</v>
      </c>
      <c r="E359" s="7" t="s">
        <v>8345</v>
      </c>
      <c r="F359" s="10" t="str">
        <f t="shared" si="20"/>
        <v>insert into ins_premium_det (premium_rcv_code,assorted_code, rec_amount,premium_rcv_detail_code,remaining_amt, payrec, mode_code,coinsurance_code,class_cd,it_remarks) values</v>
      </c>
      <c r="G359" s="11" t="str">
        <f t="shared" si="22"/>
        <v>('28Nov240101','040000180716','0',(select max(to_number(i.premium_rcv_detail_code))+1
from ins_premium_det i),'0','0','02', '11000003','00','Request by Mr. Omair Ali 29-Nov-2024');</v>
      </c>
      <c r="H359" s="12" t="str">
        <f t="shared" si="23"/>
        <v>insert into ins_premium_det (premium_rcv_code,assorted_code, rec_amount,premium_rcv_detail_code,remaining_amt, payrec, mode_code,coinsurance_code,class_cd,it_remarks) values('28Nov240101','040000180716','0',(select max(to_number(i.premium_rcv_detail_code))+1
from ins_premium_det i),'0','0','02', '11000003','00','Request by Mr. Omair Ali 29-Nov-2024');</v>
      </c>
    </row>
    <row r="360" spans="1:8" ht="105" x14ac:dyDescent="0.25">
      <c r="A360" t="s">
        <v>360</v>
      </c>
      <c r="B360" s="8" t="str">
        <f>VLOOKUP(A360,assortedcode!B:C,2,0)</f>
        <v>040000136224</v>
      </c>
      <c r="C360" s="1">
        <v>0</v>
      </c>
      <c r="D360" s="9">
        <f t="shared" si="21"/>
        <v>0</v>
      </c>
      <c r="E360" s="7" t="s">
        <v>8345</v>
      </c>
      <c r="F360" s="10" t="str">
        <f t="shared" si="20"/>
        <v>insert into ins_premium_det (premium_rcv_code,assorted_code, rec_amount,premium_rcv_detail_code,remaining_amt, payrec, mode_code,coinsurance_code,class_cd,it_remarks) values</v>
      </c>
      <c r="G360" s="11" t="str">
        <f t="shared" si="22"/>
        <v>('28Nov240101','040000136224','0',(select max(to_number(i.premium_rcv_detail_code))+1
from ins_premium_det i),'0','0','02', '11000003','00','Request by Mr. Omair Ali 29-Nov-2024');</v>
      </c>
      <c r="H360" s="12" t="str">
        <f t="shared" si="23"/>
        <v>insert into ins_premium_det (premium_rcv_code,assorted_code, rec_amount,premium_rcv_detail_code,remaining_amt, payrec, mode_code,coinsurance_code,class_cd,it_remarks) values('28Nov240101','040000136224','0',(select max(to_number(i.premium_rcv_detail_code))+1
from ins_premium_det i),'0','0','02', '11000003','00','Request by Mr. Omair Ali 29-Nov-2024');</v>
      </c>
    </row>
    <row r="361" spans="1:8" ht="105" x14ac:dyDescent="0.25">
      <c r="A361" t="s">
        <v>361</v>
      </c>
      <c r="B361" s="8" t="str">
        <f>VLOOKUP(A361,assortedcode!B:C,2,0)</f>
        <v>040000180717</v>
      </c>
      <c r="C361" s="1">
        <v>0</v>
      </c>
      <c r="D361" s="9">
        <f t="shared" si="21"/>
        <v>0</v>
      </c>
      <c r="E361" s="7" t="s">
        <v>8345</v>
      </c>
      <c r="F361" s="10" t="str">
        <f t="shared" si="20"/>
        <v>insert into ins_premium_det (premium_rcv_code,assorted_code, rec_amount,premium_rcv_detail_code,remaining_amt, payrec, mode_code,coinsurance_code,class_cd,it_remarks) values</v>
      </c>
      <c r="G361" s="11" t="str">
        <f t="shared" si="22"/>
        <v>('28Nov240101','040000180717','0',(select max(to_number(i.premium_rcv_detail_code))+1
from ins_premium_det i),'0','0','02', '11000003','00','Request by Mr. Omair Ali 29-Nov-2024');</v>
      </c>
      <c r="H361" s="12" t="str">
        <f t="shared" si="23"/>
        <v>insert into ins_premium_det (premium_rcv_code,assorted_code, rec_amount,premium_rcv_detail_code,remaining_amt, payrec, mode_code,coinsurance_code,class_cd,it_remarks) values('28Nov240101','040000180717','0',(select max(to_number(i.premium_rcv_detail_code))+1
from ins_premium_det i),'0','0','02', '11000003','00','Request by Mr. Omair Ali 29-Nov-2024');</v>
      </c>
    </row>
    <row r="362" spans="1:8" ht="105" x14ac:dyDescent="0.25">
      <c r="A362" t="s">
        <v>362</v>
      </c>
      <c r="B362" s="8" t="str">
        <f>VLOOKUP(A362,assortedcode!B:C,2,0)</f>
        <v>040000136377</v>
      </c>
      <c r="C362" s="1">
        <v>0</v>
      </c>
      <c r="D362" s="9">
        <f t="shared" si="21"/>
        <v>0</v>
      </c>
      <c r="E362" s="7" t="s">
        <v>8345</v>
      </c>
      <c r="F362" s="10" t="str">
        <f t="shared" si="20"/>
        <v>insert into ins_premium_det (premium_rcv_code,assorted_code, rec_amount,premium_rcv_detail_code,remaining_amt, payrec, mode_code,coinsurance_code,class_cd,it_remarks) values</v>
      </c>
      <c r="G362" s="11" t="str">
        <f t="shared" si="22"/>
        <v>('28Nov240101','040000136377','0',(select max(to_number(i.premium_rcv_detail_code))+1
from ins_premium_det i),'0','0','02', '11000003','00','Request by Mr. Omair Ali 29-Nov-2024');</v>
      </c>
      <c r="H362" s="12" t="str">
        <f t="shared" si="23"/>
        <v>insert into ins_premium_det (premium_rcv_code,assorted_code, rec_amount,premium_rcv_detail_code,remaining_amt, payrec, mode_code,coinsurance_code,class_cd,it_remarks) values('28Nov240101','040000136377','0',(select max(to_number(i.premium_rcv_detail_code))+1
from ins_premium_det i),'0','0','02', '11000003','00','Request by Mr. Omair Ali 29-Nov-2024');</v>
      </c>
    </row>
    <row r="363" spans="1:8" ht="105" x14ac:dyDescent="0.25">
      <c r="A363" t="s">
        <v>363</v>
      </c>
      <c r="B363" s="8" t="str">
        <f>VLOOKUP(A363,assortedcode!B:C,2,0)</f>
        <v>040000180719</v>
      </c>
      <c r="C363" s="1">
        <v>0</v>
      </c>
      <c r="D363" s="9">
        <f t="shared" si="21"/>
        <v>0</v>
      </c>
      <c r="E363" s="7" t="s">
        <v>8345</v>
      </c>
      <c r="F363" s="10" t="str">
        <f t="shared" si="20"/>
        <v>insert into ins_premium_det (premium_rcv_code,assorted_code, rec_amount,premium_rcv_detail_code,remaining_amt, payrec, mode_code,coinsurance_code,class_cd,it_remarks) values</v>
      </c>
      <c r="G363" s="11" t="str">
        <f t="shared" si="22"/>
        <v>('28Nov240101','040000180719','0',(select max(to_number(i.premium_rcv_detail_code))+1
from ins_premium_det i),'0','0','02', '11000003','00','Request by Mr. Omair Ali 29-Nov-2024');</v>
      </c>
      <c r="H363" s="12" t="str">
        <f t="shared" si="23"/>
        <v>insert into ins_premium_det (premium_rcv_code,assorted_code, rec_amount,premium_rcv_detail_code,remaining_amt, payrec, mode_code,coinsurance_code,class_cd,it_remarks) values('28Nov240101','040000180719','0',(select max(to_number(i.premium_rcv_detail_code))+1
from ins_premium_det i),'0','0','02', '11000003','00','Request by Mr. Omair Ali 29-Nov-2024');</v>
      </c>
    </row>
    <row r="364" spans="1:8" ht="105" x14ac:dyDescent="0.25">
      <c r="A364" t="s">
        <v>364</v>
      </c>
      <c r="B364" s="8" t="str">
        <f>VLOOKUP(A364,assortedcode!B:C,2,0)</f>
        <v>040000137257</v>
      </c>
      <c r="C364" s="1">
        <v>0</v>
      </c>
      <c r="D364" s="9">
        <f t="shared" si="21"/>
        <v>0</v>
      </c>
      <c r="E364" s="7" t="s">
        <v>8345</v>
      </c>
      <c r="F364" s="10" t="str">
        <f t="shared" si="20"/>
        <v>insert into ins_premium_det (premium_rcv_code,assorted_code, rec_amount,premium_rcv_detail_code,remaining_amt, payrec, mode_code,coinsurance_code,class_cd,it_remarks) values</v>
      </c>
      <c r="G364" s="11" t="str">
        <f t="shared" si="22"/>
        <v>('28Nov240101','040000137257','0',(select max(to_number(i.premium_rcv_detail_code))+1
from ins_premium_det i),'0','0','02', '11000003','00','Request by Mr. Omair Ali 29-Nov-2024');</v>
      </c>
      <c r="H364" s="12" t="str">
        <f t="shared" si="23"/>
        <v>insert into ins_premium_det (premium_rcv_code,assorted_code, rec_amount,premium_rcv_detail_code,remaining_amt, payrec, mode_code,coinsurance_code,class_cd,it_remarks) values('28Nov240101','040000137257','0',(select max(to_number(i.premium_rcv_detail_code))+1
from ins_premium_det i),'0','0','02', '11000003','00','Request by Mr. Omair Ali 29-Nov-2024');</v>
      </c>
    </row>
    <row r="365" spans="1:8" ht="105" x14ac:dyDescent="0.25">
      <c r="A365" t="s">
        <v>365</v>
      </c>
      <c r="B365" s="8" t="str">
        <f>VLOOKUP(A365,assortedcode!B:C,2,0)</f>
        <v>040000180723</v>
      </c>
      <c r="C365" s="1">
        <v>0</v>
      </c>
      <c r="D365" s="9">
        <f t="shared" si="21"/>
        <v>0</v>
      </c>
      <c r="E365" s="7" t="s">
        <v>8345</v>
      </c>
      <c r="F365" s="10" t="str">
        <f t="shared" si="20"/>
        <v>insert into ins_premium_det (premium_rcv_code,assorted_code, rec_amount,premium_rcv_detail_code,remaining_amt, payrec, mode_code,coinsurance_code,class_cd,it_remarks) values</v>
      </c>
      <c r="G365" s="11" t="str">
        <f t="shared" si="22"/>
        <v>('28Nov240101','040000180723','0',(select max(to_number(i.premium_rcv_detail_code))+1
from ins_premium_det i),'0','0','02', '11000003','00','Request by Mr. Omair Ali 29-Nov-2024');</v>
      </c>
      <c r="H365" s="12" t="str">
        <f t="shared" si="23"/>
        <v>insert into ins_premium_det (premium_rcv_code,assorted_code, rec_amount,premium_rcv_detail_code,remaining_amt, payrec, mode_code,coinsurance_code,class_cd,it_remarks) values('28Nov240101','040000180723','0',(select max(to_number(i.premium_rcv_detail_code))+1
from ins_premium_det i),'0','0','02', '11000003','00','Request by Mr. Omair Ali 29-Nov-2024');</v>
      </c>
    </row>
    <row r="366" spans="1:8" ht="105" x14ac:dyDescent="0.25">
      <c r="A366" t="s">
        <v>366</v>
      </c>
      <c r="B366" s="8" t="str">
        <f>VLOOKUP(A366,assortedcode!B:C,2,0)</f>
        <v>040000137273</v>
      </c>
      <c r="C366" s="1">
        <v>0</v>
      </c>
      <c r="D366" s="9">
        <f t="shared" si="21"/>
        <v>0</v>
      </c>
      <c r="E366" s="7" t="s">
        <v>8345</v>
      </c>
      <c r="F366" s="10" t="str">
        <f t="shared" si="20"/>
        <v>insert into ins_premium_det (premium_rcv_code,assorted_code, rec_amount,premium_rcv_detail_code,remaining_amt, payrec, mode_code,coinsurance_code,class_cd,it_remarks) values</v>
      </c>
      <c r="G366" s="11" t="str">
        <f t="shared" si="22"/>
        <v>('28Nov240101','040000137273','0',(select max(to_number(i.premium_rcv_detail_code))+1
from ins_premium_det i),'0','0','02', '11000003','00','Request by Mr. Omair Ali 29-Nov-2024');</v>
      </c>
      <c r="H366" s="12" t="str">
        <f t="shared" si="23"/>
        <v>insert into ins_premium_det (premium_rcv_code,assorted_code, rec_amount,premium_rcv_detail_code,remaining_amt, payrec, mode_code,coinsurance_code,class_cd,it_remarks) values('28Nov240101','040000137273','0',(select max(to_number(i.premium_rcv_detail_code))+1
from ins_premium_det i),'0','0','02', '11000003','00','Request by Mr. Omair Ali 29-Nov-2024');</v>
      </c>
    </row>
    <row r="367" spans="1:8" ht="105" x14ac:dyDescent="0.25">
      <c r="A367" t="s">
        <v>367</v>
      </c>
      <c r="B367" s="8" t="str">
        <f>VLOOKUP(A367,assortedcode!B:C,2,0)</f>
        <v>040000180724</v>
      </c>
      <c r="C367" s="1">
        <v>0</v>
      </c>
      <c r="D367" s="9">
        <f t="shared" si="21"/>
        <v>0</v>
      </c>
      <c r="E367" s="7" t="s">
        <v>8345</v>
      </c>
      <c r="F367" s="10" t="str">
        <f t="shared" si="20"/>
        <v>insert into ins_premium_det (premium_rcv_code,assorted_code, rec_amount,premium_rcv_detail_code,remaining_amt, payrec, mode_code,coinsurance_code,class_cd,it_remarks) values</v>
      </c>
      <c r="G367" s="11" t="str">
        <f t="shared" si="22"/>
        <v>('28Nov240101','040000180724','0',(select max(to_number(i.premium_rcv_detail_code))+1
from ins_premium_det i),'0','0','02', '11000003','00','Request by Mr. Omair Ali 29-Nov-2024');</v>
      </c>
      <c r="H367" s="12" t="str">
        <f t="shared" si="23"/>
        <v>insert into ins_premium_det (premium_rcv_code,assorted_code, rec_amount,premium_rcv_detail_code,remaining_amt, payrec, mode_code,coinsurance_code,class_cd,it_remarks) values('28Nov240101','040000180724','0',(select max(to_number(i.premium_rcv_detail_code))+1
from ins_premium_det i),'0','0','02', '11000003','00','Request by Mr. Omair Ali 29-Nov-2024');</v>
      </c>
    </row>
    <row r="368" spans="1:8" ht="105" x14ac:dyDescent="0.25">
      <c r="A368" t="s">
        <v>368</v>
      </c>
      <c r="B368" s="8" t="str">
        <f>VLOOKUP(A368,assortedcode!B:C,2,0)</f>
        <v>040000137471</v>
      </c>
      <c r="C368" s="1">
        <v>0</v>
      </c>
      <c r="D368" s="9">
        <f t="shared" si="21"/>
        <v>0</v>
      </c>
      <c r="E368" s="7" t="s">
        <v>8345</v>
      </c>
      <c r="F368" s="10" t="str">
        <f t="shared" si="20"/>
        <v>insert into ins_premium_det (premium_rcv_code,assorted_code, rec_amount,premium_rcv_detail_code,remaining_amt, payrec, mode_code,coinsurance_code,class_cd,it_remarks) values</v>
      </c>
      <c r="G368" s="11" t="str">
        <f t="shared" si="22"/>
        <v>('28Nov240101','040000137471','0',(select max(to_number(i.premium_rcv_detail_code))+1
from ins_premium_det i),'0','0','02', '11000003','00','Request by Mr. Omair Ali 29-Nov-2024');</v>
      </c>
      <c r="H368" s="12" t="str">
        <f t="shared" si="23"/>
        <v>insert into ins_premium_det (premium_rcv_code,assorted_code, rec_amount,premium_rcv_detail_code,remaining_amt, payrec, mode_code,coinsurance_code,class_cd,it_remarks) values('28Nov240101','040000137471','0',(select max(to_number(i.premium_rcv_detail_code))+1
from ins_premium_det i),'0','0','02', '11000003','00','Request by Mr. Omair Ali 29-Nov-2024');</v>
      </c>
    </row>
    <row r="369" spans="1:8" ht="105" x14ac:dyDescent="0.25">
      <c r="A369" t="s">
        <v>369</v>
      </c>
      <c r="B369" s="8" t="str">
        <f>VLOOKUP(A369,assortedcode!B:C,2,0)</f>
        <v>040000180763</v>
      </c>
      <c r="C369" s="1">
        <v>0</v>
      </c>
      <c r="D369" s="9">
        <f t="shared" si="21"/>
        <v>0</v>
      </c>
      <c r="E369" s="7" t="s">
        <v>8345</v>
      </c>
      <c r="F369" s="10" t="str">
        <f t="shared" si="20"/>
        <v>insert into ins_premium_det (premium_rcv_code,assorted_code, rec_amount,premium_rcv_detail_code,remaining_amt, payrec, mode_code,coinsurance_code,class_cd,it_remarks) values</v>
      </c>
      <c r="G369" s="11" t="str">
        <f t="shared" si="22"/>
        <v>('28Nov240101','040000180763','0',(select max(to_number(i.premium_rcv_detail_code))+1
from ins_premium_det i),'0','0','02', '11000003','00','Request by Mr. Omair Ali 29-Nov-2024');</v>
      </c>
      <c r="H369" s="12" t="str">
        <f t="shared" si="23"/>
        <v>insert into ins_premium_det (premium_rcv_code,assorted_code, rec_amount,premium_rcv_detail_code,remaining_amt, payrec, mode_code,coinsurance_code,class_cd,it_remarks) values('28Nov240101','040000180763','0',(select max(to_number(i.premium_rcv_detail_code))+1
from ins_premium_det i),'0','0','02', '11000003','00','Request by Mr. Omair Ali 29-Nov-2024');</v>
      </c>
    </row>
    <row r="370" spans="1:8" ht="105" x14ac:dyDescent="0.25">
      <c r="A370" t="s">
        <v>370</v>
      </c>
      <c r="B370" s="8" t="str">
        <f>VLOOKUP(A370,assortedcode!B:C,2,0)</f>
        <v>040000137577</v>
      </c>
      <c r="C370" s="1">
        <v>0</v>
      </c>
      <c r="D370" s="9">
        <f t="shared" si="21"/>
        <v>0</v>
      </c>
      <c r="E370" s="7" t="s">
        <v>8345</v>
      </c>
      <c r="F370" s="10" t="str">
        <f t="shared" si="20"/>
        <v>insert into ins_premium_det (premium_rcv_code,assorted_code, rec_amount,premium_rcv_detail_code,remaining_amt, payrec, mode_code,coinsurance_code,class_cd,it_remarks) values</v>
      </c>
      <c r="G370" s="11" t="str">
        <f t="shared" si="22"/>
        <v>('28Nov240101','040000137577','0',(select max(to_number(i.premium_rcv_detail_code))+1
from ins_premium_det i),'0','0','02', '11000003','00','Request by Mr. Omair Ali 29-Nov-2024');</v>
      </c>
      <c r="H370" s="12" t="str">
        <f t="shared" si="23"/>
        <v>insert into ins_premium_det (premium_rcv_code,assorted_code, rec_amount,premium_rcv_detail_code,remaining_amt, payrec, mode_code,coinsurance_code,class_cd,it_remarks) values('28Nov240101','040000137577','0',(select max(to_number(i.premium_rcv_detail_code))+1
from ins_premium_det i),'0','0','02', '11000003','00','Request by Mr. Omair Ali 29-Nov-2024');</v>
      </c>
    </row>
    <row r="371" spans="1:8" ht="105" x14ac:dyDescent="0.25">
      <c r="A371" t="s">
        <v>371</v>
      </c>
      <c r="B371" s="8" t="str">
        <f>VLOOKUP(A371,assortedcode!B:C,2,0)</f>
        <v>040000180777</v>
      </c>
      <c r="C371" s="1">
        <v>0</v>
      </c>
      <c r="D371" s="9">
        <f t="shared" si="21"/>
        <v>0</v>
      </c>
      <c r="E371" s="7" t="s">
        <v>8345</v>
      </c>
      <c r="F371" s="10" t="str">
        <f t="shared" si="20"/>
        <v>insert into ins_premium_det (premium_rcv_code,assorted_code, rec_amount,premium_rcv_detail_code,remaining_amt, payrec, mode_code,coinsurance_code,class_cd,it_remarks) values</v>
      </c>
      <c r="G371" s="11" t="str">
        <f t="shared" si="22"/>
        <v>('28Nov240101','040000180777','0',(select max(to_number(i.premium_rcv_detail_code))+1
from ins_premium_det i),'0','0','02', '11000003','00','Request by Mr. Omair Ali 29-Nov-2024');</v>
      </c>
      <c r="H371" s="12" t="str">
        <f t="shared" si="23"/>
        <v>insert into ins_premium_det (premium_rcv_code,assorted_code, rec_amount,premium_rcv_detail_code,remaining_amt, payrec, mode_code,coinsurance_code,class_cd,it_remarks) values('28Nov240101','040000180777','0',(select max(to_number(i.premium_rcv_detail_code))+1
from ins_premium_det i),'0','0','02', '11000003','00','Request by Mr. Omair Ali 29-Nov-2024');</v>
      </c>
    </row>
    <row r="372" spans="1:8" ht="105" x14ac:dyDescent="0.25">
      <c r="A372" t="s">
        <v>372</v>
      </c>
      <c r="B372" s="8" t="str">
        <f>VLOOKUP(A372,assortedcode!B:C,2,0)</f>
        <v>040000137583</v>
      </c>
      <c r="C372" s="1">
        <v>0</v>
      </c>
      <c r="D372" s="9">
        <f t="shared" si="21"/>
        <v>0</v>
      </c>
      <c r="E372" s="7" t="s">
        <v>8345</v>
      </c>
      <c r="F372" s="10" t="str">
        <f t="shared" si="20"/>
        <v>insert into ins_premium_det (premium_rcv_code,assorted_code, rec_amount,premium_rcv_detail_code,remaining_amt, payrec, mode_code,coinsurance_code,class_cd,it_remarks) values</v>
      </c>
      <c r="G372" s="11" t="str">
        <f t="shared" si="22"/>
        <v>('28Nov240101','040000137583','0',(select max(to_number(i.premium_rcv_detail_code))+1
from ins_premium_det i),'0','0','02', '11000003','00','Request by Mr. Omair Ali 29-Nov-2024');</v>
      </c>
      <c r="H372" s="12" t="str">
        <f t="shared" si="23"/>
        <v>insert into ins_premium_det (premium_rcv_code,assorted_code, rec_amount,premium_rcv_detail_code,remaining_amt, payrec, mode_code,coinsurance_code,class_cd,it_remarks) values('28Nov240101','040000137583','0',(select max(to_number(i.premium_rcv_detail_code))+1
from ins_premium_det i),'0','0','02', '11000003','00','Request by Mr. Omair Ali 29-Nov-2024');</v>
      </c>
    </row>
    <row r="373" spans="1:8" ht="105" x14ac:dyDescent="0.25">
      <c r="A373" t="s">
        <v>373</v>
      </c>
      <c r="B373" s="8" t="str">
        <f>VLOOKUP(A373,assortedcode!B:C,2,0)</f>
        <v>040000180782</v>
      </c>
      <c r="C373" s="1">
        <v>0</v>
      </c>
      <c r="D373" s="9">
        <f t="shared" si="21"/>
        <v>0</v>
      </c>
      <c r="E373" s="7" t="s">
        <v>8345</v>
      </c>
      <c r="F373" s="10" t="str">
        <f t="shared" si="20"/>
        <v>insert into ins_premium_det (premium_rcv_code,assorted_code, rec_amount,premium_rcv_detail_code,remaining_amt, payrec, mode_code,coinsurance_code,class_cd,it_remarks) values</v>
      </c>
      <c r="G373" s="11" t="str">
        <f t="shared" si="22"/>
        <v>('28Nov240101','040000180782','0',(select max(to_number(i.premium_rcv_detail_code))+1
from ins_premium_det i),'0','0','02', '11000003','00','Request by Mr. Omair Ali 29-Nov-2024');</v>
      </c>
      <c r="H373" s="12" t="str">
        <f t="shared" si="23"/>
        <v>insert into ins_premium_det (premium_rcv_code,assorted_code, rec_amount,premium_rcv_detail_code,remaining_amt, payrec, mode_code,coinsurance_code,class_cd,it_remarks) values('28Nov240101','040000180782','0',(select max(to_number(i.premium_rcv_detail_code))+1
from ins_premium_det i),'0','0','02', '11000003','00','Request by Mr. Omair Ali 29-Nov-2024');</v>
      </c>
    </row>
    <row r="374" spans="1:8" ht="105" x14ac:dyDescent="0.25">
      <c r="A374" t="s">
        <v>374</v>
      </c>
      <c r="B374" s="8" t="str">
        <f>VLOOKUP(A374,assortedcode!B:C,2,0)</f>
        <v>040000138508</v>
      </c>
      <c r="C374" s="1">
        <v>0</v>
      </c>
      <c r="D374" s="9">
        <f t="shared" si="21"/>
        <v>0</v>
      </c>
      <c r="E374" s="7" t="s">
        <v>8345</v>
      </c>
      <c r="F374" s="10" t="str">
        <f t="shared" si="20"/>
        <v>insert into ins_premium_det (premium_rcv_code,assorted_code, rec_amount,premium_rcv_detail_code,remaining_amt, payrec, mode_code,coinsurance_code,class_cd,it_remarks) values</v>
      </c>
      <c r="G374" s="11" t="str">
        <f t="shared" si="22"/>
        <v>('28Nov240101','040000138508','0',(select max(to_number(i.premium_rcv_detail_code))+1
from ins_premium_det i),'0','0','02', '11000003','00','Request by Mr. Omair Ali 29-Nov-2024');</v>
      </c>
      <c r="H374" s="12" t="str">
        <f t="shared" si="23"/>
        <v>insert into ins_premium_det (premium_rcv_code,assorted_code, rec_amount,premium_rcv_detail_code,remaining_amt, payrec, mode_code,coinsurance_code,class_cd,it_remarks) values('28Nov240101','040000138508','0',(select max(to_number(i.premium_rcv_detail_code))+1
from ins_premium_det i),'0','0','02', '11000003','00','Request by Mr. Omair Ali 29-Nov-2024');</v>
      </c>
    </row>
    <row r="375" spans="1:8" ht="105" x14ac:dyDescent="0.25">
      <c r="A375" t="s">
        <v>375</v>
      </c>
      <c r="B375" s="8" t="str">
        <f>VLOOKUP(A375,assortedcode!B:C,2,0)</f>
        <v>040000180790</v>
      </c>
      <c r="C375" s="1">
        <v>0</v>
      </c>
      <c r="D375" s="9">
        <f t="shared" si="21"/>
        <v>0</v>
      </c>
      <c r="E375" s="7" t="s">
        <v>8345</v>
      </c>
      <c r="F375" s="10" t="str">
        <f t="shared" si="20"/>
        <v>insert into ins_premium_det (premium_rcv_code,assorted_code, rec_amount,premium_rcv_detail_code,remaining_amt, payrec, mode_code,coinsurance_code,class_cd,it_remarks) values</v>
      </c>
      <c r="G375" s="11" t="str">
        <f t="shared" si="22"/>
        <v>('28Nov240101','040000180790','0',(select max(to_number(i.premium_rcv_detail_code))+1
from ins_premium_det i),'0','0','02', '11000003','00','Request by Mr. Omair Ali 29-Nov-2024');</v>
      </c>
      <c r="H375" s="12" t="str">
        <f t="shared" si="23"/>
        <v>insert into ins_premium_det (premium_rcv_code,assorted_code, rec_amount,premium_rcv_detail_code,remaining_amt, payrec, mode_code,coinsurance_code,class_cd,it_remarks) values('28Nov240101','040000180790','0',(select max(to_number(i.premium_rcv_detail_code))+1
from ins_premium_det i),'0','0','02', '11000003','00','Request by Mr. Omair Ali 29-Nov-2024');</v>
      </c>
    </row>
    <row r="376" spans="1:8" ht="105" x14ac:dyDescent="0.25">
      <c r="A376" t="s">
        <v>376</v>
      </c>
      <c r="B376" s="8" t="str">
        <f>VLOOKUP(A376,assortedcode!B:C,2,0)</f>
        <v>040000138625</v>
      </c>
      <c r="C376" s="1">
        <v>0</v>
      </c>
      <c r="D376" s="9">
        <f t="shared" si="21"/>
        <v>0</v>
      </c>
      <c r="E376" s="7" t="s">
        <v>8345</v>
      </c>
      <c r="F376" s="10" t="str">
        <f t="shared" si="20"/>
        <v>insert into ins_premium_det (premium_rcv_code,assorted_code, rec_amount,premium_rcv_detail_code,remaining_amt, payrec, mode_code,coinsurance_code,class_cd,it_remarks) values</v>
      </c>
      <c r="G376" s="11" t="str">
        <f t="shared" si="22"/>
        <v>('28Nov240101','040000138625','0',(select max(to_number(i.premium_rcv_detail_code))+1
from ins_premium_det i),'0','0','02', '11000003','00','Request by Mr. Omair Ali 29-Nov-2024');</v>
      </c>
      <c r="H376" s="12" t="str">
        <f t="shared" si="23"/>
        <v>insert into ins_premium_det (premium_rcv_code,assorted_code, rec_amount,premium_rcv_detail_code,remaining_amt, payrec, mode_code,coinsurance_code,class_cd,it_remarks) values('28Nov240101','040000138625','0',(select max(to_number(i.premium_rcv_detail_code))+1
from ins_premium_det i),'0','0','02', '11000003','00','Request by Mr. Omair Ali 29-Nov-2024');</v>
      </c>
    </row>
    <row r="377" spans="1:8" ht="105" x14ac:dyDescent="0.25">
      <c r="A377" t="s">
        <v>377</v>
      </c>
      <c r="B377" s="8" t="str">
        <f>VLOOKUP(A377,assortedcode!B:C,2,0)</f>
        <v>040000180791</v>
      </c>
      <c r="C377" s="1">
        <v>0</v>
      </c>
      <c r="D377" s="9">
        <f t="shared" si="21"/>
        <v>0</v>
      </c>
      <c r="E377" s="7" t="s">
        <v>8345</v>
      </c>
      <c r="F377" s="10" t="str">
        <f t="shared" si="20"/>
        <v>insert into ins_premium_det (premium_rcv_code,assorted_code, rec_amount,premium_rcv_detail_code,remaining_amt, payrec, mode_code,coinsurance_code,class_cd,it_remarks) values</v>
      </c>
      <c r="G377" s="11" t="str">
        <f t="shared" si="22"/>
        <v>('28Nov240101','040000180791','0',(select max(to_number(i.premium_rcv_detail_code))+1
from ins_premium_det i),'0','0','02', '11000003','00','Request by Mr. Omair Ali 29-Nov-2024');</v>
      </c>
      <c r="H377" s="12" t="str">
        <f t="shared" si="23"/>
        <v>insert into ins_premium_det (premium_rcv_code,assorted_code, rec_amount,premium_rcv_detail_code,remaining_amt, payrec, mode_code,coinsurance_code,class_cd,it_remarks) values('28Nov240101','040000180791','0',(select max(to_number(i.premium_rcv_detail_code))+1
from ins_premium_det i),'0','0','02', '11000003','00','Request by Mr. Omair Ali 29-Nov-2024');</v>
      </c>
    </row>
    <row r="378" spans="1:8" ht="105" x14ac:dyDescent="0.25">
      <c r="A378" t="s">
        <v>378</v>
      </c>
      <c r="B378" s="8" t="str">
        <f>VLOOKUP(A378,assortedcode!B:C,2,0)</f>
        <v>070000167528</v>
      </c>
      <c r="C378" s="1">
        <v>0</v>
      </c>
      <c r="D378" s="9">
        <f t="shared" si="21"/>
        <v>0</v>
      </c>
      <c r="E378" s="7" t="s">
        <v>8345</v>
      </c>
      <c r="F378" s="10" t="str">
        <f t="shared" si="20"/>
        <v>insert into ins_premium_det (premium_rcv_code,assorted_code, rec_amount,premium_rcv_detail_code,remaining_amt, payrec, mode_code,coinsurance_code,class_cd,it_remarks) values</v>
      </c>
      <c r="G378" s="11" t="str">
        <f t="shared" si="22"/>
        <v>('28Nov240101','070000167528','0',(select max(to_number(i.premium_rcv_detail_code))+1
from ins_premium_det i),'0','0','02', '11000003','00','Request by Mr. Omair Ali 29-Nov-2024');</v>
      </c>
      <c r="H378" s="12" t="str">
        <f t="shared" si="23"/>
        <v>insert into ins_premium_det (premium_rcv_code,assorted_code, rec_amount,premium_rcv_detail_code,remaining_amt, payrec, mode_code,coinsurance_code,class_cd,it_remarks) values('28Nov240101','070000167528','0',(select max(to_number(i.premium_rcv_detail_code))+1
from ins_premium_det i),'0','0','02', '11000003','00','Request by Mr. Omair Ali 29-Nov-2024');</v>
      </c>
    </row>
    <row r="379" spans="1:8" ht="105" x14ac:dyDescent="0.25">
      <c r="A379" t="s">
        <v>379</v>
      </c>
      <c r="B379" s="8" t="str">
        <f>VLOOKUP(A379,assortedcode!B:C,2,0)</f>
        <v>040000180792</v>
      </c>
      <c r="C379" s="1">
        <v>0</v>
      </c>
      <c r="D379" s="9">
        <f t="shared" si="21"/>
        <v>0</v>
      </c>
      <c r="E379" s="7" t="s">
        <v>8345</v>
      </c>
      <c r="F379" s="10" t="str">
        <f t="shared" si="20"/>
        <v>insert into ins_premium_det (premium_rcv_code,assorted_code, rec_amount,premium_rcv_detail_code,remaining_amt, payrec, mode_code,coinsurance_code,class_cd,it_remarks) values</v>
      </c>
      <c r="G379" s="11" t="str">
        <f t="shared" si="22"/>
        <v>('28Nov240101','040000180792','0',(select max(to_number(i.premium_rcv_detail_code))+1
from ins_premium_det i),'0','0','02', '11000003','00','Request by Mr. Omair Ali 29-Nov-2024');</v>
      </c>
      <c r="H379" s="12" t="str">
        <f t="shared" si="23"/>
        <v>insert into ins_premium_det (premium_rcv_code,assorted_code, rec_amount,premium_rcv_detail_code,remaining_amt, payrec, mode_code,coinsurance_code,class_cd,it_remarks) values('28Nov240101','040000180792','0',(select max(to_number(i.premium_rcv_detail_code))+1
from ins_premium_det i),'0','0','02', '11000003','00','Request by Mr. Omair Ali 29-Nov-2024');</v>
      </c>
    </row>
    <row r="380" spans="1:8" ht="105" x14ac:dyDescent="0.25">
      <c r="A380" t="s">
        <v>380</v>
      </c>
      <c r="B380" s="8" t="str">
        <f>VLOOKUP(A380,assortedcode!B:C,2,0)</f>
        <v>040000139267</v>
      </c>
      <c r="C380" s="1">
        <v>0</v>
      </c>
      <c r="D380" s="9">
        <f t="shared" si="21"/>
        <v>0</v>
      </c>
      <c r="E380" s="7" t="s">
        <v>8345</v>
      </c>
      <c r="F380" s="10" t="str">
        <f t="shared" si="20"/>
        <v>insert into ins_premium_det (premium_rcv_code,assorted_code, rec_amount,premium_rcv_detail_code,remaining_amt, payrec, mode_code,coinsurance_code,class_cd,it_remarks) values</v>
      </c>
      <c r="G380" s="11" t="str">
        <f t="shared" si="22"/>
        <v>('28Nov240101','040000139267','0',(select max(to_number(i.premium_rcv_detail_code))+1
from ins_premium_det i),'0','0','02', '11000003','00','Request by Mr. Omair Ali 29-Nov-2024');</v>
      </c>
      <c r="H380" s="12" t="str">
        <f t="shared" si="23"/>
        <v>insert into ins_premium_det (premium_rcv_code,assorted_code, rec_amount,premium_rcv_detail_code,remaining_amt, payrec, mode_code,coinsurance_code,class_cd,it_remarks) values('28Nov240101','040000139267','0',(select max(to_number(i.premium_rcv_detail_code))+1
from ins_premium_det i),'0','0','02', '11000003','00','Request by Mr. Omair Ali 29-Nov-2024');</v>
      </c>
    </row>
    <row r="381" spans="1:8" ht="105" x14ac:dyDescent="0.25">
      <c r="A381" t="s">
        <v>381</v>
      </c>
      <c r="B381" s="8" t="str">
        <f>VLOOKUP(A381,assortedcode!B:C,2,0)</f>
        <v>040000180793</v>
      </c>
      <c r="C381" s="1">
        <v>0</v>
      </c>
      <c r="D381" s="9">
        <f t="shared" si="21"/>
        <v>0</v>
      </c>
      <c r="E381" s="7" t="s">
        <v>8345</v>
      </c>
      <c r="F381" s="10" t="str">
        <f t="shared" si="20"/>
        <v>insert into ins_premium_det (premium_rcv_code,assorted_code, rec_amount,premium_rcv_detail_code,remaining_amt, payrec, mode_code,coinsurance_code,class_cd,it_remarks) values</v>
      </c>
      <c r="G381" s="11" t="str">
        <f t="shared" si="22"/>
        <v>('28Nov240101','040000180793','0',(select max(to_number(i.premium_rcv_detail_code))+1
from ins_premium_det i),'0','0','02', '11000003','00','Request by Mr. Omair Ali 29-Nov-2024');</v>
      </c>
      <c r="H381" s="12" t="str">
        <f t="shared" si="23"/>
        <v>insert into ins_premium_det (premium_rcv_code,assorted_code, rec_amount,premium_rcv_detail_code,remaining_amt, payrec, mode_code,coinsurance_code,class_cd,it_remarks) values('28Nov240101','040000180793','0',(select max(to_number(i.premium_rcv_detail_code))+1
from ins_premium_det i),'0','0','02', '11000003','00','Request by Mr. Omair Ali 29-Nov-2024');</v>
      </c>
    </row>
    <row r="382" spans="1:8" ht="105" x14ac:dyDescent="0.25">
      <c r="A382" t="s">
        <v>382</v>
      </c>
      <c r="B382" s="8" t="str">
        <f>VLOOKUP(A382,assortedcode!B:C,2,0)</f>
        <v>040000139313</v>
      </c>
      <c r="C382" s="1">
        <v>0</v>
      </c>
      <c r="D382" s="9">
        <f t="shared" si="21"/>
        <v>0</v>
      </c>
      <c r="E382" s="7" t="s">
        <v>8345</v>
      </c>
      <c r="F382" s="10" t="str">
        <f t="shared" si="20"/>
        <v>insert into ins_premium_det (premium_rcv_code,assorted_code, rec_amount,premium_rcv_detail_code,remaining_amt, payrec, mode_code,coinsurance_code,class_cd,it_remarks) values</v>
      </c>
      <c r="G382" s="11" t="str">
        <f t="shared" si="22"/>
        <v>('28Nov240101','040000139313','0',(select max(to_number(i.premium_rcv_detail_code))+1
from ins_premium_det i),'0','0','02', '11000003','00','Request by Mr. Omair Ali 29-Nov-2024');</v>
      </c>
      <c r="H382" s="12" t="str">
        <f t="shared" si="23"/>
        <v>insert into ins_premium_det (premium_rcv_code,assorted_code, rec_amount,premium_rcv_detail_code,remaining_amt, payrec, mode_code,coinsurance_code,class_cd,it_remarks) values('28Nov240101','040000139313','0',(select max(to_number(i.premium_rcv_detail_code))+1
from ins_premium_det i),'0','0','02', '11000003','00','Request by Mr. Omair Ali 29-Nov-2024');</v>
      </c>
    </row>
    <row r="383" spans="1:8" ht="105" x14ac:dyDescent="0.25">
      <c r="A383" t="s">
        <v>383</v>
      </c>
      <c r="B383" s="8" t="str">
        <f>VLOOKUP(A383,assortedcode!B:C,2,0)</f>
        <v>040000180794</v>
      </c>
      <c r="C383" s="1">
        <v>0</v>
      </c>
      <c r="D383" s="9">
        <f t="shared" si="21"/>
        <v>0</v>
      </c>
      <c r="E383" s="7" t="s">
        <v>8345</v>
      </c>
      <c r="F383" s="10" t="str">
        <f t="shared" si="20"/>
        <v>insert into ins_premium_det (premium_rcv_code,assorted_code, rec_amount,premium_rcv_detail_code,remaining_amt, payrec, mode_code,coinsurance_code,class_cd,it_remarks) values</v>
      </c>
      <c r="G383" s="11" t="str">
        <f t="shared" si="22"/>
        <v>('28Nov240101','040000180794','0',(select max(to_number(i.premium_rcv_detail_code))+1
from ins_premium_det i),'0','0','02', '11000003','00','Request by Mr. Omair Ali 29-Nov-2024');</v>
      </c>
      <c r="H383" s="12" t="str">
        <f t="shared" si="23"/>
        <v>insert into ins_premium_det (premium_rcv_code,assorted_code, rec_amount,premium_rcv_detail_code,remaining_amt, payrec, mode_code,coinsurance_code,class_cd,it_remarks) values('28Nov240101','040000180794','0',(select max(to_number(i.premium_rcv_detail_code))+1
from ins_premium_det i),'0','0','02', '11000003','00','Request by Mr. Omair Ali 29-Nov-2024');</v>
      </c>
    </row>
    <row r="384" spans="1:8" ht="105" x14ac:dyDescent="0.25">
      <c r="A384" t="s">
        <v>384</v>
      </c>
      <c r="B384" s="8" t="str">
        <f>VLOOKUP(A384,assortedcode!B:C,2,0)</f>
        <v>040000139576</v>
      </c>
      <c r="C384" s="1">
        <v>0</v>
      </c>
      <c r="D384" s="9">
        <f t="shared" si="21"/>
        <v>0</v>
      </c>
      <c r="E384" s="7" t="s">
        <v>8345</v>
      </c>
      <c r="F384" s="10" t="str">
        <f t="shared" si="20"/>
        <v>insert into ins_premium_det (premium_rcv_code,assorted_code, rec_amount,premium_rcv_detail_code,remaining_amt, payrec, mode_code,coinsurance_code,class_cd,it_remarks) values</v>
      </c>
      <c r="G384" s="11" t="str">
        <f t="shared" si="22"/>
        <v>('28Nov240101','040000139576','0',(select max(to_number(i.premium_rcv_detail_code))+1
from ins_premium_det i),'0','0','02', '11000003','00','Request by Mr. Omair Ali 29-Nov-2024');</v>
      </c>
      <c r="H384" s="12" t="str">
        <f t="shared" si="23"/>
        <v>insert into ins_premium_det (premium_rcv_code,assorted_code, rec_amount,premium_rcv_detail_code,remaining_amt, payrec, mode_code,coinsurance_code,class_cd,it_remarks) values('28Nov240101','040000139576','0',(select max(to_number(i.premium_rcv_detail_code))+1
from ins_premium_det i),'0','0','02', '11000003','00','Request by Mr. Omair Ali 29-Nov-2024');</v>
      </c>
    </row>
    <row r="385" spans="1:8" ht="105" x14ac:dyDescent="0.25">
      <c r="A385" t="s">
        <v>385</v>
      </c>
      <c r="B385" s="8" t="str">
        <f>VLOOKUP(A385,assortedcode!B:C,2,0)</f>
        <v>040000180795</v>
      </c>
      <c r="C385" s="1">
        <v>0</v>
      </c>
      <c r="D385" s="9">
        <f t="shared" si="21"/>
        <v>0</v>
      </c>
      <c r="E385" s="7" t="s">
        <v>8345</v>
      </c>
      <c r="F385" s="10" t="str">
        <f t="shared" si="20"/>
        <v>insert into ins_premium_det (premium_rcv_code,assorted_code, rec_amount,premium_rcv_detail_code,remaining_amt, payrec, mode_code,coinsurance_code,class_cd,it_remarks) values</v>
      </c>
      <c r="G385" s="11" t="str">
        <f t="shared" si="22"/>
        <v>('28Nov240101','040000180795','0',(select max(to_number(i.premium_rcv_detail_code))+1
from ins_premium_det i),'0','0','02', '11000003','00','Request by Mr. Omair Ali 29-Nov-2024');</v>
      </c>
      <c r="H385" s="12" t="str">
        <f t="shared" si="23"/>
        <v>insert into ins_premium_det (premium_rcv_code,assorted_code, rec_amount,premium_rcv_detail_code,remaining_amt, payrec, mode_code,coinsurance_code,class_cd,it_remarks) values('28Nov240101','040000180795','0',(select max(to_number(i.premium_rcv_detail_code))+1
from ins_premium_det i),'0','0','02', '11000003','00','Request by Mr. Omair Ali 29-Nov-2024');</v>
      </c>
    </row>
    <row r="386" spans="1:8" ht="105" x14ac:dyDescent="0.25">
      <c r="A386" t="s">
        <v>386</v>
      </c>
      <c r="B386" s="8" t="str">
        <f>VLOOKUP(A386,assortedcode!B:C,2,0)</f>
        <v>040000139902</v>
      </c>
      <c r="C386" s="1">
        <v>0</v>
      </c>
      <c r="D386" s="9">
        <f t="shared" si="21"/>
        <v>0</v>
      </c>
      <c r="E386" s="7" t="s">
        <v>8345</v>
      </c>
      <c r="F386" s="10" t="str">
        <f t="shared" ref="F386:F449" si="24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386" s="11" t="str">
        <f t="shared" si="22"/>
        <v>('28Nov240101','040000139902','0',(select max(to_number(i.premium_rcv_detail_code))+1
from ins_premium_det i),'0','0','02', '11000003','00','Request by Mr. Omair Ali 29-Nov-2024');</v>
      </c>
      <c r="H386" s="12" t="str">
        <f t="shared" si="23"/>
        <v>insert into ins_premium_det (premium_rcv_code,assorted_code, rec_amount,premium_rcv_detail_code,remaining_amt, payrec, mode_code,coinsurance_code,class_cd,it_remarks) values('28Nov240101','040000139902','0',(select max(to_number(i.premium_rcv_detail_code))+1
from ins_premium_det i),'0','0','02', '11000003','00','Request by Mr. Omair Ali 29-Nov-2024');</v>
      </c>
    </row>
    <row r="387" spans="1:8" ht="105" x14ac:dyDescent="0.25">
      <c r="A387" t="s">
        <v>387</v>
      </c>
      <c r="B387" s="8" t="str">
        <f>VLOOKUP(A387,assortedcode!B:C,2,0)</f>
        <v>040000180796</v>
      </c>
      <c r="C387" s="1">
        <v>0</v>
      </c>
      <c r="D387" s="9">
        <f t="shared" ref="D387:D450" si="25">ROUND(C387,0)</f>
        <v>0</v>
      </c>
      <c r="E387" s="7" t="s">
        <v>8345</v>
      </c>
      <c r="F387" s="10" t="str">
        <f t="shared" si="24"/>
        <v>insert into ins_premium_det (premium_rcv_code,assorted_code, rec_amount,premium_rcv_detail_code,remaining_amt, payrec, mode_code,coinsurance_code,class_cd,it_remarks) values</v>
      </c>
      <c r="G387" s="11" t="str">
        <f t="shared" ref="G387:G450" si="26">"('"&amp;E387&amp;"','"&amp;B387&amp;"','"&amp;ROUND(D387,2)&amp;"',(select max(to_number(i.premium_rcv_detail_code))+1
from ins_premium_det i),'"&amp;D387&amp;"','"&amp;D387&amp;"','02', '11000003','00','Request by Mr. Omair Ali 29-Nov-2024');"</f>
        <v>('28Nov240101','040000180796','0',(select max(to_number(i.premium_rcv_detail_code))+1
from ins_premium_det i),'0','0','02', '11000003','00','Request by Mr. Omair Ali 29-Nov-2024');</v>
      </c>
      <c r="H387" s="12" t="str">
        <f t="shared" ref="H387:H450" si="27">F387&amp;G387</f>
        <v>insert into ins_premium_det (premium_rcv_code,assorted_code, rec_amount,premium_rcv_detail_code,remaining_amt, payrec, mode_code,coinsurance_code,class_cd,it_remarks) values('28Nov240101','040000180796','0',(select max(to_number(i.premium_rcv_detail_code))+1
from ins_premium_det i),'0','0','02', '11000003','00','Request by Mr. Omair Ali 29-Nov-2024');</v>
      </c>
    </row>
    <row r="388" spans="1:8" ht="105" x14ac:dyDescent="0.25">
      <c r="A388" t="s">
        <v>388</v>
      </c>
      <c r="B388" s="8" t="str">
        <f>VLOOKUP(A388,assortedcode!B:C,2,0)</f>
        <v>040000140397</v>
      </c>
      <c r="C388" s="1">
        <v>0</v>
      </c>
      <c r="D388" s="9">
        <f t="shared" si="25"/>
        <v>0</v>
      </c>
      <c r="E388" s="7" t="s">
        <v>8345</v>
      </c>
      <c r="F388" s="10" t="str">
        <f t="shared" si="24"/>
        <v>insert into ins_premium_det (premium_rcv_code,assorted_code, rec_amount,premium_rcv_detail_code,remaining_amt, payrec, mode_code,coinsurance_code,class_cd,it_remarks) values</v>
      </c>
      <c r="G388" s="11" t="str">
        <f t="shared" si="26"/>
        <v>('28Nov240101','040000140397','0',(select max(to_number(i.premium_rcv_detail_code))+1
from ins_premium_det i),'0','0','02', '11000003','00','Request by Mr. Omair Ali 29-Nov-2024');</v>
      </c>
      <c r="H388" s="12" t="str">
        <f t="shared" si="27"/>
        <v>insert into ins_premium_det (premium_rcv_code,assorted_code, rec_amount,premium_rcv_detail_code,remaining_amt, payrec, mode_code,coinsurance_code,class_cd,it_remarks) values('28Nov240101','040000140397','0',(select max(to_number(i.premium_rcv_detail_code))+1
from ins_premium_det i),'0','0','02', '11000003','00','Request by Mr. Omair Ali 29-Nov-2024');</v>
      </c>
    </row>
    <row r="389" spans="1:8" ht="105" x14ac:dyDescent="0.25">
      <c r="A389" t="s">
        <v>389</v>
      </c>
      <c r="B389" s="8" t="str">
        <f>VLOOKUP(A389,assortedcode!B:C,2,0)</f>
        <v>040000180797</v>
      </c>
      <c r="C389" s="1">
        <v>0</v>
      </c>
      <c r="D389" s="9">
        <f t="shared" si="25"/>
        <v>0</v>
      </c>
      <c r="E389" s="7" t="s">
        <v>8345</v>
      </c>
      <c r="F389" s="10" t="str">
        <f t="shared" si="24"/>
        <v>insert into ins_premium_det (premium_rcv_code,assorted_code, rec_amount,premium_rcv_detail_code,remaining_amt, payrec, mode_code,coinsurance_code,class_cd,it_remarks) values</v>
      </c>
      <c r="G389" s="11" t="str">
        <f t="shared" si="26"/>
        <v>('28Nov240101','040000180797','0',(select max(to_number(i.premium_rcv_detail_code))+1
from ins_premium_det i),'0','0','02', '11000003','00','Request by Mr. Omair Ali 29-Nov-2024');</v>
      </c>
      <c r="H389" s="12" t="str">
        <f t="shared" si="27"/>
        <v>insert into ins_premium_det (premium_rcv_code,assorted_code, rec_amount,premium_rcv_detail_code,remaining_amt, payrec, mode_code,coinsurance_code,class_cd,it_remarks) values('28Nov240101','040000180797','0',(select max(to_number(i.premium_rcv_detail_code))+1
from ins_premium_det i),'0','0','02', '11000003','00','Request by Mr. Omair Ali 29-Nov-2024');</v>
      </c>
    </row>
    <row r="390" spans="1:8" ht="105" x14ac:dyDescent="0.25">
      <c r="A390" t="s">
        <v>390</v>
      </c>
      <c r="B390" s="8" t="str">
        <f>VLOOKUP(A390,assortedcode!B:C,2,0)</f>
        <v>040000140712</v>
      </c>
      <c r="C390" s="1">
        <v>0</v>
      </c>
      <c r="D390" s="9">
        <f t="shared" si="25"/>
        <v>0</v>
      </c>
      <c r="E390" s="7" t="s">
        <v>8345</v>
      </c>
      <c r="F390" s="10" t="str">
        <f t="shared" si="24"/>
        <v>insert into ins_premium_det (premium_rcv_code,assorted_code, rec_amount,premium_rcv_detail_code,remaining_amt, payrec, mode_code,coinsurance_code,class_cd,it_remarks) values</v>
      </c>
      <c r="G390" s="11" t="str">
        <f t="shared" si="26"/>
        <v>('28Nov240101','040000140712','0',(select max(to_number(i.premium_rcv_detail_code))+1
from ins_premium_det i),'0','0','02', '11000003','00','Request by Mr. Omair Ali 29-Nov-2024');</v>
      </c>
      <c r="H390" s="12" t="str">
        <f t="shared" si="27"/>
        <v>insert into ins_premium_det (premium_rcv_code,assorted_code, rec_amount,premium_rcv_detail_code,remaining_amt, payrec, mode_code,coinsurance_code,class_cd,it_remarks) values('28Nov240101','040000140712','0',(select max(to_number(i.premium_rcv_detail_code))+1
from ins_premium_det i),'0','0','02', '11000003','00','Request by Mr. Omair Ali 29-Nov-2024');</v>
      </c>
    </row>
    <row r="391" spans="1:8" ht="105" x14ac:dyDescent="0.25">
      <c r="A391" t="s">
        <v>391</v>
      </c>
      <c r="B391" s="8" t="str">
        <f>VLOOKUP(A391,assortedcode!B:C,2,0)</f>
        <v>040000180798</v>
      </c>
      <c r="C391" s="1">
        <v>0</v>
      </c>
      <c r="D391" s="9">
        <f t="shared" si="25"/>
        <v>0</v>
      </c>
      <c r="E391" s="7" t="s">
        <v>8345</v>
      </c>
      <c r="F391" s="10" t="str">
        <f t="shared" si="24"/>
        <v>insert into ins_premium_det (premium_rcv_code,assorted_code, rec_amount,premium_rcv_detail_code,remaining_amt, payrec, mode_code,coinsurance_code,class_cd,it_remarks) values</v>
      </c>
      <c r="G391" s="11" t="str">
        <f t="shared" si="26"/>
        <v>('28Nov240101','040000180798','0',(select max(to_number(i.premium_rcv_detail_code))+1
from ins_premium_det i),'0','0','02', '11000003','00','Request by Mr. Omair Ali 29-Nov-2024');</v>
      </c>
      <c r="H391" s="12" t="str">
        <f t="shared" si="27"/>
        <v>insert into ins_premium_det (premium_rcv_code,assorted_code, rec_amount,premium_rcv_detail_code,remaining_amt, payrec, mode_code,coinsurance_code,class_cd,it_remarks) values('28Nov240101','040000180798','0',(select max(to_number(i.premium_rcv_detail_code))+1
from ins_premium_det i),'0','0','02', '11000003','00','Request by Mr. Omair Ali 29-Nov-2024');</v>
      </c>
    </row>
    <row r="392" spans="1:8" ht="105" x14ac:dyDescent="0.25">
      <c r="A392" t="s">
        <v>392</v>
      </c>
      <c r="B392" s="8" t="str">
        <f>VLOOKUP(A392,assortedcode!B:C,2,0)</f>
        <v>040000140955</v>
      </c>
      <c r="C392" s="1">
        <v>0</v>
      </c>
      <c r="D392" s="9">
        <f t="shared" si="25"/>
        <v>0</v>
      </c>
      <c r="E392" s="7" t="s">
        <v>8345</v>
      </c>
      <c r="F392" s="10" t="str">
        <f t="shared" si="24"/>
        <v>insert into ins_premium_det (premium_rcv_code,assorted_code, rec_amount,premium_rcv_detail_code,remaining_amt, payrec, mode_code,coinsurance_code,class_cd,it_remarks) values</v>
      </c>
      <c r="G392" s="11" t="str">
        <f t="shared" si="26"/>
        <v>('28Nov240101','040000140955','0',(select max(to_number(i.premium_rcv_detail_code))+1
from ins_premium_det i),'0','0','02', '11000003','00','Request by Mr. Omair Ali 29-Nov-2024');</v>
      </c>
      <c r="H392" s="12" t="str">
        <f t="shared" si="27"/>
        <v>insert into ins_premium_det (premium_rcv_code,assorted_code, rec_amount,premium_rcv_detail_code,remaining_amt, payrec, mode_code,coinsurance_code,class_cd,it_remarks) values('28Nov240101','040000140955','0',(select max(to_number(i.premium_rcv_detail_code))+1
from ins_premium_det i),'0','0','02', '11000003','00','Request by Mr. Omair Ali 29-Nov-2024');</v>
      </c>
    </row>
    <row r="393" spans="1:8" ht="105" x14ac:dyDescent="0.25">
      <c r="A393" t="s">
        <v>393</v>
      </c>
      <c r="B393" s="8" t="str">
        <f>VLOOKUP(A393,assortedcode!B:C,2,0)</f>
        <v>040000180801</v>
      </c>
      <c r="C393" s="1">
        <v>0</v>
      </c>
      <c r="D393" s="9">
        <f t="shared" si="25"/>
        <v>0</v>
      </c>
      <c r="E393" s="7" t="s">
        <v>8345</v>
      </c>
      <c r="F393" s="10" t="str">
        <f t="shared" si="24"/>
        <v>insert into ins_premium_det (premium_rcv_code,assorted_code, rec_amount,premium_rcv_detail_code,remaining_amt, payrec, mode_code,coinsurance_code,class_cd,it_remarks) values</v>
      </c>
      <c r="G393" s="11" t="str">
        <f t="shared" si="26"/>
        <v>('28Nov240101','040000180801','0',(select max(to_number(i.premium_rcv_detail_code))+1
from ins_premium_det i),'0','0','02', '11000003','00','Request by Mr. Omair Ali 29-Nov-2024');</v>
      </c>
      <c r="H393" s="12" t="str">
        <f t="shared" si="27"/>
        <v>insert into ins_premium_det (premium_rcv_code,assorted_code, rec_amount,premium_rcv_detail_code,remaining_amt, payrec, mode_code,coinsurance_code,class_cd,it_remarks) values('28Nov240101','040000180801','0',(select max(to_number(i.premium_rcv_detail_code))+1
from ins_premium_det i),'0','0','02', '11000003','00','Request by Mr. Omair Ali 29-Nov-2024');</v>
      </c>
    </row>
    <row r="394" spans="1:8" ht="105" x14ac:dyDescent="0.25">
      <c r="A394" t="s">
        <v>394</v>
      </c>
      <c r="B394" s="8" t="str">
        <f>VLOOKUP(A394,assortedcode!B:C,2,0)</f>
        <v>040000140975</v>
      </c>
      <c r="C394" s="1">
        <v>0</v>
      </c>
      <c r="D394" s="9">
        <f t="shared" si="25"/>
        <v>0</v>
      </c>
      <c r="E394" s="7" t="s">
        <v>8345</v>
      </c>
      <c r="F394" s="10" t="str">
        <f t="shared" si="24"/>
        <v>insert into ins_premium_det (premium_rcv_code,assorted_code, rec_amount,premium_rcv_detail_code,remaining_amt, payrec, mode_code,coinsurance_code,class_cd,it_remarks) values</v>
      </c>
      <c r="G394" s="11" t="str">
        <f t="shared" si="26"/>
        <v>('28Nov240101','040000140975','0',(select max(to_number(i.premium_rcv_detail_code))+1
from ins_premium_det i),'0','0','02', '11000003','00','Request by Mr. Omair Ali 29-Nov-2024');</v>
      </c>
      <c r="H394" s="12" t="str">
        <f t="shared" si="27"/>
        <v>insert into ins_premium_det (premium_rcv_code,assorted_code, rec_amount,premium_rcv_detail_code,remaining_amt, payrec, mode_code,coinsurance_code,class_cd,it_remarks) values('28Nov240101','040000140975','0',(select max(to_number(i.premium_rcv_detail_code))+1
from ins_premium_det i),'0','0','02', '11000003','00','Request by Mr. Omair Ali 29-Nov-2024');</v>
      </c>
    </row>
    <row r="395" spans="1:8" ht="105" x14ac:dyDescent="0.25">
      <c r="A395" t="s">
        <v>395</v>
      </c>
      <c r="B395" s="8" t="str">
        <f>VLOOKUP(A395,assortedcode!B:C,2,0)</f>
        <v>040000180802</v>
      </c>
      <c r="C395" s="1">
        <v>0</v>
      </c>
      <c r="D395" s="9">
        <f t="shared" si="25"/>
        <v>0</v>
      </c>
      <c r="E395" s="7" t="s">
        <v>8345</v>
      </c>
      <c r="F395" s="10" t="str">
        <f t="shared" si="24"/>
        <v>insert into ins_premium_det (premium_rcv_code,assorted_code, rec_amount,premium_rcv_detail_code,remaining_amt, payrec, mode_code,coinsurance_code,class_cd,it_remarks) values</v>
      </c>
      <c r="G395" s="11" t="str">
        <f t="shared" si="26"/>
        <v>('28Nov240101','040000180802','0',(select max(to_number(i.premium_rcv_detail_code))+1
from ins_premium_det i),'0','0','02', '11000003','00','Request by Mr. Omair Ali 29-Nov-2024');</v>
      </c>
      <c r="H395" s="12" t="str">
        <f t="shared" si="27"/>
        <v>insert into ins_premium_det (premium_rcv_code,assorted_code, rec_amount,premium_rcv_detail_code,remaining_amt, payrec, mode_code,coinsurance_code,class_cd,it_remarks) values('28Nov240101','040000180802','0',(select max(to_number(i.premium_rcv_detail_code))+1
from ins_premium_det i),'0','0','02', '11000003','00','Request by Mr. Omair Ali 29-Nov-2024');</v>
      </c>
    </row>
    <row r="396" spans="1:8" ht="105" x14ac:dyDescent="0.25">
      <c r="A396" t="s">
        <v>396</v>
      </c>
      <c r="B396" s="8" t="str">
        <f>VLOOKUP(A396,assortedcode!B:C,2,0)</f>
        <v>040000140997</v>
      </c>
      <c r="C396" s="1">
        <v>0</v>
      </c>
      <c r="D396" s="9">
        <f t="shared" si="25"/>
        <v>0</v>
      </c>
      <c r="E396" s="7" t="s">
        <v>8345</v>
      </c>
      <c r="F396" s="10" t="str">
        <f t="shared" si="24"/>
        <v>insert into ins_premium_det (premium_rcv_code,assorted_code, rec_amount,premium_rcv_detail_code,remaining_amt, payrec, mode_code,coinsurance_code,class_cd,it_remarks) values</v>
      </c>
      <c r="G396" s="11" t="str">
        <f t="shared" si="26"/>
        <v>('28Nov240101','040000140997','0',(select max(to_number(i.premium_rcv_detail_code))+1
from ins_premium_det i),'0','0','02', '11000003','00','Request by Mr. Omair Ali 29-Nov-2024');</v>
      </c>
      <c r="H396" s="12" t="str">
        <f t="shared" si="27"/>
        <v>insert into ins_premium_det (premium_rcv_code,assorted_code, rec_amount,premium_rcv_detail_code,remaining_amt, payrec, mode_code,coinsurance_code,class_cd,it_remarks) values('28Nov240101','040000140997','0',(select max(to_number(i.premium_rcv_detail_code))+1
from ins_premium_det i),'0','0','02', '11000003','00','Request by Mr. Omair Ali 29-Nov-2024');</v>
      </c>
    </row>
    <row r="397" spans="1:8" ht="105" x14ac:dyDescent="0.25">
      <c r="A397" t="s">
        <v>397</v>
      </c>
      <c r="B397" s="8" t="str">
        <f>VLOOKUP(A397,assortedcode!B:C,2,0)</f>
        <v>040000180804</v>
      </c>
      <c r="C397" s="1">
        <v>0</v>
      </c>
      <c r="D397" s="9">
        <f t="shared" si="25"/>
        <v>0</v>
      </c>
      <c r="E397" s="7" t="s">
        <v>8345</v>
      </c>
      <c r="F397" s="10" t="str">
        <f t="shared" si="24"/>
        <v>insert into ins_premium_det (premium_rcv_code,assorted_code, rec_amount,premium_rcv_detail_code,remaining_amt, payrec, mode_code,coinsurance_code,class_cd,it_remarks) values</v>
      </c>
      <c r="G397" s="11" t="str">
        <f t="shared" si="26"/>
        <v>('28Nov240101','040000180804','0',(select max(to_number(i.premium_rcv_detail_code))+1
from ins_premium_det i),'0','0','02', '11000003','00','Request by Mr. Omair Ali 29-Nov-2024');</v>
      </c>
      <c r="H397" s="12" t="str">
        <f t="shared" si="27"/>
        <v>insert into ins_premium_det (premium_rcv_code,assorted_code, rec_amount,premium_rcv_detail_code,remaining_amt, payrec, mode_code,coinsurance_code,class_cd,it_remarks) values('28Nov240101','040000180804','0',(select max(to_number(i.premium_rcv_detail_code))+1
from ins_premium_det i),'0','0','02', '11000003','00','Request by Mr. Omair Ali 29-Nov-2024');</v>
      </c>
    </row>
    <row r="398" spans="1:8" ht="105" x14ac:dyDescent="0.25">
      <c r="A398" t="s">
        <v>398</v>
      </c>
      <c r="B398" s="8" t="str">
        <f>VLOOKUP(A398,assortedcode!B:C,2,0)</f>
        <v>040000141008</v>
      </c>
      <c r="C398" s="1">
        <v>0</v>
      </c>
      <c r="D398" s="9">
        <f t="shared" si="25"/>
        <v>0</v>
      </c>
      <c r="E398" s="7" t="s">
        <v>8345</v>
      </c>
      <c r="F398" s="10" t="str">
        <f t="shared" si="24"/>
        <v>insert into ins_premium_det (premium_rcv_code,assorted_code, rec_amount,premium_rcv_detail_code,remaining_amt, payrec, mode_code,coinsurance_code,class_cd,it_remarks) values</v>
      </c>
      <c r="G398" s="11" t="str">
        <f t="shared" si="26"/>
        <v>('28Nov240101','040000141008','0',(select max(to_number(i.premium_rcv_detail_code))+1
from ins_premium_det i),'0','0','02', '11000003','00','Request by Mr. Omair Ali 29-Nov-2024');</v>
      </c>
      <c r="H398" s="12" t="str">
        <f t="shared" si="27"/>
        <v>insert into ins_premium_det (premium_rcv_code,assorted_code, rec_amount,premium_rcv_detail_code,remaining_amt, payrec, mode_code,coinsurance_code,class_cd,it_remarks) values('28Nov240101','040000141008','0',(select max(to_number(i.premium_rcv_detail_code))+1
from ins_premium_det i),'0','0','02', '11000003','00','Request by Mr. Omair Ali 29-Nov-2024');</v>
      </c>
    </row>
    <row r="399" spans="1:8" ht="105" x14ac:dyDescent="0.25">
      <c r="A399" t="s">
        <v>399</v>
      </c>
      <c r="B399" s="8" t="str">
        <f>VLOOKUP(A399,assortedcode!B:C,2,0)</f>
        <v>040000180805</v>
      </c>
      <c r="C399" s="1">
        <v>0</v>
      </c>
      <c r="D399" s="9">
        <f t="shared" si="25"/>
        <v>0</v>
      </c>
      <c r="E399" s="7" t="s">
        <v>8345</v>
      </c>
      <c r="F399" s="10" t="str">
        <f t="shared" si="24"/>
        <v>insert into ins_premium_det (premium_rcv_code,assorted_code, rec_amount,premium_rcv_detail_code,remaining_amt, payrec, mode_code,coinsurance_code,class_cd,it_remarks) values</v>
      </c>
      <c r="G399" s="11" t="str">
        <f t="shared" si="26"/>
        <v>('28Nov240101','040000180805','0',(select max(to_number(i.premium_rcv_detail_code))+1
from ins_premium_det i),'0','0','02', '11000003','00','Request by Mr. Omair Ali 29-Nov-2024');</v>
      </c>
      <c r="H399" s="12" t="str">
        <f t="shared" si="27"/>
        <v>insert into ins_premium_det (premium_rcv_code,assorted_code, rec_amount,premium_rcv_detail_code,remaining_amt, payrec, mode_code,coinsurance_code,class_cd,it_remarks) values('28Nov240101','040000180805','0',(select max(to_number(i.premium_rcv_detail_code))+1
from ins_premium_det i),'0','0','02', '11000003','00','Request by Mr. Omair Ali 29-Nov-2024');</v>
      </c>
    </row>
    <row r="400" spans="1:8" ht="105" x14ac:dyDescent="0.25">
      <c r="A400" t="s">
        <v>400</v>
      </c>
      <c r="B400" s="8" t="str">
        <f>VLOOKUP(A400,assortedcode!B:C,2,0)</f>
        <v>040000141013</v>
      </c>
      <c r="C400" s="1">
        <v>0</v>
      </c>
      <c r="D400" s="9">
        <f t="shared" si="25"/>
        <v>0</v>
      </c>
      <c r="E400" s="7" t="s">
        <v>8345</v>
      </c>
      <c r="F400" s="10" t="str">
        <f t="shared" si="24"/>
        <v>insert into ins_premium_det (premium_rcv_code,assorted_code, rec_amount,premium_rcv_detail_code,remaining_amt, payrec, mode_code,coinsurance_code,class_cd,it_remarks) values</v>
      </c>
      <c r="G400" s="11" t="str">
        <f t="shared" si="26"/>
        <v>('28Nov240101','040000141013','0',(select max(to_number(i.premium_rcv_detail_code))+1
from ins_premium_det i),'0','0','02', '11000003','00','Request by Mr. Omair Ali 29-Nov-2024');</v>
      </c>
      <c r="H400" s="12" t="str">
        <f t="shared" si="27"/>
        <v>insert into ins_premium_det (premium_rcv_code,assorted_code, rec_amount,premium_rcv_detail_code,remaining_amt, payrec, mode_code,coinsurance_code,class_cd,it_remarks) values('28Nov240101','040000141013','0',(select max(to_number(i.premium_rcv_detail_code))+1
from ins_premium_det i),'0','0','02', '11000003','00','Request by Mr. Omair Ali 29-Nov-2024');</v>
      </c>
    </row>
    <row r="401" spans="1:8" ht="105" x14ac:dyDescent="0.25">
      <c r="A401" t="s">
        <v>401</v>
      </c>
      <c r="B401" s="8" t="str">
        <f>VLOOKUP(A401,assortedcode!B:C,2,0)</f>
        <v>040000180806</v>
      </c>
      <c r="C401" s="1">
        <v>0</v>
      </c>
      <c r="D401" s="9">
        <f t="shared" si="25"/>
        <v>0</v>
      </c>
      <c r="E401" s="7" t="s">
        <v>8345</v>
      </c>
      <c r="F401" s="10" t="str">
        <f t="shared" si="24"/>
        <v>insert into ins_premium_det (premium_rcv_code,assorted_code, rec_amount,premium_rcv_detail_code,remaining_amt, payrec, mode_code,coinsurance_code,class_cd,it_remarks) values</v>
      </c>
      <c r="G401" s="11" t="str">
        <f t="shared" si="26"/>
        <v>('28Nov240101','040000180806','0',(select max(to_number(i.premium_rcv_detail_code))+1
from ins_premium_det i),'0','0','02', '11000003','00','Request by Mr. Omair Ali 29-Nov-2024');</v>
      </c>
      <c r="H401" s="12" t="str">
        <f t="shared" si="27"/>
        <v>insert into ins_premium_det (premium_rcv_code,assorted_code, rec_amount,premium_rcv_detail_code,remaining_amt, payrec, mode_code,coinsurance_code,class_cd,it_remarks) values('28Nov240101','040000180806','0',(select max(to_number(i.premium_rcv_detail_code))+1
from ins_premium_det i),'0','0','02', '11000003','00','Request by Mr. Omair Ali 29-Nov-2024');</v>
      </c>
    </row>
    <row r="402" spans="1:8" ht="105" x14ac:dyDescent="0.25">
      <c r="A402" t="s">
        <v>402</v>
      </c>
      <c r="B402" s="8" t="str">
        <f>VLOOKUP(A402,assortedcode!B:C,2,0)</f>
        <v>040000141016</v>
      </c>
      <c r="C402" s="1">
        <v>0</v>
      </c>
      <c r="D402" s="9">
        <f t="shared" si="25"/>
        <v>0</v>
      </c>
      <c r="E402" s="7" t="s">
        <v>8345</v>
      </c>
      <c r="F402" s="10" t="str">
        <f t="shared" si="24"/>
        <v>insert into ins_premium_det (premium_rcv_code,assorted_code, rec_amount,premium_rcv_detail_code,remaining_amt, payrec, mode_code,coinsurance_code,class_cd,it_remarks) values</v>
      </c>
      <c r="G402" s="11" t="str">
        <f t="shared" si="26"/>
        <v>('28Nov240101','040000141016','0',(select max(to_number(i.premium_rcv_detail_code))+1
from ins_premium_det i),'0','0','02', '11000003','00','Request by Mr. Omair Ali 29-Nov-2024');</v>
      </c>
      <c r="H402" s="12" t="str">
        <f t="shared" si="27"/>
        <v>insert into ins_premium_det (premium_rcv_code,assorted_code, rec_amount,premium_rcv_detail_code,remaining_amt, payrec, mode_code,coinsurance_code,class_cd,it_remarks) values('28Nov240101','040000141016','0',(select max(to_number(i.premium_rcv_detail_code))+1
from ins_premium_det i),'0','0','02', '11000003','00','Request by Mr. Omair Ali 29-Nov-2024');</v>
      </c>
    </row>
    <row r="403" spans="1:8" ht="105" x14ac:dyDescent="0.25">
      <c r="A403" t="s">
        <v>403</v>
      </c>
      <c r="B403" s="8" t="str">
        <f>VLOOKUP(A403,assortedcode!B:C,2,0)</f>
        <v>040000180807</v>
      </c>
      <c r="C403" s="1">
        <v>0</v>
      </c>
      <c r="D403" s="9">
        <f t="shared" si="25"/>
        <v>0</v>
      </c>
      <c r="E403" s="7" t="s">
        <v>8345</v>
      </c>
      <c r="F403" s="10" t="str">
        <f t="shared" si="24"/>
        <v>insert into ins_premium_det (premium_rcv_code,assorted_code, rec_amount,premium_rcv_detail_code,remaining_amt, payrec, mode_code,coinsurance_code,class_cd,it_remarks) values</v>
      </c>
      <c r="G403" s="11" t="str">
        <f t="shared" si="26"/>
        <v>('28Nov240101','040000180807','0',(select max(to_number(i.premium_rcv_detail_code))+1
from ins_premium_det i),'0','0','02', '11000003','00','Request by Mr. Omair Ali 29-Nov-2024');</v>
      </c>
      <c r="H403" s="12" t="str">
        <f t="shared" si="27"/>
        <v>insert into ins_premium_det (premium_rcv_code,assorted_code, rec_amount,premium_rcv_detail_code,remaining_amt, payrec, mode_code,coinsurance_code,class_cd,it_remarks) values('28Nov240101','040000180807','0',(select max(to_number(i.premium_rcv_detail_code))+1
from ins_premium_det i),'0','0','02', '11000003','00','Request by Mr. Omair Ali 29-Nov-2024');</v>
      </c>
    </row>
    <row r="404" spans="1:8" ht="105" x14ac:dyDescent="0.25">
      <c r="A404" t="s">
        <v>404</v>
      </c>
      <c r="B404" s="8" t="str">
        <f>VLOOKUP(A404,assortedcode!B:C,2,0)</f>
        <v>040000141018</v>
      </c>
      <c r="C404" s="1">
        <v>0</v>
      </c>
      <c r="D404" s="9">
        <f t="shared" si="25"/>
        <v>0</v>
      </c>
      <c r="E404" s="7" t="s">
        <v>8345</v>
      </c>
      <c r="F404" s="10" t="str">
        <f t="shared" si="24"/>
        <v>insert into ins_premium_det (premium_rcv_code,assorted_code, rec_amount,premium_rcv_detail_code,remaining_amt, payrec, mode_code,coinsurance_code,class_cd,it_remarks) values</v>
      </c>
      <c r="G404" s="11" t="str">
        <f t="shared" si="26"/>
        <v>('28Nov240101','040000141018','0',(select max(to_number(i.premium_rcv_detail_code))+1
from ins_premium_det i),'0','0','02', '11000003','00','Request by Mr. Omair Ali 29-Nov-2024');</v>
      </c>
      <c r="H404" s="12" t="str">
        <f t="shared" si="27"/>
        <v>insert into ins_premium_det (premium_rcv_code,assorted_code, rec_amount,premium_rcv_detail_code,remaining_amt, payrec, mode_code,coinsurance_code,class_cd,it_remarks) values('28Nov240101','040000141018','0',(select max(to_number(i.premium_rcv_detail_code))+1
from ins_premium_det i),'0','0','02', '11000003','00','Request by Mr. Omair Ali 29-Nov-2024');</v>
      </c>
    </row>
    <row r="405" spans="1:8" ht="105" x14ac:dyDescent="0.25">
      <c r="A405" t="s">
        <v>405</v>
      </c>
      <c r="B405" s="8" t="str">
        <f>VLOOKUP(A405,assortedcode!B:C,2,0)</f>
        <v>040000180808</v>
      </c>
      <c r="C405" s="1">
        <v>0</v>
      </c>
      <c r="D405" s="9">
        <f t="shared" si="25"/>
        <v>0</v>
      </c>
      <c r="E405" s="7" t="s">
        <v>8345</v>
      </c>
      <c r="F405" s="10" t="str">
        <f t="shared" si="24"/>
        <v>insert into ins_premium_det (premium_rcv_code,assorted_code, rec_amount,premium_rcv_detail_code,remaining_amt, payrec, mode_code,coinsurance_code,class_cd,it_remarks) values</v>
      </c>
      <c r="G405" s="11" t="str">
        <f t="shared" si="26"/>
        <v>('28Nov240101','040000180808','0',(select max(to_number(i.premium_rcv_detail_code))+1
from ins_premium_det i),'0','0','02', '11000003','00','Request by Mr. Omair Ali 29-Nov-2024');</v>
      </c>
      <c r="H405" s="12" t="str">
        <f t="shared" si="27"/>
        <v>insert into ins_premium_det (premium_rcv_code,assorted_code, rec_amount,premium_rcv_detail_code,remaining_amt, payrec, mode_code,coinsurance_code,class_cd,it_remarks) values('28Nov240101','040000180808','0',(select max(to_number(i.premium_rcv_detail_code))+1
from ins_premium_det i),'0','0','02', '11000003','00','Request by Mr. Omair Ali 29-Nov-2024');</v>
      </c>
    </row>
    <row r="406" spans="1:8" ht="105" x14ac:dyDescent="0.25">
      <c r="A406" t="s">
        <v>406</v>
      </c>
      <c r="B406" s="8" t="str">
        <f>VLOOKUP(A406,assortedcode!B:C,2,0)</f>
        <v>040000141020</v>
      </c>
      <c r="C406" s="1">
        <v>0</v>
      </c>
      <c r="D406" s="9">
        <f t="shared" si="25"/>
        <v>0</v>
      </c>
      <c r="E406" s="7" t="s">
        <v>8345</v>
      </c>
      <c r="F406" s="10" t="str">
        <f t="shared" si="24"/>
        <v>insert into ins_premium_det (premium_rcv_code,assorted_code, rec_amount,premium_rcv_detail_code,remaining_amt, payrec, mode_code,coinsurance_code,class_cd,it_remarks) values</v>
      </c>
      <c r="G406" s="11" t="str">
        <f t="shared" si="26"/>
        <v>('28Nov240101','040000141020','0',(select max(to_number(i.premium_rcv_detail_code))+1
from ins_premium_det i),'0','0','02', '11000003','00','Request by Mr. Omair Ali 29-Nov-2024');</v>
      </c>
      <c r="H406" s="12" t="str">
        <f t="shared" si="27"/>
        <v>insert into ins_premium_det (premium_rcv_code,assorted_code, rec_amount,premium_rcv_detail_code,remaining_amt, payrec, mode_code,coinsurance_code,class_cd,it_remarks) values('28Nov240101','040000141020','0',(select max(to_number(i.premium_rcv_detail_code))+1
from ins_premium_det i),'0','0','02', '11000003','00','Request by Mr. Omair Ali 29-Nov-2024');</v>
      </c>
    </row>
    <row r="407" spans="1:8" ht="105" x14ac:dyDescent="0.25">
      <c r="A407" t="s">
        <v>407</v>
      </c>
      <c r="B407" s="8" t="str">
        <f>VLOOKUP(A407,assortedcode!B:C,2,0)</f>
        <v>040000180809</v>
      </c>
      <c r="C407" s="1">
        <v>0</v>
      </c>
      <c r="D407" s="9">
        <f t="shared" si="25"/>
        <v>0</v>
      </c>
      <c r="E407" s="7" t="s">
        <v>8345</v>
      </c>
      <c r="F407" s="10" t="str">
        <f t="shared" si="24"/>
        <v>insert into ins_premium_det (premium_rcv_code,assorted_code, rec_amount,premium_rcv_detail_code,remaining_amt, payrec, mode_code,coinsurance_code,class_cd,it_remarks) values</v>
      </c>
      <c r="G407" s="11" t="str">
        <f t="shared" si="26"/>
        <v>('28Nov240101','040000180809','0',(select max(to_number(i.premium_rcv_detail_code))+1
from ins_premium_det i),'0','0','02', '11000003','00','Request by Mr. Omair Ali 29-Nov-2024');</v>
      </c>
      <c r="H407" s="12" t="str">
        <f t="shared" si="27"/>
        <v>insert into ins_premium_det (premium_rcv_code,assorted_code, rec_amount,premium_rcv_detail_code,remaining_amt, payrec, mode_code,coinsurance_code,class_cd,it_remarks) values('28Nov240101','040000180809','0',(select max(to_number(i.premium_rcv_detail_code))+1
from ins_premium_det i),'0','0','02', '11000003','00','Request by Mr. Omair Ali 29-Nov-2024');</v>
      </c>
    </row>
    <row r="408" spans="1:8" ht="105" x14ac:dyDescent="0.25">
      <c r="A408" t="s">
        <v>408</v>
      </c>
      <c r="B408" s="8" t="str">
        <f>VLOOKUP(A408,assortedcode!B:C,2,0)</f>
        <v>040000141336</v>
      </c>
      <c r="C408" s="1">
        <v>0</v>
      </c>
      <c r="D408" s="9">
        <f t="shared" si="25"/>
        <v>0</v>
      </c>
      <c r="E408" s="7" t="s">
        <v>8345</v>
      </c>
      <c r="F408" s="10" t="str">
        <f t="shared" si="24"/>
        <v>insert into ins_premium_det (premium_rcv_code,assorted_code, rec_amount,premium_rcv_detail_code,remaining_amt, payrec, mode_code,coinsurance_code,class_cd,it_remarks) values</v>
      </c>
      <c r="G408" s="11" t="str">
        <f t="shared" si="26"/>
        <v>('28Nov240101','040000141336','0',(select max(to_number(i.premium_rcv_detail_code))+1
from ins_premium_det i),'0','0','02', '11000003','00','Request by Mr. Omair Ali 29-Nov-2024');</v>
      </c>
      <c r="H408" s="12" t="str">
        <f t="shared" si="27"/>
        <v>insert into ins_premium_det (premium_rcv_code,assorted_code, rec_amount,premium_rcv_detail_code,remaining_amt, payrec, mode_code,coinsurance_code,class_cd,it_remarks) values('28Nov240101','040000141336','0',(select max(to_number(i.premium_rcv_detail_code))+1
from ins_premium_det i),'0','0','02', '11000003','00','Request by Mr. Omair Ali 29-Nov-2024');</v>
      </c>
    </row>
    <row r="409" spans="1:8" ht="105" x14ac:dyDescent="0.25">
      <c r="A409" t="s">
        <v>409</v>
      </c>
      <c r="B409" s="8" t="str">
        <f>VLOOKUP(A409,assortedcode!B:C,2,0)</f>
        <v>040000180810</v>
      </c>
      <c r="C409" s="1">
        <v>0</v>
      </c>
      <c r="D409" s="9">
        <f t="shared" si="25"/>
        <v>0</v>
      </c>
      <c r="E409" s="7" t="s">
        <v>8345</v>
      </c>
      <c r="F409" s="10" t="str">
        <f t="shared" si="24"/>
        <v>insert into ins_premium_det (premium_rcv_code,assorted_code, rec_amount,premium_rcv_detail_code,remaining_amt, payrec, mode_code,coinsurance_code,class_cd,it_remarks) values</v>
      </c>
      <c r="G409" s="11" t="str">
        <f t="shared" si="26"/>
        <v>('28Nov240101','040000180810','0',(select max(to_number(i.premium_rcv_detail_code))+1
from ins_premium_det i),'0','0','02', '11000003','00','Request by Mr. Omair Ali 29-Nov-2024');</v>
      </c>
      <c r="H409" s="12" t="str">
        <f t="shared" si="27"/>
        <v>insert into ins_premium_det (premium_rcv_code,assorted_code, rec_amount,premium_rcv_detail_code,remaining_amt, payrec, mode_code,coinsurance_code,class_cd,it_remarks) values('28Nov240101','040000180810','0',(select max(to_number(i.premium_rcv_detail_code))+1
from ins_premium_det i),'0','0','02', '11000003','00','Request by Mr. Omair Ali 29-Nov-2024');</v>
      </c>
    </row>
    <row r="410" spans="1:8" ht="105" x14ac:dyDescent="0.25">
      <c r="A410" t="s">
        <v>410</v>
      </c>
      <c r="B410" s="8" t="str">
        <f>VLOOKUP(A410,assortedcode!B:C,2,0)</f>
        <v>070000169291</v>
      </c>
      <c r="C410" s="1">
        <v>0</v>
      </c>
      <c r="D410" s="9">
        <f t="shared" si="25"/>
        <v>0</v>
      </c>
      <c r="E410" s="7" t="s">
        <v>8345</v>
      </c>
      <c r="F410" s="10" t="str">
        <f t="shared" si="24"/>
        <v>insert into ins_premium_det (premium_rcv_code,assorted_code, rec_amount,premium_rcv_detail_code,remaining_amt, payrec, mode_code,coinsurance_code,class_cd,it_remarks) values</v>
      </c>
      <c r="G410" s="11" t="str">
        <f t="shared" si="26"/>
        <v>('28Nov240101','070000169291','0',(select max(to_number(i.premium_rcv_detail_code))+1
from ins_premium_det i),'0','0','02', '11000003','00','Request by Mr. Omair Ali 29-Nov-2024');</v>
      </c>
      <c r="H410" s="12" t="str">
        <f t="shared" si="27"/>
        <v>insert into ins_premium_det (premium_rcv_code,assorted_code, rec_amount,premium_rcv_detail_code,remaining_amt, payrec, mode_code,coinsurance_code,class_cd,it_remarks) values('28Nov240101','070000169291','0',(select max(to_number(i.premium_rcv_detail_code))+1
from ins_premium_det i),'0','0','02', '11000003','00','Request by Mr. Omair Ali 29-Nov-2024');</v>
      </c>
    </row>
    <row r="411" spans="1:8" ht="105" x14ac:dyDescent="0.25">
      <c r="A411" t="s">
        <v>411</v>
      </c>
      <c r="B411" s="8" t="str">
        <f>VLOOKUP(A411,assortedcode!B:C,2,0)</f>
        <v>040000180811</v>
      </c>
      <c r="C411" s="1">
        <v>0</v>
      </c>
      <c r="D411" s="9">
        <f t="shared" si="25"/>
        <v>0</v>
      </c>
      <c r="E411" s="7" t="s">
        <v>8345</v>
      </c>
      <c r="F411" s="10" t="str">
        <f t="shared" si="24"/>
        <v>insert into ins_premium_det (premium_rcv_code,assorted_code, rec_amount,premium_rcv_detail_code,remaining_amt, payrec, mode_code,coinsurance_code,class_cd,it_remarks) values</v>
      </c>
      <c r="G411" s="11" t="str">
        <f t="shared" si="26"/>
        <v>('28Nov240101','040000180811','0',(select max(to_number(i.premium_rcv_detail_code))+1
from ins_premium_det i),'0','0','02', '11000003','00','Request by Mr. Omair Ali 29-Nov-2024');</v>
      </c>
      <c r="H411" s="12" t="str">
        <f t="shared" si="27"/>
        <v>insert into ins_premium_det (premium_rcv_code,assorted_code, rec_amount,premium_rcv_detail_code,remaining_amt, payrec, mode_code,coinsurance_code,class_cd,it_remarks) values('28Nov240101','040000180811','0',(select max(to_number(i.premium_rcv_detail_code))+1
from ins_premium_det i),'0','0','02', '11000003','00','Request by Mr. Omair Ali 29-Nov-2024');</v>
      </c>
    </row>
    <row r="412" spans="1:8" ht="105" x14ac:dyDescent="0.25">
      <c r="A412" t="s">
        <v>412</v>
      </c>
      <c r="B412" s="8" t="str">
        <f>VLOOKUP(A412,assortedcode!B:C,2,0)</f>
        <v>040000147802</v>
      </c>
      <c r="C412" s="1">
        <v>0</v>
      </c>
      <c r="D412" s="9">
        <f t="shared" si="25"/>
        <v>0</v>
      </c>
      <c r="E412" s="7" t="s">
        <v>8345</v>
      </c>
      <c r="F412" s="10" t="str">
        <f t="shared" si="24"/>
        <v>insert into ins_premium_det (premium_rcv_code,assorted_code, rec_amount,premium_rcv_detail_code,remaining_amt, payrec, mode_code,coinsurance_code,class_cd,it_remarks) values</v>
      </c>
      <c r="G412" s="11" t="str">
        <f t="shared" si="26"/>
        <v>('28Nov240101','040000147802','0',(select max(to_number(i.premium_rcv_detail_code))+1
from ins_premium_det i),'0','0','02', '11000003','00','Request by Mr. Omair Ali 29-Nov-2024');</v>
      </c>
      <c r="H412" s="12" t="str">
        <f t="shared" si="27"/>
        <v>insert into ins_premium_det (premium_rcv_code,assorted_code, rec_amount,premium_rcv_detail_code,remaining_amt, payrec, mode_code,coinsurance_code,class_cd,it_remarks) values('28Nov240101','040000147802','0',(select max(to_number(i.premium_rcv_detail_code))+1
from ins_premium_det i),'0','0','02', '11000003','00','Request by Mr. Omair Ali 29-Nov-2024');</v>
      </c>
    </row>
    <row r="413" spans="1:8" ht="105" x14ac:dyDescent="0.25">
      <c r="A413" t="s">
        <v>413</v>
      </c>
      <c r="B413" s="8" t="str">
        <f>VLOOKUP(A413,assortedcode!B:C,2,0)</f>
        <v>040000180812</v>
      </c>
      <c r="C413" s="1">
        <v>0</v>
      </c>
      <c r="D413" s="9">
        <f t="shared" si="25"/>
        <v>0</v>
      </c>
      <c r="E413" s="7" t="s">
        <v>8345</v>
      </c>
      <c r="F413" s="10" t="str">
        <f t="shared" si="24"/>
        <v>insert into ins_premium_det (premium_rcv_code,assorted_code, rec_amount,premium_rcv_detail_code,remaining_amt, payrec, mode_code,coinsurance_code,class_cd,it_remarks) values</v>
      </c>
      <c r="G413" s="11" t="str">
        <f t="shared" si="26"/>
        <v>('28Nov240101','040000180812','0',(select max(to_number(i.premium_rcv_detail_code))+1
from ins_premium_det i),'0','0','02', '11000003','00','Request by Mr. Omair Ali 29-Nov-2024');</v>
      </c>
      <c r="H413" s="12" t="str">
        <f t="shared" si="27"/>
        <v>insert into ins_premium_det (premium_rcv_code,assorted_code, rec_amount,premium_rcv_detail_code,remaining_amt, payrec, mode_code,coinsurance_code,class_cd,it_remarks) values('28Nov240101','040000180812','0',(select max(to_number(i.premium_rcv_detail_code))+1
from ins_premium_det i),'0','0','02', '11000003','00','Request by Mr. Omair Ali 29-Nov-2024');</v>
      </c>
    </row>
    <row r="414" spans="1:8" ht="105" x14ac:dyDescent="0.25">
      <c r="A414" t="s">
        <v>414</v>
      </c>
      <c r="B414" s="8" t="str">
        <f>VLOOKUP(A414,assortedcode!B:C,2,0)</f>
        <v>040000163752</v>
      </c>
      <c r="C414" s="1">
        <v>0</v>
      </c>
      <c r="D414" s="9">
        <f t="shared" si="25"/>
        <v>0</v>
      </c>
      <c r="E414" s="7" t="s">
        <v>8345</v>
      </c>
      <c r="F414" s="10" t="str">
        <f t="shared" si="24"/>
        <v>insert into ins_premium_det (premium_rcv_code,assorted_code, rec_amount,premium_rcv_detail_code,remaining_amt, payrec, mode_code,coinsurance_code,class_cd,it_remarks) values</v>
      </c>
      <c r="G414" s="11" t="str">
        <f t="shared" si="26"/>
        <v>('28Nov240101','040000163752','0',(select max(to_number(i.premium_rcv_detail_code))+1
from ins_premium_det i),'0','0','02', '11000003','00','Request by Mr. Omair Ali 29-Nov-2024');</v>
      </c>
      <c r="H414" s="12" t="str">
        <f t="shared" si="27"/>
        <v>insert into ins_premium_det (premium_rcv_code,assorted_code, rec_amount,premium_rcv_detail_code,remaining_amt, payrec, mode_code,coinsurance_code,class_cd,it_remarks) values('28Nov240101','040000163752','0',(select max(to_number(i.premium_rcv_detail_code))+1
from ins_premium_det i),'0','0','02', '11000003','00','Request by Mr. Omair Ali 29-Nov-2024');</v>
      </c>
    </row>
    <row r="415" spans="1:8" ht="105" x14ac:dyDescent="0.25">
      <c r="A415" t="s">
        <v>415</v>
      </c>
      <c r="B415" s="8" t="str">
        <f>VLOOKUP(A415,assortedcode!B:C,2,0)</f>
        <v>040000180813</v>
      </c>
      <c r="C415" s="1">
        <v>0</v>
      </c>
      <c r="D415" s="9">
        <f t="shared" si="25"/>
        <v>0</v>
      </c>
      <c r="E415" s="7" t="s">
        <v>8345</v>
      </c>
      <c r="F415" s="10" t="str">
        <f t="shared" si="24"/>
        <v>insert into ins_premium_det (premium_rcv_code,assorted_code, rec_amount,premium_rcv_detail_code,remaining_amt, payrec, mode_code,coinsurance_code,class_cd,it_remarks) values</v>
      </c>
      <c r="G415" s="11" t="str">
        <f t="shared" si="26"/>
        <v>('28Nov240101','040000180813','0',(select max(to_number(i.premium_rcv_detail_code))+1
from ins_premium_det i),'0','0','02', '11000003','00','Request by Mr. Omair Ali 29-Nov-2024');</v>
      </c>
      <c r="H415" s="12" t="str">
        <f t="shared" si="27"/>
        <v>insert into ins_premium_det (premium_rcv_code,assorted_code, rec_amount,premium_rcv_detail_code,remaining_amt, payrec, mode_code,coinsurance_code,class_cd,it_remarks) values('28Nov240101','040000180813','0',(select max(to_number(i.premium_rcv_detail_code))+1
from ins_premium_det i),'0','0','02', '11000003','00','Request by Mr. Omair Ali 29-Nov-2024');</v>
      </c>
    </row>
    <row r="416" spans="1:8" ht="105" x14ac:dyDescent="0.25">
      <c r="A416" t="s">
        <v>416</v>
      </c>
      <c r="B416" s="8" t="str">
        <f>VLOOKUP(A416,assortedcode!B:C,2,0)</f>
        <v>040000148833</v>
      </c>
      <c r="C416" s="1">
        <v>0</v>
      </c>
      <c r="D416" s="9">
        <f t="shared" si="25"/>
        <v>0</v>
      </c>
      <c r="E416" s="7" t="s">
        <v>8345</v>
      </c>
      <c r="F416" s="10" t="str">
        <f t="shared" si="24"/>
        <v>insert into ins_premium_det (premium_rcv_code,assorted_code, rec_amount,premium_rcv_detail_code,remaining_amt, payrec, mode_code,coinsurance_code,class_cd,it_remarks) values</v>
      </c>
      <c r="G416" s="11" t="str">
        <f t="shared" si="26"/>
        <v>('28Nov240101','040000148833','0',(select max(to_number(i.premium_rcv_detail_code))+1
from ins_premium_det i),'0','0','02', '11000003','00','Request by Mr. Omair Ali 29-Nov-2024');</v>
      </c>
      <c r="H416" s="12" t="str">
        <f t="shared" si="27"/>
        <v>insert into ins_premium_det (premium_rcv_code,assorted_code, rec_amount,premium_rcv_detail_code,remaining_amt, payrec, mode_code,coinsurance_code,class_cd,it_remarks) values('28Nov240101','040000148833','0',(select max(to_number(i.premium_rcv_detail_code))+1
from ins_premium_det i),'0','0','02', '11000003','00','Request by Mr. Omair Ali 29-Nov-2024');</v>
      </c>
    </row>
    <row r="417" spans="1:8" ht="105" x14ac:dyDescent="0.25">
      <c r="A417" t="s">
        <v>417</v>
      </c>
      <c r="B417" s="8" t="str">
        <f>VLOOKUP(A417,assortedcode!B:C,2,0)</f>
        <v>040000180814</v>
      </c>
      <c r="C417" s="1">
        <v>0</v>
      </c>
      <c r="D417" s="9">
        <f t="shared" si="25"/>
        <v>0</v>
      </c>
      <c r="E417" s="7" t="s">
        <v>8345</v>
      </c>
      <c r="F417" s="10" t="str">
        <f t="shared" si="24"/>
        <v>insert into ins_premium_det (premium_rcv_code,assorted_code, rec_amount,premium_rcv_detail_code,remaining_amt, payrec, mode_code,coinsurance_code,class_cd,it_remarks) values</v>
      </c>
      <c r="G417" s="11" t="str">
        <f t="shared" si="26"/>
        <v>('28Nov240101','040000180814','0',(select max(to_number(i.premium_rcv_detail_code))+1
from ins_premium_det i),'0','0','02', '11000003','00','Request by Mr. Omair Ali 29-Nov-2024');</v>
      </c>
      <c r="H417" s="12" t="str">
        <f t="shared" si="27"/>
        <v>insert into ins_premium_det (premium_rcv_code,assorted_code, rec_amount,premium_rcv_detail_code,remaining_amt, payrec, mode_code,coinsurance_code,class_cd,it_remarks) values('28Nov240101','040000180814','0',(select max(to_number(i.premium_rcv_detail_code))+1
from ins_premium_det i),'0','0','02', '11000003','00','Request by Mr. Omair Ali 29-Nov-2024');</v>
      </c>
    </row>
    <row r="418" spans="1:8" ht="105" x14ac:dyDescent="0.25">
      <c r="A418" t="s">
        <v>418</v>
      </c>
      <c r="B418" s="8" t="str">
        <f>VLOOKUP(A418,assortedcode!B:C,2,0)</f>
        <v>040000148355</v>
      </c>
      <c r="C418" s="1">
        <v>0</v>
      </c>
      <c r="D418" s="9">
        <f t="shared" si="25"/>
        <v>0</v>
      </c>
      <c r="E418" s="7" t="s">
        <v>8345</v>
      </c>
      <c r="F418" s="10" t="str">
        <f t="shared" si="24"/>
        <v>insert into ins_premium_det (premium_rcv_code,assorted_code, rec_amount,premium_rcv_detail_code,remaining_amt, payrec, mode_code,coinsurance_code,class_cd,it_remarks) values</v>
      </c>
      <c r="G418" s="11" t="str">
        <f t="shared" si="26"/>
        <v>('28Nov240101','040000148355','0',(select max(to_number(i.premium_rcv_detail_code))+1
from ins_premium_det i),'0','0','02', '11000003','00','Request by Mr. Omair Ali 29-Nov-2024');</v>
      </c>
      <c r="H418" s="12" t="str">
        <f t="shared" si="27"/>
        <v>insert into ins_premium_det (premium_rcv_code,assorted_code, rec_amount,premium_rcv_detail_code,remaining_amt, payrec, mode_code,coinsurance_code,class_cd,it_remarks) values('28Nov240101','040000148355','0',(select max(to_number(i.premium_rcv_detail_code))+1
from ins_premium_det i),'0','0','02', '11000003','00','Request by Mr. Omair Ali 29-Nov-2024');</v>
      </c>
    </row>
    <row r="419" spans="1:8" ht="105" x14ac:dyDescent="0.25">
      <c r="A419" t="s">
        <v>419</v>
      </c>
      <c r="B419" s="8" t="str">
        <f>VLOOKUP(A419,assortedcode!B:C,2,0)</f>
        <v>040000180815</v>
      </c>
      <c r="C419" s="1">
        <v>0</v>
      </c>
      <c r="D419" s="9">
        <f t="shared" si="25"/>
        <v>0</v>
      </c>
      <c r="E419" s="7" t="s">
        <v>8345</v>
      </c>
      <c r="F419" s="10" t="str">
        <f t="shared" si="24"/>
        <v>insert into ins_premium_det (premium_rcv_code,assorted_code, rec_amount,premium_rcv_detail_code,remaining_amt, payrec, mode_code,coinsurance_code,class_cd,it_remarks) values</v>
      </c>
      <c r="G419" s="11" t="str">
        <f t="shared" si="26"/>
        <v>('28Nov240101','040000180815','0',(select max(to_number(i.premium_rcv_detail_code))+1
from ins_premium_det i),'0','0','02', '11000003','00','Request by Mr. Omair Ali 29-Nov-2024');</v>
      </c>
      <c r="H419" s="12" t="str">
        <f t="shared" si="27"/>
        <v>insert into ins_premium_det (premium_rcv_code,assorted_code, rec_amount,premium_rcv_detail_code,remaining_amt, payrec, mode_code,coinsurance_code,class_cd,it_remarks) values('28Nov240101','040000180815','0',(select max(to_number(i.premium_rcv_detail_code))+1
from ins_premium_det i),'0','0','02', '11000003','00','Request by Mr. Omair Ali 29-Nov-2024');</v>
      </c>
    </row>
    <row r="420" spans="1:8" ht="105" x14ac:dyDescent="0.25">
      <c r="A420" t="s">
        <v>420</v>
      </c>
      <c r="B420" s="8" t="str">
        <f>VLOOKUP(A420,assortedcode!B:C,2,0)</f>
        <v>040000161600</v>
      </c>
      <c r="C420" s="1">
        <v>0</v>
      </c>
      <c r="D420" s="9">
        <f t="shared" si="25"/>
        <v>0</v>
      </c>
      <c r="E420" s="7" t="s">
        <v>8345</v>
      </c>
      <c r="F420" s="10" t="str">
        <f t="shared" si="24"/>
        <v>insert into ins_premium_det (premium_rcv_code,assorted_code, rec_amount,premium_rcv_detail_code,remaining_amt, payrec, mode_code,coinsurance_code,class_cd,it_remarks) values</v>
      </c>
      <c r="G420" s="11" t="str">
        <f t="shared" si="26"/>
        <v>('28Nov240101','040000161600','0',(select max(to_number(i.premium_rcv_detail_code))+1
from ins_premium_det i),'0','0','02', '11000003','00','Request by Mr. Omair Ali 29-Nov-2024');</v>
      </c>
      <c r="H420" s="12" t="str">
        <f t="shared" si="27"/>
        <v>insert into ins_premium_det (premium_rcv_code,assorted_code, rec_amount,premium_rcv_detail_code,remaining_amt, payrec, mode_code,coinsurance_code,class_cd,it_remarks) values('28Nov240101','040000161600','0',(select max(to_number(i.premium_rcv_detail_code))+1
from ins_premium_det i),'0','0','02', '11000003','00','Request by Mr. Omair Ali 29-Nov-2024');</v>
      </c>
    </row>
    <row r="421" spans="1:8" ht="105" x14ac:dyDescent="0.25">
      <c r="A421" t="s">
        <v>421</v>
      </c>
      <c r="B421" s="8" t="str">
        <f>VLOOKUP(A421,assortedcode!B:C,2,0)</f>
        <v>040000180816</v>
      </c>
      <c r="C421" s="1">
        <v>0</v>
      </c>
      <c r="D421" s="9">
        <f t="shared" si="25"/>
        <v>0</v>
      </c>
      <c r="E421" s="7" t="s">
        <v>8345</v>
      </c>
      <c r="F421" s="10" t="str">
        <f t="shared" si="24"/>
        <v>insert into ins_premium_det (premium_rcv_code,assorted_code, rec_amount,premium_rcv_detail_code,remaining_amt, payrec, mode_code,coinsurance_code,class_cd,it_remarks) values</v>
      </c>
      <c r="G421" s="11" t="str">
        <f t="shared" si="26"/>
        <v>('28Nov240101','040000180816','0',(select max(to_number(i.premium_rcv_detail_code))+1
from ins_premium_det i),'0','0','02', '11000003','00','Request by Mr. Omair Ali 29-Nov-2024');</v>
      </c>
      <c r="H421" s="12" t="str">
        <f t="shared" si="27"/>
        <v>insert into ins_premium_det (premium_rcv_code,assorted_code, rec_amount,premium_rcv_detail_code,remaining_amt, payrec, mode_code,coinsurance_code,class_cd,it_remarks) values('28Nov240101','040000180816','0',(select max(to_number(i.premium_rcv_detail_code))+1
from ins_premium_det i),'0','0','02', '11000003','00','Request by Mr. Omair Ali 29-Nov-2024');</v>
      </c>
    </row>
    <row r="422" spans="1:8" ht="105" x14ac:dyDescent="0.25">
      <c r="A422" t="s">
        <v>422</v>
      </c>
      <c r="B422" s="8" t="str">
        <f>VLOOKUP(A422,assortedcode!B:C,2,0)</f>
        <v>040000140092</v>
      </c>
      <c r="C422" s="1">
        <v>0</v>
      </c>
      <c r="D422" s="9">
        <f t="shared" si="25"/>
        <v>0</v>
      </c>
      <c r="E422" s="7" t="s">
        <v>8345</v>
      </c>
      <c r="F422" s="10" t="str">
        <f t="shared" si="24"/>
        <v>insert into ins_premium_det (premium_rcv_code,assorted_code, rec_amount,premium_rcv_detail_code,remaining_amt, payrec, mode_code,coinsurance_code,class_cd,it_remarks) values</v>
      </c>
      <c r="G422" s="11" t="str">
        <f t="shared" si="26"/>
        <v>('28Nov240101','040000140092','0',(select max(to_number(i.premium_rcv_detail_code))+1
from ins_premium_det i),'0','0','02', '11000003','00','Request by Mr. Omair Ali 29-Nov-2024');</v>
      </c>
      <c r="H422" s="12" t="str">
        <f t="shared" si="27"/>
        <v>insert into ins_premium_det (premium_rcv_code,assorted_code, rec_amount,premium_rcv_detail_code,remaining_amt, payrec, mode_code,coinsurance_code,class_cd,it_remarks) values('28Nov240101','040000140092','0',(select max(to_number(i.premium_rcv_detail_code))+1
from ins_premium_det i),'0','0','02', '11000003','00','Request by Mr. Omair Ali 29-Nov-2024');</v>
      </c>
    </row>
    <row r="423" spans="1:8" ht="105" x14ac:dyDescent="0.25">
      <c r="A423" t="s">
        <v>423</v>
      </c>
      <c r="B423" s="8" t="str">
        <f>VLOOKUP(A423,assortedcode!B:C,2,0)</f>
        <v>040000180817</v>
      </c>
      <c r="C423" s="1">
        <v>0</v>
      </c>
      <c r="D423" s="9">
        <f t="shared" si="25"/>
        <v>0</v>
      </c>
      <c r="E423" s="7" t="s">
        <v>8345</v>
      </c>
      <c r="F423" s="10" t="str">
        <f t="shared" si="24"/>
        <v>insert into ins_premium_det (premium_rcv_code,assorted_code, rec_amount,premium_rcv_detail_code,remaining_amt, payrec, mode_code,coinsurance_code,class_cd,it_remarks) values</v>
      </c>
      <c r="G423" s="11" t="str">
        <f t="shared" si="26"/>
        <v>('28Nov240101','040000180817','0',(select max(to_number(i.premium_rcv_detail_code))+1
from ins_premium_det i),'0','0','02', '11000003','00','Request by Mr. Omair Ali 29-Nov-2024');</v>
      </c>
      <c r="H423" s="12" t="str">
        <f t="shared" si="27"/>
        <v>insert into ins_premium_det (premium_rcv_code,assorted_code, rec_amount,premium_rcv_detail_code,remaining_amt, payrec, mode_code,coinsurance_code,class_cd,it_remarks) values('28Nov240101','040000180817','0',(select max(to_number(i.premium_rcv_detail_code))+1
from ins_premium_det i),'0','0','02', '11000003','00','Request by Mr. Omair Ali 29-Nov-2024');</v>
      </c>
    </row>
    <row r="424" spans="1:8" ht="105" x14ac:dyDescent="0.25">
      <c r="A424" t="s">
        <v>424</v>
      </c>
      <c r="B424" s="8" t="str">
        <f>VLOOKUP(A424,assortedcode!B:C,2,0)</f>
        <v>040000144023</v>
      </c>
      <c r="C424" s="1">
        <v>0</v>
      </c>
      <c r="D424" s="9">
        <f t="shared" si="25"/>
        <v>0</v>
      </c>
      <c r="E424" s="7" t="s">
        <v>8345</v>
      </c>
      <c r="F424" s="10" t="str">
        <f t="shared" si="24"/>
        <v>insert into ins_premium_det (premium_rcv_code,assorted_code, rec_amount,premium_rcv_detail_code,remaining_amt, payrec, mode_code,coinsurance_code,class_cd,it_remarks) values</v>
      </c>
      <c r="G424" s="11" t="str">
        <f t="shared" si="26"/>
        <v>('28Nov240101','040000144023','0',(select max(to_number(i.premium_rcv_detail_code))+1
from ins_premium_det i),'0','0','02', '11000003','00','Request by Mr. Omair Ali 29-Nov-2024');</v>
      </c>
      <c r="H424" s="12" t="str">
        <f t="shared" si="27"/>
        <v>insert into ins_premium_det (premium_rcv_code,assorted_code, rec_amount,premium_rcv_detail_code,remaining_amt, payrec, mode_code,coinsurance_code,class_cd,it_remarks) values('28Nov240101','040000144023','0',(select max(to_number(i.premium_rcv_detail_code))+1
from ins_premium_det i),'0','0','02', '11000003','00','Request by Mr. Omair Ali 29-Nov-2024');</v>
      </c>
    </row>
    <row r="425" spans="1:8" ht="105" x14ac:dyDescent="0.25">
      <c r="A425" t="s">
        <v>425</v>
      </c>
      <c r="B425" s="8" t="str">
        <f>VLOOKUP(A425,assortedcode!B:C,2,0)</f>
        <v>040000180818</v>
      </c>
      <c r="C425" s="1">
        <v>0</v>
      </c>
      <c r="D425" s="9">
        <f t="shared" si="25"/>
        <v>0</v>
      </c>
      <c r="E425" s="7" t="s">
        <v>8345</v>
      </c>
      <c r="F425" s="10" t="str">
        <f t="shared" si="24"/>
        <v>insert into ins_premium_det (premium_rcv_code,assorted_code, rec_amount,premium_rcv_detail_code,remaining_amt, payrec, mode_code,coinsurance_code,class_cd,it_remarks) values</v>
      </c>
      <c r="G425" s="11" t="str">
        <f t="shared" si="26"/>
        <v>('28Nov240101','040000180818','0',(select max(to_number(i.premium_rcv_detail_code))+1
from ins_premium_det i),'0','0','02', '11000003','00','Request by Mr. Omair Ali 29-Nov-2024');</v>
      </c>
      <c r="H425" s="12" t="str">
        <f t="shared" si="27"/>
        <v>insert into ins_premium_det (premium_rcv_code,assorted_code, rec_amount,premium_rcv_detail_code,remaining_amt, payrec, mode_code,coinsurance_code,class_cd,it_remarks) values('28Nov240101','040000180818','0',(select max(to_number(i.premium_rcv_detail_code))+1
from ins_premium_det i),'0','0','02', '11000003','00','Request by Mr. Omair Ali 29-Nov-2024');</v>
      </c>
    </row>
    <row r="426" spans="1:8" ht="105" x14ac:dyDescent="0.25">
      <c r="A426" t="s">
        <v>426</v>
      </c>
      <c r="B426" s="8" t="str">
        <f>VLOOKUP(A426,assortedcode!B:C,2,0)</f>
        <v>070000156870</v>
      </c>
      <c r="C426" s="1">
        <v>0</v>
      </c>
      <c r="D426" s="9">
        <f t="shared" si="25"/>
        <v>0</v>
      </c>
      <c r="E426" s="7" t="s">
        <v>8345</v>
      </c>
      <c r="F426" s="10" t="str">
        <f t="shared" si="24"/>
        <v>insert into ins_premium_det (premium_rcv_code,assorted_code, rec_amount,premium_rcv_detail_code,remaining_amt, payrec, mode_code,coinsurance_code,class_cd,it_remarks) values</v>
      </c>
      <c r="G426" s="11" t="str">
        <f t="shared" si="26"/>
        <v>('28Nov240101','070000156870','0',(select max(to_number(i.premium_rcv_detail_code))+1
from ins_premium_det i),'0','0','02', '11000003','00','Request by Mr. Omair Ali 29-Nov-2024');</v>
      </c>
      <c r="H426" s="12" t="str">
        <f t="shared" si="27"/>
        <v>insert into ins_premium_det (premium_rcv_code,assorted_code, rec_amount,premium_rcv_detail_code,remaining_amt, payrec, mode_code,coinsurance_code,class_cd,it_remarks) values('28Nov240101','070000156870','0',(select max(to_number(i.premium_rcv_detail_code))+1
from ins_premium_det i),'0','0','02', '11000003','00','Request by Mr. Omair Ali 29-Nov-2024');</v>
      </c>
    </row>
    <row r="427" spans="1:8" ht="105" x14ac:dyDescent="0.25">
      <c r="A427" t="s">
        <v>427</v>
      </c>
      <c r="B427" s="8" t="str">
        <f>VLOOKUP(A427,assortedcode!B:C,2,0)</f>
        <v>040000180819</v>
      </c>
      <c r="C427" s="1">
        <v>0</v>
      </c>
      <c r="D427" s="9">
        <f t="shared" si="25"/>
        <v>0</v>
      </c>
      <c r="E427" s="7" t="s">
        <v>8345</v>
      </c>
      <c r="F427" s="10" t="str">
        <f t="shared" si="24"/>
        <v>insert into ins_premium_det (premium_rcv_code,assorted_code, rec_amount,premium_rcv_detail_code,remaining_amt, payrec, mode_code,coinsurance_code,class_cd,it_remarks) values</v>
      </c>
      <c r="G427" s="11" t="str">
        <f t="shared" si="26"/>
        <v>('28Nov240101','040000180819','0',(select max(to_number(i.premium_rcv_detail_code))+1
from ins_premium_det i),'0','0','02', '11000003','00','Request by Mr. Omair Ali 29-Nov-2024');</v>
      </c>
      <c r="H427" s="12" t="str">
        <f t="shared" si="27"/>
        <v>insert into ins_premium_det (premium_rcv_code,assorted_code, rec_amount,premium_rcv_detail_code,remaining_amt, payrec, mode_code,coinsurance_code,class_cd,it_remarks) values('28Nov240101','040000180819','0',(select max(to_number(i.premium_rcv_detail_code))+1
from ins_premium_det i),'0','0','02', '11000003','00','Request by Mr. Omair Ali 29-Nov-2024');</v>
      </c>
    </row>
    <row r="428" spans="1:8" ht="105" x14ac:dyDescent="0.25">
      <c r="A428" t="s">
        <v>428</v>
      </c>
      <c r="B428" s="8" t="str">
        <f>VLOOKUP(A428,assortedcode!B:C,2,0)</f>
        <v>040000178358</v>
      </c>
      <c r="C428" s="1">
        <v>0</v>
      </c>
      <c r="D428" s="9">
        <f t="shared" si="25"/>
        <v>0</v>
      </c>
      <c r="E428" s="7" t="s">
        <v>8345</v>
      </c>
      <c r="F428" s="10" t="str">
        <f t="shared" si="24"/>
        <v>insert into ins_premium_det (premium_rcv_code,assorted_code, rec_amount,premium_rcv_detail_code,remaining_amt, payrec, mode_code,coinsurance_code,class_cd,it_remarks) values</v>
      </c>
      <c r="G428" s="11" t="str">
        <f t="shared" si="26"/>
        <v>('28Nov240101','040000178358','0',(select max(to_number(i.premium_rcv_detail_code))+1
from ins_premium_det i),'0','0','02', '11000003','00','Request by Mr. Omair Ali 29-Nov-2024');</v>
      </c>
      <c r="H428" s="12" t="str">
        <f t="shared" si="27"/>
        <v>insert into ins_premium_det (premium_rcv_code,assorted_code, rec_amount,premium_rcv_detail_code,remaining_amt, payrec, mode_code,coinsurance_code,class_cd,it_remarks) values('28Nov240101','040000178358','0',(select max(to_number(i.premium_rcv_detail_code))+1
from ins_premium_det i),'0','0','02', '11000003','00','Request by Mr. Omair Ali 29-Nov-2024');</v>
      </c>
    </row>
    <row r="429" spans="1:8" ht="105" x14ac:dyDescent="0.25">
      <c r="A429" t="s">
        <v>429</v>
      </c>
      <c r="B429" s="8" t="str">
        <f>VLOOKUP(A429,assortedcode!B:C,2,0)</f>
        <v>040000180820</v>
      </c>
      <c r="C429" s="1">
        <v>0</v>
      </c>
      <c r="D429" s="9">
        <f t="shared" si="25"/>
        <v>0</v>
      </c>
      <c r="E429" s="7" t="s">
        <v>8345</v>
      </c>
      <c r="F429" s="10" t="str">
        <f t="shared" si="24"/>
        <v>insert into ins_premium_det (premium_rcv_code,assorted_code, rec_amount,premium_rcv_detail_code,remaining_amt, payrec, mode_code,coinsurance_code,class_cd,it_remarks) values</v>
      </c>
      <c r="G429" s="11" t="str">
        <f t="shared" si="26"/>
        <v>('28Nov240101','040000180820','0',(select max(to_number(i.premium_rcv_detail_code))+1
from ins_premium_det i),'0','0','02', '11000003','00','Request by Mr. Omair Ali 29-Nov-2024');</v>
      </c>
      <c r="H429" s="12" t="str">
        <f t="shared" si="27"/>
        <v>insert into ins_premium_det (premium_rcv_code,assorted_code, rec_amount,premium_rcv_detail_code,remaining_amt, payrec, mode_code,coinsurance_code,class_cd,it_remarks) values('28Nov240101','040000180820','0',(select max(to_number(i.premium_rcv_detail_code))+1
from ins_premium_det i),'0','0','02', '11000003','00','Request by Mr. Omair Ali 29-Nov-2024');</v>
      </c>
    </row>
    <row r="430" spans="1:8" ht="105" x14ac:dyDescent="0.25">
      <c r="A430" t="s">
        <v>430</v>
      </c>
      <c r="B430" s="8" t="str">
        <f>VLOOKUP(A430,assortedcode!B:C,2,0)</f>
        <v>040000178479</v>
      </c>
      <c r="C430" s="1">
        <v>0</v>
      </c>
      <c r="D430" s="9">
        <f t="shared" si="25"/>
        <v>0</v>
      </c>
      <c r="E430" s="7" t="s">
        <v>8345</v>
      </c>
      <c r="F430" s="10" t="str">
        <f t="shared" si="24"/>
        <v>insert into ins_premium_det (premium_rcv_code,assorted_code, rec_amount,premium_rcv_detail_code,remaining_amt, payrec, mode_code,coinsurance_code,class_cd,it_remarks) values</v>
      </c>
      <c r="G430" s="11" t="str">
        <f t="shared" si="26"/>
        <v>('28Nov240101','040000178479','0',(select max(to_number(i.premium_rcv_detail_code))+1
from ins_premium_det i),'0','0','02', '11000003','00','Request by Mr. Omair Ali 29-Nov-2024');</v>
      </c>
      <c r="H430" s="12" t="str">
        <f t="shared" si="27"/>
        <v>insert into ins_premium_det (premium_rcv_code,assorted_code, rec_amount,premium_rcv_detail_code,remaining_amt, payrec, mode_code,coinsurance_code,class_cd,it_remarks) values('28Nov240101','040000178479','0',(select max(to_number(i.premium_rcv_detail_code))+1
from ins_premium_det i),'0','0','02', '11000003','00','Request by Mr. Omair Ali 29-Nov-2024');</v>
      </c>
    </row>
    <row r="431" spans="1:8" ht="105" x14ac:dyDescent="0.25">
      <c r="A431" t="s">
        <v>431</v>
      </c>
      <c r="B431" s="8" t="str">
        <f>VLOOKUP(A431,assortedcode!B:C,2,0)</f>
        <v>040000180821</v>
      </c>
      <c r="C431" s="1">
        <v>0</v>
      </c>
      <c r="D431" s="9">
        <f t="shared" si="25"/>
        <v>0</v>
      </c>
      <c r="E431" s="7" t="s">
        <v>8345</v>
      </c>
      <c r="F431" s="10" t="str">
        <f t="shared" si="24"/>
        <v>insert into ins_premium_det (premium_rcv_code,assorted_code, rec_amount,premium_rcv_detail_code,remaining_amt, payrec, mode_code,coinsurance_code,class_cd,it_remarks) values</v>
      </c>
      <c r="G431" s="11" t="str">
        <f t="shared" si="26"/>
        <v>('28Nov240101','040000180821','0',(select max(to_number(i.premium_rcv_detail_code))+1
from ins_premium_det i),'0','0','02', '11000003','00','Request by Mr. Omair Ali 29-Nov-2024');</v>
      </c>
      <c r="H431" s="12" t="str">
        <f t="shared" si="27"/>
        <v>insert into ins_premium_det (premium_rcv_code,assorted_code, rec_amount,premium_rcv_detail_code,remaining_amt, payrec, mode_code,coinsurance_code,class_cd,it_remarks) values('28Nov240101','040000180821','0',(select max(to_number(i.premium_rcv_detail_code))+1
from ins_premium_det i),'0','0','02', '11000003','00','Request by Mr. Omair Ali 29-Nov-2024');</v>
      </c>
    </row>
    <row r="432" spans="1:8" ht="105" x14ac:dyDescent="0.25">
      <c r="A432" t="s">
        <v>432</v>
      </c>
      <c r="B432" s="8" t="str">
        <f>VLOOKUP(A432,assortedcode!B:C,2,0)</f>
        <v>040000178837</v>
      </c>
      <c r="C432" s="1">
        <v>0</v>
      </c>
      <c r="D432" s="9">
        <f t="shared" si="25"/>
        <v>0</v>
      </c>
      <c r="E432" s="7" t="s">
        <v>8345</v>
      </c>
      <c r="F432" s="10" t="str">
        <f t="shared" si="24"/>
        <v>insert into ins_premium_det (premium_rcv_code,assorted_code, rec_amount,premium_rcv_detail_code,remaining_amt, payrec, mode_code,coinsurance_code,class_cd,it_remarks) values</v>
      </c>
      <c r="G432" s="11" t="str">
        <f t="shared" si="26"/>
        <v>('28Nov240101','040000178837','0',(select max(to_number(i.premium_rcv_detail_code))+1
from ins_premium_det i),'0','0','02', '11000003','00','Request by Mr. Omair Ali 29-Nov-2024');</v>
      </c>
      <c r="H432" s="12" t="str">
        <f t="shared" si="27"/>
        <v>insert into ins_premium_det (premium_rcv_code,assorted_code, rec_amount,premium_rcv_detail_code,remaining_amt, payrec, mode_code,coinsurance_code,class_cd,it_remarks) values('28Nov240101','040000178837','0',(select max(to_number(i.premium_rcv_detail_code))+1
from ins_premium_det i),'0','0','02', '11000003','00','Request by Mr. Omair Ali 29-Nov-2024');</v>
      </c>
    </row>
    <row r="433" spans="1:8" ht="105" x14ac:dyDescent="0.25">
      <c r="A433" t="s">
        <v>433</v>
      </c>
      <c r="B433" s="8" t="str">
        <f>VLOOKUP(A433,assortedcode!B:C,2,0)</f>
        <v>040000180822</v>
      </c>
      <c r="C433" s="1">
        <v>0</v>
      </c>
      <c r="D433" s="9">
        <f t="shared" si="25"/>
        <v>0</v>
      </c>
      <c r="E433" s="7" t="s">
        <v>8345</v>
      </c>
      <c r="F433" s="10" t="str">
        <f t="shared" si="24"/>
        <v>insert into ins_premium_det (premium_rcv_code,assorted_code, rec_amount,premium_rcv_detail_code,remaining_amt, payrec, mode_code,coinsurance_code,class_cd,it_remarks) values</v>
      </c>
      <c r="G433" s="11" t="str">
        <f t="shared" si="26"/>
        <v>('28Nov240101','040000180822','0',(select max(to_number(i.premium_rcv_detail_code))+1
from ins_premium_det i),'0','0','02', '11000003','00','Request by Mr. Omair Ali 29-Nov-2024');</v>
      </c>
      <c r="H433" s="12" t="str">
        <f t="shared" si="27"/>
        <v>insert into ins_premium_det (premium_rcv_code,assorted_code, rec_amount,premium_rcv_detail_code,remaining_amt, payrec, mode_code,coinsurance_code,class_cd,it_remarks) values('28Nov240101','040000180822','0',(select max(to_number(i.premium_rcv_detail_code))+1
from ins_premium_det i),'0','0','02', '11000003','00','Request by Mr. Omair Ali 29-Nov-2024');</v>
      </c>
    </row>
    <row r="434" spans="1:8" ht="105" x14ac:dyDescent="0.25">
      <c r="A434" t="s">
        <v>434</v>
      </c>
      <c r="B434" s="8" t="str">
        <f>VLOOKUP(A434,assortedcode!B:C,2,0)</f>
        <v>040000179384</v>
      </c>
      <c r="C434" s="1">
        <v>0</v>
      </c>
      <c r="D434" s="9">
        <f t="shared" si="25"/>
        <v>0</v>
      </c>
      <c r="E434" s="7" t="s">
        <v>8345</v>
      </c>
      <c r="F434" s="10" t="str">
        <f t="shared" si="24"/>
        <v>insert into ins_premium_det (premium_rcv_code,assorted_code, rec_amount,premium_rcv_detail_code,remaining_amt, payrec, mode_code,coinsurance_code,class_cd,it_remarks) values</v>
      </c>
      <c r="G434" s="11" t="str">
        <f t="shared" si="26"/>
        <v>('28Nov240101','040000179384','0',(select max(to_number(i.premium_rcv_detail_code))+1
from ins_premium_det i),'0','0','02', '11000003','00','Request by Mr. Omair Ali 29-Nov-2024');</v>
      </c>
      <c r="H434" s="12" t="str">
        <f t="shared" si="27"/>
        <v>insert into ins_premium_det (premium_rcv_code,assorted_code, rec_amount,premium_rcv_detail_code,remaining_amt, payrec, mode_code,coinsurance_code,class_cd,it_remarks) values('28Nov240101','040000179384','0',(select max(to_number(i.premium_rcv_detail_code))+1
from ins_premium_det i),'0','0','02', '11000003','00','Request by Mr. Omair Ali 29-Nov-2024');</v>
      </c>
    </row>
    <row r="435" spans="1:8" ht="105" x14ac:dyDescent="0.25">
      <c r="A435" t="s">
        <v>435</v>
      </c>
      <c r="B435" s="8" t="str">
        <f>VLOOKUP(A435,assortedcode!B:C,2,0)</f>
        <v>040000180823</v>
      </c>
      <c r="C435" s="1">
        <v>0</v>
      </c>
      <c r="D435" s="9">
        <f t="shared" si="25"/>
        <v>0</v>
      </c>
      <c r="E435" s="7" t="s">
        <v>8345</v>
      </c>
      <c r="F435" s="10" t="str">
        <f t="shared" si="24"/>
        <v>insert into ins_premium_det (premium_rcv_code,assorted_code, rec_amount,premium_rcv_detail_code,remaining_amt, payrec, mode_code,coinsurance_code,class_cd,it_remarks) values</v>
      </c>
      <c r="G435" s="11" t="str">
        <f t="shared" si="26"/>
        <v>('28Nov240101','040000180823','0',(select max(to_number(i.premium_rcv_detail_code))+1
from ins_premium_det i),'0','0','02', '11000003','00','Request by Mr. Omair Ali 29-Nov-2024');</v>
      </c>
      <c r="H435" s="12" t="str">
        <f t="shared" si="27"/>
        <v>insert into ins_premium_det (premium_rcv_code,assorted_code, rec_amount,premium_rcv_detail_code,remaining_amt, payrec, mode_code,coinsurance_code,class_cd,it_remarks) values('28Nov240101','040000180823','0',(select max(to_number(i.premium_rcv_detail_code))+1
from ins_premium_det i),'0','0','02', '11000003','00','Request by Mr. Omair Ali 29-Nov-2024');</v>
      </c>
    </row>
    <row r="436" spans="1:8" ht="105" x14ac:dyDescent="0.25">
      <c r="A436" t="s">
        <v>436</v>
      </c>
      <c r="B436" s="8" t="str">
        <f>VLOOKUP(A436,assortedcode!B:C,2,0)</f>
        <v>040000180451</v>
      </c>
      <c r="C436" s="1">
        <v>0</v>
      </c>
      <c r="D436" s="9">
        <f t="shared" si="25"/>
        <v>0</v>
      </c>
      <c r="E436" s="7" t="s">
        <v>8345</v>
      </c>
      <c r="F436" s="10" t="str">
        <f t="shared" si="24"/>
        <v>insert into ins_premium_det (premium_rcv_code,assorted_code, rec_amount,premium_rcv_detail_code,remaining_amt, payrec, mode_code,coinsurance_code,class_cd,it_remarks) values</v>
      </c>
      <c r="G436" s="11" t="str">
        <f t="shared" si="26"/>
        <v>('28Nov240101','040000180451','0',(select max(to_number(i.premium_rcv_detail_code))+1
from ins_premium_det i),'0','0','02', '11000003','00','Request by Mr. Omair Ali 29-Nov-2024');</v>
      </c>
      <c r="H436" s="12" t="str">
        <f t="shared" si="27"/>
        <v>insert into ins_premium_det (premium_rcv_code,assorted_code, rec_amount,premium_rcv_detail_code,remaining_amt, payrec, mode_code,coinsurance_code,class_cd,it_remarks) values('28Nov240101','040000180451','0',(select max(to_number(i.premium_rcv_detail_code))+1
from ins_premium_det i),'0','0','02', '11000003','00','Request by Mr. Omair Ali 29-Nov-2024');</v>
      </c>
    </row>
    <row r="437" spans="1:8" ht="105" x14ac:dyDescent="0.25">
      <c r="A437" t="s">
        <v>437</v>
      </c>
      <c r="B437" s="8" t="str">
        <f>VLOOKUP(A437,assortedcode!B:C,2,0)</f>
        <v>040000180824</v>
      </c>
      <c r="C437" s="1">
        <v>0</v>
      </c>
      <c r="D437" s="9">
        <f t="shared" si="25"/>
        <v>0</v>
      </c>
      <c r="E437" s="7" t="s">
        <v>8345</v>
      </c>
      <c r="F437" s="10" t="str">
        <f t="shared" si="24"/>
        <v>insert into ins_premium_det (premium_rcv_code,assorted_code, rec_amount,premium_rcv_detail_code,remaining_amt, payrec, mode_code,coinsurance_code,class_cd,it_remarks) values</v>
      </c>
      <c r="G437" s="11" t="str">
        <f t="shared" si="26"/>
        <v>('28Nov240101','040000180824','0',(select max(to_number(i.premium_rcv_detail_code))+1
from ins_premium_det i),'0','0','02', '11000003','00','Request by Mr. Omair Ali 29-Nov-2024');</v>
      </c>
      <c r="H437" s="12" t="str">
        <f t="shared" si="27"/>
        <v>insert into ins_premium_det (premium_rcv_code,assorted_code, rec_amount,premium_rcv_detail_code,remaining_amt, payrec, mode_code,coinsurance_code,class_cd,it_remarks) values('28Nov240101','040000180824','0',(select max(to_number(i.premium_rcv_detail_code))+1
from ins_premium_det i),'0','0','02', '11000003','00','Request by Mr. Omair Ali 29-Nov-2024');</v>
      </c>
    </row>
    <row r="438" spans="1:8" ht="105" x14ac:dyDescent="0.25">
      <c r="A438" t="s">
        <v>438</v>
      </c>
      <c r="B438" s="8" t="str">
        <f>VLOOKUP(A438,assortedcode!B:C,2,0)</f>
        <v>040000180454</v>
      </c>
      <c r="C438" s="1">
        <v>0</v>
      </c>
      <c r="D438" s="9">
        <f t="shared" si="25"/>
        <v>0</v>
      </c>
      <c r="E438" s="7" t="s">
        <v>8345</v>
      </c>
      <c r="F438" s="10" t="str">
        <f t="shared" si="24"/>
        <v>insert into ins_premium_det (premium_rcv_code,assorted_code, rec_amount,premium_rcv_detail_code,remaining_amt, payrec, mode_code,coinsurance_code,class_cd,it_remarks) values</v>
      </c>
      <c r="G438" s="11" t="str">
        <f t="shared" si="26"/>
        <v>('28Nov240101','040000180454','0',(select max(to_number(i.premium_rcv_detail_code))+1
from ins_premium_det i),'0','0','02', '11000003','00','Request by Mr. Omair Ali 29-Nov-2024');</v>
      </c>
      <c r="H438" s="12" t="str">
        <f t="shared" si="27"/>
        <v>insert into ins_premium_det (premium_rcv_code,assorted_code, rec_amount,premium_rcv_detail_code,remaining_amt, payrec, mode_code,coinsurance_code,class_cd,it_remarks) values('28Nov240101','040000180454','0',(select max(to_number(i.premium_rcv_detail_code))+1
from ins_premium_det i),'0','0','02', '11000003','00','Request by Mr. Omair Ali 29-Nov-2024');</v>
      </c>
    </row>
    <row r="439" spans="1:8" ht="105" x14ac:dyDescent="0.25">
      <c r="A439" t="s">
        <v>439</v>
      </c>
      <c r="B439" s="8" t="str">
        <f>VLOOKUP(A439,assortedcode!B:C,2,0)</f>
        <v>040000180825</v>
      </c>
      <c r="C439" s="1">
        <v>0</v>
      </c>
      <c r="D439" s="9">
        <f t="shared" si="25"/>
        <v>0</v>
      </c>
      <c r="E439" s="7" t="s">
        <v>8345</v>
      </c>
      <c r="F439" s="10" t="str">
        <f t="shared" si="24"/>
        <v>insert into ins_premium_det (premium_rcv_code,assorted_code, rec_amount,premium_rcv_detail_code,remaining_amt, payrec, mode_code,coinsurance_code,class_cd,it_remarks) values</v>
      </c>
      <c r="G439" s="11" t="str">
        <f t="shared" si="26"/>
        <v>('28Nov240101','040000180825','0',(select max(to_number(i.premium_rcv_detail_code))+1
from ins_premium_det i),'0','0','02', '11000003','00','Request by Mr. Omair Ali 29-Nov-2024');</v>
      </c>
      <c r="H439" s="12" t="str">
        <f t="shared" si="27"/>
        <v>insert into ins_premium_det (premium_rcv_code,assorted_code, rec_amount,premium_rcv_detail_code,remaining_amt, payrec, mode_code,coinsurance_code,class_cd,it_remarks) values('28Nov240101','040000180825','0',(select max(to_number(i.premium_rcv_detail_code))+1
from ins_premium_det i),'0','0','02', '11000003','00','Request by Mr. Omair Ali 29-Nov-2024');</v>
      </c>
    </row>
    <row r="440" spans="1:8" ht="105" x14ac:dyDescent="0.25">
      <c r="A440" t="s">
        <v>440</v>
      </c>
      <c r="B440" s="8" t="str">
        <f>VLOOKUP(A440,assortedcode!B:C,2,0)</f>
        <v>040000180457</v>
      </c>
      <c r="C440" s="1">
        <v>0</v>
      </c>
      <c r="D440" s="9">
        <f t="shared" si="25"/>
        <v>0</v>
      </c>
      <c r="E440" s="7" t="s">
        <v>8345</v>
      </c>
      <c r="F440" s="10" t="str">
        <f t="shared" si="24"/>
        <v>insert into ins_premium_det (premium_rcv_code,assorted_code, rec_amount,premium_rcv_detail_code,remaining_amt, payrec, mode_code,coinsurance_code,class_cd,it_remarks) values</v>
      </c>
      <c r="G440" s="11" t="str">
        <f t="shared" si="26"/>
        <v>('28Nov240101','040000180457','0',(select max(to_number(i.premium_rcv_detail_code))+1
from ins_premium_det i),'0','0','02', '11000003','00','Request by Mr. Omair Ali 29-Nov-2024');</v>
      </c>
      <c r="H440" s="12" t="str">
        <f t="shared" si="27"/>
        <v>insert into ins_premium_det (premium_rcv_code,assorted_code, rec_amount,premium_rcv_detail_code,remaining_amt, payrec, mode_code,coinsurance_code,class_cd,it_remarks) values('28Nov240101','040000180457','0',(select max(to_number(i.premium_rcv_detail_code))+1
from ins_premium_det i),'0','0','02', '11000003','00','Request by Mr. Omair Ali 29-Nov-2024');</v>
      </c>
    </row>
    <row r="441" spans="1:8" ht="105" x14ac:dyDescent="0.25">
      <c r="A441" t="s">
        <v>441</v>
      </c>
      <c r="B441" s="8" t="str">
        <f>VLOOKUP(A441,assortedcode!B:C,2,0)</f>
        <v>040000180896</v>
      </c>
      <c r="C441" s="1">
        <v>0</v>
      </c>
      <c r="D441" s="9">
        <f t="shared" si="25"/>
        <v>0</v>
      </c>
      <c r="E441" s="7" t="s">
        <v>8345</v>
      </c>
      <c r="F441" s="10" t="str">
        <f t="shared" si="24"/>
        <v>insert into ins_premium_det (premium_rcv_code,assorted_code, rec_amount,premium_rcv_detail_code,remaining_amt, payrec, mode_code,coinsurance_code,class_cd,it_remarks) values</v>
      </c>
      <c r="G441" s="11" t="str">
        <f t="shared" si="26"/>
        <v>('28Nov240101','040000180896','0',(select max(to_number(i.premium_rcv_detail_code))+1
from ins_premium_det i),'0','0','02', '11000003','00','Request by Mr. Omair Ali 29-Nov-2024');</v>
      </c>
      <c r="H441" s="12" t="str">
        <f t="shared" si="27"/>
        <v>insert into ins_premium_det (premium_rcv_code,assorted_code, rec_amount,premium_rcv_detail_code,remaining_amt, payrec, mode_code,coinsurance_code,class_cd,it_remarks) values('28Nov240101','040000180896','0',(select max(to_number(i.premium_rcv_detail_code))+1
from ins_premium_det i),'0','0','02', '11000003','00','Request by Mr. Omair Ali 29-Nov-2024');</v>
      </c>
    </row>
    <row r="442" spans="1:8" ht="105" x14ac:dyDescent="0.25">
      <c r="A442" t="s">
        <v>442</v>
      </c>
      <c r="B442" s="8" t="str">
        <f>VLOOKUP(A442,assortedcode!B:C,2,0)</f>
        <v>040000180460</v>
      </c>
      <c r="C442" s="1">
        <v>0</v>
      </c>
      <c r="D442" s="9">
        <f t="shared" si="25"/>
        <v>0</v>
      </c>
      <c r="E442" s="7" t="s">
        <v>8345</v>
      </c>
      <c r="F442" s="10" t="str">
        <f t="shared" si="24"/>
        <v>insert into ins_premium_det (premium_rcv_code,assorted_code, rec_amount,premium_rcv_detail_code,remaining_amt, payrec, mode_code,coinsurance_code,class_cd,it_remarks) values</v>
      </c>
      <c r="G442" s="11" t="str">
        <f t="shared" si="26"/>
        <v>('28Nov240101','040000180460','0',(select max(to_number(i.premium_rcv_detail_code))+1
from ins_premium_det i),'0','0','02', '11000003','00','Request by Mr. Omair Ali 29-Nov-2024');</v>
      </c>
      <c r="H442" s="12" t="str">
        <f t="shared" si="27"/>
        <v>insert into ins_premium_det (premium_rcv_code,assorted_code, rec_amount,premium_rcv_detail_code,remaining_amt, payrec, mode_code,coinsurance_code,class_cd,it_remarks) values('28Nov240101','040000180460','0',(select max(to_number(i.premium_rcv_detail_code))+1
from ins_premium_det i),'0','0','02', '11000003','00','Request by Mr. Omair Ali 29-Nov-2024');</v>
      </c>
    </row>
    <row r="443" spans="1:8" ht="105" x14ac:dyDescent="0.25">
      <c r="A443" t="s">
        <v>443</v>
      </c>
      <c r="B443" s="8" t="str">
        <f>VLOOKUP(A443,assortedcode!B:C,2,0)</f>
        <v>040000180897</v>
      </c>
      <c r="C443" s="1">
        <v>0</v>
      </c>
      <c r="D443" s="9">
        <f t="shared" si="25"/>
        <v>0</v>
      </c>
      <c r="E443" s="7" t="s">
        <v>8345</v>
      </c>
      <c r="F443" s="10" t="str">
        <f t="shared" si="24"/>
        <v>insert into ins_premium_det (premium_rcv_code,assorted_code, rec_amount,premium_rcv_detail_code,remaining_amt, payrec, mode_code,coinsurance_code,class_cd,it_remarks) values</v>
      </c>
      <c r="G443" s="11" t="str">
        <f t="shared" si="26"/>
        <v>('28Nov240101','040000180897','0',(select max(to_number(i.premium_rcv_detail_code))+1
from ins_premium_det i),'0','0','02', '11000003','00','Request by Mr. Omair Ali 29-Nov-2024');</v>
      </c>
      <c r="H443" s="12" t="str">
        <f t="shared" si="27"/>
        <v>insert into ins_premium_det (premium_rcv_code,assorted_code, rec_amount,premium_rcv_detail_code,remaining_amt, payrec, mode_code,coinsurance_code,class_cd,it_remarks) values('28Nov240101','040000180897','0',(select max(to_number(i.premium_rcv_detail_code))+1
from ins_premium_det i),'0','0','02', '11000003','00','Request by Mr. Omair Ali 29-Nov-2024');</v>
      </c>
    </row>
    <row r="444" spans="1:8" ht="105" x14ac:dyDescent="0.25">
      <c r="A444" t="s">
        <v>444</v>
      </c>
      <c r="B444" s="8" t="str">
        <f>VLOOKUP(A444,assortedcode!B:C,2,0)</f>
        <v>040000180467</v>
      </c>
      <c r="C444" s="1">
        <v>0</v>
      </c>
      <c r="D444" s="9">
        <f t="shared" si="25"/>
        <v>0</v>
      </c>
      <c r="E444" s="7" t="s">
        <v>8345</v>
      </c>
      <c r="F444" s="10" t="str">
        <f t="shared" si="24"/>
        <v>insert into ins_premium_det (premium_rcv_code,assorted_code, rec_amount,premium_rcv_detail_code,remaining_amt, payrec, mode_code,coinsurance_code,class_cd,it_remarks) values</v>
      </c>
      <c r="G444" s="11" t="str">
        <f t="shared" si="26"/>
        <v>('28Nov240101','040000180467','0',(select max(to_number(i.premium_rcv_detail_code))+1
from ins_premium_det i),'0','0','02', '11000003','00','Request by Mr. Omair Ali 29-Nov-2024');</v>
      </c>
      <c r="H444" s="12" t="str">
        <f t="shared" si="27"/>
        <v>insert into ins_premium_det (premium_rcv_code,assorted_code, rec_amount,premium_rcv_detail_code,remaining_amt, payrec, mode_code,coinsurance_code,class_cd,it_remarks) values('28Nov240101','040000180467','0',(select max(to_number(i.premium_rcv_detail_code))+1
from ins_premium_det i),'0','0','02', '11000003','00','Request by Mr. Omair Ali 29-Nov-2024');</v>
      </c>
    </row>
    <row r="445" spans="1:8" ht="105" x14ac:dyDescent="0.25">
      <c r="A445" t="s">
        <v>445</v>
      </c>
      <c r="B445" s="8" t="str">
        <f>VLOOKUP(A445,assortedcode!B:C,2,0)</f>
        <v>040000180898</v>
      </c>
      <c r="C445" s="1">
        <v>0</v>
      </c>
      <c r="D445" s="9">
        <f t="shared" si="25"/>
        <v>0</v>
      </c>
      <c r="E445" s="7" t="s">
        <v>8345</v>
      </c>
      <c r="F445" s="10" t="str">
        <f t="shared" si="24"/>
        <v>insert into ins_premium_det (premium_rcv_code,assorted_code, rec_amount,premium_rcv_detail_code,remaining_amt, payrec, mode_code,coinsurance_code,class_cd,it_remarks) values</v>
      </c>
      <c r="G445" s="11" t="str">
        <f t="shared" si="26"/>
        <v>('28Nov240101','040000180898','0',(select max(to_number(i.premium_rcv_detail_code))+1
from ins_premium_det i),'0','0','02', '11000003','00','Request by Mr. Omair Ali 29-Nov-2024');</v>
      </c>
      <c r="H445" s="12" t="str">
        <f t="shared" si="27"/>
        <v>insert into ins_premium_det (premium_rcv_code,assorted_code, rec_amount,premium_rcv_detail_code,remaining_amt, payrec, mode_code,coinsurance_code,class_cd,it_remarks) values('28Nov240101','040000180898','0',(select max(to_number(i.premium_rcv_detail_code))+1
from ins_premium_det i),'0','0','02', '11000003','00','Request by Mr. Omair Ali 29-Nov-2024');</v>
      </c>
    </row>
    <row r="446" spans="1:8" ht="105" x14ac:dyDescent="0.25">
      <c r="A446" t="s">
        <v>446</v>
      </c>
      <c r="B446" s="8" t="str">
        <f>VLOOKUP(A446,assortedcode!B:C,2,0)</f>
        <v>040000124929</v>
      </c>
      <c r="C446" s="1">
        <v>0</v>
      </c>
      <c r="D446" s="9">
        <f t="shared" si="25"/>
        <v>0</v>
      </c>
      <c r="E446" s="7" t="s">
        <v>8345</v>
      </c>
      <c r="F446" s="10" t="str">
        <f t="shared" si="24"/>
        <v>insert into ins_premium_det (premium_rcv_code,assorted_code, rec_amount,premium_rcv_detail_code,remaining_amt, payrec, mode_code,coinsurance_code,class_cd,it_remarks) values</v>
      </c>
      <c r="G446" s="11" t="str">
        <f t="shared" si="26"/>
        <v>('28Nov240101','040000124929','0',(select max(to_number(i.premium_rcv_detail_code))+1
from ins_premium_det i),'0','0','02', '11000003','00','Request by Mr. Omair Ali 29-Nov-2024');</v>
      </c>
      <c r="H446" s="12" t="str">
        <f t="shared" si="27"/>
        <v>insert into ins_premium_det (premium_rcv_code,assorted_code, rec_amount,premium_rcv_detail_code,remaining_amt, payrec, mode_code,coinsurance_code,class_cd,it_remarks) values('28Nov240101','040000124929','0',(select max(to_number(i.premium_rcv_detail_code))+1
from ins_premium_det i),'0','0','02', '11000003','00','Request by Mr. Omair Ali 29-Nov-2024');</v>
      </c>
    </row>
    <row r="447" spans="1:8" ht="105" x14ac:dyDescent="0.25">
      <c r="A447" t="s">
        <v>447</v>
      </c>
      <c r="B447" s="8" t="str">
        <f>VLOOKUP(A447,assortedcode!B:C,2,0)</f>
        <v>040000180917</v>
      </c>
      <c r="C447" s="1">
        <v>0</v>
      </c>
      <c r="D447" s="9">
        <f t="shared" si="25"/>
        <v>0</v>
      </c>
      <c r="E447" s="7" t="s">
        <v>8345</v>
      </c>
      <c r="F447" s="10" t="str">
        <f t="shared" si="24"/>
        <v>insert into ins_premium_det (premium_rcv_code,assorted_code, rec_amount,premium_rcv_detail_code,remaining_amt, payrec, mode_code,coinsurance_code,class_cd,it_remarks) values</v>
      </c>
      <c r="G447" s="11" t="str">
        <f t="shared" si="26"/>
        <v>('28Nov240101','040000180917','0',(select max(to_number(i.premium_rcv_detail_code))+1
from ins_premium_det i),'0','0','02', '11000003','00','Request by Mr. Omair Ali 29-Nov-2024');</v>
      </c>
      <c r="H447" s="12" t="str">
        <f t="shared" si="27"/>
        <v>insert into ins_premium_det (premium_rcv_code,assorted_code, rec_amount,premium_rcv_detail_code,remaining_amt, payrec, mode_code,coinsurance_code,class_cd,it_remarks) values('28Nov240101','040000180917','0',(select max(to_number(i.premium_rcv_detail_code))+1
from ins_premium_det i),'0','0','02', '11000003','00','Request by Mr. Omair Ali 29-Nov-2024');</v>
      </c>
    </row>
    <row r="448" spans="1:8" ht="105" x14ac:dyDescent="0.25">
      <c r="A448" t="s">
        <v>448</v>
      </c>
      <c r="B448" s="8" t="str">
        <f>VLOOKUP(A448,assortedcode!B:C,2,0)</f>
        <v>040000140960</v>
      </c>
      <c r="C448" s="1">
        <v>0</v>
      </c>
      <c r="D448" s="9">
        <f t="shared" si="25"/>
        <v>0</v>
      </c>
      <c r="E448" s="7" t="s">
        <v>8345</v>
      </c>
      <c r="F448" s="10" t="str">
        <f t="shared" si="24"/>
        <v>insert into ins_premium_det (premium_rcv_code,assorted_code, rec_amount,premium_rcv_detail_code,remaining_amt, payrec, mode_code,coinsurance_code,class_cd,it_remarks) values</v>
      </c>
      <c r="G448" s="11" t="str">
        <f t="shared" si="26"/>
        <v>('28Nov240101','040000140960','0',(select max(to_number(i.premium_rcv_detail_code))+1
from ins_premium_det i),'0','0','02', '11000003','00','Request by Mr. Omair Ali 29-Nov-2024');</v>
      </c>
      <c r="H448" s="12" t="str">
        <f t="shared" si="27"/>
        <v>insert into ins_premium_det (premium_rcv_code,assorted_code, rec_amount,premium_rcv_detail_code,remaining_amt, payrec, mode_code,coinsurance_code,class_cd,it_remarks) values('28Nov240101','040000140960','0',(select max(to_number(i.premium_rcv_detail_code))+1
from ins_premium_det i),'0','0','02', '11000003','00','Request by Mr. Omair Ali 29-Nov-2024');</v>
      </c>
    </row>
    <row r="449" spans="1:8" ht="105" x14ac:dyDescent="0.25">
      <c r="A449" t="s">
        <v>449</v>
      </c>
      <c r="B449" s="8" t="str">
        <f>VLOOKUP(A449,assortedcode!B:C,2,0)</f>
        <v>040000180918</v>
      </c>
      <c r="C449" s="1">
        <v>0</v>
      </c>
      <c r="D449" s="9">
        <f t="shared" si="25"/>
        <v>0</v>
      </c>
      <c r="E449" s="7" t="s">
        <v>8345</v>
      </c>
      <c r="F449" s="10" t="str">
        <f t="shared" si="24"/>
        <v>insert into ins_premium_det (premium_rcv_code,assorted_code, rec_amount,premium_rcv_detail_code,remaining_amt, payrec, mode_code,coinsurance_code,class_cd,it_remarks) values</v>
      </c>
      <c r="G449" s="11" t="str">
        <f t="shared" si="26"/>
        <v>('28Nov240101','040000180918','0',(select max(to_number(i.premium_rcv_detail_code))+1
from ins_premium_det i),'0','0','02', '11000003','00','Request by Mr. Omair Ali 29-Nov-2024');</v>
      </c>
      <c r="H449" s="12" t="str">
        <f t="shared" si="27"/>
        <v>insert into ins_premium_det (premium_rcv_code,assorted_code, rec_amount,premium_rcv_detail_code,remaining_amt, payrec, mode_code,coinsurance_code,class_cd,it_remarks) values('28Nov240101','040000180918','0',(select max(to_number(i.premium_rcv_detail_code))+1
from ins_premium_det i),'0','0','02', '11000003','00','Request by Mr. Omair Ali 29-Nov-2024');</v>
      </c>
    </row>
    <row r="450" spans="1:8" ht="105" x14ac:dyDescent="0.25">
      <c r="A450" t="s">
        <v>450</v>
      </c>
      <c r="B450" s="8" t="str">
        <f>VLOOKUP(A450,assortedcode!B:C,2,0)</f>
        <v>040000135113</v>
      </c>
      <c r="C450" s="1">
        <v>0</v>
      </c>
      <c r="D450" s="9">
        <f t="shared" si="25"/>
        <v>0</v>
      </c>
      <c r="E450" s="7" t="s">
        <v>8345</v>
      </c>
      <c r="F450" s="10" t="str">
        <f t="shared" ref="F450:F513" si="28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450" s="11" t="str">
        <f t="shared" si="26"/>
        <v>('28Nov240101','040000135113','0',(select max(to_number(i.premium_rcv_detail_code))+1
from ins_premium_det i),'0','0','02', '11000003','00','Request by Mr. Omair Ali 29-Nov-2024');</v>
      </c>
      <c r="H450" s="12" t="str">
        <f t="shared" si="27"/>
        <v>insert into ins_premium_det (premium_rcv_code,assorted_code, rec_amount,premium_rcv_detail_code,remaining_amt, payrec, mode_code,coinsurance_code,class_cd,it_remarks) values('28Nov240101','040000135113','0',(select max(to_number(i.premium_rcv_detail_code))+1
from ins_premium_det i),'0','0','02', '11000003','00','Request by Mr. Omair Ali 29-Nov-2024');</v>
      </c>
    </row>
    <row r="451" spans="1:8" ht="105" x14ac:dyDescent="0.25">
      <c r="A451" t="s">
        <v>451</v>
      </c>
      <c r="B451" s="8" t="str">
        <f>VLOOKUP(A451,assortedcode!B:C,2,0)</f>
        <v>040000180919</v>
      </c>
      <c r="C451" s="1">
        <v>0</v>
      </c>
      <c r="D451" s="9">
        <f t="shared" ref="D451:D514" si="29">ROUND(C451,0)</f>
        <v>0</v>
      </c>
      <c r="E451" s="7" t="s">
        <v>8345</v>
      </c>
      <c r="F451" s="10" t="str">
        <f t="shared" si="28"/>
        <v>insert into ins_premium_det (premium_rcv_code,assorted_code, rec_amount,premium_rcv_detail_code,remaining_amt, payrec, mode_code,coinsurance_code,class_cd,it_remarks) values</v>
      </c>
      <c r="G451" s="11" t="str">
        <f t="shared" ref="G451:G514" si="30">"('"&amp;E451&amp;"','"&amp;B451&amp;"','"&amp;ROUND(D451,2)&amp;"',(select max(to_number(i.premium_rcv_detail_code))+1
from ins_premium_det i),'"&amp;D451&amp;"','"&amp;D451&amp;"','02', '11000003','00','Request by Mr. Omair Ali 29-Nov-2024');"</f>
        <v>('28Nov240101','040000180919','0',(select max(to_number(i.premium_rcv_detail_code))+1
from ins_premium_det i),'0','0','02', '11000003','00','Request by Mr. Omair Ali 29-Nov-2024');</v>
      </c>
      <c r="H451" s="12" t="str">
        <f t="shared" ref="H451:H514" si="31">F451&amp;G451</f>
        <v>insert into ins_premium_det (premium_rcv_code,assorted_code, rec_amount,premium_rcv_detail_code,remaining_amt, payrec, mode_code,coinsurance_code,class_cd,it_remarks) values('28Nov240101','040000180919','0',(select max(to_number(i.premium_rcv_detail_code))+1
from ins_premium_det i),'0','0','02', '11000003','00','Request by Mr. Omair Ali 29-Nov-2024');</v>
      </c>
    </row>
    <row r="452" spans="1:8" ht="105" x14ac:dyDescent="0.25">
      <c r="A452" t="s">
        <v>452</v>
      </c>
      <c r="B452" s="8" t="str">
        <f>VLOOKUP(A452,assortedcode!B:C,2,0)</f>
        <v>040000148165</v>
      </c>
      <c r="C452" s="1">
        <v>0</v>
      </c>
      <c r="D452" s="9">
        <f t="shared" si="29"/>
        <v>0</v>
      </c>
      <c r="E452" s="7" t="s">
        <v>8345</v>
      </c>
      <c r="F452" s="10" t="str">
        <f t="shared" si="28"/>
        <v>insert into ins_premium_det (premium_rcv_code,assorted_code, rec_amount,premium_rcv_detail_code,remaining_amt, payrec, mode_code,coinsurance_code,class_cd,it_remarks) values</v>
      </c>
      <c r="G452" s="11" t="str">
        <f t="shared" si="30"/>
        <v>('28Nov240101','040000148165','0',(select max(to_number(i.premium_rcv_detail_code))+1
from ins_premium_det i),'0','0','02', '11000003','00','Request by Mr. Omair Ali 29-Nov-2024');</v>
      </c>
      <c r="H452" s="12" t="str">
        <f t="shared" si="31"/>
        <v>insert into ins_premium_det (premium_rcv_code,assorted_code, rec_amount,premium_rcv_detail_code,remaining_amt, payrec, mode_code,coinsurance_code,class_cd,it_remarks) values('28Nov240101','040000148165','0',(select max(to_number(i.premium_rcv_detail_code))+1
from ins_premium_det i),'0','0','02', '11000003','00','Request by Mr. Omair Ali 29-Nov-2024');</v>
      </c>
    </row>
    <row r="453" spans="1:8" ht="105" x14ac:dyDescent="0.25">
      <c r="A453" t="s">
        <v>453</v>
      </c>
      <c r="B453" s="8" t="str">
        <f>VLOOKUP(A453,assortedcode!B:C,2,0)</f>
        <v>040000180920</v>
      </c>
      <c r="C453" s="1">
        <v>0</v>
      </c>
      <c r="D453" s="9">
        <f t="shared" si="29"/>
        <v>0</v>
      </c>
      <c r="E453" s="7" t="s">
        <v>8345</v>
      </c>
      <c r="F453" s="10" t="str">
        <f t="shared" si="28"/>
        <v>insert into ins_premium_det (premium_rcv_code,assorted_code, rec_amount,premium_rcv_detail_code,remaining_amt, payrec, mode_code,coinsurance_code,class_cd,it_remarks) values</v>
      </c>
      <c r="G453" s="11" t="str">
        <f t="shared" si="30"/>
        <v>('28Nov240101','040000180920','0',(select max(to_number(i.premium_rcv_detail_code))+1
from ins_premium_det i),'0','0','02', '11000003','00','Request by Mr. Omair Ali 29-Nov-2024');</v>
      </c>
      <c r="H453" s="12" t="str">
        <f t="shared" si="31"/>
        <v>insert into ins_premium_det (premium_rcv_code,assorted_code, rec_amount,premium_rcv_detail_code,remaining_amt, payrec, mode_code,coinsurance_code,class_cd,it_remarks) values('28Nov240101','040000180920','0',(select max(to_number(i.premium_rcv_detail_code))+1
from ins_premium_det i),'0','0','02', '11000003','00','Request by Mr. Omair Ali 29-Nov-2024');</v>
      </c>
    </row>
    <row r="454" spans="1:8" ht="105" x14ac:dyDescent="0.25">
      <c r="A454" t="s">
        <v>454</v>
      </c>
      <c r="B454" s="8" t="str">
        <f>VLOOKUP(A454,assortedcode!B:C,2,0)</f>
        <v>040000151092</v>
      </c>
      <c r="C454" s="1">
        <v>0</v>
      </c>
      <c r="D454" s="9">
        <f t="shared" si="29"/>
        <v>0</v>
      </c>
      <c r="E454" s="7" t="s">
        <v>8345</v>
      </c>
      <c r="F454" s="10" t="str">
        <f t="shared" si="28"/>
        <v>insert into ins_premium_det (premium_rcv_code,assorted_code, rec_amount,premium_rcv_detail_code,remaining_amt, payrec, mode_code,coinsurance_code,class_cd,it_remarks) values</v>
      </c>
      <c r="G454" s="11" t="str">
        <f t="shared" si="30"/>
        <v>('28Nov240101','040000151092','0',(select max(to_number(i.premium_rcv_detail_code))+1
from ins_premium_det i),'0','0','02', '11000003','00','Request by Mr. Omair Ali 29-Nov-2024');</v>
      </c>
      <c r="H454" s="12" t="str">
        <f t="shared" si="31"/>
        <v>insert into ins_premium_det (premium_rcv_code,assorted_code, rec_amount,premium_rcv_detail_code,remaining_amt, payrec, mode_code,coinsurance_code,class_cd,it_remarks) values('28Nov240101','040000151092','0',(select max(to_number(i.premium_rcv_detail_code))+1
from ins_premium_det i),'0','0','02', '11000003','00','Request by Mr. Omair Ali 29-Nov-2024');</v>
      </c>
    </row>
    <row r="455" spans="1:8" ht="105" x14ac:dyDescent="0.25">
      <c r="A455" t="s">
        <v>455</v>
      </c>
      <c r="B455" s="8" t="str">
        <f>VLOOKUP(A455,assortedcode!B:C,2,0)</f>
        <v>040000180921</v>
      </c>
      <c r="C455" s="1">
        <v>0</v>
      </c>
      <c r="D455" s="9">
        <f t="shared" si="29"/>
        <v>0</v>
      </c>
      <c r="E455" s="7" t="s">
        <v>8345</v>
      </c>
      <c r="F455" s="10" t="str">
        <f t="shared" si="28"/>
        <v>insert into ins_premium_det (premium_rcv_code,assorted_code, rec_amount,premium_rcv_detail_code,remaining_amt, payrec, mode_code,coinsurance_code,class_cd,it_remarks) values</v>
      </c>
      <c r="G455" s="11" t="str">
        <f t="shared" si="30"/>
        <v>('28Nov240101','040000180921','0',(select max(to_number(i.premium_rcv_detail_code))+1
from ins_premium_det i),'0','0','02', '11000003','00','Request by Mr. Omair Ali 29-Nov-2024');</v>
      </c>
      <c r="H455" s="12" t="str">
        <f t="shared" si="31"/>
        <v>insert into ins_premium_det (premium_rcv_code,assorted_code, rec_amount,premium_rcv_detail_code,remaining_amt, payrec, mode_code,coinsurance_code,class_cd,it_remarks) values('28Nov240101','040000180921','0',(select max(to_number(i.premium_rcv_detail_code))+1
from ins_premium_det i),'0','0','02', '11000003','00','Request by Mr. Omair Ali 29-Nov-2024');</v>
      </c>
    </row>
    <row r="456" spans="1:8" ht="105" x14ac:dyDescent="0.25">
      <c r="A456" t="s">
        <v>456</v>
      </c>
      <c r="B456" s="8" t="str">
        <f>VLOOKUP(A456,assortedcode!B:C,2,0)</f>
        <v>040000136644</v>
      </c>
      <c r="C456" s="1">
        <v>0</v>
      </c>
      <c r="D456" s="9">
        <f t="shared" si="29"/>
        <v>0</v>
      </c>
      <c r="E456" s="7" t="s">
        <v>8345</v>
      </c>
      <c r="F456" s="10" t="str">
        <f t="shared" si="28"/>
        <v>insert into ins_premium_det (premium_rcv_code,assorted_code, rec_amount,premium_rcv_detail_code,remaining_amt, payrec, mode_code,coinsurance_code,class_cd,it_remarks) values</v>
      </c>
      <c r="G456" s="11" t="str">
        <f t="shared" si="30"/>
        <v>('28Nov240101','040000136644','0',(select max(to_number(i.premium_rcv_detail_code))+1
from ins_premium_det i),'0','0','02', '11000003','00','Request by Mr. Omair Ali 29-Nov-2024');</v>
      </c>
      <c r="H456" s="12" t="str">
        <f t="shared" si="31"/>
        <v>insert into ins_premium_det (premium_rcv_code,assorted_code, rec_amount,premium_rcv_detail_code,remaining_amt, payrec, mode_code,coinsurance_code,class_cd,it_remarks) values('28Nov240101','040000136644','0',(select max(to_number(i.premium_rcv_detail_code))+1
from ins_premium_det i),'0','0','02', '11000003','00','Request by Mr. Omair Ali 29-Nov-2024');</v>
      </c>
    </row>
    <row r="457" spans="1:8" ht="105" x14ac:dyDescent="0.25">
      <c r="A457" t="s">
        <v>457</v>
      </c>
      <c r="B457" s="8" t="str">
        <f>VLOOKUP(A457,assortedcode!B:C,2,0)</f>
        <v>040000181236</v>
      </c>
      <c r="C457" s="1">
        <v>0</v>
      </c>
      <c r="D457" s="9">
        <f t="shared" si="29"/>
        <v>0</v>
      </c>
      <c r="E457" s="7" t="s">
        <v>8345</v>
      </c>
      <c r="F457" s="10" t="str">
        <f t="shared" si="28"/>
        <v>insert into ins_premium_det (premium_rcv_code,assorted_code, rec_amount,premium_rcv_detail_code,remaining_amt, payrec, mode_code,coinsurance_code,class_cd,it_remarks) values</v>
      </c>
      <c r="G457" s="11" t="str">
        <f t="shared" si="30"/>
        <v>('28Nov240101','040000181236','0',(select max(to_number(i.premium_rcv_detail_code))+1
from ins_premium_det i),'0','0','02', '11000003','00','Request by Mr. Omair Ali 29-Nov-2024');</v>
      </c>
      <c r="H457" s="12" t="str">
        <f t="shared" si="31"/>
        <v>insert into ins_premium_det (premium_rcv_code,assorted_code, rec_amount,premium_rcv_detail_code,remaining_amt, payrec, mode_code,coinsurance_code,class_cd,it_remarks) values('28Nov240101','040000181236','0',(select max(to_number(i.premium_rcv_detail_code))+1
from ins_premium_det i),'0','0','02', '11000003','00','Request by Mr. Omair Ali 29-Nov-2024');</v>
      </c>
    </row>
    <row r="458" spans="1:8" ht="105" x14ac:dyDescent="0.25">
      <c r="A458" t="s">
        <v>458</v>
      </c>
      <c r="B458" s="8" t="str">
        <f>VLOOKUP(A458,assortedcode!B:C,2,0)</f>
        <v>040000163635</v>
      </c>
      <c r="C458" s="1">
        <v>0</v>
      </c>
      <c r="D458" s="9">
        <f t="shared" si="29"/>
        <v>0</v>
      </c>
      <c r="E458" s="7" t="s">
        <v>8345</v>
      </c>
      <c r="F458" s="10" t="str">
        <f t="shared" si="28"/>
        <v>insert into ins_premium_det (premium_rcv_code,assorted_code, rec_amount,premium_rcv_detail_code,remaining_amt, payrec, mode_code,coinsurance_code,class_cd,it_remarks) values</v>
      </c>
      <c r="G458" s="11" t="str">
        <f t="shared" si="30"/>
        <v>('28Nov240101','040000163635','0',(select max(to_number(i.premium_rcv_detail_code))+1
from ins_premium_det i),'0','0','02', '11000003','00','Request by Mr. Omair Ali 29-Nov-2024');</v>
      </c>
      <c r="H458" s="12" t="str">
        <f t="shared" si="31"/>
        <v>insert into ins_premium_det (premium_rcv_code,assorted_code, rec_amount,premium_rcv_detail_code,remaining_amt, payrec, mode_code,coinsurance_code,class_cd,it_remarks) values('28Nov240101','040000163635','0',(select max(to_number(i.premium_rcv_detail_code))+1
from ins_premium_det i),'0','0','02', '11000003','00','Request by Mr. Omair Ali 29-Nov-2024');</v>
      </c>
    </row>
    <row r="459" spans="1:8" ht="105" x14ac:dyDescent="0.25">
      <c r="A459" t="s">
        <v>459</v>
      </c>
      <c r="B459" s="8" t="str">
        <f>VLOOKUP(A459,assortedcode!B:C,2,0)</f>
        <v>040000181237</v>
      </c>
      <c r="C459" s="1">
        <v>0</v>
      </c>
      <c r="D459" s="9">
        <f t="shared" si="29"/>
        <v>0</v>
      </c>
      <c r="E459" s="7" t="s">
        <v>8345</v>
      </c>
      <c r="F459" s="10" t="str">
        <f t="shared" si="28"/>
        <v>insert into ins_premium_det (premium_rcv_code,assorted_code, rec_amount,premium_rcv_detail_code,remaining_amt, payrec, mode_code,coinsurance_code,class_cd,it_remarks) values</v>
      </c>
      <c r="G459" s="11" t="str">
        <f t="shared" si="30"/>
        <v>('28Nov240101','040000181237','0',(select max(to_number(i.premium_rcv_detail_code))+1
from ins_premium_det i),'0','0','02', '11000003','00','Request by Mr. Omair Ali 29-Nov-2024');</v>
      </c>
      <c r="H459" s="12" t="str">
        <f t="shared" si="31"/>
        <v>insert into ins_premium_det (premium_rcv_code,assorted_code, rec_amount,premium_rcv_detail_code,remaining_amt, payrec, mode_code,coinsurance_code,class_cd,it_remarks) values('28Nov240101','040000181237','0',(select max(to_number(i.premium_rcv_detail_code))+1
from ins_premium_det i),'0','0','02', '11000003','00','Request by Mr. Omair Ali 29-Nov-2024');</v>
      </c>
    </row>
    <row r="460" spans="1:8" ht="105" x14ac:dyDescent="0.25">
      <c r="A460" t="s">
        <v>460</v>
      </c>
      <c r="B460" s="8" t="str">
        <f>VLOOKUP(A460,assortedcode!B:C,2,0)</f>
        <v>040000163637</v>
      </c>
      <c r="C460" s="1">
        <v>0</v>
      </c>
      <c r="D460" s="9">
        <f t="shared" si="29"/>
        <v>0</v>
      </c>
      <c r="E460" s="7" t="s">
        <v>8345</v>
      </c>
      <c r="F460" s="10" t="str">
        <f t="shared" si="28"/>
        <v>insert into ins_premium_det (premium_rcv_code,assorted_code, rec_amount,premium_rcv_detail_code,remaining_amt, payrec, mode_code,coinsurance_code,class_cd,it_remarks) values</v>
      </c>
      <c r="G460" s="11" t="str">
        <f t="shared" si="30"/>
        <v>('28Nov240101','040000163637','0',(select max(to_number(i.premium_rcv_detail_code))+1
from ins_premium_det i),'0','0','02', '11000003','00','Request by Mr. Omair Ali 29-Nov-2024');</v>
      </c>
      <c r="H460" s="12" t="str">
        <f t="shared" si="31"/>
        <v>insert into ins_premium_det (premium_rcv_code,assorted_code, rec_amount,premium_rcv_detail_code,remaining_amt, payrec, mode_code,coinsurance_code,class_cd,it_remarks) values('28Nov240101','040000163637','0',(select max(to_number(i.premium_rcv_detail_code))+1
from ins_premium_det i),'0','0','02', '11000003','00','Request by Mr. Omair Ali 29-Nov-2024');</v>
      </c>
    </row>
    <row r="461" spans="1:8" ht="105" x14ac:dyDescent="0.25">
      <c r="A461" t="s">
        <v>461</v>
      </c>
      <c r="B461" s="8" t="str">
        <f>VLOOKUP(A461,assortedcode!B:C,2,0)</f>
        <v>040000181289</v>
      </c>
      <c r="C461" s="1">
        <v>0</v>
      </c>
      <c r="D461" s="9">
        <f t="shared" si="29"/>
        <v>0</v>
      </c>
      <c r="E461" s="7" t="s">
        <v>8345</v>
      </c>
      <c r="F461" s="10" t="str">
        <f t="shared" si="28"/>
        <v>insert into ins_premium_det (premium_rcv_code,assorted_code, rec_amount,premium_rcv_detail_code,remaining_amt, payrec, mode_code,coinsurance_code,class_cd,it_remarks) values</v>
      </c>
      <c r="G461" s="11" t="str">
        <f t="shared" si="30"/>
        <v>('28Nov240101','040000181289','0',(select max(to_number(i.premium_rcv_detail_code))+1
from ins_premium_det i),'0','0','02', '11000003','00','Request by Mr. Omair Ali 29-Nov-2024');</v>
      </c>
      <c r="H461" s="12" t="str">
        <f t="shared" si="31"/>
        <v>insert into ins_premium_det (premium_rcv_code,assorted_code, rec_amount,premium_rcv_detail_code,remaining_amt, payrec, mode_code,coinsurance_code,class_cd,it_remarks) values('28Nov240101','040000181289','0',(select max(to_number(i.premium_rcv_detail_code))+1
from ins_premium_det i),'0','0','02', '11000003','00','Request by Mr. Omair Ali 29-Nov-2024');</v>
      </c>
    </row>
    <row r="462" spans="1:8" ht="105" x14ac:dyDescent="0.25">
      <c r="A462" t="s">
        <v>462</v>
      </c>
      <c r="B462" s="8" t="str">
        <f>VLOOKUP(A462,assortedcode!B:C,2,0)</f>
        <v>040000163641</v>
      </c>
      <c r="C462" s="1">
        <v>0</v>
      </c>
      <c r="D462" s="9">
        <f t="shared" si="29"/>
        <v>0</v>
      </c>
      <c r="E462" s="7" t="s">
        <v>8345</v>
      </c>
      <c r="F462" s="10" t="str">
        <f t="shared" si="28"/>
        <v>insert into ins_premium_det (premium_rcv_code,assorted_code, rec_amount,premium_rcv_detail_code,remaining_amt, payrec, mode_code,coinsurance_code,class_cd,it_remarks) values</v>
      </c>
      <c r="G462" s="11" t="str">
        <f t="shared" si="30"/>
        <v>('28Nov240101','040000163641','0',(select max(to_number(i.premium_rcv_detail_code))+1
from ins_premium_det i),'0','0','02', '11000003','00','Request by Mr. Omair Ali 29-Nov-2024');</v>
      </c>
      <c r="H462" s="12" t="str">
        <f t="shared" si="31"/>
        <v>insert into ins_premium_det (premium_rcv_code,assorted_code, rec_amount,premium_rcv_detail_code,remaining_amt, payrec, mode_code,coinsurance_code,class_cd,it_remarks) values('28Nov240101','040000163641','0',(select max(to_number(i.premium_rcv_detail_code))+1
from ins_premium_det i),'0','0','02', '11000003','00','Request by Mr. Omair Ali 29-Nov-2024');</v>
      </c>
    </row>
    <row r="463" spans="1:8" ht="105" x14ac:dyDescent="0.25">
      <c r="A463" t="s">
        <v>463</v>
      </c>
      <c r="B463" s="8" t="str">
        <f>VLOOKUP(A463,assortedcode!B:C,2,0)</f>
        <v>040000181290</v>
      </c>
      <c r="C463" s="1">
        <v>0</v>
      </c>
      <c r="D463" s="9">
        <f t="shared" si="29"/>
        <v>0</v>
      </c>
      <c r="E463" s="7" t="s">
        <v>8345</v>
      </c>
      <c r="F463" s="10" t="str">
        <f t="shared" si="28"/>
        <v>insert into ins_premium_det (premium_rcv_code,assorted_code, rec_amount,premium_rcv_detail_code,remaining_amt, payrec, mode_code,coinsurance_code,class_cd,it_remarks) values</v>
      </c>
      <c r="G463" s="11" t="str">
        <f t="shared" si="30"/>
        <v>('28Nov240101','040000181290','0',(select max(to_number(i.premium_rcv_detail_code))+1
from ins_premium_det i),'0','0','02', '11000003','00','Request by Mr. Omair Ali 29-Nov-2024');</v>
      </c>
      <c r="H463" s="12" t="str">
        <f t="shared" si="31"/>
        <v>insert into ins_premium_det (premium_rcv_code,assorted_code, rec_amount,premium_rcv_detail_code,remaining_amt, payrec, mode_code,coinsurance_code,class_cd,it_remarks) values('28Nov240101','040000181290','0',(select max(to_number(i.premium_rcv_detail_code))+1
from ins_premium_det i),'0','0','02', '11000003','00','Request by Mr. Omair Ali 29-Nov-2024');</v>
      </c>
    </row>
    <row r="464" spans="1:8" ht="105" x14ac:dyDescent="0.25">
      <c r="A464" t="s">
        <v>464</v>
      </c>
      <c r="B464" s="8" t="str">
        <f>VLOOKUP(A464,assortedcode!B:C,2,0)</f>
        <v>040000163645</v>
      </c>
      <c r="C464" s="1">
        <v>0</v>
      </c>
      <c r="D464" s="9">
        <f t="shared" si="29"/>
        <v>0</v>
      </c>
      <c r="E464" s="7" t="s">
        <v>8345</v>
      </c>
      <c r="F464" s="10" t="str">
        <f t="shared" si="28"/>
        <v>insert into ins_premium_det (premium_rcv_code,assorted_code, rec_amount,premium_rcv_detail_code,remaining_amt, payrec, mode_code,coinsurance_code,class_cd,it_remarks) values</v>
      </c>
      <c r="G464" s="11" t="str">
        <f t="shared" si="30"/>
        <v>('28Nov240101','040000163645','0',(select max(to_number(i.premium_rcv_detail_code))+1
from ins_premium_det i),'0','0','02', '11000003','00','Request by Mr. Omair Ali 29-Nov-2024');</v>
      </c>
      <c r="H464" s="12" t="str">
        <f t="shared" si="31"/>
        <v>insert into ins_premium_det (premium_rcv_code,assorted_code, rec_amount,premium_rcv_detail_code,remaining_amt, payrec, mode_code,coinsurance_code,class_cd,it_remarks) values('28Nov240101','040000163645','0',(select max(to_number(i.premium_rcv_detail_code))+1
from ins_premium_det i),'0','0','02', '11000003','00','Request by Mr. Omair Ali 29-Nov-2024');</v>
      </c>
    </row>
    <row r="465" spans="1:8" ht="105" x14ac:dyDescent="0.25">
      <c r="A465" t="s">
        <v>465</v>
      </c>
      <c r="B465" s="8" t="str">
        <f>VLOOKUP(A465,assortedcode!B:C,2,0)</f>
        <v>040000185209</v>
      </c>
      <c r="C465" s="1">
        <v>0</v>
      </c>
      <c r="D465" s="9">
        <f t="shared" si="29"/>
        <v>0</v>
      </c>
      <c r="E465" s="7" t="s">
        <v>8345</v>
      </c>
      <c r="F465" s="10" t="str">
        <f t="shared" si="28"/>
        <v>insert into ins_premium_det (premium_rcv_code,assorted_code, rec_amount,premium_rcv_detail_code,remaining_amt, payrec, mode_code,coinsurance_code,class_cd,it_remarks) values</v>
      </c>
      <c r="G465" s="11" t="str">
        <f t="shared" si="30"/>
        <v>('28Nov240101','040000185209','0',(select max(to_number(i.premium_rcv_detail_code))+1
from ins_premium_det i),'0','0','02', '11000003','00','Request by Mr. Omair Ali 29-Nov-2024');</v>
      </c>
      <c r="H465" s="12" t="str">
        <f t="shared" si="31"/>
        <v>insert into ins_premium_det (premium_rcv_code,assorted_code, rec_amount,premium_rcv_detail_code,remaining_amt, payrec, mode_code,coinsurance_code,class_cd,it_remarks) values('28Nov240101','040000185209','0',(select max(to_number(i.premium_rcv_detail_code))+1
from ins_premium_det i),'0','0','02', '11000003','00','Request by Mr. Omair Ali 29-Nov-2024');</v>
      </c>
    </row>
    <row r="466" spans="1:8" ht="105" x14ac:dyDescent="0.25">
      <c r="A466" t="s">
        <v>466</v>
      </c>
      <c r="B466" s="8" t="str">
        <f>VLOOKUP(A466,assortedcode!B:C,2,0)</f>
        <v>040000163650</v>
      </c>
      <c r="C466" s="1">
        <v>0</v>
      </c>
      <c r="D466" s="9">
        <f t="shared" si="29"/>
        <v>0</v>
      </c>
      <c r="E466" s="7" t="s">
        <v>8345</v>
      </c>
      <c r="F466" s="10" t="str">
        <f t="shared" si="28"/>
        <v>insert into ins_premium_det (premium_rcv_code,assorted_code, rec_amount,premium_rcv_detail_code,remaining_amt, payrec, mode_code,coinsurance_code,class_cd,it_remarks) values</v>
      </c>
      <c r="G466" s="11" t="str">
        <f t="shared" si="30"/>
        <v>('28Nov240101','040000163650','0',(select max(to_number(i.premium_rcv_detail_code))+1
from ins_premium_det i),'0','0','02', '11000003','00','Request by Mr. Omair Ali 29-Nov-2024');</v>
      </c>
      <c r="H466" s="12" t="str">
        <f t="shared" si="31"/>
        <v>insert into ins_premium_det (premium_rcv_code,assorted_code, rec_amount,premium_rcv_detail_code,remaining_amt, payrec, mode_code,coinsurance_code,class_cd,it_remarks) values('28Nov240101','040000163650','0',(select max(to_number(i.premium_rcv_detail_code))+1
from ins_premium_det i),'0','0','02', '11000003','00','Request by Mr. Omair Ali 29-Nov-2024');</v>
      </c>
    </row>
    <row r="467" spans="1:8" ht="105" x14ac:dyDescent="0.25">
      <c r="A467" t="s">
        <v>467</v>
      </c>
      <c r="B467" s="8" t="str">
        <f>VLOOKUP(A467,assortedcode!B:C,2,0)</f>
        <v>040000185210</v>
      </c>
      <c r="C467" s="1">
        <v>0</v>
      </c>
      <c r="D467" s="9">
        <f t="shared" si="29"/>
        <v>0</v>
      </c>
      <c r="E467" s="7" t="s">
        <v>8345</v>
      </c>
      <c r="F467" s="10" t="str">
        <f t="shared" si="28"/>
        <v>insert into ins_premium_det (premium_rcv_code,assorted_code, rec_amount,premium_rcv_detail_code,remaining_amt, payrec, mode_code,coinsurance_code,class_cd,it_remarks) values</v>
      </c>
      <c r="G467" s="11" t="str">
        <f t="shared" si="30"/>
        <v>('28Nov240101','040000185210','0',(select max(to_number(i.premium_rcv_detail_code))+1
from ins_premium_det i),'0','0','02', '11000003','00','Request by Mr. Omair Ali 29-Nov-2024');</v>
      </c>
      <c r="H467" s="12" t="str">
        <f t="shared" si="31"/>
        <v>insert into ins_premium_det (premium_rcv_code,assorted_code, rec_amount,premium_rcv_detail_code,remaining_amt, payrec, mode_code,coinsurance_code,class_cd,it_remarks) values('28Nov240101','040000185210','0',(select max(to_number(i.premium_rcv_detail_code))+1
from ins_premium_det i),'0','0','02', '11000003','00','Request by Mr. Omair Ali 29-Nov-2024');</v>
      </c>
    </row>
    <row r="468" spans="1:8" ht="105" x14ac:dyDescent="0.25">
      <c r="A468" t="s">
        <v>468</v>
      </c>
      <c r="B468" s="8" t="str">
        <f>VLOOKUP(A468,assortedcode!B:C,2,0)</f>
        <v>040000094802</v>
      </c>
      <c r="C468" s="1">
        <v>0</v>
      </c>
      <c r="D468" s="9">
        <f t="shared" si="29"/>
        <v>0</v>
      </c>
      <c r="E468" s="7" t="s">
        <v>8345</v>
      </c>
      <c r="F468" s="10" t="str">
        <f t="shared" si="28"/>
        <v>insert into ins_premium_det (premium_rcv_code,assorted_code, rec_amount,premium_rcv_detail_code,remaining_amt, payrec, mode_code,coinsurance_code,class_cd,it_remarks) values</v>
      </c>
      <c r="G468" s="11" t="str">
        <f t="shared" si="30"/>
        <v>('28Nov240101','040000094802','0',(select max(to_number(i.premium_rcv_detail_code))+1
from ins_premium_det i),'0','0','02', '11000003','00','Request by Mr. Omair Ali 29-Nov-2024');</v>
      </c>
      <c r="H468" s="12" t="str">
        <f t="shared" si="31"/>
        <v>insert into ins_premium_det (premium_rcv_code,assorted_code, rec_amount,premium_rcv_detail_code,remaining_amt, payrec, mode_code,coinsurance_code,class_cd,it_remarks) values('28Nov240101','040000094802','0',(select max(to_number(i.premium_rcv_detail_code))+1
from ins_premium_det i),'0','0','02', '11000003','00','Request by Mr. Omair Ali 29-Nov-2024');</v>
      </c>
    </row>
    <row r="469" spans="1:8" ht="105" x14ac:dyDescent="0.25">
      <c r="A469" t="s">
        <v>469</v>
      </c>
      <c r="B469" s="8" t="str">
        <f>VLOOKUP(A469,assortedcode!B:C,2,0)</f>
        <v>040000185418</v>
      </c>
      <c r="C469" s="1">
        <v>0</v>
      </c>
      <c r="D469" s="9">
        <f t="shared" si="29"/>
        <v>0</v>
      </c>
      <c r="E469" s="7" t="s">
        <v>8345</v>
      </c>
      <c r="F469" s="10" t="str">
        <f t="shared" si="28"/>
        <v>insert into ins_premium_det (premium_rcv_code,assorted_code, rec_amount,premium_rcv_detail_code,remaining_amt, payrec, mode_code,coinsurance_code,class_cd,it_remarks) values</v>
      </c>
      <c r="G469" s="11" t="str">
        <f t="shared" si="30"/>
        <v>('28Nov240101','040000185418','0',(select max(to_number(i.premium_rcv_detail_code))+1
from ins_premium_det i),'0','0','02', '11000003','00','Request by Mr. Omair Ali 29-Nov-2024');</v>
      </c>
      <c r="H469" s="12" t="str">
        <f t="shared" si="31"/>
        <v>insert into ins_premium_det (premium_rcv_code,assorted_code, rec_amount,premium_rcv_detail_code,remaining_amt, payrec, mode_code,coinsurance_code,class_cd,it_remarks) values('28Nov240101','040000185418','0',(select max(to_number(i.premium_rcv_detail_code))+1
from ins_premium_det i),'0','0','02', '11000003','00','Request by Mr. Omair Ali 29-Nov-2024');</v>
      </c>
    </row>
    <row r="470" spans="1:8" ht="105" x14ac:dyDescent="0.25">
      <c r="A470" t="s">
        <v>470</v>
      </c>
      <c r="B470" s="8" t="str">
        <f>VLOOKUP(A470,assortedcode!B:C,2,0)</f>
        <v>040000128570</v>
      </c>
      <c r="C470" s="1">
        <v>0</v>
      </c>
      <c r="D470" s="9">
        <f t="shared" si="29"/>
        <v>0</v>
      </c>
      <c r="E470" s="7" t="s">
        <v>8345</v>
      </c>
      <c r="F470" s="10" t="str">
        <f t="shared" si="28"/>
        <v>insert into ins_premium_det (premium_rcv_code,assorted_code, rec_amount,premium_rcv_detail_code,remaining_amt, payrec, mode_code,coinsurance_code,class_cd,it_remarks) values</v>
      </c>
      <c r="G470" s="11" t="str">
        <f t="shared" si="30"/>
        <v>('28Nov240101','040000128570','0',(select max(to_number(i.premium_rcv_detail_code))+1
from ins_premium_det i),'0','0','02', '11000003','00','Request by Mr. Omair Ali 29-Nov-2024');</v>
      </c>
      <c r="H470" s="12" t="str">
        <f t="shared" si="31"/>
        <v>insert into ins_premium_det (premium_rcv_code,assorted_code, rec_amount,premium_rcv_detail_code,remaining_amt, payrec, mode_code,coinsurance_code,class_cd,it_remarks) values('28Nov240101','040000128570','0',(select max(to_number(i.premium_rcv_detail_code))+1
from ins_premium_det i),'0','0','02', '11000003','00','Request by Mr. Omair Ali 29-Nov-2024');</v>
      </c>
    </row>
    <row r="471" spans="1:8" ht="105" x14ac:dyDescent="0.25">
      <c r="A471" t="s">
        <v>471</v>
      </c>
      <c r="B471" s="8" t="str">
        <f>VLOOKUP(A471,assortedcode!B:C,2,0)</f>
        <v>040000108490</v>
      </c>
      <c r="C471" s="1">
        <v>0</v>
      </c>
      <c r="D471" s="9">
        <f t="shared" si="29"/>
        <v>0</v>
      </c>
      <c r="E471" s="7" t="s">
        <v>8345</v>
      </c>
      <c r="F471" s="10" t="str">
        <f t="shared" si="28"/>
        <v>insert into ins_premium_det (premium_rcv_code,assorted_code, rec_amount,premium_rcv_detail_code,remaining_amt, payrec, mode_code,coinsurance_code,class_cd,it_remarks) values</v>
      </c>
      <c r="G471" s="11" t="str">
        <f t="shared" si="30"/>
        <v>('28Nov240101','040000108490','0',(select max(to_number(i.premium_rcv_detail_code))+1
from ins_premium_det i),'0','0','02', '11000003','00','Request by Mr. Omair Ali 29-Nov-2024');</v>
      </c>
      <c r="H471" s="12" t="str">
        <f t="shared" si="31"/>
        <v>insert into ins_premium_det (premium_rcv_code,assorted_code, rec_amount,premium_rcv_detail_code,remaining_amt, payrec, mode_code,coinsurance_code,class_cd,it_remarks) values('28Nov240101','040000108490','0',(select max(to_number(i.premium_rcv_detail_code))+1
from ins_premium_det i),'0','0','02', '11000003','00','Request by Mr. Omair Ali 29-Nov-2024');</v>
      </c>
    </row>
    <row r="472" spans="1:8" ht="105" x14ac:dyDescent="0.25">
      <c r="A472" t="s">
        <v>472</v>
      </c>
      <c r="B472" s="8" t="str">
        <f>VLOOKUP(A472,assortedcode!B:C,2,0)</f>
        <v>040000130506</v>
      </c>
      <c r="C472" s="1">
        <v>0</v>
      </c>
      <c r="D472" s="9">
        <f t="shared" si="29"/>
        <v>0</v>
      </c>
      <c r="E472" s="7" t="s">
        <v>8345</v>
      </c>
      <c r="F472" s="10" t="str">
        <f t="shared" si="28"/>
        <v>insert into ins_premium_det (premium_rcv_code,assorted_code, rec_amount,premium_rcv_detail_code,remaining_amt, payrec, mode_code,coinsurance_code,class_cd,it_remarks) values</v>
      </c>
      <c r="G472" s="11" t="str">
        <f t="shared" si="30"/>
        <v>('28Nov240101','040000130506','0',(select max(to_number(i.premium_rcv_detail_code))+1
from ins_premium_det i),'0','0','02', '11000003','00','Request by Mr. Omair Ali 29-Nov-2024');</v>
      </c>
      <c r="H472" s="12" t="str">
        <f t="shared" si="31"/>
        <v>insert into ins_premium_det (premium_rcv_code,assorted_code, rec_amount,premium_rcv_detail_code,remaining_amt, payrec, mode_code,coinsurance_code,class_cd,it_remarks) values('28Nov240101','040000130506','0',(select max(to_number(i.premium_rcv_detail_code))+1
from ins_premium_det i),'0','0','02', '11000003','00','Request by Mr. Omair Ali 29-Nov-2024');</v>
      </c>
    </row>
    <row r="473" spans="1:8" ht="105" x14ac:dyDescent="0.25">
      <c r="A473" t="s">
        <v>473</v>
      </c>
      <c r="B473" s="8" t="str">
        <f>VLOOKUP(A473,assortedcode!B:C,2,0)</f>
        <v>040000118683</v>
      </c>
      <c r="C473" s="1">
        <v>0</v>
      </c>
      <c r="D473" s="9">
        <f t="shared" si="29"/>
        <v>0</v>
      </c>
      <c r="E473" s="7" t="s">
        <v>8345</v>
      </c>
      <c r="F473" s="10" t="str">
        <f t="shared" si="28"/>
        <v>insert into ins_premium_det (premium_rcv_code,assorted_code, rec_amount,premium_rcv_detail_code,remaining_amt, payrec, mode_code,coinsurance_code,class_cd,it_remarks) values</v>
      </c>
      <c r="G473" s="11" t="str">
        <f t="shared" si="30"/>
        <v>('28Nov240101','040000118683','0',(select max(to_number(i.premium_rcv_detail_code))+1
from ins_premium_det i),'0','0','02', '11000003','00','Request by Mr. Omair Ali 29-Nov-2024');</v>
      </c>
      <c r="H473" s="12" t="str">
        <f t="shared" si="31"/>
        <v>insert into ins_premium_det (premium_rcv_code,assorted_code, rec_amount,premium_rcv_detail_code,remaining_amt, payrec, mode_code,coinsurance_code,class_cd,it_remarks) values('28Nov240101','040000118683','0',(select max(to_number(i.premium_rcv_detail_code))+1
from ins_premium_det i),'0','0','02', '11000003','00','Request by Mr. Omair Ali 29-Nov-2024');</v>
      </c>
    </row>
    <row r="474" spans="1:8" ht="105" x14ac:dyDescent="0.25">
      <c r="A474" t="s">
        <v>474</v>
      </c>
      <c r="B474" s="8" t="str">
        <f>VLOOKUP(A474,assortedcode!B:C,2,0)</f>
        <v>040000131767</v>
      </c>
      <c r="C474" s="1">
        <v>0</v>
      </c>
      <c r="D474" s="9">
        <f t="shared" si="29"/>
        <v>0</v>
      </c>
      <c r="E474" s="7" t="s">
        <v>8345</v>
      </c>
      <c r="F474" s="10" t="str">
        <f t="shared" si="28"/>
        <v>insert into ins_premium_det (premium_rcv_code,assorted_code, rec_amount,premium_rcv_detail_code,remaining_amt, payrec, mode_code,coinsurance_code,class_cd,it_remarks) values</v>
      </c>
      <c r="G474" s="11" t="str">
        <f t="shared" si="30"/>
        <v>('28Nov240101','040000131767','0',(select max(to_number(i.premium_rcv_detail_code))+1
from ins_premium_det i),'0','0','02', '11000003','00','Request by Mr. Omair Ali 29-Nov-2024');</v>
      </c>
      <c r="H474" s="12" t="str">
        <f t="shared" si="31"/>
        <v>insert into ins_premium_det (premium_rcv_code,assorted_code, rec_amount,premium_rcv_detail_code,remaining_amt, payrec, mode_code,coinsurance_code,class_cd,it_remarks) values('28Nov240101','040000131767','0',(select max(to_number(i.premium_rcv_detail_code))+1
from ins_premium_det i),'0','0','02', '11000003','00','Request by Mr. Omair Ali 29-Nov-2024');</v>
      </c>
    </row>
    <row r="475" spans="1:8" ht="105" x14ac:dyDescent="0.25">
      <c r="A475" t="s">
        <v>475</v>
      </c>
      <c r="B475" s="8" t="str">
        <f>VLOOKUP(A475,assortedcode!B:C,2,0)</f>
        <v>040000125342</v>
      </c>
      <c r="C475" s="1">
        <v>0</v>
      </c>
      <c r="D475" s="9">
        <f t="shared" si="29"/>
        <v>0</v>
      </c>
      <c r="E475" s="7" t="s">
        <v>8345</v>
      </c>
      <c r="F475" s="10" t="str">
        <f t="shared" si="28"/>
        <v>insert into ins_premium_det (premium_rcv_code,assorted_code, rec_amount,premium_rcv_detail_code,remaining_amt, payrec, mode_code,coinsurance_code,class_cd,it_remarks) values</v>
      </c>
      <c r="G475" s="11" t="str">
        <f t="shared" si="30"/>
        <v>('28Nov240101','040000125342','0',(select max(to_number(i.premium_rcv_detail_code))+1
from ins_premium_det i),'0','0','02', '11000003','00','Request by Mr. Omair Ali 29-Nov-2024');</v>
      </c>
      <c r="H475" s="12" t="str">
        <f t="shared" si="31"/>
        <v>insert into ins_premium_det (premium_rcv_code,assorted_code, rec_amount,premium_rcv_detail_code,remaining_amt, payrec, mode_code,coinsurance_code,class_cd,it_remarks) values('28Nov240101','040000125342','0',(select max(to_number(i.premium_rcv_detail_code))+1
from ins_premium_det i),'0','0','02', '11000003','00','Request by Mr. Omair Ali 29-Nov-2024');</v>
      </c>
    </row>
    <row r="476" spans="1:8" ht="105" x14ac:dyDescent="0.25">
      <c r="A476" t="s">
        <v>476</v>
      </c>
      <c r="B476" s="8" t="str">
        <f>VLOOKUP(A476,assortedcode!B:C,2,0)</f>
        <v>040000132062</v>
      </c>
      <c r="C476" s="1">
        <v>0</v>
      </c>
      <c r="D476" s="9">
        <f t="shared" si="29"/>
        <v>0</v>
      </c>
      <c r="E476" s="7" t="s">
        <v>8345</v>
      </c>
      <c r="F476" s="10" t="str">
        <f t="shared" si="28"/>
        <v>insert into ins_premium_det (premium_rcv_code,assorted_code, rec_amount,premium_rcv_detail_code,remaining_amt, payrec, mode_code,coinsurance_code,class_cd,it_remarks) values</v>
      </c>
      <c r="G476" s="11" t="str">
        <f t="shared" si="30"/>
        <v>('28Nov240101','040000132062','0',(select max(to_number(i.premium_rcv_detail_code))+1
from ins_premium_det i),'0','0','02', '11000003','00','Request by Mr. Omair Ali 29-Nov-2024');</v>
      </c>
      <c r="H476" s="12" t="str">
        <f t="shared" si="31"/>
        <v>insert into ins_premium_det (premium_rcv_code,assorted_code, rec_amount,premium_rcv_detail_code,remaining_amt, payrec, mode_code,coinsurance_code,class_cd,it_remarks) values('28Nov240101','040000132062','0',(select max(to_number(i.premium_rcv_detail_code))+1
from ins_premium_det i),'0','0','02', '11000003','00','Request by Mr. Omair Ali 29-Nov-2024');</v>
      </c>
    </row>
    <row r="477" spans="1:8" ht="105" x14ac:dyDescent="0.25">
      <c r="A477" t="s">
        <v>477</v>
      </c>
      <c r="B477" s="8" t="str">
        <f>VLOOKUP(A477,assortedcode!B:C,2,0)</f>
        <v>040000132592</v>
      </c>
      <c r="C477" s="1">
        <v>0</v>
      </c>
      <c r="D477" s="9">
        <f t="shared" si="29"/>
        <v>0</v>
      </c>
      <c r="E477" s="7" t="s">
        <v>8345</v>
      </c>
      <c r="F477" s="10" t="str">
        <f t="shared" si="28"/>
        <v>insert into ins_premium_det (premium_rcv_code,assorted_code, rec_amount,premium_rcv_detail_code,remaining_amt, payrec, mode_code,coinsurance_code,class_cd,it_remarks) values</v>
      </c>
      <c r="G477" s="11" t="str">
        <f t="shared" si="30"/>
        <v>('28Nov240101','040000132592','0',(select max(to_number(i.premium_rcv_detail_code))+1
from ins_premium_det i),'0','0','02', '11000003','00','Request by Mr. Omair Ali 29-Nov-2024');</v>
      </c>
      <c r="H477" s="12" t="str">
        <f t="shared" si="31"/>
        <v>insert into ins_premium_det (premium_rcv_code,assorted_code, rec_amount,premium_rcv_detail_code,remaining_amt, payrec, mode_code,coinsurance_code,class_cd,it_remarks) values('28Nov240101','040000132592','0',(select max(to_number(i.premium_rcv_detail_code))+1
from ins_premium_det i),'0','0','02', '11000003','00','Request by Mr. Omair Ali 29-Nov-2024');</v>
      </c>
    </row>
    <row r="478" spans="1:8" ht="105" x14ac:dyDescent="0.25">
      <c r="A478" t="s">
        <v>478</v>
      </c>
      <c r="B478" s="8" t="str">
        <f>VLOOKUP(A478,assortedcode!B:C,2,0)</f>
        <v>040000132477</v>
      </c>
      <c r="C478" s="1">
        <v>0</v>
      </c>
      <c r="D478" s="9">
        <f t="shared" si="29"/>
        <v>0</v>
      </c>
      <c r="E478" s="7" t="s">
        <v>8345</v>
      </c>
      <c r="F478" s="10" t="str">
        <f t="shared" si="28"/>
        <v>insert into ins_premium_det (premium_rcv_code,assorted_code, rec_amount,premium_rcv_detail_code,remaining_amt, payrec, mode_code,coinsurance_code,class_cd,it_remarks) values</v>
      </c>
      <c r="G478" s="11" t="str">
        <f t="shared" si="30"/>
        <v>('28Nov240101','040000132477','0',(select max(to_number(i.premium_rcv_detail_code))+1
from ins_premium_det i),'0','0','02', '11000003','00','Request by Mr. Omair Ali 29-Nov-2024');</v>
      </c>
      <c r="H478" s="12" t="str">
        <f t="shared" si="31"/>
        <v>insert into ins_premium_det (premium_rcv_code,assorted_code, rec_amount,premium_rcv_detail_code,remaining_amt, payrec, mode_code,coinsurance_code,class_cd,it_remarks) values('28Nov240101','040000132477','0',(select max(to_number(i.premium_rcv_detail_code))+1
from ins_premium_det i),'0','0','02', '11000003','00','Request by Mr. Omair Ali 29-Nov-2024');</v>
      </c>
    </row>
    <row r="479" spans="1:8" ht="105" x14ac:dyDescent="0.25">
      <c r="A479" t="s">
        <v>479</v>
      </c>
      <c r="B479" s="8" t="str">
        <f>VLOOKUP(A479,assortedcode!B:C,2,0)</f>
        <v>040000171529</v>
      </c>
      <c r="C479" s="1">
        <v>0</v>
      </c>
      <c r="D479" s="9">
        <f t="shared" si="29"/>
        <v>0</v>
      </c>
      <c r="E479" s="7" t="s">
        <v>8345</v>
      </c>
      <c r="F479" s="10" t="str">
        <f t="shared" si="28"/>
        <v>insert into ins_premium_det (premium_rcv_code,assorted_code, rec_amount,premium_rcv_detail_code,remaining_amt, payrec, mode_code,coinsurance_code,class_cd,it_remarks) values</v>
      </c>
      <c r="G479" s="11" t="str">
        <f t="shared" si="30"/>
        <v>('28Nov240101','040000171529','0',(select max(to_number(i.premium_rcv_detail_code))+1
from ins_premium_det i),'0','0','02', '11000003','00','Request by Mr. Omair Ali 29-Nov-2024');</v>
      </c>
      <c r="H479" s="12" t="str">
        <f t="shared" si="31"/>
        <v>insert into ins_premium_det (premium_rcv_code,assorted_code, rec_amount,premium_rcv_detail_code,remaining_amt, payrec, mode_code,coinsurance_code,class_cd,it_remarks) values('28Nov240101','040000171529','0',(select max(to_number(i.premium_rcv_detail_code))+1
from ins_premium_det i),'0','0','02', '11000003','00','Request by Mr. Omair Ali 29-Nov-2024');</v>
      </c>
    </row>
    <row r="480" spans="1:8" ht="105" x14ac:dyDescent="0.25">
      <c r="A480" t="s">
        <v>480</v>
      </c>
      <c r="B480" s="8" t="str">
        <f>VLOOKUP(A480,assortedcode!B:C,2,0)</f>
        <v>040000132830</v>
      </c>
      <c r="C480" s="1">
        <v>0</v>
      </c>
      <c r="D480" s="9">
        <f t="shared" si="29"/>
        <v>0</v>
      </c>
      <c r="E480" s="7" t="s">
        <v>8345</v>
      </c>
      <c r="F480" s="10" t="str">
        <f t="shared" si="28"/>
        <v>insert into ins_premium_det (premium_rcv_code,assorted_code, rec_amount,premium_rcv_detail_code,remaining_amt, payrec, mode_code,coinsurance_code,class_cd,it_remarks) values</v>
      </c>
      <c r="G480" s="11" t="str">
        <f t="shared" si="30"/>
        <v>('28Nov240101','040000132830','0',(select max(to_number(i.premium_rcv_detail_code))+1
from ins_premium_det i),'0','0','02', '11000003','00','Request by Mr. Omair Ali 29-Nov-2024');</v>
      </c>
      <c r="H480" s="12" t="str">
        <f t="shared" si="31"/>
        <v>insert into ins_premium_det (premium_rcv_code,assorted_code, rec_amount,premium_rcv_detail_code,remaining_amt, payrec, mode_code,coinsurance_code,class_cd,it_remarks) values('28Nov240101','040000132830','0',(select max(to_number(i.premium_rcv_detail_code))+1
from ins_premium_det i),'0','0','02', '11000003','00','Request by Mr. Omair Ali 29-Nov-2024');</v>
      </c>
    </row>
    <row r="481" spans="1:8" ht="105" x14ac:dyDescent="0.25">
      <c r="A481" t="s">
        <v>481</v>
      </c>
      <c r="B481" s="8" t="str">
        <f>VLOOKUP(A481,assortedcode!B:C,2,0)</f>
        <v>040000178051</v>
      </c>
      <c r="C481" s="1">
        <v>0</v>
      </c>
      <c r="D481" s="9">
        <f t="shared" si="29"/>
        <v>0</v>
      </c>
      <c r="E481" s="7" t="s">
        <v>8345</v>
      </c>
      <c r="F481" s="10" t="str">
        <f t="shared" si="28"/>
        <v>insert into ins_premium_det (premium_rcv_code,assorted_code, rec_amount,premium_rcv_detail_code,remaining_amt, payrec, mode_code,coinsurance_code,class_cd,it_remarks) values</v>
      </c>
      <c r="G481" s="11" t="str">
        <f t="shared" si="30"/>
        <v>('28Nov240101','040000178051','0',(select max(to_number(i.premium_rcv_detail_code))+1
from ins_premium_det i),'0','0','02', '11000003','00','Request by Mr. Omair Ali 29-Nov-2024');</v>
      </c>
      <c r="H481" s="12" t="str">
        <f t="shared" si="31"/>
        <v>insert into ins_premium_det (premium_rcv_code,assorted_code, rec_amount,premium_rcv_detail_code,remaining_amt, payrec, mode_code,coinsurance_code,class_cd,it_remarks) values('28Nov240101','040000178051','0',(select max(to_number(i.premium_rcv_detail_code))+1
from ins_premium_det i),'0','0','02', '11000003','00','Request by Mr. Omair Ali 29-Nov-2024');</v>
      </c>
    </row>
    <row r="482" spans="1:8" ht="105" x14ac:dyDescent="0.25">
      <c r="A482" t="s">
        <v>482</v>
      </c>
      <c r="B482" s="8" t="str">
        <f>VLOOKUP(A482,assortedcode!B:C,2,0)</f>
        <v>040000133122</v>
      </c>
      <c r="C482" s="1">
        <v>0</v>
      </c>
      <c r="D482" s="9">
        <f t="shared" si="29"/>
        <v>0</v>
      </c>
      <c r="E482" s="7" t="s">
        <v>8345</v>
      </c>
      <c r="F482" s="10" t="str">
        <f t="shared" si="28"/>
        <v>insert into ins_premium_det (premium_rcv_code,assorted_code, rec_amount,premium_rcv_detail_code,remaining_amt, payrec, mode_code,coinsurance_code,class_cd,it_remarks) values</v>
      </c>
      <c r="G482" s="11" t="str">
        <f t="shared" si="30"/>
        <v>('28Nov240101','040000133122','0',(select max(to_number(i.premium_rcv_detail_code))+1
from ins_premium_det i),'0','0','02', '11000003','00','Request by Mr. Omair Ali 29-Nov-2024');</v>
      </c>
      <c r="H482" s="12" t="str">
        <f t="shared" si="31"/>
        <v>insert into ins_premium_det (premium_rcv_code,assorted_code, rec_amount,premium_rcv_detail_code,remaining_amt, payrec, mode_code,coinsurance_code,class_cd,it_remarks) values('28Nov240101','040000133122','0',(select max(to_number(i.premium_rcv_detail_code))+1
from ins_premium_det i),'0','0','02', '11000003','00','Request by Mr. Omair Ali 29-Nov-2024');</v>
      </c>
    </row>
    <row r="483" spans="1:8" ht="105" x14ac:dyDescent="0.25">
      <c r="A483" t="s">
        <v>483</v>
      </c>
      <c r="B483" s="8" t="str">
        <f>VLOOKUP(A483,assortedcode!B:C,2,0)</f>
        <v>070000167887</v>
      </c>
      <c r="C483" s="1">
        <v>0</v>
      </c>
      <c r="D483" s="9">
        <f t="shared" si="29"/>
        <v>0</v>
      </c>
      <c r="E483" s="7" t="s">
        <v>8345</v>
      </c>
      <c r="F483" s="10" t="str">
        <f t="shared" si="28"/>
        <v>insert into ins_premium_det (premium_rcv_code,assorted_code, rec_amount,premium_rcv_detail_code,remaining_amt, payrec, mode_code,coinsurance_code,class_cd,it_remarks) values</v>
      </c>
      <c r="G483" s="11" t="str">
        <f t="shared" si="30"/>
        <v>('28Nov240101','070000167887','0',(select max(to_number(i.premium_rcv_detail_code))+1
from ins_premium_det i),'0','0','02', '11000003','00','Request by Mr. Omair Ali 29-Nov-2024');</v>
      </c>
      <c r="H483" s="12" t="str">
        <f t="shared" si="31"/>
        <v>insert into ins_premium_det (premium_rcv_code,assorted_code, rec_amount,premium_rcv_detail_code,remaining_amt, payrec, mode_code,coinsurance_code,class_cd,it_remarks) values('28Nov240101','070000167887','0',(select max(to_number(i.premium_rcv_detail_code))+1
from ins_premium_det i),'0','0','02', '11000003','00','Request by Mr. Omair Ali 29-Nov-2024');</v>
      </c>
    </row>
    <row r="484" spans="1:8" ht="105" x14ac:dyDescent="0.25">
      <c r="A484" t="s">
        <v>484</v>
      </c>
      <c r="B484" s="8" t="str">
        <f>VLOOKUP(A484,assortedcode!B:C,2,0)</f>
        <v>040000133536</v>
      </c>
      <c r="C484" s="1">
        <v>0</v>
      </c>
      <c r="D484" s="9">
        <f t="shared" si="29"/>
        <v>0</v>
      </c>
      <c r="E484" s="7" t="s">
        <v>8345</v>
      </c>
      <c r="F484" s="10" t="str">
        <f t="shared" si="28"/>
        <v>insert into ins_premium_det (premium_rcv_code,assorted_code, rec_amount,premium_rcv_detail_code,remaining_amt, payrec, mode_code,coinsurance_code,class_cd,it_remarks) values</v>
      </c>
      <c r="G484" s="11" t="str">
        <f t="shared" si="30"/>
        <v>('28Nov240101','040000133536','0',(select max(to_number(i.premium_rcv_detail_code))+1
from ins_premium_det i),'0','0','02', '11000003','00','Request by Mr. Omair Ali 29-Nov-2024');</v>
      </c>
      <c r="H484" s="12" t="str">
        <f t="shared" si="31"/>
        <v>insert into ins_premium_det (premium_rcv_code,assorted_code, rec_amount,premium_rcv_detail_code,remaining_amt, payrec, mode_code,coinsurance_code,class_cd,it_remarks) values('28Nov240101','040000133536','0',(select max(to_number(i.premium_rcv_detail_code))+1
from ins_premium_det i),'0','0','02', '11000003','00','Request by Mr. Omair Ali 29-Nov-2024');</v>
      </c>
    </row>
    <row r="485" spans="1:8" ht="105" x14ac:dyDescent="0.25">
      <c r="A485" t="s">
        <v>485</v>
      </c>
      <c r="B485" s="8" t="str">
        <f>VLOOKUP(A485,assortedcode!B:C,2,0)</f>
        <v>070000096118</v>
      </c>
      <c r="C485" s="1">
        <v>0</v>
      </c>
      <c r="D485" s="9">
        <f t="shared" si="29"/>
        <v>0</v>
      </c>
      <c r="E485" s="7" t="s">
        <v>8345</v>
      </c>
      <c r="F485" s="10" t="str">
        <f t="shared" si="28"/>
        <v>insert into ins_premium_det (premium_rcv_code,assorted_code, rec_amount,premium_rcv_detail_code,remaining_amt, payrec, mode_code,coinsurance_code,class_cd,it_remarks) values</v>
      </c>
      <c r="G485" s="11" t="str">
        <f t="shared" si="30"/>
        <v>('28Nov240101','070000096118','0',(select max(to_number(i.premium_rcv_detail_code))+1
from ins_premium_det i),'0','0','02', '11000003','00','Request by Mr. Omair Ali 29-Nov-2024');</v>
      </c>
      <c r="H485" s="12" t="str">
        <f t="shared" si="31"/>
        <v>insert into ins_premium_det (premium_rcv_code,assorted_code, rec_amount,premium_rcv_detail_code,remaining_amt, payrec, mode_code,coinsurance_code,class_cd,it_remarks) values('28Nov240101','070000096118','0',(select max(to_number(i.premium_rcv_detail_code))+1
from ins_premium_det i),'0','0','02', '11000003','00','Request by Mr. Omair Ali 29-Nov-2024');</v>
      </c>
    </row>
    <row r="486" spans="1:8" ht="105" x14ac:dyDescent="0.25">
      <c r="A486" t="s">
        <v>486</v>
      </c>
      <c r="B486" s="8" t="str">
        <f>VLOOKUP(A486,assortedcode!B:C,2,0)</f>
        <v>070000166968</v>
      </c>
      <c r="C486" s="1">
        <v>0</v>
      </c>
      <c r="D486" s="9">
        <f t="shared" si="29"/>
        <v>0</v>
      </c>
      <c r="E486" s="7" t="s">
        <v>8345</v>
      </c>
      <c r="F486" s="10" t="str">
        <f t="shared" si="28"/>
        <v>insert into ins_premium_det (premium_rcv_code,assorted_code, rec_amount,premium_rcv_detail_code,remaining_amt, payrec, mode_code,coinsurance_code,class_cd,it_remarks) values</v>
      </c>
      <c r="G486" s="11" t="str">
        <f t="shared" si="30"/>
        <v>('28Nov240101','070000166968','0',(select max(to_number(i.premium_rcv_detail_code))+1
from ins_premium_det i),'0','0','02', '11000003','00','Request by Mr. Omair Ali 29-Nov-2024');</v>
      </c>
      <c r="H486" s="12" t="str">
        <f t="shared" si="31"/>
        <v>insert into ins_premium_det (premium_rcv_code,assorted_code, rec_amount,premium_rcv_detail_code,remaining_amt, payrec, mode_code,coinsurance_code,class_cd,it_remarks) values('28Nov240101','070000166968','0',(select max(to_number(i.premium_rcv_detail_code))+1
from ins_premium_det i),'0','0','02', '11000003','00','Request by Mr. Omair Ali 29-Nov-2024');</v>
      </c>
    </row>
    <row r="487" spans="1:8" ht="105" x14ac:dyDescent="0.25">
      <c r="A487" t="s">
        <v>487</v>
      </c>
      <c r="B487" s="8" t="str">
        <f>VLOOKUP(A487,assortedcode!B:C,2,0)</f>
        <v>040000121875</v>
      </c>
      <c r="C487" s="1">
        <v>0</v>
      </c>
      <c r="D487" s="9">
        <f t="shared" si="29"/>
        <v>0</v>
      </c>
      <c r="E487" s="7" t="s">
        <v>8345</v>
      </c>
      <c r="F487" s="10" t="str">
        <f t="shared" si="28"/>
        <v>insert into ins_premium_det (premium_rcv_code,assorted_code, rec_amount,premium_rcv_detail_code,remaining_amt, payrec, mode_code,coinsurance_code,class_cd,it_remarks) values</v>
      </c>
      <c r="G487" s="11" t="str">
        <f t="shared" si="30"/>
        <v>('28Nov240101','040000121875','0',(select max(to_number(i.premium_rcv_detail_code))+1
from ins_premium_det i),'0','0','02', '11000003','00','Request by Mr. Omair Ali 29-Nov-2024');</v>
      </c>
      <c r="H487" s="12" t="str">
        <f t="shared" si="31"/>
        <v>insert into ins_premium_det (premium_rcv_code,assorted_code, rec_amount,premium_rcv_detail_code,remaining_amt, payrec, mode_code,coinsurance_code,class_cd,it_remarks) values('28Nov240101','040000121875','0',(select max(to_number(i.premium_rcv_detail_code))+1
from ins_premium_det i),'0','0','02', '11000003','00','Request by Mr. Omair Ali 29-Nov-2024');</v>
      </c>
    </row>
    <row r="488" spans="1:8" ht="105" x14ac:dyDescent="0.25">
      <c r="A488" t="s">
        <v>488</v>
      </c>
      <c r="B488" s="8" t="str">
        <f>VLOOKUP(A488,assortedcode!B:C,2,0)</f>
        <v>040000135880</v>
      </c>
      <c r="C488" s="1">
        <v>0</v>
      </c>
      <c r="D488" s="9">
        <f t="shared" si="29"/>
        <v>0</v>
      </c>
      <c r="E488" s="7" t="s">
        <v>8345</v>
      </c>
      <c r="F488" s="10" t="str">
        <f t="shared" si="28"/>
        <v>insert into ins_premium_det (premium_rcv_code,assorted_code, rec_amount,premium_rcv_detail_code,remaining_amt, payrec, mode_code,coinsurance_code,class_cd,it_remarks) values</v>
      </c>
      <c r="G488" s="11" t="str">
        <f t="shared" si="30"/>
        <v>('28Nov240101','040000135880','0',(select max(to_number(i.premium_rcv_detail_code))+1
from ins_premium_det i),'0','0','02', '11000003','00','Request by Mr. Omair Ali 29-Nov-2024');</v>
      </c>
      <c r="H488" s="12" t="str">
        <f t="shared" si="31"/>
        <v>insert into ins_premium_det (premium_rcv_code,assorted_code, rec_amount,premium_rcv_detail_code,remaining_amt, payrec, mode_code,coinsurance_code,class_cd,it_remarks) values('28Nov240101','040000135880','0',(select max(to_number(i.premium_rcv_detail_code))+1
from ins_premium_det i),'0','0','02', '11000003','00','Request by Mr. Omair Ali 29-Nov-2024');</v>
      </c>
    </row>
    <row r="489" spans="1:8" ht="105" x14ac:dyDescent="0.25">
      <c r="A489" t="s">
        <v>489</v>
      </c>
      <c r="B489" s="8" t="str">
        <f>VLOOKUP(A489,assortedcode!B:C,2,0)</f>
        <v>070000109695</v>
      </c>
      <c r="C489" s="1">
        <v>0</v>
      </c>
      <c r="D489" s="9">
        <f t="shared" si="29"/>
        <v>0</v>
      </c>
      <c r="E489" s="7" t="s">
        <v>8345</v>
      </c>
      <c r="F489" s="10" t="str">
        <f t="shared" si="28"/>
        <v>insert into ins_premium_det (premium_rcv_code,assorted_code, rec_amount,premium_rcv_detail_code,remaining_amt, payrec, mode_code,coinsurance_code,class_cd,it_remarks) values</v>
      </c>
      <c r="G489" s="11" t="str">
        <f t="shared" si="30"/>
        <v>('28Nov240101','070000109695','0',(select max(to_number(i.premium_rcv_detail_code))+1
from ins_premium_det i),'0','0','02', '11000003','00','Request by Mr. Omair Ali 29-Nov-2024');</v>
      </c>
      <c r="H489" s="12" t="str">
        <f t="shared" si="31"/>
        <v>insert into ins_premium_det (premium_rcv_code,assorted_code, rec_amount,premium_rcv_detail_code,remaining_amt, payrec, mode_code,coinsurance_code,class_cd,it_remarks) values('28Nov240101','070000109695','0',(select max(to_number(i.premium_rcv_detail_code))+1
from ins_premium_det i),'0','0','02', '11000003','00','Request by Mr. Omair Ali 29-Nov-2024');</v>
      </c>
    </row>
    <row r="490" spans="1:8" ht="105" x14ac:dyDescent="0.25">
      <c r="A490" t="s">
        <v>490</v>
      </c>
      <c r="B490" s="8" t="str">
        <f>VLOOKUP(A490,assortedcode!B:C,2,0)</f>
        <v>040000135921</v>
      </c>
      <c r="C490" s="1">
        <v>0</v>
      </c>
      <c r="D490" s="9">
        <f t="shared" si="29"/>
        <v>0</v>
      </c>
      <c r="E490" s="7" t="s">
        <v>8345</v>
      </c>
      <c r="F490" s="10" t="str">
        <f t="shared" si="28"/>
        <v>insert into ins_premium_det (premium_rcv_code,assorted_code, rec_amount,premium_rcv_detail_code,remaining_amt, payrec, mode_code,coinsurance_code,class_cd,it_remarks) values</v>
      </c>
      <c r="G490" s="11" t="str">
        <f t="shared" si="30"/>
        <v>('28Nov240101','040000135921','0',(select max(to_number(i.premium_rcv_detail_code))+1
from ins_premium_det i),'0','0','02', '11000003','00','Request by Mr. Omair Ali 29-Nov-2024');</v>
      </c>
      <c r="H490" s="12" t="str">
        <f t="shared" si="31"/>
        <v>insert into ins_premium_det (premium_rcv_code,assorted_code, rec_amount,premium_rcv_detail_code,remaining_amt, payrec, mode_code,coinsurance_code,class_cd,it_remarks) values('28Nov240101','040000135921','0',(select max(to_number(i.premium_rcv_detail_code))+1
from ins_premium_det i),'0','0','02', '11000003','00','Request by Mr. Omair Ali 29-Nov-2024');</v>
      </c>
    </row>
    <row r="491" spans="1:8" ht="105" x14ac:dyDescent="0.25">
      <c r="A491" t="s">
        <v>491</v>
      </c>
      <c r="B491" s="8" t="str">
        <f>VLOOKUP(A491,assortedcode!B:C,2,0)</f>
        <v>070000113266</v>
      </c>
      <c r="C491" s="1">
        <v>0</v>
      </c>
      <c r="D491" s="9">
        <f t="shared" si="29"/>
        <v>0</v>
      </c>
      <c r="E491" s="7" t="s">
        <v>8345</v>
      </c>
      <c r="F491" s="10" t="str">
        <f t="shared" si="28"/>
        <v>insert into ins_premium_det (premium_rcv_code,assorted_code, rec_amount,premium_rcv_detail_code,remaining_amt, payrec, mode_code,coinsurance_code,class_cd,it_remarks) values</v>
      </c>
      <c r="G491" s="11" t="str">
        <f t="shared" si="30"/>
        <v>('28Nov240101','070000113266','0',(select max(to_number(i.premium_rcv_detail_code))+1
from ins_premium_det i),'0','0','02', '11000003','00','Request by Mr. Omair Ali 29-Nov-2024');</v>
      </c>
      <c r="H491" s="12" t="str">
        <f t="shared" si="31"/>
        <v>insert into ins_premium_det (premium_rcv_code,assorted_code, rec_amount,premium_rcv_detail_code,remaining_amt, payrec, mode_code,coinsurance_code,class_cd,it_remarks) values('28Nov240101','070000113266','0',(select max(to_number(i.premium_rcv_detail_code))+1
from ins_premium_det i),'0','0','02', '11000003','00','Request by Mr. Omair Ali 29-Nov-2024');</v>
      </c>
    </row>
    <row r="492" spans="1:8" ht="105" x14ac:dyDescent="0.25">
      <c r="A492" t="s">
        <v>492</v>
      </c>
      <c r="B492" s="8" t="str">
        <f>VLOOKUP(A492,assortedcode!B:C,2,0)</f>
        <v>040000136221</v>
      </c>
      <c r="C492" s="1">
        <v>0</v>
      </c>
      <c r="D492" s="9">
        <f t="shared" si="29"/>
        <v>0</v>
      </c>
      <c r="E492" s="7" t="s">
        <v>8345</v>
      </c>
      <c r="F492" s="10" t="str">
        <f t="shared" si="28"/>
        <v>insert into ins_premium_det (premium_rcv_code,assorted_code, rec_amount,premium_rcv_detail_code,remaining_amt, payrec, mode_code,coinsurance_code,class_cd,it_remarks) values</v>
      </c>
      <c r="G492" s="11" t="str">
        <f t="shared" si="30"/>
        <v>('28Nov240101','040000136221','0',(select max(to_number(i.premium_rcv_detail_code))+1
from ins_premium_det i),'0','0','02', '11000003','00','Request by Mr. Omair Ali 29-Nov-2024');</v>
      </c>
      <c r="H492" s="12" t="str">
        <f t="shared" si="31"/>
        <v>insert into ins_premium_det (premium_rcv_code,assorted_code, rec_amount,premium_rcv_detail_code,remaining_amt, payrec, mode_code,coinsurance_code,class_cd,it_remarks) values('28Nov240101','040000136221','0',(select max(to_number(i.premium_rcv_detail_code))+1
from ins_premium_det i),'0','0','02', '11000003','00','Request by Mr. Omair Ali 29-Nov-2024');</v>
      </c>
    </row>
    <row r="493" spans="1:8" ht="105" x14ac:dyDescent="0.25">
      <c r="A493" t="s">
        <v>493</v>
      </c>
      <c r="B493" s="8" t="str">
        <f>VLOOKUP(A493,assortedcode!B:C,2,0)</f>
        <v>070000116253</v>
      </c>
      <c r="C493" s="1">
        <v>0</v>
      </c>
      <c r="D493" s="9">
        <f t="shared" si="29"/>
        <v>0</v>
      </c>
      <c r="E493" s="7" t="s">
        <v>8345</v>
      </c>
      <c r="F493" s="10" t="str">
        <f t="shared" si="28"/>
        <v>insert into ins_premium_det (premium_rcv_code,assorted_code, rec_amount,premium_rcv_detail_code,remaining_amt, payrec, mode_code,coinsurance_code,class_cd,it_remarks) values</v>
      </c>
      <c r="G493" s="11" t="str">
        <f t="shared" si="30"/>
        <v>('28Nov240101','070000116253','0',(select max(to_number(i.premium_rcv_detail_code))+1
from ins_premium_det i),'0','0','02', '11000003','00','Request by Mr. Omair Ali 29-Nov-2024');</v>
      </c>
      <c r="H493" s="12" t="str">
        <f t="shared" si="31"/>
        <v>insert into ins_premium_det (premium_rcv_code,assorted_code, rec_amount,premium_rcv_detail_code,remaining_amt, payrec, mode_code,coinsurance_code,class_cd,it_remarks) values('28Nov240101','070000116253','0',(select max(to_number(i.premium_rcv_detail_code))+1
from ins_premium_det i),'0','0','02', '11000003','00','Request by Mr. Omair Ali 29-Nov-2024');</v>
      </c>
    </row>
    <row r="494" spans="1:8" ht="105" x14ac:dyDescent="0.25">
      <c r="A494" t="s">
        <v>494</v>
      </c>
      <c r="B494" s="8" t="str">
        <f>VLOOKUP(A494,assortedcode!B:C,2,0)</f>
        <v>040000137108</v>
      </c>
      <c r="C494" s="1">
        <v>0</v>
      </c>
      <c r="D494" s="9">
        <f t="shared" si="29"/>
        <v>0</v>
      </c>
      <c r="E494" s="7" t="s">
        <v>8345</v>
      </c>
      <c r="F494" s="10" t="str">
        <f t="shared" si="28"/>
        <v>insert into ins_premium_det (premium_rcv_code,assorted_code, rec_amount,premium_rcv_detail_code,remaining_amt, payrec, mode_code,coinsurance_code,class_cd,it_remarks) values</v>
      </c>
      <c r="G494" s="11" t="str">
        <f t="shared" si="30"/>
        <v>('28Nov240101','040000137108','0',(select max(to_number(i.premium_rcv_detail_code))+1
from ins_premium_det i),'0','0','02', '11000003','00','Request by Mr. Omair Ali 29-Nov-2024');</v>
      </c>
      <c r="H494" s="12" t="str">
        <f t="shared" si="31"/>
        <v>insert into ins_premium_det (premium_rcv_code,assorted_code, rec_amount,premium_rcv_detail_code,remaining_amt, payrec, mode_code,coinsurance_code,class_cd,it_remarks) values('28Nov240101','040000137108','0',(select max(to_number(i.premium_rcv_detail_code))+1
from ins_premium_det i),'0','0','02', '11000003','00','Request by Mr. Omair Ali 29-Nov-2024');</v>
      </c>
    </row>
    <row r="495" spans="1:8" ht="105" x14ac:dyDescent="0.25">
      <c r="A495" t="s">
        <v>495</v>
      </c>
      <c r="B495" s="8" t="str">
        <f>VLOOKUP(A495,assortedcode!B:C,2,0)</f>
        <v>070000118000</v>
      </c>
      <c r="C495" s="1">
        <v>0</v>
      </c>
      <c r="D495" s="9">
        <f t="shared" si="29"/>
        <v>0</v>
      </c>
      <c r="E495" s="7" t="s">
        <v>8345</v>
      </c>
      <c r="F495" s="10" t="str">
        <f t="shared" si="28"/>
        <v>insert into ins_premium_det (premium_rcv_code,assorted_code, rec_amount,premium_rcv_detail_code,remaining_amt, payrec, mode_code,coinsurance_code,class_cd,it_remarks) values</v>
      </c>
      <c r="G495" s="11" t="str">
        <f t="shared" si="30"/>
        <v>('28Nov240101','070000118000','0',(select max(to_number(i.premium_rcv_detail_code))+1
from ins_premium_det i),'0','0','02', '11000003','00','Request by Mr. Omair Ali 29-Nov-2024');</v>
      </c>
      <c r="H495" s="12" t="str">
        <f t="shared" si="31"/>
        <v>insert into ins_premium_det (premium_rcv_code,assorted_code, rec_amount,premium_rcv_detail_code,remaining_amt, payrec, mode_code,coinsurance_code,class_cd,it_remarks) values('28Nov240101','070000118000','0',(select max(to_number(i.premium_rcv_detail_code))+1
from ins_premium_det i),'0','0','02', '11000003','00','Request by Mr. Omair Ali 29-Nov-2024');</v>
      </c>
    </row>
    <row r="496" spans="1:8" ht="105" x14ac:dyDescent="0.25">
      <c r="A496" t="s">
        <v>496</v>
      </c>
      <c r="B496" s="8" t="str">
        <f>VLOOKUP(A496,assortedcode!B:C,2,0)</f>
        <v>040000137376</v>
      </c>
      <c r="C496" s="1">
        <v>0</v>
      </c>
      <c r="D496" s="9">
        <f t="shared" si="29"/>
        <v>0</v>
      </c>
      <c r="E496" s="7" t="s">
        <v>8345</v>
      </c>
      <c r="F496" s="10" t="str">
        <f t="shared" si="28"/>
        <v>insert into ins_premium_det (premium_rcv_code,assorted_code, rec_amount,premium_rcv_detail_code,remaining_amt, payrec, mode_code,coinsurance_code,class_cd,it_remarks) values</v>
      </c>
      <c r="G496" s="11" t="str">
        <f t="shared" si="30"/>
        <v>('28Nov240101','040000137376','0',(select max(to_number(i.premium_rcv_detail_code))+1
from ins_premium_det i),'0','0','02', '11000003','00','Request by Mr. Omair Ali 29-Nov-2024');</v>
      </c>
      <c r="H496" s="12" t="str">
        <f t="shared" si="31"/>
        <v>insert into ins_premium_det (premium_rcv_code,assorted_code, rec_amount,premium_rcv_detail_code,remaining_amt, payrec, mode_code,coinsurance_code,class_cd,it_remarks) values('28Nov240101','040000137376','0',(select max(to_number(i.premium_rcv_detail_code))+1
from ins_premium_det i),'0','0','02', '11000003','00','Request by Mr. Omair Ali 29-Nov-2024');</v>
      </c>
    </row>
    <row r="497" spans="1:8" ht="105" x14ac:dyDescent="0.25">
      <c r="A497" t="s">
        <v>497</v>
      </c>
      <c r="B497" s="8" t="str">
        <f>VLOOKUP(A497,assortedcode!B:C,2,0)</f>
        <v>070000119149</v>
      </c>
      <c r="C497" s="1">
        <v>0</v>
      </c>
      <c r="D497" s="9">
        <f t="shared" si="29"/>
        <v>0</v>
      </c>
      <c r="E497" s="7" t="s">
        <v>8345</v>
      </c>
      <c r="F497" s="10" t="str">
        <f t="shared" si="28"/>
        <v>insert into ins_premium_det (premium_rcv_code,assorted_code, rec_amount,premium_rcv_detail_code,remaining_amt, payrec, mode_code,coinsurance_code,class_cd,it_remarks) values</v>
      </c>
      <c r="G497" s="11" t="str">
        <f t="shared" si="30"/>
        <v>('28Nov240101','070000119149','0',(select max(to_number(i.premium_rcv_detail_code))+1
from ins_premium_det i),'0','0','02', '11000003','00','Request by Mr. Omair Ali 29-Nov-2024');</v>
      </c>
      <c r="H497" s="12" t="str">
        <f t="shared" si="31"/>
        <v>insert into ins_premium_det (premium_rcv_code,assorted_code, rec_amount,premium_rcv_detail_code,remaining_amt, payrec, mode_code,coinsurance_code,class_cd,it_remarks) values('28Nov240101','070000119149','0',(select max(to_number(i.premium_rcv_detail_code))+1
from ins_premium_det i),'0','0','02', '11000003','00','Request by Mr. Omair Ali 29-Nov-2024');</v>
      </c>
    </row>
    <row r="498" spans="1:8" ht="105" x14ac:dyDescent="0.25">
      <c r="A498" t="s">
        <v>498</v>
      </c>
      <c r="B498" s="8" t="str">
        <f>VLOOKUP(A498,assortedcode!B:C,2,0)</f>
        <v>040000137580</v>
      </c>
      <c r="C498" s="1">
        <v>0</v>
      </c>
      <c r="D498" s="9">
        <f t="shared" si="29"/>
        <v>0</v>
      </c>
      <c r="E498" s="7" t="s">
        <v>8345</v>
      </c>
      <c r="F498" s="10" t="str">
        <f t="shared" si="28"/>
        <v>insert into ins_premium_det (premium_rcv_code,assorted_code, rec_amount,premium_rcv_detail_code,remaining_amt, payrec, mode_code,coinsurance_code,class_cd,it_remarks) values</v>
      </c>
      <c r="G498" s="11" t="str">
        <f t="shared" si="30"/>
        <v>('28Nov240101','040000137580','0',(select max(to_number(i.premium_rcv_detail_code))+1
from ins_premium_det i),'0','0','02', '11000003','00','Request by Mr. Omair Ali 29-Nov-2024');</v>
      </c>
      <c r="H498" s="12" t="str">
        <f t="shared" si="31"/>
        <v>insert into ins_premium_det (premium_rcv_code,assorted_code, rec_amount,premium_rcv_detail_code,remaining_amt, payrec, mode_code,coinsurance_code,class_cd,it_remarks) values('28Nov240101','040000137580','0',(select max(to_number(i.premium_rcv_detail_code))+1
from ins_premium_det i),'0','0','02', '11000003','00','Request by Mr. Omair Ali 29-Nov-2024');</v>
      </c>
    </row>
    <row r="499" spans="1:8" ht="105" x14ac:dyDescent="0.25">
      <c r="A499" t="s">
        <v>499</v>
      </c>
      <c r="B499" s="8" t="str">
        <f>VLOOKUP(A499,assortedcode!B:C,2,0)</f>
        <v>070000119176</v>
      </c>
      <c r="C499" s="1">
        <v>0</v>
      </c>
      <c r="D499" s="9">
        <f t="shared" si="29"/>
        <v>0</v>
      </c>
      <c r="E499" s="7" t="s">
        <v>8345</v>
      </c>
      <c r="F499" s="10" t="str">
        <f t="shared" si="28"/>
        <v>insert into ins_premium_det (premium_rcv_code,assorted_code, rec_amount,premium_rcv_detail_code,remaining_amt, payrec, mode_code,coinsurance_code,class_cd,it_remarks) values</v>
      </c>
      <c r="G499" s="11" t="str">
        <f t="shared" si="30"/>
        <v>('28Nov240101','070000119176','0',(select max(to_number(i.premium_rcv_detail_code))+1
from ins_premium_det i),'0','0','02', '11000003','00','Request by Mr. Omair Ali 29-Nov-2024');</v>
      </c>
      <c r="H499" s="12" t="str">
        <f t="shared" si="31"/>
        <v>insert into ins_premium_det (premium_rcv_code,assorted_code, rec_amount,premium_rcv_detail_code,remaining_amt, payrec, mode_code,coinsurance_code,class_cd,it_remarks) values('28Nov240101','070000119176','0',(select max(to_number(i.premium_rcv_detail_code))+1
from ins_premium_det i),'0','0','02', '11000003','00','Request by Mr. Omair Ali 29-Nov-2024');</v>
      </c>
    </row>
    <row r="500" spans="1:8" ht="105" x14ac:dyDescent="0.25">
      <c r="A500" t="s">
        <v>500</v>
      </c>
      <c r="B500" s="8" t="str">
        <f>VLOOKUP(A500,assortedcode!B:C,2,0)</f>
        <v>040000138522</v>
      </c>
      <c r="C500" s="1">
        <v>0</v>
      </c>
      <c r="D500" s="9">
        <f t="shared" si="29"/>
        <v>0</v>
      </c>
      <c r="E500" s="7" t="s">
        <v>8345</v>
      </c>
      <c r="F500" s="10" t="str">
        <f t="shared" si="28"/>
        <v>insert into ins_premium_det (premium_rcv_code,assorted_code, rec_amount,premium_rcv_detail_code,remaining_amt, payrec, mode_code,coinsurance_code,class_cd,it_remarks) values</v>
      </c>
      <c r="G500" s="11" t="str">
        <f t="shared" si="30"/>
        <v>('28Nov240101','040000138522','0',(select max(to_number(i.premium_rcv_detail_code))+1
from ins_premium_det i),'0','0','02', '11000003','00','Request by Mr. Omair Ali 29-Nov-2024');</v>
      </c>
      <c r="H500" s="12" t="str">
        <f t="shared" si="31"/>
        <v>insert into ins_premium_det (premium_rcv_code,assorted_code, rec_amount,premium_rcv_detail_code,remaining_amt, payrec, mode_code,coinsurance_code,class_cd,it_remarks) values('28Nov240101','040000138522','0',(select max(to_number(i.premium_rcv_detail_code))+1
from ins_premium_det i),'0','0','02', '11000003','00','Request by Mr. Omair Ali 29-Nov-2024');</v>
      </c>
    </row>
    <row r="501" spans="1:8" ht="105" x14ac:dyDescent="0.25">
      <c r="A501" t="s">
        <v>501</v>
      </c>
      <c r="B501" s="8" t="str">
        <f>VLOOKUP(A501,assortedcode!B:C,2,0)</f>
        <v>070000120611</v>
      </c>
      <c r="C501" s="1">
        <v>0</v>
      </c>
      <c r="D501" s="9">
        <f t="shared" si="29"/>
        <v>0</v>
      </c>
      <c r="E501" s="7" t="s">
        <v>8345</v>
      </c>
      <c r="F501" s="10" t="str">
        <f t="shared" si="28"/>
        <v>insert into ins_premium_det (premium_rcv_code,assorted_code, rec_amount,premium_rcv_detail_code,remaining_amt, payrec, mode_code,coinsurance_code,class_cd,it_remarks) values</v>
      </c>
      <c r="G501" s="11" t="str">
        <f t="shared" si="30"/>
        <v>('28Nov240101','070000120611','0',(select max(to_number(i.premium_rcv_detail_code))+1
from ins_premium_det i),'0','0','02', '11000003','00','Request by Mr. Omair Ali 29-Nov-2024');</v>
      </c>
      <c r="H501" s="12" t="str">
        <f t="shared" si="31"/>
        <v>insert into ins_premium_det (premium_rcv_code,assorted_code, rec_amount,premium_rcv_detail_code,remaining_amt, payrec, mode_code,coinsurance_code,class_cd,it_remarks) values('28Nov240101','070000120611','0',(select max(to_number(i.premium_rcv_detail_code))+1
from ins_premium_det i),'0','0','02', '11000003','00','Request by Mr. Omair Ali 29-Nov-2024');</v>
      </c>
    </row>
    <row r="502" spans="1:8" ht="105" x14ac:dyDescent="0.25">
      <c r="A502" t="s">
        <v>502</v>
      </c>
      <c r="B502" s="8" t="str">
        <f>VLOOKUP(A502,assortedcode!B:C,2,0)</f>
        <v>070000155730</v>
      </c>
      <c r="C502" s="1">
        <v>0</v>
      </c>
      <c r="D502" s="9">
        <f t="shared" si="29"/>
        <v>0</v>
      </c>
      <c r="E502" s="7" t="s">
        <v>8345</v>
      </c>
      <c r="F502" s="10" t="str">
        <f t="shared" si="28"/>
        <v>insert into ins_premium_det (premium_rcv_code,assorted_code, rec_amount,premium_rcv_detail_code,remaining_amt, payrec, mode_code,coinsurance_code,class_cd,it_remarks) values</v>
      </c>
      <c r="G502" s="11" t="str">
        <f t="shared" si="30"/>
        <v>('28Nov240101','070000155730','0',(select max(to_number(i.premium_rcv_detail_code))+1
from ins_premium_det i),'0','0','02', '11000003','00','Request by Mr. Omair Ali 29-Nov-2024');</v>
      </c>
      <c r="H502" s="12" t="str">
        <f t="shared" si="31"/>
        <v>insert into ins_premium_det (premium_rcv_code,assorted_code, rec_amount,premium_rcv_detail_code,remaining_amt, payrec, mode_code,coinsurance_code,class_cd,it_remarks) values('28Nov240101','070000155730','0',(select max(to_number(i.premium_rcv_detail_code))+1
from ins_premium_det i),'0','0','02', '11000003','00','Request by Mr. Omair Ali 29-Nov-2024');</v>
      </c>
    </row>
    <row r="503" spans="1:8" ht="105" x14ac:dyDescent="0.25">
      <c r="A503" t="s">
        <v>503</v>
      </c>
      <c r="B503" s="8" t="str">
        <f>VLOOKUP(A503,assortedcode!B:C,2,0)</f>
        <v>070000121280</v>
      </c>
      <c r="C503" s="1">
        <v>0</v>
      </c>
      <c r="D503" s="9">
        <f t="shared" si="29"/>
        <v>0</v>
      </c>
      <c r="E503" s="7" t="s">
        <v>8345</v>
      </c>
      <c r="F503" s="10" t="str">
        <f t="shared" si="28"/>
        <v>insert into ins_premium_det (premium_rcv_code,assorted_code, rec_amount,premium_rcv_detail_code,remaining_amt, payrec, mode_code,coinsurance_code,class_cd,it_remarks) values</v>
      </c>
      <c r="G503" s="11" t="str">
        <f t="shared" si="30"/>
        <v>('28Nov240101','070000121280','0',(select max(to_number(i.premium_rcv_detail_code))+1
from ins_premium_det i),'0','0','02', '11000003','00','Request by Mr. Omair Ali 29-Nov-2024');</v>
      </c>
      <c r="H503" s="12" t="str">
        <f t="shared" si="31"/>
        <v>insert into ins_premium_det (premium_rcv_code,assorted_code, rec_amount,premium_rcv_detail_code,remaining_amt, payrec, mode_code,coinsurance_code,class_cd,it_remarks) values('28Nov240101','070000121280','0',(select max(to_number(i.premium_rcv_detail_code))+1
from ins_premium_det i),'0','0','02', '11000003','00','Request by Mr. Omair Ali 29-Nov-2024');</v>
      </c>
    </row>
    <row r="504" spans="1:8" ht="105" x14ac:dyDescent="0.25">
      <c r="A504" t="s">
        <v>504</v>
      </c>
      <c r="B504" s="8" t="str">
        <f>VLOOKUP(A504,assortedcode!B:C,2,0)</f>
        <v>040000139466</v>
      </c>
      <c r="C504" s="1">
        <v>0</v>
      </c>
      <c r="D504" s="9">
        <f t="shared" si="29"/>
        <v>0</v>
      </c>
      <c r="E504" s="7" t="s">
        <v>8345</v>
      </c>
      <c r="F504" s="10" t="str">
        <f t="shared" si="28"/>
        <v>insert into ins_premium_det (premium_rcv_code,assorted_code, rec_amount,premium_rcv_detail_code,remaining_amt, payrec, mode_code,coinsurance_code,class_cd,it_remarks) values</v>
      </c>
      <c r="G504" s="11" t="str">
        <f t="shared" si="30"/>
        <v>('28Nov240101','040000139466','0',(select max(to_number(i.premium_rcv_detail_code))+1
from ins_premium_det i),'0','0','02', '11000003','00','Request by Mr. Omair Ali 29-Nov-2024');</v>
      </c>
      <c r="H504" s="12" t="str">
        <f t="shared" si="31"/>
        <v>insert into ins_premium_det (premium_rcv_code,assorted_code, rec_amount,premium_rcv_detail_code,remaining_amt, payrec, mode_code,coinsurance_code,class_cd,it_remarks) values('28Nov240101','040000139466','0',(select max(to_number(i.premium_rcv_detail_code))+1
from ins_premium_det i),'0','0','02', '11000003','00','Request by Mr. Omair Ali 29-Nov-2024');</v>
      </c>
    </row>
    <row r="505" spans="1:8" ht="105" x14ac:dyDescent="0.25">
      <c r="A505" t="s">
        <v>505</v>
      </c>
      <c r="B505" s="8" t="str">
        <f>VLOOKUP(A505,assortedcode!B:C,2,0)</f>
        <v>070000124536</v>
      </c>
      <c r="C505" s="1">
        <v>0</v>
      </c>
      <c r="D505" s="9">
        <f t="shared" si="29"/>
        <v>0</v>
      </c>
      <c r="E505" s="7" t="s">
        <v>8345</v>
      </c>
      <c r="F505" s="10" t="str">
        <f t="shared" si="28"/>
        <v>insert into ins_premium_det (premium_rcv_code,assorted_code, rec_amount,premium_rcv_detail_code,remaining_amt, payrec, mode_code,coinsurance_code,class_cd,it_remarks) values</v>
      </c>
      <c r="G505" s="11" t="str">
        <f t="shared" si="30"/>
        <v>('28Nov240101','070000124536','0',(select max(to_number(i.premium_rcv_detail_code))+1
from ins_premium_det i),'0','0','02', '11000003','00','Request by Mr. Omair Ali 29-Nov-2024');</v>
      </c>
      <c r="H505" s="12" t="str">
        <f t="shared" si="31"/>
        <v>insert into ins_premium_det (premium_rcv_code,assorted_code, rec_amount,premium_rcv_detail_code,remaining_amt, payrec, mode_code,coinsurance_code,class_cd,it_remarks) values('28Nov240101','070000124536','0',(select max(to_number(i.premium_rcv_detail_code))+1
from ins_premium_det i),'0','0','02', '11000003','00','Request by Mr. Omair Ali 29-Nov-2024');</v>
      </c>
    </row>
    <row r="506" spans="1:8" ht="105" x14ac:dyDescent="0.25">
      <c r="A506" t="s">
        <v>506</v>
      </c>
      <c r="B506" s="8" t="str">
        <f>VLOOKUP(A506,assortedcode!B:C,2,0)</f>
        <v>040000139972</v>
      </c>
      <c r="C506" s="1">
        <v>0</v>
      </c>
      <c r="D506" s="9">
        <f t="shared" si="29"/>
        <v>0</v>
      </c>
      <c r="E506" s="7" t="s">
        <v>8345</v>
      </c>
      <c r="F506" s="10" t="str">
        <f t="shared" si="28"/>
        <v>insert into ins_premium_det (premium_rcv_code,assorted_code, rec_amount,premium_rcv_detail_code,remaining_amt, payrec, mode_code,coinsurance_code,class_cd,it_remarks) values</v>
      </c>
      <c r="G506" s="11" t="str">
        <f t="shared" si="30"/>
        <v>('28Nov240101','040000139972','0',(select max(to_number(i.premium_rcv_detail_code))+1
from ins_premium_det i),'0','0','02', '11000003','00','Request by Mr. Omair Ali 29-Nov-2024');</v>
      </c>
      <c r="H506" s="12" t="str">
        <f t="shared" si="31"/>
        <v>insert into ins_premium_det (premium_rcv_code,assorted_code, rec_amount,premium_rcv_detail_code,remaining_amt, payrec, mode_code,coinsurance_code,class_cd,it_remarks) values('28Nov240101','040000139972','0',(select max(to_number(i.premium_rcv_detail_code))+1
from ins_premium_det i),'0','0','02', '11000003','00','Request by Mr. Omair Ali 29-Nov-2024');</v>
      </c>
    </row>
    <row r="507" spans="1:8" ht="105" x14ac:dyDescent="0.25">
      <c r="A507" t="s">
        <v>507</v>
      </c>
      <c r="B507" s="8" t="str">
        <f>VLOOKUP(A507,assortedcode!B:C,2,0)</f>
        <v>070000126637</v>
      </c>
      <c r="C507" s="1">
        <v>0</v>
      </c>
      <c r="D507" s="9">
        <f t="shared" si="29"/>
        <v>0</v>
      </c>
      <c r="E507" s="7" t="s">
        <v>8345</v>
      </c>
      <c r="F507" s="10" t="str">
        <f t="shared" si="28"/>
        <v>insert into ins_premium_det (premium_rcv_code,assorted_code, rec_amount,premium_rcv_detail_code,remaining_amt, payrec, mode_code,coinsurance_code,class_cd,it_remarks) values</v>
      </c>
      <c r="G507" s="11" t="str">
        <f t="shared" si="30"/>
        <v>('28Nov240101','070000126637','0',(select max(to_number(i.premium_rcv_detail_code))+1
from ins_premium_det i),'0','0','02', '11000003','00','Request by Mr. Omair Ali 29-Nov-2024');</v>
      </c>
      <c r="H507" s="12" t="str">
        <f t="shared" si="31"/>
        <v>insert into ins_premium_det (premium_rcv_code,assorted_code, rec_amount,premium_rcv_detail_code,remaining_amt, payrec, mode_code,coinsurance_code,class_cd,it_remarks) values('28Nov240101','070000126637','0',(select max(to_number(i.premium_rcv_detail_code))+1
from ins_premium_det i),'0','0','02', '11000003','00','Request by Mr. Omair Ali 29-Nov-2024');</v>
      </c>
    </row>
    <row r="508" spans="1:8" ht="105" x14ac:dyDescent="0.25">
      <c r="A508" t="s">
        <v>508</v>
      </c>
      <c r="B508" s="8" t="str">
        <f>VLOOKUP(A508,assortedcode!B:C,2,0)</f>
        <v>040000140715</v>
      </c>
      <c r="C508" s="1">
        <v>0</v>
      </c>
      <c r="D508" s="9">
        <f t="shared" si="29"/>
        <v>0</v>
      </c>
      <c r="E508" s="7" t="s">
        <v>8345</v>
      </c>
      <c r="F508" s="10" t="str">
        <f t="shared" si="28"/>
        <v>insert into ins_premium_det (premium_rcv_code,assorted_code, rec_amount,premium_rcv_detail_code,remaining_amt, payrec, mode_code,coinsurance_code,class_cd,it_remarks) values</v>
      </c>
      <c r="G508" s="11" t="str">
        <f t="shared" si="30"/>
        <v>('28Nov240101','040000140715','0',(select max(to_number(i.premium_rcv_detail_code))+1
from ins_premium_det i),'0','0','02', '11000003','00','Request by Mr. Omair Ali 29-Nov-2024');</v>
      </c>
      <c r="H508" s="12" t="str">
        <f t="shared" si="31"/>
        <v>insert into ins_premium_det (premium_rcv_code,assorted_code, rec_amount,premium_rcv_detail_code,remaining_amt, payrec, mode_code,coinsurance_code,class_cd,it_remarks) values('28Nov240101','040000140715','0',(select max(to_number(i.premium_rcv_detail_code))+1
from ins_premium_det i),'0','0','02', '11000003','00','Request by Mr. Omair Ali 29-Nov-2024');</v>
      </c>
    </row>
    <row r="509" spans="1:8" ht="105" x14ac:dyDescent="0.25">
      <c r="A509" t="s">
        <v>509</v>
      </c>
      <c r="B509" s="8" t="str">
        <f>VLOOKUP(A509,assortedcode!B:C,2,0)</f>
        <v>070000126088</v>
      </c>
      <c r="C509" s="1">
        <v>0</v>
      </c>
      <c r="D509" s="9">
        <f t="shared" si="29"/>
        <v>0</v>
      </c>
      <c r="E509" s="7" t="s">
        <v>8345</v>
      </c>
      <c r="F509" s="10" t="str">
        <f t="shared" si="28"/>
        <v>insert into ins_premium_det (premium_rcv_code,assorted_code, rec_amount,premium_rcv_detail_code,remaining_amt, payrec, mode_code,coinsurance_code,class_cd,it_remarks) values</v>
      </c>
      <c r="G509" s="11" t="str">
        <f t="shared" si="30"/>
        <v>('28Nov240101','070000126088','0',(select max(to_number(i.premium_rcv_detail_code))+1
from ins_premium_det i),'0','0','02', '11000003','00','Request by Mr. Omair Ali 29-Nov-2024');</v>
      </c>
      <c r="H509" s="12" t="str">
        <f t="shared" si="31"/>
        <v>insert into ins_premium_det (premium_rcv_code,assorted_code, rec_amount,premium_rcv_detail_code,remaining_amt, payrec, mode_code,coinsurance_code,class_cd,it_remarks) values('28Nov240101','070000126088','0',(select max(to_number(i.premium_rcv_detail_code))+1
from ins_premium_det i),'0','0','02', '11000003','00','Request by Mr. Omair Ali 29-Nov-2024');</v>
      </c>
    </row>
    <row r="510" spans="1:8" ht="105" x14ac:dyDescent="0.25">
      <c r="A510" t="s">
        <v>510</v>
      </c>
      <c r="B510" s="8" t="str">
        <f>VLOOKUP(A510,assortedcode!B:C,2,0)</f>
        <v>070000169287</v>
      </c>
      <c r="C510" s="1">
        <v>0</v>
      </c>
      <c r="D510" s="9">
        <f t="shared" si="29"/>
        <v>0</v>
      </c>
      <c r="E510" s="7" t="s">
        <v>8345</v>
      </c>
      <c r="F510" s="10" t="str">
        <f t="shared" si="28"/>
        <v>insert into ins_premium_det (premium_rcv_code,assorted_code, rec_amount,premium_rcv_detail_code,remaining_amt, payrec, mode_code,coinsurance_code,class_cd,it_remarks) values</v>
      </c>
      <c r="G510" s="11" t="str">
        <f t="shared" si="30"/>
        <v>('28Nov240101','070000169287','0',(select max(to_number(i.premium_rcv_detail_code))+1
from ins_premium_det i),'0','0','02', '11000003','00','Request by Mr. Omair Ali 29-Nov-2024');</v>
      </c>
      <c r="H510" s="12" t="str">
        <f t="shared" si="31"/>
        <v>insert into ins_premium_det (premium_rcv_code,assorted_code, rec_amount,premium_rcv_detail_code,remaining_amt, payrec, mode_code,coinsurance_code,class_cd,it_remarks) values('28Nov240101','070000169287','0',(select max(to_number(i.premium_rcv_detail_code))+1
from ins_premium_det i),'0','0','02', '11000003','00','Request by Mr. Omair Ali 29-Nov-2024');</v>
      </c>
    </row>
    <row r="511" spans="1:8" ht="105" x14ac:dyDescent="0.25">
      <c r="A511" t="s">
        <v>511</v>
      </c>
      <c r="B511" s="8" t="str">
        <f>VLOOKUP(A511,assortedcode!B:C,2,0)</f>
        <v>070000125142</v>
      </c>
      <c r="C511" s="1">
        <v>0</v>
      </c>
      <c r="D511" s="9">
        <f t="shared" si="29"/>
        <v>0</v>
      </c>
      <c r="E511" s="7" t="s">
        <v>8345</v>
      </c>
      <c r="F511" s="10" t="str">
        <f t="shared" si="28"/>
        <v>insert into ins_premium_det (premium_rcv_code,assorted_code, rec_amount,premium_rcv_detail_code,remaining_amt, payrec, mode_code,coinsurance_code,class_cd,it_remarks) values</v>
      </c>
      <c r="G511" s="11" t="str">
        <f t="shared" si="30"/>
        <v>('28Nov240101','070000125142','0',(select max(to_number(i.premium_rcv_detail_code))+1
from ins_premium_det i),'0','0','02', '11000003','00','Request by Mr. Omair Ali 29-Nov-2024');</v>
      </c>
      <c r="H511" s="12" t="str">
        <f t="shared" si="31"/>
        <v>insert into ins_premium_det (premium_rcv_code,assorted_code, rec_amount,premium_rcv_detail_code,remaining_amt, payrec, mode_code,coinsurance_code,class_cd,it_remarks) values('28Nov240101','070000125142','0',(select max(to_number(i.premium_rcv_detail_code))+1
from ins_premium_det i),'0','0','02', '11000003','00','Request by Mr. Omair Ali 29-Nov-2024');</v>
      </c>
    </row>
    <row r="512" spans="1:8" ht="105" x14ac:dyDescent="0.25">
      <c r="A512" t="s">
        <v>512</v>
      </c>
      <c r="B512" s="8" t="str">
        <f>VLOOKUP(A512,assortedcode!B:C,2,0)</f>
        <v>040000141012</v>
      </c>
      <c r="C512" s="1">
        <v>0</v>
      </c>
      <c r="D512" s="9">
        <f t="shared" si="29"/>
        <v>0</v>
      </c>
      <c r="E512" s="7" t="s">
        <v>8345</v>
      </c>
      <c r="F512" s="10" t="str">
        <f t="shared" si="28"/>
        <v>insert into ins_premium_det (premium_rcv_code,assorted_code, rec_amount,premium_rcv_detail_code,remaining_amt, payrec, mode_code,coinsurance_code,class_cd,it_remarks) values</v>
      </c>
      <c r="G512" s="11" t="str">
        <f t="shared" si="30"/>
        <v>('28Nov240101','040000141012','0',(select max(to_number(i.premium_rcv_detail_code))+1
from ins_premium_det i),'0','0','02', '11000003','00','Request by Mr. Omair Ali 29-Nov-2024');</v>
      </c>
      <c r="H512" s="12" t="str">
        <f t="shared" si="31"/>
        <v>insert into ins_premium_det (premium_rcv_code,assorted_code, rec_amount,premium_rcv_detail_code,remaining_amt, payrec, mode_code,coinsurance_code,class_cd,it_remarks) values('28Nov240101','040000141012','0',(select max(to_number(i.premium_rcv_detail_code))+1
from ins_premium_det i),'0','0','02', '11000003','00','Request by Mr. Omair Ali 29-Nov-2024');</v>
      </c>
    </row>
    <row r="513" spans="1:8" ht="105" x14ac:dyDescent="0.25">
      <c r="A513" t="s">
        <v>513</v>
      </c>
      <c r="B513" s="8" t="str">
        <f>VLOOKUP(A513,assortedcode!B:C,2,0)</f>
        <v>070000126037</v>
      </c>
      <c r="C513" s="1">
        <v>0</v>
      </c>
      <c r="D513" s="9">
        <f t="shared" si="29"/>
        <v>0</v>
      </c>
      <c r="E513" s="7" t="s">
        <v>8345</v>
      </c>
      <c r="F513" s="10" t="str">
        <f t="shared" si="28"/>
        <v>insert into ins_premium_det (premium_rcv_code,assorted_code, rec_amount,premium_rcv_detail_code,remaining_amt, payrec, mode_code,coinsurance_code,class_cd,it_remarks) values</v>
      </c>
      <c r="G513" s="11" t="str">
        <f t="shared" si="30"/>
        <v>('28Nov240101','070000126037','0',(select max(to_number(i.premium_rcv_detail_code))+1
from ins_premium_det i),'0','0','02', '11000003','00','Request by Mr. Omair Ali 29-Nov-2024');</v>
      </c>
      <c r="H513" s="12" t="str">
        <f t="shared" si="31"/>
        <v>insert into ins_premium_det (premium_rcv_code,assorted_code, rec_amount,premium_rcv_detail_code,remaining_amt, payrec, mode_code,coinsurance_code,class_cd,it_remarks) values('28Nov240101','070000126037','0',(select max(to_number(i.premium_rcv_detail_code))+1
from ins_premium_det i),'0','0','02', '11000003','00','Request by Mr. Omair Ali 29-Nov-2024');</v>
      </c>
    </row>
    <row r="514" spans="1:8" ht="105" x14ac:dyDescent="0.25">
      <c r="A514" t="s">
        <v>514</v>
      </c>
      <c r="B514" s="8" t="str">
        <f>VLOOKUP(A514,assortedcode!B:C,2,0)</f>
        <v>040000141017</v>
      </c>
      <c r="C514" s="1">
        <v>0</v>
      </c>
      <c r="D514" s="9">
        <f t="shared" si="29"/>
        <v>0</v>
      </c>
      <c r="E514" s="7" t="s">
        <v>8345</v>
      </c>
      <c r="F514" s="10" t="str">
        <f t="shared" ref="F514:F577" si="32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514" s="11" t="str">
        <f t="shared" si="30"/>
        <v>('28Nov240101','040000141017','0',(select max(to_number(i.premium_rcv_detail_code))+1
from ins_premium_det i),'0','0','02', '11000003','00','Request by Mr. Omair Ali 29-Nov-2024');</v>
      </c>
      <c r="H514" s="12" t="str">
        <f t="shared" si="31"/>
        <v>insert into ins_premium_det (premium_rcv_code,assorted_code, rec_amount,premium_rcv_detail_code,remaining_amt, payrec, mode_code,coinsurance_code,class_cd,it_remarks) values('28Nov240101','040000141017','0',(select max(to_number(i.premium_rcv_detail_code))+1
from ins_premium_det i),'0','0','02', '11000003','00','Request by Mr. Omair Ali 29-Nov-2024');</v>
      </c>
    </row>
    <row r="515" spans="1:8" ht="105" x14ac:dyDescent="0.25">
      <c r="A515" t="s">
        <v>515</v>
      </c>
      <c r="B515" s="8" t="str">
        <f>VLOOKUP(A515,assortedcode!B:C,2,0)</f>
        <v>070000126535</v>
      </c>
      <c r="C515" s="1">
        <v>0</v>
      </c>
      <c r="D515" s="9">
        <f t="shared" ref="D515:D578" si="33">ROUND(C515,0)</f>
        <v>0</v>
      </c>
      <c r="E515" s="7" t="s">
        <v>8345</v>
      </c>
      <c r="F515" s="10" t="str">
        <f t="shared" si="32"/>
        <v>insert into ins_premium_det (premium_rcv_code,assorted_code, rec_amount,premium_rcv_detail_code,remaining_amt, payrec, mode_code,coinsurance_code,class_cd,it_remarks) values</v>
      </c>
      <c r="G515" s="11" t="str">
        <f t="shared" ref="G515:G578" si="34">"('"&amp;E515&amp;"','"&amp;B515&amp;"','"&amp;ROUND(D515,2)&amp;"',(select max(to_number(i.premium_rcv_detail_code))+1
from ins_premium_det i),'"&amp;D515&amp;"','"&amp;D515&amp;"','02', '11000003','00','Request by Mr. Omair Ali 29-Nov-2024');"</f>
        <v>('28Nov240101','070000126535','0',(select max(to_number(i.premium_rcv_detail_code))+1
from ins_premium_det i),'0','0','02', '11000003','00','Request by Mr. Omair Ali 29-Nov-2024');</v>
      </c>
      <c r="H515" s="12" t="str">
        <f t="shared" ref="H515:H578" si="35">F515&amp;G515</f>
        <v>insert into ins_premium_det (premium_rcv_code,assorted_code, rec_amount,premium_rcv_detail_code,remaining_amt, payrec, mode_code,coinsurance_code,class_cd,it_remarks) values('28Nov240101','070000126535','0',(select max(to_number(i.premium_rcv_detail_code))+1
from ins_premium_det i),'0','0','02', '11000003','00','Request by Mr. Omair Ali 29-Nov-2024');</v>
      </c>
    </row>
    <row r="516" spans="1:8" ht="105" x14ac:dyDescent="0.25">
      <c r="A516" t="s">
        <v>516</v>
      </c>
      <c r="B516" s="8" t="str">
        <f>VLOOKUP(A516,assortedcode!B:C,2,0)</f>
        <v>040000141333</v>
      </c>
      <c r="C516" s="1">
        <v>0</v>
      </c>
      <c r="D516" s="9">
        <f t="shared" si="33"/>
        <v>0</v>
      </c>
      <c r="E516" s="7" t="s">
        <v>8345</v>
      </c>
      <c r="F516" s="10" t="str">
        <f t="shared" si="32"/>
        <v>insert into ins_premium_det (premium_rcv_code,assorted_code, rec_amount,premium_rcv_detail_code,remaining_amt, payrec, mode_code,coinsurance_code,class_cd,it_remarks) values</v>
      </c>
      <c r="G516" s="11" t="str">
        <f t="shared" si="34"/>
        <v>('28Nov240101','040000141333','0',(select max(to_number(i.premium_rcv_detail_code))+1
from ins_premium_det i),'0','0','02', '11000003','00','Request by Mr. Omair Ali 29-Nov-2024');</v>
      </c>
      <c r="H516" s="12" t="str">
        <f t="shared" si="35"/>
        <v>insert into ins_premium_det (premium_rcv_code,assorted_code, rec_amount,premium_rcv_detail_code,remaining_amt, payrec, mode_code,coinsurance_code,class_cd,it_remarks) values('28Nov240101','040000141333','0',(select max(to_number(i.premium_rcv_detail_code))+1
from ins_premium_det i),'0','0','02', '11000003','00','Request by Mr. Omair Ali 29-Nov-2024');</v>
      </c>
    </row>
    <row r="517" spans="1:8" ht="105" x14ac:dyDescent="0.25">
      <c r="A517" t="s">
        <v>517</v>
      </c>
      <c r="B517" s="8" t="str">
        <f>VLOOKUP(A517,assortedcode!B:C,2,0)</f>
        <v>070000127215</v>
      </c>
      <c r="C517" s="1">
        <v>0</v>
      </c>
      <c r="D517" s="9">
        <f t="shared" si="33"/>
        <v>0</v>
      </c>
      <c r="E517" s="7" t="s">
        <v>8345</v>
      </c>
      <c r="F517" s="10" t="str">
        <f t="shared" si="32"/>
        <v>insert into ins_premium_det (premium_rcv_code,assorted_code, rec_amount,premium_rcv_detail_code,remaining_amt, payrec, mode_code,coinsurance_code,class_cd,it_remarks) values</v>
      </c>
      <c r="G517" s="11" t="str">
        <f t="shared" si="34"/>
        <v>('28Nov240101','070000127215','0',(select max(to_number(i.premium_rcv_detail_code))+1
from ins_premium_det i),'0','0','02', '11000003','00','Request by Mr. Omair Ali 29-Nov-2024');</v>
      </c>
      <c r="H517" s="12" t="str">
        <f t="shared" si="35"/>
        <v>insert into ins_premium_det (premium_rcv_code,assorted_code, rec_amount,premium_rcv_detail_code,remaining_amt, payrec, mode_code,coinsurance_code,class_cd,it_remarks) values('28Nov240101','070000127215','0',(select max(to_number(i.premium_rcv_detail_code))+1
from ins_premium_det i),'0','0','02', '11000003','00','Request by Mr. Omair Ali 29-Nov-2024');</v>
      </c>
    </row>
    <row r="518" spans="1:8" ht="105" x14ac:dyDescent="0.25">
      <c r="A518" t="s">
        <v>518</v>
      </c>
      <c r="B518" s="8" t="str">
        <f>VLOOKUP(A518,assortedcode!B:C,2,0)</f>
        <v>070000169383</v>
      </c>
      <c r="C518" s="1">
        <v>0</v>
      </c>
      <c r="D518" s="9">
        <f t="shared" si="33"/>
        <v>0</v>
      </c>
      <c r="E518" s="7" t="s">
        <v>8345</v>
      </c>
      <c r="F518" s="10" t="str">
        <f t="shared" si="32"/>
        <v>insert into ins_premium_det (premium_rcv_code,assorted_code, rec_amount,premium_rcv_detail_code,remaining_amt, payrec, mode_code,coinsurance_code,class_cd,it_remarks) values</v>
      </c>
      <c r="G518" s="11" t="str">
        <f t="shared" si="34"/>
        <v>('28Nov240101','070000169383','0',(select max(to_number(i.premium_rcv_detail_code))+1
from ins_premium_det i),'0','0','02', '11000003','00','Request by Mr. Omair Ali 29-Nov-2024');</v>
      </c>
      <c r="H518" s="12" t="str">
        <f t="shared" si="35"/>
        <v>insert into ins_premium_det (premium_rcv_code,assorted_code, rec_amount,premium_rcv_detail_code,remaining_amt, payrec, mode_code,coinsurance_code,class_cd,it_remarks) values('28Nov240101','070000169383','0',(select max(to_number(i.premium_rcv_detail_code))+1
from ins_premium_det i),'0','0','02', '11000003','00','Request by Mr. Omair Ali 29-Nov-2024');</v>
      </c>
    </row>
    <row r="519" spans="1:8" ht="105" x14ac:dyDescent="0.25">
      <c r="A519" t="s">
        <v>519</v>
      </c>
      <c r="B519" s="8" t="str">
        <f>VLOOKUP(A519,assortedcode!B:C,2,0)</f>
        <v>070000127224</v>
      </c>
      <c r="C519" s="1">
        <v>0</v>
      </c>
      <c r="D519" s="9">
        <f t="shared" si="33"/>
        <v>0</v>
      </c>
      <c r="E519" s="7" t="s">
        <v>8345</v>
      </c>
      <c r="F519" s="10" t="str">
        <f t="shared" si="32"/>
        <v>insert into ins_premium_det (premium_rcv_code,assorted_code, rec_amount,premium_rcv_detail_code,remaining_amt, payrec, mode_code,coinsurance_code,class_cd,it_remarks) values</v>
      </c>
      <c r="G519" s="11" t="str">
        <f t="shared" si="34"/>
        <v>('28Nov240101','070000127224','0',(select max(to_number(i.premium_rcv_detail_code))+1
from ins_premium_det i),'0','0','02', '11000003','00','Request by Mr. Omair Ali 29-Nov-2024');</v>
      </c>
      <c r="H519" s="12" t="str">
        <f t="shared" si="35"/>
        <v>insert into ins_premium_det (premium_rcv_code,assorted_code, rec_amount,premium_rcv_detail_code,remaining_amt, payrec, mode_code,coinsurance_code,class_cd,it_remarks) values('28Nov240101','070000127224','0',(select max(to_number(i.premium_rcv_detail_code))+1
from ins_premium_det i),'0','0','02', '11000003','00','Request by Mr. Omair Ali 29-Nov-2024');</v>
      </c>
    </row>
    <row r="520" spans="1:8" ht="105" x14ac:dyDescent="0.25">
      <c r="A520" t="s">
        <v>520</v>
      </c>
      <c r="B520" s="8" t="str">
        <f>VLOOKUP(A520,assortedcode!B:C,2,0)</f>
        <v>040000148401</v>
      </c>
      <c r="C520" s="1">
        <v>0</v>
      </c>
      <c r="D520" s="9">
        <f t="shared" si="33"/>
        <v>0</v>
      </c>
      <c r="E520" s="7" t="s">
        <v>8345</v>
      </c>
      <c r="F520" s="10" t="str">
        <f t="shared" si="32"/>
        <v>insert into ins_premium_det (premium_rcv_code,assorted_code, rec_amount,premium_rcv_detail_code,remaining_amt, payrec, mode_code,coinsurance_code,class_cd,it_remarks) values</v>
      </c>
      <c r="G520" s="11" t="str">
        <f t="shared" si="34"/>
        <v>('28Nov240101','040000148401','0',(select max(to_number(i.premium_rcv_detail_code))+1
from ins_premium_det i),'0','0','02', '11000003','00','Request by Mr. Omair Ali 29-Nov-2024');</v>
      </c>
      <c r="H520" s="12" t="str">
        <f t="shared" si="35"/>
        <v>insert into ins_premium_det (premium_rcv_code,assorted_code, rec_amount,premium_rcv_detail_code,remaining_amt, payrec, mode_code,coinsurance_code,class_cd,it_remarks) values('28Nov240101','040000148401','0',(select max(to_number(i.premium_rcv_detail_code))+1
from ins_premium_det i),'0','0','02', '11000003','00','Request by Mr. Omair Ali 29-Nov-2024');</v>
      </c>
    </row>
    <row r="521" spans="1:8" ht="105" x14ac:dyDescent="0.25">
      <c r="A521" t="s">
        <v>521</v>
      </c>
      <c r="B521" s="8" t="str">
        <f>VLOOKUP(A521,assortedcode!B:C,2,0)</f>
        <v>070000127248</v>
      </c>
      <c r="C521" s="1">
        <v>0</v>
      </c>
      <c r="D521" s="9">
        <f t="shared" si="33"/>
        <v>0</v>
      </c>
      <c r="E521" s="7" t="s">
        <v>8345</v>
      </c>
      <c r="F521" s="10" t="str">
        <f t="shared" si="32"/>
        <v>insert into ins_premium_det (premium_rcv_code,assorted_code, rec_amount,premium_rcv_detail_code,remaining_amt, payrec, mode_code,coinsurance_code,class_cd,it_remarks) values</v>
      </c>
      <c r="G521" s="11" t="str">
        <f t="shared" si="34"/>
        <v>('28Nov240101','070000127248','0',(select max(to_number(i.premium_rcv_detail_code))+1
from ins_premium_det i),'0','0','02', '11000003','00','Request by Mr. Omair Ali 29-Nov-2024');</v>
      </c>
      <c r="H521" s="12" t="str">
        <f t="shared" si="35"/>
        <v>insert into ins_premium_det (premium_rcv_code,assorted_code, rec_amount,premium_rcv_detail_code,remaining_amt, payrec, mode_code,coinsurance_code,class_cd,it_remarks) values('28Nov240101','070000127248','0',(select max(to_number(i.premium_rcv_detail_code))+1
from ins_premium_det i),'0','0','02', '11000003','00','Request by Mr. Omair Ali 29-Nov-2024');</v>
      </c>
    </row>
    <row r="522" spans="1:8" ht="105" x14ac:dyDescent="0.25">
      <c r="A522" t="s">
        <v>522</v>
      </c>
      <c r="B522" s="8" t="str">
        <f>VLOOKUP(A522,assortedcode!B:C,2,0)</f>
        <v>040000149486</v>
      </c>
      <c r="C522" s="1">
        <v>0</v>
      </c>
      <c r="D522" s="9">
        <f t="shared" si="33"/>
        <v>0</v>
      </c>
      <c r="E522" s="7" t="s">
        <v>8345</v>
      </c>
      <c r="F522" s="10" t="str">
        <f t="shared" si="32"/>
        <v>insert into ins_premium_det (premium_rcv_code,assorted_code, rec_amount,premium_rcv_detail_code,remaining_amt, payrec, mode_code,coinsurance_code,class_cd,it_remarks) values</v>
      </c>
      <c r="G522" s="11" t="str">
        <f t="shared" si="34"/>
        <v>('28Nov240101','040000149486','0',(select max(to_number(i.premium_rcv_detail_code))+1
from ins_premium_det i),'0','0','02', '11000003','00','Request by Mr. Omair Ali 29-Nov-2024');</v>
      </c>
      <c r="H522" s="12" t="str">
        <f t="shared" si="35"/>
        <v>insert into ins_premium_det (premium_rcv_code,assorted_code, rec_amount,premium_rcv_detail_code,remaining_amt, payrec, mode_code,coinsurance_code,class_cd,it_remarks) values('28Nov240101','040000149486','0',(select max(to_number(i.premium_rcv_detail_code))+1
from ins_premium_det i),'0','0','02', '11000003','00','Request by Mr. Omair Ali 29-Nov-2024');</v>
      </c>
    </row>
    <row r="523" spans="1:8" ht="105" x14ac:dyDescent="0.25">
      <c r="A523" t="s">
        <v>523</v>
      </c>
      <c r="B523" s="8" t="str">
        <f>VLOOKUP(A523,assortedcode!B:C,2,0)</f>
        <v>070000127127</v>
      </c>
      <c r="C523" s="1">
        <v>0</v>
      </c>
      <c r="D523" s="9">
        <f t="shared" si="33"/>
        <v>0</v>
      </c>
      <c r="E523" s="7" t="s">
        <v>8345</v>
      </c>
      <c r="F523" s="10" t="str">
        <f t="shared" si="32"/>
        <v>insert into ins_premium_det (premium_rcv_code,assorted_code, rec_amount,premium_rcv_detail_code,remaining_amt, payrec, mode_code,coinsurance_code,class_cd,it_remarks) values</v>
      </c>
      <c r="G523" s="11" t="str">
        <f t="shared" si="34"/>
        <v>('28Nov240101','070000127127','0',(select max(to_number(i.premium_rcv_detail_code))+1
from ins_premium_det i),'0','0','02', '11000003','00','Request by Mr. Omair Ali 29-Nov-2024');</v>
      </c>
      <c r="H523" s="12" t="str">
        <f t="shared" si="35"/>
        <v>insert into ins_premium_det (premium_rcv_code,assorted_code, rec_amount,premium_rcv_detail_code,remaining_amt, payrec, mode_code,coinsurance_code,class_cd,it_remarks) values('28Nov240101','070000127127','0',(select max(to_number(i.premium_rcv_detail_code))+1
from ins_premium_det i),'0','0','02', '11000003','00','Request by Mr. Omair Ali 29-Nov-2024');</v>
      </c>
    </row>
    <row r="524" spans="1:8" ht="105" x14ac:dyDescent="0.25">
      <c r="A524" t="s">
        <v>524</v>
      </c>
      <c r="B524" s="8" t="str">
        <f>VLOOKUP(A524,assortedcode!B:C,2,0)</f>
        <v>040000141014</v>
      </c>
      <c r="C524" s="1">
        <v>0</v>
      </c>
      <c r="D524" s="9">
        <f t="shared" si="33"/>
        <v>0</v>
      </c>
      <c r="E524" s="7" t="s">
        <v>8345</v>
      </c>
      <c r="F524" s="10" t="str">
        <f t="shared" si="32"/>
        <v>insert into ins_premium_det (premium_rcv_code,assorted_code, rec_amount,premium_rcv_detail_code,remaining_amt, payrec, mode_code,coinsurance_code,class_cd,it_remarks) values</v>
      </c>
      <c r="G524" s="11" t="str">
        <f t="shared" si="34"/>
        <v>('28Nov240101','040000141014','0',(select max(to_number(i.premium_rcv_detail_code))+1
from ins_premium_det i),'0','0','02', '11000003','00','Request by Mr. Omair Ali 29-Nov-2024');</v>
      </c>
      <c r="H524" s="12" t="str">
        <f t="shared" si="35"/>
        <v>insert into ins_premium_det (premium_rcv_code,assorted_code, rec_amount,premium_rcv_detail_code,remaining_amt, payrec, mode_code,coinsurance_code,class_cd,it_remarks) values('28Nov240101','040000141014','0',(select max(to_number(i.premium_rcv_detail_code))+1
from ins_premium_det i),'0','0','02', '11000003','00','Request by Mr. Omair Ali 29-Nov-2024');</v>
      </c>
    </row>
    <row r="525" spans="1:8" ht="105" x14ac:dyDescent="0.25">
      <c r="A525" t="s">
        <v>525</v>
      </c>
      <c r="B525" s="8" t="str">
        <f>VLOOKUP(A525,assortedcode!B:C,2,0)</f>
        <v>070000127129</v>
      </c>
      <c r="C525" s="1">
        <v>0</v>
      </c>
      <c r="D525" s="9">
        <f t="shared" si="33"/>
        <v>0</v>
      </c>
      <c r="E525" s="7" t="s">
        <v>8345</v>
      </c>
      <c r="F525" s="10" t="str">
        <f t="shared" si="32"/>
        <v>insert into ins_premium_det (premium_rcv_code,assorted_code, rec_amount,premium_rcv_detail_code,remaining_amt, payrec, mode_code,coinsurance_code,class_cd,it_remarks) values</v>
      </c>
      <c r="G525" s="11" t="str">
        <f t="shared" si="34"/>
        <v>('28Nov240101','070000127129','0',(select max(to_number(i.premium_rcv_detail_code))+1
from ins_premium_det i),'0','0','02', '11000003','00','Request by Mr. Omair Ali 29-Nov-2024');</v>
      </c>
      <c r="H525" s="12" t="str">
        <f t="shared" si="35"/>
        <v>insert into ins_premium_det (premium_rcv_code,assorted_code, rec_amount,premium_rcv_detail_code,remaining_amt, payrec, mode_code,coinsurance_code,class_cd,it_remarks) values('28Nov240101','070000127129','0',(select max(to_number(i.premium_rcv_detail_code))+1
from ins_premium_det i),'0','0','02', '11000003','00','Request by Mr. Omair Ali 29-Nov-2024');</v>
      </c>
    </row>
    <row r="526" spans="1:8" ht="105" x14ac:dyDescent="0.25">
      <c r="A526" t="s">
        <v>526</v>
      </c>
      <c r="B526" s="8" t="str">
        <f>VLOOKUP(A526,assortedcode!B:C,2,0)</f>
        <v>040000177805</v>
      </c>
      <c r="C526" s="1">
        <v>0</v>
      </c>
      <c r="D526" s="9">
        <f t="shared" si="33"/>
        <v>0</v>
      </c>
      <c r="E526" s="7" t="s">
        <v>8345</v>
      </c>
      <c r="F526" s="10" t="str">
        <f t="shared" si="32"/>
        <v>insert into ins_premium_det (premium_rcv_code,assorted_code, rec_amount,premium_rcv_detail_code,remaining_amt, payrec, mode_code,coinsurance_code,class_cd,it_remarks) values</v>
      </c>
      <c r="G526" s="11" t="str">
        <f t="shared" si="34"/>
        <v>('28Nov240101','040000177805','0',(select max(to_number(i.premium_rcv_detail_code))+1
from ins_premium_det i),'0','0','02', '11000003','00','Request by Mr. Omair Ali 29-Nov-2024');</v>
      </c>
      <c r="H526" s="12" t="str">
        <f t="shared" si="35"/>
        <v>insert into ins_premium_det (premium_rcv_code,assorted_code, rec_amount,premium_rcv_detail_code,remaining_amt, payrec, mode_code,coinsurance_code,class_cd,it_remarks) values('28Nov240101','040000177805','0',(select max(to_number(i.premium_rcv_detail_code))+1
from ins_premium_det i),'0','0','02', '11000003','00','Request by Mr. Omair Ali 29-Nov-2024');</v>
      </c>
    </row>
    <row r="527" spans="1:8" ht="105" x14ac:dyDescent="0.25">
      <c r="A527" t="s">
        <v>527</v>
      </c>
      <c r="B527" s="8" t="str">
        <f>VLOOKUP(A527,assortedcode!B:C,2,0)</f>
        <v>070000127295</v>
      </c>
      <c r="C527" s="1">
        <v>0</v>
      </c>
      <c r="D527" s="9">
        <f t="shared" si="33"/>
        <v>0</v>
      </c>
      <c r="E527" s="7" t="s">
        <v>8345</v>
      </c>
      <c r="F527" s="10" t="str">
        <f t="shared" si="32"/>
        <v>insert into ins_premium_det (premium_rcv_code,assorted_code, rec_amount,premium_rcv_detail_code,remaining_amt, payrec, mode_code,coinsurance_code,class_cd,it_remarks) values</v>
      </c>
      <c r="G527" s="11" t="str">
        <f t="shared" si="34"/>
        <v>('28Nov240101','070000127295','0',(select max(to_number(i.premium_rcv_detail_code))+1
from ins_premium_det i),'0','0','02', '11000003','00','Request by Mr. Omair Ali 29-Nov-2024');</v>
      </c>
      <c r="H527" s="12" t="str">
        <f t="shared" si="35"/>
        <v>insert into ins_premium_det (premium_rcv_code,assorted_code, rec_amount,premium_rcv_detail_code,remaining_amt, payrec, mode_code,coinsurance_code,class_cd,it_remarks) values('28Nov240101','070000127295','0',(select max(to_number(i.premium_rcv_detail_code))+1
from ins_premium_det i),'0','0','02', '11000003','00','Request by Mr. Omair Ali 29-Nov-2024');</v>
      </c>
    </row>
    <row r="528" spans="1:8" ht="105" x14ac:dyDescent="0.25">
      <c r="A528" t="s">
        <v>528</v>
      </c>
      <c r="B528" s="8" t="str">
        <f>VLOOKUP(A528,assortedcode!B:C,2,0)</f>
        <v>040000178770</v>
      </c>
      <c r="C528" s="1">
        <v>0</v>
      </c>
      <c r="D528" s="9">
        <f t="shared" si="33"/>
        <v>0</v>
      </c>
      <c r="E528" s="7" t="s">
        <v>8345</v>
      </c>
      <c r="F528" s="10" t="str">
        <f t="shared" si="32"/>
        <v>insert into ins_premium_det (premium_rcv_code,assorted_code, rec_amount,premium_rcv_detail_code,remaining_amt, payrec, mode_code,coinsurance_code,class_cd,it_remarks) values</v>
      </c>
      <c r="G528" s="11" t="str">
        <f t="shared" si="34"/>
        <v>('28Nov240101','040000178770','0',(select max(to_number(i.premium_rcv_detail_code))+1
from ins_premium_det i),'0','0','02', '11000003','00','Request by Mr. Omair Ali 29-Nov-2024');</v>
      </c>
      <c r="H528" s="12" t="str">
        <f t="shared" si="35"/>
        <v>insert into ins_premium_det (premium_rcv_code,assorted_code, rec_amount,premium_rcv_detail_code,remaining_amt, payrec, mode_code,coinsurance_code,class_cd,it_remarks) values('28Nov240101','040000178770','0',(select max(to_number(i.premium_rcv_detail_code))+1
from ins_premium_det i),'0','0','02', '11000003','00','Request by Mr. Omair Ali 29-Nov-2024');</v>
      </c>
    </row>
    <row r="529" spans="1:8" ht="105" x14ac:dyDescent="0.25">
      <c r="A529" t="s">
        <v>529</v>
      </c>
      <c r="B529" s="8" t="str">
        <f>VLOOKUP(A529,assortedcode!B:C,2,0)</f>
        <v>070000127297</v>
      </c>
      <c r="C529" s="1">
        <v>0</v>
      </c>
      <c r="D529" s="9">
        <f t="shared" si="33"/>
        <v>0</v>
      </c>
      <c r="E529" s="7" t="s">
        <v>8345</v>
      </c>
      <c r="F529" s="10" t="str">
        <f t="shared" si="32"/>
        <v>insert into ins_premium_det (premium_rcv_code,assorted_code, rec_amount,premium_rcv_detail_code,remaining_amt, payrec, mode_code,coinsurance_code,class_cd,it_remarks) values</v>
      </c>
      <c r="G529" s="11" t="str">
        <f t="shared" si="34"/>
        <v>('28Nov240101','070000127297','0',(select max(to_number(i.premium_rcv_detail_code))+1
from ins_premium_det i),'0','0','02', '11000003','00','Request by Mr. Omair Ali 29-Nov-2024');</v>
      </c>
      <c r="H529" s="12" t="str">
        <f t="shared" si="35"/>
        <v>insert into ins_premium_det (premium_rcv_code,assorted_code, rec_amount,premium_rcv_detail_code,remaining_amt, payrec, mode_code,coinsurance_code,class_cd,it_remarks) values('28Nov240101','070000127297','0',(select max(to_number(i.premium_rcv_detail_code))+1
from ins_premium_det i),'0','0','02', '11000003','00','Request by Mr. Omair Ali 29-Nov-2024');</v>
      </c>
    </row>
    <row r="530" spans="1:8" ht="105" x14ac:dyDescent="0.25">
      <c r="A530" t="s">
        <v>530</v>
      </c>
      <c r="B530" s="8" t="str">
        <f>VLOOKUP(A530,assortedcode!B:C,2,0)</f>
        <v>040000179385</v>
      </c>
      <c r="C530" s="1">
        <v>0</v>
      </c>
      <c r="D530" s="9">
        <f t="shared" si="33"/>
        <v>0</v>
      </c>
      <c r="E530" s="7" t="s">
        <v>8345</v>
      </c>
      <c r="F530" s="10" t="str">
        <f t="shared" si="32"/>
        <v>insert into ins_premium_det (premium_rcv_code,assorted_code, rec_amount,premium_rcv_detail_code,remaining_amt, payrec, mode_code,coinsurance_code,class_cd,it_remarks) values</v>
      </c>
      <c r="G530" s="11" t="str">
        <f t="shared" si="34"/>
        <v>('28Nov240101','040000179385','0',(select max(to_number(i.premium_rcv_detail_code))+1
from ins_premium_det i),'0','0','02', '11000003','00','Request by Mr. Omair Ali 29-Nov-2024');</v>
      </c>
      <c r="H530" s="12" t="str">
        <f t="shared" si="35"/>
        <v>insert into ins_premium_det (premium_rcv_code,assorted_code, rec_amount,premium_rcv_detail_code,remaining_amt, payrec, mode_code,coinsurance_code,class_cd,it_remarks) values('28Nov240101','040000179385','0',(select max(to_number(i.premium_rcv_detail_code))+1
from ins_premium_det i),'0','0','02', '11000003','00','Request by Mr. Omair Ali 29-Nov-2024');</v>
      </c>
    </row>
    <row r="531" spans="1:8" ht="105" x14ac:dyDescent="0.25">
      <c r="A531" t="s">
        <v>531</v>
      </c>
      <c r="B531" s="8" t="str">
        <f>VLOOKUP(A531,assortedcode!B:C,2,0)</f>
        <v>070000127300</v>
      </c>
      <c r="C531" s="1">
        <v>0</v>
      </c>
      <c r="D531" s="9">
        <f t="shared" si="33"/>
        <v>0</v>
      </c>
      <c r="E531" s="7" t="s">
        <v>8345</v>
      </c>
      <c r="F531" s="10" t="str">
        <f t="shared" si="32"/>
        <v>insert into ins_premium_det (premium_rcv_code,assorted_code, rec_amount,premium_rcv_detail_code,remaining_amt, payrec, mode_code,coinsurance_code,class_cd,it_remarks) values</v>
      </c>
      <c r="G531" s="11" t="str">
        <f t="shared" si="34"/>
        <v>('28Nov240101','070000127300','0',(select max(to_number(i.premium_rcv_detail_code))+1
from ins_premium_det i),'0','0','02', '11000003','00','Request by Mr. Omair Ali 29-Nov-2024');</v>
      </c>
      <c r="H531" s="12" t="str">
        <f t="shared" si="35"/>
        <v>insert into ins_premium_det (premium_rcv_code,assorted_code, rec_amount,premium_rcv_detail_code,remaining_amt, payrec, mode_code,coinsurance_code,class_cd,it_remarks) values('28Nov240101','070000127300','0',(select max(to_number(i.premium_rcv_detail_code))+1
from ins_premium_det i),'0','0','02', '11000003','00','Request by Mr. Omair Ali 29-Nov-2024');</v>
      </c>
    </row>
    <row r="532" spans="1:8" ht="105" x14ac:dyDescent="0.25">
      <c r="A532" t="s">
        <v>532</v>
      </c>
      <c r="B532" s="8" t="str">
        <f>VLOOKUP(A532,assortedcode!B:C,2,0)</f>
        <v>040000180455</v>
      </c>
      <c r="C532" s="1">
        <v>0</v>
      </c>
      <c r="D532" s="9">
        <f t="shared" si="33"/>
        <v>0</v>
      </c>
      <c r="E532" s="7" t="s">
        <v>8345</v>
      </c>
      <c r="F532" s="10" t="str">
        <f t="shared" si="32"/>
        <v>insert into ins_premium_det (premium_rcv_code,assorted_code, rec_amount,premium_rcv_detail_code,remaining_amt, payrec, mode_code,coinsurance_code,class_cd,it_remarks) values</v>
      </c>
      <c r="G532" s="11" t="str">
        <f t="shared" si="34"/>
        <v>('28Nov240101','040000180455','0',(select max(to_number(i.premium_rcv_detail_code))+1
from ins_premium_det i),'0','0','02', '11000003','00','Request by Mr. Omair Ali 29-Nov-2024');</v>
      </c>
      <c r="H532" s="12" t="str">
        <f t="shared" si="35"/>
        <v>insert into ins_premium_det (premium_rcv_code,assorted_code, rec_amount,premium_rcv_detail_code,remaining_amt, payrec, mode_code,coinsurance_code,class_cd,it_remarks) values('28Nov240101','040000180455','0',(select max(to_number(i.premium_rcv_detail_code))+1
from ins_premium_det i),'0','0','02', '11000003','00','Request by Mr. Omair Ali 29-Nov-2024');</v>
      </c>
    </row>
    <row r="533" spans="1:8" ht="105" x14ac:dyDescent="0.25">
      <c r="A533" t="s">
        <v>533</v>
      </c>
      <c r="B533" s="8" t="str">
        <f>VLOOKUP(A533,assortedcode!B:C,2,0)</f>
        <v>070000127314</v>
      </c>
      <c r="C533" s="1">
        <v>0</v>
      </c>
      <c r="D533" s="9">
        <f t="shared" si="33"/>
        <v>0</v>
      </c>
      <c r="E533" s="7" t="s">
        <v>8345</v>
      </c>
      <c r="F533" s="10" t="str">
        <f t="shared" si="32"/>
        <v>insert into ins_premium_det (premium_rcv_code,assorted_code, rec_amount,premium_rcv_detail_code,remaining_amt, payrec, mode_code,coinsurance_code,class_cd,it_remarks) values</v>
      </c>
      <c r="G533" s="11" t="str">
        <f t="shared" si="34"/>
        <v>('28Nov240101','070000127314','0',(select max(to_number(i.premium_rcv_detail_code))+1
from ins_premium_det i),'0','0','02', '11000003','00','Request by Mr. Omair Ali 29-Nov-2024');</v>
      </c>
      <c r="H533" s="12" t="str">
        <f t="shared" si="35"/>
        <v>insert into ins_premium_det (premium_rcv_code,assorted_code, rec_amount,premium_rcv_detail_code,remaining_amt, payrec, mode_code,coinsurance_code,class_cd,it_remarks) values('28Nov240101','070000127314','0',(select max(to_number(i.premium_rcv_detail_code))+1
from ins_premium_det i),'0','0','02', '11000003','00','Request by Mr. Omair Ali 29-Nov-2024');</v>
      </c>
    </row>
    <row r="534" spans="1:8" ht="105" x14ac:dyDescent="0.25">
      <c r="A534" t="s">
        <v>534</v>
      </c>
      <c r="B534" s="8" t="str">
        <f>VLOOKUP(A534,assortedcode!B:C,2,0)</f>
        <v>040000180461</v>
      </c>
      <c r="C534" s="1">
        <v>0</v>
      </c>
      <c r="D534" s="9">
        <f t="shared" si="33"/>
        <v>0</v>
      </c>
      <c r="E534" s="7" t="s">
        <v>8345</v>
      </c>
      <c r="F534" s="10" t="str">
        <f t="shared" si="32"/>
        <v>insert into ins_premium_det (premium_rcv_code,assorted_code, rec_amount,premium_rcv_detail_code,remaining_amt, payrec, mode_code,coinsurance_code,class_cd,it_remarks) values</v>
      </c>
      <c r="G534" s="11" t="str">
        <f t="shared" si="34"/>
        <v>('28Nov240101','040000180461','0',(select max(to_number(i.premium_rcv_detail_code))+1
from ins_premium_det i),'0','0','02', '11000003','00','Request by Mr. Omair Ali 29-Nov-2024');</v>
      </c>
      <c r="H534" s="12" t="str">
        <f t="shared" si="35"/>
        <v>insert into ins_premium_det (premium_rcv_code,assorted_code, rec_amount,premium_rcv_detail_code,remaining_amt, payrec, mode_code,coinsurance_code,class_cd,it_remarks) values('28Nov240101','040000180461','0',(select max(to_number(i.premium_rcv_detail_code))+1
from ins_premium_det i),'0','0','02', '11000003','00','Request by Mr. Omair Ali 29-Nov-2024');</v>
      </c>
    </row>
    <row r="535" spans="1:8" ht="105" x14ac:dyDescent="0.25">
      <c r="A535" t="s">
        <v>535</v>
      </c>
      <c r="B535" s="8" t="str">
        <f>VLOOKUP(A535,assortedcode!B:C,2,0)</f>
        <v>070000127319</v>
      </c>
      <c r="C535" s="1">
        <v>0</v>
      </c>
      <c r="D535" s="9">
        <f t="shared" si="33"/>
        <v>0</v>
      </c>
      <c r="E535" s="7" t="s">
        <v>8345</v>
      </c>
      <c r="F535" s="10" t="str">
        <f t="shared" si="32"/>
        <v>insert into ins_premium_det (premium_rcv_code,assorted_code, rec_amount,premium_rcv_detail_code,remaining_amt, payrec, mode_code,coinsurance_code,class_cd,it_remarks) values</v>
      </c>
      <c r="G535" s="11" t="str">
        <f t="shared" si="34"/>
        <v>('28Nov240101','070000127319','0',(select max(to_number(i.premium_rcv_detail_code))+1
from ins_premium_det i),'0','0','02', '11000003','00','Request by Mr. Omair Ali 29-Nov-2024');</v>
      </c>
      <c r="H535" s="12" t="str">
        <f t="shared" si="35"/>
        <v>insert into ins_premium_det (premium_rcv_code,assorted_code, rec_amount,premium_rcv_detail_code,remaining_amt, payrec, mode_code,coinsurance_code,class_cd,it_remarks) values('28Nov240101','070000127319','0',(select max(to_number(i.premium_rcv_detail_code))+1
from ins_premium_det i),'0','0','02', '11000003','00','Request by Mr. Omair Ali 29-Nov-2024');</v>
      </c>
    </row>
    <row r="536" spans="1:8" ht="105" x14ac:dyDescent="0.25">
      <c r="A536" t="s">
        <v>536</v>
      </c>
      <c r="B536" s="8" t="str">
        <f>VLOOKUP(A536,assortedcode!B:C,2,0)</f>
        <v>070000166542</v>
      </c>
      <c r="C536" s="1">
        <v>0</v>
      </c>
      <c r="D536" s="9">
        <f t="shared" si="33"/>
        <v>0</v>
      </c>
      <c r="E536" s="7" t="s">
        <v>8345</v>
      </c>
      <c r="F536" s="10" t="str">
        <f t="shared" si="32"/>
        <v>insert into ins_premium_det (premium_rcv_code,assorted_code, rec_amount,premium_rcv_detail_code,remaining_amt, payrec, mode_code,coinsurance_code,class_cd,it_remarks) values</v>
      </c>
      <c r="G536" s="11" t="str">
        <f t="shared" si="34"/>
        <v>('28Nov240101','070000166542','0',(select max(to_number(i.premium_rcv_detail_code))+1
from ins_premium_det i),'0','0','02', '11000003','00','Request by Mr. Omair Ali 29-Nov-2024');</v>
      </c>
      <c r="H536" s="12" t="str">
        <f t="shared" si="35"/>
        <v>insert into ins_premium_det (premium_rcv_code,assorted_code, rec_amount,premium_rcv_detail_code,remaining_amt, payrec, mode_code,coinsurance_code,class_cd,it_remarks) values('28Nov240101','070000166542','0',(select max(to_number(i.premium_rcv_detail_code))+1
from ins_premium_det i),'0','0','02', '11000003','00','Request by Mr. Omair Ali 29-Nov-2024');</v>
      </c>
    </row>
    <row r="537" spans="1:8" ht="105" x14ac:dyDescent="0.25">
      <c r="A537" t="s">
        <v>537</v>
      </c>
      <c r="B537" s="8" t="str">
        <f>VLOOKUP(A537,assortedcode!B:C,2,0)</f>
        <v>070000127339</v>
      </c>
      <c r="C537" s="1">
        <v>0</v>
      </c>
      <c r="D537" s="9">
        <f t="shared" si="33"/>
        <v>0</v>
      </c>
      <c r="E537" s="7" t="s">
        <v>8345</v>
      </c>
      <c r="F537" s="10" t="str">
        <f t="shared" si="32"/>
        <v>insert into ins_premium_det (premium_rcv_code,assorted_code, rec_amount,premium_rcv_detail_code,remaining_amt, payrec, mode_code,coinsurance_code,class_cd,it_remarks) values</v>
      </c>
      <c r="G537" s="11" t="str">
        <f t="shared" si="34"/>
        <v>('28Nov240101','070000127339','0',(select max(to_number(i.premium_rcv_detail_code))+1
from ins_premium_det i),'0','0','02', '11000003','00','Request by Mr. Omair Ali 29-Nov-2024');</v>
      </c>
      <c r="H537" s="12" t="str">
        <f t="shared" si="35"/>
        <v>insert into ins_premium_det (premium_rcv_code,assorted_code, rec_amount,premium_rcv_detail_code,remaining_amt, payrec, mode_code,coinsurance_code,class_cd,it_remarks) values('28Nov240101','070000127339','0',(select max(to_number(i.premium_rcv_detail_code))+1
from ins_premium_det i),'0','0','02', '11000003','00','Request by Mr. Omair Ali 29-Nov-2024');</v>
      </c>
    </row>
    <row r="538" spans="1:8" ht="105" x14ac:dyDescent="0.25">
      <c r="A538" t="s">
        <v>538</v>
      </c>
      <c r="B538" s="8" t="str">
        <f>VLOOKUP(A538,assortedcode!B:C,2,0)</f>
        <v>040000136672</v>
      </c>
      <c r="C538" s="1">
        <v>0</v>
      </c>
      <c r="D538" s="9">
        <f t="shared" si="33"/>
        <v>0</v>
      </c>
      <c r="E538" s="7" t="s">
        <v>8345</v>
      </c>
      <c r="F538" s="10" t="str">
        <f t="shared" si="32"/>
        <v>insert into ins_premium_det (premium_rcv_code,assorted_code, rec_amount,premium_rcv_detail_code,remaining_amt, payrec, mode_code,coinsurance_code,class_cd,it_remarks) values</v>
      </c>
      <c r="G538" s="11" t="str">
        <f t="shared" si="34"/>
        <v>('28Nov240101','040000136672','0',(select max(to_number(i.premium_rcv_detail_code))+1
from ins_premium_det i),'0','0','02', '11000003','00','Request by Mr. Omair Ali 29-Nov-2024');</v>
      </c>
      <c r="H538" s="12" t="str">
        <f t="shared" si="35"/>
        <v>insert into ins_premium_det (premium_rcv_code,assorted_code, rec_amount,premium_rcv_detail_code,remaining_amt, payrec, mode_code,coinsurance_code,class_cd,it_remarks) values('28Nov240101','040000136672','0',(select max(to_number(i.premium_rcv_detail_code))+1
from ins_premium_det i),'0','0','02', '11000003','00','Request by Mr. Omair Ali 29-Nov-2024');</v>
      </c>
    </row>
    <row r="539" spans="1:8" ht="105" x14ac:dyDescent="0.25">
      <c r="A539" t="s">
        <v>539</v>
      </c>
      <c r="B539" s="8" t="str">
        <f>VLOOKUP(A539,assortedcode!B:C,2,0)</f>
        <v>070000127342</v>
      </c>
      <c r="C539" s="1">
        <v>0</v>
      </c>
      <c r="D539" s="9">
        <f t="shared" si="33"/>
        <v>0</v>
      </c>
      <c r="E539" s="7" t="s">
        <v>8345</v>
      </c>
      <c r="F539" s="10" t="str">
        <f t="shared" si="32"/>
        <v>insert into ins_premium_det (premium_rcv_code,assorted_code, rec_amount,premium_rcv_detail_code,remaining_amt, payrec, mode_code,coinsurance_code,class_cd,it_remarks) values</v>
      </c>
      <c r="G539" s="11" t="str">
        <f t="shared" si="34"/>
        <v>('28Nov240101','070000127342','0',(select max(to_number(i.premium_rcv_detail_code))+1
from ins_premium_det i),'0','0','02', '11000003','00','Request by Mr. Omair Ali 29-Nov-2024');</v>
      </c>
      <c r="H539" s="12" t="str">
        <f t="shared" si="35"/>
        <v>insert into ins_premium_det (premium_rcv_code,assorted_code, rec_amount,premium_rcv_detail_code,remaining_amt, payrec, mode_code,coinsurance_code,class_cd,it_remarks) values('28Nov240101','070000127342','0',(select max(to_number(i.premium_rcv_detail_code))+1
from ins_premium_det i),'0','0','02', '11000003','00','Request by Mr. Omair Ali 29-Nov-2024');</v>
      </c>
    </row>
    <row r="540" spans="1:8" ht="105" x14ac:dyDescent="0.25">
      <c r="A540" t="s">
        <v>540</v>
      </c>
      <c r="B540" s="8" t="str">
        <f>VLOOKUP(A540,assortedcode!B:C,2,0)</f>
        <v>040000110832</v>
      </c>
      <c r="C540" s="1">
        <v>0</v>
      </c>
      <c r="D540" s="9">
        <f t="shared" si="33"/>
        <v>0</v>
      </c>
      <c r="E540" s="7" t="s">
        <v>8345</v>
      </c>
      <c r="F540" s="10" t="str">
        <f t="shared" si="32"/>
        <v>insert into ins_premium_det (premium_rcv_code,assorted_code, rec_amount,premium_rcv_detail_code,remaining_amt, payrec, mode_code,coinsurance_code,class_cd,it_remarks) values</v>
      </c>
      <c r="G540" s="11" t="str">
        <f t="shared" si="34"/>
        <v>('28Nov240101','040000110832','0',(select max(to_number(i.premium_rcv_detail_code))+1
from ins_premium_det i),'0','0','02', '11000003','00','Request by Mr. Omair Ali 29-Nov-2024');</v>
      </c>
      <c r="H540" s="12" t="str">
        <f t="shared" si="35"/>
        <v>insert into ins_premium_det (premium_rcv_code,assorted_code, rec_amount,premium_rcv_detail_code,remaining_amt, payrec, mode_code,coinsurance_code,class_cd,it_remarks) values('28Nov240101','040000110832','0',(select max(to_number(i.premium_rcv_detail_code))+1
from ins_premium_det i),'0','0','02', '11000003','00','Request by Mr. Omair Ali 29-Nov-2024');</v>
      </c>
    </row>
    <row r="541" spans="1:8" ht="105" x14ac:dyDescent="0.25">
      <c r="A541" t="s">
        <v>541</v>
      </c>
      <c r="B541" s="8" t="str">
        <f>VLOOKUP(A541,assortedcode!B:C,2,0)</f>
        <v>070000127343</v>
      </c>
      <c r="C541" s="1">
        <v>0</v>
      </c>
      <c r="D541" s="9">
        <f t="shared" si="33"/>
        <v>0</v>
      </c>
      <c r="E541" s="7" t="s">
        <v>8345</v>
      </c>
      <c r="F541" s="10" t="str">
        <f t="shared" si="32"/>
        <v>insert into ins_premium_det (premium_rcv_code,assorted_code, rec_amount,premium_rcv_detail_code,remaining_amt, payrec, mode_code,coinsurance_code,class_cd,it_remarks) values</v>
      </c>
      <c r="G541" s="11" t="str">
        <f t="shared" si="34"/>
        <v>('28Nov240101','070000127343','0',(select max(to_number(i.premium_rcv_detail_code))+1
from ins_premium_det i),'0','0','02', '11000003','00','Request by Mr. Omair Ali 29-Nov-2024');</v>
      </c>
      <c r="H541" s="12" t="str">
        <f t="shared" si="35"/>
        <v>insert into ins_premium_det (premium_rcv_code,assorted_code, rec_amount,premium_rcv_detail_code,remaining_amt, payrec, mode_code,coinsurance_code,class_cd,it_remarks) values('28Nov240101','070000127343','0',(select max(to_number(i.premium_rcv_detail_code))+1
from ins_premium_det i),'0','0','02', '11000003','00','Request by Mr. Omair Ali 29-Nov-2024');</v>
      </c>
    </row>
    <row r="542" spans="1:8" ht="105" x14ac:dyDescent="0.25">
      <c r="A542" t="s">
        <v>542</v>
      </c>
      <c r="B542" s="8" t="str">
        <f>VLOOKUP(A542,assortedcode!B:C,2,0)</f>
        <v>070000157920</v>
      </c>
      <c r="C542" s="1">
        <v>0</v>
      </c>
      <c r="D542" s="9">
        <f t="shared" si="33"/>
        <v>0</v>
      </c>
      <c r="E542" s="7" t="s">
        <v>8345</v>
      </c>
      <c r="F542" s="10" t="str">
        <f t="shared" si="32"/>
        <v>insert into ins_premium_det (premium_rcv_code,assorted_code, rec_amount,premium_rcv_detail_code,remaining_amt, payrec, mode_code,coinsurance_code,class_cd,it_remarks) values</v>
      </c>
      <c r="G542" s="11" t="str">
        <f t="shared" si="34"/>
        <v>('28Nov240101','070000157920','0',(select max(to_number(i.premium_rcv_detail_code))+1
from ins_premium_det i),'0','0','02', '11000003','00','Request by Mr. Omair Ali 29-Nov-2024');</v>
      </c>
      <c r="H542" s="12" t="str">
        <f t="shared" si="35"/>
        <v>insert into ins_premium_det (premium_rcv_code,assorted_code, rec_amount,premium_rcv_detail_code,remaining_amt, payrec, mode_code,coinsurance_code,class_cd,it_remarks) values('28Nov240101','070000157920','0',(select max(to_number(i.premium_rcv_detail_code))+1
from ins_premium_det i),'0','0','02', '11000003','00','Request by Mr. Omair Ali 29-Nov-2024');</v>
      </c>
    </row>
    <row r="543" spans="1:8" ht="105" x14ac:dyDescent="0.25">
      <c r="A543" t="s">
        <v>543</v>
      </c>
      <c r="B543" s="8" t="str">
        <f>VLOOKUP(A543,assortedcode!B:C,2,0)</f>
        <v>070000127345</v>
      </c>
      <c r="C543" s="1">
        <v>0</v>
      </c>
      <c r="D543" s="9">
        <f t="shared" si="33"/>
        <v>0</v>
      </c>
      <c r="E543" s="7" t="s">
        <v>8345</v>
      </c>
      <c r="F543" s="10" t="str">
        <f t="shared" si="32"/>
        <v>insert into ins_premium_det (premium_rcv_code,assorted_code, rec_amount,premium_rcv_detail_code,remaining_amt, payrec, mode_code,coinsurance_code,class_cd,it_remarks) values</v>
      </c>
      <c r="G543" s="11" t="str">
        <f t="shared" si="34"/>
        <v>('28Nov240101','070000127345','0',(select max(to_number(i.premium_rcv_detail_code))+1
from ins_premium_det i),'0','0','02', '11000003','00','Request by Mr. Omair Ali 29-Nov-2024');</v>
      </c>
      <c r="H543" s="12" t="str">
        <f t="shared" si="35"/>
        <v>insert into ins_premium_det (premium_rcv_code,assorted_code, rec_amount,premium_rcv_detail_code,remaining_amt, payrec, mode_code,coinsurance_code,class_cd,it_remarks) values('28Nov240101','070000127345','0',(select max(to_number(i.premium_rcv_detail_code))+1
from ins_premium_det i),'0','0','02', '11000003','00','Request by Mr. Omair Ali 29-Nov-2024');</v>
      </c>
    </row>
    <row r="544" spans="1:8" ht="105" x14ac:dyDescent="0.25">
      <c r="A544" t="s">
        <v>544</v>
      </c>
      <c r="B544" s="8" t="str">
        <f>VLOOKUP(A544,assortedcode!B:C,2,0)</f>
        <v>040000163643</v>
      </c>
      <c r="C544" s="1">
        <v>0</v>
      </c>
      <c r="D544" s="9">
        <f t="shared" si="33"/>
        <v>0</v>
      </c>
      <c r="E544" s="7" t="s">
        <v>8345</v>
      </c>
      <c r="F544" s="10" t="str">
        <f t="shared" si="32"/>
        <v>insert into ins_premium_det (premium_rcv_code,assorted_code, rec_amount,premium_rcv_detail_code,remaining_amt, payrec, mode_code,coinsurance_code,class_cd,it_remarks) values</v>
      </c>
      <c r="G544" s="11" t="str">
        <f t="shared" si="34"/>
        <v>('28Nov240101','040000163643','0',(select max(to_number(i.premium_rcv_detail_code))+1
from ins_premium_det i),'0','0','02', '11000003','00','Request by Mr. Omair Ali 29-Nov-2024');</v>
      </c>
      <c r="H544" s="12" t="str">
        <f t="shared" si="35"/>
        <v>insert into ins_premium_det (premium_rcv_code,assorted_code, rec_amount,premium_rcv_detail_code,remaining_amt, payrec, mode_code,coinsurance_code,class_cd,it_remarks) values('28Nov240101','040000163643','0',(select max(to_number(i.premium_rcv_detail_code))+1
from ins_premium_det i),'0','0','02', '11000003','00','Request by Mr. Omair Ali 29-Nov-2024');</v>
      </c>
    </row>
    <row r="545" spans="1:8" ht="105" x14ac:dyDescent="0.25">
      <c r="A545" t="s">
        <v>545</v>
      </c>
      <c r="B545" s="8" t="str">
        <f>VLOOKUP(A545,assortedcode!B:C,2,0)</f>
        <v>070000127349</v>
      </c>
      <c r="C545" s="1">
        <v>0</v>
      </c>
      <c r="D545" s="9">
        <f t="shared" si="33"/>
        <v>0</v>
      </c>
      <c r="E545" s="7" t="s">
        <v>8345</v>
      </c>
      <c r="F545" s="10" t="str">
        <f t="shared" si="32"/>
        <v>insert into ins_premium_det (premium_rcv_code,assorted_code, rec_amount,premium_rcv_detail_code,remaining_amt, payrec, mode_code,coinsurance_code,class_cd,it_remarks) values</v>
      </c>
      <c r="G545" s="11" t="str">
        <f t="shared" si="34"/>
        <v>('28Nov240101','070000127349','0',(select max(to_number(i.premium_rcv_detail_code))+1
from ins_premium_det i),'0','0','02', '11000003','00','Request by Mr. Omair Ali 29-Nov-2024');</v>
      </c>
      <c r="H545" s="12" t="str">
        <f t="shared" si="35"/>
        <v>insert into ins_premium_det (premium_rcv_code,assorted_code, rec_amount,premium_rcv_detail_code,remaining_amt, payrec, mode_code,coinsurance_code,class_cd,it_remarks) values('28Nov240101','070000127349','0',(select max(to_number(i.premium_rcv_detail_code))+1
from ins_premium_det i),'0','0','02', '11000003','00','Request by Mr. Omair Ali 29-Nov-2024');</v>
      </c>
    </row>
    <row r="546" spans="1:8" ht="105" x14ac:dyDescent="0.25">
      <c r="A546" t="s">
        <v>546</v>
      </c>
      <c r="B546" s="8" t="str">
        <f>VLOOKUP(A546,assortedcode!B:C,2,0)</f>
        <v>040000163707</v>
      </c>
      <c r="C546" s="1">
        <v>0</v>
      </c>
      <c r="D546" s="9">
        <f t="shared" si="33"/>
        <v>0</v>
      </c>
      <c r="E546" s="7" t="s">
        <v>8345</v>
      </c>
      <c r="F546" s="10" t="str">
        <f t="shared" si="32"/>
        <v>insert into ins_premium_det (premium_rcv_code,assorted_code, rec_amount,premium_rcv_detail_code,remaining_amt, payrec, mode_code,coinsurance_code,class_cd,it_remarks) values</v>
      </c>
      <c r="G546" s="11" t="str">
        <f t="shared" si="34"/>
        <v>('28Nov240101','040000163707','0',(select max(to_number(i.premium_rcv_detail_code))+1
from ins_premium_det i),'0','0','02', '11000003','00','Request by Mr. Omair Ali 29-Nov-2024');</v>
      </c>
      <c r="H546" s="12" t="str">
        <f t="shared" si="35"/>
        <v>insert into ins_premium_det (premium_rcv_code,assorted_code, rec_amount,premium_rcv_detail_code,remaining_amt, payrec, mode_code,coinsurance_code,class_cd,it_remarks) values('28Nov240101','040000163707','0',(select max(to_number(i.premium_rcv_detail_code))+1
from ins_premium_det i),'0','0','02', '11000003','00','Request by Mr. Omair Ali 29-Nov-2024');</v>
      </c>
    </row>
    <row r="547" spans="1:8" ht="105" x14ac:dyDescent="0.25">
      <c r="A547" t="s">
        <v>547</v>
      </c>
      <c r="B547" s="8" t="str">
        <f>VLOOKUP(A547,assortedcode!B:C,2,0)</f>
        <v>070000127352</v>
      </c>
      <c r="C547" s="1">
        <v>0</v>
      </c>
      <c r="D547" s="9">
        <f t="shared" si="33"/>
        <v>0</v>
      </c>
      <c r="E547" s="7" t="s">
        <v>8345</v>
      </c>
      <c r="F547" s="10" t="str">
        <f t="shared" si="32"/>
        <v>insert into ins_premium_det (premium_rcv_code,assorted_code, rec_amount,premium_rcv_detail_code,remaining_amt, payrec, mode_code,coinsurance_code,class_cd,it_remarks) values</v>
      </c>
      <c r="G547" s="11" t="str">
        <f t="shared" si="34"/>
        <v>('28Nov240101','070000127352','0',(select max(to_number(i.premium_rcv_detail_code))+1
from ins_premium_det i),'0','0','02', '11000003','00','Request by Mr. Omair Ali 29-Nov-2024');</v>
      </c>
      <c r="H547" s="12" t="str">
        <f t="shared" si="35"/>
        <v>insert into ins_premium_det (premium_rcv_code,assorted_code, rec_amount,premium_rcv_detail_code,remaining_amt, payrec, mode_code,coinsurance_code,class_cd,it_remarks) values('28Nov240101','070000127352','0',(select max(to_number(i.premium_rcv_detail_code))+1
from ins_premium_det i),'0','0','02', '11000003','00','Request by Mr. Omair Ali 29-Nov-2024');</v>
      </c>
    </row>
    <row r="548" spans="1:8" ht="105" x14ac:dyDescent="0.25">
      <c r="A548" t="s">
        <v>548</v>
      </c>
      <c r="B548" s="8" t="str">
        <f>VLOOKUP(A548,assortedcode!B:C,2,0)</f>
        <v>040000141813</v>
      </c>
      <c r="C548" s="1">
        <v>0</v>
      </c>
      <c r="D548" s="9">
        <f t="shared" si="33"/>
        <v>0</v>
      </c>
      <c r="E548" s="7" t="s">
        <v>8345</v>
      </c>
      <c r="F548" s="10" t="str">
        <f t="shared" si="32"/>
        <v>insert into ins_premium_det (premium_rcv_code,assorted_code, rec_amount,premium_rcv_detail_code,remaining_amt, payrec, mode_code,coinsurance_code,class_cd,it_remarks) values</v>
      </c>
      <c r="G548" s="11" t="str">
        <f t="shared" si="34"/>
        <v>('28Nov240101','040000141813','0',(select max(to_number(i.premium_rcv_detail_code))+1
from ins_premium_det i),'0','0','02', '11000003','00','Request by Mr. Omair Ali 29-Nov-2024');</v>
      </c>
      <c r="H548" s="12" t="str">
        <f t="shared" si="35"/>
        <v>insert into ins_premium_det (premium_rcv_code,assorted_code, rec_amount,premium_rcv_detail_code,remaining_amt, payrec, mode_code,coinsurance_code,class_cd,it_remarks) values('28Nov240101','040000141813','0',(select max(to_number(i.premium_rcv_detail_code))+1
from ins_premium_det i),'0','0','02', '11000003','00','Request by Mr. Omair Ali 29-Nov-2024');</v>
      </c>
    </row>
    <row r="549" spans="1:8" ht="105" x14ac:dyDescent="0.25">
      <c r="A549" t="s">
        <v>549</v>
      </c>
      <c r="B549" s="8" t="str">
        <f>VLOOKUP(A549,assortedcode!B:C,2,0)</f>
        <v>070000127138</v>
      </c>
      <c r="C549" s="1">
        <v>0</v>
      </c>
      <c r="D549" s="9">
        <f t="shared" si="33"/>
        <v>0</v>
      </c>
      <c r="E549" s="7" t="s">
        <v>8345</v>
      </c>
      <c r="F549" s="10" t="str">
        <f t="shared" si="32"/>
        <v>insert into ins_premium_det (premium_rcv_code,assorted_code, rec_amount,premium_rcv_detail_code,remaining_amt, payrec, mode_code,coinsurance_code,class_cd,it_remarks) values</v>
      </c>
      <c r="G549" s="11" t="str">
        <f t="shared" si="34"/>
        <v>('28Nov240101','070000127138','0',(select max(to_number(i.premium_rcv_detail_code))+1
from ins_premium_det i),'0','0','02', '11000003','00','Request by Mr. Omair Ali 29-Nov-2024');</v>
      </c>
      <c r="H549" s="12" t="str">
        <f t="shared" si="35"/>
        <v>insert into ins_premium_det (premium_rcv_code,assorted_code, rec_amount,premium_rcv_detail_code,remaining_amt, payrec, mode_code,coinsurance_code,class_cd,it_remarks) values('28Nov240101','070000127138','0',(select max(to_number(i.premium_rcv_detail_code))+1
from ins_premium_det i),'0','0','02', '11000003','00','Request by Mr. Omair Ali 29-Nov-2024');</v>
      </c>
    </row>
    <row r="550" spans="1:8" ht="105" x14ac:dyDescent="0.25">
      <c r="A550" t="s">
        <v>550</v>
      </c>
      <c r="B550" s="8" t="str">
        <f>VLOOKUP(A550,assortedcode!B:C,2,0)</f>
        <v>040000131950</v>
      </c>
      <c r="C550" s="1">
        <v>0</v>
      </c>
      <c r="D550" s="9">
        <f t="shared" si="33"/>
        <v>0</v>
      </c>
      <c r="E550" s="7" t="s">
        <v>8345</v>
      </c>
      <c r="F550" s="10" t="str">
        <f t="shared" si="32"/>
        <v>insert into ins_premium_det (premium_rcv_code,assorted_code, rec_amount,premium_rcv_detail_code,remaining_amt, payrec, mode_code,coinsurance_code,class_cd,it_remarks) values</v>
      </c>
      <c r="G550" s="11" t="str">
        <f t="shared" si="34"/>
        <v>('28Nov240101','040000131950','0',(select max(to_number(i.premium_rcv_detail_code))+1
from ins_premium_det i),'0','0','02', '11000003','00','Request by Mr. Omair Ali 29-Nov-2024');</v>
      </c>
      <c r="H550" s="12" t="str">
        <f t="shared" si="35"/>
        <v>insert into ins_premium_det (premium_rcv_code,assorted_code, rec_amount,premium_rcv_detail_code,remaining_amt, payrec, mode_code,coinsurance_code,class_cd,it_remarks) values('28Nov240101','040000131950','0',(select max(to_number(i.premium_rcv_detail_code))+1
from ins_premium_det i),'0','0','02', '11000003','00','Request by Mr. Omair Ali 29-Nov-2024');</v>
      </c>
    </row>
    <row r="551" spans="1:8" ht="105" x14ac:dyDescent="0.25">
      <c r="A551" t="s">
        <v>551</v>
      </c>
      <c r="B551" s="8" t="str">
        <f>VLOOKUP(A551,assortedcode!B:C,2,0)</f>
        <v>070000127363</v>
      </c>
      <c r="C551" s="1">
        <v>0</v>
      </c>
      <c r="D551" s="9">
        <f t="shared" si="33"/>
        <v>0</v>
      </c>
      <c r="E551" s="7" t="s">
        <v>8345</v>
      </c>
      <c r="F551" s="10" t="str">
        <f t="shared" si="32"/>
        <v>insert into ins_premium_det (premium_rcv_code,assorted_code, rec_amount,premium_rcv_detail_code,remaining_amt, payrec, mode_code,coinsurance_code,class_cd,it_remarks) values</v>
      </c>
      <c r="G551" s="11" t="str">
        <f t="shared" si="34"/>
        <v>('28Nov240101','070000127363','0',(select max(to_number(i.premium_rcv_detail_code))+1
from ins_premium_det i),'0','0','02', '11000003','00','Request by Mr. Omair Ali 29-Nov-2024');</v>
      </c>
      <c r="H551" s="12" t="str">
        <f t="shared" si="35"/>
        <v>insert into ins_premium_det (premium_rcv_code,assorted_code, rec_amount,premium_rcv_detail_code,remaining_amt, payrec, mode_code,coinsurance_code,class_cd,it_remarks) values('28Nov240101','070000127363','0',(select max(to_number(i.premium_rcv_detail_code))+1
from ins_premium_det i),'0','0','02', '11000003','00','Request by Mr. Omair Ali 29-Nov-2024');</v>
      </c>
    </row>
    <row r="552" spans="1:8" ht="105" x14ac:dyDescent="0.25">
      <c r="A552" t="s">
        <v>552</v>
      </c>
      <c r="B552" s="8" t="str">
        <f>VLOOKUP(A552,assortedcode!B:C,2,0)</f>
        <v>040000132535</v>
      </c>
      <c r="C552" s="1">
        <v>0</v>
      </c>
      <c r="D552" s="9">
        <f t="shared" si="33"/>
        <v>0</v>
      </c>
      <c r="E552" s="7" t="s">
        <v>8345</v>
      </c>
      <c r="F552" s="10" t="str">
        <f t="shared" si="32"/>
        <v>insert into ins_premium_det (premium_rcv_code,assorted_code, rec_amount,premium_rcv_detail_code,remaining_amt, payrec, mode_code,coinsurance_code,class_cd,it_remarks) values</v>
      </c>
      <c r="G552" s="11" t="str">
        <f t="shared" si="34"/>
        <v>('28Nov240101','040000132535','0',(select max(to_number(i.premium_rcv_detail_code))+1
from ins_premium_det i),'0','0','02', '11000003','00','Request by Mr. Omair Ali 29-Nov-2024');</v>
      </c>
      <c r="H552" s="12" t="str">
        <f t="shared" si="35"/>
        <v>insert into ins_premium_det (premium_rcv_code,assorted_code, rec_amount,premium_rcv_detail_code,remaining_amt, payrec, mode_code,coinsurance_code,class_cd,it_remarks) values('28Nov240101','040000132535','0',(select max(to_number(i.premium_rcv_detail_code))+1
from ins_premium_det i),'0','0','02', '11000003','00','Request by Mr. Omair Ali 29-Nov-2024');</v>
      </c>
    </row>
    <row r="553" spans="1:8" ht="105" x14ac:dyDescent="0.25">
      <c r="A553" t="s">
        <v>553</v>
      </c>
      <c r="B553" s="8" t="str">
        <f>VLOOKUP(A553,assortedcode!B:C,2,0)</f>
        <v>070000127367</v>
      </c>
      <c r="C553" s="1">
        <v>0</v>
      </c>
      <c r="D553" s="9">
        <f t="shared" si="33"/>
        <v>0</v>
      </c>
      <c r="E553" s="7" t="s">
        <v>8345</v>
      </c>
      <c r="F553" s="10" t="str">
        <f t="shared" si="32"/>
        <v>insert into ins_premium_det (premium_rcv_code,assorted_code, rec_amount,premium_rcv_detail_code,remaining_amt, payrec, mode_code,coinsurance_code,class_cd,it_remarks) values</v>
      </c>
      <c r="G553" s="11" t="str">
        <f t="shared" si="34"/>
        <v>('28Nov240101','070000127367','0',(select max(to_number(i.premium_rcv_detail_code))+1
from ins_premium_det i),'0','0','02', '11000003','00','Request by Mr. Omair Ali 29-Nov-2024');</v>
      </c>
      <c r="H553" s="12" t="str">
        <f t="shared" si="35"/>
        <v>insert into ins_premium_det (premium_rcv_code,assorted_code, rec_amount,premium_rcv_detail_code,remaining_amt, payrec, mode_code,coinsurance_code,class_cd,it_remarks) values('28Nov240101','070000127367','0',(select max(to_number(i.premium_rcv_detail_code))+1
from ins_premium_det i),'0','0','02', '11000003','00','Request by Mr. Omair Ali 29-Nov-2024');</v>
      </c>
    </row>
    <row r="554" spans="1:8" ht="105" x14ac:dyDescent="0.25">
      <c r="A554" t="s">
        <v>554</v>
      </c>
      <c r="B554" s="8" t="str">
        <f>VLOOKUP(A554,assortedcode!B:C,2,0)</f>
        <v>040000133364</v>
      </c>
      <c r="C554" s="1">
        <v>0</v>
      </c>
      <c r="D554" s="9">
        <f t="shared" si="33"/>
        <v>0</v>
      </c>
      <c r="E554" s="7" t="s">
        <v>8345</v>
      </c>
      <c r="F554" s="10" t="str">
        <f t="shared" si="32"/>
        <v>insert into ins_premium_det (premium_rcv_code,assorted_code, rec_amount,premium_rcv_detail_code,remaining_amt, payrec, mode_code,coinsurance_code,class_cd,it_remarks) values</v>
      </c>
      <c r="G554" s="11" t="str">
        <f t="shared" si="34"/>
        <v>('28Nov240101','040000133364','0',(select max(to_number(i.premium_rcv_detail_code))+1
from ins_premium_det i),'0','0','02', '11000003','00','Request by Mr. Omair Ali 29-Nov-2024');</v>
      </c>
      <c r="H554" s="12" t="str">
        <f t="shared" si="35"/>
        <v>insert into ins_premium_det (premium_rcv_code,assorted_code, rec_amount,premium_rcv_detail_code,remaining_amt, payrec, mode_code,coinsurance_code,class_cd,it_remarks) values('28Nov240101','040000133364','0',(select max(to_number(i.premium_rcv_detail_code))+1
from ins_premium_det i),'0','0','02', '11000003','00','Request by Mr. Omair Ali 29-Nov-2024');</v>
      </c>
    </row>
    <row r="555" spans="1:8" ht="105" x14ac:dyDescent="0.25">
      <c r="A555" t="s">
        <v>555</v>
      </c>
      <c r="B555" s="8" t="str">
        <f>VLOOKUP(A555,assortedcode!B:C,2,0)</f>
        <v>070000127373</v>
      </c>
      <c r="C555" s="1">
        <v>0</v>
      </c>
      <c r="D555" s="9">
        <f t="shared" si="33"/>
        <v>0</v>
      </c>
      <c r="E555" s="7" t="s">
        <v>8345</v>
      </c>
      <c r="F555" s="10" t="str">
        <f t="shared" si="32"/>
        <v>insert into ins_premium_det (premium_rcv_code,assorted_code, rec_amount,premium_rcv_detail_code,remaining_amt, payrec, mode_code,coinsurance_code,class_cd,it_remarks) values</v>
      </c>
      <c r="G555" s="11" t="str">
        <f t="shared" si="34"/>
        <v>('28Nov240101','070000127373','0',(select max(to_number(i.premium_rcv_detail_code))+1
from ins_premium_det i),'0','0','02', '11000003','00','Request by Mr. Omair Ali 29-Nov-2024');</v>
      </c>
      <c r="H555" s="12" t="str">
        <f t="shared" si="35"/>
        <v>insert into ins_premium_det (premium_rcv_code,assorted_code, rec_amount,premium_rcv_detail_code,remaining_amt, payrec, mode_code,coinsurance_code,class_cd,it_remarks) values('28Nov240101','070000127373','0',(select max(to_number(i.premium_rcv_detail_code))+1
from ins_premium_det i),'0','0','02', '11000003','00','Request by Mr. Omair Ali 29-Nov-2024');</v>
      </c>
    </row>
    <row r="556" spans="1:8" ht="105" x14ac:dyDescent="0.25">
      <c r="A556" t="s">
        <v>556</v>
      </c>
      <c r="B556" s="8" t="str">
        <f>VLOOKUP(A556,assortedcode!B:C,2,0)</f>
        <v>040000134573</v>
      </c>
      <c r="C556" s="1">
        <v>0</v>
      </c>
      <c r="D556" s="9">
        <f t="shared" si="33"/>
        <v>0</v>
      </c>
      <c r="E556" s="7" t="s">
        <v>8345</v>
      </c>
      <c r="F556" s="10" t="str">
        <f t="shared" si="32"/>
        <v>insert into ins_premium_det (premium_rcv_code,assorted_code, rec_amount,premium_rcv_detail_code,remaining_amt, payrec, mode_code,coinsurance_code,class_cd,it_remarks) values</v>
      </c>
      <c r="G556" s="11" t="str">
        <f t="shared" si="34"/>
        <v>('28Nov240101','040000134573','0',(select max(to_number(i.premium_rcv_detail_code))+1
from ins_premium_det i),'0','0','02', '11000003','00','Request by Mr. Omair Ali 29-Nov-2024');</v>
      </c>
      <c r="H556" s="12" t="str">
        <f t="shared" si="35"/>
        <v>insert into ins_premium_det (premium_rcv_code,assorted_code, rec_amount,premium_rcv_detail_code,remaining_amt, payrec, mode_code,coinsurance_code,class_cd,it_remarks) values('28Nov240101','040000134573','0',(select max(to_number(i.premium_rcv_detail_code))+1
from ins_premium_det i),'0','0','02', '11000003','00','Request by Mr. Omair Ali 29-Nov-2024');</v>
      </c>
    </row>
    <row r="557" spans="1:8" ht="105" x14ac:dyDescent="0.25">
      <c r="A557" t="s">
        <v>557</v>
      </c>
      <c r="B557" s="8" t="str">
        <f>VLOOKUP(A557,assortedcode!B:C,2,0)</f>
        <v>070000127379</v>
      </c>
      <c r="C557" s="1">
        <v>0</v>
      </c>
      <c r="D557" s="9">
        <f t="shared" si="33"/>
        <v>0</v>
      </c>
      <c r="E557" s="7" t="s">
        <v>8345</v>
      </c>
      <c r="F557" s="10" t="str">
        <f t="shared" si="32"/>
        <v>insert into ins_premium_det (premium_rcv_code,assorted_code, rec_amount,premium_rcv_detail_code,remaining_amt, payrec, mode_code,coinsurance_code,class_cd,it_remarks) values</v>
      </c>
      <c r="G557" s="11" t="str">
        <f t="shared" si="34"/>
        <v>('28Nov240101','070000127379','0',(select max(to_number(i.premium_rcv_detail_code))+1
from ins_premium_det i),'0','0','02', '11000003','00','Request by Mr. Omair Ali 29-Nov-2024');</v>
      </c>
      <c r="H557" s="12" t="str">
        <f t="shared" si="35"/>
        <v>insert into ins_premium_det (premium_rcv_code,assorted_code, rec_amount,premium_rcv_detail_code,remaining_amt, payrec, mode_code,coinsurance_code,class_cd,it_remarks) values('28Nov240101','070000127379','0',(select max(to_number(i.premium_rcv_detail_code))+1
from ins_premium_det i),'0','0','02', '11000003','00','Request by Mr. Omair Ali 29-Nov-2024');</v>
      </c>
    </row>
    <row r="558" spans="1:8" ht="105" x14ac:dyDescent="0.25">
      <c r="A558" t="s">
        <v>558</v>
      </c>
      <c r="B558" s="8" t="str">
        <f>VLOOKUP(A558,assortedcode!B:C,2,0)</f>
        <v>040000135984</v>
      </c>
      <c r="C558" s="1">
        <v>0</v>
      </c>
      <c r="D558" s="9">
        <f t="shared" si="33"/>
        <v>0</v>
      </c>
      <c r="E558" s="7" t="s">
        <v>8345</v>
      </c>
      <c r="F558" s="10" t="str">
        <f t="shared" si="32"/>
        <v>insert into ins_premium_det (premium_rcv_code,assorted_code, rec_amount,premium_rcv_detail_code,remaining_amt, payrec, mode_code,coinsurance_code,class_cd,it_remarks) values</v>
      </c>
      <c r="G558" s="11" t="str">
        <f t="shared" si="34"/>
        <v>('28Nov240101','040000135984','0',(select max(to_number(i.premium_rcv_detail_code))+1
from ins_premium_det i),'0','0','02', '11000003','00','Request by Mr. Omair Ali 29-Nov-2024');</v>
      </c>
      <c r="H558" s="12" t="str">
        <f t="shared" si="35"/>
        <v>insert into ins_premium_det (premium_rcv_code,assorted_code, rec_amount,premium_rcv_detail_code,remaining_amt, payrec, mode_code,coinsurance_code,class_cd,it_remarks) values('28Nov240101','040000135984','0',(select max(to_number(i.premium_rcv_detail_code))+1
from ins_premium_det i),'0','0','02', '11000003','00','Request by Mr. Omair Ali 29-Nov-2024');</v>
      </c>
    </row>
    <row r="559" spans="1:8" ht="105" x14ac:dyDescent="0.25">
      <c r="A559" t="s">
        <v>559</v>
      </c>
      <c r="B559" s="8" t="str">
        <f>VLOOKUP(A559,assortedcode!B:C,2,0)</f>
        <v>070000127380</v>
      </c>
      <c r="C559" s="1">
        <v>0</v>
      </c>
      <c r="D559" s="9">
        <f t="shared" si="33"/>
        <v>0</v>
      </c>
      <c r="E559" s="7" t="s">
        <v>8345</v>
      </c>
      <c r="F559" s="10" t="str">
        <f t="shared" si="32"/>
        <v>insert into ins_premium_det (premium_rcv_code,assorted_code, rec_amount,premium_rcv_detail_code,remaining_amt, payrec, mode_code,coinsurance_code,class_cd,it_remarks) values</v>
      </c>
      <c r="G559" s="11" t="str">
        <f t="shared" si="34"/>
        <v>('28Nov240101','070000127380','0',(select max(to_number(i.premium_rcv_detail_code))+1
from ins_premium_det i),'0','0','02', '11000003','00','Request by Mr. Omair Ali 29-Nov-2024');</v>
      </c>
      <c r="H559" s="12" t="str">
        <f t="shared" si="35"/>
        <v>insert into ins_premium_det (premium_rcv_code,assorted_code, rec_amount,premium_rcv_detail_code,remaining_amt, payrec, mode_code,coinsurance_code,class_cd,it_remarks) values('28Nov240101','070000127380','0',(select max(to_number(i.premium_rcv_detail_code))+1
from ins_premium_det i),'0','0','02', '11000003','00','Request by Mr. Omair Ali 29-Nov-2024');</v>
      </c>
    </row>
    <row r="560" spans="1:8" ht="105" x14ac:dyDescent="0.25">
      <c r="A560" t="s">
        <v>560</v>
      </c>
      <c r="B560" s="8" t="str">
        <f>VLOOKUP(A560,assortedcode!B:C,2,0)</f>
        <v>040000137262</v>
      </c>
      <c r="C560" s="1">
        <v>0</v>
      </c>
      <c r="D560" s="9">
        <f t="shared" si="33"/>
        <v>0</v>
      </c>
      <c r="E560" s="7" t="s">
        <v>8345</v>
      </c>
      <c r="F560" s="10" t="str">
        <f t="shared" si="32"/>
        <v>insert into ins_premium_det (premium_rcv_code,assorted_code, rec_amount,premium_rcv_detail_code,remaining_amt, payrec, mode_code,coinsurance_code,class_cd,it_remarks) values</v>
      </c>
      <c r="G560" s="11" t="str">
        <f t="shared" si="34"/>
        <v>('28Nov240101','040000137262','0',(select max(to_number(i.premium_rcv_detail_code))+1
from ins_premium_det i),'0','0','02', '11000003','00','Request by Mr. Omair Ali 29-Nov-2024');</v>
      </c>
      <c r="H560" s="12" t="str">
        <f t="shared" si="35"/>
        <v>insert into ins_premium_det (premium_rcv_code,assorted_code, rec_amount,premium_rcv_detail_code,remaining_amt, payrec, mode_code,coinsurance_code,class_cd,it_remarks) values('28Nov240101','040000137262','0',(select max(to_number(i.premium_rcv_detail_code))+1
from ins_premium_det i),'0','0','02', '11000003','00','Request by Mr. Omair Ali 29-Nov-2024');</v>
      </c>
    </row>
    <row r="561" spans="1:8" ht="105" x14ac:dyDescent="0.25">
      <c r="A561" t="s">
        <v>561</v>
      </c>
      <c r="B561" s="8" t="str">
        <f>VLOOKUP(A561,assortedcode!B:C,2,0)</f>
        <v>070000127389</v>
      </c>
      <c r="C561" s="1">
        <v>0</v>
      </c>
      <c r="D561" s="9">
        <f t="shared" si="33"/>
        <v>0</v>
      </c>
      <c r="E561" s="7" t="s">
        <v>8345</v>
      </c>
      <c r="F561" s="10" t="str">
        <f t="shared" si="32"/>
        <v>insert into ins_premium_det (premium_rcv_code,assorted_code, rec_amount,premium_rcv_detail_code,remaining_amt, payrec, mode_code,coinsurance_code,class_cd,it_remarks) values</v>
      </c>
      <c r="G561" s="11" t="str">
        <f t="shared" si="34"/>
        <v>('28Nov240101','070000127389','0',(select max(to_number(i.premium_rcv_detail_code))+1
from ins_premium_det i),'0','0','02', '11000003','00','Request by Mr. Omair Ali 29-Nov-2024');</v>
      </c>
      <c r="H561" s="12" t="str">
        <f t="shared" si="35"/>
        <v>insert into ins_premium_det (premium_rcv_code,assorted_code, rec_amount,premium_rcv_detail_code,remaining_amt, payrec, mode_code,coinsurance_code,class_cd,it_remarks) values('28Nov240101','070000127389','0',(select max(to_number(i.premium_rcv_detail_code))+1
from ins_premium_det i),'0','0','02', '11000003','00','Request by Mr. Omair Ali 29-Nov-2024');</v>
      </c>
    </row>
    <row r="562" spans="1:8" ht="105" x14ac:dyDescent="0.25">
      <c r="A562" t="s">
        <v>562</v>
      </c>
      <c r="B562" s="8" t="str">
        <f>VLOOKUP(A562,assortedcode!B:C,2,0)</f>
        <v>040000137783</v>
      </c>
      <c r="C562" s="1">
        <v>0</v>
      </c>
      <c r="D562" s="9">
        <f t="shared" si="33"/>
        <v>0</v>
      </c>
      <c r="E562" s="7" t="s">
        <v>8345</v>
      </c>
      <c r="F562" s="10" t="str">
        <f t="shared" si="32"/>
        <v>insert into ins_premium_det (premium_rcv_code,assorted_code, rec_amount,premium_rcv_detail_code,remaining_amt, payrec, mode_code,coinsurance_code,class_cd,it_remarks) values</v>
      </c>
      <c r="G562" s="11" t="str">
        <f t="shared" si="34"/>
        <v>('28Nov240101','040000137783','0',(select max(to_number(i.premium_rcv_detail_code))+1
from ins_premium_det i),'0','0','02', '11000003','00','Request by Mr. Omair Ali 29-Nov-2024');</v>
      </c>
      <c r="H562" s="12" t="str">
        <f t="shared" si="35"/>
        <v>insert into ins_premium_det (premium_rcv_code,assorted_code, rec_amount,premium_rcv_detail_code,remaining_amt, payrec, mode_code,coinsurance_code,class_cd,it_remarks) values('28Nov240101','040000137783','0',(select max(to_number(i.premium_rcv_detail_code))+1
from ins_premium_det i),'0','0','02', '11000003','00','Request by Mr. Omair Ali 29-Nov-2024');</v>
      </c>
    </row>
    <row r="563" spans="1:8" ht="105" x14ac:dyDescent="0.25">
      <c r="A563" t="s">
        <v>563</v>
      </c>
      <c r="B563" s="8" t="str">
        <f>VLOOKUP(A563,assortedcode!B:C,2,0)</f>
        <v>070000127427</v>
      </c>
      <c r="C563" s="1">
        <v>0</v>
      </c>
      <c r="D563" s="9">
        <f t="shared" si="33"/>
        <v>0</v>
      </c>
      <c r="E563" s="7" t="s">
        <v>8345</v>
      </c>
      <c r="F563" s="10" t="str">
        <f t="shared" si="32"/>
        <v>insert into ins_premium_det (premium_rcv_code,assorted_code, rec_amount,premium_rcv_detail_code,remaining_amt, payrec, mode_code,coinsurance_code,class_cd,it_remarks) values</v>
      </c>
      <c r="G563" s="11" t="str">
        <f t="shared" si="34"/>
        <v>('28Nov240101','070000127427','0',(select max(to_number(i.premium_rcv_detail_code))+1
from ins_premium_det i),'0','0','02', '11000003','00','Request by Mr. Omair Ali 29-Nov-2024');</v>
      </c>
      <c r="H563" s="12" t="str">
        <f t="shared" si="35"/>
        <v>insert into ins_premium_det (premium_rcv_code,assorted_code, rec_amount,premium_rcv_detail_code,remaining_amt, payrec, mode_code,coinsurance_code,class_cd,it_remarks) values('28Nov240101','070000127427','0',(select max(to_number(i.premium_rcv_detail_code))+1
from ins_premium_det i),'0','0','02', '11000003','00','Request by Mr. Omair Ali 29-Nov-2024');</v>
      </c>
    </row>
    <row r="564" spans="1:8" ht="105" x14ac:dyDescent="0.25">
      <c r="A564" t="s">
        <v>564</v>
      </c>
      <c r="B564" s="8" t="str">
        <f>VLOOKUP(A564,assortedcode!B:C,2,0)</f>
        <v>040000139309</v>
      </c>
      <c r="C564" s="1">
        <v>0</v>
      </c>
      <c r="D564" s="9">
        <f t="shared" si="33"/>
        <v>0</v>
      </c>
      <c r="E564" s="7" t="s">
        <v>8345</v>
      </c>
      <c r="F564" s="10" t="str">
        <f t="shared" si="32"/>
        <v>insert into ins_premium_det (premium_rcv_code,assorted_code, rec_amount,premium_rcv_detail_code,remaining_amt, payrec, mode_code,coinsurance_code,class_cd,it_remarks) values</v>
      </c>
      <c r="G564" s="11" t="str">
        <f t="shared" si="34"/>
        <v>('28Nov240101','040000139309','0',(select max(to_number(i.premium_rcv_detail_code))+1
from ins_premium_det i),'0','0','02', '11000003','00','Request by Mr. Omair Ali 29-Nov-2024');</v>
      </c>
      <c r="H564" s="12" t="str">
        <f t="shared" si="35"/>
        <v>insert into ins_premium_det (premium_rcv_code,assorted_code, rec_amount,premium_rcv_detail_code,remaining_amt, payrec, mode_code,coinsurance_code,class_cd,it_remarks) values('28Nov240101','040000139309','0',(select max(to_number(i.premium_rcv_detail_code))+1
from ins_premium_det i),'0','0','02', '11000003','00','Request by Mr. Omair Ali 29-Nov-2024');</v>
      </c>
    </row>
    <row r="565" spans="1:8" ht="105" x14ac:dyDescent="0.25">
      <c r="A565" t="s">
        <v>565</v>
      </c>
      <c r="B565" s="8" t="str">
        <f>VLOOKUP(A565,assortedcode!B:C,2,0)</f>
        <v>070000127149</v>
      </c>
      <c r="C565" s="1">
        <v>0</v>
      </c>
      <c r="D565" s="9">
        <f t="shared" si="33"/>
        <v>0</v>
      </c>
      <c r="E565" s="7" t="s">
        <v>8345</v>
      </c>
      <c r="F565" s="10" t="str">
        <f t="shared" si="32"/>
        <v>insert into ins_premium_det (premium_rcv_code,assorted_code, rec_amount,premium_rcv_detail_code,remaining_amt, payrec, mode_code,coinsurance_code,class_cd,it_remarks) values</v>
      </c>
      <c r="G565" s="11" t="str">
        <f t="shared" si="34"/>
        <v>('28Nov240101','070000127149','0',(select max(to_number(i.premium_rcv_detail_code))+1
from ins_premium_det i),'0','0','02', '11000003','00','Request by Mr. Omair Ali 29-Nov-2024');</v>
      </c>
      <c r="H565" s="12" t="str">
        <f t="shared" si="35"/>
        <v>insert into ins_premium_det (premium_rcv_code,assorted_code, rec_amount,premium_rcv_detail_code,remaining_amt, payrec, mode_code,coinsurance_code,class_cd,it_remarks) values('28Nov240101','070000127149','0',(select max(to_number(i.premium_rcv_detail_code))+1
from ins_premium_det i),'0','0','02', '11000003','00','Request by Mr. Omair Ali 29-Nov-2024');</v>
      </c>
    </row>
    <row r="566" spans="1:8" ht="105" x14ac:dyDescent="0.25">
      <c r="A566" t="s">
        <v>566</v>
      </c>
      <c r="B566" s="8" t="str">
        <f>VLOOKUP(A566,assortedcode!B:C,2,0)</f>
        <v>040000140467</v>
      </c>
      <c r="C566" s="1">
        <v>0</v>
      </c>
      <c r="D566" s="9">
        <f t="shared" si="33"/>
        <v>0</v>
      </c>
      <c r="E566" s="7" t="s">
        <v>8345</v>
      </c>
      <c r="F566" s="10" t="str">
        <f t="shared" si="32"/>
        <v>insert into ins_premium_det (premium_rcv_code,assorted_code, rec_amount,premium_rcv_detail_code,remaining_amt, payrec, mode_code,coinsurance_code,class_cd,it_remarks) values</v>
      </c>
      <c r="G566" s="11" t="str">
        <f t="shared" si="34"/>
        <v>('28Nov240101','040000140467','0',(select max(to_number(i.premium_rcv_detail_code))+1
from ins_premium_det i),'0','0','02', '11000003','00','Request by Mr. Omair Ali 29-Nov-2024');</v>
      </c>
      <c r="H566" s="12" t="str">
        <f t="shared" si="35"/>
        <v>insert into ins_premium_det (premium_rcv_code,assorted_code, rec_amount,premium_rcv_detail_code,remaining_amt, payrec, mode_code,coinsurance_code,class_cd,it_remarks) values('28Nov240101','040000140467','0',(select max(to_number(i.premium_rcv_detail_code))+1
from ins_premium_det i),'0','0','02', '11000003','00','Request by Mr. Omair Ali 29-Nov-2024');</v>
      </c>
    </row>
    <row r="567" spans="1:8" ht="105" x14ac:dyDescent="0.25">
      <c r="A567" t="s">
        <v>567</v>
      </c>
      <c r="B567" s="8" t="str">
        <f>VLOOKUP(A567,assortedcode!B:C,2,0)</f>
        <v>070000127156</v>
      </c>
      <c r="C567" s="1">
        <v>0</v>
      </c>
      <c r="D567" s="9">
        <f t="shared" si="33"/>
        <v>0</v>
      </c>
      <c r="E567" s="7" t="s">
        <v>8345</v>
      </c>
      <c r="F567" s="10" t="str">
        <f t="shared" si="32"/>
        <v>insert into ins_premium_det (premium_rcv_code,assorted_code, rec_amount,premium_rcv_detail_code,remaining_amt, payrec, mode_code,coinsurance_code,class_cd,it_remarks) values</v>
      </c>
      <c r="G567" s="11" t="str">
        <f t="shared" si="34"/>
        <v>('28Nov240101','070000127156','0',(select max(to_number(i.premium_rcv_detail_code))+1
from ins_premium_det i),'0','0','02', '11000003','00','Request by Mr. Omair Ali 29-Nov-2024');</v>
      </c>
      <c r="H567" s="12" t="str">
        <f t="shared" si="35"/>
        <v>insert into ins_premium_det (premium_rcv_code,assorted_code, rec_amount,premium_rcv_detail_code,remaining_amt, payrec, mode_code,coinsurance_code,class_cd,it_remarks) values('28Nov240101','070000127156','0',(select max(to_number(i.premium_rcv_detail_code))+1
from ins_premium_det i),'0','0','02', '11000003','00','Request by Mr. Omair Ali 29-Nov-2024');</v>
      </c>
    </row>
    <row r="568" spans="1:8" ht="105" x14ac:dyDescent="0.25">
      <c r="A568" t="s">
        <v>568</v>
      </c>
      <c r="B568" s="8" t="str">
        <f>VLOOKUP(A568,assortedcode!B:C,2,0)</f>
        <v>040000141006</v>
      </c>
      <c r="C568" s="1">
        <v>0</v>
      </c>
      <c r="D568" s="9">
        <f t="shared" si="33"/>
        <v>0</v>
      </c>
      <c r="E568" s="7" t="s">
        <v>8345</v>
      </c>
      <c r="F568" s="10" t="str">
        <f t="shared" si="32"/>
        <v>insert into ins_premium_det (premium_rcv_code,assorted_code, rec_amount,premium_rcv_detail_code,remaining_amt, payrec, mode_code,coinsurance_code,class_cd,it_remarks) values</v>
      </c>
      <c r="G568" s="11" t="str">
        <f t="shared" si="34"/>
        <v>('28Nov240101','040000141006','0',(select max(to_number(i.premium_rcv_detail_code))+1
from ins_premium_det i),'0','0','02', '11000003','00','Request by Mr. Omair Ali 29-Nov-2024');</v>
      </c>
      <c r="H568" s="12" t="str">
        <f t="shared" si="35"/>
        <v>insert into ins_premium_det (premium_rcv_code,assorted_code, rec_amount,premium_rcv_detail_code,remaining_amt, payrec, mode_code,coinsurance_code,class_cd,it_remarks) values('28Nov240101','040000141006','0',(select max(to_number(i.premium_rcv_detail_code))+1
from ins_premium_det i),'0','0','02', '11000003','00','Request by Mr. Omair Ali 29-Nov-2024');</v>
      </c>
    </row>
    <row r="569" spans="1:8" ht="105" x14ac:dyDescent="0.25">
      <c r="A569" t="s">
        <v>569</v>
      </c>
      <c r="B569" s="8" t="str">
        <f>VLOOKUP(A569,assortedcode!B:C,2,0)</f>
        <v>070000127162</v>
      </c>
      <c r="C569" s="1">
        <v>0</v>
      </c>
      <c r="D569" s="9">
        <f t="shared" si="33"/>
        <v>0</v>
      </c>
      <c r="E569" s="7" t="s">
        <v>8345</v>
      </c>
      <c r="F569" s="10" t="str">
        <f t="shared" si="32"/>
        <v>insert into ins_premium_det (premium_rcv_code,assorted_code, rec_amount,premium_rcv_detail_code,remaining_amt, payrec, mode_code,coinsurance_code,class_cd,it_remarks) values</v>
      </c>
      <c r="G569" s="11" t="str">
        <f t="shared" si="34"/>
        <v>('28Nov240101','070000127162','0',(select max(to_number(i.premium_rcv_detail_code))+1
from ins_premium_det i),'0','0','02', '11000003','00','Request by Mr. Omair Ali 29-Nov-2024');</v>
      </c>
      <c r="H569" s="12" t="str">
        <f t="shared" si="35"/>
        <v>insert into ins_premium_det (premium_rcv_code,assorted_code, rec_amount,premium_rcv_detail_code,remaining_amt, payrec, mode_code,coinsurance_code,class_cd,it_remarks) values('28Nov240101','070000127162','0',(select max(to_number(i.premium_rcv_detail_code))+1
from ins_premium_det i),'0','0','02', '11000003','00','Request by Mr. Omair Ali 29-Nov-2024');</v>
      </c>
    </row>
    <row r="570" spans="1:8" ht="105" x14ac:dyDescent="0.25">
      <c r="A570" t="s">
        <v>570</v>
      </c>
      <c r="B570" s="8" t="str">
        <f>VLOOKUP(A570,assortedcode!B:C,2,0)</f>
        <v>040000141019</v>
      </c>
      <c r="C570" s="1">
        <v>0</v>
      </c>
      <c r="D570" s="9">
        <f t="shared" si="33"/>
        <v>0</v>
      </c>
      <c r="E570" s="7" t="s">
        <v>8345</v>
      </c>
      <c r="F570" s="10" t="str">
        <f t="shared" si="32"/>
        <v>insert into ins_premium_det (premium_rcv_code,assorted_code, rec_amount,premium_rcv_detail_code,remaining_amt, payrec, mode_code,coinsurance_code,class_cd,it_remarks) values</v>
      </c>
      <c r="G570" s="11" t="str">
        <f t="shared" si="34"/>
        <v>('28Nov240101','040000141019','0',(select max(to_number(i.premium_rcv_detail_code))+1
from ins_premium_det i),'0','0','02', '11000003','00','Request by Mr. Omair Ali 29-Nov-2024');</v>
      </c>
      <c r="H570" s="12" t="str">
        <f t="shared" si="35"/>
        <v>insert into ins_premium_det (premium_rcv_code,assorted_code, rec_amount,premium_rcv_detail_code,remaining_amt, payrec, mode_code,coinsurance_code,class_cd,it_remarks) values('28Nov240101','040000141019','0',(select max(to_number(i.premium_rcv_detail_code))+1
from ins_premium_det i),'0','0','02', '11000003','00','Request by Mr. Omair Ali 29-Nov-2024');</v>
      </c>
    </row>
    <row r="571" spans="1:8" ht="105" x14ac:dyDescent="0.25">
      <c r="A571" t="s">
        <v>571</v>
      </c>
      <c r="B571" s="8" t="str">
        <f>VLOOKUP(A571,assortedcode!B:C,2,0)</f>
        <v>070000127173</v>
      </c>
      <c r="C571" s="1">
        <v>0</v>
      </c>
      <c r="D571" s="9">
        <f t="shared" si="33"/>
        <v>0</v>
      </c>
      <c r="E571" s="7" t="s">
        <v>8345</v>
      </c>
      <c r="F571" s="10" t="str">
        <f t="shared" si="32"/>
        <v>insert into ins_premium_det (premium_rcv_code,assorted_code, rec_amount,premium_rcv_detail_code,remaining_amt, payrec, mode_code,coinsurance_code,class_cd,it_remarks) values</v>
      </c>
      <c r="G571" s="11" t="str">
        <f t="shared" si="34"/>
        <v>('28Nov240101','070000127173','0',(select max(to_number(i.premium_rcv_detail_code))+1
from ins_premium_det i),'0','0','02', '11000003','00','Request by Mr. Omair Ali 29-Nov-2024');</v>
      </c>
      <c r="H571" s="12" t="str">
        <f t="shared" si="35"/>
        <v>insert into ins_premium_det (premium_rcv_code,assorted_code, rec_amount,premium_rcv_detail_code,remaining_amt, payrec, mode_code,coinsurance_code,class_cd,it_remarks) values('28Nov240101','070000127173','0',(select max(to_number(i.premium_rcv_detail_code))+1
from ins_premium_det i),'0','0','02', '11000003','00','Request by Mr. Omair Ali 29-Nov-2024');</v>
      </c>
    </row>
    <row r="572" spans="1:8" ht="105" x14ac:dyDescent="0.25">
      <c r="A572" t="s">
        <v>572</v>
      </c>
      <c r="B572" s="8" t="str">
        <f>VLOOKUP(A572,assortedcode!B:C,2,0)</f>
        <v>040000147995</v>
      </c>
      <c r="C572" s="1">
        <v>0</v>
      </c>
      <c r="D572" s="9">
        <f t="shared" si="33"/>
        <v>0</v>
      </c>
      <c r="E572" s="7" t="s">
        <v>8345</v>
      </c>
      <c r="F572" s="10" t="str">
        <f t="shared" si="32"/>
        <v>insert into ins_premium_det (premium_rcv_code,assorted_code, rec_amount,premium_rcv_detail_code,remaining_amt, payrec, mode_code,coinsurance_code,class_cd,it_remarks) values</v>
      </c>
      <c r="G572" s="11" t="str">
        <f t="shared" si="34"/>
        <v>('28Nov240101','040000147995','0',(select max(to_number(i.premium_rcv_detail_code))+1
from ins_premium_det i),'0','0','02', '11000003','00','Request by Mr. Omair Ali 29-Nov-2024');</v>
      </c>
      <c r="H572" s="12" t="str">
        <f t="shared" si="35"/>
        <v>insert into ins_premium_det (premium_rcv_code,assorted_code, rec_amount,premium_rcv_detail_code,remaining_amt, payrec, mode_code,coinsurance_code,class_cd,it_remarks) values('28Nov240101','040000147995','0',(select max(to_number(i.premium_rcv_detail_code))+1
from ins_premium_det i),'0','0','02', '11000003','00','Request by Mr. Omair Ali 29-Nov-2024');</v>
      </c>
    </row>
    <row r="573" spans="1:8" ht="105" x14ac:dyDescent="0.25">
      <c r="A573" t="s">
        <v>573</v>
      </c>
      <c r="B573" s="8" t="str">
        <f>VLOOKUP(A573,assortedcode!B:C,2,0)</f>
        <v>070000127176</v>
      </c>
      <c r="C573" s="1">
        <v>0</v>
      </c>
      <c r="D573" s="9">
        <f t="shared" si="33"/>
        <v>0</v>
      </c>
      <c r="E573" s="7" t="s">
        <v>8345</v>
      </c>
      <c r="F573" s="10" t="str">
        <f t="shared" si="32"/>
        <v>insert into ins_premium_det (premium_rcv_code,assorted_code, rec_amount,premium_rcv_detail_code,remaining_amt, payrec, mode_code,coinsurance_code,class_cd,it_remarks) values</v>
      </c>
      <c r="G573" s="11" t="str">
        <f t="shared" si="34"/>
        <v>('28Nov240101','070000127176','0',(select max(to_number(i.premium_rcv_detail_code))+1
from ins_premium_det i),'0','0','02', '11000003','00','Request by Mr. Omair Ali 29-Nov-2024');</v>
      </c>
      <c r="H573" s="12" t="str">
        <f t="shared" si="35"/>
        <v>insert into ins_premium_det (premium_rcv_code,assorted_code, rec_amount,premium_rcv_detail_code,remaining_amt, payrec, mode_code,coinsurance_code,class_cd,it_remarks) values('28Nov240101','070000127176','0',(select max(to_number(i.premium_rcv_detail_code))+1
from ins_premium_det i),'0','0','02', '11000003','00','Request by Mr. Omair Ali 29-Nov-2024');</v>
      </c>
    </row>
    <row r="574" spans="1:8" ht="105" x14ac:dyDescent="0.25">
      <c r="A574" t="s">
        <v>574</v>
      </c>
      <c r="B574" s="8" t="str">
        <f>VLOOKUP(A574,assortedcode!B:C,2,0)</f>
        <v>040000094371</v>
      </c>
      <c r="C574" s="1">
        <v>0</v>
      </c>
      <c r="D574" s="9">
        <f t="shared" si="33"/>
        <v>0</v>
      </c>
      <c r="E574" s="7" t="s">
        <v>8345</v>
      </c>
      <c r="F574" s="10" t="str">
        <f t="shared" si="32"/>
        <v>insert into ins_premium_det (premium_rcv_code,assorted_code, rec_amount,premium_rcv_detail_code,remaining_amt, payrec, mode_code,coinsurance_code,class_cd,it_remarks) values</v>
      </c>
      <c r="G574" s="11" t="str">
        <f t="shared" si="34"/>
        <v>('28Nov240101','040000094371','0',(select max(to_number(i.premium_rcv_detail_code))+1
from ins_premium_det i),'0','0','02', '11000003','00','Request by Mr. Omair Ali 29-Nov-2024');</v>
      </c>
      <c r="H574" s="12" t="str">
        <f t="shared" si="35"/>
        <v>insert into ins_premium_det (premium_rcv_code,assorted_code, rec_amount,premium_rcv_detail_code,remaining_amt, payrec, mode_code,coinsurance_code,class_cd,it_remarks) values('28Nov240101','040000094371','0',(select max(to_number(i.premium_rcv_detail_code))+1
from ins_premium_det i),'0','0','02', '11000003','00','Request by Mr. Omair Ali 29-Nov-2024');</v>
      </c>
    </row>
    <row r="575" spans="1:8" ht="105" x14ac:dyDescent="0.25">
      <c r="A575" t="s">
        <v>575</v>
      </c>
      <c r="B575" s="8" t="str">
        <f>VLOOKUP(A575,assortedcode!B:C,2,0)</f>
        <v>070000128105</v>
      </c>
      <c r="C575" s="1">
        <v>0</v>
      </c>
      <c r="D575" s="9">
        <f t="shared" si="33"/>
        <v>0</v>
      </c>
      <c r="E575" s="7" t="s">
        <v>8345</v>
      </c>
      <c r="F575" s="10" t="str">
        <f t="shared" si="32"/>
        <v>insert into ins_premium_det (premium_rcv_code,assorted_code, rec_amount,premium_rcv_detail_code,remaining_amt, payrec, mode_code,coinsurance_code,class_cd,it_remarks) values</v>
      </c>
      <c r="G575" s="11" t="str">
        <f t="shared" si="34"/>
        <v>('28Nov240101','070000128105','0',(select max(to_number(i.premium_rcv_detail_code))+1
from ins_premium_det i),'0','0','02', '11000003','00','Request by Mr. Omair Ali 29-Nov-2024');</v>
      </c>
      <c r="H575" s="12" t="str">
        <f t="shared" si="35"/>
        <v>insert into ins_premium_det (premium_rcv_code,assorted_code, rec_amount,premium_rcv_detail_code,remaining_amt, payrec, mode_code,coinsurance_code,class_cd,it_remarks) values('28Nov240101','070000128105','0',(select max(to_number(i.premium_rcv_detail_code))+1
from ins_premium_det i),'0','0','02', '11000003','00','Request by Mr. Omair Ali 29-Nov-2024');</v>
      </c>
    </row>
    <row r="576" spans="1:8" ht="105" x14ac:dyDescent="0.25">
      <c r="A576" t="s">
        <v>576</v>
      </c>
      <c r="B576" s="8" t="str">
        <f>VLOOKUP(A576,assortedcode!B:C,2,0)</f>
        <v>040000178478</v>
      </c>
      <c r="C576" s="1">
        <v>0</v>
      </c>
      <c r="D576" s="9">
        <f t="shared" si="33"/>
        <v>0</v>
      </c>
      <c r="E576" s="7" t="s">
        <v>8345</v>
      </c>
      <c r="F576" s="10" t="str">
        <f t="shared" si="32"/>
        <v>insert into ins_premium_det (premium_rcv_code,assorted_code, rec_amount,premium_rcv_detail_code,remaining_amt, payrec, mode_code,coinsurance_code,class_cd,it_remarks) values</v>
      </c>
      <c r="G576" s="11" t="str">
        <f t="shared" si="34"/>
        <v>('28Nov240101','040000178478','0',(select max(to_number(i.premium_rcv_detail_code))+1
from ins_premium_det i),'0','0','02', '11000003','00','Request by Mr. Omair Ali 29-Nov-2024');</v>
      </c>
      <c r="H576" s="12" t="str">
        <f t="shared" si="35"/>
        <v>insert into ins_premium_det (premium_rcv_code,assorted_code, rec_amount,premium_rcv_detail_code,remaining_amt, payrec, mode_code,coinsurance_code,class_cd,it_remarks) values('28Nov240101','040000178478','0',(select max(to_number(i.premium_rcv_detail_code))+1
from ins_premium_det i),'0','0','02', '11000003','00','Request by Mr. Omair Ali 29-Nov-2024');</v>
      </c>
    </row>
    <row r="577" spans="1:8" ht="105" x14ac:dyDescent="0.25">
      <c r="A577" t="s">
        <v>577</v>
      </c>
      <c r="B577" s="8" t="str">
        <f>VLOOKUP(A577,assortedcode!B:C,2,0)</f>
        <v>070000128499</v>
      </c>
      <c r="C577" s="1">
        <v>0</v>
      </c>
      <c r="D577" s="9">
        <f t="shared" si="33"/>
        <v>0</v>
      </c>
      <c r="E577" s="7" t="s">
        <v>8345</v>
      </c>
      <c r="F577" s="10" t="str">
        <f t="shared" si="32"/>
        <v>insert into ins_premium_det (premium_rcv_code,assorted_code, rec_amount,premium_rcv_detail_code,remaining_amt, payrec, mode_code,coinsurance_code,class_cd,it_remarks) values</v>
      </c>
      <c r="G577" s="11" t="str">
        <f t="shared" si="34"/>
        <v>('28Nov240101','070000128499','0',(select max(to_number(i.premium_rcv_detail_code))+1
from ins_premium_det i),'0','0','02', '11000003','00','Request by Mr. Omair Ali 29-Nov-2024');</v>
      </c>
      <c r="H577" s="12" t="str">
        <f t="shared" si="35"/>
        <v>insert into ins_premium_det (premium_rcv_code,assorted_code, rec_amount,premium_rcv_detail_code,remaining_amt, payrec, mode_code,coinsurance_code,class_cd,it_remarks) values('28Nov240101','070000128499','0',(select max(to_number(i.premium_rcv_detail_code))+1
from ins_premium_det i),'0','0','02', '11000003','00','Request by Mr. Omair Ali 29-Nov-2024');</v>
      </c>
    </row>
    <row r="578" spans="1:8" ht="105" x14ac:dyDescent="0.25">
      <c r="A578" t="s">
        <v>578</v>
      </c>
      <c r="B578" s="8" t="str">
        <f>VLOOKUP(A578,assortedcode!B:C,2,0)</f>
        <v>040000180452</v>
      </c>
      <c r="C578" s="1">
        <v>0</v>
      </c>
      <c r="D578" s="9">
        <f t="shared" si="33"/>
        <v>0</v>
      </c>
      <c r="E578" s="7" t="s">
        <v>8345</v>
      </c>
      <c r="F578" s="10" t="str">
        <f t="shared" ref="F578:F641" si="36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578" s="11" t="str">
        <f t="shared" si="34"/>
        <v>('28Nov240101','040000180452','0',(select max(to_number(i.premium_rcv_detail_code))+1
from ins_premium_det i),'0','0','02', '11000003','00','Request by Mr. Omair Ali 29-Nov-2024');</v>
      </c>
      <c r="H578" s="12" t="str">
        <f t="shared" si="35"/>
        <v>insert into ins_premium_det (premium_rcv_code,assorted_code, rec_amount,premium_rcv_detail_code,remaining_amt, payrec, mode_code,coinsurance_code,class_cd,it_remarks) values('28Nov240101','040000180452','0',(select max(to_number(i.premium_rcv_detail_code))+1
from ins_premium_det i),'0','0','02', '11000003','00','Request by Mr. Omair Ali 29-Nov-2024');</v>
      </c>
    </row>
    <row r="579" spans="1:8" ht="105" x14ac:dyDescent="0.25">
      <c r="A579" t="s">
        <v>579</v>
      </c>
      <c r="B579" s="8" t="str">
        <f>VLOOKUP(A579,assortedcode!B:C,2,0)</f>
        <v>070000128524</v>
      </c>
      <c r="C579" s="1">
        <v>0</v>
      </c>
      <c r="D579" s="9">
        <f t="shared" ref="D579:D642" si="37">ROUND(C579,0)</f>
        <v>0</v>
      </c>
      <c r="E579" s="7" t="s">
        <v>8345</v>
      </c>
      <c r="F579" s="10" t="str">
        <f t="shared" si="36"/>
        <v>insert into ins_premium_det (premium_rcv_code,assorted_code, rec_amount,premium_rcv_detail_code,remaining_amt, payrec, mode_code,coinsurance_code,class_cd,it_remarks) values</v>
      </c>
      <c r="G579" s="11" t="str">
        <f t="shared" ref="G579:G642" si="38">"('"&amp;E579&amp;"','"&amp;B579&amp;"','"&amp;ROUND(D579,2)&amp;"',(select max(to_number(i.premium_rcv_detail_code))+1
from ins_premium_det i),'"&amp;D579&amp;"','"&amp;D579&amp;"','02', '11000003','00','Request by Mr. Omair Ali 29-Nov-2024');"</f>
        <v>('28Nov240101','070000128524','0',(select max(to_number(i.premium_rcv_detail_code))+1
from ins_premium_det i),'0','0','02', '11000003','00','Request by Mr. Omair Ali 29-Nov-2024');</v>
      </c>
      <c r="H579" s="12" t="str">
        <f t="shared" ref="H579:H642" si="39">F579&amp;G579</f>
        <v>insert into ins_premium_det (premium_rcv_code,assorted_code, rec_amount,premium_rcv_detail_code,remaining_amt, payrec, mode_code,coinsurance_code,class_cd,it_remarks) values('28Nov240101','070000128524','0',(select max(to_number(i.premium_rcv_detail_code))+1
from ins_premium_det i),'0','0','02', '11000003','00','Request by Mr. Omair Ali 29-Nov-2024');</v>
      </c>
    </row>
    <row r="580" spans="1:8" ht="105" x14ac:dyDescent="0.25">
      <c r="A580" t="s">
        <v>580</v>
      </c>
      <c r="B580" s="8" t="str">
        <f>VLOOKUP(A580,assortedcode!B:C,2,0)</f>
        <v>040000180104</v>
      </c>
      <c r="C580" s="1">
        <v>0</v>
      </c>
      <c r="D580" s="9">
        <f t="shared" si="37"/>
        <v>0</v>
      </c>
      <c r="E580" s="7" t="s">
        <v>8345</v>
      </c>
      <c r="F580" s="10" t="str">
        <f t="shared" si="36"/>
        <v>insert into ins_premium_det (premium_rcv_code,assorted_code, rec_amount,premium_rcv_detail_code,remaining_amt, payrec, mode_code,coinsurance_code,class_cd,it_remarks) values</v>
      </c>
      <c r="G580" s="11" t="str">
        <f t="shared" si="38"/>
        <v>('28Nov240101','040000180104','0',(select max(to_number(i.premium_rcv_detail_code))+1
from ins_premium_det i),'0','0','02', '11000003','00','Request by Mr. Omair Ali 29-Nov-2024');</v>
      </c>
      <c r="H580" s="12" t="str">
        <f t="shared" si="39"/>
        <v>insert into ins_premium_det (premium_rcv_code,assorted_code, rec_amount,premium_rcv_detail_code,remaining_amt, payrec, mode_code,coinsurance_code,class_cd,it_remarks) values('28Nov240101','040000180104','0',(select max(to_number(i.premium_rcv_detail_code))+1
from ins_premium_det i),'0','0','02', '11000003','00','Request by Mr. Omair Ali 29-Nov-2024');</v>
      </c>
    </row>
    <row r="581" spans="1:8" ht="105" x14ac:dyDescent="0.25">
      <c r="A581" t="s">
        <v>581</v>
      </c>
      <c r="B581" s="8" t="str">
        <f>VLOOKUP(A581,assortedcode!B:C,2,0)</f>
        <v>070000130371</v>
      </c>
      <c r="C581" s="1">
        <v>0</v>
      </c>
      <c r="D581" s="9">
        <f t="shared" si="37"/>
        <v>0</v>
      </c>
      <c r="E581" s="7" t="s">
        <v>8345</v>
      </c>
      <c r="F581" s="10" t="str">
        <f t="shared" si="36"/>
        <v>insert into ins_premium_det (premium_rcv_code,assorted_code, rec_amount,premium_rcv_detail_code,remaining_amt, payrec, mode_code,coinsurance_code,class_cd,it_remarks) values</v>
      </c>
      <c r="G581" s="11" t="str">
        <f t="shared" si="38"/>
        <v>('28Nov240101','070000130371','0',(select max(to_number(i.premium_rcv_detail_code))+1
from ins_premium_det i),'0','0','02', '11000003','00','Request by Mr. Omair Ali 29-Nov-2024');</v>
      </c>
      <c r="H581" s="12" t="str">
        <f t="shared" si="39"/>
        <v>insert into ins_premium_det (premium_rcv_code,assorted_code, rec_amount,premium_rcv_detail_code,remaining_amt, payrec, mode_code,coinsurance_code,class_cd,it_remarks) values('28Nov240101','070000130371','0',(select max(to_number(i.premium_rcv_detail_code))+1
from ins_premium_det i),'0','0','02', '11000003','00','Request by Mr. Omair Ali 29-Nov-2024');</v>
      </c>
    </row>
    <row r="582" spans="1:8" ht="105" x14ac:dyDescent="0.25">
      <c r="A582" t="s">
        <v>582</v>
      </c>
      <c r="B582" s="8" t="str">
        <f>VLOOKUP(A582,assortedcode!B:C,2,0)</f>
        <v>040000148297</v>
      </c>
      <c r="C582" s="1">
        <v>0</v>
      </c>
      <c r="D582" s="9">
        <f t="shared" si="37"/>
        <v>0</v>
      </c>
      <c r="E582" s="7" t="s">
        <v>8345</v>
      </c>
      <c r="F582" s="10" t="str">
        <f t="shared" si="36"/>
        <v>insert into ins_premium_det (premium_rcv_code,assorted_code, rec_amount,premium_rcv_detail_code,remaining_amt, payrec, mode_code,coinsurance_code,class_cd,it_remarks) values</v>
      </c>
      <c r="G582" s="11" t="str">
        <f t="shared" si="38"/>
        <v>('28Nov240101','040000148297','0',(select max(to_number(i.premium_rcv_detail_code))+1
from ins_premium_det i),'0','0','02', '11000003','00','Request by Mr. Omair Ali 29-Nov-2024');</v>
      </c>
      <c r="H582" s="12" t="str">
        <f t="shared" si="39"/>
        <v>insert into ins_premium_det (premium_rcv_code,assorted_code, rec_amount,premium_rcv_detail_code,remaining_amt, payrec, mode_code,coinsurance_code,class_cd,it_remarks) values('28Nov240101','040000148297','0',(select max(to_number(i.premium_rcv_detail_code))+1
from ins_premium_det i),'0','0','02', '11000003','00','Request by Mr. Omair Ali 29-Nov-2024');</v>
      </c>
    </row>
    <row r="583" spans="1:8" ht="105" x14ac:dyDescent="0.25">
      <c r="A583" t="s">
        <v>583</v>
      </c>
      <c r="B583" s="8" t="str">
        <f>VLOOKUP(A583,assortedcode!B:C,2,0)</f>
        <v>070000130378</v>
      </c>
      <c r="C583" s="1">
        <v>0</v>
      </c>
      <c r="D583" s="9">
        <f t="shared" si="37"/>
        <v>0</v>
      </c>
      <c r="E583" s="7" t="s">
        <v>8345</v>
      </c>
      <c r="F583" s="10" t="str">
        <f t="shared" si="36"/>
        <v>insert into ins_premium_det (premium_rcv_code,assorted_code, rec_amount,premium_rcv_detail_code,remaining_amt, payrec, mode_code,coinsurance_code,class_cd,it_remarks) values</v>
      </c>
      <c r="G583" s="11" t="str">
        <f t="shared" si="38"/>
        <v>('28Nov240101','070000130378','0',(select max(to_number(i.premium_rcv_detail_code))+1
from ins_premium_det i),'0','0','02', '11000003','00','Request by Mr. Omair Ali 29-Nov-2024');</v>
      </c>
      <c r="H583" s="12" t="str">
        <f t="shared" si="39"/>
        <v>insert into ins_premium_det (premium_rcv_code,assorted_code, rec_amount,premium_rcv_detail_code,remaining_amt, payrec, mode_code,coinsurance_code,class_cd,it_remarks) values('28Nov240101','070000130378','0',(select max(to_number(i.premium_rcv_detail_code))+1
from ins_premium_det i),'0','0','02', '11000003','00','Request by Mr. Omair Ali 29-Nov-2024');</v>
      </c>
    </row>
    <row r="584" spans="1:8" ht="105" x14ac:dyDescent="0.25">
      <c r="A584" t="s">
        <v>584</v>
      </c>
      <c r="B584" s="8" t="str">
        <f>VLOOKUP(A584,assortedcode!B:C,2,0)</f>
        <v>040000163639</v>
      </c>
      <c r="C584" s="1">
        <v>0</v>
      </c>
      <c r="D584" s="9">
        <f t="shared" si="37"/>
        <v>0</v>
      </c>
      <c r="E584" s="7" t="s">
        <v>8345</v>
      </c>
      <c r="F584" s="10" t="str">
        <f t="shared" si="36"/>
        <v>insert into ins_premium_det (premium_rcv_code,assorted_code, rec_amount,premium_rcv_detail_code,remaining_amt, payrec, mode_code,coinsurance_code,class_cd,it_remarks) values</v>
      </c>
      <c r="G584" s="11" t="str">
        <f t="shared" si="38"/>
        <v>('28Nov240101','040000163639','0',(select max(to_number(i.premium_rcv_detail_code))+1
from ins_premium_det i),'0','0','02', '11000003','00','Request by Mr. Omair Ali 29-Nov-2024');</v>
      </c>
      <c r="H584" s="12" t="str">
        <f t="shared" si="39"/>
        <v>insert into ins_premium_det (premium_rcv_code,assorted_code, rec_amount,premium_rcv_detail_code,remaining_amt, payrec, mode_code,coinsurance_code,class_cd,it_remarks) values('28Nov240101','040000163639','0',(select max(to_number(i.premium_rcv_detail_code))+1
from ins_premium_det i),'0','0','02', '11000003','00','Request by Mr. Omair Ali 29-Nov-2024');</v>
      </c>
    </row>
    <row r="585" spans="1:8" ht="105" x14ac:dyDescent="0.25">
      <c r="A585" t="s">
        <v>585</v>
      </c>
      <c r="B585" s="8" t="str">
        <f>VLOOKUP(A585,assortedcode!B:C,2,0)</f>
        <v>070000130403</v>
      </c>
      <c r="C585" s="1">
        <v>0</v>
      </c>
      <c r="D585" s="9">
        <f t="shared" si="37"/>
        <v>0</v>
      </c>
      <c r="E585" s="7" t="s">
        <v>8345</v>
      </c>
      <c r="F585" s="10" t="str">
        <f t="shared" si="36"/>
        <v>insert into ins_premium_det (premium_rcv_code,assorted_code, rec_amount,premium_rcv_detail_code,remaining_amt, payrec, mode_code,coinsurance_code,class_cd,it_remarks) values</v>
      </c>
      <c r="G585" s="11" t="str">
        <f t="shared" si="38"/>
        <v>('28Nov240101','070000130403','0',(select max(to_number(i.premium_rcv_detail_code))+1
from ins_premium_det i),'0','0','02', '11000003','00','Request by Mr. Omair Ali 29-Nov-2024');</v>
      </c>
      <c r="H585" s="12" t="str">
        <f t="shared" si="39"/>
        <v>insert into ins_premium_det (premium_rcv_code,assorted_code, rec_amount,premium_rcv_detail_code,remaining_amt, payrec, mode_code,coinsurance_code,class_cd,it_remarks) values('28Nov240101','070000130403','0',(select max(to_number(i.premium_rcv_detail_code))+1
from ins_premium_det i),'0','0','02', '11000003','00','Request by Mr. Omair Ali 29-Nov-2024');</v>
      </c>
    </row>
    <row r="586" spans="1:8" ht="105" x14ac:dyDescent="0.25">
      <c r="A586" t="s">
        <v>586</v>
      </c>
      <c r="B586" s="8" t="str">
        <f>VLOOKUP(A586,assortedcode!B:C,2,0)</f>
        <v>040000148294</v>
      </c>
      <c r="C586" s="1">
        <v>0</v>
      </c>
      <c r="D586" s="9">
        <f t="shared" si="37"/>
        <v>0</v>
      </c>
      <c r="E586" s="7" t="s">
        <v>8345</v>
      </c>
      <c r="F586" s="10" t="str">
        <f t="shared" si="36"/>
        <v>insert into ins_premium_det (premium_rcv_code,assorted_code, rec_amount,premium_rcv_detail_code,remaining_amt, payrec, mode_code,coinsurance_code,class_cd,it_remarks) values</v>
      </c>
      <c r="G586" s="11" t="str">
        <f t="shared" si="38"/>
        <v>('28Nov240101','040000148294','0',(select max(to_number(i.premium_rcv_detail_code))+1
from ins_premium_det i),'0','0','02', '11000003','00','Request by Mr. Omair Ali 29-Nov-2024');</v>
      </c>
      <c r="H586" s="12" t="str">
        <f t="shared" si="39"/>
        <v>insert into ins_premium_det (premium_rcv_code,assorted_code, rec_amount,premium_rcv_detail_code,remaining_amt, payrec, mode_code,coinsurance_code,class_cd,it_remarks) values('28Nov240101','040000148294','0',(select max(to_number(i.premium_rcv_detail_code))+1
from ins_premium_det i),'0','0','02', '11000003','00','Request by Mr. Omair Ali 29-Nov-2024');</v>
      </c>
    </row>
    <row r="587" spans="1:8" ht="105" x14ac:dyDescent="0.25">
      <c r="A587" t="s">
        <v>587</v>
      </c>
      <c r="B587" s="8" t="str">
        <f>VLOOKUP(A587,assortedcode!B:C,2,0)</f>
        <v>070000130419</v>
      </c>
      <c r="C587" s="1">
        <v>0</v>
      </c>
      <c r="D587" s="9">
        <f t="shared" si="37"/>
        <v>0</v>
      </c>
      <c r="E587" s="7" t="s">
        <v>8345</v>
      </c>
      <c r="F587" s="10" t="str">
        <f t="shared" si="36"/>
        <v>insert into ins_premium_det (premium_rcv_code,assorted_code, rec_amount,premium_rcv_detail_code,remaining_amt, payrec, mode_code,coinsurance_code,class_cd,it_remarks) values</v>
      </c>
      <c r="G587" s="11" t="str">
        <f t="shared" si="38"/>
        <v>('28Nov240101','070000130419','0',(select max(to_number(i.premium_rcv_detail_code))+1
from ins_premium_det i),'0','0','02', '11000003','00','Request by Mr. Omair Ali 29-Nov-2024');</v>
      </c>
      <c r="H587" s="12" t="str">
        <f t="shared" si="39"/>
        <v>insert into ins_premium_det (premium_rcv_code,assorted_code, rec_amount,premium_rcv_detail_code,remaining_amt, payrec, mode_code,coinsurance_code,class_cd,it_remarks) values('28Nov240101','070000130419','0',(select max(to_number(i.premium_rcv_detail_code))+1
from ins_premium_det i),'0','0','02', '11000003','00','Request by Mr. Omair Ali 29-Nov-2024');</v>
      </c>
    </row>
    <row r="588" spans="1:8" ht="105" x14ac:dyDescent="0.25">
      <c r="A588" t="s">
        <v>588</v>
      </c>
      <c r="B588" s="8" t="str">
        <f>VLOOKUP(A588,assortedcode!B:C,2,0)</f>
        <v>040000132134</v>
      </c>
      <c r="C588" s="1">
        <v>0</v>
      </c>
      <c r="D588" s="9">
        <f t="shared" si="37"/>
        <v>0</v>
      </c>
      <c r="E588" s="7" t="s">
        <v>8345</v>
      </c>
      <c r="F588" s="10" t="str">
        <f t="shared" si="36"/>
        <v>insert into ins_premium_det (premium_rcv_code,assorted_code, rec_amount,premium_rcv_detail_code,remaining_amt, payrec, mode_code,coinsurance_code,class_cd,it_remarks) values</v>
      </c>
      <c r="G588" s="11" t="str">
        <f t="shared" si="38"/>
        <v>('28Nov240101','040000132134','0',(select max(to_number(i.premium_rcv_detail_code))+1
from ins_premium_det i),'0','0','02', '11000003','00','Request by Mr. Omair Ali 29-Nov-2024');</v>
      </c>
      <c r="H588" s="12" t="str">
        <f t="shared" si="39"/>
        <v>insert into ins_premium_det (premium_rcv_code,assorted_code, rec_amount,premium_rcv_detail_code,remaining_amt, payrec, mode_code,coinsurance_code,class_cd,it_remarks) values('28Nov240101','040000132134','0',(select max(to_number(i.premium_rcv_detail_code))+1
from ins_premium_det i),'0','0','02', '11000003','00','Request by Mr. Omair Ali 29-Nov-2024');</v>
      </c>
    </row>
    <row r="589" spans="1:8" ht="105" x14ac:dyDescent="0.25">
      <c r="A589" t="s">
        <v>589</v>
      </c>
      <c r="B589" s="8" t="str">
        <f>VLOOKUP(A589,assortedcode!B:C,2,0)</f>
        <v>070000130278</v>
      </c>
      <c r="C589" s="1">
        <v>0</v>
      </c>
      <c r="D589" s="9">
        <f t="shared" si="37"/>
        <v>0</v>
      </c>
      <c r="E589" s="7" t="s">
        <v>8345</v>
      </c>
      <c r="F589" s="10" t="str">
        <f t="shared" si="36"/>
        <v>insert into ins_premium_det (premium_rcv_code,assorted_code, rec_amount,premium_rcv_detail_code,remaining_amt, payrec, mode_code,coinsurance_code,class_cd,it_remarks) values</v>
      </c>
      <c r="G589" s="11" t="str">
        <f t="shared" si="38"/>
        <v>('28Nov240101','070000130278','0',(select max(to_number(i.premium_rcv_detail_code))+1
from ins_premium_det i),'0','0','02', '11000003','00','Request by Mr. Omair Ali 29-Nov-2024');</v>
      </c>
      <c r="H589" s="12" t="str">
        <f t="shared" si="39"/>
        <v>insert into ins_premium_det (premium_rcv_code,assorted_code, rec_amount,premium_rcv_detail_code,remaining_amt, payrec, mode_code,coinsurance_code,class_cd,it_remarks) values('28Nov240101','070000130278','0',(select max(to_number(i.premium_rcv_detail_code))+1
from ins_premium_det i),'0','0','02', '11000003','00','Request by Mr. Omair Ali 29-Nov-2024');</v>
      </c>
    </row>
    <row r="590" spans="1:8" ht="105" x14ac:dyDescent="0.25">
      <c r="A590" t="s">
        <v>590</v>
      </c>
      <c r="B590" s="8" t="str">
        <f>VLOOKUP(A590,assortedcode!B:C,2,0)</f>
        <v>070000138411</v>
      </c>
      <c r="C590" s="1">
        <v>0</v>
      </c>
      <c r="D590" s="9">
        <f t="shared" si="37"/>
        <v>0</v>
      </c>
      <c r="E590" s="7" t="s">
        <v>8345</v>
      </c>
      <c r="F590" s="10" t="str">
        <f t="shared" si="36"/>
        <v>insert into ins_premium_det (premium_rcv_code,assorted_code, rec_amount,premium_rcv_detail_code,remaining_amt, payrec, mode_code,coinsurance_code,class_cd,it_remarks) values</v>
      </c>
      <c r="G590" s="11" t="str">
        <f t="shared" si="38"/>
        <v>('28Nov240101','070000138411','0',(select max(to_number(i.premium_rcv_detail_code))+1
from ins_premium_det i),'0','0','02', '11000003','00','Request by Mr. Omair Ali 29-Nov-2024');</v>
      </c>
      <c r="H590" s="12" t="str">
        <f t="shared" si="39"/>
        <v>insert into ins_premium_det (premium_rcv_code,assorted_code, rec_amount,premium_rcv_detail_code,remaining_amt, payrec, mode_code,coinsurance_code,class_cd,it_remarks) values('28Nov240101','070000138411','0',(select max(to_number(i.premium_rcv_detail_code))+1
from ins_premium_det i),'0','0','02', '11000003','00','Request by Mr. Omair Ali 29-Nov-2024');</v>
      </c>
    </row>
    <row r="591" spans="1:8" ht="105" x14ac:dyDescent="0.25">
      <c r="A591" t="s">
        <v>591</v>
      </c>
      <c r="B591" s="8" t="str">
        <f>VLOOKUP(A591,assortedcode!B:C,2,0)</f>
        <v>070000130301</v>
      </c>
      <c r="C591" s="1">
        <v>0</v>
      </c>
      <c r="D591" s="9">
        <f t="shared" si="37"/>
        <v>0</v>
      </c>
      <c r="E591" s="7" t="s">
        <v>8345</v>
      </c>
      <c r="F591" s="10" t="str">
        <f t="shared" si="36"/>
        <v>insert into ins_premium_det (premium_rcv_code,assorted_code, rec_amount,premium_rcv_detail_code,remaining_amt, payrec, mode_code,coinsurance_code,class_cd,it_remarks) values</v>
      </c>
      <c r="G591" s="11" t="str">
        <f t="shared" si="38"/>
        <v>('28Nov240101','070000130301','0',(select max(to_number(i.premium_rcv_detail_code))+1
from ins_premium_det i),'0','0','02', '11000003','00','Request by Mr. Omair Ali 29-Nov-2024');</v>
      </c>
      <c r="H591" s="12" t="str">
        <f t="shared" si="39"/>
        <v>insert into ins_premium_det (premium_rcv_code,assorted_code, rec_amount,premium_rcv_detail_code,remaining_amt, payrec, mode_code,coinsurance_code,class_cd,it_remarks) values('28Nov240101','070000130301','0',(select max(to_number(i.premium_rcv_detail_code))+1
from ins_premium_det i),'0','0','02', '11000003','00','Request by Mr. Omair Ali 29-Nov-2024');</v>
      </c>
    </row>
    <row r="592" spans="1:8" ht="105" x14ac:dyDescent="0.25">
      <c r="A592" t="s">
        <v>592</v>
      </c>
      <c r="B592" s="8" t="str">
        <f>VLOOKUP(A592,assortedcode!B:C,2,0)</f>
        <v>040000136227</v>
      </c>
      <c r="C592" s="1">
        <v>0</v>
      </c>
      <c r="D592" s="9">
        <f t="shared" si="37"/>
        <v>0</v>
      </c>
      <c r="E592" s="7" t="s">
        <v>8345</v>
      </c>
      <c r="F592" s="10" t="str">
        <f t="shared" si="36"/>
        <v>insert into ins_premium_det (premium_rcv_code,assorted_code, rec_amount,premium_rcv_detail_code,remaining_amt, payrec, mode_code,coinsurance_code,class_cd,it_remarks) values</v>
      </c>
      <c r="G592" s="11" t="str">
        <f t="shared" si="38"/>
        <v>('28Nov240101','040000136227','0',(select max(to_number(i.premium_rcv_detail_code))+1
from ins_premium_det i),'0','0','02', '11000003','00','Request by Mr. Omair Ali 29-Nov-2024');</v>
      </c>
      <c r="H592" s="12" t="str">
        <f t="shared" si="39"/>
        <v>insert into ins_premium_det (premium_rcv_code,assorted_code, rec_amount,premium_rcv_detail_code,remaining_amt, payrec, mode_code,coinsurance_code,class_cd,it_remarks) values('28Nov240101','040000136227','0',(select max(to_number(i.premium_rcv_detail_code))+1
from ins_premium_det i),'0','0','02', '11000003','00','Request by Mr. Omair Ali 29-Nov-2024');</v>
      </c>
    </row>
    <row r="593" spans="1:8" ht="105" x14ac:dyDescent="0.25">
      <c r="A593" t="s">
        <v>593</v>
      </c>
      <c r="B593" s="8" t="str">
        <f>VLOOKUP(A593,assortedcode!B:C,2,0)</f>
        <v>070000130308</v>
      </c>
      <c r="C593" s="1">
        <v>0</v>
      </c>
      <c r="D593" s="9">
        <f t="shared" si="37"/>
        <v>0</v>
      </c>
      <c r="E593" s="7" t="s">
        <v>8345</v>
      </c>
      <c r="F593" s="10" t="str">
        <f t="shared" si="36"/>
        <v>insert into ins_premium_det (premium_rcv_code,assorted_code, rec_amount,premium_rcv_detail_code,remaining_amt, payrec, mode_code,coinsurance_code,class_cd,it_remarks) values</v>
      </c>
      <c r="G593" s="11" t="str">
        <f t="shared" si="38"/>
        <v>('28Nov240101','070000130308','0',(select max(to_number(i.premium_rcv_detail_code))+1
from ins_premium_det i),'0','0','02', '11000003','00','Request by Mr. Omair Ali 29-Nov-2024');</v>
      </c>
      <c r="H593" s="12" t="str">
        <f t="shared" si="39"/>
        <v>insert into ins_premium_det (premium_rcv_code,assorted_code, rec_amount,premium_rcv_detail_code,remaining_amt, payrec, mode_code,coinsurance_code,class_cd,it_remarks) values('28Nov240101','070000130308','0',(select max(to_number(i.premium_rcv_detail_code))+1
from ins_premium_det i),'0','0','02', '11000003','00','Request by Mr. Omair Ali 29-Nov-2024');</v>
      </c>
    </row>
    <row r="594" spans="1:8" ht="105" x14ac:dyDescent="0.25">
      <c r="A594" t="s">
        <v>594</v>
      </c>
      <c r="B594" s="8" t="str">
        <f>VLOOKUP(A594,assortedcode!B:C,2,0)</f>
        <v>040000138627</v>
      </c>
      <c r="C594" s="1">
        <v>0</v>
      </c>
      <c r="D594" s="9">
        <f t="shared" si="37"/>
        <v>0</v>
      </c>
      <c r="E594" s="7" t="s">
        <v>8345</v>
      </c>
      <c r="F594" s="10" t="str">
        <f t="shared" si="36"/>
        <v>insert into ins_premium_det (premium_rcv_code,assorted_code, rec_amount,premium_rcv_detail_code,remaining_amt, payrec, mode_code,coinsurance_code,class_cd,it_remarks) values</v>
      </c>
      <c r="G594" s="11" t="str">
        <f t="shared" si="38"/>
        <v>('28Nov240101','040000138627','0',(select max(to_number(i.premium_rcv_detail_code))+1
from ins_premium_det i),'0','0','02', '11000003','00','Request by Mr. Omair Ali 29-Nov-2024');</v>
      </c>
      <c r="H594" s="12" t="str">
        <f t="shared" si="39"/>
        <v>insert into ins_premium_det (premium_rcv_code,assorted_code, rec_amount,premium_rcv_detail_code,remaining_amt, payrec, mode_code,coinsurance_code,class_cd,it_remarks) values('28Nov240101','040000138627','0',(select max(to_number(i.premium_rcv_detail_code))+1
from ins_premium_det i),'0','0','02', '11000003','00','Request by Mr. Omair Ali 29-Nov-2024');</v>
      </c>
    </row>
    <row r="595" spans="1:8" ht="105" x14ac:dyDescent="0.25">
      <c r="A595" t="s">
        <v>595</v>
      </c>
      <c r="B595" s="8" t="str">
        <f>VLOOKUP(A595,assortedcode!B:C,2,0)</f>
        <v>070000130311</v>
      </c>
      <c r="C595" s="1">
        <v>0</v>
      </c>
      <c r="D595" s="9">
        <f t="shared" si="37"/>
        <v>0</v>
      </c>
      <c r="E595" s="7" t="s">
        <v>8345</v>
      </c>
      <c r="F595" s="10" t="str">
        <f t="shared" si="36"/>
        <v>insert into ins_premium_det (premium_rcv_code,assorted_code, rec_amount,premium_rcv_detail_code,remaining_amt, payrec, mode_code,coinsurance_code,class_cd,it_remarks) values</v>
      </c>
      <c r="G595" s="11" t="str">
        <f t="shared" si="38"/>
        <v>('28Nov240101','070000130311','0',(select max(to_number(i.premium_rcv_detail_code))+1
from ins_premium_det i),'0','0','02', '11000003','00','Request by Mr. Omair Ali 29-Nov-2024');</v>
      </c>
      <c r="H595" s="12" t="str">
        <f t="shared" si="39"/>
        <v>insert into ins_premium_det (premium_rcv_code,assorted_code, rec_amount,premium_rcv_detail_code,remaining_amt, payrec, mode_code,coinsurance_code,class_cd,it_remarks) values('28Nov240101','070000130311','0',(select max(to_number(i.premium_rcv_detail_code))+1
from ins_premium_det i),'0','0','02', '11000003','00','Request by Mr. Omair Ali 29-Nov-2024');</v>
      </c>
    </row>
    <row r="596" spans="1:8" ht="105" x14ac:dyDescent="0.25">
      <c r="A596" t="s">
        <v>596</v>
      </c>
      <c r="B596" s="8" t="str">
        <f>VLOOKUP(A596,assortedcode!B:C,2,0)</f>
        <v>040000140967</v>
      </c>
      <c r="C596" s="1">
        <v>0</v>
      </c>
      <c r="D596" s="9">
        <f t="shared" si="37"/>
        <v>0</v>
      </c>
      <c r="E596" s="7" t="s">
        <v>8345</v>
      </c>
      <c r="F596" s="10" t="str">
        <f t="shared" si="36"/>
        <v>insert into ins_premium_det (premium_rcv_code,assorted_code, rec_amount,premium_rcv_detail_code,remaining_amt, payrec, mode_code,coinsurance_code,class_cd,it_remarks) values</v>
      </c>
      <c r="G596" s="11" t="str">
        <f t="shared" si="38"/>
        <v>('28Nov240101','040000140967','0',(select max(to_number(i.premium_rcv_detail_code))+1
from ins_premium_det i),'0','0','02', '11000003','00','Request by Mr. Omair Ali 29-Nov-2024');</v>
      </c>
      <c r="H596" s="12" t="str">
        <f t="shared" si="39"/>
        <v>insert into ins_premium_det (premium_rcv_code,assorted_code, rec_amount,premium_rcv_detail_code,remaining_amt, payrec, mode_code,coinsurance_code,class_cd,it_remarks) values('28Nov240101','040000140967','0',(select max(to_number(i.premium_rcv_detail_code))+1
from ins_premium_det i),'0','0','02', '11000003','00','Request by Mr. Omair Ali 29-Nov-2024');</v>
      </c>
    </row>
    <row r="597" spans="1:8" ht="105" x14ac:dyDescent="0.25">
      <c r="A597" t="s">
        <v>597</v>
      </c>
      <c r="B597" s="8" t="str">
        <f>VLOOKUP(A597,assortedcode!B:C,2,0)</f>
        <v>070000130324</v>
      </c>
      <c r="C597" s="1">
        <v>0</v>
      </c>
      <c r="D597" s="9">
        <f t="shared" si="37"/>
        <v>0</v>
      </c>
      <c r="E597" s="7" t="s">
        <v>8345</v>
      </c>
      <c r="F597" s="10" t="str">
        <f t="shared" si="36"/>
        <v>insert into ins_premium_det (premium_rcv_code,assorted_code, rec_amount,premium_rcv_detail_code,remaining_amt, payrec, mode_code,coinsurance_code,class_cd,it_remarks) values</v>
      </c>
      <c r="G597" s="11" t="str">
        <f t="shared" si="38"/>
        <v>('28Nov240101','070000130324','0',(select max(to_number(i.premium_rcv_detail_code))+1
from ins_premium_det i),'0','0','02', '11000003','00','Request by Mr. Omair Ali 29-Nov-2024');</v>
      </c>
      <c r="H597" s="12" t="str">
        <f t="shared" si="39"/>
        <v>insert into ins_premium_det (premium_rcv_code,assorted_code, rec_amount,premium_rcv_detail_code,remaining_amt, payrec, mode_code,coinsurance_code,class_cd,it_remarks) values('28Nov240101','070000130324','0',(select max(to_number(i.premium_rcv_detail_code))+1
from ins_premium_det i),'0','0','02', '11000003','00','Request by Mr. Omair Ali 29-Nov-2024');</v>
      </c>
    </row>
    <row r="598" spans="1:8" ht="105" x14ac:dyDescent="0.25">
      <c r="A598" t="s">
        <v>598</v>
      </c>
      <c r="B598" s="8" t="str">
        <f>VLOOKUP(A598,assortedcode!B:C,2,0)</f>
        <v>040000144822</v>
      </c>
      <c r="C598" s="1">
        <v>0</v>
      </c>
      <c r="D598" s="9">
        <f t="shared" si="37"/>
        <v>0</v>
      </c>
      <c r="E598" s="7" t="s">
        <v>8345</v>
      </c>
      <c r="F598" s="10" t="str">
        <f t="shared" si="36"/>
        <v>insert into ins_premium_det (premium_rcv_code,assorted_code, rec_amount,premium_rcv_detail_code,remaining_amt, payrec, mode_code,coinsurance_code,class_cd,it_remarks) values</v>
      </c>
      <c r="G598" s="11" t="str">
        <f t="shared" si="38"/>
        <v>('28Nov240101','040000144822','0',(select max(to_number(i.premium_rcv_detail_code))+1
from ins_premium_det i),'0','0','02', '11000003','00','Request by Mr. Omair Ali 29-Nov-2024');</v>
      </c>
      <c r="H598" s="12" t="str">
        <f t="shared" si="39"/>
        <v>insert into ins_premium_det (premium_rcv_code,assorted_code, rec_amount,premium_rcv_detail_code,remaining_amt, payrec, mode_code,coinsurance_code,class_cd,it_remarks) values('28Nov240101','040000144822','0',(select max(to_number(i.premium_rcv_detail_code))+1
from ins_premium_det i),'0','0','02', '11000003','00','Request by Mr. Omair Ali 29-Nov-2024');</v>
      </c>
    </row>
    <row r="599" spans="1:8" ht="105" x14ac:dyDescent="0.25">
      <c r="A599" t="s">
        <v>599</v>
      </c>
      <c r="B599" s="8" t="str">
        <f>VLOOKUP(A599,assortedcode!B:C,2,0)</f>
        <v>070000130344</v>
      </c>
      <c r="C599" s="1">
        <v>0</v>
      </c>
      <c r="D599" s="9">
        <f t="shared" si="37"/>
        <v>0</v>
      </c>
      <c r="E599" s="7" t="s">
        <v>8345</v>
      </c>
      <c r="F599" s="10" t="str">
        <f t="shared" si="36"/>
        <v>insert into ins_premium_det (premium_rcv_code,assorted_code, rec_amount,premium_rcv_detail_code,remaining_amt, payrec, mode_code,coinsurance_code,class_cd,it_remarks) values</v>
      </c>
      <c r="G599" s="11" t="str">
        <f t="shared" si="38"/>
        <v>('28Nov240101','070000130344','0',(select max(to_number(i.premium_rcv_detail_code))+1
from ins_premium_det i),'0','0','02', '11000003','00','Request by Mr. Omair Ali 29-Nov-2024');</v>
      </c>
      <c r="H599" s="12" t="str">
        <f t="shared" si="39"/>
        <v>insert into ins_premium_det (premium_rcv_code,assorted_code, rec_amount,premium_rcv_detail_code,remaining_amt, payrec, mode_code,coinsurance_code,class_cd,it_remarks) values('28Nov240101','070000130344','0',(select max(to_number(i.premium_rcv_detail_code))+1
from ins_premium_det i),'0','0','02', '11000003','00','Request by Mr. Omair Ali 29-Nov-2024');</v>
      </c>
    </row>
    <row r="600" spans="1:8" ht="105" x14ac:dyDescent="0.25">
      <c r="A600" t="s">
        <v>600</v>
      </c>
      <c r="B600" s="8" t="str">
        <f>VLOOKUP(A600,assortedcode!B:C,2,0)</f>
        <v>040000174864</v>
      </c>
      <c r="C600" s="1">
        <v>0</v>
      </c>
      <c r="D600" s="9">
        <f t="shared" si="37"/>
        <v>0</v>
      </c>
      <c r="E600" s="7" t="s">
        <v>8345</v>
      </c>
      <c r="F600" s="10" t="str">
        <f t="shared" si="36"/>
        <v>insert into ins_premium_det (premium_rcv_code,assorted_code, rec_amount,premium_rcv_detail_code,remaining_amt, payrec, mode_code,coinsurance_code,class_cd,it_remarks) values</v>
      </c>
      <c r="G600" s="11" t="str">
        <f t="shared" si="38"/>
        <v>('28Nov240101','040000174864','0',(select max(to_number(i.premium_rcv_detail_code))+1
from ins_premium_det i),'0','0','02', '11000003','00','Request by Mr. Omair Ali 29-Nov-2024');</v>
      </c>
      <c r="H600" s="12" t="str">
        <f t="shared" si="39"/>
        <v>insert into ins_premium_det (premium_rcv_code,assorted_code, rec_amount,premium_rcv_detail_code,remaining_amt, payrec, mode_code,coinsurance_code,class_cd,it_remarks) values('28Nov240101','040000174864','0',(select max(to_number(i.premium_rcv_detail_code))+1
from ins_premium_det i),'0','0','02', '11000003','00','Request by Mr. Omair Ali 29-Nov-2024');</v>
      </c>
    </row>
    <row r="601" spans="1:8" ht="105" x14ac:dyDescent="0.25">
      <c r="A601" t="s">
        <v>601</v>
      </c>
      <c r="B601" s="8" t="str">
        <f>VLOOKUP(A601,assortedcode!B:C,2,0)</f>
        <v>070000130353</v>
      </c>
      <c r="C601" s="1">
        <v>0</v>
      </c>
      <c r="D601" s="9">
        <f t="shared" si="37"/>
        <v>0</v>
      </c>
      <c r="E601" s="7" t="s">
        <v>8345</v>
      </c>
      <c r="F601" s="10" t="str">
        <f t="shared" si="36"/>
        <v>insert into ins_premium_det (premium_rcv_code,assorted_code, rec_amount,premium_rcv_detail_code,remaining_amt, payrec, mode_code,coinsurance_code,class_cd,it_remarks) values</v>
      </c>
      <c r="G601" s="11" t="str">
        <f t="shared" si="38"/>
        <v>('28Nov240101','070000130353','0',(select max(to_number(i.premium_rcv_detail_code))+1
from ins_premium_det i),'0','0','02', '11000003','00','Request by Mr. Omair Ali 29-Nov-2024');</v>
      </c>
      <c r="H601" s="12" t="str">
        <f t="shared" si="39"/>
        <v>insert into ins_premium_det (premium_rcv_code,assorted_code, rec_amount,premium_rcv_detail_code,remaining_amt, payrec, mode_code,coinsurance_code,class_cd,it_remarks) values('28Nov240101','070000130353','0',(select max(to_number(i.premium_rcv_detail_code))+1
from ins_premium_det i),'0','0','02', '11000003','00','Request by Mr. Omair Ali 29-Nov-2024');</v>
      </c>
    </row>
    <row r="602" spans="1:8" ht="105" x14ac:dyDescent="0.25">
      <c r="A602" t="s">
        <v>602</v>
      </c>
      <c r="B602" s="8" t="str">
        <f>VLOOKUP(A602,assortedcode!B:C,2,0)</f>
        <v>040000180458</v>
      </c>
      <c r="C602" s="1">
        <v>0</v>
      </c>
      <c r="D602" s="9">
        <f t="shared" si="37"/>
        <v>0</v>
      </c>
      <c r="E602" s="7" t="s">
        <v>8345</v>
      </c>
      <c r="F602" s="10" t="str">
        <f t="shared" si="36"/>
        <v>insert into ins_premium_det (premium_rcv_code,assorted_code, rec_amount,premium_rcv_detail_code,remaining_amt, payrec, mode_code,coinsurance_code,class_cd,it_remarks) values</v>
      </c>
      <c r="G602" s="11" t="str">
        <f t="shared" si="38"/>
        <v>('28Nov240101','040000180458','0',(select max(to_number(i.premium_rcv_detail_code))+1
from ins_premium_det i),'0','0','02', '11000003','00','Request by Mr. Omair Ali 29-Nov-2024');</v>
      </c>
      <c r="H602" s="12" t="str">
        <f t="shared" si="39"/>
        <v>insert into ins_premium_det (premium_rcv_code,assorted_code, rec_amount,premium_rcv_detail_code,remaining_amt, payrec, mode_code,coinsurance_code,class_cd,it_remarks) values('28Nov240101','040000180458','0',(select max(to_number(i.premium_rcv_detail_code))+1
from ins_premium_det i),'0','0','02', '11000003','00','Request by Mr. Omair Ali 29-Nov-2024');</v>
      </c>
    </row>
    <row r="603" spans="1:8" ht="105" x14ac:dyDescent="0.25">
      <c r="A603" t="s">
        <v>603</v>
      </c>
      <c r="B603" s="8" t="str">
        <f>VLOOKUP(A603,assortedcode!B:C,2,0)</f>
        <v>070000135683</v>
      </c>
      <c r="C603" s="1">
        <v>0</v>
      </c>
      <c r="D603" s="9">
        <f t="shared" si="37"/>
        <v>0</v>
      </c>
      <c r="E603" s="7" t="s">
        <v>8345</v>
      </c>
      <c r="F603" s="10" t="str">
        <f t="shared" si="36"/>
        <v>insert into ins_premium_det (premium_rcv_code,assorted_code, rec_amount,premium_rcv_detail_code,remaining_amt, payrec, mode_code,coinsurance_code,class_cd,it_remarks) values</v>
      </c>
      <c r="G603" s="11" t="str">
        <f t="shared" si="38"/>
        <v>('28Nov240101','070000135683','0',(select max(to_number(i.premium_rcv_detail_code))+1
from ins_premium_det i),'0','0','02', '11000003','00','Request by Mr. Omair Ali 29-Nov-2024');</v>
      </c>
      <c r="H603" s="12" t="str">
        <f t="shared" si="39"/>
        <v>insert into ins_premium_det (premium_rcv_code,assorted_code, rec_amount,premium_rcv_detail_code,remaining_amt, payrec, mode_code,coinsurance_code,class_cd,it_remarks) values('28Nov240101','070000135683','0',(select max(to_number(i.premium_rcv_detail_code))+1
from ins_premium_det i),'0','0','02', '11000003','00','Request by Mr. Omair Ali 29-Nov-2024');</v>
      </c>
    </row>
    <row r="604" spans="1:8" ht="105" x14ac:dyDescent="0.25">
      <c r="A604" t="s">
        <v>604</v>
      </c>
      <c r="B604" s="8" t="str">
        <f>VLOOKUP(A604,assortedcode!B:C,2,0)</f>
        <v>040000149974</v>
      </c>
      <c r="C604" s="1">
        <v>0</v>
      </c>
      <c r="D604" s="9">
        <f t="shared" si="37"/>
        <v>0</v>
      </c>
      <c r="E604" s="7" t="s">
        <v>8345</v>
      </c>
      <c r="F604" s="10" t="str">
        <f t="shared" si="36"/>
        <v>insert into ins_premium_det (premium_rcv_code,assorted_code, rec_amount,premium_rcv_detail_code,remaining_amt, payrec, mode_code,coinsurance_code,class_cd,it_remarks) values</v>
      </c>
      <c r="G604" s="11" t="str">
        <f t="shared" si="38"/>
        <v>('28Nov240101','040000149974','0',(select max(to_number(i.premium_rcv_detail_code))+1
from ins_premium_det i),'0','0','02', '11000003','00','Request by Mr. Omair Ali 29-Nov-2024');</v>
      </c>
      <c r="H604" s="12" t="str">
        <f t="shared" si="39"/>
        <v>insert into ins_premium_det (premium_rcv_code,assorted_code, rec_amount,premium_rcv_detail_code,remaining_amt, payrec, mode_code,coinsurance_code,class_cd,it_remarks) values('28Nov240101','040000149974','0',(select max(to_number(i.premium_rcv_detail_code))+1
from ins_premium_det i),'0','0','02', '11000003','00','Request by Mr. Omair Ali 29-Nov-2024');</v>
      </c>
    </row>
    <row r="605" spans="1:8" ht="105" x14ac:dyDescent="0.25">
      <c r="A605" t="s">
        <v>605</v>
      </c>
      <c r="B605" s="8" t="str">
        <f>VLOOKUP(A605,assortedcode!B:C,2,0)</f>
        <v>070000140138</v>
      </c>
      <c r="C605" s="1">
        <v>0</v>
      </c>
      <c r="D605" s="9">
        <f t="shared" si="37"/>
        <v>0</v>
      </c>
      <c r="E605" s="7" t="s">
        <v>8345</v>
      </c>
      <c r="F605" s="10" t="str">
        <f t="shared" si="36"/>
        <v>insert into ins_premium_det (premium_rcv_code,assorted_code, rec_amount,premium_rcv_detail_code,remaining_amt, payrec, mode_code,coinsurance_code,class_cd,it_remarks) values</v>
      </c>
      <c r="G605" s="11" t="str">
        <f t="shared" si="38"/>
        <v>('28Nov240101','070000140138','0',(select max(to_number(i.premium_rcv_detail_code))+1
from ins_premium_det i),'0','0','02', '11000003','00','Request by Mr. Omair Ali 29-Nov-2024');</v>
      </c>
      <c r="H605" s="12" t="str">
        <f t="shared" si="39"/>
        <v>insert into ins_premium_det (premium_rcv_code,assorted_code, rec_amount,premium_rcv_detail_code,remaining_amt, payrec, mode_code,coinsurance_code,class_cd,it_remarks) values('28Nov240101','070000140138','0',(select max(to_number(i.premium_rcv_detail_code))+1
from ins_premium_det i),'0','0','02', '11000003','00','Request by Mr. Omair Ali 29-Nov-2024');</v>
      </c>
    </row>
    <row r="606" spans="1:8" ht="105" x14ac:dyDescent="0.25">
      <c r="A606" t="s">
        <v>606</v>
      </c>
      <c r="B606" s="8" t="str">
        <f>VLOOKUP(A606,assortedcode!B:C,2,0)</f>
        <v>070000138218</v>
      </c>
      <c r="C606" s="1">
        <v>0</v>
      </c>
      <c r="D606" s="9">
        <f t="shared" si="37"/>
        <v>0</v>
      </c>
      <c r="E606" s="7" t="s">
        <v>8345</v>
      </c>
      <c r="F606" s="10" t="str">
        <f t="shared" si="36"/>
        <v>insert into ins_premium_det (premium_rcv_code,assorted_code, rec_amount,premium_rcv_detail_code,remaining_amt, payrec, mode_code,coinsurance_code,class_cd,it_remarks) values</v>
      </c>
      <c r="G606" s="11" t="str">
        <f t="shared" si="38"/>
        <v>('28Nov240101','070000138218','0',(select max(to_number(i.premium_rcv_detail_code))+1
from ins_premium_det i),'0','0','02', '11000003','00','Request by Mr. Omair Ali 29-Nov-2024');</v>
      </c>
      <c r="H606" s="12" t="str">
        <f t="shared" si="39"/>
        <v>insert into ins_premium_det (premium_rcv_code,assorted_code, rec_amount,premium_rcv_detail_code,remaining_amt, payrec, mode_code,coinsurance_code,class_cd,it_remarks) values('28Nov240101','070000138218','0',(select max(to_number(i.premium_rcv_detail_code))+1
from ins_premium_det i),'0','0','02', '11000003','00','Request by Mr. Omair Ali 29-Nov-2024');</v>
      </c>
    </row>
    <row r="607" spans="1:8" ht="105" x14ac:dyDescent="0.25">
      <c r="A607" t="s">
        <v>607</v>
      </c>
      <c r="B607" s="8" t="str">
        <f>VLOOKUP(A607,assortedcode!B:C,2,0)</f>
        <v>070000146914</v>
      </c>
      <c r="C607" s="1">
        <v>0</v>
      </c>
      <c r="D607" s="9">
        <f t="shared" si="37"/>
        <v>0</v>
      </c>
      <c r="E607" s="7" t="s">
        <v>8345</v>
      </c>
      <c r="F607" s="10" t="str">
        <f t="shared" si="36"/>
        <v>insert into ins_premium_det (premium_rcv_code,assorted_code, rec_amount,premium_rcv_detail_code,remaining_amt, payrec, mode_code,coinsurance_code,class_cd,it_remarks) values</v>
      </c>
      <c r="G607" s="11" t="str">
        <f t="shared" si="38"/>
        <v>('28Nov240101','070000146914','0',(select max(to_number(i.premium_rcv_detail_code))+1
from ins_premium_det i),'0','0','02', '11000003','00','Request by Mr. Omair Ali 29-Nov-2024');</v>
      </c>
      <c r="H607" s="12" t="str">
        <f t="shared" si="39"/>
        <v>insert into ins_premium_det (premium_rcv_code,assorted_code, rec_amount,premium_rcv_detail_code,remaining_amt, payrec, mode_code,coinsurance_code,class_cd,it_remarks) values('28Nov240101','070000146914','0',(select max(to_number(i.premium_rcv_detail_code))+1
from ins_premium_det i),'0','0','02', '11000003','00','Request by Mr. Omair Ali 29-Nov-2024');</v>
      </c>
    </row>
    <row r="608" spans="1:8" ht="105" x14ac:dyDescent="0.25">
      <c r="A608" t="s">
        <v>608</v>
      </c>
      <c r="B608" s="8" t="str">
        <f>VLOOKUP(A608,assortedcode!B:C,2,0)</f>
        <v>040000135911</v>
      </c>
      <c r="C608" s="1">
        <v>0</v>
      </c>
      <c r="D608" s="9">
        <f t="shared" si="37"/>
        <v>0</v>
      </c>
      <c r="E608" s="7" t="s">
        <v>8345</v>
      </c>
      <c r="F608" s="10" t="str">
        <f t="shared" si="36"/>
        <v>insert into ins_premium_det (premium_rcv_code,assorted_code, rec_amount,premium_rcv_detail_code,remaining_amt, payrec, mode_code,coinsurance_code,class_cd,it_remarks) values</v>
      </c>
      <c r="G608" s="11" t="str">
        <f t="shared" si="38"/>
        <v>('28Nov240101','040000135911','0',(select max(to_number(i.premium_rcv_detail_code))+1
from ins_premium_det i),'0','0','02', '11000003','00','Request by Mr. Omair Ali 29-Nov-2024');</v>
      </c>
      <c r="H608" s="12" t="str">
        <f t="shared" si="39"/>
        <v>insert into ins_premium_det (premium_rcv_code,assorted_code, rec_amount,premium_rcv_detail_code,remaining_amt, payrec, mode_code,coinsurance_code,class_cd,it_remarks) values('28Nov240101','040000135911','0',(select max(to_number(i.premium_rcv_detail_code))+1
from ins_premium_det i),'0','0','02', '11000003','00','Request by Mr. Omair Ali 29-Nov-2024');</v>
      </c>
    </row>
    <row r="609" spans="1:8" ht="105" x14ac:dyDescent="0.25">
      <c r="A609" t="s">
        <v>609</v>
      </c>
      <c r="B609" s="8" t="str">
        <f>VLOOKUP(A609,assortedcode!B:C,2,0)</f>
        <v>070000147956</v>
      </c>
      <c r="C609" s="1">
        <v>0</v>
      </c>
      <c r="D609" s="9">
        <f t="shared" si="37"/>
        <v>0</v>
      </c>
      <c r="E609" s="7" t="s">
        <v>8345</v>
      </c>
      <c r="F609" s="10" t="str">
        <f t="shared" si="36"/>
        <v>insert into ins_premium_det (premium_rcv_code,assorted_code, rec_amount,premium_rcv_detail_code,remaining_amt, payrec, mode_code,coinsurance_code,class_cd,it_remarks) values</v>
      </c>
      <c r="G609" s="11" t="str">
        <f t="shared" si="38"/>
        <v>('28Nov240101','070000147956','0',(select max(to_number(i.premium_rcv_detail_code))+1
from ins_premium_det i),'0','0','02', '11000003','00','Request by Mr. Omair Ali 29-Nov-2024');</v>
      </c>
      <c r="H609" s="12" t="str">
        <f t="shared" si="39"/>
        <v>insert into ins_premium_det (premium_rcv_code,assorted_code, rec_amount,premium_rcv_detail_code,remaining_amt, payrec, mode_code,coinsurance_code,class_cd,it_remarks) values('28Nov240101','070000147956','0',(select max(to_number(i.premium_rcv_detail_code))+1
from ins_premium_det i),'0','0','02', '11000003','00','Request by Mr. Omair Ali 29-Nov-2024');</v>
      </c>
    </row>
    <row r="610" spans="1:8" ht="105" x14ac:dyDescent="0.25">
      <c r="A610" t="s">
        <v>610</v>
      </c>
      <c r="B610" s="8" t="str">
        <f>VLOOKUP(A610,assortedcode!B:C,2,0)</f>
        <v>040000139843</v>
      </c>
      <c r="C610" s="1">
        <v>0</v>
      </c>
      <c r="D610" s="9">
        <f t="shared" si="37"/>
        <v>0</v>
      </c>
      <c r="E610" s="7" t="s">
        <v>8345</v>
      </c>
      <c r="F610" s="10" t="str">
        <f t="shared" si="36"/>
        <v>insert into ins_premium_det (premium_rcv_code,assorted_code, rec_amount,premium_rcv_detail_code,remaining_amt, payrec, mode_code,coinsurance_code,class_cd,it_remarks) values</v>
      </c>
      <c r="G610" s="11" t="str">
        <f t="shared" si="38"/>
        <v>('28Nov240101','040000139843','0',(select max(to_number(i.premium_rcv_detail_code))+1
from ins_premium_det i),'0','0','02', '11000003','00','Request by Mr. Omair Ali 29-Nov-2024');</v>
      </c>
      <c r="H610" s="12" t="str">
        <f t="shared" si="39"/>
        <v>insert into ins_premium_det (premium_rcv_code,assorted_code, rec_amount,premium_rcv_detail_code,remaining_amt, payrec, mode_code,coinsurance_code,class_cd,it_remarks) values('28Nov240101','040000139843','0',(select max(to_number(i.premium_rcv_detail_code))+1
from ins_premium_det i),'0','0','02', '11000003','00','Request by Mr. Omair Ali 29-Nov-2024');</v>
      </c>
    </row>
    <row r="611" spans="1:8" ht="105" x14ac:dyDescent="0.25">
      <c r="A611" t="s">
        <v>611</v>
      </c>
      <c r="B611" s="8" t="str">
        <f>VLOOKUP(A611,assortedcode!B:C,2,0)</f>
        <v>070000150518</v>
      </c>
      <c r="C611" s="1">
        <v>0</v>
      </c>
      <c r="D611" s="9">
        <f t="shared" si="37"/>
        <v>0</v>
      </c>
      <c r="E611" s="7" t="s">
        <v>8345</v>
      </c>
      <c r="F611" s="10" t="str">
        <f t="shared" si="36"/>
        <v>insert into ins_premium_det (premium_rcv_code,assorted_code, rec_amount,premium_rcv_detail_code,remaining_amt, payrec, mode_code,coinsurance_code,class_cd,it_remarks) values</v>
      </c>
      <c r="G611" s="11" t="str">
        <f t="shared" si="38"/>
        <v>('28Nov240101','070000150518','0',(select max(to_number(i.premium_rcv_detail_code))+1
from ins_premium_det i),'0','0','02', '11000003','00','Request by Mr. Omair Ali 29-Nov-2024');</v>
      </c>
      <c r="H611" s="12" t="str">
        <f t="shared" si="39"/>
        <v>insert into ins_premium_det (premium_rcv_code,assorted_code, rec_amount,premium_rcv_detail_code,remaining_amt, payrec, mode_code,coinsurance_code,class_cd,it_remarks) values('28Nov240101','070000150518','0',(select max(to_number(i.premium_rcv_detail_code))+1
from ins_premium_det i),'0','0','02', '11000003','00','Request by Mr. Omair Ali 29-Nov-2024');</v>
      </c>
    </row>
    <row r="612" spans="1:8" ht="105" x14ac:dyDescent="0.25">
      <c r="A612" t="s">
        <v>612</v>
      </c>
      <c r="B612" s="8" t="str">
        <f>VLOOKUP(A612,assortedcode!B:C,2,0)</f>
        <v>040000136729</v>
      </c>
      <c r="C612" s="1">
        <v>0</v>
      </c>
      <c r="D612" s="9">
        <f t="shared" si="37"/>
        <v>0</v>
      </c>
      <c r="E612" s="7" t="s">
        <v>8345</v>
      </c>
      <c r="F612" s="10" t="str">
        <f t="shared" si="36"/>
        <v>insert into ins_premium_det (premium_rcv_code,assorted_code, rec_amount,premium_rcv_detail_code,remaining_amt, payrec, mode_code,coinsurance_code,class_cd,it_remarks) values</v>
      </c>
      <c r="G612" s="11" t="str">
        <f t="shared" si="38"/>
        <v>('28Nov240101','040000136729','0',(select max(to_number(i.premium_rcv_detail_code))+1
from ins_premium_det i),'0','0','02', '11000003','00','Request by Mr. Omair Ali 29-Nov-2024');</v>
      </c>
      <c r="H612" s="12" t="str">
        <f t="shared" si="39"/>
        <v>insert into ins_premium_det (premium_rcv_code,assorted_code, rec_amount,premium_rcv_detail_code,remaining_amt, payrec, mode_code,coinsurance_code,class_cd,it_remarks) values('28Nov240101','040000136729','0',(select max(to_number(i.premium_rcv_detail_code))+1
from ins_premium_det i),'0','0','02', '11000003','00','Request by Mr. Omair Ali 29-Nov-2024');</v>
      </c>
    </row>
    <row r="613" spans="1:8" ht="105" x14ac:dyDescent="0.25">
      <c r="A613" t="s">
        <v>613</v>
      </c>
      <c r="B613" s="8" t="str">
        <f>VLOOKUP(A613,assortedcode!B:C,2,0)</f>
        <v>070000151307</v>
      </c>
      <c r="C613" s="1">
        <v>0</v>
      </c>
      <c r="D613" s="9">
        <f t="shared" si="37"/>
        <v>0</v>
      </c>
      <c r="E613" s="7" t="s">
        <v>8345</v>
      </c>
      <c r="F613" s="10" t="str">
        <f t="shared" si="36"/>
        <v>insert into ins_premium_det (premium_rcv_code,assorted_code, rec_amount,premium_rcv_detail_code,remaining_amt, payrec, mode_code,coinsurance_code,class_cd,it_remarks) values</v>
      </c>
      <c r="G613" s="11" t="str">
        <f t="shared" si="38"/>
        <v>('28Nov240101','070000151307','0',(select max(to_number(i.premium_rcv_detail_code))+1
from ins_premium_det i),'0','0','02', '11000003','00','Request by Mr. Omair Ali 29-Nov-2024');</v>
      </c>
      <c r="H613" s="12" t="str">
        <f t="shared" si="39"/>
        <v>insert into ins_premium_det (premium_rcv_code,assorted_code, rec_amount,premium_rcv_detail_code,remaining_amt, payrec, mode_code,coinsurance_code,class_cd,it_remarks) values('28Nov240101','070000151307','0',(select max(to_number(i.premium_rcv_detail_code))+1
from ins_premium_det i),'0','0','02', '11000003','00','Request by Mr. Omair Ali 29-Nov-2024');</v>
      </c>
    </row>
    <row r="614" spans="1:8" ht="105" x14ac:dyDescent="0.25">
      <c r="A614" t="s">
        <v>614</v>
      </c>
      <c r="B614" s="8" t="str">
        <f>VLOOKUP(A614,assortedcode!B:C,2,0)</f>
        <v>040000105557</v>
      </c>
      <c r="C614" s="1">
        <v>0</v>
      </c>
      <c r="D614" s="9">
        <f t="shared" si="37"/>
        <v>0</v>
      </c>
      <c r="E614" s="7" t="s">
        <v>8345</v>
      </c>
      <c r="F614" s="10" t="str">
        <f t="shared" si="36"/>
        <v>insert into ins_premium_det (premium_rcv_code,assorted_code, rec_amount,premium_rcv_detail_code,remaining_amt, payrec, mode_code,coinsurance_code,class_cd,it_remarks) values</v>
      </c>
      <c r="G614" s="11" t="str">
        <f t="shared" si="38"/>
        <v>('28Nov240101','040000105557','0',(select max(to_number(i.premium_rcv_detail_code))+1
from ins_premium_det i),'0','0','02', '11000003','00','Request by Mr. Omair Ali 29-Nov-2024');</v>
      </c>
      <c r="H614" s="12" t="str">
        <f t="shared" si="39"/>
        <v>insert into ins_premium_det (premium_rcv_code,assorted_code, rec_amount,premium_rcv_detail_code,remaining_amt, payrec, mode_code,coinsurance_code,class_cd,it_remarks) values('28Nov240101','040000105557','0',(select max(to_number(i.premium_rcv_detail_code))+1
from ins_premium_det i),'0','0','02', '11000003','00','Request by Mr. Omair Ali 29-Nov-2024');</v>
      </c>
    </row>
    <row r="615" spans="1:8" ht="105" x14ac:dyDescent="0.25">
      <c r="A615" t="s">
        <v>615</v>
      </c>
      <c r="B615" s="8" t="str">
        <f>VLOOKUP(A615,assortedcode!B:C,2,0)</f>
        <v>070000153613</v>
      </c>
      <c r="C615" s="1">
        <v>0</v>
      </c>
      <c r="D615" s="9">
        <f t="shared" si="37"/>
        <v>0</v>
      </c>
      <c r="E615" s="7" t="s">
        <v>8345</v>
      </c>
      <c r="F615" s="10" t="str">
        <f t="shared" si="36"/>
        <v>insert into ins_premium_det (premium_rcv_code,assorted_code, rec_amount,premium_rcv_detail_code,remaining_amt, payrec, mode_code,coinsurance_code,class_cd,it_remarks) values</v>
      </c>
      <c r="G615" s="11" t="str">
        <f t="shared" si="38"/>
        <v>('28Nov240101','070000153613','0',(select max(to_number(i.premium_rcv_detail_code))+1
from ins_premium_det i),'0','0','02', '11000003','00','Request by Mr. Omair Ali 29-Nov-2024');</v>
      </c>
      <c r="H615" s="12" t="str">
        <f t="shared" si="39"/>
        <v>insert into ins_premium_det (premium_rcv_code,assorted_code, rec_amount,premium_rcv_detail_code,remaining_amt, payrec, mode_code,coinsurance_code,class_cd,it_remarks) values('28Nov240101','070000153613','0',(select max(to_number(i.premium_rcv_detail_code))+1
from ins_premium_det i),'0','0','02', '11000003','00','Request by Mr. Omair Ali 29-Nov-2024');</v>
      </c>
    </row>
    <row r="616" spans="1:8" ht="105" x14ac:dyDescent="0.25">
      <c r="A616" t="s">
        <v>616</v>
      </c>
      <c r="B616" s="8" t="str">
        <f>VLOOKUP(A616,assortedcode!B:C,2,0)</f>
        <v>040000132879</v>
      </c>
      <c r="C616" s="1">
        <v>0</v>
      </c>
      <c r="D616" s="9">
        <f t="shared" si="37"/>
        <v>0</v>
      </c>
      <c r="E616" s="7" t="s">
        <v>8345</v>
      </c>
      <c r="F616" s="10" t="str">
        <f t="shared" si="36"/>
        <v>insert into ins_premium_det (premium_rcv_code,assorted_code, rec_amount,premium_rcv_detail_code,remaining_amt, payrec, mode_code,coinsurance_code,class_cd,it_remarks) values</v>
      </c>
      <c r="G616" s="11" t="str">
        <f t="shared" si="38"/>
        <v>('28Nov240101','040000132879','0',(select max(to_number(i.premium_rcv_detail_code))+1
from ins_premium_det i),'0','0','02', '11000003','00','Request by Mr. Omair Ali 29-Nov-2024');</v>
      </c>
      <c r="H616" s="12" t="str">
        <f t="shared" si="39"/>
        <v>insert into ins_premium_det (premium_rcv_code,assorted_code, rec_amount,premium_rcv_detail_code,remaining_amt, payrec, mode_code,coinsurance_code,class_cd,it_remarks) values('28Nov240101','040000132879','0',(select max(to_number(i.premium_rcv_detail_code))+1
from ins_premium_det i),'0','0','02', '11000003','00','Request by Mr. Omair Ali 29-Nov-2024');</v>
      </c>
    </row>
    <row r="617" spans="1:8" ht="105" x14ac:dyDescent="0.25">
      <c r="A617" t="s">
        <v>617</v>
      </c>
      <c r="B617" s="8" t="str">
        <f>VLOOKUP(A617,assortedcode!B:C,2,0)</f>
        <v>070000155046</v>
      </c>
      <c r="C617" s="1">
        <v>0</v>
      </c>
      <c r="D617" s="9">
        <f t="shared" si="37"/>
        <v>0</v>
      </c>
      <c r="E617" s="7" t="s">
        <v>8345</v>
      </c>
      <c r="F617" s="10" t="str">
        <f t="shared" si="36"/>
        <v>insert into ins_premium_det (premium_rcv_code,assorted_code, rec_amount,premium_rcv_detail_code,remaining_amt, payrec, mode_code,coinsurance_code,class_cd,it_remarks) values</v>
      </c>
      <c r="G617" s="11" t="str">
        <f t="shared" si="38"/>
        <v>('28Nov240101','070000155046','0',(select max(to_number(i.premium_rcv_detail_code))+1
from ins_premium_det i),'0','0','02', '11000003','00','Request by Mr. Omair Ali 29-Nov-2024');</v>
      </c>
      <c r="H617" s="12" t="str">
        <f t="shared" si="39"/>
        <v>insert into ins_premium_det (premium_rcv_code,assorted_code, rec_amount,premium_rcv_detail_code,remaining_amt, payrec, mode_code,coinsurance_code,class_cd,it_remarks) values('28Nov240101','070000155046','0',(select max(to_number(i.premium_rcv_detail_code))+1
from ins_premium_det i),'0','0','02', '11000003','00','Request by Mr. Omair Ali 29-Nov-2024');</v>
      </c>
    </row>
    <row r="618" spans="1:8" ht="105" x14ac:dyDescent="0.25">
      <c r="A618" t="s">
        <v>618</v>
      </c>
      <c r="B618" s="8" t="str">
        <f>VLOOKUP(A618,assortedcode!B:C,2,0)</f>
        <v>040000141015</v>
      </c>
      <c r="C618" s="1">
        <v>0</v>
      </c>
      <c r="D618" s="9">
        <f t="shared" si="37"/>
        <v>0</v>
      </c>
      <c r="E618" s="7" t="s">
        <v>8345</v>
      </c>
      <c r="F618" s="10" t="str">
        <f t="shared" si="36"/>
        <v>insert into ins_premium_det (premium_rcv_code,assorted_code, rec_amount,premium_rcv_detail_code,remaining_amt, payrec, mode_code,coinsurance_code,class_cd,it_remarks) values</v>
      </c>
      <c r="G618" s="11" t="str">
        <f t="shared" si="38"/>
        <v>('28Nov240101','040000141015','0',(select max(to_number(i.premium_rcv_detail_code))+1
from ins_premium_det i),'0','0','02', '11000003','00','Request by Mr. Omair Ali 29-Nov-2024');</v>
      </c>
      <c r="H618" s="12" t="str">
        <f t="shared" si="39"/>
        <v>insert into ins_premium_det (premium_rcv_code,assorted_code, rec_amount,premium_rcv_detail_code,remaining_amt, payrec, mode_code,coinsurance_code,class_cd,it_remarks) values('28Nov240101','040000141015','0',(select max(to_number(i.premium_rcv_detail_code))+1
from ins_premium_det i),'0','0','02', '11000003','00','Request by Mr. Omair Ali 29-Nov-2024');</v>
      </c>
    </row>
    <row r="619" spans="1:8" ht="105" x14ac:dyDescent="0.25">
      <c r="A619" t="s">
        <v>619</v>
      </c>
      <c r="B619" s="8" t="str">
        <f>VLOOKUP(A619,assortedcode!B:C,2,0)</f>
        <v>070000154973</v>
      </c>
      <c r="C619" s="1">
        <v>0</v>
      </c>
      <c r="D619" s="9">
        <f t="shared" si="37"/>
        <v>0</v>
      </c>
      <c r="E619" s="7" t="s">
        <v>8345</v>
      </c>
      <c r="F619" s="10" t="str">
        <f t="shared" si="36"/>
        <v>insert into ins_premium_det (premium_rcv_code,assorted_code, rec_amount,premium_rcv_detail_code,remaining_amt, payrec, mode_code,coinsurance_code,class_cd,it_remarks) values</v>
      </c>
      <c r="G619" s="11" t="str">
        <f t="shared" si="38"/>
        <v>('28Nov240101','070000154973','0',(select max(to_number(i.premium_rcv_detail_code))+1
from ins_premium_det i),'0','0','02', '11000003','00','Request by Mr. Omair Ali 29-Nov-2024');</v>
      </c>
      <c r="H619" s="12" t="str">
        <f t="shared" si="39"/>
        <v>insert into ins_premium_det (premium_rcv_code,assorted_code, rec_amount,premium_rcv_detail_code,remaining_amt, payrec, mode_code,coinsurance_code,class_cd,it_remarks) values('28Nov240101','070000154973','0',(select max(to_number(i.premium_rcv_detail_code))+1
from ins_premium_det i),'0','0','02', '11000003','00','Request by Mr. Omair Ali 29-Nov-2024');</v>
      </c>
    </row>
    <row r="620" spans="1:8" ht="105" x14ac:dyDescent="0.25">
      <c r="A620" t="s">
        <v>620</v>
      </c>
      <c r="B620" s="8" t="str">
        <f>VLOOKUP(A620,assortedcode!B:C,2,0)</f>
        <v>040000163648</v>
      </c>
      <c r="C620" s="1">
        <v>0</v>
      </c>
      <c r="D620" s="9">
        <f t="shared" si="37"/>
        <v>0</v>
      </c>
      <c r="E620" s="7" t="s">
        <v>8345</v>
      </c>
      <c r="F620" s="10" t="str">
        <f t="shared" si="36"/>
        <v>insert into ins_premium_det (premium_rcv_code,assorted_code, rec_amount,premium_rcv_detail_code,remaining_amt, payrec, mode_code,coinsurance_code,class_cd,it_remarks) values</v>
      </c>
      <c r="G620" s="11" t="str">
        <f t="shared" si="38"/>
        <v>('28Nov240101','040000163648','0',(select max(to_number(i.premium_rcv_detail_code))+1
from ins_premium_det i),'0','0','02', '11000003','00','Request by Mr. Omair Ali 29-Nov-2024');</v>
      </c>
      <c r="H620" s="12" t="str">
        <f t="shared" si="39"/>
        <v>insert into ins_premium_det (premium_rcv_code,assorted_code, rec_amount,premium_rcv_detail_code,remaining_amt, payrec, mode_code,coinsurance_code,class_cd,it_remarks) values('28Nov240101','040000163648','0',(select max(to_number(i.premium_rcv_detail_code))+1
from ins_premium_det i),'0','0','02', '11000003','00','Request by Mr. Omair Ali 29-Nov-2024');</v>
      </c>
    </row>
    <row r="621" spans="1:8" ht="105" x14ac:dyDescent="0.25">
      <c r="A621" t="s">
        <v>621</v>
      </c>
      <c r="B621" s="8" t="str">
        <f>VLOOKUP(A621,assortedcode!B:C,2,0)</f>
        <v>070000155418</v>
      </c>
      <c r="C621" s="1">
        <v>0</v>
      </c>
      <c r="D621" s="9">
        <f t="shared" si="37"/>
        <v>0</v>
      </c>
      <c r="E621" s="7" t="s">
        <v>8345</v>
      </c>
      <c r="F621" s="10" t="str">
        <f t="shared" si="36"/>
        <v>insert into ins_premium_det (premium_rcv_code,assorted_code, rec_amount,premium_rcv_detail_code,remaining_amt, payrec, mode_code,coinsurance_code,class_cd,it_remarks) values</v>
      </c>
      <c r="G621" s="11" t="str">
        <f t="shared" si="38"/>
        <v>('28Nov240101','070000155418','0',(select max(to_number(i.premium_rcv_detail_code))+1
from ins_premium_det i),'0','0','02', '11000003','00','Request by Mr. Omair Ali 29-Nov-2024');</v>
      </c>
      <c r="H621" s="12" t="str">
        <f t="shared" si="39"/>
        <v>insert into ins_premium_det (premium_rcv_code,assorted_code, rec_amount,premium_rcv_detail_code,remaining_amt, payrec, mode_code,coinsurance_code,class_cd,it_remarks) values('28Nov240101','070000155418','0',(select max(to_number(i.premium_rcv_detail_code))+1
from ins_premium_det i),'0','0','02', '11000003','00','Request by Mr. Omair Ali 29-Nov-2024');</v>
      </c>
    </row>
    <row r="622" spans="1:8" ht="105" x14ac:dyDescent="0.25">
      <c r="A622" t="s">
        <v>622</v>
      </c>
      <c r="B622" s="8" t="str">
        <f>VLOOKUP(A622,assortedcode!B:C,2,0)</f>
        <v>040000178945</v>
      </c>
      <c r="C622" s="1">
        <v>0</v>
      </c>
      <c r="D622" s="9">
        <f t="shared" si="37"/>
        <v>0</v>
      </c>
      <c r="E622" s="7" t="s">
        <v>8345</v>
      </c>
      <c r="F622" s="10" t="str">
        <f t="shared" si="36"/>
        <v>insert into ins_premium_det (premium_rcv_code,assorted_code, rec_amount,premium_rcv_detail_code,remaining_amt, payrec, mode_code,coinsurance_code,class_cd,it_remarks) values</v>
      </c>
      <c r="G622" s="11" t="str">
        <f t="shared" si="38"/>
        <v>('28Nov240101','040000178945','0',(select max(to_number(i.premium_rcv_detail_code))+1
from ins_premium_det i),'0','0','02', '11000003','00','Request by Mr. Omair Ali 29-Nov-2024');</v>
      </c>
      <c r="H622" s="12" t="str">
        <f t="shared" si="39"/>
        <v>insert into ins_premium_det (premium_rcv_code,assorted_code, rec_amount,premium_rcv_detail_code,remaining_amt, payrec, mode_code,coinsurance_code,class_cd,it_remarks) values('28Nov240101','040000178945','0',(select max(to_number(i.premium_rcv_detail_code))+1
from ins_premium_det i),'0','0','02', '11000003','00','Request by Mr. Omair Ali 29-Nov-2024');</v>
      </c>
    </row>
    <row r="623" spans="1:8" ht="105" x14ac:dyDescent="0.25">
      <c r="A623" t="s">
        <v>623</v>
      </c>
      <c r="B623" s="8" t="str">
        <f>VLOOKUP(A623,assortedcode!B:C,2,0)</f>
        <v>070000155728</v>
      </c>
      <c r="C623" s="1">
        <v>0</v>
      </c>
      <c r="D623" s="9">
        <f t="shared" si="37"/>
        <v>0</v>
      </c>
      <c r="E623" s="7" t="s">
        <v>8345</v>
      </c>
      <c r="F623" s="10" t="str">
        <f t="shared" si="36"/>
        <v>insert into ins_premium_det (premium_rcv_code,assorted_code, rec_amount,premium_rcv_detail_code,remaining_amt, payrec, mode_code,coinsurance_code,class_cd,it_remarks) values</v>
      </c>
      <c r="G623" s="11" t="str">
        <f t="shared" si="38"/>
        <v>('28Nov240101','070000155728','0',(select max(to_number(i.premium_rcv_detail_code))+1
from ins_premium_det i),'0','0','02', '11000003','00','Request by Mr. Omair Ali 29-Nov-2024');</v>
      </c>
      <c r="H623" s="12" t="str">
        <f t="shared" si="39"/>
        <v>insert into ins_premium_det (premium_rcv_code,assorted_code, rec_amount,premium_rcv_detail_code,remaining_amt, payrec, mode_code,coinsurance_code,class_cd,it_remarks) values('28Nov240101','070000155728','0',(select max(to_number(i.premium_rcv_detail_code))+1
from ins_premium_det i),'0','0','02', '11000003','00','Request by Mr. Omair Ali 29-Nov-2024');</v>
      </c>
    </row>
    <row r="624" spans="1:8" ht="105" x14ac:dyDescent="0.25">
      <c r="A624" t="s">
        <v>624</v>
      </c>
      <c r="B624" s="8" t="str">
        <f>VLOOKUP(A624,assortedcode!B:C,2,0)</f>
        <v>040000137573</v>
      </c>
      <c r="C624" s="1">
        <v>0</v>
      </c>
      <c r="D624" s="9">
        <f t="shared" si="37"/>
        <v>0</v>
      </c>
      <c r="E624" s="7" t="s">
        <v>8345</v>
      </c>
      <c r="F624" s="10" t="str">
        <f t="shared" si="36"/>
        <v>insert into ins_premium_det (premium_rcv_code,assorted_code, rec_amount,premium_rcv_detail_code,remaining_amt, payrec, mode_code,coinsurance_code,class_cd,it_remarks) values</v>
      </c>
      <c r="G624" s="11" t="str">
        <f t="shared" si="38"/>
        <v>('28Nov240101','040000137573','0',(select max(to_number(i.premium_rcv_detail_code))+1
from ins_premium_det i),'0','0','02', '11000003','00','Request by Mr. Omair Ali 29-Nov-2024');</v>
      </c>
      <c r="H624" s="12" t="str">
        <f t="shared" si="39"/>
        <v>insert into ins_premium_det (premium_rcv_code,assorted_code, rec_amount,premium_rcv_detail_code,remaining_amt, payrec, mode_code,coinsurance_code,class_cd,it_remarks) values('28Nov240101','040000137573','0',(select max(to_number(i.premium_rcv_detail_code))+1
from ins_premium_det i),'0','0','02', '11000003','00','Request by Mr. Omair Ali 29-Nov-2024');</v>
      </c>
    </row>
    <row r="625" spans="1:8" ht="105" x14ac:dyDescent="0.25">
      <c r="A625" t="s">
        <v>625</v>
      </c>
      <c r="B625" s="8" t="str">
        <f>VLOOKUP(A625,assortedcode!B:C,2,0)</f>
        <v>070000155729</v>
      </c>
      <c r="C625" s="1">
        <v>0</v>
      </c>
      <c r="D625" s="9">
        <f t="shared" si="37"/>
        <v>0</v>
      </c>
      <c r="E625" s="7" t="s">
        <v>8345</v>
      </c>
      <c r="F625" s="10" t="str">
        <f t="shared" si="36"/>
        <v>insert into ins_premium_det (premium_rcv_code,assorted_code, rec_amount,premium_rcv_detail_code,remaining_amt, payrec, mode_code,coinsurance_code,class_cd,it_remarks) values</v>
      </c>
      <c r="G625" s="11" t="str">
        <f t="shared" si="38"/>
        <v>('28Nov240101','070000155729','0',(select max(to_number(i.premium_rcv_detail_code))+1
from ins_premium_det i),'0','0','02', '11000003','00','Request by Mr. Omair Ali 29-Nov-2024');</v>
      </c>
      <c r="H625" s="12" t="str">
        <f t="shared" si="39"/>
        <v>insert into ins_premium_det (premium_rcv_code,assorted_code, rec_amount,premium_rcv_detail_code,remaining_amt, payrec, mode_code,coinsurance_code,class_cd,it_remarks) values('28Nov240101','070000155729','0',(select max(to_number(i.premium_rcv_detail_code))+1
from ins_premium_det i),'0','0','02', '11000003','00','Request by Mr. Omair Ali 29-Nov-2024');</v>
      </c>
    </row>
    <row r="626" spans="1:8" ht="105" x14ac:dyDescent="0.25">
      <c r="A626" t="s">
        <v>626</v>
      </c>
      <c r="B626" s="8" t="str">
        <f>VLOOKUP(A626,assortedcode!B:C,2,0)</f>
        <v>040000111544</v>
      </c>
      <c r="C626" s="1">
        <v>0</v>
      </c>
      <c r="D626" s="9">
        <f t="shared" si="37"/>
        <v>0</v>
      </c>
      <c r="E626" s="7" t="s">
        <v>8345</v>
      </c>
      <c r="F626" s="10" t="str">
        <f t="shared" si="36"/>
        <v>insert into ins_premium_det (premium_rcv_code,assorted_code, rec_amount,premium_rcv_detail_code,remaining_amt, payrec, mode_code,coinsurance_code,class_cd,it_remarks) values</v>
      </c>
      <c r="G626" s="11" t="str">
        <f t="shared" si="38"/>
        <v>('28Nov240101','040000111544','0',(select max(to_number(i.premium_rcv_detail_code))+1
from ins_premium_det i),'0','0','02', '11000003','00','Request by Mr. Omair Ali 29-Nov-2024');</v>
      </c>
      <c r="H626" s="12" t="str">
        <f t="shared" si="39"/>
        <v>insert into ins_premium_det (premium_rcv_code,assorted_code, rec_amount,premium_rcv_detail_code,remaining_amt, payrec, mode_code,coinsurance_code,class_cd,it_remarks) values('28Nov240101','040000111544','0',(select max(to_number(i.premium_rcv_detail_code))+1
from ins_premium_det i),'0','0','02', '11000003','00','Request by Mr. Omair Ali 29-Nov-2024');</v>
      </c>
    </row>
    <row r="627" spans="1:8" ht="105" x14ac:dyDescent="0.25">
      <c r="A627" t="s">
        <v>627</v>
      </c>
      <c r="B627" s="8" t="str">
        <f>VLOOKUP(A627,assortedcode!B:C,2,0)</f>
        <v>040000135603</v>
      </c>
      <c r="C627" s="1">
        <v>0</v>
      </c>
      <c r="D627" s="9">
        <f t="shared" si="37"/>
        <v>0</v>
      </c>
      <c r="E627" s="7" t="s">
        <v>8345</v>
      </c>
      <c r="F627" s="10" t="str">
        <f t="shared" si="36"/>
        <v>insert into ins_premium_det (premium_rcv_code,assorted_code, rec_amount,premium_rcv_detail_code,remaining_amt, payrec, mode_code,coinsurance_code,class_cd,it_remarks) values</v>
      </c>
      <c r="G627" s="11" t="str">
        <f t="shared" si="38"/>
        <v>('28Nov240101','040000135603','0',(select max(to_number(i.premium_rcv_detail_code))+1
from ins_premium_det i),'0','0','02', '11000003','00','Request by Mr. Omair Ali 29-Nov-2024');</v>
      </c>
      <c r="H627" s="12" t="str">
        <f t="shared" si="39"/>
        <v>insert into ins_premium_det (premium_rcv_code,assorted_code, rec_amount,premium_rcv_detail_code,remaining_amt, payrec, mode_code,coinsurance_code,class_cd,it_remarks) values('28Nov240101','040000135603','0',(select max(to_number(i.premium_rcv_detail_code))+1
from ins_premium_det i),'0','0','02', '11000003','00','Request by Mr. Omair Ali 29-Nov-2024');</v>
      </c>
    </row>
    <row r="628" spans="1:8" ht="105" x14ac:dyDescent="0.25">
      <c r="A628" t="s">
        <v>628</v>
      </c>
      <c r="B628" s="8" t="str">
        <f>VLOOKUP(A628,assortedcode!B:C,2,0)</f>
        <v>040000143639</v>
      </c>
      <c r="C628" s="1">
        <v>0</v>
      </c>
      <c r="D628" s="9">
        <f t="shared" si="37"/>
        <v>0</v>
      </c>
      <c r="E628" s="7" t="s">
        <v>8345</v>
      </c>
      <c r="F628" s="10" t="str">
        <f t="shared" si="36"/>
        <v>insert into ins_premium_det (premium_rcv_code,assorted_code, rec_amount,premium_rcv_detail_code,remaining_amt, payrec, mode_code,coinsurance_code,class_cd,it_remarks) values</v>
      </c>
      <c r="G628" s="11" t="str">
        <f t="shared" si="38"/>
        <v>('28Nov240101','040000143639','0',(select max(to_number(i.premium_rcv_detail_code))+1
from ins_premium_det i),'0','0','02', '11000003','00','Request by Mr. Omair Ali 29-Nov-2024');</v>
      </c>
      <c r="H628" s="12" t="str">
        <f t="shared" si="39"/>
        <v>insert into ins_premium_det (premium_rcv_code,assorted_code, rec_amount,premium_rcv_detail_code,remaining_amt, payrec, mode_code,coinsurance_code,class_cd,it_remarks) values('28Nov240101','040000143639','0',(select max(to_number(i.premium_rcv_detail_code))+1
from ins_premium_det i),'0','0','02', '11000003','00','Request by Mr. Omair Ali 29-Nov-2024');</v>
      </c>
    </row>
    <row r="629" spans="1:8" ht="105" x14ac:dyDescent="0.25">
      <c r="A629" t="s">
        <v>629</v>
      </c>
      <c r="B629" s="8" t="str">
        <f>VLOOKUP(A629,assortedcode!B:C,2,0)</f>
        <v>070000158177</v>
      </c>
      <c r="C629" s="1">
        <v>0</v>
      </c>
      <c r="D629" s="9">
        <f t="shared" si="37"/>
        <v>0</v>
      </c>
      <c r="E629" s="7" t="s">
        <v>8345</v>
      </c>
      <c r="F629" s="10" t="str">
        <f t="shared" si="36"/>
        <v>insert into ins_premium_det (premium_rcv_code,assorted_code, rec_amount,premium_rcv_detail_code,remaining_amt, payrec, mode_code,coinsurance_code,class_cd,it_remarks) values</v>
      </c>
      <c r="G629" s="11" t="str">
        <f t="shared" si="38"/>
        <v>('28Nov240101','070000158177','0',(select max(to_number(i.premium_rcv_detail_code))+1
from ins_premium_det i),'0','0','02', '11000003','00','Request by Mr. Omair Ali 29-Nov-2024');</v>
      </c>
      <c r="H629" s="12" t="str">
        <f t="shared" si="39"/>
        <v>insert into ins_premium_det (premium_rcv_code,assorted_code, rec_amount,premium_rcv_detail_code,remaining_amt, payrec, mode_code,coinsurance_code,class_cd,it_remarks) values('28Nov240101','070000158177','0',(select max(to_number(i.premium_rcv_detail_code))+1
from ins_premium_det i),'0','0','02', '11000003','00','Request by Mr. Omair Ali 29-Nov-2024');</v>
      </c>
    </row>
    <row r="630" spans="1:8" ht="105" x14ac:dyDescent="0.25">
      <c r="A630" t="s">
        <v>630</v>
      </c>
      <c r="B630" s="8" t="str">
        <f>VLOOKUP(A630,assortedcode!B:C,2,0)</f>
        <v>040000143896</v>
      </c>
      <c r="C630" s="1">
        <v>0</v>
      </c>
      <c r="D630" s="9">
        <f t="shared" si="37"/>
        <v>0</v>
      </c>
      <c r="E630" s="7" t="s">
        <v>8345</v>
      </c>
      <c r="F630" s="10" t="str">
        <f t="shared" si="36"/>
        <v>insert into ins_premium_det (premium_rcv_code,assorted_code, rec_amount,premium_rcv_detail_code,remaining_amt, payrec, mode_code,coinsurance_code,class_cd,it_remarks) values</v>
      </c>
      <c r="G630" s="11" t="str">
        <f t="shared" si="38"/>
        <v>('28Nov240101','040000143896','0',(select max(to_number(i.premium_rcv_detail_code))+1
from ins_premium_det i),'0','0','02', '11000003','00','Request by Mr. Omair Ali 29-Nov-2024');</v>
      </c>
      <c r="H630" s="12" t="str">
        <f t="shared" si="39"/>
        <v>insert into ins_premium_det (premium_rcv_code,assorted_code, rec_amount,premium_rcv_detail_code,remaining_amt, payrec, mode_code,coinsurance_code,class_cd,it_remarks) values('28Nov240101','040000143896','0',(select max(to_number(i.premium_rcv_detail_code))+1
from ins_premium_det i),'0','0','02', '11000003','00','Request by Mr. Omair Ali 29-Nov-2024');</v>
      </c>
    </row>
    <row r="631" spans="1:8" ht="105" x14ac:dyDescent="0.25">
      <c r="A631" t="s">
        <v>631</v>
      </c>
      <c r="B631" s="8" t="str">
        <f>VLOOKUP(A631,assortedcode!B:C,2,0)</f>
        <v>070000158288</v>
      </c>
      <c r="C631" s="1">
        <v>0</v>
      </c>
      <c r="D631" s="9">
        <f t="shared" si="37"/>
        <v>0</v>
      </c>
      <c r="E631" s="7" t="s">
        <v>8345</v>
      </c>
      <c r="F631" s="10" t="str">
        <f t="shared" si="36"/>
        <v>insert into ins_premium_det (premium_rcv_code,assorted_code, rec_amount,premium_rcv_detail_code,remaining_amt, payrec, mode_code,coinsurance_code,class_cd,it_remarks) values</v>
      </c>
      <c r="G631" s="11" t="str">
        <f t="shared" si="38"/>
        <v>('28Nov240101','070000158288','0',(select max(to_number(i.premium_rcv_detail_code))+1
from ins_premium_det i),'0','0','02', '11000003','00','Request by Mr. Omair Ali 29-Nov-2024');</v>
      </c>
      <c r="H631" s="12" t="str">
        <f t="shared" si="39"/>
        <v>insert into ins_premium_det (premium_rcv_code,assorted_code, rec_amount,premium_rcv_detail_code,remaining_amt, payrec, mode_code,coinsurance_code,class_cd,it_remarks) values('28Nov240101','070000158288','0',(select max(to_number(i.premium_rcv_detail_code))+1
from ins_premium_det i),'0','0','02', '11000003','00','Request by Mr. Omair Ali 29-Nov-2024');</v>
      </c>
    </row>
    <row r="632" spans="1:8" ht="105" x14ac:dyDescent="0.25">
      <c r="A632" t="s">
        <v>632</v>
      </c>
      <c r="B632" s="8" t="str">
        <f>VLOOKUP(A632,assortedcode!B:C,2,0)</f>
        <v>040000143956</v>
      </c>
      <c r="C632" s="1">
        <v>0</v>
      </c>
      <c r="D632" s="9">
        <f t="shared" si="37"/>
        <v>0</v>
      </c>
      <c r="E632" s="7" t="s">
        <v>8345</v>
      </c>
      <c r="F632" s="10" t="str">
        <f t="shared" si="36"/>
        <v>insert into ins_premium_det (premium_rcv_code,assorted_code, rec_amount,premium_rcv_detail_code,remaining_amt, payrec, mode_code,coinsurance_code,class_cd,it_remarks) values</v>
      </c>
      <c r="G632" s="11" t="str">
        <f t="shared" si="38"/>
        <v>('28Nov240101','040000143956','0',(select max(to_number(i.premium_rcv_detail_code))+1
from ins_premium_det i),'0','0','02', '11000003','00','Request by Mr. Omair Ali 29-Nov-2024');</v>
      </c>
      <c r="H632" s="12" t="str">
        <f t="shared" si="39"/>
        <v>insert into ins_premium_det (premium_rcv_code,assorted_code, rec_amount,premium_rcv_detail_code,remaining_amt, payrec, mode_code,coinsurance_code,class_cd,it_remarks) values('28Nov240101','040000143956','0',(select max(to_number(i.premium_rcv_detail_code))+1
from ins_premium_det i),'0','0','02', '11000003','00','Request by Mr. Omair Ali 29-Nov-2024');</v>
      </c>
    </row>
    <row r="633" spans="1:8" ht="105" x14ac:dyDescent="0.25">
      <c r="A633" t="s">
        <v>633</v>
      </c>
      <c r="B633" s="8" t="str">
        <f>VLOOKUP(A633,assortedcode!B:C,2,0)</f>
        <v>070000158301</v>
      </c>
      <c r="C633" s="1">
        <v>0</v>
      </c>
      <c r="D633" s="9">
        <f t="shared" si="37"/>
        <v>0</v>
      </c>
      <c r="E633" s="7" t="s">
        <v>8345</v>
      </c>
      <c r="F633" s="10" t="str">
        <f t="shared" si="36"/>
        <v>insert into ins_premium_det (premium_rcv_code,assorted_code, rec_amount,premium_rcv_detail_code,remaining_amt, payrec, mode_code,coinsurance_code,class_cd,it_remarks) values</v>
      </c>
      <c r="G633" s="11" t="str">
        <f t="shared" si="38"/>
        <v>('28Nov240101','070000158301','0',(select max(to_number(i.premium_rcv_detail_code))+1
from ins_premium_det i),'0','0','02', '11000003','00','Request by Mr. Omair Ali 29-Nov-2024');</v>
      </c>
      <c r="H633" s="12" t="str">
        <f t="shared" si="39"/>
        <v>insert into ins_premium_det (premium_rcv_code,assorted_code, rec_amount,premium_rcv_detail_code,remaining_amt, payrec, mode_code,coinsurance_code,class_cd,it_remarks) values('28Nov240101','070000158301','0',(select max(to_number(i.premium_rcv_detail_code))+1
from ins_premium_det i),'0','0','02', '11000003','00','Request by Mr. Omair Ali 29-Nov-2024');</v>
      </c>
    </row>
    <row r="634" spans="1:8" ht="105" x14ac:dyDescent="0.25">
      <c r="A634" t="s">
        <v>634</v>
      </c>
      <c r="B634" s="8" t="str">
        <f>VLOOKUP(A634,assortedcode!B:C,2,0)</f>
        <v>040000143960</v>
      </c>
      <c r="C634" s="1">
        <v>0</v>
      </c>
      <c r="D634" s="9">
        <f t="shared" si="37"/>
        <v>0</v>
      </c>
      <c r="E634" s="7" t="s">
        <v>8345</v>
      </c>
      <c r="F634" s="10" t="str">
        <f t="shared" si="36"/>
        <v>insert into ins_premium_det (premium_rcv_code,assorted_code, rec_amount,premium_rcv_detail_code,remaining_amt, payrec, mode_code,coinsurance_code,class_cd,it_remarks) values</v>
      </c>
      <c r="G634" s="11" t="str">
        <f t="shared" si="38"/>
        <v>('28Nov240101','040000143960','0',(select max(to_number(i.premium_rcv_detail_code))+1
from ins_premium_det i),'0','0','02', '11000003','00','Request by Mr. Omair Ali 29-Nov-2024');</v>
      </c>
      <c r="H634" s="12" t="str">
        <f t="shared" si="39"/>
        <v>insert into ins_premium_det (premium_rcv_code,assorted_code, rec_amount,premium_rcv_detail_code,remaining_amt, payrec, mode_code,coinsurance_code,class_cd,it_remarks) values('28Nov240101','040000143960','0',(select max(to_number(i.premium_rcv_detail_code))+1
from ins_premium_det i),'0','0','02', '11000003','00','Request by Mr. Omair Ali 29-Nov-2024');</v>
      </c>
    </row>
    <row r="635" spans="1:8" ht="105" x14ac:dyDescent="0.25">
      <c r="A635" t="s">
        <v>635</v>
      </c>
      <c r="B635" s="8" t="str">
        <f>VLOOKUP(A635,assortedcode!B:C,2,0)</f>
        <v>070000158151</v>
      </c>
      <c r="C635" s="1">
        <v>0</v>
      </c>
      <c r="D635" s="9">
        <f t="shared" si="37"/>
        <v>0</v>
      </c>
      <c r="E635" s="7" t="s">
        <v>8345</v>
      </c>
      <c r="F635" s="10" t="str">
        <f t="shared" si="36"/>
        <v>insert into ins_premium_det (premium_rcv_code,assorted_code, rec_amount,premium_rcv_detail_code,remaining_amt, payrec, mode_code,coinsurance_code,class_cd,it_remarks) values</v>
      </c>
      <c r="G635" s="11" t="str">
        <f t="shared" si="38"/>
        <v>('28Nov240101','070000158151','0',(select max(to_number(i.premium_rcv_detail_code))+1
from ins_premium_det i),'0','0','02', '11000003','00','Request by Mr. Omair Ali 29-Nov-2024');</v>
      </c>
      <c r="H635" s="12" t="str">
        <f t="shared" si="39"/>
        <v>insert into ins_premium_det (premium_rcv_code,assorted_code, rec_amount,premium_rcv_detail_code,remaining_amt, payrec, mode_code,coinsurance_code,class_cd,it_remarks) values('28Nov240101','070000158151','0',(select max(to_number(i.premium_rcv_detail_code))+1
from ins_premium_det i),'0','0','02', '11000003','00','Request by Mr. Omair Ali 29-Nov-2024');</v>
      </c>
    </row>
    <row r="636" spans="1:8" ht="105" x14ac:dyDescent="0.25">
      <c r="A636" t="s">
        <v>636</v>
      </c>
      <c r="B636" s="8" t="str">
        <f>VLOOKUP(A636,assortedcode!B:C,2,0)</f>
        <v>040000144022</v>
      </c>
      <c r="C636" s="1">
        <v>0</v>
      </c>
      <c r="D636" s="9">
        <f t="shared" si="37"/>
        <v>0</v>
      </c>
      <c r="E636" s="7" t="s">
        <v>8345</v>
      </c>
      <c r="F636" s="10" t="str">
        <f t="shared" si="36"/>
        <v>insert into ins_premium_det (premium_rcv_code,assorted_code, rec_amount,premium_rcv_detail_code,remaining_amt, payrec, mode_code,coinsurance_code,class_cd,it_remarks) values</v>
      </c>
      <c r="G636" s="11" t="str">
        <f t="shared" si="38"/>
        <v>('28Nov240101','040000144022','0',(select max(to_number(i.premium_rcv_detail_code))+1
from ins_premium_det i),'0','0','02', '11000003','00','Request by Mr. Omair Ali 29-Nov-2024');</v>
      </c>
      <c r="H636" s="12" t="str">
        <f t="shared" si="39"/>
        <v>insert into ins_premium_det (premium_rcv_code,assorted_code, rec_amount,premium_rcv_detail_code,remaining_amt, payrec, mode_code,coinsurance_code,class_cd,it_remarks) values('28Nov240101','040000144022','0',(select max(to_number(i.premium_rcv_detail_code))+1
from ins_premium_det i),'0','0','02', '11000003','00','Request by Mr. Omair Ali 29-Nov-2024');</v>
      </c>
    </row>
    <row r="637" spans="1:8" ht="105" x14ac:dyDescent="0.25">
      <c r="A637" t="s">
        <v>637</v>
      </c>
      <c r="B637" s="8" t="str">
        <f>VLOOKUP(A637,assortedcode!B:C,2,0)</f>
        <v>070000158163</v>
      </c>
      <c r="C637" s="1">
        <v>0</v>
      </c>
      <c r="D637" s="9">
        <f t="shared" si="37"/>
        <v>0</v>
      </c>
      <c r="E637" s="7" t="s">
        <v>8345</v>
      </c>
      <c r="F637" s="10" t="str">
        <f t="shared" si="36"/>
        <v>insert into ins_premium_det (premium_rcv_code,assorted_code, rec_amount,premium_rcv_detail_code,remaining_amt, payrec, mode_code,coinsurance_code,class_cd,it_remarks) values</v>
      </c>
      <c r="G637" s="11" t="str">
        <f t="shared" si="38"/>
        <v>('28Nov240101','070000158163','0',(select max(to_number(i.premium_rcv_detail_code))+1
from ins_premium_det i),'0','0','02', '11000003','00','Request by Mr. Omair Ali 29-Nov-2024');</v>
      </c>
      <c r="H637" s="12" t="str">
        <f t="shared" si="39"/>
        <v>insert into ins_premium_det (premium_rcv_code,assorted_code, rec_amount,premium_rcv_detail_code,remaining_amt, payrec, mode_code,coinsurance_code,class_cd,it_remarks) values('28Nov240101','070000158163','0',(select max(to_number(i.premium_rcv_detail_code))+1
from ins_premium_det i),'0','0','02', '11000003','00','Request by Mr. Omair Ali 29-Nov-2024');</v>
      </c>
    </row>
    <row r="638" spans="1:8" ht="105" x14ac:dyDescent="0.25">
      <c r="A638" t="s">
        <v>638</v>
      </c>
      <c r="B638" s="8" t="str">
        <f>VLOOKUP(A638,assortedcode!B:C,2,0)</f>
        <v>040000144045</v>
      </c>
      <c r="C638" s="1">
        <v>0</v>
      </c>
      <c r="D638" s="9">
        <f t="shared" si="37"/>
        <v>0</v>
      </c>
      <c r="E638" s="7" t="s">
        <v>8345</v>
      </c>
      <c r="F638" s="10" t="str">
        <f t="shared" si="36"/>
        <v>insert into ins_premium_det (premium_rcv_code,assorted_code, rec_amount,premium_rcv_detail_code,remaining_amt, payrec, mode_code,coinsurance_code,class_cd,it_remarks) values</v>
      </c>
      <c r="G638" s="11" t="str">
        <f t="shared" si="38"/>
        <v>('28Nov240101','040000144045','0',(select max(to_number(i.premium_rcv_detail_code))+1
from ins_premium_det i),'0','0','02', '11000003','00','Request by Mr. Omair Ali 29-Nov-2024');</v>
      </c>
      <c r="H638" s="12" t="str">
        <f t="shared" si="39"/>
        <v>insert into ins_premium_det (premium_rcv_code,assorted_code, rec_amount,premium_rcv_detail_code,remaining_amt, payrec, mode_code,coinsurance_code,class_cd,it_remarks) values('28Nov240101','040000144045','0',(select max(to_number(i.premium_rcv_detail_code))+1
from ins_premium_det i),'0','0','02', '11000003','00','Request by Mr. Omair Ali 29-Nov-2024');</v>
      </c>
    </row>
    <row r="639" spans="1:8" ht="105" x14ac:dyDescent="0.25">
      <c r="A639" t="s">
        <v>639</v>
      </c>
      <c r="B639" s="8" t="str">
        <f>VLOOKUP(A639,assortedcode!B:C,2,0)</f>
        <v>070000158165</v>
      </c>
      <c r="C639" s="1">
        <v>0</v>
      </c>
      <c r="D639" s="9">
        <f t="shared" si="37"/>
        <v>0</v>
      </c>
      <c r="E639" s="7" t="s">
        <v>8345</v>
      </c>
      <c r="F639" s="10" t="str">
        <f t="shared" si="36"/>
        <v>insert into ins_premium_det (premium_rcv_code,assorted_code, rec_amount,premium_rcv_detail_code,remaining_amt, payrec, mode_code,coinsurance_code,class_cd,it_remarks) values</v>
      </c>
      <c r="G639" s="11" t="str">
        <f t="shared" si="38"/>
        <v>('28Nov240101','070000158165','0',(select max(to_number(i.premium_rcv_detail_code))+1
from ins_premium_det i),'0','0','02', '11000003','00','Request by Mr. Omair Ali 29-Nov-2024');</v>
      </c>
      <c r="H639" s="12" t="str">
        <f t="shared" si="39"/>
        <v>insert into ins_premium_det (premium_rcv_code,assorted_code, rec_amount,premium_rcv_detail_code,remaining_amt, payrec, mode_code,coinsurance_code,class_cd,it_remarks) values('28Nov240101','070000158165','0',(select max(to_number(i.premium_rcv_detail_code))+1
from ins_premium_det i),'0','0','02', '11000003','00','Request by Mr. Omair Ali 29-Nov-2024');</v>
      </c>
    </row>
    <row r="640" spans="1:8" ht="105" x14ac:dyDescent="0.25">
      <c r="A640" t="s">
        <v>640</v>
      </c>
      <c r="B640" s="8" t="str">
        <f>VLOOKUP(A640,assortedcode!B:C,2,0)</f>
        <v>040000144234</v>
      </c>
      <c r="C640" s="1">
        <v>0</v>
      </c>
      <c r="D640" s="9">
        <f t="shared" si="37"/>
        <v>0</v>
      </c>
      <c r="E640" s="7" t="s">
        <v>8345</v>
      </c>
      <c r="F640" s="10" t="str">
        <f t="shared" si="36"/>
        <v>insert into ins_premium_det (premium_rcv_code,assorted_code, rec_amount,premium_rcv_detail_code,remaining_amt, payrec, mode_code,coinsurance_code,class_cd,it_remarks) values</v>
      </c>
      <c r="G640" s="11" t="str">
        <f t="shared" si="38"/>
        <v>('28Nov240101','040000144234','0',(select max(to_number(i.premium_rcv_detail_code))+1
from ins_premium_det i),'0','0','02', '11000003','00','Request by Mr. Omair Ali 29-Nov-2024');</v>
      </c>
      <c r="H640" s="12" t="str">
        <f t="shared" si="39"/>
        <v>insert into ins_premium_det (premium_rcv_code,assorted_code, rec_amount,premium_rcv_detail_code,remaining_amt, payrec, mode_code,coinsurance_code,class_cd,it_remarks) values('28Nov240101','040000144234','0',(select max(to_number(i.premium_rcv_detail_code))+1
from ins_premium_det i),'0','0','02', '11000003','00','Request by Mr. Omair Ali 29-Nov-2024');</v>
      </c>
    </row>
    <row r="641" spans="1:8" ht="105" x14ac:dyDescent="0.25">
      <c r="A641" t="s">
        <v>641</v>
      </c>
      <c r="B641" s="8" t="str">
        <f>VLOOKUP(A641,assortedcode!B:C,2,0)</f>
        <v>070000158170</v>
      </c>
      <c r="C641" s="1">
        <v>0</v>
      </c>
      <c r="D641" s="9">
        <f t="shared" si="37"/>
        <v>0</v>
      </c>
      <c r="E641" s="7" t="s">
        <v>8345</v>
      </c>
      <c r="F641" s="10" t="str">
        <f t="shared" si="36"/>
        <v>insert into ins_premium_det (premium_rcv_code,assorted_code, rec_amount,premium_rcv_detail_code,remaining_amt, payrec, mode_code,coinsurance_code,class_cd,it_remarks) values</v>
      </c>
      <c r="G641" s="11" t="str">
        <f t="shared" si="38"/>
        <v>('28Nov240101','070000158170','0',(select max(to_number(i.premium_rcv_detail_code))+1
from ins_premium_det i),'0','0','02', '11000003','00','Request by Mr. Omair Ali 29-Nov-2024');</v>
      </c>
      <c r="H641" s="12" t="str">
        <f t="shared" si="39"/>
        <v>insert into ins_premium_det (premium_rcv_code,assorted_code, rec_amount,premium_rcv_detail_code,remaining_amt, payrec, mode_code,coinsurance_code,class_cd,it_remarks) values('28Nov240101','070000158170','0',(select max(to_number(i.premium_rcv_detail_code))+1
from ins_premium_det i),'0','0','02', '11000003','00','Request by Mr. Omair Ali 29-Nov-2024');</v>
      </c>
    </row>
    <row r="642" spans="1:8" ht="105" x14ac:dyDescent="0.25">
      <c r="A642" t="s">
        <v>642</v>
      </c>
      <c r="B642" s="8" t="str">
        <f>VLOOKUP(A642,assortedcode!B:C,2,0)</f>
        <v>040000144245</v>
      </c>
      <c r="C642" s="1">
        <v>0</v>
      </c>
      <c r="D642" s="9">
        <f t="shared" si="37"/>
        <v>0</v>
      </c>
      <c r="E642" s="7" t="s">
        <v>8345</v>
      </c>
      <c r="F642" s="10" t="str">
        <f t="shared" ref="F642:F705" si="40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642" s="11" t="str">
        <f t="shared" si="38"/>
        <v>('28Nov240101','040000144245','0',(select max(to_number(i.premium_rcv_detail_code))+1
from ins_premium_det i),'0','0','02', '11000003','00','Request by Mr. Omair Ali 29-Nov-2024');</v>
      </c>
      <c r="H642" s="12" t="str">
        <f t="shared" si="39"/>
        <v>insert into ins_premium_det (premium_rcv_code,assorted_code, rec_amount,premium_rcv_detail_code,remaining_amt, payrec, mode_code,coinsurance_code,class_cd,it_remarks) values('28Nov240101','040000144245','0',(select max(to_number(i.premium_rcv_detail_code))+1
from ins_premium_det i),'0','0','02', '11000003','00','Request by Mr. Omair Ali 29-Nov-2024');</v>
      </c>
    </row>
    <row r="643" spans="1:8" ht="105" x14ac:dyDescent="0.25">
      <c r="A643" t="s">
        <v>643</v>
      </c>
      <c r="B643" s="8" t="str">
        <f>VLOOKUP(A643,assortedcode!B:C,2,0)</f>
        <v>070000157856</v>
      </c>
      <c r="C643" s="1">
        <v>0</v>
      </c>
      <c r="D643" s="9">
        <f t="shared" ref="D643:D706" si="41">ROUND(C643,0)</f>
        <v>0</v>
      </c>
      <c r="E643" s="7" t="s">
        <v>8345</v>
      </c>
      <c r="F643" s="10" t="str">
        <f t="shared" si="40"/>
        <v>insert into ins_premium_det (premium_rcv_code,assorted_code, rec_amount,premium_rcv_detail_code,remaining_amt, payrec, mode_code,coinsurance_code,class_cd,it_remarks) values</v>
      </c>
      <c r="G643" s="11" t="str">
        <f t="shared" ref="G643:G706" si="42">"('"&amp;E643&amp;"','"&amp;B643&amp;"','"&amp;ROUND(D643,2)&amp;"',(select max(to_number(i.premium_rcv_detail_code))+1
from ins_premium_det i),'"&amp;D643&amp;"','"&amp;D643&amp;"','02', '11000003','00','Request by Mr. Omair Ali 29-Nov-2024');"</f>
        <v>('28Nov240101','070000157856','0',(select max(to_number(i.premium_rcv_detail_code))+1
from ins_premium_det i),'0','0','02', '11000003','00','Request by Mr. Omair Ali 29-Nov-2024');</v>
      </c>
      <c r="H643" s="12" t="str">
        <f t="shared" ref="H643:H706" si="43">F643&amp;G643</f>
        <v>insert into ins_premium_det (premium_rcv_code,assorted_code, rec_amount,premium_rcv_detail_code,remaining_amt, payrec, mode_code,coinsurance_code,class_cd,it_remarks) values('28Nov240101','070000157856','0',(select max(to_number(i.premium_rcv_detail_code))+1
from ins_premium_det i),'0','0','02', '11000003','00','Request by Mr. Omair Ali 29-Nov-2024');</v>
      </c>
    </row>
    <row r="644" spans="1:8" ht="105" x14ac:dyDescent="0.25">
      <c r="A644" t="s">
        <v>644</v>
      </c>
      <c r="B644" s="8" t="str">
        <f>VLOOKUP(A644,assortedcode!B:C,2,0)</f>
        <v>040000144366</v>
      </c>
      <c r="C644" s="1">
        <v>0</v>
      </c>
      <c r="D644" s="9">
        <f t="shared" si="41"/>
        <v>0</v>
      </c>
      <c r="E644" s="7" t="s">
        <v>8345</v>
      </c>
      <c r="F644" s="10" t="str">
        <f t="shared" si="40"/>
        <v>insert into ins_premium_det (premium_rcv_code,assorted_code, rec_amount,premium_rcv_detail_code,remaining_amt, payrec, mode_code,coinsurance_code,class_cd,it_remarks) values</v>
      </c>
      <c r="G644" s="11" t="str">
        <f t="shared" si="42"/>
        <v>('28Nov240101','040000144366','0',(select max(to_number(i.premium_rcv_detail_code))+1
from ins_premium_det i),'0','0','02', '11000003','00','Request by Mr. Omair Ali 29-Nov-2024');</v>
      </c>
      <c r="H644" s="12" t="str">
        <f t="shared" si="43"/>
        <v>insert into ins_premium_det (premium_rcv_code,assorted_code, rec_amount,premium_rcv_detail_code,remaining_amt, payrec, mode_code,coinsurance_code,class_cd,it_remarks) values('28Nov240101','040000144366','0',(select max(to_number(i.premium_rcv_detail_code))+1
from ins_premium_det i),'0','0','02', '11000003','00','Request by Mr. Omair Ali 29-Nov-2024');</v>
      </c>
    </row>
    <row r="645" spans="1:8" ht="105" x14ac:dyDescent="0.25">
      <c r="A645" t="s">
        <v>645</v>
      </c>
      <c r="B645" s="8" t="str">
        <f>VLOOKUP(A645,assortedcode!B:C,2,0)</f>
        <v>070000159171</v>
      </c>
      <c r="C645" s="1">
        <v>0</v>
      </c>
      <c r="D645" s="9">
        <f t="shared" si="41"/>
        <v>0</v>
      </c>
      <c r="E645" s="7" t="s">
        <v>8345</v>
      </c>
      <c r="F645" s="10" t="str">
        <f t="shared" si="40"/>
        <v>insert into ins_premium_det (premium_rcv_code,assorted_code, rec_amount,premium_rcv_detail_code,remaining_amt, payrec, mode_code,coinsurance_code,class_cd,it_remarks) values</v>
      </c>
      <c r="G645" s="11" t="str">
        <f t="shared" si="42"/>
        <v>('28Nov240101','070000159171','0',(select max(to_number(i.premium_rcv_detail_code))+1
from ins_premium_det i),'0','0','02', '11000003','00','Request by Mr. Omair Ali 29-Nov-2024');</v>
      </c>
      <c r="H645" s="12" t="str">
        <f t="shared" si="43"/>
        <v>insert into ins_premium_det (premium_rcv_code,assorted_code, rec_amount,premium_rcv_detail_code,remaining_amt, payrec, mode_code,coinsurance_code,class_cd,it_remarks) values('28Nov240101','070000159171','0',(select max(to_number(i.premium_rcv_detail_code))+1
from ins_premium_det i),'0','0','02', '11000003','00','Request by Mr. Omair Ali 29-Nov-2024');</v>
      </c>
    </row>
    <row r="646" spans="1:8" ht="105" x14ac:dyDescent="0.25">
      <c r="A646" t="s">
        <v>646</v>
      </c>
      <c r="B646" s="8" t="str">
        <f>VLOOKUP(A646,assortedcode!B:C,2,0)</f>
        <v>040000144395</v>
      </c>
      <c r="C646" s="1">
        <v>0</v>
      </c>
      <c r="D646" s="9">
        <f t="shared" si="41"/>
        <v>0</v>
      </c>
      <c r="E646" s="7" t="s">
        <v>8345</v>
      </c>
      <c r="F646" s="10" t="str">
        <f t="shared" si="40"/>
        <v>insert into ins_premium_det (premium_rcv_code,assorted_code, rec_amount,premium_rcv_detail_code,remaining_amt, payrec, mode_code,coinsurance_code,class_cd,it_remarks) values</v>
      </c>
      <c r="G646" s="11" t="str">
        <f t="shared" si="42"/>
        <v>('28Nov240101','040000144395','0',(select max(to_number(i.premium_rcv_detail_code))+1
from ins_premium_det i),'0','0','02', '11000003','00','Request by Mr. Omair Ali 29-Nov-2024');</v>
      </c>
      <c r="H646" s="12" t="str">
        <f t="shared" si="43"/>
        <v>insert into ins_premium_det (premium_rcv_code,assorted_code, rec_amount,premium_rcv_detail_code,remaining_amt, payrec, mode_code,coinsurance_code,class_cd,it_remarks) values('28Nov240101','040000144395','0',(select max(to_number(i.premium_rcv_detail_code))+1
from ins_premium_det i),'0','0','02', '11000003','00','Request by Mr. Omair Ali 29-Nov-2024');</v>
      </c>
    </row>
    <row r="647" spans="1:8" ht="105" x14ac:dyDescent="0.25">
      <c r="A647" t="s">
        <v>647</v>
      </c>
      <c r="B647" s="8" t="str">
        <f>VLOOKUP(A647,assortedcode!B:C,2,0)</f>
        <v>070000157915</v>
      </c>
      <c r="C647" s="1">
        <v>0</v>
      </c>
      <c r="D647" s="9">
        <f t="shared" si="41"/>
        <v>0</v>
      </c>
      <c r="E647" s="7" t="s">
        <v>8345</v>
      </c>
      <c r="F647" s="10" t="str">
        <f t="shared" si="40"/>
        <v>insert into ins_premium_det (premium_rcv_code,assorted_code, rec_amount,premium_rcv_detail_code,remaining_amt, payrec, mode_code,coinsurance_code,class_cd,it_remarks) values</v>
      </c>
      <c r="G647" s="11" t="str">
        <f t="shared" si="42"/>
        <v>('28Nov240101','070000157915','0',(select max(to_number(i.premium_rcv_detail_code))+1
from ins_premium_det i),'0','0','02', '11000003','00','Request by Mr. Omair Ali 29-Nov-2024');</v>
      </c>
      <c r="H647" s="12" t="str">
        <f t="shared" si="43"/>
        <v>insert into ins_premium_det (premium_rcv_code,assorted_code, rec_amount,premium_rcv_detail_code,remaining_amt, payrec, mode_code,coinsurance_code,class_cd,it_remarks) values('28Nov240101','070000157915','0',(select max(to_number(i.premium_rcv_detail_code))+1
from ins_premium_det i),'0','0','02', '11000003','00','Request by Mr. Omair Ali 29-Nov-2024');</v>
      </c>
    </row>
    <row r="648" spans="1:8" ht="105" x14ac:dyDescent="0.25">
      <c r="A648" t="s">
        <v>648</v>
      </c>
      <c r="B648" s="8" t="str">
        <f>VLOOKUP(A648,assortedcode!B:C,2,0)</f>
        <v>040000144461</v>
      </c>
      <c r="C648" s="1">
        <v>0</v>
      </c>
      <c r="D648" s="9">
        <f t="shared" si="41"/>
        <v>0</v>
      </c>
      <c r="E648" s="7" t="s">
        <v>8345</v>
      </c>
      <c r="F648" s="10" t="str">
        <f t="shared" si="40"/>
        <v>insert into ins_premium_det (premium_rcv_code,assorted_code, rec_amount,premium_rcv_detail_code,remaining_amt, payrec, mode_code,coinsurance_code,class_cd,it_remarks) values</v>
      </c>
      <c r="G648" s="11" t="str">
        <f t="shared" si="42"/>
        <v>('28Nov240101','040000144461','0',(select max(to_number(i.premium_rcv_detail_code))+1
from ins_premium_det i),'0','0','02', '11000003','00','Request by Mr. Omair Ali 29-Nov-2024');</v>
      </c>
      <c r="H648" s="12" t="str">
        <f t="shared" si="43"/>
        <v>insert into ins_premium_det (premium_rcv_code,assorted_code, rec_amount,premium_rcv_detail_code,remaining_amt, payrec, mode_code,coinsurance_code,class_cd,it_remarks) values('28Nov240101','040000144461','0',(select max(to_number(i.premium_rcv_detail_code))+1
from ins_premium_det i),'0','0','02', '11000003','00','Request by Mr. Omair Ali 29-Nov-2024');</v>
      </c>
    </row>
    <row r="649" spans="1:8" ht="105" x14ac:dyDescent="0.25">
      <c r="A649" t="s">
        <v>649</v>
      </c>
      <c r="B649" s="8" t="str">
        <f>VLOOKUP(A649,assortedcode!B:C,2,0)</f>
        <v>040000145296</v>
      </c>
      <c r="C649" s="1">
        <v>0</v>
      </c>
      <c r="D649" s="9">
        <f t="shared" si="41"/>
        <v>0</v>
      </c>
      <c r="E649" s="7" t="s">
        <v>8345</v>
      </c>
      <c r="F649" s="10" t="str">
        <f t="shared" si="40"/>
        <v>insert into ins_premium_det (premium_rcv_code,assorted_code, rec_amount,premium_rcv_detail_code,remaining_amt, payrec, mode_code,coinsurance_code,class_cd,it_remarks) values</v>
      </c>
      <c r="G649" s="11" t="str">
        <f t="shared" si="42"/>
        <v>('28Nov240101','040000145296','0',(select max(to_number(i.premium_rcv_detail_code))+1
from ins_premium_det i),'0','0','02', '11000003','00','Request by Mr. Omair Ali 29-Nov-2024');</v>
      </c>
      <c r="H649" s="12" t="str">
        <f t="shared" si="43"/>
        <v>insert into ins_premium_det (premium_rcv_code,assorted_code, rec_amount,premium_rcv_detail_code,remaining_amt, payrec, mode_code,coinsurance_code,class_cd,it_remarks) values('28Nov240101','040000145296','0',(select max(to_number(i.premium_rcv_detail_code))+1
from ins_premium_det i),'0','0','02', '11000003','00','Request by Mr. Omair Ali 29-Nov-2024');</v>
      </c>
    </row>
    <row r="650" spans="1:8" ht="105" x14ac:dyDescent="0.25">
      <c r="A650" t="s">
        <v>650</v>
      </c>
      <c r="B650" s="8" t="str">
        <f>VLOOKUP(A650,assortedcode!B:C,2,0)</f>
        <v>040000145386</v>
      </c>
      <c r="C650" s="1">
        <v>0</v>
      </c>
      <c r="D650" s="9">
        <f t="shared" si="41"/>
        <v>0</v>
      </c>
      <c r="E650" s="7" t="s">
        <v>8345</v>
      </c>
      <c r="F650" s="10" t="str">
        <f t="shared" si="40"/>
        <v>insert into ins_premium_det (premium_rcv_code,assorted_code, rec_amount,premium_rcv_detail_code,remaining_amt, payrec, mode_code,coinsurance_code,class_cd,it_remarks) values</v>
      </c>
      <c r="G650" s="11" t="str">
        <f t="shared" si="42"/>
        <v>('28Nov240101','040000145386','0',(select max(to_number(i.premium_rcv_detail_code))+1
from ins_premium_det i),'0','0','02', '11000003','00','Request by Mr. Omair Ali 29-Nov-2024');</v>
      </c>
      <c r="H650" s="12" t="str">
        <f t="shared" si="43"/>
        <v>insert into ins_premium_det (premium_rcv_code,assorted_code, rec_amount,premium_rcv_detail_code,remaining_amt, payrec, mode_code,coinsurance_code,class_cd,it_remarks) values('28Nov240101','040000145386','0',(select max(to_number(i.premium_rcv_detail_code))+1
from ins_premium_det i),'0','0','02', '11000003','00','Request by Mr. Omair Ali 29-Nov-2024');</v>
      </c>
    </row>
    <row r="651" spans="1:8" ht="105" x14ac:dyDescent="0.25">
      <c r="A651" t="s">
        <v>651</v>
      </c>
      <c r="B651" s="8" t="str">
        <f>VLOOKUP(A651,assortedcode!B:C,2,0)</f>
        <v>070000160499</v>
      </c>
      <c r="C651" s="1">
        <v>0</v>
      </c>
      <c r="D651" s="9">
        <f t="shared" si="41"/>
        <v>0</v>
      </c>
      <c r="E651" s="7" t="s">
        <v>8345</v>
      </c>
      <c r="F651" s="10" t="str">
        <f t="shared" si="40"/>
        <v>insert into ins_premium_det (premium_rcv_code,assorted_code, rec_amount,premium_rcv_detail_code,remaining_amt, payrec, mode_code,coinsurance_code,class_cd,it_remarks) values</v>
      </c>
      <c r="G651" s="11" t="str">
        <f t="shared" si="42"/>
        <v>('28Nov240101','070000160499','0',(select max(to_number(i.premium_rcv_detail_code))+1
from ins_premium_det i),'0','0','02', '11000003','00','Request by Mr. Omair Ali 29-Nov-2024');</v>
      </c>
      <c r="H651" s="12" t="str">
        <f t="shared" si="43"/>
        <v>insert into ins_premium_det (premium_rcv_code,assorted_code, rec_amount,premium_rcv_detail_code,remaining_amt, payrec, mode_code,coinsurance_code,class_cd,it_remarks) values('28Nov240101','070000160499','0',(select max(to_number(i.premium_rcv_detail_code))+1
from ins_premium_det i),'0','0','02', '11000003','00','Request by Mr. Omair Ali 29-Nov-2024');</v>
      </c>
    </row>
    <row r="652" spans="1:8" ht="105" x14ac:dyDescent="0.25">
      <c r="A652" t="s">
        <v>652</v>
      </c>
      <c r="B652" s="8" t="str">
        <f>VLOOKUP(A652,assortedcode!B:C,2,0)</f>
        <v>040000145974</v>
      </c>
      <c r="C652" s="1">
        <v>0</v>
      </c>
      <c r="D652" s="9">
        <f t="shared" si="41"/>
        <v>0</v>
      </c>
      <c r="E652" s="7" t="s">
        <v>8345</v>
      </c>
      <c r="F652" s="10" t="str">
        <f t="shared" si="40"/>
        <v>insert into ins_premium_det (premium_rcv_code,assorted_code, rec_amount,premium_rcv_detail_code,remaining_amt, payrec, mode_code,coinsurance_code,class_cd,it_remarks) values</v>
      </c>
      <c r="G652" s="11" t="str">
        <f t="shared" si="42"/>
        <v>('28Nov240101','040000145974','0',(select max(to_number(i.premium_rcv_detail_code))+1
from ins_premium_det i),'0','0','02', '11000003','00','Request by Mr. Omair Ali 29-Nov-2024');</v>
      </c>
      <c r="H652" s="12" t="str">
        <f t="shared" si="43"/>
        <v>insert into ins_premium_det (premium_rcv_code,assorted_code, rec_amount,premium_rcv_detail_code,remaining_amt, payrec, mode_code,coinsurance_code,class_cd,it_remarks) values('28Nov240101','040000145974','0',(select max(to_number(i.premium_rcv_detail_code))+1
from ins_premium_det i),'0','0','02', '11000003','00','Request by Mr. Omair Ali 29-Nov-2024');</v>
      </c>
    </row>
    <row r="653" spans="1:8" ht="105" x14ac:dyDescent="0.25">
      <c r="A653" t="s">
        <v>653</v>
      </c>
      <c r="B653" s="8" t="str">
        <f>VLOOKUP(A653,assortedcode!B:C,2,0)</f>
        <v>070000160652</v>
      </c>
      <c r="C653" s="1">
        <v>0</v>
      </c>
      <c r="D653" s="9">
        <f t="shared" si="41"/>
        <v>0</v>
      </c>
      <c r="E653" s="7" t="s">
        <v>8345</v>
      </c>
      <c r="F653" s="10" t="str">
        <f t="shared" si="40"/>
        <v>insert into ins_premium_det (premium_rcv_code,assorted_code, rec_amount,premium_rcv_detail_code,remaining_amt, payrec, mode_code,coinsurance_code,class_cd,it_remarks) values</v>
      </c>
      <c r="G653" s="11" t="str">
        <f t="shared" si="42"/>
        <v>('28Nov240101','070000160652','0',(select max(to_number(i.premium_rcv_detail_code))+1
from ins_premium_det i),'0','0','02', '11000003','00','Request by Mr. Omair Ali 29-Nov-2024');</v>
      </c>
      <c r="H653" s="12" t="str">
        <f t="shared" si="43"/>
        <v>insert into ins_premium_det (premium_rcv_code,assorted_code, rec_amount,premium_rcv_detail_code,remaining_amt, payrec, mode_code,coinsurance_code,class_cd,it_remarks) values('28Nov240101','070000160652','0',(select max(to_number(i.premium_rcv_detail_code))+1
from ins_premium_det i),'0','0','02', '11000003','00','Request by Mr. Omair Ali 29-Nov-2024');</v>
      </c>
    </row>
    <row r="654" spans="1:8" ht="105" x14ac:dyDescent="0.25">
      <c r="A654" t="s">
        <v>654</v>
      </c>
      <c r="B654" s="8" t="str">
        <f>VLOOKUP(A654,assortedcode!B:C,2,0)</f>
        <v>040000145980</v>
      </c>
      <c r="C654" s="1">
        <v>0</v>
      </c>
      <c r="D654" s="9">
        <f t="shared" si="41"/>
        <v>0</v>
      </c>
      <c r="E654" s="7" t="s">
        <v>8345</v>
      </c>
      <c r="F654" s="10" t="str">
        <f t="shared" si="40"/>
        <v>insert into ins_premium_det (premium_rcv_code,assorted_code, rec_amount,premium_rcv_detail_code,remaining_amt, payrec, mode_code,coinsurance_code,class_cd,it_remarks) values</v>
      </c>
      <c r="G654" s="11" t="str">
        <f t="shared" si="42"/>
        <v>('28Nov240101','040000145980','0',(select max(to_number(i.premium_rcv_detail_code))+1
from ins_premium_det i),'0','0','02', '11000003','00','Request by Mr. Omair Ali 29-Nov-2024');</v>
      </c>
      <c r="H654" s="12" t="str">
        <f t="shared" si="43"/>
        <v>insert into ins_premium_det (premium_rcv_code,assorted_code, rec_amount,premium_rcv_detail_code,remaining_amt, payrec, mode_code,coinsurance_code,class_cd,it_remarks) values('28Nov240101','040000145980','0',(select max(to_number(i.premium_rcv_detail_code))+1
from ins_premium_det i),'0','0','02', '11000003','00','Request by Mr. Omair Ali 29-Nov-2024');</v>
      </c>
    </row>
    <row r="655" spans="1:8" ht="105" x14ac:dyDescent="0.25">
      <c r="A655" t="s">
        <v>655</v>
      </c>
      <c r="B655" s="8" t="str">
        <f>VLOOKUP(A655,assortedcode!B:C,2,0)</f>
        <v>070000161299</v>
      </c>
      <c r="C655" s="1">
        <v>0</v>
      </c>
      <c r="D655" s="9">
        <f t="shared" si="41"/>
        <v>0</v>
      </c>
      <c r="E655" s="7" t="s">
        <v>8345</v>
      </c>
      <c r="F655" s="10" t="str">
        <f t="shared" si="40"/>
        <v>insert into ins_premium_det (premium_rcv_code,assorted_code, rec_amount,premium_rcv_detail_code,remaining_amt, payrec, mode_code,coinsurance_code,class_cd,it_remarks) values</v>
      </c>
      <c r="G655" s="11" t="str">
        <f t="shared" si="42"/>
        <v>('28Nov240101','070000161299','0',(select max(to_number(i.premium_rcv_detail_code))+1
from ins_premium_det i),'0','0','02', '11000003','00','Request by Mr. Omair Ali 29-Nov-2024');</v>
      </c>
      <c r="H655" s="12" t="str">
        <f t="shared" si="43"/>
        <v>insert into ins_premium_det (premium_rcv_code,assorted_code, rec_amount,premium_rcv_detail_code,remaining_amt, payrec, mode_code,coinsurance_code,class_cd,it_remarks) values('28Nov240101','070000161299','0',(select max(to_number(i.premium_rcv_detail_code))+1
from ins_premium_det i),'0','0','02', '11000003','00','Request by Mr. Omair Ali 29-Nov-2024');</v>
      </c>
    </row>
    <row r="656" spans="1:8" ht="105" x14ac:dyDescent="0.25">
      <c r="A656" t="s">
        <v>656</v>
      </c>
      <c r="B656" s="8" t="str">
        <f>VLOOKUP(A656,assortedcode!B:C,2,0)</f>
        <v>040000146037</v>
      </c>
      <c r="C656" s="1">
        <v>0</v>
      </c>
      <c r="D656" s="9">
        <f t="shared" si="41"/>
        <v>0</v>
      </c>
      <c r="E656" s="7" t="s">
        <v>8345</v>
      </c>
      <c r="F656" s="10" t="str">
        <f t="shared" si="40"/>
        <v>insert into ins_premium_det (premium_rcv_code,assorted_code, rec_amount,premium_rcv_detail_code,remaining_amt, payrec, mode_code,coinsurance_code,class_cd,it_remarks) values</v>
      </c>
      <c r="G656" s="11" t="str">
        <f t="shared" si="42"/>
        <v>('28Nov240101','040000146037','0',(select max(to_number(i.premium_rcv_detail_code))+1
from ins_premium_det i),'0','0','02', '11000003','00','Request by Mr. Omair Ali 29-Nov-2024');</v>
      </c>
      <c r="H656" s="12" t="str">
        <f t="shared" si="43"/>
        <v>insert into ins_premium_det (premium_rcv_code,assorted_code, rec_amount,premium_rcv_detail_code,remaining_amt, payrec, mode_code,coinsurance_code,class_cd,it_remarks) values('28Nov240101','040000146037','0',(select max(to_number(i.premium_rcv_detail_code))+1
from ins_premium_det i),'0','0','02', '11000003','00','Request by Mr. Omair Ali 29-Nov-2024');</v>
      </c>
    </row>
    <row r="657" spans="1:8" ht="105" x14ac:dyDescent="0.25">
      <c r="A657" t="s">
        <v>657</v>
      </c>
      <c r="B657" s="8" t="str">
        <f>VLOOKUP(A657,assortedcode!B:C,2,0)</f>
        <v>070000162275</v>
      </c>
      <c r="C657" s="1">
        <v>0</v>
      </c>
      <c r="D657" s="9">
        <f t="shared" si="41"/>
        <v>0</v>
      </c>
      <c r="E657" s="7" t="s">
        <v>8345</v>
      </c>
      <c r="F657" s="10" t="str">
        <f t="shared" si="40"/>
        <v>insert into ins_premium_det (premium_rcv_code,assorted_code, rec_amount,premium_rcv_detail_code,remaining_amt, payrec, mode_code,coinsurance_code,class_cd,it_remarks) values</v>
      </c>
      <c r="G657" s="11" t="str">
        <f t="shared" si="42"/>
        <v>('28Nov240101','070000162275','0',(select max(to_number(i.premium_rcv_detail_code))+1
from ins_premium_det i),'0','0','02', '11000003','00','Request by Mr. Omair Ali 29-Nov-2024');</v>
      </c>
      <c r="H657" s="12" t="str">
        <f t="shared" si="43"/>
        <v>insert into ins_premium_det (premium_rcv_code,assorted_code, rec_amount,premium_rcv_detail_code,remaining_amt, payrec, mode_code,coinsurance_code,class_cd,it_remarks) values('28Nov240101','070000162275','0',(select max(to_number(i.premium_rcv_detail_code))+1
from ins_premium_det i),'0','0','02', '11000003','00','Request by Mr. Omair Ali 29-Nov-2024');</v>
      </c>
    </row>
    <row r="658" spans="1:8" ht="105" x14ac:dyDescent="0.25">
      <c r="A658" t="s">
        <v>658</v>
      </c>
      <c r="B658" s="8" t="str">
        <f>VLOOKUP(A658,assortedcode!B:C,2,0)</f>
        <v>040000146155</v>
      </c>
      <c r="C658" s="1">
        <v>0</v>
      </c>
      <c r="D658" s="9">
        <f t="shared" si="41"/>
        <v>0</v>
      </c>
      <c r="E658" s="7" t="s">
        <v>8345</v>
      </c>
      <c r="F658" s="10" t="str">
        <f t="shared" si="40"/>
        <v>insert into ins_premium_det (premium_rcv_code,assorted_code, rec_amount,premium_rcv_detail_code,remaining_amt, payrec, mode_code,coinsurance_code,class_cd,it_remarks) values</v>
      </c>
      <c r="G658" s="11" t="str">
        <f t="shared" si="42"/>
        <v>('28Nov240101','040000146155','0',(select max(to_number(i.premium_rcv_detail_code))+1
from ins_premium_det i),'0','0','02', '11000003','00','Request by Mr. Omair Ali 29-Nov-2024');</v>
      </c>
      <c r="H658" s="12" t="str">
        <f t="shared" si="43"/>
        <v>insert into ins_premium_det (premium_rcv_code,assorted_code, rec_amount,premium_rcv_detail_code,remaining_amt, payrec, mode_code,coinsurance_code,class_cd,it_remarks) values('28Nov240101','040000146155','0',(select max(to_number(i.premium_rcv_detail_code))+1
from ins_premium_det i),'0','0','02', '11000003','00','Request by Mr. Omair Ali 29-Nov-2024');</v>
      </c>
    </row>
    <row r="659" spans="1:8" ht="105" x14ac:dyDescent="0.25">
      <c r="A659" t="s">
        <v>659</v>
      </c>
      <c r="B659" s="8" t="str">
        <f>VLOOKUP(A659,assortedcode!B:C,2,0)</f>
        <v>070000163533</v>
      </c>
      <c r="C659" s="1">
        <v>0</v>
      </c>
      <c r="D659" s="9">
        <f t="shared" si="41"/>
        <v>0</v>
      </c>
      <c r="E659" s="7" t="s">
        <v>8345</v>
      </c>
      <c r="F659" s="10" t="str">
        <f t="shared" si="40"/>
        <v>insert into ins_premium_det (premium_rcv_code,assorted_code, rec_amount,premium_rcv_detail_code,remaining_amt, payrec, mode_code,coinsurance_code,class_cd,it_remarks) values</v>
      </c>
      <c r="G659" s="11" t="str">
        <f t="shared" si="42"/>
        <v>('28Nov240101','070000163533','0',(select max(to_number(i.premium_rcv_detail_code))+1
from ins_premium_det i),'0','0','02', '11000003','00','Request by Mr. Omair Ali 29-Nov-2024');</v>
      </c>
      <c r="H659" s="12" t="str">
        <f t="shared" si="43"/>
        <v>insert into ins_premium_det (premium_rcv_code,assorted_code, rec_amount,premium_rcv_detail_code,remaining_amt, payrec, mode_code,coinsurance_code,class_cd,it_remarks) values('28Nov240101','070000163533','0',(select max(to_number(i.premium_rcv_detail_code))+1
from ins_premium_det i),'0','0','02', '11000003','00','Request by Mr. Omair Ali 29-Nov-2024');</v>
      </c>
    </row>
    <row r="660" spans="1:8" ht="105" x14ac:dyDescent="0.25">
      <c r="A660" t="s">
        <v>660</v>
      </c>
      <c r="B660" s="8" t="str">
        <f>VLOOKUP(A660,assortedcode!B:C,2,0)</f>
        <v>040000146189</v>
      </c>
      <c r="C660" s="1">
        <v>0</v>
      </c>
      <c r="D660" s="9">
        <f t="shared" si="41"/>
        <v>0</v>
      </c>
      <c r="E660" s="7" t="s">
        <v>8345</v>
      </c>
      <c r="F660" s="10" t="str">
        <f t="shared" si="40"/>
        <v>insert into ins_premium_det (premium_rcv_code,assorted_code, rec_amount,premium_rcv_detail_code,remaining_amt, payrec, mode_code,coinsurance_code,class_cd,it_remarks) values</v>
      </c>
      <c r="G660" s="11" t="str">
        <f t="shared" si="42"/>
        <v>('28Nov240101','040000146189','0',(select max(to_number(i.premium_rcv_detail_code))+1
from ins_premium_det i),'0','0','02', '11000003','00','Request by Mr. Omair Ali 29-Nov-2024');</v>
      </c>
      <c r="H660" s="12" t="str">
        <f t="shared" si="43"/>
        <v>insert into ins_premium_det (premium_rcv_code,assorted_code, rec_amount,premium_rcv_detail_code,remaining_amt, payrec, mode_code,coinsurance_code,class_cd,it_remarks) values('28Nov240101','040000146189','0',(select max(to_number(i.premium_rcv_detail_code))+1
from ins_premium_det i),'0','0','02', '11000003','00','Request by Mr. Omair Ali 29-Nov-2024');</v>
      </c>
    </row>
    <row r="661" spans="1:8" ht="105" x14ac:dyDescent="0.25">
      <c r="A661" t="s">
        <v>661</v>
      </c>
      <c r="B661" s="8" t="str">
        <f>VLOOKUP(A661,assortedcode!B:C,2,0)</f>
        <v>070000164914</v>
      </c>
      <c r="C661" s="1">
        <v>0</v>
      </c>
      <c r="D661" s="9">
        <f t="shared" si="41"/>
        <v>0</v>
      </c>
      <c r="E661" s="7" t="s">
        <v>8345</v>
      </c>
      <c r="F661" s="10" t="str">
        <f t="shared" si="40"/>
        <v>insert into ins_premium_det (premium_rcv_code,assorted_code, rec_amount,premium_rcv_detail_code,remaining_amt, payrec, mode_code,coinsurance_code,class_cd,it_remarks) values</v>
      </c>
      <c r="G661" s="11" t="str">
        <f t="shared" si="42"/>
        <v>('28Nov240101','070000164914','0',(select max(to_number(i.premium_rcv_detail_code))+1
from ins_premium_det i),'0','0','02', '11000003','00','Request by Mr. Omair Ali 29-Nov-2024');</v>
      </c>
      <c r="H661" s="12" t="str">
        <f t="shared" si="43"/>
        <v>insert into ins_premium_det (premium_rcv_code,assorted_code, rec_amount,premium_rcv_detail_code,remaining_amt, payrec, mode_code,coinsurance_code,class_cd,it_remarks) values('28Nov240101','070000164914','0',(select max(to_number(i.premium_rcv_detail_code))+1
from ins_premium_det i),'0','0','02', '11000003','00','Request by Mr. Omair Ali 29-Nov-2024');</v>
      </c>
    </row>
    <row r="662" spans="1:8" ht="105" x14ac:dyDescent="0.25">
      <c r="A662" t="s">
        <v>662</v>
      </c>
      <c r="B662" s="8" t="str">
        <f>VLOOKUP(A662,assortedcode!B:C,2,0)</f>
        <v>040000146190</v>
      </c>
      <c r="C662" s="1">
        <v>0</v>
      </c>
      <c r="D662" s="9">
        <f t="shared" si="41"/>
        <v>0</v>
      </c>
      <c r="E662" s="7" t="s">
        <v>8345</v>
      </c>
      <c r="F662" s="10" t="str">
        <f t="shared" si="40"/>
        <v>insert into ins_premium_det (premium_rcv_code,assorted_code, rec_amount,premium_rcv_detail_code,remaining_amt, payrec, mode_code,coinsurance_code,class_cd,it_remarks) values</v>
      </c>
      <c r="G662" s="11" t="str">
        <f t="shared" si="42"/>
        <v>('28Nov240101','040000146190','0',(select max(to_number(i.premium_rcv_detail_code))+1
from ins_premium_det i),'0','0','02', '11000003','00','Request by Mr. Omair Ali 29-Nov-2024');</v>
      </c>
      <c r="H662" s="12" t="str">
        <f t="shared" si="43"/>
        <v>insert into ins_premium_det (premium_rcv_code,assorted_code, rec_amount,premium_rcv_detail_code,remaining_amt, payrec, mode_code,coinsurance_code,class_cd,it_remarks) values('28Nov240101','040000146190','0',(select max(to_number(i.premium_rcv_detail_code))+1
from ins_premium_det i),'0','0','02', '11000003','00','Request by Mr. Omair Ali 29-Nov-2024');</v>
      </c>
    </row>
    <row r="663" spans="1:8" ht="105" x14ac:dyDescent="0.25">
      <c r="A663" t="s">
        <v>663</v>
      </c>
      <c r="B663" s="8" t="str">
        <f>VLOOKUP(A663,assortedcode!B:C,2,0)</f>
        <v>070000164431</v>
      </c>
      <c r="C663" s="1">
        <v>0</v>
      </c>
      <c r="D663" s="9">
        <f t="shared" si="41"/>
        <v>0</v>
      </c>
      <c r="E663" s="7" t="s">
        <v>8345</v>
      </c>
      <c r="F663" s="10" t="str">
        <f t="shared" si="40"/>
        <v>insert into ins_premium_det (premium_rcv_code,assorted_code, rec_amount,premium_rcv_detail_code,remaining_amt, payrec, mode_code,coinsurance_code,class_cd,it_remarks) values</v>
      </c>
      <c r="G663" s="11" t="str">
        <f t="shared" si="42"/>
        <v>('28Nov240101','070000164431','0',(select max(to_number(i.premium_rcv_detail_code))+1
from ins_premium_det i),'0','0','02', '11000003','00','Request by Mr. Omair Ali 29-Nov-2024');</v>
      </c>
      <c r="H663" s="12" t="str">
        <f t="shared" si="43"/>
        <v>insert into ins_premium_det (premium_rcv_code,assorted_code, rec_amount,premium_rcv_detail_code,remaining_amt, payrec, mode_code,coinsurance_code,class_cd,it_remarks) values('28Nov240101','070000164431','0',(select max(to_number(i.premium_rcv_detail_code))+1
from ins_premium_det i),'0','0','02', '11000003','00','Request by Mr. Omair Ali 29-Nov-2024');</v>
      </c>
    </row>
    <row r="664" spans="1:8" ht="105" x14ac:dyDescent="0.25">
      <c r="A664" t="s">
        <v>664</v>
      </c>
      <c r="B664" s="8" t="str">
        <f>VLOOKUP(A664,assortedcode!B:C,2,0)</f>
        <v>040000146216</v>
      </c>
      <c r="C664" s="1">
        <v>0</v>
      </c>
      <c r="D664" s="9">
        <f t="shared" si="41"/>
        <v>0</v>
      </c>
      <c r="E664" s="7" t="s">
        <v>8345</v>
      </c>
      <c r="F664" s="10" t="str">
        <f t="shared" si="40"/>
        <v>insert into ins_premium_det (premium_rcv_code,assorted_code, rec_amount,premium_rcv_detail_code,remaining_amt, payrec, mode_code,coinsurance_code,class_cd,it_remarks) values</v>
      </c>
      <c r="G664" s="11" t="str">
        <f t="shared" si="42"/>
        <v>('28Nov240101','040000146216','0',(select max(to_number(i.premium_rcv_detail_code))+1
from ins_premium_det i),'0','0','02', '11000003','00','Request by Mr. Omair Ali 29-Nov-2024');</v>
      </c>
      <c r="H664" s="12" t="str">
        <f t="shared" si="43"/>
        <v>insert into ins_premium_det (premium_rcv_code,assorted_code, rec_amount,premium_rcv_detail_code,remaining_amt, payrec, mode_code,coinsurance_code,class_cd,it_remarks) values('28Nov240101','040000146216','0',(select max(to_number(i.premium_rcv_detail_code))+1
from ins_premium_det i),'0','0','02', '11000003','00','Request by Mr. Omair Ali 29-Nov-2024');</v>
      </c>
    </row>
    <row r="665" spans="1:8" ht="105" x14ac:dyDescent="0.25">
      <c r="A665" t="s">
        <v>665</v>
      </c>
      <c r="B665" s="8" t="str">
        <f>VLOOKUP(A665,assortedcode!B:C,2,0)</f>
        <v>070000165753</v>
      </c>
      <c r="C665" s="1">
        <v>0</v>
      </c>
      <c r="D665" s="9">
        <f t="shared" si="41"/>
        <v>0</v>
      </c>
      <c r="E665" s="7" t="s">
        <v>8345</v>
      </c>
      <c r="F665" s="10" t="str">
        <f t="shared" si="40"/>
        <v>insert into ins_premium_det (premium_rcv_code,assorted_code, rec_amount,premium_rcv_detail_code,remaining_amt, payrec, mode_code,coinsurance_code,class_cd,it_remarks) values</v>
      </c>
      <c r="G665" s="11" t="str">
        <f t="shared" si="42"/>
        <v>('28Nov240101','070000165753','0',(select max(to_number(i.premium_rcv_detail_code))+1
from ins_premium_det i),'0','0','02', '11000003','00','Request by Mr. Omair Ali 29-Nov-2024');</v>
      </c>
      <c r="H665" s="12" t="str">
        <f t="shared" si="43"/>
        <v>insert into ins_premium_det (premium_rcv_code,assorted_code, rec_amount,premium_rcv_detail_code,remaining_amt, payrec, mode_code,coinsurance_code,class_cd,it_remarks) values('28Nov240101','070000165753','0',(select max(to_number(i.premium_rcv_detail_code))+1
from ins_premium_det i),'0','0','02', '11000003','00','Request by Mr. Omair Ali 29-Nov-2024');</v>
      </c>
    </row>
    <row r="666" spans="1:8" ht="105" x14ac:dyDescent="0.25">
      <c r="A666" t="s">
        <v>666</v>
      </c>
      <c r="B666" s="8" t="str">
        <f>VLOOKUP(A666,assortedcode!B:C,2,0)</f>
        <v>040000146251</v>
      </c>
      <c r="C666" s="1">
        <v>0</v>
      </c>
      <c r="D666" s="9">
        <f t="shared" si="41"/>
        <v>0</v>
      </c>
      <c r="E666" s="7" t="s">
        <v>8345</v>
      </c>
      <c r="F666" s="10" t="str">
        <f t="shared" si="40"/>
        <v>insert into ins_premium_det (premium_rcv_code,assorted_code, rec_amount,premium_rcv_detail_code,remaining_amt, payrec, mode_code,coinsurance_code,class_cd,it_remarks) values</v>
      </c>
      <c r="G666" s="11" t="str">
        <f t="shared" si="42"/>
        <v>('28Nov240101','040000146251','0',(select max(to_number(i.premium_rcv_detail_code))+1
from ins_premium_det i),'0','0','02', '11000003','00','Request by Mr. Omair Ali 29-Nov-2024');</v>
      </c>
      <c r="H666" s="12" t="str">
        <f t="shared" si="43"/>
        <v>insert into ins_premium_det (premium_rcv_code,assorted_code, rec_amount,premium_rcv_detail_code,remaining_amt, payrec, mode_code,coinsurance_code,class_cd,it_remarks) values('28Nov240101','040000146251','0',(select max(to_number(i.premium_rcv_detail_code))+1
from ins_premium_det i),'0','0','02', '11000003','00','Request by Mr. Omair Ali 29-Nov-2024');</v>
      </c>
    </row>
    <row r="667" spans="1:8" ht="105" x14ac:dyDescent="0.25">
      <c r="A667" t="s">
        <v>667</v>
      </c>
      <c r="B667" s="8" t="str">
        <f>VLOOKUP(A667,assortedcode!B:C,2,0)</f>
        <v>070000165296</v>
      </c>
      <c r="C667" s="1">
        <v>0</v>
      </c>
      <c r="D667" s="9">
        <f t="shared" si="41"/>
        <v>0</v>
      </c>
      <c r="E667" s="7" t="s">
        <v>8345</v>
      </c>
      <c r="F667" s="10" t="str">
        <f t="shared" si="40"/>
        <v>insert into ins_premium_det (premium_rcv_code,assorted_code, rec_amount,premium_rcv_detail_code,remaining_amt, payrec, mode_code,coinsurance_code,class_cd,it_remarks) values</v>
      </c>
      <c r="G667" s="11" t="str">
        <f t="shared" si="42"/>
        <v>('28Nov240101','070000165296','0',(select max(to_number(i.premium_rcv_detail_code))+1
from ins_premium_det i),'0','0','02', '11000003','00','Request by Mr. Omair Ali 29-Nov-2024');</v>
      </c>
      <c r="H667" s="12" t="str">
        <f t="shared" si="43"/>
        <v>insert into ins_premium_det (premium_rcv_code,assorted_code, rec_amount,premium_rcv_detail_code,remaining_amt, payrec, mode_code,coinsurance_code,class_cd,it_remarks) values('28Nov240101','070000165296','0',(select max(to_number(i.premium_rcv_detail_code))+1
from ins_premium_det i),'0','0','02', '11000003','00','Request by Mr. Omair Ali 29-Nov-2024');</v>
      </c>
    </row>
    <row r="668" spans="1:8" ht="105" x14ac:dyDescent="0.25">
      <c r="A668" t="s">
        <v>668</v>
      </c>
      <c r="B668" s="8" t="str">
        <f>VLOOKUP(A668,assortedcode!B:C,2,0)</f>
        <v>040000146588</v>
      </c>
      <c r="C668" s="1">
        <v>0</v>
      </c>
      <c r="D668" s="9">
        <f t="shared" si="41"/>
        <v>0</v>
      </c>
      <c r="E668" s="7" t="s">
        <v>8345</v>
      </c>
      <c r="F668" s="10" t="str">
        <f t="shared" si="40"/>
        <v>insert into ins_premium_det (premium_rcv_code,assorted_code, rec_amount,premium_rcv_detail_code,remaining_amt, payrec, mode_code,coinsurance_code,class_cd,it_remarks) values</v>
      </c>
      <c r="G668" s="11" t="str">
        <f t="shared" si="42"/>
        <v>('28Nov240101','040000146588','0',(select max(to_number(i.premium_rcv_detail_code))+1
from ins_premium_det i),'0','0','02', '11000003','00','Request by Mr. Omair Ali 29-Nov-2024');</v>
      </c>
      <c r="H668" s="12" t="str">
        <f t="shared" si="43"/>
        <v>insert into ins_premium_det (premium_rcv_code,assorted_code, rec_amount,premium_rcv_detail_code,remaining_amt, payrec, mode_code,coinsurance_code,class_cd,it_remarks) values('28Nov240101','040000146588','0',(select max(to_number(i.premium_rcv_detail_code))+1
from ins_premium_det i),'0','0','02', '11000003','00','Request by Mr. Omair Ali 29-Nov-2024');</v>
      </c>
    </row>
    <row r="669" spans="1:8" ht="105" x14ac:dyDescent="0.25">
      <c r="A669" t="s">
        <v>669</v>
      </c>
      <c r="B669" s="8" t="str">
        <f>VLOOKUP(A669,assortedcode!B:C,2,0)</f>
        <v>040000114271</v>
      </c>
      <c r="C669" s="1">
        <v>0</v>
      </c>
      <c r="D669" s="9">
        <f t="shared" si="41"/>
        <v>0</v>
      </c>
      <c r="E669" s="7" t="s">
        <v>8345</v>
      </c>
      <c r="F669" s="10" t="str">
        <f t="shared" si="40"/>
        <v>insert into ins_premium_det (premium_rcv_code,assorted_code, rec_amount,premium_rcv_detail_code,remaining_amt, payrec, mode_code,coinsurance_code,class_cd,it_remarks) values</v>
      </c>
      <c r="G669" s="11" t="str">
        <f t="shared" si="42"/>
        <v>('28Nov240101','040000114271','0',(select max(to_number(i.premium_rcv_detail_code))+1
from ins_premium_det i),'0','0','02', '11000003','00','Request by Mr. Omair Ali 29-Nov-2024');</v>
      </c>
      <c r="H669" s="12" t="str">
        <f t="shared" si="43"/>
        <v>insert into ins_premium_det (premium_rcv_code,assorted_code, rec_amount,premium_rcv_detail_code,remaining_amt, payrec, mode_code,coinsurance_code,class_cd,it_remarks) values('28Nov240101','040000114271','0',(select max(to_number(i.premium_rcv_detail_code))+1
from ins_premium_det i),'0','0','02', '11000003','00','Request by Mr. Omair Ali 29-Nov-2024');</v>
      </c>
    </row>
    <row r="670" spans="1:8" ht="105" x14ac:dyDescent="0.25">
      <c r="A670" t="s">
        <v>670</v>
      </c>
      <c r="B670" s="8" t="str">
        <f>VLOOKUP(A670,assortedcode!B:C,2,0)</f>
        <v>040000146625</v>
      </c>
      <c r="C670" s="1">
        <v>0</v>
      </c>
      <c r="D670" s="9">
        <f t="shared" si="41"/>
        <v>0</v>
      </c>
      <c r="E670" s="7" t="s">
        <v>8345</v>
      </c>
      <c r="F670" s="10" t="str">
        <f t="shared" si="40"/>
        <v>insert into ins_premium_det (premium_rcv_code,assorted_code, rec_amount,premium_rcv_detail_code,remaining_amt, payrec, mode_code,coinsurance_code,class_cd,it_remarks) values</v>
      </c>
      <c r="G670" s="11" t="str">
        <f t="shared" si="42"/>
        <v>('28Nov240101','040000146625','0',(select max(to_number(i.premium_rcv_detail_code))+1
from ins_premium_det i),'0','0','02', '11000003','00','Request by Mr. Omair Ali 29-Nov-2024');</v>
      </c>
      <c r="H670" s="12" t="str">
        <f t="shared" si="43"/>
        <v>insert into ins_premium_det (premium_rcv_code,assorted_code, rec_amount,premium_rcv_detail_code,remaining_amt, payrec, mode_code,coinsurance_code,class_cd,it_remarks) values('28Nov240101','040000146625','0',(select max(to_number(i.premium_rcv_detail_code))+1
from ins_premium_det i),'0','0','02', '11000003','00','Request by Mr. Omair Ali 29-Nov-2024');</v>
      </c>
    </row>
    <row r="671" spans="1:8" ht="105" x14ac:dyDescent="0.25">
      <c r="A671" t="s">
        <v>671</v>
      </c>
      <c r="B671" s="8" t="str">
        <f>VLOOKUP(A671,assortedcode!B:C,2,0)</f>
        <v>040000119175</v>
      </c>
      <c r="C671" s="1">
        <v>0</v>
      </c>
      <c r="D671" s="9">
        <f t="shared" si="41"/>
        <v>0</v>
      </c>
      <c r="E671" s="7" t="s">
        <v>8345</v>
      </c>
      <c r="F671" s="10" t="str">
        <f t="shared" si="40"/>
        <v>insert into ins_premium_det (premium_rcv_code,assorted_code, rec_amount,premium_rcv_detail_code,remaining_amt, payrec, mode_code,coinsurance_code,class_cd,it_remarks) values</v>
      </c>
      <c r="G671" s="11" t="str">
        <f t="shared" si="42"/>
        <v>('28Nov240101','040000119175','0',(select max(to_number(i.premium_rcv_detail_code))+1
from ins_premium_det i),'0','0','02', '11000003','00','Request by Mr. Omair Ali 29-Nov-2024');</v>
      </c>
      <c r="H671" s="12" t="str">
        <f t="shared" si="43"/>
        <v>insert into ins_premium_det (premium_rcv_code,assorted_code, rec_amount,premium_rcv_detail_code,remaining_amt, payrec, mode_code,coinsurance_code,class_cd,it_remarks) values('28Nov240101','040000119175','0',(select max(to_number(i.premium_rcv_detail_code))+1
from ins_premium_det i),'0','0','02', '11000003','00','Request by Mr. Omair Ali 29-Nov-2024');</v>
      </c>
    </row>
    <row r="672" spans="1:8" ht="105" x14ac:dyDescent="0.25">
      <c r="A672" t="s">
        <v>672</v>
      </c>
      <c r="B672" s="8" t="str">
        <f>VLOOKUP(A672,assortedcode!B:C,2,0)</f>
        <v>040000146778</v>
      </c>
      <c r="C672" s="1">
        <v>0</v>
      </c>
      <c r="D672" s="9">
        <f t="shared" si="41"/>
        <v>0</v>
      </c>
      <c r="E672" s="7" t="s">
        <v>8345</v>
      </c>
      <c r="F672" s="10" t="str">
        <f t="shared" si="40"/>
        <v>insert into ins_premium_det (premium_rcv_code,assorted_code, rec_amount,premium_rcv_detail_code,remaining_amt, payrec, mode_code,coinsurance_code,class_cd,it_remarks) values</v>
      </c>
      <c r="G672" s="11" t="str">
        <f t="shared" si="42"/>
        <v>('28Nov240101','040000146778','0',(select max(to_number(i.premium_rcv_detail_code))+1
from ins_premium_det i),'0','0','02', '11000003','00','Request by Mr. Omair Ali 29-Nov-2024');</v>
      </c>
      <c r="H672" s="12" t="str">
        <f t="shared" si="43"/>
        <v>insert into ins_premium_det (premium_rcv_code,assorted_code, rec_amount,premium_rcv_detail_code,remaining_amt, payrec, mode_code,coinsurance_code,class_cd,it_remarks) values('28Nov240101','040000146778','0',(select max(to_number(i.premium_rcv_detail_code))+1
from ins_premium_det i),'0','0','02', '11000003','00','Request by Mr. Omair Ali 29-Nov-2024');</v>
      </c>
    </row>
    <row r="673" spans="1:8" ht="105" x14ac:dyDescent="0.25">
      <c r="A673" t="s">
        <v>673</v>
      </c>
      <c r="B673" s="8" t="str">
        <f>VLOOKUP(A673,assortedcode!B:C,2,0)</f>
        <v>040000123596</v>
      </c>
      <c r="C673" s="1">
        <v>0</v>
      </c>
      <c r="D673" s="9">
        <f t="shared" si="41"/>
        <v>0</v>
      </c>
      <c r="E673" s="7" t="s">
        <v>8345</v>
      </c>
      <c r="F673" s="10" t="str">
        <f t="shared" si="40"/>
        <v>insert into ins_premium_det (premium_rcv_code,assorted_code, rec_amount,premium_rcv_detail_code,remaining_amt, payrec, mode_code,coinsurance_code,class_cd,it_remarks) values</v>
      </c>
      <c r="G673" s="11" t="str">
        <f t="shared" si="42"/>
        <v>('28Nov240101','040000123596','0',(select max(to_number(i.premium_rcv_detail_code))+1
from ins_premium_det i),'0','0','02', '11000003','00','Request by Mr. Omair Ali 29-Nov-2024');</v>
      </c>
      <c r="H673" s="12" t="str">
        <f t="shared" si="43"/>
        <v>insert into ins_premium_det (premium_rcv_code,assorted_code, rec_amount,premium_rcv_detail_code,remaining_amt, payrec, mode_code,coinsurance_code,class_cd,it_remarks) values('28Nov240101','040000123596','0',(select max(to_number(i.premium_rcv_detail_code))+1
from ins_premium_det i),'0','0','02', '11000003','00','Request by Mr. Omair Ali 29-Nov-2024');</v>
      </c>
    </row>
    <row r="674" spans="1:8" ht="105" x14ac:dyDescent="0.25">
      <c r="A674" t="s">
        <v>674</v>
      </c>
      <c r="B674" s="8" t="str">
        <f>VLOOKUP(A674,assortedcode!B:C,2,0)</f>
        <v>040000146785</v>
      </c>
      <c r="C674" s="1">
        <v>0</v>
      </c>
      <c r="D674" s="9">
        <f t="shared" si="41"/>
        <v>0</v>
      </c>
      <c r="E674" s="7" t="s">
        <v>8345</v>
      </c>
      <c r="F674" s="10" t="str">
        <f t="shared" si="40"/>
        <v>insert into ins_premium_det (premium_rcv_code,assorted_code, rec_amount,premium_rcv_detail_code,remaining_amt, payrec, mode_code,coinsurance_code,class_cd,it_remarks) values</v>
      </c>
      <c r="G674" s="11" t="str">
        <f t="shared" si="42"/>
        <v>('28Nov240101','040000146785','0',(select max(to_number(i.premium_rcv_detail_code))+1
from ins_premium_det i),'0','0','02', '11000003','00','Request by Mr. Omair Ali 29-Nov-2024');</v>
      </c>
      <c r="H674" s="12" t="str">
        <f t="shared" si="43"/>
        <v>insert into ins_premium_det (premium_rcv_code,assorted_code, rec_amount,premium_rcv_detail_code,remaining_amt, payrec, mode_code,coinsurance_code,class_cd,it_remarks) values('28Nov240101','040000146785','0',(select max(to_number(i.premium_rcv_detail_code))+1
from ins_premium_det i),'0','0','02', '11000003','00','Request by Mr. Omair Ali 29-Nov-2024');</v>
      </c>
    </row>
    <row r="675" spans="1:8" ht="105" x14ac:dyDescent="0.25">
      <c r="A675" t="s">
        <v>675</v>
      </c>
      <c r="B675" s="8" t="str">
        <f>VLOOKUP(A675,assortedcode!B:C,2,0)</f>
        <v>040000129128</v>
      </c>
      <c r="C675" s="1">
        <v>0</v>
      </c>
      <c r="D675" s="9">
        <f t="shared" si="41"/>
        <v>0</v>
      </c>
      <c r="E675" s="7" t="s">
        <v>8345</v>
      </c>
      <c r="F675" s="10" t="str">
        <f t="shared" si="40"/>
        <v>insert into ins_premium_det (premium_rcv_code,assorted_code, rec_amount,premium_rcv_detail_code,remaining_amt, payrec, mode_code,coinsurance_code,class_cd,it_remarks) values</v>
      </c>
      <c r="G675" s="11" t="str">
        <f t="shared" si="42"/>
        <v>('28Nov240101','040000129128','0',(select max(to_number(i.premium_rcv_detail_code))+1
from ins_premium_det i),'0','0','02', '11000003','00','Request by Mr. Omair Ali 29-Nov-2024');</v>
      </c>
      <c r="H675" s="12" t="str">
        <f t="shared" si="43"/>
        <v>insert into ins_premium_det (premium_rcv_code,assorted_code, rec_amount,premium_rcv_detail_code,remaining_amt, payrec, mode_code,coinsurance_code,class_cd,it_remarks) values('28Nov240101','040000129128','0',(select max(to_number(i.premium_rcv_detail_code))+1
from ins_premium_det i),'0','0','02', '11000003','00','Request by Mr. Omair Ali 29-Nov-2024');</v>
      </c>
    </row>
    <row r="676" spans="1:8" ht="105" x14ac:dyDescent="0.25">
      <c r="A676" t="s">
        <v>676</v>
      </c>
      <c r="B676" s="8" t="str">
        <f>VLOOKUP(A676,assortedcode!B:C,2,0)</f>
        <v>040000146801</v>
      </c>
      <c r="C676" s="1">
        <v>0</v>
      </c>
      <c r="D676" s="9">
        <f t="shared" si="41"/>
        <v>0</v>
      </c>
      <c r="E676" s="7" t="s">
        <v>8345</v>
      </c>
      <c r="F676" s="10" t="str">
        <f t="shared" si="40"/>
        <v>insert into ins_premium_det (premium_rcv_code,assorted_code, rec_amount,premium_rcv_detail_code,remaining_amt, payrec, mode_code,coinsurance_code,class_cd,it_remarks) values</v>
      </c>
      <c r="G676" s="11" t="str">
        <f t="shared" si="42"/>
        <v>('28Nov240101','040000146801','0',(select max(to_number(i.premium_rcv_detail_code))+1
from ins_premium_det i),'0','0','02', '11000003','00','Request by Mr. Omair Ali 29-Nov-2024');</v>
      </c>
      <c r="H676" s="12" t="str">
        <f t="shared" si="43"/>
        <v>insert into ins_premium_det (premium_rcv_code,assorted_code, rec_amount,premium_rcv_detail_code,remaining_amt, payrec, mode_code,coinsurance_code,class_cd,it_remarks) values('28Nov240101','040000146801','0',(select max(to_number(i.premium_rcv_detail_code))+1
from ins_premium_det i),'0','0','02', '11000003','00','Request by Mr. Omair Ali 29-Nov-2024');</v>
      </c>
    </row>
    <row r="677" spans="1:8" ht="105" x14ac:dyDescent="0.25">
      <c r="A677" t="s">
        <v>677</v>
      </c>
      <c r="B677" s="8" t="str">
        <f>VLOOKUP(A677,assortedcode!B:C,2,0)</f>
        <v>040000136481</v>
      </c>
      <c r="C677" s="1">
        <v>0</v>
      </c>
      <c r="D677" s="9">
        <f t="shared" si="41"/>
        <v>0</v>
      </c>
      <c r="E677" s="7" t="s">
        <v>8345</v>
      </c>
      <c r="F677" s="10" t="str">
        <f t="shared" si="40"/>
        <v>insert into ins_premium_det (premium_rcv_code,assorted_code, rec_amount,premium_rcv_detail_code,remaining_amt, payrec, mode_code,coinsurance_code,class_cd,it_remarks) values</v>
      </c>
      <c r="G677" s="11" t="str">
        <f t="shared" si="42"/>
        <v>('28Nov240101','040000136481','0',(select max(to_number(i.premium_rcv_detail_code))+1
from ins_premium_det i),'0','0','02', '11000003','00','Request by Mr. Omair Ali 29-Nov-2024');</v>
      </c>
      <c r="H677" s="12" t="str">
        <f t="shared" si="43"/>
        <v>insert into ins_premium_det (premium_rcv_code,assorted_code, rec_amount,premium_rcv_detail_code,remaining_amt, payrec, mode_code,coinsurance_code,class_cd,it_remarks) values('28Nov240101','040000136481','0',(select max(to_number(i.premium_rcv_detail_code))+1
from ins_premium_det i),'0','0','02', '11000003','00','Request by Mr. Omair Ali 29-Nov-2024');</v>
      </c>
    </row>
    <row r="678" spans="1:8" ht="105" x14ac:dyDescent="0.25">
      <c r="A678" t="s">
        <v>678</v>
      </c>
      <c r="B678" s="8" t="str">
        <f>VLOOKUP(A678,assortedcode!B:C,2,0)</f>
        <v>040000146907</v>
      </c>
      <c r="C678" s="1">
        <v>0</v>
      </c>
      <c r="D678" s="9">
        <f t="shared" si="41"/>
        <v>0</v>
      </c>
      <c r="E678" s="7" t="s">
        <v>8345</v>
      </c>
      <c r="F678" s="10" t="str">
        <f t="shared" si="40"/>
        <v>insert into ins_premium_det (premium_rcv_code,assorted_code, rec_amount,premium_rcv_detail_code,remaining_amt, payrec, mode_code,coinsurance_code,class_cd,it_remarks) values</v>
      </c>
      <c r="G678" s="11" t="str">
        <f t="shared" si="42"/>
        <v>('28Nov240101','040000146907','0',(select max(to_number(i.premium_rcv_detail_code))+1
from ins_premium_det i),'0','0','02', '11000003','00','Request by Mr. Omair Ali 29-Nov-2024');</v>
      </c>
      <c r="H678" s="12" t="str">
        <f t="shared" si="43"/>
        <v>insert into ins_premium_det (premium_rcv_code,assorted_code, rec_amount,premium_rcv_detail_code,remaining_amt, payrec, mode_code,coinsurance_code,class_cd,it_remarks) values('28Nov240101','040000146907','0',(select max(to_number(i.premium_rcv_detail_code))+1
from ins_premium_det i),'0','0','02', '11000003','00','Request by Mr. Omair Ali 29-Nov-2024');</v>
      </c>
    </row>
    <row r="679" spans="1:8" ht="105" x14ac:dyDescent="0.25">
      <c r="A679" t="s">
        <v>679</v>
      </c>
      <c r="B679" s="8" t="str">
        <f>VLOOKUP(A679,assortedcode!B:C,2,0)</f>
        <v>040000142460</v>
      </c>
      <c r="C679" s="1">
        <v>0</v>
      </c>
      <c r="D679" s="9">
        <f t="shared" si="41"/>
        <v>0</v>
      </c>
      <c r="E679" s="7" t="s">
        <v>8345</v>
      </c>
      <c r="F679" s="10" t="str">
        <f t="shared" si="40"/>
        <v>insert into ins_premium_det (premium_rcv_code,assorted_code, rec_amount,premium_rcv_detail_code,remaining_amt, payrec, mode_code,coinsurance_code,class_cd,it_remarks) values</v>
      </c>
      <c r="G679" s="11" t="str">
        <f t="shared" si="42"/>
        <v>('28Nov240101','040000142460','0',(select max(to_number(i.premium_rcv_detail_code))+1
from ins_premium_det i),'0','0','02', '11000003','00','Request by Mr. Omair Ali 29-Nov-2024');</v>
      </c>
      <c r="H679" s="12" t="str">
        <f t="shared" si="43"/>
        <v>insert into ins_premium_det (premium_rcv_code,assorted_code, rec_amount,premium_rcv_detail_code,remaining_amt, payrec, mode_code,coinsurance_code,class_cd,it_remarks) values('28Nov240101','040000142460','0',(select max(to_number(i.premium_rcv_detail_code))+1
from ins_premium_det i),'0','0','02', '11000003','00','Request by Mr. Omair Ali 29-Nov-2024');</v>
      </c>
    </row>
    <row r="680" spans="1:8" ht="105" x14ac:dyDescent="0.25">
      <c r="A680" t="s">
        <v>680</v>
      </c>
      <c r="B680" s="8" t="str">
        <f>VLOOKUP(A680,assortedcode!B:C,2,0)</f>
        <v>040000147087</v>
      </c>
      <c r="C680" s="1">
        <v>0</v>
      </c>
      <c r="D680" s="9">
        <f t="shared" si="41"/>
        <v>0</v>
      </c>
      <c r="E680" s="7" t="s">
        <v>8345</v>
      </c>
      <c r="F680" s="10" t="str">
        <f t="shared" si="40"/>
        <v>insert into ins_premium_det (premium_rcv_code,assorted_code, rec_amount,premium_rcv_detail_code,remaining_amt, payrec, mode_code,coinsurance_code,class_cd,it_remarks) values</v>
      </c>
      <c r="G680" s="11" t="str">
        <f t="shared" si="42"/>
        <v>('28Nov240101','040000147087','0',(select max(to_number(i.premium_rcv_detail_code))+1
from ins_premium_det i),'0','0','02', '11000003','00','Request by Mr. Omair Ali 29-Nov-2024');</v>
      </c>
      <c r="H680" s="12" t="str">
        <f t="shared" si="43"/>
        <v>insert into ins_premium_det (premium_rcv_code,assorted_code, rec_amount,premium_rcv_detail_code,remaining_amt, payrec, mode_code,coinsurance_code,class_cd,it_remarks) values('28Nov240101','040000147087','0',(select max(to_number(i.premium_rcv_detail_code))+1
from ins_premium_det i),'0','0','02', '11000003','00','Request by Mr. Omair Ali 29-Nov-2024');</v>
      </c>
    </row>
    <row r="681" spans="1:8" ht="105" x14ac:dyDescent="0.25">
      <c r="A681" t="s">
        <v>681</v>
      </c>
      <c r="B681" s="8" t="str">
        <f>VLOOKUP(A681,assortedcode!B:C,2,0)</f>
        <v>040000149022</v>
      </c>
      <c r="C681" s="1">
        <v>0</v>
      </c>
      <c r="D681" s="9">
        <f t="shared" si="41"/>
        <v>0</v>
      </c>
      <c r="E681" s="7" t="s">
        <v>8345</v>
      </c>
      <c r="F681" s="10" t="str">
        <f t="shared" si="40"/>
        <v>insert into ins_premium_det (premium_rcv_code,assorted_code, rec_amount,premium_rcv_detail_code,remaining_amt, payrec, mode_code,coinsurance_code,class_cd,it_remarks) values</v>
      </c>
      <c r="G681" s="11" t="str">
        <f t="shared" si="42"/>
        <v>('28Nov240101','040000149022','0',(select max(to_number(i.premium_rcv_detail_code))+1
from ins_premium_det i),'0','0','02', '11000003','00','Request by Mr. Omair Ali 29-Nov-2024');</v>
      </c>
      <c r="H681" s="12" t="str">
        <f t="shared" si="43"/>
        <v>insert into ins_premium_det (premium_rcv_code,assorted_code, rec_amount,premium_rcv_detail_code,remaining_amt, payrec, mode_code,coinsurance_code,class_cd,it_remarks) values('28Nov240101','040000149022','0',(select max(to_number(i.premium_rcv_detail_code))+1
from ins_premium_det i),'0','0','02', '11000003','00','Request by Mr. Omair Ali 29-Nov-2024');</v>
      </c>
    </row>
    <row r="682" spans="1:8" ht="105" x14ac:dyDescent="0.25">
      <c r="A682" t="s">
        <v>682</v>
      </c>
      <c r="B682" s="8" t="str">
        <f>VLOOKUP(A682,assortedcode!B:C,2,0)</f>
        <v>040000147148</v>
      </c>
      <c r="C682" s="1">
        <v>0</v>
      </c>
      <c r="D682" s="9">
        <f t="shared" si="41"/>
        <v>0</v>
      </c>
      <c r="E682" s="7" t="s">
        <v>8345</v>
      </c>
      <c r="F682" s="10" t="str">
        <f t="shared" si="40"/>
        <v>insert into ins_premium_det (premium_rcv_code,assorted_code, rec_amount,premium_rcv_detail_code,remaining_amt, payrec, mode_code,coinsurance_code,class_cd,it_remarks) values</v>
      </c>
      <c r="G682" s="11" t="str">
        <f t="shared" si="42"/>
        <v>('28Nov240101','040000147148','0',(select max(to_number(i.premium_rcv_detail_code))+1
from ins_premium_det i),'0','0','02', '11000003','00','Request by Mr. Omair Ali 29-Nov-2024');</v>
      </c>
      <c r="H682" s="12" t="str">
        <f t="shared" si="43"/>
        <v>insert into ins_premium_det (premium_rcv_code,assorted_code, rec_amount,premium_rcv_detail_code,remaining_amt, payrec, mode_code,coinsurance_code,class_cd,it_remarks) values('28Nov240101','040000147148','0',(select max(to_number(i.premium_rcv_detail_code))+1
from ins_premium_det i),'0','0','02', '11000003','00','Request by Mr. Omair Ali 29-Nov-2024');</v>
      </c>
    </row>
    <row r="683" spans="1:8" ht="105" x14ac:dyDescent="0.25">
      <c r="A683" t="s">
        <v>683</v>
      </c>
      <c r="B683" s="8" t="str">
        <f>VLOOKUP(A683,assortedcode!B:C,2,0)</f>
        <v>040000155797</v>
      </c>
      <c r="C683" s="1">
        <v>0</v>
      </c>
      <c r="D683" s="9">
        <f t="shared" si="41"/>
        <v>0</v>
      </c>
      <c r="E683" s="7" t="s">
        <v>8345</v>
      </c>
      <c r="F683" s="10" t="str">
        <f t="shared" si="40"/>
        <v>insert into ins_premium_det (premium_rcv_code,assorted_code, rec_amount,premium_rcv_detail_code,remaining_amt, payrec, mode_code,coinsurance_code,class_cd,it_remarks) values</v>
      </c>
      <c r="G683" s="11" t="str">
        <f t="shared" si="42"/>
        <v>('28Nov240101','040000155797','0',(select max(to_number(i.premium_rcv_detail_code))+1
from ins_premium_det i),'0','0','02', '11000003','00','Request by Mr. Omair Ali 29-Nov-2024');</v>
      </c>
      <c r="H683" s="12" t="str">
        <f t="shared" si="43"/>
        <v>insert into ins_premium_det (premium_rcv_code,assorted_code, rec_amount,premium_rcv_detail_code,remaining_amt, payrec, mode_code,coinsurance_code,class_cd,it_remarks) values('28Nov240101','040000155797','0',(select max(to_number(i.premium_rcv_detail_code))+1
from ins_premium_det i),'0','0','02', '11000003','00','Request by Mr. Omair Ali 29-Nov-2024');</v>
      </c>
    </row>
    <row r="684" spans="1:8" ht="105" x14ac:dyDescent="0.25">
      <c r="A684" t="s">
        <v>684</v>
      </c>
      <c r="B684" s="8" t="str">
        <f>VLOOKUP(A684,assortedcode!B:C,2,0)</f>
        <v>040000147266</v>
      </c>
      <c r="C684" s="1">
        <v>0</v>
      </c>
      <c r="D684" s="9">
        <f t="shared" si="41"/>
        <v>0</v>
      </c>
      <c r="E684" s="7" t="s">
        <v>8345</v>
      </c>
      <c r="F684" s="10" t="str">
        <f t="shared" si="40"/>
        <v>insert into ins_premium_det (premium_rcv_code,assorted_code, rec_amount,premium_rcv_detail_code,remaining_amt, payrec, mode_code,coinsurance_code,class_cd,it_remarks) values</v>
      </c>
      <c r="G684" s="11" t="str">
        <f t="shared" si="42"/>
        <v>('28Nov240101','040000147266','0',(select max(to_number(i.premium_rcv_detail_code))+1
from ins_premium_det i),'0','0','02', '11000003','00','Request by Mr. Omair Ali 29-Nov-2024');</v>
      </c>
      <c r="H684" s="12" t="str">
        <f t="shared" si="43"/>
        <v>insert into ins_premium_det (premium_rcv_code,assorted_code, rec_amount,premium_rcv_detail_code,remaining_amt, payrec, mode_code,coinsurance_code,class_cd,it_remarks) values('28Nov240101','040000147266','0',(select max(to_number(i.premium_rcv_detail_code))+1
from ins_premium_det i),'0','0','02', '11000003','00','Request by Mr. Omair Ali 29-Nov-2024');</v>
      </c>
    </row>
    <row r="685" spans="1:8" ht="105" x14ac:dyDescent="0.25">
      <c r="A685" t="s">
        <v>685</v>
      </c>
      <c r="B685" s="8" t="str">
        <f>VLOOKUP(A685,assortedcode!B:C,2,0)</f>
        <v>040000160027</v>
      </c>
      <c r="C685" s="1">
        <v>0</v>
      </c>
      <c r="D685" s="9">
        <f t="shared" si="41"/>
        <v>0</v>
      </c>
      <c r="E685" s="7" t="s">
        <v>8345</v>
      </c>
      <c r="F685" s="10" t="str">
        <f t="shared" si="40"/>
        <v>insert into ins_premium_det (premium_rcv_code,assorted_code, rec_amount,premium_rcv_detail_code,remaining_amt, payrec, mode_code,coinsurance_code,class_cd,it_remarks) values</v>
      </c>
      <c r="G685" s="11" t="str">
        <f t="shared" si="42"/>
        <v>('28Nov240101','040000160027','0',(select max(to_number(i.premium_rcv_detail_code))+1
from ins_premium_det i),'0','0','02', '11000003','00','Request by Mr. Omair Ali 29-Nov-2024');</v>
      </c>
      <c r="H685" s="12" t="str">
        <f t="shared" si="43"/>
        <v>insert into ins_premium_det (premium_rcv_code,assorted_code, rec_amount,premium_rcv_detail_code,remaining_amt, payrec, mode_code,coinsurance_code,class_cd,it_remarks) values('28Nov240101','040000160027','0',(select max(to_number(i.premium_rcv_detail_code))+1
from ins_premium_det i),'0','0','02', '11000003','00','Request by Mr. Omair Ali 29-Nov-2024');</v>
      </c>
    </row>
    <row r="686" spans="1:8" ht="105" x14ac:dyDescent="0.25">
      <c r="A686" t="s">
        <v>686</v>
      </c>
      <c r="B686" s="8" t="str">
        <f>VLOOKUP(A686,assortedcode!B:C,2,0)</f>
        <v>040000147404</v>
      </c>
      <c r="C686" s="1">
        <v>0</v>
      </c>
      <c r="D686" s="9">
        <f t="shared" si="41"/>
        <v>0</v>
      </c>
      <c r="E686" s="7" t="s">
        <v>8345</v>
      </c>
      <c r="F686" s="10" t="str">
        <f t="shared" si="40"/>
        <v>insert into ins_premium_det (premium_rcv_code,assorted_code, rec_amount,premium_rcv_detail_code,remaining_amt, payrec, mode_code,coinsurance_code,class_cd,it_remarks) values</v>
      </c>
      <c r="G686" s="11" t="str">
        <f t="shared" si="42"/>
        <v>('28Nov240101','040000147404','0',(select max(to_number(i.premium_rcv_detail_code))+1
from ins_premium_det i),'0','0','02', '11000003','00','Request by Mr. Omair Ali 29-Nov-2024');</v>
      </c>
      <c r="H686" s="12" t="str">
        <f t="shared" si="43"/>
        <v>insert into ins_premium_det (premium_rcv_code,assorted_code, rec_amount,premium_rcv_detail_code,remaining_amt, payrec, mode_code,coinsurance_code,class_cd,it_remarks) values('28Nov240101','040000147404','0',(select max(to_number(i.premium_rcv_detail_code))+1
from ins_premium_det i),'0','0','02', '11000003','00','Request by Mr. Omair Ali 29-Nov-2024');</v>
      </c>
    </row>
    <row r="687" spans="1:8" ht="105" x14ac:dyDescent="0.25">
      <c r="A687" t="s">
        <v>687</v>
      </c>
      <c r="B687" s="8" t="str">
        <f>VLOOKUP(A687,assortedcode!B:C,2,0)</f>
        <v>040000173764</v>
      </c>
      <c r="C687" s="1">
        <v>0</v>
      </c>
      <c r="D687" s="9">
        <f t="shared" si="41"/>
        <v>0</v>
      </c>
      <c r="E687" s="7" t="s">
        <v>8345</v>
      </c>
      <c r="F687" s="10" t="str">
        <f t="shared" si="40"/>
        <v>insert into ins_premium_det (premium_rcv_code,assorted_code, rec_amount,premium_rcv_detail_code,remaining_amt, payrec, mode_code,coinsurance_code,class_cd,it_remarks) values</v>
      </c>
      <c r="G687" s="11" t="str">
        <f t="shared" si="42"/>
        <v>('28Nov240101','040000173764','0',(select max(to_number(i.premium_rcv_detail_code))+1
from ins_premium_det i),'0','0','02', '11000003','00','Request by Mr. Omair Ali 29-Nov-2024');</v>
      </c>
      <c r="H687" s="12" t="str">
        <f t="shared" si="43"/>
        <v>insert into ins_premium_det (premium_rcv_code,assorted_code, rec_amount,premium_rcv_detail_code,remaining_amt, payrec, mode_code,coinsurance_code,class_cd,it_remarks) values('28Nov240101','040000173764','0',(select max(to_number(i.premium_rcv_detail_code))+1
from ins_premium_det i),'0','0','02', '11000003','00','Request by Mr. Omair Ali 29-Nov-2024');</v>
      </c>
    </row>
    <row r="688" spans="1:8" ht="105" x14ac:dyDescent="0.25">
      <c r="A688" t="s">
        <v>688</v>
      </c>
      <c r="B688" s="8" t="str">
        <f>VLOOKUP(A688,assortedcode!B:C,2,0)</f>
        <v>040000147422</v>
      </c>
      <c r="C688" s="1">
        <v>0</v>
      </c>
      <c r="D688" s="9">
        <f t="shared" si="41"/>
        <v>0</v>
      </c>
      <c r="E688" s="7" t="s">
        <v>8345</v>
      </c>
      <c r="F688" s="10" t="str">
        <f t="shared" si="40"/>
        <v>insert into ins_premium_det (premium_rcv_code,assorted_code, rec_amount,premium_rcv_detail_code,remaining_amt, payrec, mode_code,coinsurance_code,class_cd,it_remarks) values</v>
      </c>
      <c r="G688" s="11" t="str">
        <f t="shared" si="42"/>
        <v>('28Nov240101','040000147422','0',(select max(to_number(i.premium_rcv_detail_code))+1
from ins_premium_det i),'0','0','02', '11000003','00','Request by Mr. Omair Ali 29-Nov-2024');</v>
      </c>
      <c r="H688" s="12" t="str">
        <f t="shared" si="43"/>
        <v>insert into ins_premium_det (premium_rcv_code,assorted_code, rec_amount,premium_rcv_detail_code,remaining_amt, payrec, mode_code,coinsurance_code,class_cd,it_remarks) values('28Nov240101','040000147422','0',(select max(to_number(i.premium_rcv_detail_code))+1
from ins_premium_det i),'0','0','02', '11000003','00','Request by Mr. Omair Ali 29-Nov-2024');</v>
      </c>
    </row>
    <row r="689" spans="1:8" ht="105" x14ac:dyDescent="0.25">
      <c r="A689" t="s">
        <v>689</v>
      </c>
      <c r="B689" s="8" t="str">
        <f>VLOOKUP(A689,assortedcode!B:C,2,0)</f>
        <v>040000178053</v>
      </c>
      <c r="C689" s="1">
        <v>0</v>
      </c>
      <c r="D689" s="9">
        <f t="shared" si="41"/>
        <v>0</v>
      </c>
      <c r="E689" s="7" t="s">
        <v>8345</v>
      </c>
      <c r="F689" s="10" t="str">
        <f t="shared" si="40"/>
        <v>insert into ins_premium_det (premium_rcv_code,assorted_code, rec_amount,premium_rcv_detail_code,remaining_amt, payrec, mode_code,coinsurance_code,class_cd,it_remarks) values</v>
      </c>
      <c r="G689" s="11" t="str">
        <f t="shared" si="42"/>
        <v>('28Nov240101','040000178053','0',(select max(to_number(i.premium_rcv_detail_code))+1
from ins_premium_det i),'0','0','02', '11000003','00','Request by Mr. Omair Ali 29-Nov-2024');</v>
      </c>
      <c r="H689" s="12" t="str">
        <f t="shared" si="43"/>
        <v>insert into ins_premium_det (premium_rcv_code,assorted_code, rec_amount,premium_rcv_detail_code,remaining_amt, payrec, mode_code,coinsurance_code,class_cd,it_remarks) values('28Nov240101','040000178053','0',(select max(to_number(i.premium_rcv_detail_code))+1
from ins_premium_det i),'0','0','02', '11000003','00','Request by Mr. Omair Ali 29-Nov-2024');</v>
      </c>
    </row>
    <row r="690" spans="1:8" ht="105" x14ac:dyDescent="0.25">
      <c r="A690" t="s">
        <v>690</v>
      </c>
      <c r="B690" s="8" t="str">
        <f>VLOOKUP(A690,assortedcode!B:C,2,0)</f>
        <v>040000147447</v>
      </c>
      <c r="C690" s="1">
        <v>0</v>
      </c>
      <c r="D690" s="9">
        <f t="shared" si="41"/>
        <v>0</v>
      </c>
      <c r="E690" s="7" t="s">
        <v>8345</v>
      </c>
      <c r="F690" s="10" t="str">
        <f t="shared" si="40"/>
        <v>insert into ins_premium_det (premium_rcv_code,assorted_code, rec_amount,premium_rcv_detail_code,remaining_amt, payrec, mode_code,coinsurance_code,class_cd,it_remarks) values</v>
      </c>
      <c r="G690" s="11" t="str">
        <f t="shared" si="42"/>
        <v>('28Nov240101','040000147447','0',(select max(to_number(i.premium_rcv_detail_code))+1
from ins_premium_det i),'0','0','02', '11000003','00','Request by Mr. Omair Ali 29-Nov-2024');</v>
      </c>
      <c r="H690" s="12" t="str">
        <f t="shared" si="43"/>
        <v>insert into ins_premium_det (premium_rcv_code,assorted_code, rec_amount,premium_rcv_detail_code,remaining_amt, payrec, mode_code,coinsurance_code,class_cd,it_remarks) values('28Nov240101','040000147447','0',(select max(to_number(i.premium_rcv_detail_code))+1
from ins_premium_det i),'0','0','02', '11000003','00','Request by Mr. Omair Ali 29-Nov-2024');</v>
      </c>
    </row>
    <row r="691" spans="1:8" ht="105" x14ac:dyDescent="0.25">
      <c r="A691" t="s">
        <v>691</v>
      </c>
      <c r="B691" s="8" t="str">
        <f>VLOOKUP(A691,assortedcode!B:C,2,0)</f>
        <v>070000160403</v>
      </c>
      <c r="C691" s="1">
        <v>0</v>
      </c>
      <c r="D691" s="9">
        <f t="shared" si="41"/>
        <v>0</v>
      </c>
      <c r="E691" s="7" t="s">
        <v>8345</v>
      </c>
      <c r="F691" s="10" t="str">
        <f t="shared" si="40"/>
        <v>insert into ins_premium_det (premium_rcv_code,assorted_code, rec_amount,premium_rcv_detail_code,remaining_amt, payrec, mode_code,coinsurance_code,class_cd,it_remarks) values</v>
      </c>
      <c r="G691" s="11" t="str">
        <f t="shared" si="42"/>
        <v>('28Nov240101','070000160403','0',(select max(to_number(i.premium_rcv_detail_code))+1
from ins_premium_det i),'0','0','02', '11000003','00','Request by Mr. Omair Ali 29-Nov-2024');</v>
      </c>
      <c r="H691" s="12" t="str">
        <f t="shared" si="43"/>
        <v>insert into ins_premium_det (premium_rcv_code,assorted_code, rec_amount,premium_rcv_detail_code,remaining_amt, payrec, mode_code,coinsurance_code,class_cd,it_remarks) values('28Nov240101','070000160403','0',(select max(to_number(i.premium_rcv_detail_code))+1
from ins_premium_det i),'0','0','02', '11000003','00','Request by Mr. Omair Ali 29-Nov-2024');</v>
      </c>
    </row>
    <row r="692" spans="1:8" ht="105" x14ac:dyDescent="0.25">
      <c r="A692" t="s">
        <v>692</v>
      </c>
      <c r="B692" s="8" t="str">
        <f>VLOOKUP(A692,assortedcode!B:C,2,0)</f>
        <v>040000147553</v>
      </c>
      <c r="C692" s="1">
        <v>0</v>
      </c>
      <c r="D692" s="9">
        <f t="shared" si="41"/>
        <v>0</v>
      </c>
      <c r="E692" s="7" t="s">
        <v>8345</v>
      </c>
      <c r="F692" s="10" t="str">
        <f t="shared" si="40"/>
        <v>insert into ins_premium_det (premium_rcv_code,assorted_code, rec_amount,premium_rcv_detail_code,remaining_amt, payrec, mode_code,coinsurance_code,class_cd,it_remarks) values</v>
      </c>
      <c r="G692" s="11" t="str">
        <f t="shared" si="42"/>
        <v>('28Nov240101','040000147553','0',(select max(to_number(i.premium_rcv_detail_code))+1
from ins_premium_det i),'0','0','02', '11000003','00','Request by Mr. Omair Ali 29-Nov-2024');</v>
      </c>
      <c r="H692" s="12" t="str">
        <f t="shared" si="43"/>
        <v>insert into ins_premium_det (premium_rcv_code,assorted_code, rec_amount,premium_rcv_detail_code,remaining_amt, payrec, mode_code,coinsurance_code,class_cd,it_remarks) values('28Nov240101','040000147553','0',(select max(to_number(i.premium_rcv_detail_code))+1
from ins_premium_det i),'0','0','02', '11000003','00','Request by Mr. Omair Ali 29-Nov-2024');</v>
      </c>
    </row>
    <row r="693" spans="1:8" ht="105" x14ac:dyDescent="0.25">
      <c r="A693" t="s">
        <v>693</v>
      </c>
      <c r="B693" s="8" t="str">
        <f>VLOOKUP(A693,assortedcode!B:C,2,0)</f>
        <v>040000143542</v>
      </c>
      <c r="C693" s="1">
        <v>0</v>
      </c>
      <c r="D693" s="9">
        <f t="shared" si="41"/>
        <v>0</v>
      </c>
      <c r="E693" s="7" t="s">
        <v>8345</v>
      </c>
      <c r="F693" s="10" t="str">
        <f t="shared" si="40"/>
        <v>insert into ins_premium_det (premium_rcv_code,assorted_code, rec_amount,premium_rcv_detail_code,remaining_amt, payrec, mode_code,coinsurance_code,class_cd,it_remarks) values</v>
      </c>
      <c r="G693" s="11" t="str">
        <f t="shared" si="42"/>
        <v>('28Nov240101','040000143542','0',(select max(to_number(i.premium_rcv_detail_code))+1
from ins_premium_det i),'0','0','02', '11000003','00','Request by Mr. Omair Ali 29-Nov-2024');</v>
      </c>
      <c r="H693" s="12" t="str">
        <f t="shared" si="43"/>
        <v>insert into ins_premium_det (premium_rcv_code,assorted_code, rec_amount,premium_rcv_detail_code,remaining_amt, payrec, mode_code,coinsurance_code,class_cd,it_remarks) values('28Nov240101','040000143542','0',(select max(to_number(i.premium_rcv_detail_code))+1
from ins_premium_det i),'0','0','02', '11000003','00','Request by Mr. Omair Ali 29-Nov-2024');</v>
      </c>
    </row>
    <row r="694" spans="1:8" ht="105" x14ac:dyDescent="0.25">
      <c r="A694" t="s">
        <v>694</v>
      </c>
      <c r="B694" s="8" t="str">
        <f>VLOOKUP(A694,assortedcode!B:C,2,0)</f>
        <v>040000147771</v>
      </c>
      <c r="C694" s="1">
        <v>0</v>
      </c>
      <c r="D694" s="9">
        <f t="shared" si="41"/>
        <v>0</v>
      </c>
      <c r="E694" s="7" t="s">
        <v>8345</v>
      </c>
      <c r="F694" s="10" t="str">
        <f t="shared" si="40"/>
        <v>insert into ins_premium_det (premium_rcv_code,assorted_code, rec_amount,premium_rcv_detail_code,remaining_amt, payrec, mode_code,coinsurance_code,class_cd,it_remarks) values</v>
      </c>
      <c r="G694" s="11" t="str">
        <f t="shared" si="42"/>
        <v>('28Nov240101','040000147771','0',(select max(to_number(i.premium_rcv_detail_code))+1
from ins_premium_det i),'0','0','02', '11000003','00','Request by Mr. Omair Ali 29-Nov-2024');</v>
      </c>
      <c r="H694" s="12" t="str">
        <f t="shared" si="43"/>
        <v>insert into ins_premium_det (premium_rcv_code,assorted_code, rec_amount,premium_rcv_detail_code,remaining_amt, payrec, mode_code,coinsurance_code,class_cd,it_remarks) values('28Nov240101','040000147771','0',(select max(to_number(i.premium_rcv_detail_code))+1
from ins_premium_det i),'0','0','02', '11000003','00','Request by Mr. Omair Ali 29-Nov-2024');</v>
      </c>
    </row>
    <row r="695" spans="1:8" ht="105" x14ac:dyDescent="0.25">
      <c r="A695" t="s">
        <v>695</v>
      </c>
      <c r="B695" s="8" t="str">
        <f>VLOOKUP(A695,assortedcode!B:C,2,0)</f>
        <v>040000143546</v>
      </c>
      <c r="C695" s="1">
        <v>0</v>
      </c>
      <c r="D695" s="9">
        <f t="shared" si="41"/>
        <v>0</v>
      </c>
      <c r="E695" s="7" t="s">
        <v>8345</v>
      </c>
      <c r="F695" s="10" t="str">
        <f t="shared" si="40"/>
        <v>insert into ins_premium_det (premium_rcv_code,assorted_code, rec_amount,premium_rcv_detail_code,remaining_amt, payrec, mode_code,coinsurance_code,class_cd,it_remarks) values</v>
      </c>
      <c r="G695" s="11" t="str">
        <f t="shared" si="42"/>
        <v>('28Nov240101','040000143546','0',(select max(to_number(i.premium_rcv_detail_code))+1
from ins_premium_det i),'0','0','02', '11000003','00','Request by Mr. Omair Ali 29-Nov-2024');</v>
      </c>
      <c r="H695" s="12" t="str">
        <f t="shared" si="43"/>
        <v>insert into ins_premium_det (premium_rcv_code,assorted_code, rec_amount,premium_rcv_detail_code,remaining_amt, payrec, mode_code,coinsurance_code,class_cd,it_remarks) values('28Nov240101','040000143546','0',(select max(to_number(i.premium_rcv_detail_code))+1
from ins_premium_det i),'0','0','02', '11000003','00','Request by Mr. Omair Ali 29-Nov-2024');</v>
      </c>
    </row>
    <row r="696" spans="1:8" ht="105" x14ac:dyDescent="0.25">
      <c r="A696" t="s">
        <v>696</v>
      </c>
      <c r="B696" s="8" t="str">
        <f>VLOOKUP(A696,assortedcode!B:C,2,0)</f>
        <v>040000147871</v>
      </c>
      <c r="C696" s="1">
        <v>0</v>
      </c>
      <c r="D696" s="9">
        <f t="shared" si="41"/>
        <v>0</v>
      </c>
      <c r="E696" s="7" t="s">
        <v>8345</v>
      </c>
      <c r="F696" s="10" t="str">
        <f t="shared" si="40"/>
        <v>insert into ins_premium_det (premium_rcv_code,assorted_code, rec_amount,premium_rcv_detail_code,remaining_amt, payrec, mode_code,coinsurance_code,class_cd,it_remarks) values</v>
      </c>
      <c r="G696" s="11" t="str">
        <f t="shared" si="42"/>
        <v>('28Nov240101','040000147871','0',(select max(to_number(i.premium_rcv_detail_code))+1
from ins_premium_det i),'0','0','02', '11000003','00','Request by Mr. Omair Ali 29-Nov-2024');</v>
      </c>
      <c r="H696" s="12" t="str">
        <f t="shared" si="43"/>
        <v>insert into ins_premium_det (premium_rcv_code,assorted_code, rec_amount,premium_rcv_detail_code,remaining_amt, payrec, mode_code,coinsurance_code,class_cd,it_remarks) values('28Nov240101','040000147871','0',(select max(to_number(i.premium_rcv_detail_code))+1
from ins_premium_det i),'0','0','02', '11000003','00','Request by Mr. Omair Ali 29-Nov-2024');</v>
      </c>
    </row>
    <row r="697" spans="1:8" ht="105" x14ac:dyDescent="0.25">
      <c r="A697" t="s">
        <v>697</v>
      </c>
      <c r="B697" s="8" t="str">
        <f>VLOOKUP(A697,assortedcode!B:C,2,0)</f>
        <v>040000143994</v>
      </c>
      <c r="C697" s="1">
        <v>0</v>
      </c>
      <c r="D697" s="9">
        <f t="shared" si="41"/>
        <v>0</v>
      </c>
      <c r="E697" s="7" t="s">
        <v>8345</v>
      </c>
      <c r="F697" s="10" t="str">
        <f t="shared" si="40"/>
        <v>insert into ins_premium_det (premium_rcv_code,assorted_code, rec_amount,premium_rcv_detail_code,remaining_amt, payrec, mode_code,coinsurance_code,class_cd,it_remarks) values</v>
      </c>
      <c r="G697" s="11" t="str">
        <f t="shared" si="42"/>
        <v>('28Nov240101','040000143994','0',(select max(to_number(i.premium_rcv_detail_code))+1
from ins_premium_det i),'0','0','02', '11000003','00','Request by Mr. Omair Ali 29-Nov-2024');</v>
      </c>
      <c r="H697" s="12" t="str">
        <f t="shared" si="43"/>
        <v>insert into ins_premium_det (premium_rcv_code,assorted_code, rec_amount,premium_rcv_detail_code,remaining_amt, payrec, mode_code,coinsurance_code,class_cd,it_remarks) values('28Nov240101','040000143994','0',(select max(to_number(i.premium_rcv_detail_code))+1
from ins_premium_det i),'0','0','02', '11000003','00','Request by Mr. Omair Ali 29-Nov-2024');</v>
      </c>
    </row>
    <row r="698" spans="1:8" ht="105" x14ac:dyDescent="0.25">
      <c r="A698" t="s">
        <v>698</v>
      </c>
      <c r="B698" s="8" t="str">
        <f>VLOOKUP(A698,assortedcode!B:C,2,0)</f>
        <v>040000147873</v>
      </c>
      <c r="C698" s="1">
        <v>0</v>
      </c>
      <c r="D698" s="9">
        <f t="shared" si="41"/>
        <v>0</v>
      </c>
      <c r="E698" s="7" t="s">
        <v>8345</v>
      </c>
      <c r="F698" s="10" t="str">
        <f t="shared" si="40"/>
        <v>insert into ins_premium_det (premium_rcv_code,assorted_code, rec_amount,premium_rcv_detail_code,remaining_amt, payrec, mode_code,coinsurance_code,class_cd,it_remarks) values</v>
      </c>
      <c r="G698" s="11" t="str">
        <f t="shared" si="42"/>
        <v>('28Nov240101','040000147873','0',(select max(to_number(i.premium_rcv_detail_code))+1
from ins_premium_det i),'0','0','02', '11000003','00','Request by Mr. Omair Ali 29-Nov-2024');</v>
      </c>
      <c r="H698" s="12" t="str">
        <f t="shared" si="43"/>
        <v>insert into ins_premium_det (premium_rcv_code,assorted_code, rec_amount,premium_rcv_detail_code,remaining_amt, payrec, mode_code,coinsurance_code,class_cd,it_remarks) values('28Nov240101','040000147873','0',(select max(to_number(i.premium_rcv_detail_code))+1
from ins_premium_det i),'0','0','02', '11000003','00','Request by Mr. Omair Ali 29-Nov-2024');</v>
      </c>
    </row>
    <row r="699" spans="1:8" ht="105" x14ac:dyDescent="0.25">
      <c r="A699" t="s">
        <v>699</v>
      </c>
      <c r="B699" s="8" t="str">
        <f>VLOOKUP(A699,assortedcode!B:C,2,0)</f>
        <v>040000112394</v>
      </c>
      <c r="C699" s="1">
        <v>0</v>
      </c>
      <c r="D699" s="9">
        <f t="shared" si="41"/>
        <v>0</v>
      </c>
      <c r="E699" s="7" t="s">
        <v>8345</v>
      </c>
      <c r="F699" s="10" t="str">
        <f t="shared" si="40"/>
        <v>insert into ins_premium_det (premium_rcv_code,assorted_code, rec_amount,premium_rcv_detail_code,remaining_amt, payrec, mode_code,coinsurance_code,class_cd,it_remarks) values</v>
      </c>
      <c r="G699" s="11" t="str">
        <f t="shared" si="42"/>
        <v>('28Nov240101','040000112394','0',(select max(to_number(i.premium_rcv_detail_code))+1
from ins_premium_det i),'0','0','02', '11000003','00','Request by Mr. Omair Ali 29-Nov-2024');</v>
      </c>
      <c r="H699" s="12" t="str">
        <f t="shared" si="43"/>
        <v>insert into ins_premium_det (premium_rcv_code,assorted_code, rec_amount,premium_rcv_detail_code,remaining_amt, payrec, mode_code,coinsurance_code,class_cd,it_remarks) values('28Nov240101','040000112394','0',(select max(to_number(i.premium_rcv_detail_code))+1
from ins_premium_det i),'0','0','02', '11000003','00','Request by Mr. Omair Ali 29-Nov-2024');</v>
      </c>
    </row>
    <row r="700" spans="1:8" ht="105" x14ac:dyDescent="0.25">
      <c r="A700" t="s">
        <v>700</v>
      </c>
      <c r="B700" s="8" t="str">
        <f>VLOOKUP(A700,assortedcode!B:C,2,0)</f>
        <v>040000147942</v>
      </c>
      <c r="C700" s="1">
        <v>0</v>
      </c>
      <c r="D700" s="9">
        <f t="shared" si="41"/>
        <v>0</v>
      </c>
      <c r="E700" s="7" t="s">
        <v>8345</v>
      </c>
      <c r="F700" s="10" t="str">
        <f t="shared" si="40"/>
        <v>insert into ins_premium_det (premium_rcv_code,assorted_code, rec_amount,premium_rcv_detail_code,remaining_amt, payrec, mode_code,coinsurance_code,class_cd,it_remarks) values</v>
      </c>
      <c r="G700" s="11" t="str">
        <f t="shared" si="42"/>
        <v>('28Nov240101','040000147942','0',(select max(to_number(i.premium_rcv_detail_code))+1
from ins_premium_det i),'0','0','02', '11000003','00','Request by Mr. Omair Ali 29-Nov-2024');</v>
      </c>
      <c r="H700" s="12" t="str">
        <f t="shared" si="43"/>
        <v>insert into ins_premium_det (premium_rcv_code,assorted_code, rec_amount,premium_rcv_detail_code,remaining_amt, payrec, mode_code,coinsurance_code,class_cd,it_remarks) values('28Nov240101','040000147942','0',(select max(to_number(i.premium_rcv_detail_code))+1
from ins_premium_det i),'0','0','02', '11000003','00','Request by Mr. Omair Ali 29-Nov-2024');</v>
      </c>
    </row>
    <row r="701" spans="1:8" ht="105" x14ac:dyDescent="0.25">
      <c r="A701" t="s">
        <v>701</v>
      </c>
      <c r="B701" s="8" t="str">
        <f>VLOOKUP(A701,assortedcode!B:C,2,0)</f>
        <v>040000113997</v>
      </c>
      <c r="C701" s="1">
        <v>0</v>
      </c>
      <c r="D701" s="9">
        <f t="shared" si="41"/>
        <v>0</v>
      </c>
      <c r="E701" s="7" t="s">
        <v>8345</v>
      </c>
      <c r="F701" s="10" t="str">
        <f t="shared" si="40"/>
        <v>insert into ins_premium_det (premium_rcv_code,assorted_code, rec_amount,premium_rcv_detail_code,remaining_amt, payrec, mode_code,coinsurance_code,class_cd,it_remarks) values</v>
      </c>
      <c r="G701" s="11" t="str">
        <f t="shared" si="42"/>
        <v>('28Nov240101','040000113997','0',(select max(to_number(i.premium_rcv_detail_code))+1
from ins_premium_det i),'0','0','02', '11000003','00','Request by Mr. Omair Ali 29-Nov-2024');</v>
      </c>
      <c r="H701" s="12" t="str">
        <f t="shared" si="43"/>
        <v>insert into ins_premium_det (premium_rcv_code,assorted_code, rec_amount,premium_rcv_detail_code,remaining_amt, payrec, mode_code,coinsurance_code,class_cd,it_remarks) values('28Nov240101','040000113997','0',(select max(to_number(i.premium_rcv_detail_code))+1
from ins_premium_det i),'0','0','02', '11000003','00','Request by Mr. Omair Ali 29-Nov-2024');</v>
      </c>
    </row>
    <row r="702" spans="1:8" ht="105" x14ac:dyDescent="0.25">
      <c r="A702" t="s">
        <v>702</v>
      </c>
      <c r="B702" s="8" t="str">
        <f>VLOOKUP(A702,assortedcode!B:C,2,0)</f>
        <v>040000148051</v>
      </c>
      <c r="C702" s="1">
        <v>0</v>
      </c>
      <c r="D702" s="9">
        <f t="shared" si="41"/>
        <v>0</v>
      </c>
      <c r="E702" s="7" t="s">
        <v>8345</v>
      </c>
      <c r="F702" s="10" t="str">
        <f t="shared" si="40"/>
        <v>insert into ins_premium_det (premium_rcv_code,assorted_code, rec_amount,premium_rcv_detail_code,remaining_amt, payrec, mode_code,coinsurance_code,class_cd,it_remarks) values</v>
      </c>
      <c r="G702" s="11" t="str">
        <f t="shared" si="42"/>
        <v>('28Nov240101','040000148051','0',(select max(to_number(i.premium_rcv_detail_code))+1
from ins_premium_det i),'0','0','02', '11000003','00','Request by Mr. Omair Ali 29-Nov-2024');</v>
      </c>
      <c r="H702" s="12" t="str">
        <f t="shared" si="43"/>
        <v>insert into ins_premium_det (premium_rcv_code,assorted_code, rec_amount,premium_rcv_detail_code,remaining_amt, payrec, mode_code,coinsurance_code,class_cd,it_remarks) values('28Nov240101','040000148051','0',(select max(to_number(i.premium_rcv_detail_code))+1
from ins_premium_det i),'0','0','02', '11000003','00','Request by Mr. Omair Ali 29-Nov-2024');</v>
      </c>
    </row>
    <row r="703" spans="1:8" ht="105" x14ac:dyDescent="0.25">
      <c r="A703" t="s">
        <v>703</v>
      </c>
      <c r="B703" s="8" t="str">
        <f>VLOOKUP(A703,assortedcode!B:C,2,0)</f>
        <v>040000115951</v>
      </c>
      <c r="C703" s="1">
        <v>0</v>
      </c>
      <c r="D703" s="9">
        <f t="shared" si="41"/>
        <v>0</v>
      </c>
      <c r="E703" s="7" t="s">
        <v>8345</v>
      </c>
      <c r="F703" s="10" t="str">
        <f t="shared" si="40"/>
        <v>insert into ins_premium_det (premium_rcv_code,assorted_code, rec_amount,premium_rcv_detail_code,remaining_amt, payrec, mode_code,coinsurance_code,class_cd,it_remarks) values</v>
      </c>
      <c r="G703" s="11" t="str">
        <f t="shared" si="42"/>
        <v>('28Nov240101','040000115951','0',(select max(to_number(i.premium_rcv_detail_code))+1
from ins_premium_det i),'0','0','02', '11000003','00','Request by Mr. Omair Ali 29-Nov-2024');</v>
      </c>
      <c r="H703" s="12" t="str">
        <f t="shared" si="43"/>
        <v>insert into ins_premium_det (premium_rcv_code,assorted_code, rec_amount,premium_rcv_detail_code,remaining_amt, payrec, mode_code,coinsurance_code,class_cd,it_remarks) values('28Nov240101','040000115951','0',(select max(to_number(i.premium_rcv_detail_code))+1
from ins_premium_det i),'0','0','02', '11000003','00','Request by Mr. Omair Ali 29-Nov-2024');</v>
      </c>
    </row>
    <row r="704" spans="1:8" ht="105" x14ac:dyDescent="0.25">
      <c r="A704" t="s">
        <v>704</v>
      </c>
      <c r="B704" s="8" t="str">
        <f>VLOOKUP(A704,assortedcode!B:C,2,0)</f>
        <v>040000148184</v>
      </c>
      <c r="C704" s="1">
        <v>0</v>
      </c>
      <c r="D704" s="9">
        <f t="shared" si="41"/>
        <v>0</v>
      </c>
      <c r="E704" s="7" t="s">
        <v>8345</v>
      </c>
      <c r="F704" s="10" t="str">
        <f t="shared" si="40"/>
        <v>insert into ins_premium_det (premium_rcv_code,assorted_code, rec_amount,premium_rcv_detail_code,remaining_amt, payrec, mode_code,coinsurance_code,class_cd,it_remarks) values</v>
      </c>
      <c r="G704" s="11" t="str">
        <f t="shared" si="42"/>
        <v>('28Nov240101','040000148184','0',(select max(to_number(i.premium_rcv_detail_code))+1
from ins_premium_det i),'0','0','02', '11000003','00','Request by Mr. Omair Ali 29-Nov-2024');</v>
      </c>
      <c r="H704" s="12" t="str">
        <f t="shared" si="43"/>
        <v>insert into ins_premium_det (premium_rcv_code,assorted_code, rec_amount,premium_rcv_detail_code,remaining_amt, payrec, mode_code,coinsurance_code,class_cd,it_remarks) values('28Nov240101','040000148184','0',(select max(to_number(i.premium_rcv_detail_code))+1
from ins_premium_det i),'0','0','02', '11000003','00','Request by Mr. Omair Ali 29-Nov-2024');</v>
      </c>
    </row>
    <row r="705" spans="1:8" ht="105" x14ac:dyDescent="0.25">
      <c r="A705" t="s">
        <v>705</v>
      </c>
      <c r="B705" s="8" t="str">
        <f>VLOOKUP(A705,assortedcode!B:C,2,0)</f>
        <v>040000116193</v>
      </c>
      <c r="C705" s="1">
        <v>0</v>
      </c>
      <c r="D705" s="9">
        <f t="shared" si="41"/>
        <v>0</v>
      </c>
      <c r="E705" s="7" t="s">
        <v>8345</v>
      </c>
      <c r="F705" s="10" t="str">
        <f t="shared" si="40"/>
        <v>insert into ins_premium_det (premium_rcv_code,assorted_code, rec_amount,premium_rcv_detail_code,remaining_amt, payrec, mode_code,coinsurance_code,class_cd,it_remarks) values</v>
      </c>
      <c r="G705" s="11" t="str">
        <f t="shared" si="42"/>
        <v>('28Nov240101','040000116193','0',(select max(to_number(i.premium_rcv_detail_code))+1
from ins_premium_det i),'0','0','02', '11000003','00','Request by Mr. Omair Ali 29-Nov-2024');</v>
      </c>
      <c r="H705" s="12" t="str">
        <f t="shared" si="43"/>
        <v>insert into ins_premium_det (premium_rcv_code,assorted_code, rec_amount,premium_rcv_detail_code,remaining_amt, payrec, mode_code,coinsurance_code,class_cd,it_remarks) values('28Nov240101','040000116193','0',(select max(to_number(i.premium_rcv_detail_code))+1
from ins_premium_det i),'0','0','02', '11000003','00','Request by Mr. Omair Ali 29-Nov-2024');</v>
      </c>
    </row>
    <row r="706" spans="1:8" ht="105" x14ac:dyDescent="0.25">
      <c r="A706" t="s">
        <v>706</v>
      </c>
      <c r="B706" s="8" t="str">
        <f>VLOOKUP(A706,assortedcode!B:C,2,0)</f>
        <v>040000148196</v>
      </c>
      <c r="C706" s="1">
        <v>0</v>
      </c>
      <c r="D706" s="9">
        <f t="shared" si="41"/>
        <v>0</v>
      </c>
      <c r="E706" s="7" t="s">
        <v>8345</v>
      </c>
      <c r="F706" s="10" t="str">
        <f t="shared" ref="F706:F769" si="44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706" s="11" t="str">
        <f t="shared" si="42"/>
        <v>('28Nov240101','040000148196','0',(select max(to_number(i.premium_rcv_detail_code))+1
from ins_premium_det i),'0','0','02', '11000003','00','Request by Mr. Omair Ali 29-Nov-2024');</v>
      </c>
      <c r="H706" s="12" t="str">
        <f t="shared" si="43"/>
        <v>insert into ins_premium_det (premium_rcv_code,assorted_code, rec_amount,premium_rcv_detail_code,remaining_amt, payrec, mode_code,coinsurance_code,class_cd,it_remarks) values('28Nov240101','040000148196','0',(select max(to_number(i.premium_rcv_detail_code))+1
from ins_premium_det i),'0','0','02', '11000003','00','Request by Mr. Omair Ali 29-Nov-2024');</v>
      </c>
    </row>
    <row r="707" spans="1:8" ht="105" x14ac:dyDescent="0.25">
      <c r="A707" t="s">
        <v>707</v>
      </c>
      <c r="B707" s="8" t="str">
        <f>VLOOKUP(A707,assortedcode!B:C,2,0)</f>
        <v>040000122868</v>
      </c>
      <c r="C707" s="1">
        <v>0</v>
      </c>
      <c r="D707" s="9">
        <f t="shared" ref="D707:D770" si="45">ROUND(C707,0)</f>
        <v>0</v>
      </c>
      <c r="E707" s="7" t="s">
        <v>8345</v>
      </c>
      <c r="F707" s="10" t="str">
        <f t="shared" si="44"/>
        <v>insert into ins_premium_det (premium_rcv_code,assorted_code, rec_amount,premium_rcv_detail_code,remaining_amt, payrec, mode_code,coinsurance_code,class_cd,it_remarks) values</v>
      </c>
      <c r="G707" s="11" t="str">
        <f t="shared" ref="G707:G770" si="46">"('"&amp;E707&amp;"','"&amp;B707&amp;"','"&amp;ROUND(D707,2)&amp;"',(select max(to_number(i.premium_rcv_detail_code))+1
from ins_premium_det i),'"&amp;D707&amp;"','"&amp;D707&amp;"','02', '11000003','00','Request by Mr. Omair Ali 29-Nov-2024');"</f>
        <v>('28Nov240101','040000122868','0',(select max(to_number(i.premium_rcv_detail_code))+1
from ins_premium_det i),'0','0','02', '11000003','00','Request by Mr. Omair Ali 29-Nov-2024');</v>
      </c>
      <c r="H707" s="12" t="str">
        <f t="shared" ref="H707:H770" si="47">F707&amp;G707</f>
        <v>insert into ins_premium_det (premium_rcv_code,assorted_code, rec_amount,premium_rcv_detail_code,remaining_amt, payrec, mode_code,coinsurance_code,class_cd,it_remarks) values('28Nov240101','040000122868','0',(select max(to_number(i.premium_rcv_detail_code))+1
from ins_premium_det i),'0','0','02', '11000003','00','Request by Mr. Omair Ali 29-Nov-2024');</v>
      </c>
    </row>
    <row r="708" spans="1:8" ht="105" x14ac:dyDescent="0.25">
      <c r="A708" t="s">
        <v>708</v>
      </c>
      <c r="B708" s="8" t="str">
        <f>VLOOKUP(A708,assortedcode!B:C,2,0)</f>
        <v>040000148200</v>
      </c>
      <c r="C708" s="1">
        <v>0</v>
      </c>
      <c r="D708" s="9">
        <f t="shared" si="45"/>
        <v>0</v>
      </c>
      <c r="E708" s="7" t="s">
        <v>8345</v>
      </c>
      <c r="F708" s="10" t="str">
        <f t="shared" si="44"/>
        <v>insert into ins_premium_det (premium_rcv_code,assorted_code, rec_amount,premium_rcv_detail_code,remaining_amt, payrec, mode_code,coinsurance_code,class_cd,it_remarks) values</v>
      </c>
      <c r="G708" s="11" t="str">
        <f t="shared" si="46"/>
        <v>('28Nov240101','040000148200','0',(select max(to_number(i.premium_rcv_detail_code))+1
from ins_premium_det i),'0','0','02', '11000003','00','Request by Mr. Omair Ali 29-Nov-2024');</v>
      </c>
      <c r="H708" s="12" t="str">
        <f t="shared" si="47"/>
        <v>insert into ins_premium_det (premium_rcv_code,assorted_code, rec_amount,premium_rcv_detail_code,remaining_amt, payrec, mode_code,coinsurance_code,class_cd,it_remarks) values('28Nov240101','040000148200','0',(select max(to_number(i.premium_rcv_detail_code))+1
from ins_premium_det i),'0','0','02', '11000003','00','Request by Mr. Omair Ali 29-Nov-2024');</v>
      </c>
    </row>
    <row r="709" spans="1:8" ht="105" x14ac:dyDescent="0.25">
      <c r="A709" t="s">
        <v>709</v>
      </c>
      <c r="B709" s="8" t="str">
        <f>VLOOKUP(A709,assortedcode!B:C,2,0)</f>
        <v>040000125277</v>
      </c>
      <c r="C709" s="1">
        <v>0</v>
      </c>
      <c r="D709" s="9">
        <f t="shared" si="45"/>
        <v>0</v>
      </c>
      <c r="E709" s="7" t="s">
        <v>8345</v>
      </c>
      <c r="F709" s="10" t="str">
        <f t="shared" si="44"/>
        <v>insert into ins_premium_det (premium_rcv_code,assorted_code, rec_amount,premium_rcv_detail_code,remaining_amt, payrec, mode_code,coinsurance_code,class_cd,it_remarks) values</v>
      </c>
      <c r="G709" s="11" t="str">
        <f t="shared" si="46"/>
        <v>('28Nov240101','040000125277','0',(select max(to_number(i.premium_rcv_detail_code))+1
from ins_premium_det i),'0','0','02', '11000003','00','Request by Mr. Omair Ali 29-Nov-2024');</v>
      </c>
      <c r="H709" s="12" t="str">
        <f t="shared" si="47"/>
        <v>insert into ins_premium_det (premium_rcv_code,assorted_code, rec_amount,premium_rcv_detail_code,remaining_amt, payrec, mode_code,coinsurance_code,class_cd,it_remarks) values('28Nov240101','040000125277','0',(select max(to_number(i.premium_rcv_detail_code))+1
from ins_premium_det i),'0','0','02', '11000003','00','Request by Mr. Omair Ali 29-Nov-2024');</v>
      </c>
    </row>
    <row r="710" spans="1:8" ht="105" x14ac:dyDescent="0.25">
      <c r="A710" t="s">
        <v>710</v>
      </c>
      <c r="B710" s="8" t="str">
        <f>VLOOKUP(A710,assortedcode!B:C,2,0)</f>
        <v>040000148864</v>
      </c>
      <c r="C710" s="1">
        <v>0</v>
      </c>
      <c r="D710" s="9">
        <f t="shared" si="45"/>
        <v>0</v>
      </c>
      <c r="E710" s="7" t="s">
        <v>8345</v>
      </c>
      <c r="F710" s="10" t="str">
        <f t="shared" si="44"/>
        <v>insert into ins_premium_det (premium_rcv_code,assorted_code, rec_amount,premium_rcv_detail_code,remaining_amt, payrec, mode_code,coinsurance_code,class_cd,it_remarks) values</v>
      </c>
      <c r="G710" s="11" t="str">
        <f t="shared" si="46"/>
        <v>('28Nov240101','040000148864','0',(select max(to_number(i.premium_rcv_detail_code))+1
from ins_premium_det i),'0','0','02', '11000003','00','Request by Mr. Omair Ali 29-Nov-2024');</v>
      </c>
      <c r="H710" s="12" t="str">
        <f t="shared" si="47"/>
        <v>insert into ins_premium_det (premium_rcv_code,assorted_code, rec_amount,premium_rcv_detail_code,remaining_amt, payrec, mode_code,coinsurance_code,class_cd,it_remarks) values('28Nov240101','040000148864','0',(select max(to_number(i.premium_rcv_detail_code))+1
from ins_premium_det i),'0','0','02', '11000003','00','Request by Mr. Omair Ali 29-Nov-2024');</v>
      </c>
    </row>
    <row r="711" spans="1:8" ht="105" x14ac:dyDescent="0.25">
      <c r="A711" t="s">
        <v>711</v>
      </c>
      <c r="B711" s="8" t="str">
        <f>VLOOKUP(A711,assortedcode!B:C,2,0)</f>
        <v>040000134159</v>
      </c>
      <c r="C711" s="1">
        <v>0</v>
      </c>
      <c r="D711" s="9">
        <f t="shared" si="45"/>
        <v>0</v>
      </c>
      <c r="E711" s="7" t="s">
        <v>8345</v>
      </c>
      <c r="F711" s="10" t="str">
        <f t="shared" si="44"/>
        <v>insert into ins_premium_det (premium_rcv_code,assorted_code, rec_amount,premium_rcv_detail_code,remaining_amt, payrec, mode_code,coinsurance_code,class_cd,it_remarks) values</v>
      </c>
      <c r="G711" s="11" t="str">
        <f t="shared" si="46"/>
        <v>('28Nov240101','040000134159','0',(select max(to_number(i.premium_rcv_detail_code))+1
from ins_premium_det i),'0','0','02', '11000003','00','Request by Mr. Omair Ali 29-Nov-2024');</v>
      </c>
      <c r="H711" s="12" t="str">
        <f t="shared" si="47"/>
        <v>insert into ins_premium_det (premium_rcv_code,assorted_code, rec_amount,premium_rcv_detail_code,remaining_amt, payrec, mode_code,coinsurance_code,class_cd,it_remarks) values('28Nov240101','040000134159','0',(select max(to_number(i.premium_rcv_detail_code))+1
from ins_premium_det i),'0','0','02', '11000003','00','Request by Mr. Omair Ali 29-Nov-2024');</v>
      </c>
    </row>
    <row r="712" spans="1:8" ht="105" x14ac:dyDescent="0.25">
      <c r="A712" t="s">
        <v>712</v>
      </c>
      <c r="B712" s="8" t="str">
        <f>VLOOKUP(A712,assortedcode!B:C,2,0)</f>
        <v>040000148966</v>
      </c>
      <c r="C712" s="1">
        <v>0</v>
      </c>
      <c r="D712" s="9">
        <f t="shared" si="45"/>
        <v>0</v>
      </c>
      <c r="E712" s="7" t="s">
        <v>8345</v>
      </c>
      <c r="F712" s="10" t="str">
        <f t="shared" si="44"/>
        <v>insert into ins_premium_det (premium_rcv_code,assorted_code, rec_amount,premium_rcv_detail_code,remaining_amt, payrec, mode_code,coinsurance_code,class_cd,it_remarks) values</v>
      </c>
      <c r="G712" s="11" t="str">
        <f t="shared" si="46"/>
        <v>('28Nov240101','040000148966','0',(select max(to_number(i.premium_rcv_detail_code))+1
from ins_premium_det i),'0','0','02', '11000003','00','Request by Mr. Omair Ali 29-Nov-2024');</v>
      </c>
      <c r="H712" s="12" t="str">
        <f t="shared" si="47"/>
        <v>insert into ins_premium_det (premium_rcv_code,assorted_code, rec_amount,premium_rcv_detail_code,remaining_amt, payrec, mode_code,coinsurance_code,class_cd,it_remarks) values('28Nov240101','040000148966','0',(select max(to_number(i.premium_rcv_detail_code))+1
from ins_premium_det i),'0','0','02', '11000003','00','Request by Mr. Omair Ali 29-Nov-2024');</v>
      </c>
    </row>
    <row r="713" spans="1:8" ht="105" x14ac:dyDescent="0.25">
      <c r="A713" t="s">
        <v>713</v>
      </c>
      <c r="B713" s="8" t="str">
        <f>VLOOKUP(A713,assortedcode!B:C,2,0)</f>
        <v>040000135023</v>
      </c>
      <c r="C713" s="1">
        <v>0</v>
      </c>
      <c r="D713" s="9">
        <f t="shared" si="45"/>
        <v>0</v>
      </c>
      <c r="E713" s="7" t="s">
        <v>8345</v>
      </c>
      <c r="F713" s="10" t="str">
        <f t="shared" si="44"/>
        <v>insert into ins_premium_det (premium_rcv_code,assorted_code, rec_amount,premium_rcv_detail_code,remaining_amt, payrec, mode_code,coinsurance_code,class_cd,it_remarks) values</v>
      </c>
      <c r="G713" s="11" t="str">
        <f t="shared" si="46"/>
        <v>('28Nov240101','040000135023','0',(select max(to_number(i.premium_rcv_detail_code))+1
from ins_premium_det i),'0','0','02', '11000003','00','Request by Mr. Omair Ali 29-Nov-2024');</v>
      </c>
      <c r="H713" s="12" t="str">
        <f t="shared" si="47"/>
        <v>insert into ins_premium_det (premium_rcv_code,assorted_code, rec_amount,premium_rcv_detail_code,remaining_amt, payrec, mode_code,coinsurance_code,class_cd,it_remarks) values('28Nov240101','040000135023','0',(select max(to_number(i.premium_rcv_detail_code))+1
from ins_premium_det i),'0','0','02', '11000003','00','Request by Mr. Omair Ali 29-Nov-2024');</v>
      </c>
    </row>
    <row r="714" spans="1:8" ht="105" x14ac:dyDescent="0.25">
      <c r="A714" t="s">
        <v>714</v>
      </c>
      <c r="B714" s="8" t="str">
        <f>VLOOKUP(A714,assortedcode!B:C,2,0)</f>
        <v>040000149362</v>
      </c>
      <c r="C714" s="1">
        <v>0</v>
      </c>
      <c r="D714" s="9">
        <f t="shared" si="45"/>
        <v>0</v>
      </c>
      <c r="E714" s="7" t="s">
        <v>8345</v>
      </c>
      <c r="F714" s="10" t="str">
        <f t="shared" si="44"/>
        <v>insert into ins_premium_det (premium_rcv_code,assorted_code, rec_amount,premium_rcv_detail_code,remaining_amt, payrec, mode_code,coinsurance_code,class_cd,it_remarks) values</v>
      </c>
      <c r="G714" s="11" t="str">
        <f t="shared" si="46"/>
        <v>('28Nov240101','040000149362','0',(select max(to_number(i.premium_rcv_detail_code))+1
from ins_premium_det i),'0','0','02', '11000003','00','Request by Mr. Omair Ali 29-Nov-2024');</v>
      </c>
      <c r="H714" s="12" t="str">
        <f t="shared" si="47"/>
        <v>insert into ins_premium_det (premium_rcv_code,assorted_code, rec_amount,premium_rcv_detail_code,remaining_amt, payrec, mode_code,coinsurance_code,class_cd,it_remarks) values('28Nov240101','040000149362','0',(select max(to_number(i.premium_rcv_detail_code))+1
from ins_premium_det i),'0','0','02', '11000003','00','Request by Mr. Omair Ali 29-Nov-2024');</v>
      </c>
    </row>
    <row r="715" spans="1:8" ht="105" x14ac:dyDescent="0.25">
      <c r="A715" t="s">
        <v>715</v>
      </c>
      <c r="B715" s="8" t="str">
        <f>VLOOKUP(A715,assortedcode!B:C,2,0)</f>
        <v>040000135875</v>
      </c>
      <c r="C715" s="1">
        <v>0</v>
      </c>
      <c r="D715" s="9">
        <f t="shared" si="45"/>
        <v>0</v>
      </c>
      <c r="E715" s="7" t="s">
        <v>8345</v>
      </c>
      <c r="F715" s="10" t="str">
        <f t="shared" si="44"/>
        <v>insert into ins_premium_det (premium_rcv_code,assorted_code, rec_amount,premium_rcv_detail_code,remaining_amt, payrec, mode_code,coinsurance_code,class_cd,it_remarks) values</v>
      </c>
      <c r="G715" s="11" t="str">
        <f t="shared" si="46"/>
        <v>('28Nov240101','040000135875','0',(select max(to_number(i.premium_rcv_detail_code))+1
from ins_premium_det i),'0','0','02', '11000003','00','Request by Mr. Omair Ali 29-Nov-2024');</v>
      </c>
      <c r="H715" s="12" t="str">
        <f t="shared" si="47"/>
        <v>insert into ins_premium_det (premium_rcv_code,assorted_code, rec_amount,premium_rcv_detail_code,remaining_amt, payrec, mode_code,coinsurance_code,class_cd,it_remarks) values('28Nov240101','040000135875','0',(select max(to_number(i.premium_rcv_detail_code))+1
from ins_premium_det i),'0','0','02', '11000003','00','Request by Mr. Omair Ali 29-Nov-2024');</v>
      </c>
    </row>
    <row r="716" spans="1:8" ht="105" x14ac:dyDescent="0.25">
      <c r="A716" t="s">
        <v>716</v>
      </c>
      <c r="B716" s="8" t="str">
        <f>VLOOKUP(A716,assortedcode!B:C,2,0)</f>
        <v>040000150075</v>
      </c>
      <c r="C716" s="1">
        <v>0</v>
      </c>
      <c r="D716" s="9">
        <f t="shared" si="45"/>
        <v>0</v>
      </c>
      <c r="E716" s="7" t="s">
        <v>8345</v>
      </c>
      <c r="F716" s="10" t="str">
        <f t="shared" si="44"/>
        <v>insert into ins_premium_det (premium_rcv_code,assorted_code, rec_amount,premium_rcv_detail_code,remaining_amt, payrec, mode_code,coinsurance_code,class_cd,it_remarks) values</v>
      </c>
      <c r="G716" s="11" t="str">
        <f t="shared" si="46"/>
        <v>('28Nov240101','040000150075','0',(select max(to_number(i.premium_rcv_detail_code))+1
from ins_premium_det i),'0','0','02', '11000003','00','Request by Mr. Omair Ali 29-Nov-2024');</v>
      </c>
      <c r="H716" s="12" t="str">
        <f t="shared" si="47"/>
        <v>insert into ins_premium_det (premium_rcv_code,assorted_code, rec_amount,premium_rcv_detail_code,remaining_amt, payrec, mode_code,coinsurance_code,class_cd,it_remarks) values('28Nov240101','040000150075','0',(select max(to_number(i.premium_rcv_detail_code))+1
from ins_premium_det i),'0','0','02', '11000003','00','Request by Mr. Omair Ali 29-Nov-2024');</v>
      </c>
    </row>
    <row r="717" spans="1:8" ht="105" x14ac:dyDescent="0.25">
      <c r="A717" t="s">
        <v>717</v>
      </c>
      <c r="B717" s="8" t="str">
        <f>VLOOKUP(A717,assortedcode!B:C,2,0)</f>
        <v>040000136255</v>
      </c>
      <c r="C717" s="1">
        <v>0</v>
      </c>
      <c r="D717" s="9">
        <f t="shared" si="45"/>
        <v>0</v>
      </c>
      <c r="E717" s="7" t="s">
        <v>8345</v>
      </c>
      <c r="F717" s="10" t="str">
        <f t="shared" si="44"/>
        <v>insert into ins_premium_det (premium_rcv_code,assorted_code, rec_amount,premium_rcv_detail_code,remaining_amt, payrec, mode_code,coinsurance_code,class_cd,it_remarks) values</v>
      </c>
      <c r="G717" s="11" t="str">
        <f t="shared" si="46"/>
        <v>('28Nov240101','040000136255','0',(select max(to_number(i.premium_rcv_detail_code))+1
from ins_premium_det i),'0','0','02', '11000003','00','Request by Mr. Omair Ali 29-Nov-2024');</v>
      </c>
      <c r="H717" s="12" t="str">
        <f t="shared" si="47"/>
        <v>insert into ins_premium_det (premium_rcv_code,assorted_code, rec_amount,premium_rcv_detail_code,remaining_amt, payrec, mode_code,coinsurance_code,class_cd,it_remarks) values('28Nov240101','040000136255','0',(select max(to_number(i.premium_rcv_detail_code))+1
from ins_premium_det i),'0','0','02', '11000003','00','Request by Mr. Omair Ali 29-Nov-2024');</v>
      </c>
    </row>
    <row r="718" spans="1:8" ht="105" x14ac:dyDescent="0.25">
      <c r="A718" t="s">
        <v>718</v>
      </c>
      <c r="B718" s="8" t="str">
        <f>VLOOKUP(A718,assortedcode!B:C,2,0)</f>
        <v>040000150131</v>
      </c>
      <c r="C718" s="1">
        <v>0</v>
      </c>
      <c r="D718" s="9">
        <f t="shared" si="45"/>
        <v>0</v>
      </c>
      <c r="E718" s="7" t="s">
        <v>8345</v>
      </c>
      <c r="F718" s="10" t="str">
        <f t="shared" si="44"/>
        <v>insert into ins_premium_det (premium_rcv_code,assorted_code, rec_amount,premium_rcv_detail_code,remaining_amt, payrec, mode_code,coinsurance_code,class_cd,it_remarks) values</v>
      </c>
      <c r="G718" s="11" t="str">
        <f t="shared" si="46"/>
        <v>('28Nov240101','040000150131','0',(select max(to_number(i.premium_rcv_detail_code))+1
from ins_premium_det i),'0','0','02', '11000003','00','Request by Mr. Omair Ali 29-Nov-2024');</v>
      </c>
      <c r="H718" s="12" t="str">
        <f t="shared" si="47"/>
        <v>insert into ins_premium_det (premium_rcv_code,assorted_code, rec_amount,premium_rcv_detail_code,remaining_amt, payrec, mode_code,coinsurance_code,class_cd,it_remarks) values('28Nov240101','040000150131','0',(select max(to_number(i.premium_rcv_detail_code))+1
from ins_premium_det i),'0','0','02', '11000003','00','Request by Mr. Omair Ali 29-Nov-2024');</v>
      </c>
    </row>
    <row r="719" spans="1:8" ht="105" x14ac:dyDescent="0.25">
      <c r="A719" t="s">
        <v>719</v>
      </c>
      <c r="B719" s="8" t="str">
        <f>VLOOKUP(A719,assortedcode!B:C,2,0)</f>
        <v>040000136812</v>
      </c>
      <c r="C719" s="1">
        <v>0</v>
      </c>
      <c r="D719" s="9">
        <f t="shared" si="45"/>
        <v>0</v>
      </c>
      <c r="E719" s="7" t="s">
        <v>8345</v>
      </c>
      <c r="F719" s="10" t="str">
        <f t="shared" si="44"/>
        <v>insert into ins_premium_det (premium_rcv_code,assorted_code, rec_amount,premium_rcv_detail_code,remaining_amt, payrec, mode_code,coinsurance_code,class_cd,it_remarks) values</v>
      </c>
      <c r="G719" s="11" t="str">
        <f t="shared" si="46"/>
        <v>('28Nov240101','040000136812','0',(select max(to_number(i.premium_rcv_detail_code))+1
from ins_premium_det i),'0','0','02', '11000003','00','Request by Mr. Omair Ali 29-Nov-2024');</v>
      </c>
      <c r="H719" s="12" t="str">
        <f t="shared" si="47"/>
        <v>insert into ins_premium_det (premium_rcv_code,assorted_code, rec_amount,premium_rcv_detail_code,remaining_amt, payrec, mode_code,coinsurance_code,class_cd,it_remarks) values('28Nov240101','040000136812','0',(select max(to_number(i.premium_rcv_detail_code))+1
from ins_premium_det i),'0','0','02', '11000003','00','Request by Mr. Omair Ali 29-Nov-2024');</v>
      </c>
    </row>
    <row r="720" spans="1:8" ht="105" x14ac:dyDescent="0.25">
      <c r="A720" t="s">
        <v>720</v>
      </c>
      <c r="B720" s="8" t="str">
        <f>VLOOKUP(A720,assortedcode!B:C,2,0)</f>
        <v>040000150137</v>
      </c>
      <c r="C720" s="1">
        <v>0</v>
      </c>
      <c r="D720" s="9">
        <f t="shared" si="45"/>
        <v>0</v>
      </c>
      <c r="E720" s="7" t="s">
        <v>8345</v>
      </c>
      <c r="F720" s="10" t="str">
        <f t="shared" si="44"/>
        <v>insert into ins_premium_det (premium_rcv_code,assorted_code, rec_amount,premium_rcv_detail_code,remaining_amt, payrec, mode_code,coinsurance_code,class_cd,it_remarks) values</v>
      </c>
      <c r="G720" s="11" t="str">
        <f t="shared" si="46"/>
        <v>('28Nov240101','040000150137','0',(select max(to_number(i.premium_rcv_detail_code))+1
from ins_premium_det i),'0','0','02', '11000003','00','Request by Mr. Omair Ali 29-Nov-2024');</v>
      </c>
      <c r="H720" s="12" t="str">
        <f t="shared" si="47"/>
        <v>insert into ins_premium_det (premium_rcv_code,assorted_code, rec_amount,premium_rcv_detail_code,remaining_amt, payrec, mode_code,coinsurance_code,class_cd,it_remarks) values('28Nov240101','040000150137','0',(select max(to_number(i.premium_rcv_detail_code))+1
from ins_premium_det i),'0','0','02', '11000003','00','Request by Mr. Omair Ali 29-Nov-2024');</v>
      </c>
    </row>
    <row r="721" spans="1:8" ht="105" x14ac:dyDescent="0.25">
      <c r="A721" t="s">
        <v>721</v>
      </c>
      <c r="B721" s="8" t="str">
        <f>VLOOKUP(A721,assortedcode!B:C,2,0)</f>
        <v>040000137086</v>
      </c>
      <c r="C721" s="1">
        <v>0</v>
      </c>
      <c r="D721" s="9">
        <f t="shared" si="45"/>
        <v>0</v>
      </c>
      <c r="E721" s="7" t="s">
        <v>8345</v>
      </c>
      <c r="F721" s="10" t="str">
        <f t="shared" si="44"/>
        <v>insert into ins_premium_det (premium_rcv_code,assorted_code, rec_amount,premium_rcv_detail_code,remaining_amt, payrec, mode_code,coinsurance_code,class_cd,it_remarks) values</v>
      </c>
      <c r="G721" s="11" t="str">
        <f t="shared" si="46"/>
        <v>('28Nov240101','040000137086','0',(select max(to_number(i.premium_rcv_detail_code))+1
from ins_premium_det i),'0','0','02', '11000003','00','Request by Mr. Omair Ali 29-Nov-2024');</v>
      </c>
      <c r="H721" s="12" t="str">
        <f t="shared" si="47"/>
        <v>insert into ins_premium_det (premium_rcv_code,assorted_code, rec_amount,premium_rcv_detail_code,remaining_amt, payrec, mode_code,coinsurance_code,class_cd,it_remarks) values('28Nov240101','040000137086','0',(select max(to_number(i.premium_rcv_detail_code))+1
from ins_premium_det i),'0','0','02', '11000003','00','Request by Mr. Omair Ali 29-Nov-2024');</v>
      </c>
    </row>
    <row r="722" spans="1:8" ht="105" x14ac:dyDescent="0.25">
      <c r="A722" t="s">
        <v>722</v>
      </c>
      <c r="B722" s="8" t="str">
        <f>VLOOKUP(A722,assortedcode!B:C,2,0)</f>
        <v>040000150210</v>
      </c>
      <c r="C722" s="1">
        <v>0</v>
      </c>
      <c r="D722" s="9">
        <f t="shared" si="45"/>
        <v>0</v>
      </c>
      <c r="E722" s="7" t="s">
        <v>8345</v>
      </c>
      <c r="F722" s="10" t="str">
        <f t="shared" si="44"/>
        <v>insert into ins_premium_det (premium_rcv_code,assorted_code, rec_amount,premium_rcv_detail_code,remaining_amt, payrec, mode_code,coinsurance_code,class_cd,it_remarks) values</v>
      </c>
      <c r="G722" s="11" t="str">
        <f t="shared" si="46"/>
        <v>('28Nov240101','040000150210','0',(select max(to_number(i.premium_rcv_detail_code))+1
from ins_premium_det i),'0','0','02', '11000003','00','Request by Mr. Omair Ali 29-Nov-2024');</v>
      </c>
      <c r="H722" s="12" t="str">
        <f t="shared" si="47"/>
        <v>insert into ins_premium_det (premium_rcv_code,assorted_code, rec_amount,premium_rcv_detail_code,remaining_amt, payrec, mode_code,coinsurance_code,class_cd,it_remarks) values('28Nov240101','040000150210','0',(select max(to_number(i.premium_rcv_detail_code))+1
from ins_premium_det i),'0','0','02', '11000003','00','Request by Mr. Omair Ali 29-Nov-2024');</v>
      </c>
    </row>
    <row r="723" spans="1:8" ht="105" x14ac:dyDescent="0.25">
      <c r="A723" t="s">
        <v>723</v>
      </c>
      <c r="B723" s="8" t="str">
        <f>VLOOKUP(A723,assortedcode!B:C,2,0)</f>
        <v>040000137224</v>
      </c>
      <c r="C723" s="1">
        <v>0</v>
      </c>
      <c r="D723" s="9">
        <f t="shared" si="45"/>
        <v>0</v>
      </c>
      <c r="E723" s="7" t="s">
        <v>8345</v>
      </c>
      <c r="F723" s="10" t="str">
        <f t="shared" si="44"/>
        <v>insert into ins_premium_det (premium_rcv_code,assorted_code, rec_amount,premium_rcv_detail_code,remaining_amt, payrec, mode_code,coinsurance_code,class_cd,it_remarks) values</v>
      </c>
      <c r="G723" s="11" t="str">
        <f t="shared" si="46"/>
        <v>('28Nov240101','040000137224','0',(select max(to_number(i.premium_rcv_detail_code))+1
from ins_premium_det i),'0','0','02', '11000003','00','Request by Mr. Omair Ali 29-Nov-2024');</v>
      </c>
      <c r="H723" s="12" t="str">
        <f t="shared" si="47"/>
        <v>insert into ins_premium_det (premium_rcv_code,assorted_code, rec_amount,premium_rcv_detail_code,remaining_amt, payrec, mode_code,coinsurance_code,class_cd,it_remarks) values('28Nov240101','040000137224','0',(select max(to_number(i.premium_rcv_detail_code))+1
from ins_premium_det i),'0','0','02', '11000003','00','Request by Mr. Omair Ali 29-Nov-2024');</v>
      </c>
    </row>
    <row r="724" spans="1:8" ht="105" x14ac:dyDescent="0.25">
      <c r="A724" t="s">
        <v>724</v>
      </c>
      <c r="B724" s="8" t="str">
        <f>VLOOKUP(A724,assortedcode!B:C,2,0)</f>
        <v>040000150294</v>
      </c>
      <c r="C724" s="1">
        <v>0</v>
      </c>
      <c r="D724" s="9">
        <f t="shared" si="45"/>
        <v>0</v>
      </c>
      <c r="E724" s="7" t="s">
        <v>8345</v>
      </c>
      <c r="F724" s="10" t="str">
        <f t="shared" si="44"/>
        <v>insert into ins_premium_det (premium_rcv_code,assorted_code, rec_amount,premium_rcv_detail_code,remaining_amt, payrec, mode_code,coinsurance_code,class_cd,it_remarks) values</v>
      </c>
      <c r="G724" s="11" t="str">
        <f t="shared" si="46"/>
        <v>('28Nov240101','040000150294','0',(select max(to_number(i.premium_rcv_detail_code))+1
from ins_premium_det i),'0','0','02', '11000003','00','Request by Mr. Omair Ali 29-Nov-2024');</v>
      </c>
      <c r="H724" s="12" t="str">
        <f t="shared" si="47"/>
        <v>insert into ins_premium_det (premium_rcv_code,assorted_code, rec_amount,premium_rcv_detail_code,remaining_amt, payrec, mode_code,coinsurance_code,class_cd,it_remarks) values('28Nov240101','040000150294','0',(select max(to_number(i.premium_rcv_detail_code))+1
from ins_premium_det i),'0','0','02', '11000003','00','Request by Mr. Omair Ali 29-Nov-2024');</v>
      </c>
    </row>
    <row r="725" spans="1:8" ht="105" x14ac:dyDescent="0.25">
      <c r="A725" t="s">
        <v>725</v>
      </c>
      <c r="B725" s="8" t="str">
        <f>VLOOKUP(A725,assortedcode!B:C,2,0)</f>
        <v>040000137319</v>
      </c>
      <c r="C725" s="1">
        <v>0</v>
      </c>
      <c r="D725" s="9">
        <f t="shared" si="45"/>
        <v>0</v>
      </c>
      <c r="E725" s="7" t="s">
        <v>8345</v>
      </c>
      <c r="F725" s="10" t="str">
        <f t="shared" si="44"/>
        <v>insert into ins_premium_det (premium_rcv_code,assorted_code, rec_amount,premium_rcv_detail_code,remaining_amt, payrec, mode_code,coinsurance_code,class_cd,it_remarks) values</v>
      </c>
      <c r="G725" s="11" t="str">
        <f t="shared" si="46"/>
        <v>('28Nov240101','040000137319','0',(select max(to_number(i.premium_rcv_detail_code))+1
from ins_premium_det i),'0','0','02', '11000003','00','Request by Mr. Omair Ali 29-Nov-2024');</v>
      </c>
      <c r="H725" s="12" t="str">
        <f t="shared" si="47"/>
        <v>insert into ins_premium_det (premium_rcv_code,assorted_code, rec_amount,premium_rcv_detail_code,remaining_amt, payrec, mode_code,coinsurance_code,class_cd,it_remarks) values('28Nov240101','040000137319','0',(select max(to_number(i.premium_rcv_detail_code))+1
from ins_premium_det i),'0','0','02', '11000003','00','Request by Mr. Omair Ali 29-Nov-2024');</v>
      </c>
    </row>
    <row r="726" spans="1:8" ht="105" x14ac:dyDescent="0.25">
      <c r="A726" t="s">
        <v>726</v>
      </c>
      <c r="B726" s="8" t="str">
        <f>VLOOKUP(A726,assortedcode!B:C,2,0)</f>
        <v>040000150412</v>
      </c>
      <c r="C726" s="1">
        <v>0</v>
      </c>
      <c r="D726" s="9">
        <f t="shared" si="45"/>
        <v>0</v>
      </c>
      <c r="E726" s="7" t="s">
        <v>8345</v>
      </c>
      <c r="F726" s="10" t="str">
        <f t="shared" si="44"/>
        <v>insert into ins_premium_det (premium_rcv_code,assorted_code, rec_amount,premium_rcv_detail_code,remaining_amt, payrec, mode_code,coinsurance_code,class_cd,it_remarks) values</v>
      </c>
      <c r="G726" s="11" t="str">
        <f t="shared" si="46"/>
        <v>('28Nov240101','040000150412','0',(select max(to_number(i.premium_rcv_detail_code))+1
from ins_premium_det i),'0','0','02', '11000003','00','Request by Mr. Omair Ali 29-Nov-2024');</v>
      </c>
      <c r="H726" s="12" t="str">
        <f t="shared" si="47"/>
        <v>insert into ins_premium_det (premium_rcv_code,assorted_code, rec_amount,premium_rcv_detail_code,remaining_amt, payrec, mode_code,coinsurance_code,class_cd,it_remarks) values('28Nov240101','040000150412','0',(select max(to_number(i.premium_rcv_detail_code))+1
from ins_premium_det i),'0','0','02', '11000003','00','Request by Mr. Omair Ali 29-Nov-2024');</v>
      </c>
    </row>
    <row r="727" spans="1:8" ht="105" x14ac:dyDescent="0.25">
      <c r="A727" t="s">
        <v>727</v>
      </c>
      <c r="B727" s="8" t="str">
        <f>VLOOKUP(A727,assortedcode!B:C,2,0)</f>
        <v>040000138253</v>
      </c>
      <c r="C727" s="1">
        <v>0</v>
      </c>
      <c r="D727" s="9">
        <f t="shared" si="45"/>
        <v>0</v>
      </c>
      <c r="E727" s="7" t="s">
        <v>8345</v>
      </c>
      <c r="F727" s="10" t="str">
        <f t="shared" si="44"/>
        <v>insert into ins_premium_det (premium_rcv_code,assorted_code, rec_amount,premium_rcv_detail_code,remaining_amt, payrec, mode_code,coinsurance_code,class_cd,it_remarks) values</v>
      </c>
      <c r="G727" s="11" t="str">
        <f t="shared" si="46"/>
        <v>('28Nov240101','040000138253','0',(select max(to_number(i.premium_rcv_detail_code))+1
from ins_premium_det i),'0','0','02', '11000003','00','Request by Mr. Omair Ali 29-Nov-2024');</v>
      </c>
      <c r="H727" s="12" t="str">
        <f t="shared" si="47"/>
        <v>insert into ins_premium_det (premium_rcv_code,assorted_code, rec_amount,premium_rcv_detail_code,remaining_amt, payrec, mode_code,coinsurance_code,class_cd,it_remarks) values('28Nov240101','040000138253','0',(select max(to_number(i.premium_rcv_detail_code))+1
from ins_premium_det i),'0','0','02', '11000003','00','Request by Mr. Omair Ali 29-Nov-2024');</v>
      </c>
    </row>
    <row r="728" spans="1:8" ht="105" x14ac:dyDescent="0.25">
      <c r="A728" t="s">
        <v>728</v>
      </c>
      <c r="B728" s="8" t="str">
        <f>VLOOKUP(A728,assortedcode!B:C,2,0)</f>
        <v>040000150500</v>
      </c>
      <c r="C728" s="1">
        <v>0</v>
      </c>
      <c r="D728" s="9">
        <f t="shared" si="45"/>
        <v>0</v>
      </c>
      <c r="E728" s="7" t="s">
        <v>8345</v>
      </c>
      <c r="F728" s="10" t="str">
        <f t="shared" si="44"/>
        <v>insert into ins_premium_det (premium_rcv_code,assorted_code, rec_amount,premium_rcv_detail_code,remaining_amt, payrec, mode_code,coinsurance_code,class_cd,it_remarks) values</v>
      </c>
      <c r="G728" s="11" t="str">
        <f t="shared" si="46"/>
        <v>('28Nov240101','040000150500','0',(select max(to_number(i.premium_rcv_detail_code))+1
from ins_premium_det i),'0','0','02', '11000003','00','Request by Mr. Omair Ali 29-Nov-2024');</v>
      </c>
      <c r="H728" s="12" t="str">
        <f t="shared" si="47"/>
        <v>insert into ins_premium_det (premium_rcv_code,assorted_code, rec_amount,premium_rcv_detail_code,remaining_amt, payrec, mode_code,coinsurance_code,class_cd,it_remarks) values('28Nov240101','040000150500','0',(select max(to_number(i.premium_rcv_detail_code))+1
from ins_premium_det i),'0','0','02', '11000003','00','Request by Mr. Omair Ali 29-Nov-2024');</v>
      </c>
    </row>
    <row r="729" spans="1:8" ht="105" x14ac:dyDescent="0.25">
      <c r="A729" t="s">
        <v>729</v>
      </c>
      <c r="B729" s="8" t="str">
        <f>VLOOKUP(A729,assortedcode!B:C,2,0)</f>
        <v>040000138778</v>
      </c>
      <c r="C729" s="1">
        <v>0</v>
      </c>
      <c r="D729" s="9">
        <f t="shared" si="45"/>
        <v>0</v>
      </c>
      <c r="E729" s="7" t="s">
        <v>8345</v>
      </c>
      <c r="F729" s="10" t="str">
        <f t="shared" si="44"/>
        <v>insert into ins_premium_det (premium_rcv_code,assorted_code, rec_amount,premium_rcv_detail_code,remaining_amt, payrec, mode_code,coinsurance_code,class_cd,it_remarks) values</v>
      </c>
      <c r="G729" s="11" t="str">
        <f t="shared" si="46"/>
        <v>('28Nov240101','040000138778','0',(select max(to_number(i.premium_rcv_detail_code))+1
from ins_premium_det i),'0','0','02', '11000003','00','Request by Mr. Omair Ali 29-Nov-2024');</v>
      </c>
      <c r="H729" s="12" t="str">
        <f t="shared" si="47"/>
        <v>insert into ins_premium_det (premium_rcv_code,assorted_code, rec_amount,premium_rcv_detail_code,remaining_amt, payrec, mode_code,coinsurance_code,class_cd,it_remarks) values('28Nov240101','040000138778','0',(select max(to_number(i.premium_rcv_detail_code))+1
from ins_premium_det i),'0','0','02', '11000003','00','Request by Mr. Omair Ali 29-Nov-2024');</v>
      </c>
    </row>
    <row r="730" spans="1:8" ht="105" x14ac:dyDescent="0.25">
      <c r="A730" t="s">
        <v>730</v>
      </c>
      <c r="B730" s="8" t="str">
        <f>VLOOKUP(A730,assortedcode!B:C,2,0)</f>
        <v>040000150752</v>
      </c>
      <c r="C730" s="1">
        <v>0</v>
      </c>
      <c r="D730" s="9">
        <f t="shared" si="45"/>
        <v>0</v>
      </c>
      <c r="E730" s="7" t="s">
        <v>8345</v>
      </c>
      <c r="F730" s="10" t="str">
        <f t="shared" si="44"/>
        <v>insert into ins_premium_det (premium_rcv_code,assorted_code, rec_amount,premium_rcv_detail_code,remaining_amt, payrec, mode_code,coinsurance_code,class_cd,it_remarks) values</v>
      </c>
      <c r="G730" s="11" t="str">
        <f t="shared" si="46"/>
        <v>('28Nov240101','040000150752','0',(select max(to_number(i.premium_rcv_detail_code))+1
from ins_premium_det i),'0','0','02', '11000003','00','Request by Mr. Omair Ali 29-Nov-2024');</v>
      </c>
      <c r="H730" s="12" t="str">
        <f t="shared" si="47"/>
        <v>insert into ins_premium_det (premium_rcv_code,assorted_code, rec_amount,premium_rcv_detail_code,remaining_amt, payrec, mode_code,coinsurance_code,class_cd,it_remarks) values('28Nov240101','040000150752','0',(select max(to_number(i.premium_rcv_detail_code))+1
from ins_premium_det i),'0','0','02', '11000003','00','Request by Mr. Omair Ali 29-Nov-2024');</v>
      </c>
    </row>
    <row r="731" spans="1:8" ht="105" x14ac:dyDescent="0.25">
      <c r="A731" t="s">
        <v>731</v>
      </c>
      <c r="B731" s="8" t="str">
        <f>VLOOKUP(A731,assortedcode!B:C,2,0)</f>
        <v>040000139162</v>
      </c>
      <c r="C731" s="1">
        <v>0</v>
      </c>
      <c r="D731" s="9">
        <f t="shared" si="45"/>
        <v>0</v>
      </c>
      <c r="E731" s="7" t="s">
        <v>8345</v>
      </c>
      <c r="F731" s="10" t="str">
        <f t="shared" si="44"/>
        <v>insert into ins_premium_det (premium_rcv_code,assorted_code, rec_amount,premium_rcv_detail_code,remaining_amt, payrec, mode_code,coinsurance_code,class_cd,it_remarks) values</v>
      </c>
      <c r="G731" s="11" t="str">
        <f t="shared" si="46"/>
        <v>('28Nov240101','040000139162','0',(select max(to_number(i.premium_rcv_detail_code))+1
from ins_premium_det i),'0','0','02', '11000003','00','Request by Mr. Omair Ali 29-Nov-2024');</v>
      </c>
      <c r="H731" s="12" t="str">
        <f t="shared" si="47"/>
        <v>insert into ins_premium_det (premium_rcv_code,assorted_code, rec_amount,premium_rcv_detail_code,remaining_amt, payrec, mode_code,coinsurance_code,class_cd,it_remarks) values('28Nov240101','040000139162','0',(select max(to_number(i.premium_rcv_detail_code))+1
from ins_premium_det i),'0','0','02', '11000003','00','Request by Mr. Omair Ali 29-Nov-2024');</v>
      </c>
    </row>
    <row r="732" spans="1:8" ht="105" x14ac:dyDescent="0.25">
      <c r="A732" t="s">
        <v>732</v>
      </c>
      <c r="B732" s="8" t="str">
        <f>VLOOKUP(A732,assortedcode!B:C,2,0)</f>
        <v>040000150761</v>
      </c>
      <c r="C732" s="1">
        <v>0</v>
      </c>
      <c r="D732" s="9">
        <f t="shared" si="45"/>
        <v>0</v>
      </c>
      <c r="E732" s="7" t="s">
        <v>8345</v>
      </c>
      <c r="F732" s="10" t="str">
        <f t="shared" si="44"/>
        <v>insert into ins_premium_det (premium_rcv_code,assorted_code, rec_amount,premium_rcv_detail_code,remaining_amt, payrec, mode_code,coinsurance_code,class_cd,it_remarks) values</v>
      </c>
      <c r="G732" s="11" t="str">
        <f t="shared" si="46"/>
        <v>('28Nov240101','040000150761','0',(select max(to_number(i.premium_rcv_detail_code))+1
from ins_premium_det i),'0','0','02', '11000003','00','Request by Mr. Omair Ali 29-Nov-2024');</v>
      </c>
      <c r="H732" s="12" t="str">
        <f t="shared" si="47"/>
        <v>insert into ins_premium_det (premium_rcv_code,assorted_code, rec_amount,premium_rcv_detail_code,remaining_amt, payrec, mode_code,coinsurance_code,class_cd,it_remarks) values('28Nov240101','040000150761','0',(select max(to_number(i.premium_rcv_detail_code))+1
from ins_premium_det i),'0','0','02', '11000003','00','Request by Mr. Omair Ali 29-Nov-2024');</v>
      </c>
    </row>
    <row r="733" spans="1:8" ht="105" x14ac:dyDescent="0.25">
      <c r="A733" t="s">
        <v>733</v>
      </c>
      <c r="B733" s="8" t="str">
        <f>VLOOKUP(A733,assortedcode!B:C,2,0)</f>
        <v>040000139881</v>
      </c>
      <c r="C733" s="1">
        <v>0</v>
      </c>
      <c r="D733" s="9">
        <f t="shared" si="45"/>
        <v>0</v>
      </c>
      <c r="E733" s="7" t="s">
        <v>8345</v>
      </c>
      <c r="F733" s="10" t="str">
        <f t="shared" si="44"/>
        <v>insert into ins_premium_det (premium_rcv_code,assorted_code, rec_amount,premium_rcv_detail_code,remaining_amt, payrec, mode_code,coinsurance_code,class_cd,it_remarks) values</v>
      </c>
      <c r="G733" s="11" t="str">
        <f t="shared" si="46"/>
        <v>('28Nov240101','040000139881','0',(select max(to_number(i.premium_rcv_detail_code))+1
from ins_premium_det i),'0','0','02', '11000003','00','Request by Mr. Omair Ali 29-Nov-2024');</v>
      </c>
      <c r="H733" s="12" t="str">
        <f t="shared" si="47"/>
        <v>insert into ins_premium_det (premium_rcv_code,assorted_code, rec_amount,premium_rcv_detail_code,remaining_amt, payrec, mode_code,coinsurance_code,class_cd,it_remarks) values('28Nov240101','040000139881','0',(select max(to_number(i.premium_rcv_detail_code))+1
from ins_premium_det i),'0','0','02', '11000003','00','Request by Mr. Omair Ali 29-Nov-2024');</v>
      </c>
    </row>
    <row r="734" spans="1:8" ht="105" x14ac:dyDescent="0.25">
      <c r="A734" t="s">
        <v>734</v>
      </c>
      <c r="B734" s="8" t="str">
        <f>VLOOKUP(A734,assortedcode!B:C,2,0)</f>
        <v>040000150924</v>
      </c>
      <c r="C734" s="1">
        <v>0</v>
      </c>
      <c r="D734" s="9">
        <f t="shared" si="45"/>
        <v>0</v>
      </c>
      <c r="E734" s="7" t="s">
        <v>8345</v>
      </c>
      <c r="F734" s="10" t="str">
        <f t="shared" si="44"/>
        <v>insert into ins_premium_det (premium_rcv_code,assorted_code, rec_amount,premium_rcv_detail_code,remaining_amt, payrec, mode_code,coinsurance_code,class_cd,it_remarks) values</v>
      </c>
      <c r="G734" s="11" t="str">
        <f t="shared" si="46"/>
        <v>('28Nov240101','040000150924','0',(select max(to_number(i.premium_rcv_detail_code))+1
from ins_premium_det i),'0','0','02', '11000003','00','Request by Mr. Omair Ali 29-Nov-2024');</v>
      </c>
      <c r="H734" s="12" t="str">
        <f t="shared" si="47"/>
        <v>insert into ins_premium_det (premium_rcv_code,assorted_code, rec_amount,premium_rcv_detail_code,remaining_amt, payrec, mode_code,coinsurance_code,class_cd,it_remarks) values('28Nov240101','040000150924','0',(select max(to_number(i.premium_rcv_detail_code))+1
from ins_premium_det i),'0','0','02', '11000003','00','Request by Mr. Omair Ali 29-Nov-2024');</v>
      </c>
    </row>
    <row r="735" spans="1:8" ht="105" x14ac:dyDescent="0.25">
      <c r="A735" t="s">
        <v>735</v>
      </c>
      <c r="B735" s="8" t="str">
        <f>VLOOKUP(A735,assortedcode!B:C,2,0)</f>
        <v>040000140309</v>
      </c>
      <c r="C735" s="1">
        <v>0</v>
      </c>
      <c r="D735" s="9">
        <f t="shared" si="45"/>
        <v>0</v>
      </c>
      <c r="E735" s="7" t="s">
        <v>8345</v>
      </c>
      <c r="F735" s="10" t="str">
        <f t="shared" si="44"/>
        <v>insert into ins_premium_det (premium_rcv_code,assorted_code, rec_amount,premium_rcv_detail_code,remaining_amt, payrec, mode_code,coinsurance_code,class_cd,it_remarks) values</v>
      </c>
      <c r="G735" s="11" t="str">
        <f t="shared" si="46"/>
        <v>('28Nov240101','040000140309','0',(select max(to_number(i.premium_rcv_detail_code))+1
from ins_premium_det i),'0','0','02', '11000003','00','Request by Mr. Omair Ali 29-Nov-2024');</v>
      </c>
      <c r="H735" s="12" t="str">
        <f t="shared" si="47"/>
        <v>insert into ins_premium_det (premium_rcv_code,assorted_code, rec_amount,premium_rcv_detail_code,remaining_amt, payrec, mode_code,coinsurance_code,class_cd,it_remarks) values('28Nov240101','040000140309','0',(select max(to_number(i.premium_rcv_detail_code))+1
from ins_premium_det i),'0','0','02', '11000003','00','Request by Mr. Omair Ali 29-Nov-2024');</v>
      </c>
    </row>
    <row r="736" spans="1:8" ht="105" x14ac:dyDescent="0.25">
      <c r="A736" t="s">
        <v>736</v>
      </c>
      <c r="B736" s="8" t="str">
        <f>VLOOKUP(A736,assortedcode!B:C,2,0)</f>
        <v>040000150961</v>
      </c>
      <c r="C736" s="1">
        <v>0</v>
      </c>
      <c r="D736" s="9">
        <f t="shared" si="45"/>
        <v>0</v>
      </c>
      <c r="E736" s="7" t="s">
        <v>8345</v>
      </c>
      <c r="F736" s="10" t="str">
        <f t="shared" si="44"/>
        <v>insert into ins_premium_det (premium_rcv_code,assorted_code, rec_amount,premium_rcv_detail_code,remaining_amt, payrec, mode_code,coinsurance_code,class_cd,it_remarks) values</v>
      </c>
      <c r="G736" s="11" t="str">
        <f t="shared" si="46"/>
        <v>('28Nov240101','040000150961','0',(select max(to_number(i.premium_rcv_detail_code))+1
from ins_premium_det i),'0','0','02', '11000003','00','Request by Mr. Omair Ali 29-Nov-2024');</v>
      </c>
      <c r="H736" s="12" t="str">
        <f t="shared" si="47"/>
        <v>insert into ins_premium_det (premium_rcv_code,assorted_code, rec_amount,premium_rcv_detail_code,remaining_amt, payrec, mode_code,coinsurance_code,class_cd,it_remarks) values('28Nov240101','040000150961','0',(select max(to_number(i.premium_rcv_detail_code))+1
from ins_premium_det i),'0','0','02', '11000003','00','Request by Mr. Omair Ali 29-Nov-2024');</v>
      </c>
    </row>
    <row r="737" spans="1:8" ht="105" x14ac:dyDescent="0.25">
      <c r="A737" t="s">
        <v>737</v>
      </c>
      <c r="B737" s="8" t="str">
        <f>VLOOKUP(A737,assortedcode!B:C,2,0)</f>
        <v>040000141092</v>
      </c>
      <c r="C737" s="1">
        <v>0</v>
      </c>
      <c r="D737" s="9">
        <f t="shared" si="45"/>
        <v>0</v>
      </c>
      <c r="E737" s="7" t="s">
        <v>8345</v>
      </c>
      <c r="F737" s="10" t="str">
        <f t="shared" si="44"/>
        <v>insert into ins_premium_det (premium_rcv_code,assorted_code, rec_amount,premium_rcv_detail_code,remaining_amt, payrec, mode_code,coinsurance_code,class_cd,it_remarks) values</v>
      </c>
      <c r="G737" s="11" t="str">
        <f t="shared" si="46"/>
        <v>('28Nov240101','040000141092','0',(select max(to_number(i.premium_rcv_detail_code))+1
from ins_premium_det i),'0','0','02', '11000003','00','Request by Mr. Omair Ali 29-Nov-2024');</v>
      </c>
      <c r="H737" s="12" t="str">
        <f t="shared" si="47"/>
        <v>insert into ins_premium_det (premium_rcv_code,assorted_code, rec_amount,premium_rcv_detail_code,remaining_amt, payrec, mode_code,coinsurance_code,class_cd,it_remarks) values('28Nov240101','040000141092','0',(select max(to_number(i.premium_rcv_detail_code))+1
from ins_premium_det i),'0','0','02', '11000003','00','Request by Mr. Omair Ali 29-Nov-2024');</v>
      </c>
    </row>
    <row r="738" spans="1:8" ht="105" x14ac:dyDescent="0.25">
      <c r="A738" t="s">
        <v>738</v>
      </c>
      <c r="B738" s="8" t="str">
        <f>VLOOKUP(A738,assortedcode!B:C,2,0)</f>
        <v>040000150971</v>
      </c>
      <c r="C738" s="1">
        <v>0</v>
      </c>
      <c r="D738" s="9">
        <f t="shared" si="45"/>
        <v>0</v>
      </c>
      <c r="E738" s="7" t="s">
        <v>8345</v>
      </c>
      <c r="F738" s="10" t="str">
        <f t="shared" si="44"/>
        <v>insert into ins_premium_det (premium_rcv_code,assorted_code, rec_amount,premium_rcv_detail_code,remaining_amt, payrec, mode_code,coinsurance_code,class_cd,it_remarks) values</v>
      </c>
      <c r="G738" s="11" t="str">
        <f t="shared" si="46"/>
        <v>('28Nov240101','040000150971','0',(select max(to_number(i.premium_rcv_detail_code))+1
from ins_premium_det i),'0','0','02', '11000003','00','Request by Mr. Omair Ali 29-Nov-2024');</v>
      </c>
      <c r="H738" s="12" t="str">
        <f t="shared" si="47"/>
        <v>insert into ins_premium_det (premium_rcv_code,assorted_code, rec_amount,premium_rcv_detail_code,remaining_amt, payrec, mode_code,coinsurance_code,class_cd,it_remarks) values('28Nov240101','040000150971','0',(select max(to_number(i.premium_rcv_detail_code))+1
from ins_premium_det i),'0','0','02', '11000003','00','Request by Mr. Omair Ali 29-Nov-2024');</v>
      </c>
    </row>
    <row r="739" spans="1:8" ht="105" x14ac:dyDescent="0.25">
      <c r="A739" t="s">
        <v>739</v>
      </c>
      <c r="B739" s="8" t="str">
        <f>VLOOKUP(A739,assortedcode!B:C,2,0)</f>
        <v>040000141408</v>
      </c>
      <c r="C739" s="1">
        <v>0</v>
      </c>
      <c r="D739" s="9">
        <f t="shared" si="45"/>
        <v>0</v>
      </c>
      <c r="E739" s="7" t="s">
        <v>8345</v>
      </c>
      <c r="F739" s="10" t="str">
        <f t="shared" si="44"/>
        <v>insert into ins_premium_det (premium_rcv_code,assorted_code, rec_amount,premium_rcv_detail_code,remaining_amt, payrec, mode_code,coinsurance_code,class_cd,it_remarks) values</v>
      </c>
      <c r="G739" s="11" t="str">
        <f t="shared" si="46"/>
        <v>('28Nov240101','040000141408','0',(select max(to_number(i.premium_rcv_detail_code))+1
from ins_premium_det i),'0','0','02', '11000003','00','Request by Mr. Omair Ali 29-Nov-2024');</v>
      </c>
      <c r="H739" s="12" t="str">
        <f t="shared" si="47"/>
        <v>insert into ins_premium_det (premium_rcv_code,assorted_code, rec_amount,premium_rcv_detail_code,remaining_amt, payrec, mode_code,coinsurance_code,class_cd,it_remarks) values('28Nov240101','040000141408','0',(select max(to_number(i.premium_rcv_detail_code))+1
from ins_premium_det i),'0','0','02', '11000003','00','Request by Mr. Omair Ali 29-Nov-2024');</v>
      </c>
    </row>
    <row r="740" spans="1:8" ht="105" x14ac:dyDescent="0.25">
      <c r="A740" t="s">
        <v>740</v>
      </c>
      <c r="B740" s="8" t="str">
        <f>VLOOKUP(A740,assortedcode!B:C,2,0)</f>
        <v>040000151708</v>
      </c>
      <c r="C740" s="1">
        <v>0</v>
      </c>
      <c r="D740" s="9">
        <f t="shared" si="45"/>
        <v>0</v>
      </c>
      <c r="E740" s="7" t="s">
        <v>8345</v>
      </c>
      <c r="F740" s="10" t="str">
        <f t="shared" si="44"/>
        <v>insert into ins_premium_det (premium_rcv_code,assorted_code, rec_amount,premium_rcv_detail_code,remaining_amt, payrec, mode_code,coinsurance_code,class_cd,it_remarks) values</v>
      </c>
      <c r="G740" s="11" t="str">
        <f t="shared" si="46"/>
        <v>('28Nov240101','040000151708','0',(select max(to_number(i.premium_rcv_detail_code))+1
from ins_premium_det i),'0','0','02', '11000003','00','Request by Mr. Omair Ali 29-Nov-2024');</v>
      </c>
      <c r="H740" s="12" t="str">
        <f t="shared" si="47"/>
        <v>insert into ins_premium_det (premium_rcv_code,assorted_code, rec_amount,premium_rcv_detail_code,remaining_amt, payrec, mode_code,coinsurance_code,class_cd,it_remarks) values('28Nov240101','040000151708','0',(select max(to_number(i.premium_rcv_detail_code))+1
from ins_premium_det i),'0','0','02', '11000003','00','Request by Mr. Omair Ali 29-Nov-2024');</v>
      </c>
    </row>
    <row r="741" spans="1:8" ht="105" x14ac:dyDescent="0.25">
      <c r="A741" t="s">
        <v>741</v>
      </c>
      <c r="B741" s="8" t="str">
        <f>VLOOKUP(A741,assortedcode!B:C,2,0)</f>
        <v>040000141563</v>
      </c>
      <c r="C741" s="1">
        <v>0</v>
      </c>
      <c r="D741" s="9">
        <f t="shared" si="45"/>
        <v>0</v>
      </c>
      <c r="E741" s="7" t="s">
        <v>8345</v>
      </c>
      <c r="F741" s="10" t="str">
        <f t="shared" si="44"/>
        <v>insert into ins_premium_det (premium_rcv_code,assorted_code, rec_amount,premium_rcv_detail_code,remaining_amt, payrec, mode_code,coinsurance_code,class_cd,it_remarks) values</v>
      </c>
      <c r="G741" s="11" t="str">
        <f t="shared" si="46"/>
        <v>('28Nov240101','040000141563','0',(select max(to_number(i.premium_rcv_detail_code))+1
from ins_premium_det i),'0','0','02', '11000003','00','Request by Mr. Omair Ali 29-Nov-2024');</v>
      </c>
      <c r="H741" s="12" t="str">
        <f t="shared" si="47"/>
        <v>insert into ins_premium_det (premium_rcv_code,assorted_code, rec_amount,premium_rcv_detail_code,remaining_amt, payrec, mode_code,coinsurance_code,class_cd,it_remarks) values('28Nov240101','040000141563','0',(select max(to_number(i.premium_rcv_detail_code))+1
from ins_premium_det i),'0','0','02', '11000003','00','Request by Mr. Omair Ali 29-Nov-2024');</v>
      </c>
    </row>
    <row r="742" spans="1:8" ht="105" x14ac:dyDescent="0.25">
      <c r="A742" t="s">
        <v>742</v>
      </c>
      <c r="B742" s="8" t="str">
        <f>VLOOKUP(A742,assortedcode!B:C,2,0)</f>
        <v>040000152109</v>
      </c>
      <c r="C742" s="1">
        <v>0</v>
      </c>
      <c r="D742" s="9">
        <f t="shared" si="45"/>
        <v>0</v>
      </c>
      <c r="E742" s="7" t="s">
        <v>8345</v>
      </c>
      <c r="F742" s="10" t="str">
        <f t="shared" si="44"/>
        <v>insert into ins_premium_det (premium_rcv_code,assorted_code, rec_amount,premium_rcv_detail_code,remaining_amt, payrec, mode_code,coinsurance_code,class_cd,it_remarks) values</v>
      </c>
      <c r="G742" s="11" t="str">
        <f t="shared" si="46"/>
        <v>('28Nov240101','040000152109','0',(select max(to_number(i.premium_rcv_detail_code))+1
from ins_premium_det i),'0','0','02', '11000003','00','Request by Mr. Omair Ali 29-Nov-2024');</v>
      </c>
      <c r="H742" s="12" t="str">
        <f t="shared" si="47"/>
        <v>insert into ins_premium_det (premium_rcv_code,assorted_code, rec_amount,premium_rcv_detail_code,remaining_amt, payrec, mode_code,coinsurance_code,class_cd,it_remarks) values('28Nov240101','040000152109','0',(select max(to_number(i.premium_rcv_detail_code))+1
from ins_premium_det i),'0','0','02', '11000003','00','Request by Mr. Omair Ali 29-Nov-2024');</v>
      </c>
    </row>
    <row r="743" spans="1:8" ht="105" x14ac:dyDescent="0.25">
      <c r="A743" t="s">
        <v>743</v>
      </c>
      <c r="B743" s="8" t="str">
        <f>VLOOKUP(A743,assortedcode!B:C,2,0)</f>
        <v>040000141655</v>
      </c>
      <c r="C743" s="1">
        <v>0</v>
      </c>
      <c r="D743" s="9">
        <f t="shared" si="45"/>
        <v>0</v>
      </c>
      <c r="E743" s="7" t="s">
        <v>8345</v>
      </c>
      <c r="F743" s="10" t="str">
        <f t="shared" si="44"/>
        <v>insert into ins_premium_det (premium_rcv_code,assorted_code, rec_amount,premium_rcv_detail_code,remaining_amt, payrec, mode_code,coinsurance_code,class_cd,it_remarks) values</v>
      </c>
      <c r="G743" s="11" t="str">
        <f t="shared" si="46"/>
        <v>('28Nov240101','040000141655','0',(select max(to_number(i.premium_rcv_detail_code))+1
from ins_premium_det i),'0','0','02', '11000003','00','Request by Mr. Omair Ali 29-Nov-2024');</v>
      </c>
      <c r="H743" s="12" t="str">
        <f t="shared" si="47"/>
        <v>insert into ins_premium_det (premium_rcv_code,assorted_code, rec_amount,premium_rcv_detail_code,remaining_amt, payrec, mode_code,coinsurance_code,class_cd,it_remarks) values('28Nov240101','040000141655','0',(select max(to_number(i.premium_rcv_detail_code))+1
from ins_premium_det i),'0','0','02', '11000003','00','Request by Mr. Omair Ali 29-Nov-2024');</v>
      </c>
    </row>
    <row r="744" spans="1:8" ht="105" x14ac:dyDescent="0.25">
      <c r="A744" t="s">
        <v>744</v>
      </c>
      <c r="B744" s="8" t="str">
        <f>VLOOKUP(A744,assortedcode!B:C,2,0)</f>
        <v>040000152224</v>
      </c>
      <c r="C744" s="1">
        <v>0</v>
      </c>
      <c r="D744" s="9">
        <f t="shared" si="45"/>
        <v>0</v>
      </c>
      <c r="E744" s="7" t="s">
        <v>8345</v>
      </c>
      <c r="F744" s="10" t="str">
        <f t="shared" si="44"/>
        <v>insert into ins_premium_det (premium_rcv_code,assorted_code, rec_amount,premium_rcv_detail_code,remaining_amt, payrec, mode_code,coinsurance_code,class_cd,it_remarks) values</v>
      </c>
      <c r="G744" s="11" t="str">
        <f t="shared" si="46"/>
        <v>('28Nov240101','040000152224','0',(select max(to_number(i.premium_rcv_detail_code))+1
from ins_premium_det i),'0','0','02', '11000003','00','Request by Mr. Omair Ali 29-Nov-2024');</v>
      </c>
      <c r="H744" s="12" t="str">
        <f t="shared" si="47"/>
        <v>insert into ins_premium_det (premium_rcv_code,assorted_code, rec_amount,premium_rcv_detail_code,remaining_amt, payrec, mode_code,coinsurance_code,class_cd,it_remarks) values('28Nov240101','040000152224','0',(select max(to_number(i.premium_rcv_detail_code))+1
from ins_premium_det i),'0','0','02', '11000003','00','Request by Mr. Omair Ali 29-Nov-2024');</v>
      </c>
    </row>
    <row r="745" spans="1:8" ht="105" x14ac:dyDescent="0.25">
      <c r="A745" t="s">
        <v>745</v>
      </c>
      <c r="B745" s="8" t="str">
        <f>VLOOKUP(A745,assortedcode!B:C,2,0)</f>
        <v>040000141894</v>
      </c>
      <c r="C745" s="1">
        <v>0</v>
      </c>
      <c r="D745" s="9">
        <f t="shared" si="45"/>
        <v>0</v>
      </c>
      <c r="E745" s="7" t="s">
        <v>8345</v>
      </c>
      <c r="F745" s="10" t="str">
        <f t="shared" si="44"/>
        <v>insert into ins_premium_det (premium_rcv_code,assorted_code, rec_amount,premium_rcv_detail_code,remaining_amt, payrec, mode_code,coinsurance_code,class_cd,it_remarks) values</v>
      </c>
      <c r="G745" s="11" t="str">
        <f t="shared" si="46"/>
        <v>('28Nov240101','040000141894','0',(select max(to_number(i.premium_rcv_detail_code))+1
from ins_premium_det i),'0','0','02', '11000003','00','Request by Mr. Omair Ali 29-Nov-2024');</v>
      </c>
      <c r="H745" s="12" t="str">
        <f t="shared" si="47"/>
        <v>insert into ins_premium_det (premium_rcv_code,assorted_code, rec_amount,premium_rcv_detail_code,remaining_amt, payrec, mode_code,coinsurance_code,class_cd,it_remarks) values('28Nov240101','040000141894','0',(select max(to_number(i.premium_rcv_detail_code))+1
from ins_premium_det i),'0','0','02', '11000003','00','Request by Mr. Omair Ali 29-Nov-2024');</v>
      </c>
    </row>
    <row r="746" spans="1:8" ht="105" x14ac:dyDescent="0.25">
      <c r="A746" t="s">
        <v>746</v>
      </c>
      <c r="B746" s="8" t="str">
        <f>VLOOKUP(A746,assortedcode!B:C,2,0)</f>
        <v>040000152254</v>
      </c>
      <c r="C746" s="1">
        <v>0</v>
      </c>
      <c r="D746" s="9">
        <f t="shared" si="45"/>
        <v>0</v>
      </c>
      <c r="E746" s="7" t="s">
        <v>8345</v>
      </c>
      <c r="F746" s="10" t="str">
        <f t="shared" si="44"/>
        <v>insert into ins_premium_det (premium_rcv_code,assorted_code, rec_amount,premium_rcv_detail_code,remaining_amt, payrec, mode_code,coinsurance_code,class_cd,it_remarks) values</v>
      </c>
      <c r="G746" s="11" t="str">
        <f t="shared" si="46"/>
        <v>('28Nov240101','040000152254','0',(select max(to_number(i.premium_rcv_detail_code))+1
from ins_premium_det i),'0','0','02', '11000003','00','Request by Mr. Omair Ali 29-Nov-2024');</v>
      </c>
      <c r="H746" s="12" t="str">
        <f t="shared" si="47"/>
        <v>insert into ins_premium_det (premium_rcv_code,assorted_code, rec_amount,premium_rcv_detail_code,remaining_amt, payrec, mode_code,coinsurance_code,class_cd,it_remarks) values('28Nov240101','040000152254','0',(select max(to_number(i.premium_rcv_detail_code))+1
from ins_premium_det i),'0','0','02', '11000003','00','Request by Mr. Omair Ali 29-Nov-2024');</v>
      </c>
    </row>
    <row r="747" spans="1:8" ht="105" x14ac:dyDescent="0.25">
      <c r="A747" t="s">
        <v>747</v>
      </c>
      <c r="B747" s="8" t="str">
        <f>VLOOKUP(A747,assortedcode!B:C,2,0)</f>
        <v>040000141965</v>
      </c>
      <c r="C747" s="1">
        <v>0</v>
      </c>
      <c r="D747" s="9">
        <f t="shared" si="45"/>
        <v>0</v>
      </c>
      <c r="E747" s="7" t="s">
        <v>8345</v>
      </c>
      <c r="F747" s="10" t="str">
        <f t="shared" si="44"/>
        <v>insert into ins_premium_det (premium_rcv_code,assorted_code, rec_amount,premium_rcv_detail_code,remaining_amt, payrec, mode_code,coinsurance_code,class_cd,it_remarks) values</v>
      </c>
      <c r="G747" s="11" t="str">
        <f t="shared" si="46"/>
        <v>('28Nov240101','040000141965','0',(select max(to_number(i.premium_rcv_detail_code))+1
from ins_premium_det i),'0','0','02', '11000003','00','Request by Mr. Omair Ali 29-Nov-2024');</v>
      </c>
      <c r="H747" s="12" t="str">
        <f t="shared" si="47"/>
        <v>insert into ins_premium_det (premium_rcv_code,assorted_code, rec_amount,premium_rcv_detail_code,remaining_amt, payrec, mode_code,coinsurance_code,class_cd,it_remarks) values('28Nov240101','040000141965','0',(select max(to_number(i.premium_rcv_detail_code))+1
from ins_premium_det i),'0','0','02', '11000003','00','Request by Mr. Omair Ali 29-Nov-2024');</v>
      </c>
    </row>
    <row r="748" spans="1:8" ht="105" x14ac:dyDescent="0.25">
      <c r="A748" t="s">
        <v>748</v>
      </c>
      <c r="B748" s="8" t="str">
        <f>VLOOKUP(A748,assortedcode!B:C,2,0)</f>
        <v>040000152281</v>
      </c>
      <c r="C748" s="1">
        <v>0</v>
      </c>
      <c r="D748" s="9">
        <f t="shared" si="45"/>
        <v>0</v>
      </c>
      <c r="E748" s="7" t="s">
        <v>8345</v>
      </c>
      <c r="F748" s="10" t="str">
        <f t="shared" si="44"/>
        <v>insert into ins_premium_det (premium_rcv_code,assorted_code, rec_amount,premium_rcv_detail_code,remaining_amt, payrec, mode_code,coinsurance_code,class_cd,it_remarks) values</v>
      </c>
      <c r="G748" s="11" t="str">
        <f t="shared" si="46"/>
        <v>('28Nov240101','040000152281','0',(select max(to_number(i.premium_rcv_detail_code))+1
from ins_premium_det i),'0','0','02', '11000003','00','Request by Mr. Omair Ali 29-Nov-2024');</v>
      </c>
      <c r="H748" s="12" t="str">
        <f t="shared" si="47"/>
        <v>insert into ins_premium_det (premium_rcv_code,assorted_code, rec_amount,premium_rcv_detail_code,remaining_amt, payrec, mode_code,coinsurance_code,class_cd,it_remarks) values('28Nov240101','040000152281','0',(select max(to_number(i.premium_rcv_detail_code))+1
from ins_premium_det i),'0','0','02', '11000003','00','Request by Mr. Omair Ali 29-Nov-2024');</v>
      </c>
    </row>
    <row r="749" spans="1:8" ht="105" x14ac:dyDescent="0.25">
      <c r="A749" t="s">
        <v>749</v>
      </c>
      <c r="B749" s="8" t="str">
        <f>VLOOKUP(A749,assortedcode!B:C,2,0)</f>
        <v>040000142100</v>
      </c>
      <c r="C749" s="1">
        <v>0</v>
      </c>
      <c r="D749" s="9">
        <f t="shared" si="45"/>
        <v>0</v>
      </c>
      <c r="E749" s="7" t="s">
        <v>8345</v>
      </c>
      <c r="F749" s="10" t="str">
        <f t="shared" si="44"/>
        <v>insert into ins_premium_det (premium_rcv_code,assorted_code, rec_amount,premium_rcv_detail_code,remaining_amt, payrec, mode_code,coinsurance_code,class_cd,it_remarks) values</v>
      </c>
      <c r="G749" s="11" t="str">
        <f t="shared" si="46"/>
        <v>('28Nov240101','040000142100','0',(select max(to_number(i.premium_rcv_detail_code))+1
from ins_premium_det i),'0','0','02', '11000003','00','Request by Mr. Omair Ali 29-Nov-2024');</v>
      </c>
      <c r="H749" s="12" t="str">
        <f t="shared" si="47"/>
        <v>insert into ins_premium_det (premium_rcv_code,assorted_code, rec_amount,premium_rcv_detail_code,remaining_amt, payrec, mode_code,coinsurance_code,class_cd,it_remarks) values('28Nov240101','040000142100','0',(select max(to_number(i.premium_rcv_detail_code))+1
from ins_premium_det i),'0','0','02', '11000003','00','Request by Mr. Omair Ali 29-Nov-2024');</v>
      </c>
    </row>
    <row r="750" spans="1:8" ht="105" x14ac:dyDescent="0.25">
      <c r="A750" t="s">
        <v>750</v>
      </c>
      <c r="B750" s="8" t="str">
        <f>VLOOKUP(A750,assortedcode!B:C,2,0)</f>
        <v>040000152418</v>
      </c>
      <c r="C750" s="1">
        <v>0</v>
      </c>
      <c r="D750" s="9">
        <f t="shared" si="45"/>
        <v>0</v>
      </c>
      <c r="E750" s="7" t="s">
        <v>8345</v>
      </c>
      <c r="F750" s="10" t="str">
        <f t="shared" si="44"/>
        <v>insert into ins_premium_det (premium_rcv_code,assorted_code, rec_amount,premium_rcv_detail_code,remaining_amt, payrec, mode_code,coinsurance_code,class_cd,it_remarks) values</v>
      </c>
      <c r="G750" s="11" t="str">
        <f t="shared" si="46"/>
        <v>('28Nov240101','040000152418','0',(select max(to_number(i.premium_rcv_detail_code))+1
from ins_premium_det i),'0','0','02', '11000003','00','Request by Mr. Omair Ali 29-Nov-2024');</v>
      </c>
      <c r="H750" s="12" t="str">
        <f t="shared" si="47"/>
        <v>insert into ins_premium_det (premium_rcv_code,assorted_code, rec_amount,premium_rcv_detail_code,remaining_amt, payrec, mode_code,coinsurance_code,class_cd,it_remarks) values('28Nov240101','040000152418','0',(select max(to_number(i.premium_rcv_detail_code))+1
from ins_premium_det i),'0','0','02', '11000003','00','Request by Mr. Omair Ali 29-Nov-2024');</v>
      </c>
    </row>
    <row r="751" spans="1:8" ht="105" x14ac:dyDescent="0.25">
      <c r="A751" t="s">
        <v>751</v>
      </c>
      <c r="B751" s="8" t="str">
        <f>VLOOKUP(A751,assortedcode!B:C,2,0)</f>
        <v>040000142441</v>
      </c>
      <c r="C751" s="1">
        <v>0</v>
      </c>
      <c r="D751" s="9">
        <f t="shared" si="45"/>
        <v>0</v>
      </c>
      <c r="E751" s="7" t="s">
        <v>8345</v>
      </c>
      <c r="F751" s="10" t="str">
        <f t="shared" si="44"/>
        <v>insert into ins_premium_det (premium_rcv_code,assorted_code, rec_amount,premium_rcv_detail_code,remaining_amt, payrec, mode_code,coinsurance_code,class_cd,it_remarks) values</v>
      </c>
      <c r="G751" s="11" t="str">
        <f t="shared" si="46"/>
        <v>('28Nov240101','040000142441','0',(select max(to_number(i.premium_rcv_detail_code))+1
from ins_premium_det i),'0','0','02', '11000003','00','Request by Mr. Omair Ali 29-Nov-2024');</v>
      </c>
      <c r="H751" s="12" t="str">
        <f t="shared" si="47"/>
        <v>insert into ins_premium_det (premium_rcv_code,assorted_code, rec_amount,premium_rcv_detail_code,remaining_amt, payrec, mode_code,coinsurance_code,class_cd,it_remarks) values('28Nov240101','040000142441','0',(select max(to_number(i.premium_rcv_detail_code))+1
from ins_premium_det i),'0','0','02', '11000003','00','Request by Mr. Omair Ali 29-Nov-2024');</v>
      </c>
    </row>
    <row r="752" spans="1:8" ht="105" x14ac:dyDescent="0.25">
      <c r="A752" t="s">
        <v>752</v>
      </c>
      <c r="B752" s="8" t="str">
        <f>VLOOKUP(A752,assortedcode!B:C,2,0)</f>
        <v>040000152505</v>
      </c>
      <c r="C752" s="1">
        <v>0</v>
      </c>
      <c r="D752" s="9">
        <f t="shared" si="45"/>
        <v>0</v>
      </c>
      <c r="E752" s="7" t="s">
        <v>8345</v>
      </c>
      <c r="F752" s="10" t="str">
        <f t="shared" si="44"/>
        <v>insert into ins_premium_det (premium_rcv_code,assorted_code, rec_amount,premium_rcv_detail_code,remaining_amt, payrec, mode_code,coinsurance_code,class_cd,it_remarks) values</v>
      </c>
      <c r="G752" s="11" t="str">
        <f t="shared" si="46"/>
        <v>('28Nov240101','040000152505','0',(select max(to_number(i.premium_rcv_detail_code))+1
from ins_premium_det i),'0','0','02', '11000003','00','Request by Mr. Omair Ali 29-Nov-2024');</v>
      </c>
      <c r="H752" s="12" t="str">
        <f t="shared" si="47"/>
        <v>insert into ins_premium_det (premium_rcv_code,assorted_code, rec_amount,premium_rcv_detail_code,remaining_amt, payrec, mode_code,coinsurance_code,class_cd,it_remarks) values('28Nov240101','040000152505','0',(select max(to_number(i.premium_rcv_detail_code))+1
from ins_premium_det i),'0','0','02', '11000003','00','Request by Mr. Omair Ali 29-Nov-2024');</v>
      </c>
    </row>
    <row r="753" spans="1:8" ht="105" x14ac:dyDescent="0.25">
      <c r="A753" t="s">
        <v>753</v>
      </c>
      <c r="B753" s="8" t="str">
        <f>VLOOKUP(A753,assortedcode!B:C,2,0)</f>
        <v>040000142794</v>
      </c>
      <c r="C753" s="1">
        <v>0</v>
      </c>
      <c r="D753" s="9">
        <f t="shared" si="45"/>
        <v>0</v>
      </c>
      <c r="E753" s="7" t="s">
        <v>8345</v>
      </c>
      <c r="F753" s="10" t="str">
        <f t="shared" si="44"/>
        <v>insert into ins_premium_det (premium_rcv_code,assorted_code, rec_amount,premium_rcv_detail_code,remaining_amt, payrec, mode_code,coinsurance_code,class_cd,it_remarks) values</v>
      </c>
      <c r="G753" s="11" t="str">
        <f t="shared" si="46"/>
        <v>('28Nov240101','040000142794','0',(select max(to_number(i.premium_rcv_detail_code))+1
from ins_premium_det i),'0','0','02', '11000003','00','Request by Mr. Omair Ali 29-Nov-2024');</v>
      </c>
      <c r="H753" s="12" t="str">
        <f t="shared" si="47"/>
        <v>insert into ins_premium_det (premium_rcv_code,assorted_code, rec_amount,premium_rcv_detail_code,remaining_amt, payrec, mode_code,coinsurance_code,class_cd,it_remarks) values('28Nov240101','040000142794','0',(select max(to_number(i.premium_rcv_detail_code))+1
from ins_premium_det i),'0','0','02', '11000003','00','Request by Mr. Omair Ali 29-Nov-2024');</v>
      </c>
    </row>
    <row r="754" spans="1:8" ht="105" x14ac:dyDescent="0.25">
      <c r="A754" t="s">
        <v>754</v>
      </c>
      <c r="B754" s="8" t="str">
        <f>VLOOKUP(A754,assortedcode!B:C,2,0)</f>
        <v>040000152543</v>
      </c>
      <c r="C754" s="1">
        <v>0</v>
      </c>
      <c r="D754" s="9">
        <f t="shared" si="45"/>
        <v>0</v>
      </c>
      <c r="E754" s="7" t="s">
        <v>8345</v>
      </c>
      <c r="F754" s="10" t="str">
        <f t="shared" si="44"/>
        <v>insert into ins_premium_det (premium_rcv_code,assorted_code, rec_amount,premium_rcv_detail_code,remaining_amt, payrec, mode_code,coinsurance_code,class_cd,it_remarks) values</v>
      </c>
      <c r="G754" s="11" t="str">
        <f t="shared" si="46"/>
        <v>('28Nov240101','040000152543','0',(select max(to_number(i.premium_rcv_detail_code))+1
from ins_premium_det i),'0','0','02', '11000003','00','Request by Mr. Omair Ali 29-Nov-2024');</v>
      </c>
      <c r="H754" s="12" t="str">
        <f t="shared" si="47"/>
        <v>insert into ins_premium_det (premium_rcv_code,assorted_code, rec_amount,premium_rcv_detail_code,remaining_amt, payrec, mode_code,coinsurance_code,class_cd,it_remarks) values('28Nov240101','040000152543','0',(select max(to_number(i.premium_rcv_detail_code))+1
from ins_premium_det i),'0','0','02', '11000003','00','Request by Mr. Omair Ali 29-Nov-2024');</v>
      </c>
    </row>
    <row r="755" spans="1:8" ht="105" x14ac:dyDescent="0.25">
      <c r="A755" t="s">
        <v>755</v>
      </c>
      <c r="B755" s="8" t="str">
        <f>VLOOKUP(A755,assortedcode!B:C,2,0)</f>
        <v>040000142846</v>
      </c>
      <c r="C755" s="1">
        <v>0</v>
      </c>
      <c r="D755" s="9">
        <f t="shared" si="45"/>
        <v>0</v>
      </c>
      <c r="E755" s="7" t="s">
        <v>8345</v>
      </c>
      <c r="F755" s="10" t="str">
        <f t="shared" si="44"/>
        <v>insert into ins_premium_det (premium_rcv_code,assorted_code, rec_amount,premium_rcv_detail_code,remaining_amt, payrec, mode_code,coinsurance_code,class_cd,it_remarks) values</v>
      </c>
      <c r="G755" s="11" t="str">
        <f t="shared" si="46"/>
        <v>('28Nov240101','040000142846','0',(select max(to_number(i.premium_rcv_detail_code))+1
from ins_premium_det i),'0','0','02', '11000003','00','Request by Mr. Omair Ali 29-Nov-2024');</v>
      </c>
      <c r="H755" s="12" t="str">
        <f t="shared" si="47"/>
        <v>insert into ins_premium_det (premium_rcv_code,assorted_code, rec_amount,premium_rcv_detail_code,remaining_amt, payrec, mode_code,coinsurance_code,class_cd,it_remarks) values('28Nov240101','040000142846','0',(select max(to_number(i.premium_rcv_detail_code))+1
from ins_premium_det i),'0','0','02', '11000003','00','Request by Mr. Omair Ali 29-Nov-2024');</v>
      </c>
    </row>
    <row r="756" spans="1:8" ht="105" x14ac:dyDescent="0.25">
      <c r="A756" t="s">
        <v>756</v>
      </c>
      <c r="B756" s="8" t="str">
        <f>VLOOKUP(A756,assortedcode!B:C,2,0)</f>
        <v>040000152652</v>
      </c>
      <c r="C756" s="1">
        <v>0</v>
      </c>
      <c r="D756" s="9">
        <f t="shared" si="45"/>
        <v>0</v>
      </c>
      <c r="E756" s="7" t="s">
        <v>8345</v>
      </c>
      <c r="F756" s="10" t="str">
        <f t="shared" si="44"/>
        <v>insert into ins_premium_det (premium_rcv_code,assorted_code, rec_amount,premium_rcv_detail_code,remaining_amt, payrec, mode_code,coinsurance_code,class_cd,it_remarks) values</v>
      </c>
      <c r="G756" s="11" t="str">
        <f t="shared" si="46"/>
        <v>('28Nov240101','040000152652','0',(select max(to_number(i.premium_rcv_detail_code))+1
from ins_premium_det i),'0','0','02', '11000003','00','Request by Mr. Omair Ali 29-Nov-2024');</v>
      </c>
      <c r="H756" s="12" t="str">
        <f t="shared" si="47"/>
        <v>insert into ins_premium_det (premium_rcv_code,assorted_code, rec_amount,premium_rcv_detail_code,remaining_amt, payrec, mode_code,coinsurance_code,class_cd,it_remarks) values('28Nov240101','040000152652','0',(select max(to_number(i.premium_rcv_detail_code))+1
from ins_premium_det i),'0','0','02', '11000003','00','Request by Mr. Omair Ali 29-Nov-2024');</v>
      </c>
    </row>
    <row r="757" spans="1:8" ht="105" x14ac:dyDescent="0.25">
      <c r="A757" t="s">
        <v>757</v>
      </c>
      <c r="B757" s="8" t="str">
        <f>VLOOKUP(A757,assortedcode!B:C,2,0)</f>
        <v>040000143135</v>
      </c>
      <c r="C757" s="1">
        <v>0</v>
      </c>
      <c r="D757" s="9">
        <f t="shared" si="45"/>
        <v>0</v>
      </c>
      <c r="E757" s="7" t="s">
        <v>8345</v>
      </c>
      <c r="F757" s="10" t="str">
        <f t="shared" si="44"/>
        <v>insert into ins_premium_det (premium_rcv_code,assorted_code, rec_amount,premium_rcv_detail_code,remaining_amt, payrec, mode_code,coinsurance_code,class_cd,it_remarks) values</v>
      </c>
      <c r="G757" s="11" t="str">
        <f t="shared" si="46"/>
        <v>('28Nov240101','040000143135','0',(select max(to_number(i.premium_rcv_detail_code))+1
from ins_premium_det i),'0','0','02', '11000003','00','Request by Mr. Omair Ali 29-Nov-2024');</v>
      </c>
      <c r="H757" s="12" t="str">
        <f t="shared" si="47"/>
        <v>insert into ins_premium_det (premium_rcv_code,assorted_code, rec_amount,premium_rcv_detail_code,remaining_amt, payrec, mode_code,coinsurance_code,class_cd,it_remarks) values('28Nov240101','040000143135','0',(select max(to_number(i.premium_rcv_detail_code))+1
from ins_premium_det i),'0','0','02', '11000003','00','Request by Mr. Omair Ali 29-Nov-2024');</v>
      </c>
    </row>
    <row r="758" spans="1:8" ht="105" x14ac:dyDescent="0.25">
      <c r="A758" t="s">
        <v>758</v>
      </c>
      <c r="B758" s="8" t="str">
        <f>VLOOKUP(A758,assortedcode!B:C,2,0)</f>
        <v>040000152809</v>
      </c>
      <c r="C758" s="1">
        <v>0</v>
      </c>
      <c r="D758" s="9">
        <f t="shared" si="45"/>
        <v>0</v>
      </c>
      <c r="E758" s="7" t="s">
        <v>8345</v>
      </c>
      <c r="F758" s="10" t="str">
        <f t="shared" si="44"/>
        <v>insert into ins_premium_det (premium_rcv_code,assorted_code, rec_amount,premium_rcv_detail_code,remaining_amt, payrec, mode_code,coinsurance_code,class_cd,it_remarks) values</v>
      </c>
      <c r="G758" s="11" t="str">
        <f t="shared" si="46"/>
        <v>('28Nov240101','040000152809','0',(select max(to_number(i.premium_rcv_detail_code))+1
from ins_premium_det i),'0','0','02', '11000003','00','Request by Mr. Omair Ali 29-Nov-2024');</v>
      </c>
      <c r="H758" s="12" t="str">
        <f t="shared" si="47"/>
        <v>insert into ins_premium_det (premium_rcv_code,assorted_code, rec_amount,premium_rcv_detail_code,remaining_amt, payrec, mode_code,coinsurance_code,class_cd,it_remarks) values('28Nov240101','040000152809','0',(select max(to_number(i.premium_rcv_detail_code))+1
from ins_premium_det i),'0','0','02', '11000003','00','Request by Mr. Omair Ali 29-Nov-2024');</v>
      </c>
    </row>
    <row r="759" spans="1:8" ht="105" x14ac:dyDescent="0.25">
      <c r="A759" t="s">
        <v>759</v>
      </c>
      <c r="B759" s="8" t="str">
        <f>VLOOKUP(A759,assortedcode!B:C,2,0)</f>
        <v>040000143411</v>
      </c>
      <c r="C759" s="1">
        <v>0</v>
      </c>
      <c r="D759" s="9">
        <f t="shared" si="45"/>
        <v>0</v>
      </c>
      <c r="E759" s="7" t="s">
        <v>8345</v>
      </c>
      <c r="F759" s="10" t="str">
        <f t="shared" si="44"/>
        <v>insert into ins_premium_det (premium_rcv_code,assorted_code, rec_amount,premium_rcv_detail_code,remaining_amt, payrec, mode_code,coinsurance_code,class_cd,it_remarks) values</v>
      </c>
      <c r="G759" s="11" t="str">
        <f t="shared" si="46"/>
        <v>('28Nov240101','040000143411','0',(select max(to_number(i.premium_rcv_detail_code))+1
from ins_premium_det i),'0','0','02', '11000003','00','Request by Mr. Omair Ali 29-Nov-2024');</v>
      </c>
      <c r="H759" s="12" t="str">
        <f t="shared" si="47"/>
        <v>insert into ins_premium_det (premium_rcv_code,assorted_code, rec_amount,premium_rcv_detail_code,remaining_amt, payrec, mode_code,coinsurance_code,class_cd,it_remarks) values('28Nov240101','040000143411','0',(select max(to_number(i.premium_rcv_detail_code))+1
from ins_premium_det i),'0','0','02', '11000003','00','Request by Mr. Omair Ali 29-Nov-2024');</v>
      </c>
    </row>
    <row r="760" spans="1:8" ht="105" x14ac:dyDescent="0.25">
      <c r="A760" t="s">
        <v>760</v>
      </c>
      <c r="B760" s="8" t="str">
        <f>VLOOKUP(A760,assortedcode!B:C,2,0)</f>
        <v>040000152889</v>
      </c>
      <c r="C760" s="1">
        <v>0</v>
      </c>
      <c r="D760" s="9">
        <f t="shared" si="45"/>
        <v>0</v>
      </c>
      <c r="E760" s="7" t="s">
        <v>8345</v>
      </c>
      <c r="F760" s="10" t="str">
        <f t="shared" si="44"/>
        <v>insert into ins_premium_det (premium_rcv_code,assorted_code, rec_amount,premium_rcv_detail_code,remaining_amt, payrec, mode_code,coinsurance_code,class_cd,it_remarks) values</v>
      </c>
      <c r="G760" s="11" t="str">
        <f t="shared" si="46"/>
        <v>('28Nov240101','040000152889','0',(select max(to_number(i.premium_rcv_detail_code))+1
from ins_premium_det i),'0','0','02', '11000003','00','Request by Mr. Omair Ali 29-Nov-2024');</v>
      </c>
      <c r="H760" s="12" t="str">
        <f t="shared" si="47"/>
        <v>insert into ins_premium_det (premium_rcv_code,assorted_code, rec_amount,premium_rcv_detail_code,remaining_amt, payrec, mode_code,coinsurance_code,class_cd,it_remarks) values('28Nov240101','040000152889','0',(select max(to_number(i.premium_rcv_detail_code))+1
from ins_premium_det i),'0','0','02', '11000003','00','Request by Mr. Omair Ali 29-Nov-2024');</v>
      </c>
    </row>
    <row r="761" spans="1:8" ht="105" x14ac:dyDescent="0.25">
      <c r="A761" t="s">
        <v>761</v>
      </c>
      <c r="B761" s="8" t="str">
        <f>VLOOKUP(A761,assortedcode!B:C,2,0)</f>
        <v>040000143538</v>
      </c>
      <c r="C761" s="1">
        <v>0</v>
      </c>
      <c r="D761" s="9">
        <f t="shared" si="45"/>
        <v>0</v>
      </c>
      <c r="E761" s="7" t="s">
        <v>8345</v>
      </c>
      <c r="F761" s="10" t="str">
        <f t="shared" si="44"/>
        <v>insert into ins_premium_det (premium_rcv_code,assorted_code, rec_amount,premium_rcv_detail_code,remaining_amt, payrec, mode_code,coinsurance_code,class_cd,it_remarks) values</v>
      </c>
      <c r="G761" s="11" t="str">
        <f t="shared" si="46"/>
        <v>('28Nov240101','040000143538','0',(select max(to_number(i.premium_rcv_detail_code))+1
from ins_premium_det i),'0','0','02', '11000003','00','Request by Mr. Omair Ali 29-Nov-2024');</v>
      </c>
      <c r="H761" s="12" t="str">
        <f t="shared" si="47"/>
        <v>insert into ins_premium_det (premium_rcv_code,assorted_code, rec_amount,premium_rcv_detail_code,remaining_amt, payrec, mode_code,coinsurance_code,class_cd,it_remarks) values('28Nov240101','040000143538','0',(select max(to_number(i.premium_rcv_detail_code))+1
from ins_premium_det i),'0','0','02', '11000003','00','Request by Mr. Omair Ali 29-Nov-2024');</v>
      </c>
    </row>
    <row r="762" spans="1:8" ht="105" x14ac:dyDescent="0.25">
      <c r="A762" t="s">
        <v>762</v>
      </c>
      <c r="B762" s="8" t="str">
        <f>VLOOKUP(A762,assortedcode!B:C,2,0)</f>
        <v>040000152953</v>
      </c>
      <c r="C762" s="1">
        <v>0</v>
      </c>
      <c r="D762" s="9">
        <f t="shared" si="45"/>
        <v>0</v>
      </c>
      <c r="E762" s="7" t="s">
        <v>8345</v>
      </c>
      <c r="F762" s="10" t="str">
        <f t="shared" si="44"/>
        <v>insert into ins_premium_det (premium_rcv_code,assorted_code, rec_amount,premium_rcv_detail_code,remaining_amt, payrec, mode_code,coinsurance_code,class_cd,it_remarks) values</v>
      </c>
      <c r="G762" s="11" t="str">
        <f t="shared" si="46"/>
        <v>('28Nov240101','040000152953','0',(select max(to_number(i.premium_rcv_detail_code))+1
from ins_premium_det i),'0','0','02', '11000003','00','Request by Mr. Omair Ali 29-Nov-2024');</v>
      </c>
      <c r="H762" s="12" t="str">
        <f t="shared" si="47"/>
        <v>insert into ins_premium_det (premium_rcv_code,assorted_code, rec_amount,premium_rcv_detail_code,remaining_amt, payrec, mode_code,coinsurance_code,class_cd,it_remarks) values('28Nov240101','040000152953','0',(select max(to_number(i.premium_rcv_detail_code))+1
from ins_premium_det i),'0','0','02', '11000003','00','Request by Mr. Omair Ali 29-Nov-2024');</v>
      </c>
    </row>
    <row r="763" spans="1:8" ht="105" x14ac:dyDescent="0.25">
      <c r="A763" t="s">
        <v>763</v>
      </c>
      <c r="B763" s="8" t="str">
        <f>VLOOKUP(A763,assortedcode!B:C,2,0)</f>
        <v>070000158282</v>
      </c>
      <c r="C763" s="1">
        <v>0</v>
      </c>
      <c r="D763" s="9">
        <f t="shared" si="45"/>
        <v>0</v>
      </c>
      <c r="E763" s="7" t="s">
        <v>8345</v>
      </c>
      <c r="F763" s="10" t="str">
        <f t="shared" si="44"/>
        <v>insert into ins_premium_det (premium_rcv_code,assorted_code, rec_amount,premium_rcv_detail_code,remaining_amt, payrec, mode_code,coinsurance_code,class_cd,it_remarks) values</v>
      </c>
      <c r="G763" s="11" t="str">
        <f t="shared" si="46"/>
        <v>('28Nov240101','070000158282','0',(select max(to_number(i.premium_rcv_detail_code))+1
from ins_premium_det i),'0','0','02', '11000003','00','Request by Mr. Omair Ali 29-Nov-2024');</v>
      </c>
      <c r="H763" s="12" t="str">
        <f t="shared" si="47"/>
        <v>insert into ins_premium_det (premium_rcv_code,assorted_code, rec_amount,premium_rcv_detail_code,remaining_amt, payrec, mode_code,coinsurance_code,class_cd,it_remarks) values('28Nov240101','070000158282','0',(select max(to_number(i.premium_rcv_detail_code))+1
from ins_premium_det i),'0','0','02', '11000003','00','Request by Mr. Omair Ali 29-Nov-2024');</v>
      </c>
    </row>
    <row r="764" spans="1:8" ht="105" x14ac:dyDescent="0.25">
      <c r="A764" t="s">
        <v>764</v>
      </c>
      <c r="B764" s="8" t="str">
        <f>VLOOKUP(A764,assortedcode!B:C,2,0)</f>
        <v>040000152964</v>
      </c>
      <c r="C764" s="1">
        <v>0</v>
      </c>
      <c r="D764" s="9">
        <f t="shared" si="45"/>
        <v>0</v>
      </c>
      <c r="E764" s="7" t="s">
        <v>8345</v>
      </c>
      <c r="F764" s="10" t="str">
        <f t="shared" si="44"/>
        <v>insert into ins_premium_det (premium_rcv_code,assorted_code, rec_amount,premium_rcv_detail_code,remaining_amt, payrec, mode_code,coinsurance_code,class_cd,it_remarks) values</v>
      </c>
      <c r="G764" s="11" t="str">
        <f t="shared" si="46"/>
        <v>('28Nov240101','040000152964','0',(select max(to_number(i.premium_rcv_detail_code))+1
from ins_premium_det i),'0','0','02', '11000003','00','Request by Mr. Omair Ali 29-Nov-2024');</v>
      </c>
      <c r="H764" s="12" t="str">
        <f t="shared" si="47"/>
        <v>insert into ins_premium_det (premium_rcv_code,assorted_code, rec_amount,premium_rcv_detail_code,remaining_amt, payrec, mode_code,coinsurance_code,class_cd,it_remarks) values('28Nov240101','040000152964','0',(select max(to_number(i.premium_rcv_detail_code))+1
from ins_premium_det i),'0','0','02', '11000003','00','Request by Mr. Omair Ali 29-Nov-2024');</v>
      </c>
    </row>
    <row r="765" spans="1:8" ht="105" x14ac:dyDescent="0.25">
      <c r="A765" t="s">
        <v>765</v>
      </c>
      <c r="B765" s="8" t="str">
        <f>VLOOKUP(A765,assortedcode!B:C,2,0)</f>
        <v>070000158304</v>
      </c>
      <c r="C765" s="1">
        <v>0</v>
      </c>
      <c r="D765" s="9">
        <f t="shared" si="45"/>
        <v>0</v>
      </c>
      <c r="E765" s="7" t="s">
        <v>8345</v>
      </c>
      <c r="F765" s="10" t="str">
        <f t="shared" si="44"/>
        <v>insert into ins_premium_det (premium_rcv_code,assorted_code, rec_amount,premium_rcv_detail_code,remaining_amt, payrec, mode_code,coinsurance_code,class_cd,it_remarks) values</v>
      </c>
      <c r="G765" s="11" t="str">
        <f t="shared" si="46"/>
        <v>('28Nov240101','070000158304','0',(select max(to_number(i.premium_rcv_detail_code))+1
from ins_premium_det i),'0','0','02', '11000003','00','Request by Mr. Omair Ali 29-Nov-2024');</v>
      </c>
      <c r="H765" s="12" t="str">
        <f t="shared" si="47"/>
        <v>insert into ins_premium_det (premium_rcv_code,assorted_code, rec_amount,premium_rcv_detail_code,remaining_amt, payrec, mode_code,coinsurance_code,class_cd,it_remarks) values('28Nov240101','070000158304','0',(select max(to_number(i.premium_rcv_detail_code))+1
from ins_premium_det i),'0','0','02', '11000003','00','Request by Mr. Omair Ali 29-Nov-2024');</v>
      </c>
    </row>
    <row r="766" spans="1:8" ht="105" x14ac:dyDescent="0.25">
      <c r="A766" t="s">
        <v>766</v>
      </c>
      <c r="B766" s="8" t="str">
        <f>VLOOKUP(A766,assortedcode!B:C,2,0)</f>
        <v>040000153227</v>
      </c>
      <c r="C766" s="1">
        <v>0</v>
      </c>
      <c r="D766" s="9">
        <f t="shared" si="45"/>
        <v>0</v>
      </c>
      <c r="E766" s="7" t="s">
        <v>8345</v>
      </c>
      <c r="F766" s="10" t="str">
        <f t="shared" si="44"/>
        <v>insert into ins_premium_det (premium_rcv_code,assorted_code, rec_amount,premium_rcv_detail_code,remaining_amt, payrec, mode_code,coinsurance_code,class_cd,it_remarks) values</v>
      </c>
      <c r="G766" s="11" t="str">
        <f t="shared" si="46"/>
        <v>('28Nov240101','040000153227','0',(select max(to_number(i.premium_rcv_detail_code))+1
from ins_premium_det i),'0','0','02', '11000003','00','Request by Mr. Omair Ali 29-Nov-2024');</v>
      </c>
      <c r="H766" s="12" t="str">
        <f t="shared" si="47"/>
        <v>insert into ins_premium_det (premium_rcv_code,assorted_code, rec_amount,premium_rcv_detail_code,remaining_amt, payrec, mode_code,coinsurance_code,class_cd,it_remarks) values('28Nov240101','040000153227','0',(select max(to_number(i.premium_rcv_detail_code))+1
from ins_premium_det i),'0','0','02', '11000003','00','Request by Mr. Omair Ali 29-Nov-2024');</v>
      </c>
    </row>
    <row r="767" spans="1:8" ht="105" x14ac:dyDescent="0.25">
      <c r="A767" t="s">
        <v>767</v>
      </c>
      <c r="B767" s="8" t="str">
        <f>VLOOKUP(A767,assortedcode!B:C,2,0)</f>
        <v>070000158164</v>
      </c>
      <c r="C767" s="1">
        <v>0</v>
      </c>
      <c r="D767" s="9">
        <f t="shared" si="45"/>
        <v>0</v>
      </c>
      <c r="E767" s="7" t="s">
        <v>8345</v>
      </c>
      <c r="F767" s="10" t="str">
        <f t="shared" si="44"/>
        <v>insert into ins_premium_det (premium_rcv_code,assorted_code, rec_amount,premium_rcv_detail_code,remaining_amt, payrec, mode_code,coinsurance_code,class_cd,it_remarks) values</v>
      </c>
      <c r="G767" s="11" t="str">
        <f t="shared" si="46"/>
        <v>('28Nov240101','070000158164','0',(select max(to_number(i.premium_rcv_detail_code))+1
from ins_premium_det i),'0','0','02', '11000003','00','Request by Mr. Omair Ali 29-Nov-2024');</v>
      </c>
      <c r="H767" s="12" t="str">
        <f t="shared" si="47"/>
        <v>insert into ins_premium_det (premium_rcv_code,assorted_code, rec_amount,premium_rcv_detail_code,remaining_amt, payrec, mode_code,coinsurance_code,class_cd,it_remarks) values('28Nov240101','070000158164','0',(select max(to_number(i.premium_rcv_detail_code))+1
from ins_premium_det i),'0','0','02', '11000003','00','Request by Mr. Omair Ali 29-Nov-2024');</v>
      </c>
    </row>
    <row r="768" spans="1:8" ht="105" x14ac:dyDescent="0.25">
      <c r="A768" t="s">
        <v>768</v>
      </c>
      <c r="B768" s="8" t="str">
        <f>VLOOKUP(A768,assortedcode!B:C,2,0)</f>
        <v>040000153246</v>
      </c>
      <c r="C768" s="1">
        <v>0</v>
      </c>
      <c r="D768" s="9">
        <f t="shared" si="45"/>
        <v>0</v>
      </c>
      <c r="E768" s="7" t="s">
        <v>8345</v>
      </c>
      <c r="F768" s="10" t="str">
        <f t="shared" si="44"/>
        <v>insert into ins_premium_det (premium_rcv_code,assorted_code, rec_amount,premium_rcv_detail_code,remaining_amt, payrec, mode_code,coinsurance_code,class_cd,it_remarks) values</v>
      </c>
      <c r="G768" s="11" t="str">
        <f t="shared" si="46"/>
        <v>('28Nov240101','040000153246','0',(select max(to_number(i.premium_rcv_detail_code))+1
from ins_premium_det i),'0','0','02', '11000003','00','Request by Mr. Omair Ali 29-Nov-2024');</v>
      </c>
      <c r="H768" s="12" t="str">
        <f t="shared" si="47"/>
        <v>insert into ins_premium_det (premium_rcv_code,assorted_code, rec_amount,premium_rcv_detail_code,remaining_amt, payrec, mode_code,coinsurance_code,class_cd,it_remarks) values('28Nov240101','040000153246','0',(select max(to_number(i.premium_rcv_detail_code))+1
from ins_premium_det i),'0','0','02', '11000003','00','Request by Mr. Omair Ali 29-Nov-2024');</v>
      </c>
    </row>
    <row r="769" spans="1:8" ht="105" x14ac:dyDescent="0.25">
      <c r="A769" t="s">
        <v>769</v>
      </c>
      <c r="B769" s="8" t="str">
        <f>VLOOKUP(A769,assortedcode!B:C,2,0)</f>
        <v>070000158171</v>
      </c>
      <c r="C769" s="1">
        <v>0</v>
      </c>
      <c r="D769" s="9">
        <f t="shared" si="45"/>
        <v>0</v>
      </c>
      <c r="E769" s="7" t="s">
        <v>8345</v>
      </c>
      <c r="F769" s="10" t="str">
        <f t="shared" si="44"/>
        <v>insert into ins_premium_det (premium_rcv_code,assorted_code, rec_amount,premium_rcv_detail_code,remaining_amt, payrec, mode_code,coinsurance_code,class_cd,it_remarks) values</v>
      </c>
      <c r="G769" s="11" t="str">
        <f t="shared" si="46"/>
        <v>('28Nov240101','070000158171','0',(select max(to_number(i.premium_rcv_detail_code))+1
from ins_premium_det i),'0','0','02', '11000003','00','Request by Mr. Omair Ali 29-Nov-2024');</v>
      </c>
      <c r="H769" s="12" t="str">
        <f t="shared" si="47"/>
        <v>insert into ins_premium_det (premium_rcv_code,assorted_code, rec_amount,premium_rcv_detail_code,remaining_amt, payrec, mode_code,coinsurance_code,class_cd,it_remarks) values('28Nov240101','070000158171','0',(select max(to_number(i.premium_rcv_detail_code))+1
from ins_premium_det i),'0','0','02', '11000003','00','Request by Mr. Omair Ali 29-Nov-2024');</v>
      </c>
    </row>
    <row r="770" spans="1:8" ht="105" x14ac:dyDescent="0.25">
      <c r="A770" t="s">
        <v>770</v>
      </c>
      <c r="B770" s="8" t="str">
        <f>VLOOKUP(A770,assortedcode!B:C,2,0)</f>
        <v>040000153272</v>
      </c>
      <c r="C770" s="1">
        <v>0</v>
      </c>
      <c r="D770" s="9">
        <f t="shared" si="45"/>
        <v>0</v>
      </c>
      <c r="E770" s="7" t="s">
        <v>8345</v>
      </c>
      <c r="F770" s="10" t="str">
        <f t="shared" ref="F770:F833" si="48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770" s="11" t="str">
        <f t="shared" si="46"/>
        <v>('28Nov240101','040000153272','0',(select max(to_number(i.premium_rcv_detail_code))+1
from ins_premium_det i),'0','0','02', '11000003','00','Request by Mr. Omair Ali 29-Nov-2024');</v>
      </c>
      <c r="H770" s="12" t="str">
        <f t="shared" si="47"/>
        <v>insert into ins_premium_det (premium_rcv_code,assorted_code, rec_amount,premium_rcv_detail_code,remaining_amt, payrec, mode_code,coinsurance_code,class_cd,it_remarks) values('28Nov240101','040000153272','0',(select max(to_number(i.premium_rcv_detail_code))+1
from ins_premium_det i),'0','0','02', '11000003','00','Request by Mr. Omair Ali 29-Nov-2024');</v>
      </c>
    </row>
    <row r="771" spans="1:8" ht="105" x14ac:dyDescent="0.25">
      <c r="A771" t="s">
        <v>771</v>
      </c>
      <c r="B771" s="8" t="str">
        <f>VLOOKUP(A771,assortedcode!B:C,2,0)</f>
        <v>040000144484</v>
      </c>
      <c r="C771" s="1">
        <v>0</v>
      </c>
      <c r="D771" s="9">
        <f t="shared" ref="D771:D834" si="49">ROUND(C771,0)</f>
        <v>0</v>
      </c>
      <c r="E771" s="7" t="s">
        <v>8345</v>
      </c>
      <c r="F771" s="10" t="str">
        <f t="shared" si="48"/>
        <v>insert into ins_premium_det (premium_rcv_code,assorted_code, rec_amount,premium_rcv_detail_code,remaining_amt, payrec, mode_code,coinsurance_code,class_cd,it_remarks) values</v>
      </c>
      <c r="G771" s="11" t="str">
        <f t="shared" ref="G771:G834" si="50">"('"&amp;E771&amp;"','"&amp;B771&amp;"','"&amp;ROUND(D771,2)&amp;"',(select max(to_number(i.premium_rcv_detail_code))+1
from ins_premium_det i),'"&amp;D771&amp;"','"&amp;D771&amp;"','02', '11000003','00','Request by Mr. Omair Ali 29-Nov-2024');"</f>
        <v>('28Nov240101','040000144484','0',(select max(to_number(i.premium_rcv_detail_code))+1
from ins_premium_det i),'0','0','02', '11000003','00','Request by Mr. Omair Ali 29-Nov-2024');</v>
      </c>
      <c r="H771" s="12" t="str">
        <f t="shared" ref="H771:H834" si="51">F771&amp;G771</f>
        <v>insert into ins_premium_det (premium_rcv_code,assorted_code, rec_amount,premium_rcv_detail_code,remaining_amt, payrec, mode_code,coinsurance_code,class_cd,it_remarks) values('28Nov240101','040000144484','0',(select max(to_number(i.premium_rcv_detail_code))+1
from ins_premium_det i),'0','0','02', '11000003','00','Request by Mr. Omair Ali 29-Nov-2024');</v>
      </c>
    </row>
    <row r="772" spans="1:8" ht="105" x14ac:dyDescent="0.25">
      <c r="A772" t="s">
        <v>772</v>
      </c>
      <c r="B772" s="8" t="str">
        <f>VLOOKUP(A772,assortedcode!B:C,2,0)</f>
        <v>040000153416</v>
      </c>
      <c r="C772" s="1">
        <v>0</v>
      </c>
      <c r="D772" s="9">
        <f t="shared" si="49"/>
        <v>0</v>
      </c>
      <c r="E772" s="7" t="s">
        <v>8345</v>
      </c>
      <c r="F772" s="10" t="str">
        <f t="shared" si="48"/>
        <v>insert into ins_premium_det (premium_rcv_code,assorted_code, rec_amount,premium_rcv_detail_code,remaining_amt, payrec, mode_code,coinsurance_code,class_cd,it_remarks) values</v>
      </c>
      <c r="G772" s="11" t="str">
        <f t="shared" si="50"/>
        <v>('28Nov240101','040000153416','0',(select max(to_number(i.premium_rcv_detail_code))+1
from ins_premium_det i),'0','0','02', '11000003','00','Request by Mr. Omair Ali 29-Nov-2024');</v>
      </c>
      <c r="H772" s="12" t="str">
        <f t="shared" si="51"/>
        <v>insert into ins_premium_det (premium_rcv_code,assorted_code, rec_amount,premium_rcv_detail_code,remaining_amt, payrec, mode_code,coinsurance_code,class_cd,it_remarks) values('28Nov240101','040000153416','0',(select max(to_number(i.premium_rcv_detail_code))+1
from ins_premium_det i),'0','0','02', '11000003','00','Request by Mr. Omair Ali 29-Nov-2024');</v>
      </c>
    </row>
    <row r="773" spans="1:8" ht="105" x14ac:dyDescent="0.25">
      <c r="A773" t="s">
        <v>773</v>
      </c>
      <c r="B773" s="8" t="str">
        <f>VLOOKUP(A773,assortedcode!B:C,2,0)</f>
        <v>040000144596</v>
      </c>
      <c r="C773" s="1">
        <v>0</v>
      </c>
      <c r="D773" s="9">
        <f t="shared" si="49"/>
        <v>0</v>
      </c>
      <c r="E773" s="7" t="s">
        <v>8345</v>
      </c>
      <c r="F773" s="10" t="str">
        <f t="shared" si="48"/>
        <v>insert into ins_premium_det (premium_rcv_code,assorted_code, rec_amount,premium_rcv_detail_code,remaining_amt, payrec, mode_code,coinsurance_code,class_cd,it_remarks) values</v>
      </c>
      <c r="G773" s="11" t="str">
        <f t="shared" si="50"/>
        <v>('28Nov240101','040000144596','0',(select max(to_number(i.premium_rcv_detail_code))+1
from ins_premium_det i),'0','0','02', '11000003','00','Request by Mr. Omair Ali 29-Nov-2024');</v>
      </c>
      <c r="H773" s="12" t="str">
        <f t="shared" si="51"/>
        <v>insert into ins_premium_det (premium_rcv_code,assorted_code, rec_amount,premium_rcv_detail_code,remaining_amt, payrec, mode_code,coinsurance_code,class_cd,it_remarks) values('28Nov240101','040000144596','0',(select max(to_number(i.premium_rcv_detail_code))+1
from ins_premium_det i),'0','0','02', '11000003','00','Request by Mr. Omair Ali 29-Nov-2024');</v>
      </c>
    </row>
    <row r="774" spans="1:8" ht="105" x14ac:dyDescent="0.25">
      <c r="A774" t="s">
        <v>774</v>
      </c>
      <c r="B774" s="8" t="str">
        <f>VLOOKUP(A774,assortedcode!B:C,2,0)</f>
        <v>040000153520</v>
      </c>
      <c r="C774" s="1">
        <v>0</v>
      </c>
      <c r="D774" s="9">
        <f t="shared" si="49"/>
        <v>0</v>
      </c>
      <c r="E774" s="7" t="s">
        <v>8345</v>
      </c>
      <c r="F774" s="10" t="str">
        <f t="shared" si="48"/>
        <v>insert into ins_premium_det (premium_rcv_code,assorted_code, rec_amount,premium_rcv_detail_code,remaining_amt, payrec, mode_code,coinsurance_code,class_cd,it_remarks) values</v>
      </c>
      <c r="G774" s="11" t="str">
        <f t="shared" si="50"/>
        <v>('28Nov240101','040000153520','0',(select max(to_number(i.premium_rcv_detail_code))+1
from ins_premium_det i),'0','0','02', '11000003','00','Request by Mr. Omair Ali 29-Nov-2024');</v>
      </c>
      <c r="H774" s="12" t="str">
        <f t="shared" si="51"/>
        <v>insert into ins_premium_det (premium_rcv_code,assorted_code, rec_amount,premium_rcv_detail_code,remaining_amt, payrec, mode_code,coinsurance_code,class_cd,it_remarks) values('28Nov240101','040000153520','0',(select max(to_number(i.premium_rcv_detail_code))+1
from ins_premium_det i),'0','0','02', '11000003','00','Request by Mr. Omair Ali 29-Nov-2024');</v>
      </c>
    </row>
    <row r="775" spans="1:8" ht="105" x14ac:dyDescent="0.25">
      <c r="A775" t="s">
        <v>775</v>
      </c>
      <c r="B775" s="8" t="str">
        <f>VLOOKUP(A775,assortedcode!B:C,2,0)</f>
        <v>040000144860</v>
      </c>
      <c r="C775" s="1">
        <v>0</v>
      </c>
      <c r="D775" s="9">
        <f t="shared" si="49"/>
        <v>0</v>
      </c>
      <c r="E775" s="7" t="s">
        <v>8345</v>
      </c>
      <c r="F775" s="10" t="str">
        <f t="shared" si="48"/>
        <v>insert into ins_premium_det (premium_rcv_code,assorted_code, rec_amount,premium_rcv_detail_code,remaining_amt, payrec, mode_code,coinsurance_code,class_cd,it_remarks) values</v>
      </c>
      <c r="G775" s="11" t="str">
        <f t="shared" si="50"/>
        <v>('28Nov240101','040000144860','0',(select max(to_number(i.premium_rcv_detail_code))+1
from ins_premium_det i),'0','0','02', '11000003','00','Request by Mr. Omair Ali 29-Nov-2024');</v>
      </c>
      <c r="H775" s="12" t="str">
        <f t="shared" si="51"/>
        <v>insert into ins_premium_det (premium_rcv_code,assorted_code, rec_amount,premium_rcv_detail_code,remaining_amt, payrec, mode_code,coinsurance_code,class_cd,it_remarks) values('28Nov240101','040000144860','0',(select max(to_number(i.premium_rcv_detail_code))+1
from ins_premium_det i),'0','0','02', '11000003','00','Request by Mr. Omair Ali 29-Nov-2024');</v>
      </c>
    </row>
    <row r="776" spans="1:8" ht="105" x14ac:dyDescent="0.25">
      <c r="A776" t="s">
        <v>776</v>
      </c>
      <c r="B776" s="8" t="str">
        <f>VLOOKUP(A776,assortedcode!B:C,2,0)</f>
        <v>040000153623</v>
      </c>
      <c r="C776" s="1">
        <v>0</v>
      </c>
      <c r="D776" s="9">
        <f t="shared" si="49"/>
        <v>0</v>
      </c>
      <c r="E776" s="7" t="s">
        <v>8345</v>
      </c>
      <c r="F776" s="10" t="str">
        <f t="shared" si="48"/>
        <v>insert into ins_premium_det (premium_rcv_code,assorted_code, rec_amount,premium_rcv_detail_code,remaining_amt, payrec, mode_code,coinsurance_code,class_cd,it_remarks) values</v>
      </c>
      <c r="G776" s="11" t="str">
        <f t="shared" si="50"/>
        <v>('28Nov240101','040000153623','0',(select max(to_number(i.premium_rcv_detail_code))+1
from ins_premium_det i),'0','0','02', '11000003','00','Request by Mr. Omair Ali 29-Nov-2024');</v>
      </c>
      <c r="H776" s="12" t="str">
        <f t="shared" si="51"/>
        <v>insert into ins_premium_det (premium_rcv_code,assorted_code, rec_amount,premium_rcv_detail_code,remaining_amt, payrec, mode_code,coinsurance_code,class_cd,it_remarks) values('28Nov240101','040000153623','0',(select max(to_number(i.premium_rcv_detail_code))+1
from ins_premium_det i),'0','0','02', '11000003','00','Request by Mr. Omair Ali 29-Nov-2024');</v>
      </c>
    </row>
    <row r="777" spans="1:8" ht="105" x14ac:dyDescent="0.25">
      <c r="A777" t="s">
        <v>777</v>
      </c>
      <c r="B777" s="8" t="str">
        <f>VLOOKUP(A777,assortedcode!B:C,2,0)</f>
        <v>040000152411</v>
      </c>
      <c r="C777" s="1">
        <v>0</v>
      </c>
      <c r="D777" s="9">
        <f t="shared" si="49"/>
        <v>0</v>
      </c>
      <c r="E777" s="7" t="s">
        <v>8345</v>
      </c>
      <c r="F777" s="10" t="str">
        <f t="shared" si="48"/>
        <v>insert into ins_premium_det (premium_rcv_code,assorted_code, rec_amount,premium_rcv_detail_code,remaining_amt, payrec, mode_code,coinsurance_code,class_cd,it_remarks) values</v>
      </c>
      <c r="G777" s="11" t="str">
        <f t="shared" si="50"/>
        <v>('28Nov240101','040000152411','0',(select max(to_number(i.premium_rcv_detail_code))+1
from ins_premium_det i),'0','0','02', '11000003','00','Request by Mr. Omair Ali 29-Nov-2024');</v>
      </c>
      <c r="H777" s="12" t="str">
        <f t="shared" si="51"/>
        <v>insert into ins_premium_det (premium_rcv_code,assorted_code, rec_amount,premium_rcv_detail_code,remaining_amt, payrec, mode_code,coinsurance_code,class_cd,it_remarks) values('28Nov240101','040000152411','0',(select max(to_number(i.premium_rcv_detail_code))+1
from ins_premium_det i),'0','0','02', '11000003','00','Request by Mr. Omair Ali 29-Nov-2024');</v>
      </c>
    </row>
    <row r="778" spans="1:8" ht="105" x14ac:dyDescent="0.25">
      <c r="A778" t="s">
        <v>778</v>
      </c>
      <c r="B778" s="8" t="str">
        <f>VLOOKUP(A778,assortedcode!B:C,2,0)</f>
        <v>040000153649</v>
      </c>
      <c r="C778" s="1">
        <v>0</v>
      </c>
      <c r="D778" s="9">
        <f t="shared" si="49"/>
        <v>0</v>
      </c>
      <c r="E778" s="7" t="s">
        <v>8345</v>
      </c>
      <c r="F778" s="10" t="str">
        <f t="shared" si="48"/>
        <v>insert into ins_premium_det (premium_rcv_code,assorted_code, rec_amount,premium_rcv_detail_code,remaining_amt, payrec, mode_code,coinsurance_code,class_cd,it_remarks) values</v>
      </c>
      <c r="G778" s="11" t="str">
        <f t="shared" si="50"/>
        <v>('28Nov240101','040000153649','0',(select max(to_number(i.premium_rcv_detail_code))+1
from ins_premium_det i),'0','0','02', '11000003','00','Request by Mr. Omair Ali 29-Nov-2024');</v>
      </c>
      <c r="H778" s="12" t="str">
        <f t="shared" si="51"/>
        <v>insert into ins_premium_det (premium_rcv_code,assorted_code, rec_amount,premium_rcv_detail_code,remaining_amt, payrec, mode_code,coinsurance_code,class_cd,it_remarks) values('28Nov240101','040000153649','0',(select max(to_number(i.premium_rcv_detail_code))+1
from ins_premium_det i),'0','0','02', '11000003','00','Request by Mr. Omair Ali 29-Nov-2024');</v>
      </c>
    </row>
    <row r="779" spans="1:8" ht="105" x14ac:dyDescent="0.25">
      <c r="A779" t="s">
        <v>779</v>
      </c>
      <c r="B779" s="8" t="str">
        <f>VLOOKUP(A779,assortedcode!B:C,2,0)</f>
        <v>070000161140</v>
      </c>
      <c r="C779" s="1">
        <v>0</v>
      </c>
      <c r="D779" s="9">
        <f t="shared" si="49"/>
        <v>0</v>
      </c>
      <c r="E779" s="7" t="s">
        <v>8345</v>
      </c>
      <c r="F779" s="10" t="str">
        <f t="shared" si="48"/>
        <v>insert into ins_premium_det (premium_rcv_code,assorted_code, rec_amount,premium_rcv_detail_code,remaining_amt, payrec, mode_code,coinsurance_code,class_cd,it_remarks) values</v>
      </c>
      <c r="G779" s="11" t="str">
        <f t="shared" si="50"/>
        <v>('28Nov240101','070000161140','0',(select max(to_number(i.premium_rcv_detail_code))+1
from ins_premium_det i),'0','0','02', '11000003','00','Request by Mr. Omair Ali 29-Nov-2024');</v>
      </c>
      <c r="H779" s="12" t="str">
        <f t="shared" si="51"/>
        <v>insert into ins_premium_det (premium_rcv_code,assorted_code, rec_amount,premium_rcv_detail_code,remaining_amt, payrec, mode_code,coinsurance_code,class_cd,it_remarks) values('28Nov240101','070000161140','0',(select max(to_number(i.premium_rcv_detail_code))+1
from ins_premium_det i),'0','0','02', '11000003','00','Request by Mr. Omair Ali 29-Nov-2024');</v>
      </c>
    </row>
    <row r="780" spans="1:8" ht="105" x14ac:dyDescent="0.25">
      <c r="A780" t="s">
        <v>780</v>
      </c>
      <c r="B780" s="8" t="str">
        <f>VLOOKUP(A780,assortedcode!B:C,2,0)</f>
        <v>040000153821</v>
      </c>
      <c r="C780" s="1">
        <v>0</v>
      </c>
      <c r="D780" s="9">
        <f t="shared" si="49"/>
        <v>0</v>
      </c>
      <c r="E780" s="7" t="s">
        <v>8345</v>
      </c>
      <c r="F780" s="10" t="str">
        <f t="shared" si="48"/>
        <v>insert into ins_premium_det (premium_rcv_code,assorted_code, rec_amount,premium_rcv_detail_code,remaining_amt, payrec, mode_code,coinsurance_code,class_cd,it_remarks) values</v>
      </c>
      <c r="G780" s="11" t="str">
        <f t="shared" si="50"/>
        <v>('28Nov240101','040000153821','0',(select max(to_number(i.premium_rcv_detail_code))+1
from ins_premium_det i),'0','0','02', '11000003','00','Request by Mr. Omair Ali 29-Nov-2024');</v>
      </c>
      <c r="H780" s="12" t="str">
        <f t="shared" si="51"/>
        <v>insert into ins_premium_det (premium_rcv_code,assorted_code, rec_amount,premium_rcv_detail_code,remaining_amt, payrec, mode_code,coinsurance_code,class_cd,it_remarks) values('28Nov240101','040000153821','0',(select max(to_number(i.premium_rcv_detail_code))+1
from ins_premium_det i),'0','0','02', '11000003','00','Request by Mr. Omair Ali 29-Nov-2024');</v>
      </c>
    </row>
    <row r="781" spans="1:8" ht="105" x14ac:dyDescent="0.25">
      <c r="A781" t="s">
        <v>781</v>
      </c>
      <c r="B781" s="8" t="str">
        <f>VLOOKUP(A781,assortedcode!B:C,2,0)</f>
        <v>070000162271</v>
      </c>
      <c r="C781" s="1">
        <v>0</v>
      </c>
      <c r="D781" s="9">
        <f t="shared" si="49"/>
        <v>0</v>
      </c>
      <c r="E781" s="7" t="s">
        <v>8345</v>
      </c>
      <c r="F781" s="10" t="str">
        <f t="shared" si="48"/>
        <v>insert into ins_premium_det (premium_rcv_code,assorted_code, rec_amount,premium_rcv_detail_code,remaining_amt, payrec, mode_code,coinsurance_code,class_cd,it_remarks) values</v>
      </c>
      <c r="G781" s="11" t="str">
        <f t="shared" si="50"/>
        <v>('28Nov240101','070000162271','0',(select max(to_number(i.premium_rcv_detail_code))+1
from ins_premium_det i),'0','0','02', '11000003','00','Request by Mr. Omair Ali 29-Nov-2024');</v>
      </c>
      <c r="H781" s="12" t="str">
        <f t="shared" si="51"/>
        <v>insert into ins_premium_det (premium_rcv_code,assorted_code, rec_amount,premium_rcv_detail_code,remaining_amt, payrec, mode_code,coinsurance_code,class_cd,it_remarks) values('28Nov240101','070000162271','0',(select max(to_number(i.premium_rcv_detail_code))+1
from ins_premium_det i),'0','0','02', '11000003','00','Request by Mr. Omair Ali 29-Nov-2024');</v>
      </c>
    </row>
    <row r="782" spans="1:8" ht="105" x14ac:dyDescent="0.25">
      <c r="A782" t="s">
        <v>782</v>
      </c>
      <c r="B782" s="8" t="str">
        <f>VLOOKUP(A782,assortedcode!B:C,2,0)</f>
        <v>040000153863</v>
      </c>
      <c r="C782" s="1">
        <v>0</v>
      </c>
      <c r="D782" s="9">
        <f t="shared" si="49"/>
        <v>0</v>
      </c>
      <c r="E782" s="7" t="s">
        <v>8345</v>
      </c>
      <c r="F782" s="10" t="str">
        <f t="shared" si="48"/>
        <v>insert into ins_premium_det (premium_rcv_code,assorted_code, rec_amount,premium_rcv_detail_code,remaining_amt, payrec, mode_code,coinsurance_code,class_cd,it_remarks) values</v>
      </c>
      <c r="G782" s="11" t="str">
        <f t="shared" si="50"/>
        <v>('28Nov240101','040000153863','0',(select max(to_number(i.premium_rcv_detail_code))+1
from ins_premium_det i),'0','0','02', '11000003','00','Request by Mr. Omair Ali 29-Nov-2024');</v>
      </c>
      <c r="H782" s="12" t="str">
        <f t="shared" si="51"/>
        <v>insert into ins_premium_det (premium_rcv_code,assorted_code, rec_amount,premium_rcv_detail_code,remaining_amt, payrec, mode_code,coinsurance_code,class_cd,it_remarks) values('28Nov240101','040000153863','0',(select max(to_number(i.premium_rcv_detail_code))+1
from ins_premium_det i),'0','0','02', '11000003','00','Request by Mr. Omair Ali 29-Nov-2024');</v>
      </c>
    </row>
    <row r="783" spans="1:8" ht="105" x14ac:dyDescent="0.25">
      <c r="A783" t="s">
        <v>783</v>
      </c>
      <c r="B783" s="8" t="str">
        <f>VLOOKUP(A783,assortedcode!B:C,2,0)</f>
        <v>070000164228</v>
      </c>
      <c r="C783" s="1">
        <v>0</v>
      </c>
      <c r="D783" s="9">
        <f t="shared" si="49"/>
        <v>0</v>
      </c>
      <c r="E783" s="7" t="s">
        <v>8345</v>
      </c>
      <c r="F783" s="10" t="str">
        <f t="shared" si="48"/>
        <v>insert into ins_premium_det (premium_rcv_code,assorted_code, rec_amount,premium_rcv_detail_code,remaining_amt, payrec, mode_code,coinsurance_code,class_cd,it_remarks) values</v>
      </c>
      <c r="G783" s="11" t="str">
        <f t="shared" si="50"/>
        <v>('28Nov240101','070000164228','0',(select max(to_number(i.premium_rcv_detail_code))+1
from ins_premium_det i),'0','0','02', '11000003','00','Request by Mr. Omair Ali 29-Nov-2024');</v>
      </c>
      <c r="H783" s="12" t="str">
        <f t="shared" si="51"/>
        <v>insert into ins_premium_det (premium_rcv_code,assorted_code, rec_amount,premium_rcv_detail_code,remaining_amt, payrec, mode_code,coinsurance_code,class_cd,it_remarks) values('28Nov240101','070000164228','0',(select max(to_number(i.premium_rcv_detail_code))+1
from ins_premium_det i),'0','0','02', '11000003','00','Request by Mr. Omair Ali 29-Nov-2024');</v>
      </c>
    </row>
    <row r="784" spans="1:8" ht="105" x14ac:dyDescent="0.25">
      <c r="A784" t="s">
        <v>784</v>
      </c>
      <c r="B784" s="8" t="str">
        <f>VLOOKUP(A784,assortedcode!B:C,2,0)</f>
        <v>040000153933</v>
      </c>
      <c r="C784" s="1">
        <v>0</v>
      </c>
      <c r="D784" s="9">
        <f t="shared" si="49"/>
        <v>0</v>
      </c>
      <c r="E784" s="7" t="s">
        <v>8345</v>
      </c>
      <c r="F784" s="10" t="str">
        <f t="shared" si="48"/>
        <v>insert into ins_premium_det (premium_rcv_code,assorted_code, rec_amount,premium_rcv_detail_code,remaining_amt, payrec, mode_code,coinsurance_code,class_cd,it_remarks) values</v>
      </c>
      <c r="G784" s="11" t="str">
        <f t="shared" si="50"/>
        <v>('28Nov240101','040000153933','0',(select max(to_number(i.premium_rcv_detail_code))+1
from ins_premium_det i),'0','0','02', '11000003','00','Request by Mr. Omair Ali 29-Nov-2024');</v>
      </c>
      <c r="H784" s="12" t="str">
        <f t="shared" si="51"/>
        <v>insert into ins_premium_det (premium_rcv_code,assorted_code, rec_amount,premium_rcv_detail_code,remaining_amt, payrec, mode_code,coinsurance_code,class_cd,it_remarks) values('28Nov240101','040000153933','0',(select max(to_number(i.premium_rcv_detail_code))+1
from ins_premium_det i),'0','0','02', '11000003','00','Request by Mr. Omair Ali 29-Nov-2024');</v>
      </c>
    </row>
    <row r="785" spans="1:8" ht="105" x14ac:dyDescent="0.25">
      <c r="A785" t="s">
        <v>785</v>
      </c>
      <c r="B785" s="8" t="str">
        <f>VLOOKUP(A785,assortedcode!B:C,2,0)</f>
        <v>070000166494</v>
      </c>
      <c r="C785" s="1">
        <v>0</v>
      </c>
      <c r="D785" s="9">
        <f t="shared" si="49"/>
        <v>0</v>
      </c>
      <c r="E785" s="7" t="s">
        <v>8345</v>
      </c>
      <c r="F785" s="10" t="str">
        <f t="shared" si="48"/>
        <v>insert into ins_premium_det (premium_rcv_code,assorted_code, rec_amount,premium_rcv_detail_code,remaining_amt, payrec, mode_code,coinsurance_code,class_cd,it_remarks) values</v>
      </c>
      <c r="G785" s="11" t="str">
        <f t="shared" si="50"/>
        <v>('28Nov240101','070000166494','0',(select max(to_number(i.premium_rcv_detail_code))+1
from ins_premium_det i),'0','0','02', '11000003','00','Request by Mr. Omair Ali 29-Nov-2024');</v>
      </c>
      <c r="H785" s="12" t="str">
        <f t="shared" si="51"/>
        <v>insert into ins_premium_det (premium_rcv_code,assorted_code, rec_amount,premium_rcv_detail_code,remaining_amt, payrec, mode_code,coinsurance_code,class_cd,it_remarks) values('28Nov240101','070000166494','0',(select max(to_number(i.premium_rcv_detail_code))+1
from ins_premium_det i),'0','0','02', '11000003','00','Request by Mr. Omair Ali 29-Nov-2024');</v>
      </c>
    </row>
    <row r="786" spans="1:8" ht="105" x14ac:dyDescent="0.25">
      <c r="A786" t="s">
        <v>786</v>
      </c>
      <c r="B786" s="8" t="str">
        <f>VLOOKUP(A786,assortedcode!B:C,2,0)</f>
        <v>040000154045</v>
      </c>
      <c r="C786" s="1">
        <v>0</v>
      </c>
      <c r="D786" s="9">
        <f t="shared" si="49"/>
        <v>0</v>
      </c>
      <c r="E786" s="7" t="s">
        <v>8345</v>
      </c>
      <c r="F786" s="10" t="str">
        <f t="shared" si="48"/>
        <v>insert into ins_premium_det (premium_rcv_code,assorted_code, rec_amount,premium_rcv_detail_code,remaining_amt, payrec, mode_code,coinsurance_code,class_cd,it_remarks) values</v>
      </c>
      <c r="G786" s="11" t="str">
        <f t="shared" si="50"/>
        <v>('28Nov240101','040000154045','0',(select max(to_number(i.premium_rcv_detail_code))+1
from ins_premium_det i),'0','0','02', '11000003','00','Request by Mr. Omair Ali 29-Nov-2024');</v>
      </c>
      <c r="H786" s="12" t="str">
        <f t="shared" si="51"/>
        <v>insert into ins_premium_det (premium_rcv_code,assorted_code, rec_amount,premium_rcv_detail_code,remaining_amt, payrec, mode_code,coinsurance_code,class_cd,it_remarks) values('28Nov240101','040000154045','0',(select max(to_number(i.premium_rcv_detail_code))+1
from ins_premium_det i),'0','0','02', '11000003','00','Request by Mr. Omair Ali 29-Nov-2024');</v>
      </c>
    </row>
    <row r="787" spans="1:8" ht="105" x14ac:dyDescent="0.25">
      <c r="A787" t="s">
        <v>787</v>
      </c>
      <c r="B787" s="8" t="str">
        <f>VLOOKUP(A787,assortedcode!B:C,2,0)</f>
        <v>070000158176</v>
      </c>
      <c r="C787" s="1">
        <v>0</v>
      </c>
      <c r="D787" s="9">
        <f t="shared" si="49"/>
        <v>0</v>
      </c>
      <c r="E787" s="7" t="s">
        <v>8345</v>
      </c>
      <c r="F787" s="10" t="str">
        <f t="shared" si="48"/>
        <v>insert into ins_premium_det (premium_rcv_code,assorted_code, rec_amount,premium_rcv_detail_code,remaining_amt, payrec, mode_code,coinsurance_code,class_cd,it_remarks) values</v>
      </c>
      <c r="G787" s="11" t="str">
        <f t="shared" si="50"/>
        <v>('28Nov240101','070000158176','0',(select max(to_number(i.premium_rcv_detail_code))+1
from ins_premium_det i),'0','0','02', '11000003','00','Request by Mr. Omair Ali 29-Nov-2024');</v>
      </c>
      <c r="H787" s="12" t="str">
        <f t="shared" si="51"/>
        <v>insert into ins_premium_det (premium_rcv_code,assorted_code, rec_amount,premium_rcv_detail_code,remaining_amt, payrec, mode_code,coinsurance_code,class_cd,it_remarks) values('28Nov240101','070000158176','0',(select max(to_number(i.premium_rcv_detail_code))+1
from ins_premium_det i),'0','0','02', '11000003','00','Request by Mr. Omair Ali 29-Nov-2024');</v>
      </c>
    </row>
    <row r="788" spans="1:8" ht="105" x14ac:dyDescent="0.25">
      <c r="A788" t="s">
        <v>788</v>
      </c>
      <c r="B788" s="8" t="str">
        <f>VLOOKUP(A788,assortedcode!B:C,2,0)</f>
        <v>040000154051</v>
      </c>
      <c r="C788" s="1">
        <v>0</v>
      </c>
      <c r="D788" s="9">
        <f t="shared" si="49"/>
        <v>0</v>
      </c>
      <c r="E788" s="7" t="s">
        <v>8345</v>
      </c>
      <c r="F788" s="10" t="str">
        <f t="shared" si="48"/>
        <v>insert into ins_premium_det (premium_rcv_code,assorted_code, rec_amount,premium_rcv_detail_code,remaining_amt, payrec, mode_code,coinsurance_code,class_cd,it_remarks) values</v>
      </c>
      <c r="G788" s="11" t="str">
        <f t="shared" si="50"/>
        <v>('28Nov240101','040000154051','0',(select max(to_number(i.premium_rcv_detail_code))+1
from ins_premium_det i),'0','0','02', '11000003','00','Request by Mr. Omair Ali 29-Nov-2024');</v>
      </c>
      <c r="H788" s="12" t="str">
        <f t="shared" si="51"/>
        <v>insert into ins_premium_det (premium_rcv_code,assorted_code, rec_amount,premium_rcv_detail_code,remaining_amt, payrec, mode_code,coinsurance_code,class_cd,it_remarks) values('28Nov240101','040000154051','0',(select max(to_number(i.premium_rcv_detail_code))+1
from ins_premium_det i),'0','0','02', '11000003','00','Request by Mr. Omair Ali 29-Nov-2024');</v>
      </c>
    </row>
    <row r="789" spans="1:8" ht="105" x14ac:dyDescent="0.25">
      <c r="A789" t="s">
        <v>789</v>
      </c>
      <c r="B789" s="8" t="str">
        <f>VLOOKUP(A789,assortedcode!B:C,2,0)</f>
        <v>040000125319</v>
      </c>
      <c r="C789" s="1">
        <v>0</v>
      </c>
      <c r="D789" s="9">
        <f t="shared" si="49"/>
        <v>0</v>
      </c>
      <c r="E789" s="7" t="s">
        <v>8345</v>
      </c>
      <c r="F789" s="10" t="str">
        <f t="shared" si="48"/>
        <v>insert into ins_premium_det (premium_rcv_code,assorted_code, rec_amount,premium_rcv_detail_code,remaining_amt, payrec, mode_code,coinsurance_code,class_cd,it_remarks) values</v>
      </c>
      <c r="G789" s="11" t="str">
        <f t="shared" si="50"/>
        <v>('28Nov240101','040000125319','0',(select max(to_number(i.premium_rcv_detail_code))+1
from ins_premium_det i),'0','0','02', '11000003','00','Request by Mr. Omair Ali 29-Nov-2024');</v>
      </c>
      <c r="H789" s="12" t="str">
        <f t="shared" si="51"/>
        <v>insert into ins_premium_det (premium_rcv_code,assorted_code, rec_amount,premium_rcv_detail_code,remaining_amt, payrec, mode_code,coinsurance_code,class_cd,it_remarks) values('28Nov240101','040000125319','0',(select max(to_number(i.premium_rcv_detail_code))+1
from ins_premium_det i),'0','0','02', '11000003','00','Request by Mr. Omair Ali 29-Nov-2024');</v>
      </c>
    </row>
    <row r="790" spans="1:8" ht="105" x14ac:dyDescent="0.25">
      <c r="A790" t="s">
        <v>790</v>
      </c>
      <c r="B790" s="8" t="str">
        <f>VLOOKUP(A790,assortedcode!B:C,2,0)</f>
        <v>040000154071</v>
      </c>
      <c r="C790" s="1">
        <v>0</v>
      </c>
      <c r="D790" s="9">
        <f t="shared" si="49"/>
        <v>0</v>
      </c>
      <c r="E790" s="7" t="s">
        <v>8345</v>
      </c>
      <c r="F790" s="10" t="str">
        <f t="shared" si="48"/>
        <v>insert into ins_premium_det (premium_rcv_code,assorted_code, rec_amount,premium_rcv_detail_code,remaining_amt, payrec, mode_code,coinsurance_code,class_cd,it_remarks) values</v>
      </c>
      <c r="G790" s="11" t="str">
        <f t="shared" si="50"/>
        <v>('28Nov240101','040000154071','0',(select max(to_number(i.premium_rcv_detail_code))+1
from ins_premium_det i),'0','0','02', '11000003','00','Request by Mr. Omair Ali 29-Nov-2024');</v>
      </c>
      <c r="H790" s="12" t="str">
        <f t="shared" si="51"/>
        <v>insert into ins_premium_det (premium_rcv_code,assorted_code, rec_amount,premium_rcv_detail_code,remaining_amt, payrec, mode_code,coinsurance_code,class_cd,it_remarks) values('28Nov240101','040000154071','0',(select max(to_number(i.premium_rcv_detail_code))+1
from ins_premium_det i),'0','0','02', '11000003','00','Request by Mr. Omair Ali 29-Nov-2024');</v>
      </c>
    </row>
    <row r="791" spans="1:8" ht="105" x14ac:dyDescent="0.25">
      <c r="A791" t="s">
        <v>791</v>
      </c>
      <c r="B791" s="8" t="str">
        <f>VLOOKUP(A791,assortedcode!B:C,2,0)</f>
        <v>040000136984</v>
      </c>
      <c r="C791" s="1">
        <v>0</v>
      </c>
      <c r="D791" s="9">
        <f t="shared" si="49"/>
        <v>0</v>
      </c>
      <c r="E791" s="7" t="s">
        <v>8345</v>
      </c>
      <c r="F791" s="10" t="str">
        <f t="shared" si="48"/>
        <v>insert into ins_premium_det (premium_rcv_code,assorted_code, rec_amount,premium_rcv_detail_code,remaining_amt, payrec, mode_code,coinsurance_code,class_cd,it_remarks) values</v>
      </c>
      <c r="G791" s="11" t="str">
        <f t="shared" si="50"/>
        <v>('28Nov240101','040000136984','0',(select max(to_number(i.premium_rcv_detail_code))+1
from ins_premium_det i),'0','0','02', '11000003','00','Request by Mr. Omair Ali 29-Nov-2024');</v>
      </c>
      <c r="H791" s="12" t="str">
        <f t="shared" si="51"/>
        <v>insert into ins_premium_det (premium_rcv_code,assorted_code, rec_amount,premium_rcv_detail_code,remaining_amt, payrec, mode_code,coinsurance_code,class_cd,it_remarks) values('28Nov240101','040000136984','0',(select max(to_number(i.premium_rcv_detail_code))+1
from ins_premium_det i),'0','0','02', '11000003','00','Request by Mr. Omair Ali 29-Nov-2024');</v>
      </c>
    </row>
    <row r="792" spans="1:8" ht="105" x14ac:dyDescent="0.25">
      <c r="A792" t="s">
        <v>792</v>
      </c>
      <c r="B792" s="8" t="str">
        <f>VLOOKUP(A792,assortedcode!B:C,2,0)</f>
        <v>040000154258</v>
      </c>
      <c r="C792" s="1">
        <v>0</v>
      </c>
      <c r="D792" s="9">
        <f t="shared" si="49"/>
        <v>0</v>
      </c>
      <c r="E792" s="7" t="s">
        <v>8345</v>
      </c>
      <c r="F792" s="10" t="str">
        <f t="shared" si="48"/>
        <v>insert into ins_premium_det (premium_rcv_code,assorted_code, rec_amount,premium_rcv_detail_code,remaining_amt, payrec, mode_code,coinsurance_code,class_cd,it_remarks) values</v>
      </c>
      <c r="G792" s="11" t="str">
        <f t="shared" si="50"/>
        <v>('28Nov240101','040000154258','0',(select max(to_number(i.premium_rcv_detail_code))+1
from ins_premium_det i),'0','0','02', '11000003','00','Request by Mr. Omair Ali 29-Nov-2024');</v>
      </c>
      <c r="H792" s="12" t="str">
        <f t="shared" si="51"/>
        <v>insert into ins_premium_det (premium_rcv_code,assorted_code, rec_amount,premium_rcv_detail_code,remaining_amt, payrec, mode_code,coinsurance_code,class_cd,it_remarks) values('28Nov240101','040000154258','0',(select max(to_number(i.premium_rcv_detail_code))+1
from ins_premium_det i),'0','0','02', '11000003','00','Request by Mr. Omair Ali 29-Nov-2024');</v>
      </c>
    </row>
    <row r="793" spans="1:8" ht="105" x14ac:dyDescent="0.25">
      <c r="A793" t="s">
        <v>793</v>
      </c>
      <c r="B793" s="8" t="str">
        <f>VLOOKUP(A793,assortedcode!B:C,2,0)</f>
        <v>040000150978</v>
      </c>
      <c r="C793" s="1">
        <v>0</v>
      </c>
      <c r="D793" s="9">
        <f t="shared" si="49"/>
        <v>0</v>
      </c>
      <c r="E793" s="7" t="s">
        <v>8345</v>
      </c>
      <c r="F793" s="10" t="str">
        <f t="shared" si="48"/>
        <v>insert into ins_premium_det (premium_rcv_code,assorted_code, rec_amount,premium_rcv_detail_code,remaining_amt, payrec, mode_code,coinsurance_code,class_cd,it_remarks) values</v>
      </c>
      <c r="G793" s="11" t="str">
        <f t="shared" si="50"/>
        <v>('28Nov240101','040000150978','0',(select max(to_number(i.premium_rcv_detail_code))+1
from ins_premium_det i),'0','0','02', '11000003','00','Request by Mr. Omair Ali 29-Nov-2024');</v>
      </c>
      <c r="H793" s="12" t="str">
        <f t="shared" si="51"/>
        <v>insert into ins_premium_det (premium_rcv_code,assorted_code, rec_amount,premium_rcv_detail_code,remaining_amt, payrec, mode_code,coinsurance_code,class_cd,it_remarks) values('28Nov240101','040000150978','0',(select max(to_number(i.premium_rcv_detail_code))+1
from ins_premium_det i),'0','0','02', '11000003','00','Request by Mr. Omair Ali 29-Nov-2024');</v>
      </c>
    </row>
    <row r="794" spans="1:8" ht="105" x14ac:dyDescent="0.25">
      <c r="A794" t="s">
        <v>794</v>
      </c>
      <c r="B794" s="8" t="str">
        <f>VLOOKUP(A794,assortedcode!B:C,2,0)</f>
        <v>040000154320</v>
      </c>
      <c r="C794" s="1">
        <v>0</v>
      </c>
      <c r="D794" s="9">
        <f t="shared" si="49"/>
        <v>0</v>
      </c>
      <c r="E794" s="7" t="s">
        <v>8345</v>
      </c>
      <c r="F794" s="10" t="str">
        <f t="shared" si="48"/>
        <v>insert into ins_premium_det (premium_rcv_code,assorted_code, rec_amount,premium_rcv_detail_code,remaining_amt, payrec, mode_code,coinsurance_code,class_cd,it_remarks) values</v>
      </c>
      <c r="G794" s="11" t="str">
        <f t="shared" si="50"/>
        <v>('28Nov240101','040000154320','0',(select max(to_number(i.premium_rcv_detail_code))+1
from ins_premium_det i),'0','0','02', '11000003','00','Request by Mr. Omair Ali 29-Nov-2024');</v>
      </c>
      <c r="H794" s="12" t="str">
        <f t="shared" si="51"/>
        <v>insert into ins_premium_det (premium_rcv_code,assorted_code, rec_amount,premium_rcv_detail_code,remaining_amt, payrec, mode_code,coinsurance_code,class_cd,it_remarks) values('28Nov240101','040000154320','0',(select max(to_number(i.premium_rcv_detail_code))+1
from ins_premium_det i),'0','0','02', '11000003','00','Request by Mr. Omair Ali 29-Nov-2024');</v>
      </c>
    </row>
    <row r="795" spans="1:8" ht="105" x14ac:dyDescent="0.25">
      <c r="A795" t="s">
        <v>795</v>
      </c>
      <c r="B795" s="8" t="str">
        <f>VLOOKUP(A795,assortedcode!B:C,2,0)</f>
        <v>040000164024</v>
      </c>
      <c r="C795" s="1">
        <v>0</v>
      </c>
      <c r="D795" s="9">
        <f t="shared" si="49"/>
        <v>0</v>
      </c>
      <c r="E795" s="7" t="s">
        <v>8345</v>
      </c>
      <c r="F795" s="10" t="str">
        <f t="shared" si="48"/>
        <v>insert into ins_premium_det (premium_rcv_code,assorted_code, rec_amount,premium_rcv_detail_code,remaining_amt, payrec, mode_code,coinsurance_code,class_cd,it_remarks) values</v>
      </c>
      <c r="G795" s="11" t="str">
        <f t="shared" si="50"/>
        <v>('28Nov240101','040000164024','0',(select max(to_number(i.premium_rcv_detail_code))+1
from ins_premium_det i),'0','0','02', '11000003','00','Request by Mr. Omair Ali 29-Nov-2024');</v>
      </c>
      <c r="H795" s="12" t="str">
        <f t="shared" si="51"/>
        <v>insert into ins_premium_det (premium_rcv_code,assorted_code, rec_amount,premium_rcv_detail_code,remaining_amt, payrec, mode_code,coinsurance_code,class_cd,it_remarks) values('28Nov240101','040000164024','0',(select max(to_number(i.premium_rcv_detail_code))+1
from ins_premium_det i),'0','0','02', '11000003','00','Request by Mr. Omair Ali 29-Nov-2024');</v>
      </c>
    </row>
    <row r="796" spans="1:8" ht="105" x14ac:dyDescent="0.25">
      <c r="A796" t="s">
        <v>796</v>
      </c>
      <c r="B796" s="8" t="str">
        <f>VLOOKUP(A796,assortedcode!B:C,2,0)</f>
        <v>040000154364</v>
      </c>
      <c r="C796" s="1">
        <v>0</v>
      </c>
      <c r="D796" s="9">
        <f t="shared" si="49"/>
        <v>0</v>
      </c>
      <c r="E796" s="7" t="s">
        <v>8345</v>
      </c>
      <c r="F796" s="10" t="str">
        <f t="shared" si="48"/>
        <v>insert into ins_premium_det (premium_rcv_code,assorted_code, rec_amount,premium_rcv_detail_code,remaining_amt, payrec, mode_code,coinsurance_code,class_cd,it_remarks) values</v>
      </c>
      <c r="G796" s="11" t="str">
        <f t="shared" si="50"/>
        <v>('28Nov240101','040000154364','0',(select max(to_number(i.premium_rcv_detail_code))+1
from ins_premium_det i),'0','0','02', '11000003','00','Request by Mr. Omair Ali 29-Nov-2024');</v>
      </c>
      <c r="H796" s="12" t="str">
        <f t="shared" si="51"/>
        <v>insert into ins_premium_det (premium_rcv_code,assorted_code, rec_amount,premium_rcv_detail_code,remaining_amt, payrec, mode_code,coinsurance_code,class_cd,it_remarks) values('28Nov240101','040000154364','0',(select max(to_number(i.premium_rcv_detail_code))+1
from ins_premium_det i),'0','0','02', '11000003','00','Request by Mr. Omair Ali 29-Nov-2024');</v>
      </c>
    </row>
    <row r="797" spans="1:8" ht="105" x14ac:dyDescent="0.25">
      <c r="A797" t="s">
        <v>797</v>
      </c>
      <c r="B797" s="8" t="str">
        <f>VLOOKUP(A797,assortedcode!B:C,2,0)</f>
        <v>040000178055</v>
      </c>
      <c r="C797" s="1">
        <v>0</v>
      </c>
      <c r="D797" s="9">
        <f t="shared" si="49"/>
        <v>0</v>
      </c>
      <c r="E797" s="7" t="s">
        <v>8345</v>
      </c>
      <c r="F797" s="10" t="str">
        <f t="shared" si="48"/>
        <v>insert into ins_premium_det (premium_rcv_code,assorted_code, rec_amount,premium_rcv_detail_code,remaining_amt, payrec, mode_code,coinsurance_code,class_cd,it_remarks) values</v>
      </c>
      <c r="G797" s="11" t="str">
        <f t="shared" si="50"/>
        <v>('28Nov240101','040000178055','0',(select max(to_number(i.premium_rcv_detail_code))+1
from ins_premium_det i),'0','0','02', '11000003','00','Request by Mr. Omair Ali 29-Nov-2024');</v>
      </c>
      <c r="H797" s="12" t="str">
        <f t="shared" si="51"/>
        <v>insert into ins_premium_det (premium_rcv_code,assorted_code, rec_amount,premium_rcv_detail_code,remaining_amt, payrec, mode_code,coinsurance_code,class_cd,it_remarks) values('28Nov240101','040000178055','0',(select max(to_number(i.premium_rcv_detail_code))+1
from ins_premium_det i),'0','0','02', '11000003','00','Request by Mr. Omair Ali 29-Nov-2024');</v>
      </c>
    </row>
    <row r="798" spans="1:8" ht="105" x14ac:dyDescent="0.25">
      <c r="A798" t="s">
        <v>798</v>
      </c>
      <c r="B798" s="8" t="str">
        <f>VLOOKUP(A798,assortedcode!B:C,2,0)</f>
        <v>040000154525</v>
      </c>
      <c r="C798" s="1">
        <v>0</v>
      </c>
      <c r="D798" s="9">
        <f t="shared" si="49"/>
        <v>0</v>
      </c>
      <c r="E798" s="7" t="s">
        <v>8345</v>
      </c>
      <c r="F798" s="10" t="str">
        <f t="shared" si="48"/>
        <v>insert into ins_premium_det (premium_rcv_code,assorted_code, rec_amount,premium_rcv_detail_code,remaining_amt, payrec, mode_code,coinsurance_code,class_cd,it_remarks) values</v>
      </c>
      <c r="G798" s="11" t="str">
        <f t="shared" si="50"/>
        <v>('28Nov240101','040000154525','0',(select max(to_number(i.premium_rcv_detail_code))+1
from ins_premium_det i),'0','0','02', '11000003','00','Request by Mr. Omair Ali 29-Nov-2024');</v>
      </c>
      <c r="H798" s="12" t="str">
        <f t="shared" si="51"/>
        <v>insert into ins_premium_det (premium_rcv_code,assorted_code, rec_amount,premium_rcv_detail_code,remaining_amt, payrec, mode_code,coinsurance_code,class_cd,it_remarks) values('28Nov240101','040000154525','0',(select max(to_number(i.premium_rcv_detail_code))+1
from ins_premium_det i),'0','0','02', '11000003','00','Request by Mr. Omair Ali 29-Nov-2024');</v>
      </c>
    </row>
    <row r="799" spans="1:8" ht="105" x14ac:dyDescent="0.25">
      <c r="A799" t="s">
        <v>799</v>
      </c>
      <c r="B799" s="8" t="str">
        <f>VLOOKUP(A799,assortedcode!B:C,2,0)</f>
        <v>040000143544</v>
      </c>
      <c r="C799" s="1">
        <v>0</v>
      </c>
      <c r="D799" s="9">
        <f t="shared" si="49"/>
        <v>0</v>
      </c>
      <c r="E799" s="7" t="s">
        <v>8345</v>
      </c>
      <c r="F799" s="10" t="str">
        <f t="shared" si="48"/>
        <v>insert into ins_premium_det (premium_rcv_code,assorted_code, rec_amount,premium_rcv_detail_code,remaining_amt, payrec, mode_code,coinsurance_code,class_cd,it_remarks) values</v>
      </c>
      <c r="G799" s="11" t="str">
        <f t="shared" si="50"/>
        <v>('28Nov240101','040000143544','0',(select max(to_number(i.premium_rcv_detail_code))+1
from ins_premium_det i),'0','0','02', '11000003','00','Request by Mr. Omair Ali 29-Nov-2024');</v>
      </c>
      <c r="H799" s="12" t="str">
        <f t="shared" si="51"/>
        <v>insert into ins_premium_det (premium_rcv_code,assorted_code, rec_amount,premium_rcv_detail_code,remaining_amt, payrec, mode_code,coinsurance_code,class_cd,it_remarks) values('28Nov240101','040000143544','0',(select max(to_number(i.premium_rcv_detail_code))+1
from ins_premium_det i),'0','0','02', '11000003','00','Request by Mr. Omair Ali 29-Nov-2024');</v>
      </c>
    </row>
    <row r="800" spans="1:8" ht="105" x14ac:dyDescent="0.25">
      <c r="A800" t="s">
        <v>800</v>
      </c>
      <c r="B800" s="8" t="str">
        <f>VLOOKUP(A800,assortedcode!B:C,2,0)</f>
        <v>040000154547</v>
      </c>
      <c r="C800" s="1">
        <v>0</v>
      </c>
      <c r="D800" s="9">
        <f t="shared" si="49"/>
        <v>0</v>
      </c>
      <c r="E800" s="7" t="s">
        <v>8345</v>
      </c>
      <c r="F800" s="10" t="str">
        <f t="shared" si="48"/>
        <v>insert into ins_premium_det (premium_rcv_code,assorted_code, rec_amount,premium_rcv_detail_code,remaining_amt, payrec, mode_code,coinsurance_code,class_cd,it_remarks) values</v>
      </c>
      <c r="G800" s="11" t="str">
        <f t="shared" si="50"/>
        <v>('28Nov240101','040000154547','0',(select max(to_number(i.premium_rcv_detail_code))+1
from ins_premium_det i),'0','0','02', '11000003','00','Request by Mr. Omair Ali 29-Nov-2024');</v>
      </c>
      <c r="H800" s="12" t="str">
        <f t="shared" si="51"/>
        <v>insert into ins_premium_det (premium_rcv_code,assorted_code, rec_amount,premium_rcv_detail_code,remaining_amt, payrec, mode_code,coinsurance_code,class_cd,it_remarks) values('28Nov240101','040000154547','0',(select max(to_number(i.premium_rcv_detail_code))+1
from ins_premium_det i),'0','0','02', '11000003','00','Request by Mr. Omair Ali 29-Nov-2024');</v>
      </c>
    </row>
    <row r="801" spans="1:8" ht="105" x14ac:dyDescent="0.25">
      <c r="A801" t="s">
        <v>801</v>
      </c>
      <c r="B801" s="8" t="str">
        <f>VLOOKUP(A801,assortedcode!B:C,2,0)</f>
        <v>040000108956</v>
      </c>
      <c r="C801" s="1">
        <v>0</v>
      </c>
      <c r="D801" s="9">
        <f t="shared" si="49"/>
        <v>0</v>
      </c>
      <c r="E801" s="7" t="s">
        <v>8345</v>
      </c>
      <c r="F801" s="10" t="str">
        <f t="shared" si="48"/>
        <v>insert into ins_premium_det (premium_rcv_code,assorted_code, rec_amount,premium_rcv_detail_code,remaining_amt, payrec, mode_code,coinsurance_code,class_cd,it_remarks) values</v>
      </c>
      <c r="G801" s="11" t="str">
        <f t="shared" si="50"/>
        <v>('28Nov240101','040000108956','0',(select max(to_number(i.premium_rcv_detail_code))+1
from ins_premium_det i),'0','0','02', '11000003','00','Request by Mr. Omair Ali 29-Nov-2024');</v>
      </c>
      <c r="H801" s="12" t="str">
        <f t="shared" si="51"/>
        <v>insert into ins_premium_det (premium_rcv_code,assorted_code, rec_amount,premium_rcv_detail_code,remaining_amt, payrec, mode_code,coinsurance_code,class_cd,it_remarks) values('28Nov240101','040000108956','0',(select max(to_number(i.premium_rcv_detail_code))+1
from ins_premium_det i),'0','0','02', '11000003','00','Request by Mr. Omair Ali 29-Nov-2024');</v>
      </c>
    </row>
    <row r="802" spans="1:8" ht="105" x14ac:dyDescent="0.25">
      <c r="A802" t="s">
        <v>802</v>
      </c>
      <c r="B802" s="8" t="str">
        <f>VLOOKUP(A802,assortedcode!B:C,2,0)</f>
        <v>040000154758</v>
      </c>
      <c r="C802" s="1">
        <v>0</v>
      </c>
      <c r="D802" s="9">
        <f t="shared" si="49"/>
        <v>0</v>
      </c>
      <c r="E802" s="7" t="s">
        <v>8345</v>
      </c>
      <c r="F802" s="10" t="str">
        <f t="shared" si="48"/>
        <v>insert into ins_premium_det (premium_rcv_code,assorted_code, rec_amount,premium_rcv_detail_code,remaining_amt, payrec, mode_code,coinsurance_code,class_cd,it_remarks) values</v>
      </c>
      <c r="G802" s="11" t="str">
        <f t="shared" si="50"/>
        <v>('28Nov240101','040000154758','0',(select max(to_number(i.premium_rcv_detail_code))+1
from ins_premium_det i),'0','0','02', '11000003','00','Request by Mr. Omair Ali 29-Nov-2024');</v>
      </c>
      <c r="H802" s="12" t="str">
        <f t="shared" si="51"/>
        <v>insert into ins_premium_det (premium_rcv_code,assorted_code, rec_amount,premium_rcv_detail_code,remaining_amt, payrec, mode_code,coinsurance_code,class_cd,it_remarks) values('28Nov240101','040000154758','0',(select max(to_number(i.premium_rcv_detail_code))+1
from ins_premium_det i),'0','0','02', '11000003','00','Request by Mr. Omair Ali 29-Nov-2024');</v>
      </c>
    </row>
    <row r="803" spans="1:8" ht="105" x14ac:dyDescent="0.25">
      <c r="A803" t="s">
        <v>803</v>
      </c>
      <c r="B803" s="8" t="str">
        <f>VLOOKUP(A803,assortedcode!B:C,2,0)</f>
        <v>040000115257</v>
      </c>
      <c r="C803" s="1">
        <v>0</v>
      </c>
      <c r="D803" s="9">
        <f t="shared" si="49"/>
        <v>0</v>
      </c>
      <c r="E803" s="7" t="s">
        <v>8345</v>
      </c>
      <c r="F803" s="10" t="str">
        <f t="shared" si="48"/>
        <v>insert into ins_premium_det (premium_rcv_code,assorted_code, rec_amount,premium_rcv_detail_code,remaining_amt, payrec, mode_code,coinsurance_code,class_cd,it_remarks) values</v>
      </c>
      <c r="G803" s="11" t="str">
        <f t="shared" si="50"/>
        <v>('28Nov240101','040000115257','0',(select max(to_number(i.premium_rcv_detail_code))+1
from ins_premium_det i),'0','0','02', '11000003','00','Request by Mr. Omair Ali 29-Nov-2024');</v>
      </c>
      <c r="H803" s="12" t="str">
        <f t="shared" si="51"/>
        <v>insert into ins_premium_det (premium_rcv_code,assorted_code, rec_amount,premium_rcv_detail_code,remaining_amt, payrec, mode_code,coinsurance_code,class_cd,it_remarks) values('28Nov240101','040000115257','0',(select max(to_number(i.premium_rcv_detail_code))+1
from ins_premium_det i),'0','0','02', '11000003','00','Request by Mr. Omair Ali 29-Nov-2024');</v>
      </c>
    </row>
    <row r="804" spans="1:8" ht="105" x14ac:dyDescent="0.25">
      <c r="A804" t="s">
        <v>804</v>
      </c>
      <c r="B804" s="8" t="str">
        <f>VLOOKUP(A804,assortedcode!B:C,2,0)</f>
        <v>040000154884</v>
      </c>
      <c r="C804" s="1">
        <v>0</v>
      </c>
      <c r="D804" s="9">
        <f t="shared" si="49"/>
        <v>0</v>
      </c>
      <c r="E804" s="7" t="s">
        <v>8345</v>
      </c>
      <c r="F804" s="10" t="str">
        <f t="shared" si="48"/>
        <v>insert into ins_premium_det (premium_rcv_code,assorted_code, rec_amount,premium_rcv_detail_code,remaining_amt, payrec, mode_code,coinsurance_code,class_cd,it_remarks) values</v>
      </c>
      <c r="G804" s="11" t="str">
        <f t="shared" si="50"/>
        <v>('28Nov240101','040000154884','0',(select max(to_number(i.premium_rcv_detail_code))+1
from ins_premium_det i),'0','0','02', '11000003','00','Request by Mr. Omair Ali 29-Nov-2024');</v>
      </c>
      <c r="H804" s="12" t="str">
        <f t="shared" si="51"/>
        <v>insert into ins_premium_det (premium_rcv_code,assorted_code, rec_amount,premium_rcv_detail_code,remaining_amt, payrec, mode_code,coinsurance_code,class_cd,it_remarks) values('28Nov240101','040000154884','0',(select max(to_number(i.premium_rcv_detail_code))+1
from ins_premium_det i),'0','0','02', '11000003','00','Request by Mr. Omair Ali 29-Nov-2024');</v>
      </c>
    </row>
    <row r="805" spans="1:8" ht="105" x14ac:dyDescent="0.25">
      <c r="A805" t="s">
        <v>805</v>
      </c>
      <c r="B805" s="8" t="str">
        <f>VLOOKUP(A805,assortedcode!B:C,2,0)</f>
        <v>040000118340</v>
      </c>
      <c r="C805" s="1">
        <v>0</v>
      </c>
      <c r="D805" s="9">
        <f t="shared" si="49"/>
        <v>0</v>
      </c>
      <c r="E805" s="7" t="s">
        <v>8345</v>
      </c>
      <c r="F805" s="10" t="str">
        <f t="shared" si="48"/>
        <v>insert into ins_premium_det (premium_rcv_code,assorted_code, rec_amount,premium_rcv_detail_code,remaining_amt, payrec, mode_code,coinsurance_code,class_cd,it_remarks) values</v>
      </c>
      <c r="G805" s="11" t="str">
        <f t="shared" si="50"/>
        <v>('28Nov240101','040000118340','0',(select max(to_number(i.premium_rcv_detail_code))+1
from ins_premium_det i),'0','0','02', '11000003','00','Request by Mr. Omair Ali 29-Nov-2024');</v>
      </c>
      <c r="H805" s="12" t="str">
        <f t="shared" si="51"/>
        <v>insert into ins_premium_det (premium_rcv_code,assorted_code, rec_amount,premium_rcv_detail_code,remaining_amt, payrec, mode_code,coinsurance_code,class_cd,it_remarks) values('28Nov240101','040000118340','0',(select max(to_number(i.premium_rcv_detail_code))+1
from ins_premium_det i),'0','0','02', '11000003','00','Request by Mr. Omair Ali 29-Nov-2024');</v>
      </c>
    </row>
    <row r="806" spans="1:8" ht="105" x14ac:dyDescent="0.25">
      <c r="A806" t="s">
        <v>806</v>
      </c>
      <c r="B806" s="8" t="str">
        <f>VLOOKUP(A806,assortedcode!B:C,2,0)</f>
        <v>040000155356</v>
      </c>
      <c r="C806" s="1">
        <v>0</v>
      </c>
      <c r="D806" s="9">
        <f t="shared" si="49"/>
        <v>0</v>
      </c>
      <c r="E806" s="7" t="s">
        <v>8345</v>
      </c>
      <c r="F806" s="10" t="str">
        <f t="shared" si="48"/>
        <v>insert into ins_premium_det (premium_rcv_code,assorted_code, rec_amount,premium_rcv_detail_code,remaining_amt, payrec, mode_code,coinsurance_code,class_cd,it_remarks) values</v>
      </c>
      <c r="G806" s="11" t="str">
        <f t="shared" si="50"/>
        <v>('28Nov240101','040000155356','0',(select max(to_number(i.premium_rcv_detail_code))+1
from ins_premium_det i),'0','0','02', '11000003','00','Request by Mr. Omair Ali 29-Nov-2024');</v>
      </c>
      <c r="H806" s="12" t="str">
        <f t="shared" si="51"/>
        <v>insert into ins_premium_det (premium_rcv_code,assorted_code, rec_amount,premium_rcv_detail_code,remaining_amt, payrec, mode_code,coinsurance_code,class_cd,it_remarks) values('28Nov240101','040000155356','0',(select max(to_number(i.premium_rcv_detail_code))+1
from ins_premium_det i),'0','0','02', '11000003','00','Request by Mr. Omair Ali 29-Nov-2024');</v>
      </c>
    </row>
    <row r="807" spans="1:8" ht="105" x14ac:dyDescent="0.25">
      <c r="A807" t="s">
        <v>807</v>
      </c>
      <c r="B807" s="8" t="str">
        <f>VLOOKUP(A807,assortedcode!B:C,2,0)</f>
        <v>040000125712</v>
      </c>
      <c r="C807" s="1">
        <v>0</v>
      </c>
      <c r="D807" s="9">
        <f t="shared" si="49"/>
        <v>0</v>
      </c>
      <c r="E807" s="7" t="s">
        <v>8345</v>
      </c>
      <c r="F807" s="10" t="str">
        <f t="shared" si="48"/>
        <v>insert into ins_premium_det (premium_rcv_code,assorted_code, rec_amount,premium_rcv_detail_code,remaining_amt, payrec, mode_code,coinsurance_code,class_cd,it_remarks) values</v>
      </c>
      <c r="G807" s="11" t="str">
        <f t="shared" si="50"/>
        <v>('28Nov240101','040000125712','0',(select max(to_number(i.premium_rcv_detail_code))+1
from ins_premium_det i),'0','0','02', '11000003','00','Request by Mr. Omair Ali 29-Nov-2024');</v>
      </c>
      <c r="H807" s="12" t="str">
        <f t="shared" si="51"/>
        <v>insert into ins_premium_det (premium_rcv_code,assorted_code, rec_amount,premium_rcv_detail_code,remaining_amt, payrec, mode_code,coinsurance_code,class_cd,it_remarks) values('28Nov240101','040000125712','0',(select max(to_number(i.premium_rcv_detail_code))+1
from ins_premium_det i),'0','0','02', '11000003','00','Request by Mr. Omair Ali 29-Nov-2024');</v>
      </c>
    </row>
    <row r="808" spans="1:8" ht="105" x14ac:dyDescent="0.25">
      <c r="A808" t="s">
        <v>808</v>
      </c>
      <c r="B808" s="8" t="str">
        <f>VLOOKUP(A808,assortedcode!B:C,2,0)</f>
        <v>040000156110</v>
      </c>
      <c r="C808" s="1">
        <v>0</v>
      </c>
      <c r="D808" s="9">
        <f t="shared" si="49"/>
        <v>0</v>
      </c>
      <c r="E808" s="7" t="s">
        <v>8345</v>
      </c>
      <c r="F808" s="10" t="str">
        <f t="shared" si="48"/>
        <v>insert into ins_premium_det (premium_rcv_code,assorted_code, rec_amount,premium_rcv_detail_code,remaining_amt, payrec, mode_code,coinsurance_code,class_cd,it_remarks) values</v>
      </c>
      <c r="G808" s="11" t="str">
        <f t="shared" si="50"/>
        <v>('28Nov240101','040000156110','0',(select max(to_number(i.premium_rcv_detail_code))+1
from ins_premium_det i),'0','0','02', '11000003','00','Request by Mr. Omair Ali 29-Nov-2024');</v>
      </c>
      <c r="H808" s="12" t="str">
        <f t="shared" si="51"/>
        <v>insert into ins_premium_det (premium_rcv_code,assorted_code, rec_amount,premium_rcv_detail_code,remaining_amt, payrec, mode_code,coinsurance_code,class_cd,it_remarks) values('28Nov240101','040000156110','0',(select max(to_number(i.premium_rcv_detail_code))+1
from ins_premium_det i),'0','0','02', '11000003','00','Request by Mr. Omair Ali 29-Nov-2024');</v>
      </c>
    </row>
    <row r="809" spans="1:8" ht="105" x14ac:dyDescent="0.25">
      <c r="A809" t="s">
        <v>809</v>
      </c>
      <c r="B809" s="8" t="str">
        <f>VLOOKUP(A809,assortedcode!B:C,2,0)</f>
        <v>040000135841</v>
      </c>
      <c r="C809" s="1">
        <v>0</v>
      </c>
      <c r="D809" s="9">
        <f t="shared" si="49"/>
        <v>0</v>
      </c>
      <c r="E809" s="7" t="s">
        <v>8345</v>
      </c>
      <c r="F809" s="10" t="str">
        <f t="shared" si="48"/>
        <v>insert into ins_premium_det (premium_rcv_code,assorted_code, rec_amount,premium_rcv_detail_code,remaining_amt, payrec, mode_code,coinsurance_code,class_cd,it_remarks) values</v>
      </c>
      <c r="G809" s="11" t="str">
        <f t="shared" si="50"/>
        <v>('28Nov240101','040000135841','0',(select max(to_number(i.premium_rcv_detail_code))+1
from ins_premium_det i),'0','0','02', '11000003','00','Request by Mr. Omair Ali 29-Nov-2024');</v>
      </c>
      <c r="H809" s="12" t="str">
        <f t="shared" si="51"/>
        <v>insert into ins_premium_det (premium_rcv_code,assorted_code, rec_amount,premium_rcv_detail_code,remaining_amt, payrec, mode_code,coinsurance_code,class_cd,it_remarks) values('28Nov240101','040000135841','0',(select max(to_number(i.premium_rcv_detail_code))+1
from ins_premium_det i),'0','0','02', '11000003','00','Request by Mr. Omair Ali 29-Nov-2024');</v>
      </c>
    </row>
    <row r="810" spans="1:8" ht="105" x14ac:dyDescent="0.25">
      <c r="A810" t="s">
        <v>810</v>
      </c>
      <c r="B810" s="8" t="str">
        <f>VLOOKUP(A810,assortedcode!B:C,2,0)</f>
        <v>040000156591</v>
      </c>
      <c r="C810" s="1">
        <v>0</v>
      </c>
      <c r="D810" s="9">
        <f t="shared" si="49"/>
        <v>0</v>
      </c>
      <c r="E810" s="7" t="s">
        <v>8345</v>
      </c>
      <c r="F810" s="10" t="str">
        <f t="shared" si="48"/>
        <v>insert into ins_premium_det (premium_rcv_code,assorted_code, rec_amount,premium_rcv_detail_code,remaining_amt, payrec, mode_code,coinsurance_code,class_cd,it_remarks) values</v>
      </c>
      <c r="G810" s="11" t="str">
        <f t="shared" si="50"/>
        <v>('28Nov240101','040000156591','0',(select max(to_number(i.premium_rcv_detail_code))+1
from ins_premium_det i),'0','0','02', '11000003','00','Request by Mr. Omair Ali 29-Nov-2024');</v>
      </c>
      <c r="H810" s="12" t="str">
        <f t="shared" si="51"/>
        <v>insert into ins_premium_det (premium_rcv_code,assorted_code, rec_amount,premium_rcv_detail_code,remaining_amt, payrec, mode_code,coinsurance_code,class_cd,it_remarks) values('28Nov240101','040000156591','0',(select max(to_number(i.premium_rcv_detail_code))+1
from ins_premium_det i),'0','0','02', '11000003','00','Request by Mr. Omair Ali 29-Nov-2024');</v>
      </c>
    </row>
    <row r="811" spans="1:8" ht="105" x14ac:dyDescent="0.25">
      <c r="A811" t="s">
        <v>811</v>
      </c>
      <c r="B811" s="8" t="str">
        <f>VLOOKUP(A811,assortedcode!B:C,2,0)</f>
        <v>040000136804</v>
      </c>
      <c r="C811" s="1">
        <v>0</v>
      </c>
      <c r="D811" s="9">
        <f t="shared" si="49"/>
        <v>0</v>
      </c>
      <c r="E811" s="7" t="s">
        <v>8345</v>
      </c>
      <c r="F811" s="10" t="str">
        <f t="shared" si="48"/>
        <v>insert into ins_premium_det (premium_rcv_code,assorted_code, rec_amount,premium_rcv_detail_code,remaining_amt, payrec, mode_code,coinsurance_code,class_cd,it_remarks) values</v>
      </c>
      <c r="G811" s="11" t="str">
        <f t="shared" si="50"/>
        <v>('28Nov240101','040000136804','0',(select max(to_number(i.premium_rcv_detail_code))+1
from ins_premium_det i),'0','0','02', '11000003','00','Request by Mr. Omair Ali 29-Nov-2024');</v>
      </c>
      <c r="H811" s="12" t="str">
        <f t="shared" si="51"/>
        <v>insert into ins_premium_det (premium_rcv_code,assorted_code, rec_amount,premium_rcv_detail_code,remaining_amt, payrec, mode_code,coinsurance_code,class_cd,it_remarks) values('28Nov240101','040000136804','0',(select max(to_number(i.premium_rcv_detail_code))+1
from ins_premium_det i),'0','0','02', '11000003','00','Request by Mr. Omair Ali 29-Nov-2024');</v>
      </c>
    </row>
    <row r="812" spans="1:8" ht="105" x14ac:dyDescent="0.25">
      <c r="A812" t="s">
        <v>812</v>
      </c>
      <c r="B812" s="8" t="str">
        <f>VLOOKUP(A812,assortedcode!B:C,2,0)</f>
        <v>040000156888</v>
      </c>
      <c r="C812" s="1">
        <v>0</v>
      </c>
      <c r="D812" s="9">
        <f t="shared" si="49"/>
        <v>0</v>
      </c>
      <c r="E812" s="7" t="s">
        <v>8345</v>
      </c>
      <c r="F812" s="10" t="str">
        <f t="shared" si="48"/>
        <v>insert into ins_premium_det (premium_rcv_code,assorted_code, rec_amount,premium_rcv_detail_code,remaining_amt, payrec, mode_code,coinsurance_code,class_cd,it_remarks) values</v>
      </c>
      <c r="G812" s="11" t="str">
        <f t="shared" si="50"/>
        <v>('28Nov240101','040000156888','0',(select max(to_number(i.premium_rcv_detail_code))+1
from ins_premium_det i),'0','0','02', '11000003','00','Request by Mr. Omair Ali 29-Nov-2024');</v>
      </c>
      <c r="H812" s="12" t="str">
        <f t="shared" si="51"/>
        <v>insert into ins_premium_det (premium_rcv_code,assorted_code, rec_amount,premium_rcv_detail_code,remaining_amt, payrec, mode_code,coinsurance_code,class_cd,it_remarks) values('28Nov240101','040000156888','0',(select max(to_number(i.premium_rcv_detail_code))+1
from ins_premium_det i),'0','0','02', '11000003','00','Request by Mr. Omair Ali 29-Nov-2024');</v>
      </c>
    </row>
    <row r="813" spans="1:8" ht="105" x14ac:dyDescent="0.25">
      <c r="A813" t="s">
        <v>813</v>
      </c>
      <c r="B813" s="8" t="str">
        <f>VLOOKUP(A813,assortedcode!B:C,2,0)</f>
        <v>040000137212</v>
      </c>
      <c r="C813" s="1">
        <v>0</v>
      </c>
      <c r="D813" s="9">
        <f t="shared" si="49"/>
        <v>0</v>
      </c>
      <c r="E813" s="7" t="s">
        <v>8345</v>
      </c>
      <c r="F813" s="10" t="str">
        <f t="shared" si="48"/>
        <v>insert into ins_premium_det (premium_rcv_code,assorted_code, rec_amount,premium_rcv_detail_code,remaining_amt, payrec, mode_code,coinsurance_code,class_cd,it_remarks) values</v>
      </c>
      <c r="G813" s="11" t="str">
        <f t="shared" si="50"/>
        <v>('28Nov240101','040000137212','0',(select max(to_number(i.premium_rcv_detail_code))+1
from ins_premium_det i),'0','0','02', '11000003','00','Request by Mr. Omair Ali 29-Nov-2024');</v>
      </c>
      <c r="H813" s="12" t="str">
        <f t="shared" si="51"/>
        <v>insert into ins_premium_det (premium_rcv_code,assorted_code, rec_amount,premium_rcv_detail_code,remaining_amt, payrec, mode_code,coinsurance_code,class_cd,it_remarks) values('28Nov240101','040000137212','0',(select max(to_number(i.premium_rcv_detail_code))+1
from ins_premium_det i),'0','0','02', '11000003','00','Request by Mr. Omair Ali 29-Nov-2024');</v>
      </c>
    </row>
    <row r="814" spans="1:8" ht="105" x14ac:dyDescent="0.25">
      <c r="A814" t="s">
        <v>814</v>
      </c>
      <c r="B814" s="8" t="str">
        <f>VLOOKUP(A814,assortedcode!B:C,2,0)</f>
        <v>040000158434</v>
      </c>
      <c r="C814" s="1">
        <v>0</v>
      </c>
      <c r="D814" s="9">
        <f t="shared" si="49"/>
        <v>0</v>
      </c>
      <c r="E814" s="7" t="s">
        <v>8345</v>
      </c>
      <c r="F814" s="10" t="str">
        <f t="shared" si="48"/>
        <v>insert into ins_premium_det (premium_rcv_code,assorted_code, rec_amount,premium_rcv_detail_code,remaining_amt, payrec, mode_code,coinsurance_code,class_cd,it_remarks) values</v>
      </c>
      <c r="G814" s="11" t="str">
        <f t="shared" si="50"/>
        <v>('28Nov240101','040000158434','0',(select max(to_number(i.premium_rcv_detail_code))+1
from ins_premium_det i),'0','0','02', '11000003','00','Request by Mr. Omair Ali 29-Nov-2024');</v>
      </c>
      <c r="H814" s="12" t="str">
        <f t="shared" si="51"/>
        <v>insert into ins_premium_det (premium_rcv_code,assorted_code, rec_amount,premium_rcv_detail_code,remaining_amt, payrec, mode_code,coinsurance_code,class_cd,it_remarks) values('28Nov240101','040000158434','0',(select max(to_number(i.premium_rcv_detail_code))+1
from ins_premium_det i),'0','0','02', '11000003','00','Request by Mr. Omair Ali 29-Nov-2024');</v>
      </c>
    </row>
    <row r="815" spans="1:8" ht="105" x14ac:dyDescent="0.25">
      <c r="A815" t="s">
        <v>815</v>
      </c>
      <c r="B815" s="8" t="str">
        <f>VLOOKUP(A815,assortedcode!B:C,2,0)</f>
        <v>040000137365</v>
      </c>
      <c r="C815" s="1">
        <v>0</v>
      </c>
      <c r="D815" s="9">
        <f t="shared" si="49"/>
        <v>0</v>
      </c>
      <c r="E815" s="7" t="s">
        <v>8345</v>
      </c>
      <c r="F815" s="10" t="str">
        <f t="shared" si="48"/>
        <v>insert into ins_premium_det (premium_rcv_code,assorted_code, rec_amount,premium_rcv_detail_code,remaining_amt, payrec, mode_code,coinsurance_code,class_cd,it_remarks) values</v>
      </c>
      <c r="G815" s="11" t="str">
        <f t="shared" si="50"/>
        <v>('28Nov240101','040000137365','0',(select max(to_number(i.premium_rcv_detail_code))+1
from ins_premium_det i),'0','0','02', '11000003','00','Request by Mr. Omair Ali 29-Nov-2024');</v>
      </c>
      <c r="H815" s="12" t="str">
        <f t="shared" si="51"/>
        <v>insert into ins_premium_det (premium_rcv_code,assorted_code, rec_amount,premium_rcv_detail_code,remaining_amt, payrec, mode_code,coinsurance_code,class_cd,it_remarks) values('28Nov240101','040000137365','0',(select max(to_number(i.premium_rcv_detail_code))+1
from ins_premium_det i),'0','0','02', '11000003','00','Request by Mr. Omair Ali 29-Nov-2024');</v>
      </c>
    </row>
    <row r="816" spans="1:8" ht="105" x14ac:dyDescent="0.25">
      <c r="A816" t="s">
        <v>816</v>
      </c>
      <c r="B816" s="8" t="str">
        <f>VLOOKUP(A816,assortedcode!B:C,2,0)</f>
        <v>040000159299</v>
      </c>
      <c r="C816" s="1">
        <v>0</v>
      </c>
      <c r="D816" s="9">
        <f t="shared" si="49"/>
        <v>0</v>
      </c>
      <c r="E816" s="7" t="s">
        <v>8345</v>
      </c>
      <c r="F816" s="10" t="str">
        <f t="shared" si="48"/>
        <v>insert into ins_premium_det (premium_rcv_code,assorted_code, rec_amount,premium_rcv_detail_code,remaining_amt, payrec, mode_code,coinsurance_code,class_cd,it_remarks) values</v>
      </c>
      <c r="G816" s="11" t="str">
        <f t="shared" si="50"/>
        <v>('28Nov240101','040000159299','0',(select max(to_number(i.premium_rcv_detail_code))+1
from ins_premium_det i),'0','0','02', '11000003','00','Request by Mr. Omair Ali 29-Nov-2024');</v>
      </c>
      <c r="H816" s="12" t="str">
        <f t="shared" si="51"/>
        <v>insert into ins_premium_det (premium_rcv_code,assorted_code, rec_amount,premium_rcv_detail_code,remaining_amt, payrec, mode_code,coinsurance_code,class_cd,it_remarks) values('28Nov240101','040000159299','0',(select max(to_number(i.premium_rcv_detail_code))+1
from ins_premium_det i),'0','0','02', '11000003','00','Request by Mr. Omair Ali 29-Nov-2024');</v>
      </c>
    </row>
    <row r="817" spans="1:8" ht="105" x14ac:dyDescent="0.25">
      <c r="A817" t="s">
        <v>817</v>
      </c>
      <c r="B817" s="8" t="str">
        <f>VLOOKUP(A817,assortedcode!B:C,2,0)</f>
        <v>040000139024</v>
      </c>
      <c r="C817" s="1">
        <v>0</v>
      </c>
      <c r="D817" s="9">
        <f t="shared" si="49"/>
        <v>0</v>
      </c>
      <c r="E817" s="7" t="s">
        <v>8345</v>
      </c>
      <c r="F817" s="10" t="str">
        <f t="shared" si="48"/>
        <v>insert into ins_premium_det (premium_rcv_code,assorted_code, rec_amount,premium_rcv_detail_code,remaining_amt, payrec, mode_code,coinsurance_code,class_cd,it_remarks) values</v>
      </c>
      <c r="G817" s="11" t="str">
        <f t="shared" si="50"/>
        <v>('28Nov240101','040000139024','0',(select max(to_number(i.premium_rcv_detail_code))+1
from ins_premium_det i),'0','0','02', '11000003','00','Request by Mr. Omair Ali 29-Nov-2024');</v>
      </c>
      <c r="H817" s="12" t="str">
        <f t="shared" si="51"/>
        <v>insert into ins_premium_det (premium_rcv_code,assorted_code, rec_amount,premium_rcv_detail_code,remaining_amt, payrec, mode_code,coinsurance_code,class_cd,it_remarks) values('28Nov240101','040000139024','0',(select max(to_number(i.premium_rcv_detail_code))+1
from ins_premium_det i),'0','0','02', '11000003','00','Request by Mr. Omair Ali 29-Nov-2024');</v>
      </c>
    </row>
    <row r="818" spans="1:8" ht="105" x14ac:dyDescent="0.25">
      <c r="A818" t="s">
        <v>818</v>
      </c>
      <c r="B818" s="8" t="str">
        <f>VLOOKUP(A818,assortedcode!B:C,2,0)</f>
        <v>040000159399</v>
      </c>
      <c r="C818" s="1">
        <v>0</v>
      </c>
      <c r="D818" s="9">
        <f t="shared" si="49"/>
        <v>0</v>
      </c>
      <c r="E818" s="7" t="s">
        <v>8345</v>
      </c>
      <c r="F818" s="10" t="str">
        <f t="shared" si="48"/>
        <v>insert into ins_premium_det (premium_rcv_code,assorted_code, rec_amount,premium_rcv_detail_code,remaining_amt, payrec, mode_code,coinsurance_code,class_cd,it_remarks) values</v>
      </c>
      <c r="G818" s="11" t="str">
        <f t="shared" si="50"/>
        <v>('28Nov240101','040000159399','0',(select max(to_number(i.premium_rcv_detail_code))+1
from ins_premium_det i),'0','0','02', '11000003','00','Request by Mr. Omair Ali 29-Nov-2024');</v>
      </c>
      <c r="H818" s="12" t="str">
        <f t="shared" si="51"/>
        <v>insert into ins_premium_det (premium_rcv_code,assorted_code, rec_amount,premium_rcv_detail_code,remaining_amt, payrec, mode_code,coinsurance_code,class_cd,it_remarks) values('28Nov240101','040000159399','0',(select max(to_number(i.premium_rcv_detail_code))+1
from ins_premium_det i),'0','0','02', '11000003','00','Request by Mr. Omair Ali 29-Nov-2024');</v>
      </c>
    </row>
    <row r="819" spans="1:8" ht="105" x14ac:dyDescent="0.25">
      <c r="A819" t="s">
        <v>819</v>
      </c>
      <c r="B819" s="8" t="str">
        <f>VLOOKUP(A819,assortedcode!B:C,2,0)</f>
        <v>040000139933</v>
      </c>
      <c r="C819" s="1">
        <v>0</v>
      </c>
      <c r="D819" s="9">
        <f t="shared" si="49"/>
        <v>0</v>
      </c>
      <c r="E819" s="7" t="s">
        <v>8345</v>
      </c>
      <c r="F819" s="10" t="str">
        <f t="shared" si="48"/>
        <v>insert into ins_premium_det (premium_rcv_code,assorted_code, rec_amount,premium_rcv_detail_code,remaining_amt, payrec, mode_code,coinsurance_code,class_cd,it_remarks) values</v>
      </c>
      <c r="G819" s="11" t="str">
        <f t="shared" si="50"/>
        <v>('28Nov240101','040000139933','0',(select max(to_number(i.premium_rcv_detail_code))+1
from ins_premium_det i),'0','0','02', '11000003','00','Request by Mr. Omair Ali 29-Nov-2024');</v>
      </c>
      <c r="H819" s="12" t="str">
        <f t="shared" si="51"/>
        <v>insert into ins_premium_det (premium_rcv_code,assorted_code, rec_amount,premium_rcv_detail_code,remaining_amt, payrec, mode_code,coinsurance_code,class_cd,it_remarks) values('28Nov240101','040000139933','0',(select max(to_number(i.premium_rcv_detail_code))+1
from ins_premium_det i),'0','0','02', '11000003','00','Request by Mr. Omair Ali 29-Nov-2024');</v>
      </c>
    </row>
    <row r="820" spans="1:8" ht="105" x14ac:dyDescent="0.25">
      <c r="A820" t="s">
        <v>820</v>
      </c>
      <c r="B820" s="8" t="str">
        <f>VLOOKUP(A820,assortedcode!B:C,2,0)</f>
        <v>040000160005</v>
      </c>
      <c r="C820" s="1">
        <v>0</v>
      </c>
      <c r="D820" s="9">
        <f t="shared" si="49"/>
        <v>0</v>
      </c>
      <c r="E820" s="7" t="s">
        <v>8345</v>
      </c>
      <c r="F820" s="10" t="str">
        <f t="shared" si="48"/>
        <v>insert into ins_premium_det (premium_rcv_code,assorted_code, rec_amount,premium_rcv_detail_code,remaining_amt, payrec, mode_code,coinsurance_code,class_cd,it_remarks) values</v>
      </c>
      <c r="G820" s="11" t="str">
        <f t="shared" si="50"/>
        <v>('28Nov240101','040000160005','0',(select max(to_number(i.premium_rcv_detail_code))+1
from ins_premium_det i),'0','0','02', '11000003','00','Request by Mr. Omair Ali 29-Nov-2024');</v>
      </c>
      <c r="H820" s="12" t="str">
        <f t="shared" si="51"/>
        <v>insert into ins_premium_det (premium_rcv_code,assorted_code, rec_amount,premium_rcv_detail_code,remaining_amt, payrec, mode_code,coinsurance_code,class_cd,it_remarks) values('28Nov240101','040000160005','0',(select max(to_number(i.premium_rcv_detail_code))+1
from ins_premium_det i),'0','0','02', '11000003','00','Request by Mr. Omair Ali 29-Nov-2024');</v>
      </c>
    </row>
    <row r="821" spans="1:8" ht="105" x14ac:dyDescent="0.25">
      <c r="A821" t="s">
        <v>821</v>
      </c>
      <c r="B821" s="8" t="str">
        <f>VLOOKUP(A821,assortedcode!B:C,2,0)</f>
        <v>040000141107</v>
      </c>
      <c r="C821" s="1">
        <v>0</v>
      </c>
      <c r="D821" s="9">
        <f t="shared" si="49"/>
        <v>0</v>
      </c>
      <c r="E821" s="7" t="s">
        <v>8345</v>
      </c>
      <c r="F821" s="10" t="str">
        <f t="shared" si="48"/>
        <v>insert into ins_premium_det (premium_rcv_code,assorted_code, rec_amount,premium_rcv_detail_code,remaining_amt, payrec, mode_code,coinsurance_code,class_cd,it_remarks) values</v>
      </c>
      <c r="G821" s="11" t="str">
        <f t="shared" si="50"/>
        <v>('28Nov240101','040000141107','0',(select max(to_number(i.premium_rcv_detail_code))+1
from ins_premium_det i),'0','0','02', '11000003','00','Request by Mr. Omair Ali 29-Nov-2024');</v>
      </c>
      <c r="H821" s="12" t="str">
        <f t="shared" si="51"/>
        <v>insert into ins_premium_det (premium_rcv_code,assorted_code, rec_amount,premium_rcv_detail_code,remaining_amt, payrec, mode_code,coinsurance_code,class_cd,it_remarks) values('28Nov240101','040000141107','0',(select max(to_number(i.premium_rcv_detail_code))+1
from ins_premium_det i),'0','0','02', '11000003','00','Request by Mr. Omair Ali 29-Nov-2024');</v>
      </c>
    </row>
    <row r="822" spans="1:8" ht="105" x14ac:dyDescent="0.25">
      <c r="A822" t="s">
        <v>822</v>
      </c>
      <c r="B822" s="8" t="str">
        <f>VLOOKUP(A822,assortedcode!B:C,2,0)</f>
        <v>040000160006</v>
      </c>
      <c r="C822" s="1">
        <v>0</v>
      </c>
      <c r="D822" s="9">
        <f t="shared" si="49"/>
        <v>0</v>
      </c>
      <c r="E822" s="7" t="s">
        <v>8345</v>
      </c>
      <c r="F822" s="10" t="str">
        <f t="shared" si="48"/>
        <v>insert into ins_premium_det (premium_rcv_code,assorted_code, rec_amount,premium_rcv_detail_code,remaining_amt, payrec, mode_code,coinsurance_code,class_cd,it_remarks) values</v>
      </c>
      <c r="G822" s="11" t="str">
        <f t="shared" si="50"/>
        <v>('28Nov240101','040000160006','0',(select max(to_number(i.premium_rcv_detail_code))+1
from ins_premium_det i),'0','0','02', '11000003','00','Request by Mr. Omair Ali 29-Nov-2024');</v>
      </c>
      <c r="H822" s="12" t="str">
        <f t="shared" si="51"/>
        <v>insert into ins_premium_det (premium_rcv_code,assorted_code, rec_amount,premium_rcv_detail_code,remaining_amt, payrec, mode_code,coinsurance_code,class_cd,it_remarks) values('28Nov240101','040000160006','0',(select max(to_number(i.premium_rcv_detail_code))+1
from ins_premium_det i),'0','0','02', '11000003','00','Request by Mr. Omair Ali 29-Nov-2024');</v>
      </c>
    </row>
    <row r="823" spans="1:8" ht="105" x14ac:dyDescent="0.25">
      <c r="A823" t="s">
        <v>823</v>
      </c>
      <c r="B823" s="8" t="str">
        <f>VLOOKUP(A823,assortedcode!B:C,2,0)</f>
        <v>040000141600</v>
      </c>
      <c r="C823" s="1">
        <v>0</v>
      </c>
      <c r="D823" s="9">
        <f t="shared" si="49"/>
        <v>0</v>
      </c>
      <c r="E823" s="7" t="s">
        <v>8345</v>
      </c>
      <c r="F823" s="10" t="str">
        <f t="shared" si="48"/>
        <v>insert into ins_premium_det (premium_rcv_code,assorted_code, rec_amount,premium_rcv_detail_code,remaining_amt, payrec, mode_code,coinsurance_code,class_cd,it_remarks) values</v>
      </c>
      <c r="G823" s="11" t="str">
        <f t="shared" si="50"/>
        <v>('28Nov240101','040000141600','0',(select max(to_number(i.premium_rcv_detail_code))+1
from ins_premium_det i),'0','0','02', '11000003','00','Request by Mr. Omair Ali 29-Nov-2024');</v>
      </c>
      <c r="H823" s="12" t="str">
        <f t="shared" si="51"/>
        <v>insert into ins_premium_det (premium_rcv_code,assorted_code, rec_amount,premium_rcv_detail_code,remaining_amt, payrec, mode_code,coinsurance_code,class_cd,it_remarks) values('28Nov240101','040000141600','0',(select max(to_number(i.premium_rcv_detail_code))+1
from ins_premium_det i),'0','0','02', '11000003','00','Request by Mr. Omair Ali 29-Nov-2024');</v>
      </c>
    </row>
    <row r="824" spans="1:8" ht="105" x14ac:dyDescent="0.25">
      <c r="A824" t="s">
        <v>824</v>
      </c>
      <c r="B824" s="8" t="str">
        <f>VLOOKUP(A824,assortedcode!B:C,2,0)</f>
        <v>040000160014</v>
      </c>
      <c r="C824" s="1">
        <v>0</v>
      </c>
      <c r="D824" s="9">
        <f t="shared" si="49"/>
        <v>0</v>
      </c>
      <c r="E824" s="7" t="s">
        <v>8345</v>
      </c>
      <c r="F824" s="10" t="str">
        <f t="shared" si="48"/>
        <v>insert into ins_premium_det (premium_rcv_code,assorted_code, rec_amount,premium_rcv_detail_code,remaining_amt, payrec, mode_code,coinsurance_code,class_cd,it_remarks) values</v>
      </c>
      <c r="G824" s="11" t="str">
        <f t="shared" si="50"/>
        <v>('28Nov240101','040000160014','0',(select max(to_number(i.premium_rcv_detail_code))+1
from ins_premium_det i),'0','0','02', '11000003','00','Request by Mr. Omair Ali 29-Nov-2024');</v>
      </c>
      <c r="H824" s="12" t="str">
        <f t="shared" si="51"/>
        <v>insert into ins_premium_det (premium_rcv_code,assorted_code, rec_amount,premium_rcv_detail_code,remaining_amt, payrec, mode_code,coinsurance_code,class_cd,it_remarks) values('28Nov240101','040000160014','0',(select max(to_number(i.premium_rcv_detail_code))+1
from ins_premium_det i),'0','0','02', '11000003','00','Request by Mr. Omair Ali 29-Nov-2024');</v>
      </c>
    </row>
    <row r="825" spans="1:8" ht="105" x14ac:dyDescent="0.25">
      <c r="A825" t="s">
        <v>825</v>
      </c>
      <c r="B825" s="8" t="str">
        <f>VLOOKUP(A825,assortedcode!B:C,2,0)</f>
        <v>040000141915</v>
      </c>
      <c r="C825" s="1">
        <v>0</v>
      </c>
      <c r="D825" s="9">
        <f t="shared" si="49"/>
        <v>0</v>
      </c>
      <c r="E825" s="7" t="s">
        <v>8345</v>
      </c>
      <c r="F825" s="10" t="str">
        <f t="shared" si="48"/>
        <v>insert into ins_premium_det (premium_rcv_code,assorted_code, rec_amount,premium_rcv_detail_code,remaining_amt, payrec, mode_code,coinsurance_code,class_cd,it_remarks) values</v>
      </c>
      <c r="G825" s="11" t="str">
        <f t="shared" si="50"/>
        <v>('28Nov240101','040000141915','0',(select max(to_number(i.premium_rcv_detail_code))+1
from ins_premium_det i),'0','0','02', '11000003','00','Request by Mr. Omair Ali 29-Nov-2024');</v>
      </c>
      <c r="H825" s="12" t="str">
        <f t="shared" si="51"/>
        <v>insert into ins_premium_det (premium_rcv_code,assorted_code, rec_amount,premium_rcv_detail_code,remaining_amt, payrec, mode_code,coinsurance_code,class_cd,it_remarks) values('28Nov240101','040000141915','0',(select max(to_number(i.premium_rcv_detail_code))+1
from ins_premium_det i),'0','0','02', '11000003','00','Request by Mr. Omair Ali 29-Nov-2024');</v>
      </c>
    </row>
    <row r="826" spans="1:8" ht="105" x14ac:dyDescent="0.25">
      <c r="A826" t="s">
        <v>826</v>
      </c>
      <c r="B826" s="8" t="str">
        <f>VLOOKUP(A826,assortedcode!B:C,2,0)</f>
        <v>040000160320</v>
      </c>
      <c r="C826" s="1">
        <v>0</v>
      </c>
      <c r="D826" s="9">
        <f t="shared" si="49"/>
        <v>0</v>
      </c>
      <c r="E826" s="7" t="s">
        <v>8345</v>
      </c>
      <c r="F826" s="10" t="str">
        <f t="shared" si="48"/>
        <v>insert into ins_premium_det (premium_rcv_code,assorted_code, rec_amount,premium_rcv_detail_code,remaining_amt, payrec, mode_code,coinsurance_code,class_cd,it_remarks) values</v>
      </c>
      <c r="G826" s="11" t="str">
        <f t="shared" si="50"/>
        <v>('28Nov240101','040000160320','0',(select max(to_number(i.premium_rcv_detail_code))+1
from ins_premium_det i),'0','0','02', '11000003','00','Request by Mr. Omair Ali 29-Nov-2024');</v>
      </c>
      <c r="H826" s="12" t="str">
        <f t="shared" si="51"/>
        <v>insert into ins_premium_det (premium_rcv_code,assorted_code, rec_amount,premium_rcv_detail_code,remaining_amt, payrec, mode_code,coinsurance_code,class_cd,it_remarks) values('28Nov240101','040000160320','0',(select max(to_number(i.premium_rcv_detail_code))+1
from ins_premium_det i),'0','0','02', '11000003','00','Request by Mr. Omair Ali 29-Nov-2024');</v>
      </c>
    </row>
    <row r="827" spans="1:8" ht="105" x14ac:dyDescent="0.25">
      <c r="A827" t="s">
        <v>827</v>
      </c>
      <c r="B827" s="8" t="str">
        <f>VLOOKUP(A827,assortedcode!B:C,2,0)</f>
        <v>040000142403</v>
      </c>
      <c r="C827" s="1">
        <v>0</v>
      </c>
      <c r="D827" s="9">
        <f t="shared" si="49"/>
        <v>0</v>
      </c>
      <c r="E827" s="7" t="s">
        <v>8345</v>
      </c>
      <c r="F827" s="10" t="str">
        <f t="shared" si="48"/>
        <v>insert into ins_premium_det (premium_rcv_code,assorted_code, rec_amount,premium_rcv_detail_code,remaining_amt, payrec, mode_code,coinsurance_code,class_cd,it_remarks) values</v>
      </c>
      <c r="G827" s="11" t="str">
        <f t="shared" si="50"/>
        <v>('28Nov240101','040000142403','0',(select max(to_number(i.premium_rcv_detail_code))+1
from ins_premium_det i),'0','0','02', '11000003','00','Request by Mr. Omair Ali 29-Nov-2024');</v>
      </c>
      <c r="H827" s="12" t="str">
        <f t="shared" si="51"/>
        <v>insert into ins_premium_det (premium_rcv_code,assorted_code, rec_amount,premium_rcv_detail_code,remaining_amt, payrec, mode_code,coinsurance_code,class_cd,it_remarks) values('28Nov240101','040000142403','0',(select max(to_number(i.premium_rcv_detail_code))+1
from ins_premium_det i),'0','0','02', '11000003','00','Request by Mr. Omair Ali 29-Nov-2024');</v>
      </c>
    </row>
    <row r="828" spans="1:8" ht="105" x14ac:dyDescent="0.25">
      <c r="A828" t="s">
        <v>828</v>
      </c>
      <c r="B828" s="8" t="str">
        <f>VLOOKUP(A828,assortedcode!B:C,2,0)</f>
        <v>040000160496</v>
      </c>
      <c r="C828" s="1">
        <v>0</v>
      </c>
      <c r="D828" s="9">
        <f t="shared" si="49"/>
        <v>0</v>
      </c>
      <c r="E828" s="7" t="s">
        <v>8345</v>
      </c>
      <c r="F828" s="10" t="str">
        <f t="shared" si="48"/>
        <v>insert into ins_premium_det (premium_rcv_code,assorted_code, rec_amount,premium_rcv_detail_code,remaining_amt, payrec, mode_code,coinsurance_code,class_cd,it_remarks) values</v>
      </c>
      <c r="G828" s="11" t="str">
        <f t="shared" si="50"/>
        <v>('28Nov240101','040000160496','0',(select max(to_number(i.premium_rcv_detail_code))+1
from ins_premium_det i),'0','0','02', '11000003','00','Request by Mr. Omair Ali 29-Nov-2024');</v>
      </c>
      <c r="H828" s="12" t="str">
        <f t="shared" si="51"/>
        <v>insert into ins_premium_det (premium_rcv_code,assorted_code, rec_amount,premium_rcv_detail_code,remaining_amt, payrec, mode_code,coinsurance_code,class_cd,it_remarks) values('28Nov240101','040000160496','0',(select max(to_number(i.premium_rcv_detail_code))+1
from ins_premium_det i),'0','0','02', '11000003','00','Request by Mr. Omair Ali 29-Nov-2024');</v>
      </c>
    </row>
    <row r="829" spans="1:8" ht="105" x14ac:dyDescent="0.25">
      <c r="A829" t="s">
        <v>829</v>
      </c>
      <c r="B829" s="8" t="str">
        <f>VLOOKUP(A829,assortedcode!B:C,2,0)</f>
        <v>040000142844</v>
      </c>
      <c r="C829" s="1">
        <v>0</v>
      </c>
      <c r="D829" s="9">
        <f t="shared" si="49"/>
        <v>0</v>
      </c>
      <c r="E829" s="7" t="s">
        <v>8345</v>
      </c>
      <c r="F829" s="10" t="str">
        <f t="shared" si="48"/>
        <v>insert into ins_premium_det (premium_rcv_code,assorted_code, rec_amount,premium_rcv_detail_code,remaining_amt, payrec, mode_code,coinsurance_code,class_cd,it_remarks) values</v>
      </c>
      <c r="G829" s="11" t="str">
        <f t="shared" si="50"/>
        <v>('28Nov240101','040000142844','0',(select max(to_number(i.premium_rcv_detail_code))+1
from ins_premium_det i),'0','0','02', '11000003','00','Request by Mr. Omair Ali 29-Nov-2024');</v>
      </c>
      <c r="H829" s="12" t="str">
        <f t="shared" si="51"/>
        <v>insert into ins_premium_det (premium_rcv_code,assorted_code, rec_amount,premium_rcv_detail_code,remaining_amt, payrec, mode_code,coinsurance_code,class_cd,it_remarks) values('28Nov240101','040000142844','0',(select max(to_number(i.premium_rcv_detail_code))+1
from ins_premium_det i),'0','0','02', '11000003','00','Request by Mr. Omair Ali 29-Nov-2024');</v>
      </c>
    </row>
    <row r="830" spans="1:8" ht="105" x14ac:dyDescent="0.25">
      <c r="A830" t="s">
        <v>830</v>
      </c>
      <c r="B830" s="8" t="str">
        <f>VLOOKUP(A830,assortedcode!B:C,2,0)</f>
        <v>040000161120</v>
      </c>
      <c r="C830" s="1">
        <v>0</v>
      </c>
      <c r="D830" s="9">
        <f t="shared" si="49"/>
        <v>0</v>
      </c>
      <c r="E830" s="7" t="s">
        <v>8345</v>
      </c>
      <c r="F830" s="10" t="str">
        <f t="shared" si="48"/>
        <v>insert into ins_premium_det (premium_rcv_code,assorted_code, rec_amount,premium_rcv_detail_code,remaining_amt, payrec, mode_code,coinsurance_code,class_cd,it_remarks) values</v>
      </c>
      <c r="G830" s="11" t="str">
        <f t="shared" si="50"/>
        <v>('28Nov240101','040000161120','0',(select max(to_number(i.premium_rcv_detail_code))+1
from ins_premium_det i),'0','0','02', '11000003','00','Request by Mr. Omair Ali 29-Nov-2024');</v>
      </c>
      <c r="H830" s="12" t="str">
        <f t="shared" si="51"/>
        <v>insert into ins_premium_det (premium_rcv_code,assorted_code, rec_amount,premium_rcv_detail_code,remaining_amt, payrec, mode_code,coinsurance_code,class_cd,it_remarks) values('28Nov240101','040000161120','0',(select max(to_number(i.premium_rcv_detail_code))+1
from ins_premium_det i),'0','0','02', '11000003','00','Request by Mr. Omair Ali 29-Nov-2024');</v>
      </c>
    </row>
    <row r="831" spans="1:8" ht="105" x14ac:dyDescent="0.25">
      <c r="A831" t="s">
        <v>831</v>
      </c>
      <c r="B831" s="8" t="str">
        <f>VLOOKUP(A831,assortedcode!B:C,2,0)</f>
        <v>040000143247</v>
      </c>
      <c r="C831" s="1">
        <v>0</v>
      </c>
      <c r="D831" s="9">
        <f t="shared" si="49"/>
        <v>0</v>
      </c>
      <c r="E831" s="7" t="s">
        <v>8345</v>
      </c>
      <c r="F831" s="10" t="str">
        <f t="shared" si="48"/>
        <v>insert into ins_premium_det (premium_rcv_code,assorted_code, rec_amount,premium_rcv_detail_code,remaining_amt, payrec, mode_code,coinsurance_code,class_cd,it_remarks) values</v>
      </c>
      <c r="G831" s="11" t="str">
        <f t="shared" si="50"/>
        <v>('28Nov240101','040000143247','0',(select max(to_number(i.premium_rcv_detail_code))+1
from ins_premium_det i),'0','0','02', '11000003','00','Request by Mr. Omair Ali 29-Nov-2024');</v>
      </c>
      <c r="H831" s="12" t="str">
        <f t="shared" si="51"/>
        <v>insert into ins_premium_det (premium_rcv_code,assorted_code, rec_amount,premium_rcv_detail_code,remaining_amt, payrec, mode_code,coinsurance_code,class_cd,it_remarks) values('28Nov240101','040000143247','0',(select max(to_number(i.premium_rcv_detail_code))+1
from ins_premium_det i),'0','0','02', '11000003','00','Request by Mr. Omair Ali 29-Nov-2024');</v>
      </c>
    </row>
    <row r="832" spans="1:8" ht="105" x14ac:dyDescent="0.25">
      <c r="A832" t="s">
        <v>832</v>
      </c>
      <c r="B832" s="8" t="str">
        <f>VLOOKUP(A832,assortedcode!B:C,2,0)</f>
        <v>040000161135</v>
      </c>
      <c r="C832" s="1">
        <v>0</v>
      </c>
      <c r="D832" s="9">
        <f t="shared" si="49"/>
        <v>0</v>
      </c>
      <c r="E832" s="7" t="s">
        <v>8345</v>
      </c>
      <c r="F832" s="10" t="str">
        <f t="shared" si="48"/>
        <v>insert into ins_premium_det (premium_rcv_code,assorted_code, rec_amount,premium_rcv_detail_code,remaining_amt, payrec, mode_code,coinsurance_code,class_cd,it_remarks) values</v>
      </c>
      <c r="G832" s="11" t="str">
        <f t="shared" si="50"/>
        <v>('28Nov240101','040000161135','0',(select max(to_number(i.premium_rcv_detail_code))+1
from ins_premium_det i),'0','0','02', '11000003','00','Request by Mr. Omair Ali 29-Nov-2024');</v>
      </c>
      <c r="H832" s="12" t="str">
        <f t="shared" si="51"/>
        <v>insert into ins_premium_det (premium_rcv_code,assorted_code, rec_amount,premium_rcv_detail_code,remaining_amt, payrec, mode_code,coinsurance_code,class_cd,it_remarks) values('28Nov240101','040000161135','0',(select max(to_number(i.premium_rcv_detail_code))+1
from ins_premium_det i),'0','0','02', '11000003','00','Request by Mr. Omair Ali 29-Nov-2024');</v>
      </c>
    </row>
    <row r="833" spans="1:8" ht="105" x14ac:dyDescent="0.25">
      <c r="A833" t="s">
        <v>833</v>
      </c>
      <c r="B833" s="8" t="str">
        <f>VLOOKUP(A833,assortedcode!B:C,2,0)</f>
        <v>040000143563</v>
      </c>
      <c r="C833" s="1">
        <v>0</v>
      </c>
      <c r="D833" s="9">
        <f t="shared" si="49"/>
        <v>0</v>
      </c>
      <c r="E833" s="7" t="s">
        <v>8345</v>
      </c>
      <c r="F833" s="10" t="str">
        <f t="shared" si="48"/>
        <v>insert into ins_premium_det (premium_rcv_code,assorted_code, rec_amount,premium_rcv_detail_code,remaining_amt, payrec, mode_code,coinsurance_code,class_cd,it_remarks) values</v>
      </c>
      <c r="G833" s="11" t="str">
        <f t="shared" si="50"/>
        <v>('28Nov240101','040000143563','0',(select max(to_number(i.premium_rcv_detail_code))+1
from ins_premium_det i),'0','0','02', '11000003','00','Request by Mr. Omair Ali 29-Nov-2024');</v>
      </c>
      <c r="H833" s="12" t="str">
        <f t="shared" si="51"/>
        <v>insert into ins_premium_det (premium_rcv_code,assorted_code, rec_amount,premium_rcv_detail_code,remaining_amt, payrec, mode_code,coinsurance_code,class_cd,it_remarks) values('28Nov240101','040000143563','0',(select max(to_number(i.premium_rcv_detail_code))+1
from ins_premium_det i),'0','0','02', '11000003','00','Request by Mr. Omair Ali 29-Nov-2024');</v>
      </c>
    </row>
    <row r="834" spans="1:8" ht="105" x14ac:dyDescent="0.25">
      <c r="A834" t="s">
        <v>834</v>
      </c>
      <c r="B834" s="8" t="str">
        <f>VLOOKUP(A834,assortedcode!B:C,2,0)</f>
        <v>040000161243</v>
      </c>
      <c r="C834" s="1">
        <v>0</v>
      </c>
      <c r="D834" s="9">
        <f t="shared" si="49"/>
        <v>0</v>
      </c>
      <c r="E834" s="7" t="s">
        <v>8345</v>
      </c>
      <c r="F834" s="10" t="str">
        <f t="shared" ref="F834:F897" si="52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834" s="11" t="str">
        <f t="shared" si="50"/>
        <v>('28Nov240101','040000161243','0',(select max(to_number(i.premium_rcv_detail_code))+1
from ins_premium_det i),'0','0','02', '11000003','00','Request by Mr. Omair Ali 29-Nov-2024');</v>
      </c>
      <c r="H834" s="12" t="str">
        <f t="shared" si="51"/>
        <v>insert into ins_premium_det (premium_rcv_code,assorted_code, rec_amount,premium_rcv_detail_code,remaining_amt, payrec, mode_code,coinsurance_code,class_cd,it_remarks) values('28Nov240101','040000161243','0',(select max(to_number(i.premium_rcv_detail_code))+1
from ins_premium_det i),'0','0','02', '11000003','00','Request by Mr. Omair Ali 29-Nov-2024');</v>
      </c>
    </row>
    <row r="835" spans="1:8" ht="105" x14ac:dyDescent="0.25">
      <c r="A835" t="s">
        <v>835</v>
      </c>
      <c r="B835" s="8" t="str">
        <f>VLOOKUP(A835,assortedcode!B:C,2,0)</f>
        <v>070000158161</v>
      </c>
      <c r="C835" s="1">
        <v>0</v>
      </c>
      <c r="D835" s="9">
        <f t="shared" ref="D835:D898" si="53">ROUND(C835,0)</f>
        <v>0</v>
      </c>
      <c r="E835" s="7" t="s">
        <v>8345</v>
      </c>
      <c r="F835" s="10" t="str">
        <f t="shared" si="52"/>
        <v>insert into ins_premium_det (premium_rcv_code,assorted_code, rec_amount,premium_rcv_detail_code,remaining_amt, payrec, mode_code,coinsurance_code,class_cd,it_remarks) values</v>
      </c>
      <c r="G835" s="11" t="str">
        <f t="shared" ref="G835:G898" si="54">"('"&amp;E835&amp;"','"&amp;B835&amp;"','"&amp;ROUND(D835,2)&amp;"',(select max(to_number(i.premium_rcv_detail_code))+1
from ins_premium_det i),'"&amp;D835&amp;"','"&amp;D835&amp;"','02', '11000003','00','Request by Mr. Omair Ali 29-Nov-2024');"</f>
        <v>('28Nov240101','070000158161','0',(select max(to_number(i.premium_rcv_detail_code))+1
from ins_premium_det i),'0','0','02', '11000003','00','Request by Mr. Omair Ali 29-Nov-2024');</v>
      </c>
      <c r="H835" s="12" t="str">
        <f t="shared" ref="H835:H898" si="55">F835&amp;G835</f>
        <v>insert into ins_premium_det (premium_rcv_code,assorted_code, rec_amount,premium_rcv_detail_code,remaining_amt, payrec, mode_code,coinsurance_code,class_cd,it_remarks) values('28Nov240101','070000158161','0',(select max(to_number(i.premium_rcv_detail_code))+1
from ins_premium_det i),'0','0','02', '11000003','00','Request by Mr. Omair Ali 29-Nov-2024');</v>
      </c>
    </row>
    <row r="836" spans="1:8" ht="105" x14ac:dyDescent="0.25">
      <c r="A836" t="s">
        <v>836</v>
      </c>
      <c r="B836" s="8" t="str">
        <f>VLOOKUP(A836,assortedcode!B:C,2,0)</f>
        <v>040000163373</v>
      </c>
      <c r="C836" s="1">
        <v>0</v>
      </c>
      <c r="D836" s="9">
        <f t="shared" si="53"/>
        <v>0</v>
      </c>
      <c r="E836" s="7" t="s">
        <v>8345</v>
      </c>
      <c r="F836" s="10" t="str">
        <f t="shared" si="52"/>
        <v>insert into ins_premium_det (premium_rcv_code,assorted_code, rec_amount,premium_rcv_detail_code,remaining_amt, payrec, mode_code,coinsurance_code,class_cd,it_remarks) values</v>
      </c>
      <c r="G836" s="11" t="str">
        <f t="shared" si="54"/>
        <v>('28Nov240101','040000163373','0',(select max(to_number(i.premium_rcv_detail_code))+1
from ins_premium_det i),'0','0','02', '11000003','00','Request by Mr. Omair Ali 29-Nov-2024');</v>
      </c>
      <c r="H836" s="12" t="str">
        <f t="shared" si="55"/>
        <v>insert into ins_premium_det (premium_rcv_code,assorted_code, rec_amount,premium_rcv_detail_code,remaining_amt, payrec, mode_code,coinsurance_code,class_cd,it_remarks) values('28Nov240101','040000163373','0',(select max(to_number(i.premium_rcv_detail_code))+1
from ins_premium_det i),'0','0','02', '11000003','00','Request by Mr. Omair Ali 29-Nov-2024');</v>
      </c>
    </row>
    <row r="837" spans="1:8" ht="105" x14ac:dyDescent="0.25">
      <c r="A837" t="s">
        <v>837</v>
      </c>
      <c r="B837" s="8" t="str">
        <f>VLOOKUP(A837,assortedcode!B:C,2,0)</f>
        <v>070000158708</v>
      </c>
      <c r="C837" s="1">
        <v>0</v>
      </c>
      <c r="D837" s="9">
        <f t="shared" si="53"/>
        <v>0</v>
      </c>
      <c r="E837" s="7" t="s">
        <v>8345</v>
      </c>
      <c r="F837" s="10" t="str">
        <f t="shared" si="52"/>
        <v>insert into ins_premium_det (premium_rcv_code,assorted_code, rec_amount,premium_rcv_detail_code,remaining_amt, payrec, mode_code,coinsurance_code,class_cd,it_remarks) values</v>
      </c>
      <c r="G837" s="11" t="str">
        <f t="shared" si="54"/>
        <v>('28Nov240101','070000158708','0',(select max(to_number(i.premium_rcv_detail_code))+1
from ins_premium_det i),'0','0','02', '11000003','00','Request by Mr. Omair Ali 29-Nov-2024');</v>
      </c>
      <c r="H837" s="12" t="str">
        <f t="shared" si="55"/>
        <v>insert into ins_premium_det (premium_rcv_code,assorted_code, rec_amount,premium_rcv_detail_code,remaining_amt, payrec, mode_code,coinsurance_code,class_cd,it_remarks) values('28Nov240101','070000158708','0',(select max(to_number(i.premium_rcv_detail_code))+1
from ins_premium_det i),'0','0','02', '11000003','00','Request by Mr. Omair Ali 29-Nov-2024');</v>
      </c>
    </row>
    <row r="838" spans="1:8" ht="105" x14ac:dyDescent="0.25">
      <c r="A838" t="s">
        <v>838</v>
      </c>
      <c r="B838" s="8" t="str">
        <f>VLOOKUP(A838,assortedcode!B:C,2,0)</f>
        <v>040000163935</v>
      </c>
      <c r="C838" s="1">
        <v>0</v>
      </c>
      <c r="D838" s="9">
        <f t="shared" si="53"/>
        <v>0</v>
      </c>
      <c r="E838" s="7" t="s">
        <v>8345</v>
      </c>
      <c r="F838" s="10" t="str">
        <f t="shared" si="52"/>
        <v>insert into ins_premium_det (premium_rcv_code,assorted_code, rec_amount,premium_rcv_detail_code,remaining_amt, payrec, mode_code,coinsurance_code,class_cd,it_remarks) values</v>
      </c>
      <c r="G838" s="11" t="str">
        <f t="shared" si="54"/>
        <v>('28Nov240101','040000163935','0',(select max(to_number(i.premium_rcv_detail_code))+1
from ins_premium_det i),'0','0','02', '11000003','00','Request by Mr. Omair Ali 29-Nov-2024');</v>
      </c>
      <c r="H838" s="12" t="str">
        <f t="shared" si="55"/>
        <v>insert into ins_premium_det (premium_rcv_code,assorted_code, rec_amount,premium_rcv_detail_code,remaining_amt, payrec, mode_code,coinsurance_code,class_cd,it_remarks) values('28Nov240101','040000163935','0',(select max(to_number(i.premium_rcv_detail_code))+1
from ins_premium_det i),'0','0','02', '11000003','00','Request by Mr. Omair Ali 29-Nov-2024');</v>
      </c>
    </row>
    <row r="839" spans="1:8" ht="105" x14ac:dyDescent="0.25">
      <c r="A839" t="s">
        <v>839</v>
      </c>
      <c r="B839" s="8" t="str">
        <f>VLOOKUP(A839,assortedcode!B:C,2,0)</f>
        <v>040000144846</v>
      </c>
      <c r="C839" s="1">
        <v>0</v>
      </c>
      <c r="D839" s="9">
        <f t="shared" si="53"/>
        <v>0</v>
      </c>
      <c r="E839" s="7" t="s">
        <v>8345</v>
      </c>
      <c r="F839" s="10" t="str">
        <f t="shared" si="52"/>
        <v>insert into ins_premium_det (premium_rcv_code,assorted_code, rec_amount,premium_rcv_detail_code,remaining_amt, payrec, mode_code,coinsurance_code,class_cd,it_remarks) values</v>
      </c>
      <c r="G839" s="11" t="str">
        <f t="shared" si="54"/>
        <v>('28Nov240101','040000144846','0',(select max(to_number(i.premium_rcv_detail_code))+1
from ins_premium_det i),'0','0','02', '11000003','00','Request by Mr. Omair Ali 29-Nov-2024');</v>
      </c>
      <c r="H839" s="12" t="str">
        <f t="shared" si="55"/>
        <v>insert into ins_premium_det (premium_rcv_code,assorted_code, rec_amount,premium_rcv_detail_code,remaining_amt, payrec, mode_code,coinsurance_code,class_cd,it_remarks) values('28Nov240101','040000144846','0',(select max(to_number(i.premium_rcv_detail_code))+1
from ins_premium_det i),'0','0','02', '11000003','00','Request by Mr. Omair Ali 29-Nov-2024');</v>
      </c>
    </row>
    <row r="840" spans="1:8" ht="105" x14ac:dyDescent="0.25">
      <c r="A840" t="s">
        <v>840</v>
      </c>
      <c r="B840" s="8" t="str">
        <f>VLOOKUP(A840,assortedcode!B:C,2,0)</f>
        <v>040000164952</v>
      </c>
      <c r="C840" s="1">
        <v>0</v>
      </c>
      <c r="D840" s="9">
        <f t="shared" si="53"/>
        <v>0</v>
      </c>
      <c r="E840" s="7" t="s">
        <v>8345</v>
      </c>
      <c r="F840" s="10" t="str">
        <f t="shared" si="52"/>
        <v>insert into ins_premium_det (premium_rcv_code,assorted_code, rec_amount,premium_rcv_detail_code,remaining_amt, payrec, mode_code,coinsurance_code,class_cd,it_remarks) values</v>
      </c>
      <c r="G840" s="11" t="str">
        <f t="shared" si="54"/>
        <v>('28Nov240101','040000164952','0',(select max(to_number(i.premium_rcv_detail_code))+1
from ins_premium_det i),'0','0','02', '11000003','00','Request by Mr. Omair Ali 29-Nov-2024');</v>
      </c>
      <c r="H840" s="12" t="str">
        <f t="shared" si="55"/>
        <v>insert into ins_premium_det (premium_rcv_code,assorted_code, rec_amount,premium_rcv_detail_code,remaining_amt, payrec, mode_code,coinsurance_code,class_cd,it_remarks) values('28Nov240101','040000164952','0',(select max(to_number(i.premium_rcv_detail_code))+1
from ins_premium_det i),'0','0','02', '11000003','00','Request by Mr. Omair Ali 29-Nov-2024');</v>
      </c>
    </row>
    <row r="841" spans="1:8" ht="105" x14ac:dyDescent="0.25">
      <c r="A841" t="s">
        <v>841</v>
      </c>
      <c r="B841" s="8" t="str">
        <f>VLOOKUP(A841,assortedcode!B:C,2,0)</f>
        <v>070000160633</v>
      </c>
      <c r="C841" s="1">
        <v>0</v>
      </c>
      <c r="D841" s="9">
        <f t="shared" si="53"/>
        <v>0</v>
      </c>
      <c r="E841" s="7" t="s">
        <v>8345</v>
      </c>
      <c r="F841" s="10" t="str">
        <f t="shared" si="52"/>
        <v>insert into ins_premium_det (premium_rcv_code,assorted_code, rec_amount,premium_rcv_detail_code,remaining_amt, payrec, mode_code,coinsurance_code,class_cd,it_remarks) values</v>
      </c>
      <c r="G841" s="11" t="str">
        <f t="shared" si="54"/>
        <v>('28Nov240101','070000160633','0',(select max(to_number(i.premium_rcv_detail_code))+1
from ins_premium_det i),'0','0','02', '11000003','00','Request by Mr. Omair Ali 29-Nov-2024');</v>
      </c>
      <c r="H841" s="12" t="str">
        <f t="shared" si="55"/>
        <v>insert into ins_premium_det (premium_rcv_code,assorted_code, rec_amount,premium_rcv_detail_code,remaining_amt, payrec, mode_code,coinsurance_code,class_cd,it_remarks) values('28Nov240101','070000160633','0',(select max(to_number(i.premium_rcv_detail_code))+1
from ins_premium_det i),'0','0','02', '11000003','00','Request by Mr. Omair Ali 29-Nov-2024');</v>
      </c>
    </row>
    <row r="842" spans="1:8" ht="105" x14ac:dyDescent="0.25">
      <c r="A842" t="s">
        <v>842</v>
      </c>
      <c r="B842" s="8" t="str">
        <f>VLOOKUP(A842,assortedcode!B:C,2,0)</f>
        <v>040000165027</v>
      </c>
      <c r="C842" s="1">
        <v>0</v>
      </c>
      <c r="D842" s="9">
        <f t="shared" si="53"/>
        <v>0</v>
      </c>
      <c r="E842" s="7" t="s">
        <v>8345</v>
      </c>
      <c r="F842" s="10" t="str">
        <f t="shared" si="52"/>
        <v>insert into ins_premium_det (premium_rcv_code,assorted_code, rec_amount,premium_rcv_detail_code,remaining_amt, payrec, mode_code,coinsurance_code,class_cd,it_remarks) values</v>
      </c>
      <c r="G842" s="11" t="str">
        <f t="shared" si="54"/>
        <v>('28Nov240101','040000165027','0',(select max(to_number(i.premium_rcv_detail_code))+1
from ins_premium_det i),'0','0','02', '11000003','00','Request by Mr. Omair Ali 29-Nov-2024');</v>
      </c>
      <c r="H842" s="12" t="str">
        <f t="shared" si="55"/>
        <v>insert into ins_premium_det (premium_rcv_code,assorted_code, rec_amount,premium_rcv_detail_code,remaining_amt, payrec, mode_code,coinsurance_code,class_cd,it_remarks) values('28Nov240101','040000165027','0',(select max(to_number(i.premium_rcv_detail_code))+1
from ins_premium_det i),'0','0','02', '11000003','00','Request by Mr. Omair Ali 29-Nov-2024');</v>
      </c>
    </row>
    <row r="843" spans="1:8" ht="105" x14ac:dyDescent="0.25">
      <c r="A843" t="s">
        <v>843</v>
      </c>
      <c r="B843" s="8" t="str">
        <f>VLOOKUP(A843,assortedcode!B:C,2,0)</f>
        <v>070000163534</v>
      </c>
      <c r="C843" s="1">
        <v>0</v>
      </c>
      <c r="D843" s="9">
        <f t="shared" si="53"/>
        <v>0</v>
      </c>
      <c r="E843" s="7" t="s">
        <v>8345</v>
      </c>
      <c r="F843" s="10" t="str">
        <f t="shared" si="52"/>
        <v>insert into ins_premium_det (premium_rcv_code,assorted_code, rec_amount,premium_rcv_detail_code,remaining_amt, payrec, mode_code,coinsurance_code,class_cd,it_remarks) values</v>
      </c>
      <c r="G843" s="11" t="str">
        <f t="shared" si="54"/>
        <v>('28Nov240101','070000163534','0',(select max(to_number(i.premium_rcv_detail_code))+1
from ins_premium_det i),'0','0','02', '11000003','00','Request by Mr. Omair Ali 29-Nov-2024');</v>
      </c>
      <c r="H843" s="12" t="str">
        <f t="shared" si="55"/>
        <v>insert into ins_premium_det (premium_rcv_code,assorted_code, rec_amount,premium_rcv_detail_code,remaining_amt, payrec, mode_code,coinsurance_code,class_cd,it_remarks) values('28Nov240101','070000163534','0',(select max(to_number(i.premium_rcv_detail_code))+1
from ins_premium_det i),'0','0','02', '11000003','00','Request by Mr. Omair Ali 29-Nov-2024');</v>
      </c>
    </row>
    <row r="844" spans="1:8" ht="105" x14ac:dyDescent="0.25">
      <c r="A844" t="s">
        <v>844</v>
      </c>
      <c r="B844" s="8" t="str">
        <f>VLOOKUP(A844,assortedcode!B:C,2,0)</f>
        <v>040000166183</v>
      </c>
      <c r="C844" s="1">
        <v>0</v>
      </c>
      <c r="D844" s="9">
        <f t="shared" si="53"/>
        <v>0</v>
      </c>
      <c r="E844" s="7" t="s">
        <v>8345</v>
      </c>
      <c r="F844" s="10" t="str">
        <f t="shared" si="52"/>
        <v>insert into ins_premium_det (premium_rcv_code,assorted_code, rec_amount,premium_rcv_detail_code,remaining_amt, payrec, mode_code,coinsurance_code,class_cd,it_remarks) values</v>
      </c>
      <c r="G844" s="11" t="str">
        <f t="shared" si="54"/>
        <v>('28Nov240101','040000166183','0',(select max(to_number(i.premium_rcv_detail_code))+1
from ins_premium_det i),'0','0','02', '11000003','00','Request by Mr. Omair Ali 29-Nov-2024');</v>
      </c>
      <c r="H844" s="12" t="str">
        <f t="shared" si="55"/>
        <v>insert into ins_premium_det (premium_rcv_code,assorted_code, rec_amount,premium_rcv_detail_code,remaining_amt, payrec, mode_code,coinsurance_code,class_cd,it_remarks) values('28Nov240101','040000166183','0',(select max(to_number(i.premium_rcv_detail_code))+1
from ins_premium_det i),'0','0','02', '11000003','00','Request by Mr. Omair Ali 29-Nov-2024');</v>
      </c>
    </row>
    <row r="845" spans="1:8" ht="105" x14ac:dyDescent="0.25">
      <c r="A845" t="s">
        <v>845</v>
      </c>
      <c r="B845" s="8" t="str">
        <f>VLOOKUP(A845,assortedcode!B:C,2,0)</f>
        <v>070000165473</v>
      </c>
      <c r="C845" s="1">
        <v>0</v>
      </c>
      <c r="D845" s="9">
        <f t="shared" si="53"/>
        <v>0</v>
      </c>
      <c r="E845" s="7" t="s">
        <v>8345</v>
      </c>
      <c r="F845" s="10" t="str">
        <f t="shared" si="52"/>
        <v>insert into ins_premium_det (premium_rcv_code,assorted_code, rec_amount,premium_rcv_detail_code,remaining_amt, payrec, mode_code,coinsurance_code,class_cd,it_remarks) values</v>
      </c>
      <c r="G845" s="11" t="str">
        <f t="shared" si="54"/>
        <v>('28Nov240101','070000165473','0',(select max(to_number(i.premium_rcv_detail_code))+1
from ins_premium_det i),'0','0','02', '11000003','00','Request by Mr. Omair Ali 29-Nov-2024');</v>
      </c>
      <c r="H845" s="12" t="str">
        <f t="shared" si="55"/>
        <v>insert into ins_premium_det (premium_rcv_code,assorted_code, rec_amount,premium_rcv_detail_code,remaining_amt, payrec, mode_code,coinsurance_code,class_cd,it_remarks) values('28Nov240101','070000165473','0',(select max(to_number(i.premium_rcv_detail_code))+1
from ins_premium_det i),'0','0','02', '11000003','00','Request by Mr. Omair Ali 29-Nov-2024');</v>
      </c>
    </row>
    <row r="846" spans="1:8" ht="105" x14ac:dyDescent="0.25">
      <c r="A846" t="s">
        <v>846</v>
      </c>
      <c r="B846" s="8" t="str">
        <f>VLOOKUP(A846,assortedcode!B:C,2,0)</f>
        <v>040000166962</v>
      </c>
      <c r="C846" s="1">
        <v>0</v>
      </c>
      <c r="D846" s="9">
        <f t="shared" si="53"/>
        <v>0</v>
      </c>
      <c r="E846" s="7" t="s">
        <v>8345</v>
      </c>
      <c r="F846" s="10" t="str">
        <f t="shared" si="52"/>
        <v>insert into ins_premium_det (premium_rcv_code,assorted_code, rec_amount,premium_rcv_detail_code,remaining_amt, payrec, mode_code,coinsurance_code,class_cd,it_remarks) values</v>
      </c>
      <c r="G846" s="11" t="str">
        <f t="shared" si="54"/>
        <v>('28Nov240101','040000166962','0',(select max(to_number(i.premium_rcv_detail_code))+1
from ins_premium_det i),'0','0','02', '11000003','00','Request by Mr. Omair Ali 29-Nov-2024');</v>
      </c>
      <c r="H846" s="12" t="str">
        <f t="shared" si="55"/>
        <v>insert into ins_premium_det (premium_rcv_code,assorted_code, rec_amount,premium_rcv_detail_code,remaining_amt, payrec, mode_code,coinsurance_code,class_cd,it_remarks) values('28Nov240101','040000166962','0',(select max(to_number(i.premium_rcv_detail_code))+1
from ins_premium_det i),'0','0','02', '11000003','00','Request by Mr. Omair Ali 29-Nov-2024');</v>
      </c>
    </row>
    <row r="847" spans="1:8" ht="105" x14ac:dyDescent="0.25">
      <c r="A847" t="s">
        <v>847</v>
      </c>
      <c r="B847" s="8" t="str">
        <f>VLOOKUP(A847,assortedcode!B:C,2,0)</f>
        <v>040000136387</v>
      </c>
      <c r="C847" s="1">
        <v>0</v>
      </c>
      <c r="D847" s="9">
        <f t="shared" si="53"/>
        <v>0</v>
      </c>
      <c r="E847" s="7" t="s">
        <v>8345</v>
      </c>
      <c r="F847" s="10" t="str">
        <f t="shared" si="52"/>
        <v>insert into ins_premium_det (premium_rcv_code,assorted_code, rec_amount,premium_rcv_detail_code,remaining_amt, payrec, mode_code,coinsurance_code,class_cd,it_remarks) values</v>
      </c>
      <c r="G847" s="11" t="str">
        <f t="shared" si="54"/>
        <v>('28Nov240101','040000136387','0',(select max(to_number(i.premium_rcv_detail_code))+1
from ins_premium_det i),'0','0','02', '11000003','00','Request by Mr. Omair Ali 29-Nov-2024');</v>
      </c>
      <c r="H847" s="12" t="str">
        <f t="shared" si="55"/>
        <v>insert into ins_premium_det (premium_rcv_code,assorted_code, rec_amount,premium_rcv_detail_code,remaining_amt, payrec, mode_code,coinsurance_code,class_cd,it_remarks) values('28Nov240101','040000136387','0',(select max(to_number(i.premium_rcv_detail_code))+1
from ins_premium_det i),'0','0','02', '11000003','00','Request by Mr. Omair Ali 29-Nov-2024');</v>
      </c>
    </row>
    <row r="848" spans="1:8" ht="105" x14ac:dyDescent="0.25">
      <c r="A848" t="s">
        <v>848</v>
      </c>
      <c r="B848" s="8" t="str">
        <f>VLOOKUP(A848,assortedcode!B:C,2,0)</f>
        <v>040000167161</v>
      </c>
      <c r="C848" s="1">
        <v>0</v>
      </c>
      <c r="D848" s="9">
        <f t="shared" si="53"/>
        <v>0</v>
      </c>
      <c r="E848" s="7" t="s">
        <v>8345</v>
      </c>
      <c r="F848" s="10" t="str">
        <f t="shared" si="52"/>
        <v>insert into ins_premium_det (premium_rcv_code,assorted_code, rec_amount,premium_rcv_detail_code,remaining_amt, payrec, mode_code,coinsurance_code,class_cd,it_remarks) values</v>
      </c>
      <c r="G848" s="11" t="str">
        <f t="shared" si="54"/>
        <v>('28Nov240101','040000167161','0',(select max(to_number(i.premium_rcv_detail_code))+1
from ins_premium_det i),'0','0','02', '11000003','00','Request by Mr. Omair Ali 29-Nov-2024');</v>
      </c>
      <c r="H848" s="12" t="str">
        <f t="shared" si="55"/>
        <v>insert into ins_premium_det (premium_rcv_code,assorted_code, rec_amount,premium_rcv_detail_code,remaining_amt, payrec, mode_code,coinsurance_code,class_cd,it_remarks) values('28Nov240101','040000167161','0',(select max(to_number(i.premium_rcv_detail_code))+1
from ins_premium_det i),'0','0','02', '11000003','00','Request by Mr. Omair Ali 29-Nov-2024');</v>
      </c>
    </row>
    <row r="849" spans="1:8" ht="105" x14ac:dyDescent="0.25">
      <c r="A849" t="s">
        <v>849</v>
      </c>
      <c r="B849" s="8" t="str">
        <f>VLOOKUP(A849,assortedcode!B:C,2,0)</f>
        <v>040000159620</v>
      </c>
      <c r="C849" s="1">
        <v>0</v>
      </c>
      <c r="D849" s="9">
        <f t="shared" si="53"/>
        <v>0</v>
      </c>
      <c r="E849" s="7" t="s">
        <v>8345</v>
      </c>
      <c r="F849" s="10" t="str">
        <f t="shared" si="52"/>
        <v>insert into ins_premium_det (premium_rcv_code,assorted_code, rec_amount,premium_rcv_detail_code,remaining_amt, payrec, mode_code,coinsurance_code,class_cd,it_remarks) values</v>
      </c>
      <c r="G849" s="11" t="str">
        <f t="shared" si="54"/>
        <v>('28Nov240101','040000159620','0',(select max(to_number(i.premium_rcv_detail_code))+1
from ins_premium_det i),'0','0','02', '11000003','00','Request by Mr. Omair Ali 29-Nov-2024');</v>
      </c>
      <c r="H849" s="12" t="str">
        <f t="shared" si="55"/>
        <v>insert into ins_premium_det (premium_rcv_code,assorted_code, rec_amount,premium_rcv_detail_code,remaining_amt, payrec, mode_code,coinsurance_code,class_cd,it_remarks) values('28Nov240101','040000159620','0',(select max(to_number(i.premium_rcv_detail_code))+1
from ins_premium_det i),'0','0','02', '11000003','00','Request by Mr. Omair Ali 29-Nov-2024');</v>
      </c>
    </row>
    <row r="850" spans="1:8" ht="105" x14ac:dyDescent="0.25">
      <c r="A850" t="s">
        <v>850</v>
      </c>
      <c r="B850" s="8" t="str">
        <f>VLOOKUP(A850,assortedcode!B:C,2,0)</f>
        <v>040000168446</v>
      </c>
      <c r="C850" s="1">
        <v>0</v>
      </c>
      <c r="D850" s="9">
        <f t="shared" si="53"/>
        <v>0</v>
      </c>
      <c r="E850" s="7" t="s">
        <v>8345</v>
      </c>
      <c r="F850" s="10" t="str">
        <f t="shared" si="52"/>
        <v>insert into ins_premium_det (premium_rcv_code,assorted_code, rec_amount,premium_rcv_detail_code,remaining_amt, payrec, mode_code,coinsurance_code,class_cd,it_remarks) values</v>
      </c>
      <c r="G850" s="11" t="str">
        <f t="shared" si="54"/>
        <v>('28Nov240101','040000168446','0',(select max(to_number(i.premium_rcv_detail_code))+1
from ins_premium_det i),'0','0','02', '11000003','00','Request by Mr. Omair Ali 29-Nov-2024');</v>
      </c>
      <c r="H850" s="12" t="str">
        <f t="shared" si="55"/>
        <v>insert into ins_premium_det (premium_rcv_code,assorted_code, rec_amount,premium_rcv_detail_code,remaining_amt, payrec, mode_code,coinsurance_code,class_cd,it_remarks) values('28Nov240101','040000168446','0',(select max(to_number(i.premium_rcv_detail_code))+1
from ins_premium_det i),'0','0','02', '11000003','00','Request by Mr. Omair Ali 29-Nov-2024');</v>
      </c>
    </row>
    <row r="851" spans="1:8" ht="105" x14ac:dyDescent="0.25">
      <c r="A851" t="s">
        <v>851</v>
      </c>
      <c r="B851" s="8" t="str">
        <f>VLOOKUP(A851,assortedcode!B:C,2,0)</f>
        <v>040000136039</v>
      </c>
      <c r="C851" s="1">
        <v>0</v>
      </c>
      <c r="D851" s="9">
        <f t="shared" si="53"/>
        <v>0</v>
      </c>
      <c r="E851" s="7" t="s">
        <v>8345</v>
      </c>
      <c r="F851" s="10" t="str">
        <f t="shared" si="52"/>
        <v>insert into ins_premium_det (premium_rcv_code,assorted_code, rec_amount,premium_rcv_detail_code,remaining_amt, payrec, mode_code,coinsurance_code,class_cd,it_remarks) values</v>
      </c>
      <c r="G851" s="11" t="str">
        <f t="shared" si="54"/>
        <v>('28Nov240101','040000136039','0',(select max(to_number(i.premium_rcv_detail_code))+1
from ins_premium_det i),'0','0','02', '11000003','00','Request by Mr. Omair Ali 29-Nov-2024');</v>
      </c>
      <c r="H851" s="12" t="str">
        <f t="shared" si="55"/>
        <v>insert into ins_premium_det (premium_rcv_code,assorted_code, rec_amount,premium_rcv_detail_code,remaining_amt, payrec, mode_code,coinsurance_code,class_cd,it_remarks) values('28Nov240101','040000136039','0',(select max(to_number(i.premium_rcv_detail_code))+1
from ins_premium_det i),'0','0','02', '11000003','00','Request by Mr. Omair Ali 29-Nov-2024');</v>
      </c>
    </row>
    <row r="852" spans="1:8" ht="105" x14ac:dyDescent="0.25">
      <c r="A852" t="s">
        <v>852</v>
      </c>
      <c r="B852" s="8" t="str">
        <f>VLOOKUP(A852,assortedcode!B:C,2,0)</f>
        <v>040000168806</v>
      </c>
      <c r="C852" s="1">
        <v>0</v>
      </c>
      <c r="D852" s="9">
        <f t="shared" si="53"/>
        <v>0</v>
      </c>
      <c r="E852" s="7" t="s">
        <v>8345</v>
      </c>
      <c r="F852" s="10" t="str">
        <f t="shared" si="52"/>
        <v>insert into ins_premium_det (premium_rcv_code,assorted_code, rec_amount,premium_rcv_detail_code,remaining_amt, payrec, mode_code,coinsurance_code,class_cd,it_remarks) values</v>
      </c>
      <c r="G852" s="11" t="str">
        <f t="shared" si="54"/>
        <v>('28Nov240101','040000168806','0',(select max(to_number(i.premium_rcv_detail_code))+1
from ins_premium_det i),'0','0','02', '11000003','00','Request by Mr. Omair Ali 29-Nov-2024');</v>
      </c>
      <c r="H852" s="12" t="str">
        <f t="shared" si="55"/>
        <v>insert into ins_premium_det (premium_rcv_code,assorted_code, rec_amount,premium_rcv_detail_code,remaining_amt, payrec, mode_code,coinsurance_code,class_cd,it_remarks) values('28Nov240101','040000168806','0',(select max(to_number(i.premium_rcv_detail_code))+1
from ins_premium_det i),'0','0','02', '11000003','00','Request by Mr. Omair Ali 29-Nov-2024');</v>
      </c>
    </row>
    <row r="853" spans="1:8" ht="105" x14ac:dyDescent="0.25">
      <c r="A853" t="s">
        <v>853</v>
      </c>
      <c r="B853" s="8" t="str">
        <f>VLOOKUP(A853,assortedcode!B:C,2,0)</f>
        <v>040000112594</v>
      </c>
      <c r="C853" s="1">
        <v>0</v>
      </c>
      <c r="D853" s="9">
        <f t="shared" si="53"/>
        <v>0</v>
      </c>
      <c r="E853" s="7" t="s">
        <v>8345</v>
      </c>
      <c r="F853" s="10" t="str">
        <f t="shared" si="52"/>
        <v>insert into ins_premium_det (premium_rcv_code,assorted_code, rec_amount,premium_rcv_detail_code,remaining_amt, payrec, mode_code,coinsurance_code,class_cd,it_remarks) values</v>
      </c>
      <c r="G853" s="11" t="str">
        <f t="shared" si="54"/>
        <v>('28Nov240101','040000112594','0',(select max(to_number(i.premium_rcv_detail_code))+1
from ins_premium_det i),'0','0','02', '11000003','00','Request by Mr. Omair Ali 29-Nov-2024');</v>
      </c>
      <c r="H853" s="12" t="str">
        <f t="shared" si="55"/>
        <v>insert into ins_premium_det (premium_rcv_code,assorted_code, rec_amount,premium_rcv_detail_code,remaining_amt, payrec, mode_code,coinsurance_code,class_cd,it_remarks) values('28Nov240101','040000112594','0',(select max(to_number(i.premium_rcv_detail_code))+1
from ins_premium_det i),'0','0','02', '11000003','00','Request by Mr. Omair Ali 29-Nov-2024');</v>
      </c>
    </row>
    <row r="854" spans="1:8" ht="105" x14ac:dyDescent="0.25">
      <c r="A854" t="s">
        <v>854</v>
      </c>
      <c r="B854" s="8" t="str">
        <f>VLOOKUP(A854,assortedcode!B:C,2,0)</f>
        <v>040000169225</v>
      </c>
      <c r="C854" s="1">
        <v>0</v>
      </c>
      <c r="D854" s="9">
        <f t="shared" si="53"/>
        <v>0</v>
      </c>
      <c r="E854" s="7" t="s">
        <v>8345</v>
      </c>
      <c r="F854" s="10" t="str">
        <f t="shared" si="52"/>
        <v>insert into ins_premium_det (premium_rcv_code,assorted_code, rec_amount,premium_rcv_detail_code,remaining_amt, payrec, mode_code,coinsurance_code,class_cd,it_remarks) values</v>
      </c>
      <c r="G854" s="11" t="str">
        <f t="shared" si="54"/>
        <v>('28Nov240101','040000169225','0',(select max(to_number(i.premium_rcv_detail_code))+1
from ins_premium_det i),'0','0','02', '11000003','00','Request by Mr. Omair Ali 29-Nov-2024');</v>
      </c>
      <c r="H854" s="12" t="str">
        <f t="shared" si="55"/>
        <v>insert into ins_premium_det (premium_rcv_code,assorted_code, rec_amount,premium_rcv_detail_code,remaining_amt, payrec, mode_code,coinsurance_code,class_cd,it_remarks) values('28Nov240101','040000169225','0',(select max(to_number(i.premium_rcv_detail_code))+1
from ins_premium_det i),'0','0','02', '11000003','00','Request by Mr. Omair Ali 29-Nov-2024');</v>
      </c>
    </row>
    <row r="855" spans="1:8" ht="105" x14ac:dyDescent="0.25">
      <c r="A855" t="s">
        <v>855</v>
      </c>
      <c r="B855" s="8" t="str">
        <f>VLOOKUP(A855,assortedcode!B:C,2,0)</f>
        <v>040000123443</v>
      </c>
      <c r="C855" s="1">
        <v>0</v>
      </c>
      <c r="D855" s="9">
        <f t="shared" si="53"/>
        <v>0</v>
      </c>
      <c r="E855" s="7" t="s">
        <v>8345</v>
      </c>
      <c r="F855" s="10" t="str">
        <f t="shared" si="52"/>
        <v>insert into ins_premium_det (premium_rcv_code,assorted_code, rec_amount,premium_rcv_detail_code,remaining_amt, payrec, mode_code,coinsurance_code,class_cd,it_remarks) values</v>
      </c>
      <c r="G855" s="11" t="str">
        <f t="shared" si="54"/>
        <v>('28Nov240101','040000123443','0',(select max(to_number(i.premium_rcv_detail_code))+1
from ins_premium_det i),'0','0','02', '11000003','00','Request by Mr. Omair Ali 29-Nov-2024');</v>
      </c>
      <c r="H855" s="12" t="str">
        <f t="shared" si="55"/>
        <v>insert into ins_premium_det (premium_rcv_code,assorted_code, rec_amount,premium_rcv_detail_code,remaining_amt, payrec, mode_code,coinsurance_code,class_cd,it_remarks) values('28Nov240101','040000123443','0',(select max(to_number(i.premium_rcv_detail_code))+1
from ins_premium_det i),'0','0','02', '11000003','00','Request by Mr. Omair Ali 29-Nov-2024');</v>
      </c>
    </row>
    <row r="856" spans="1:8" ht="105" x14ac:dyDescent="0.25">
      <c r="A856" t="s">
        <v>856</v>
      </c>
      <c r="B856" s="8" t="str">
        <f>VLOOKUP(A856,assortedcode!B:C,2,0)</f>
        <v>040000171154</v>
      </c>
      <c r="C856" s="1">
        <v>0</v>
      </c>
      <c r="D856" s="9">
        <f t="shared" si="53"/>
        <v>0</v>
      </c>
      <c r="E856" s="7" t="s">
        <v>8345</v>
      </c>
      <c r="F856" s="10" t="str">
        <f t="shared" si="52"/>
        <v>insert into ins_premium_det (premium_rcv_code,assorted_code, rec_amount,premium_rcv_detail_code,remaining_amt, payrec, mode_code,coinsurance_code,class_cd,it_remarks) values</v>
      </c>
      <c r="G856" s="11" t="str">
        <f t="shared" si="54"/>
        <v>('28Nov240101','040000171154','0',(select max(to_number(i.premium_rcv_detail_code))+1
from ins_premium_det i),'0','0','02', '11000003','00','Request by Mr. Omair Ali 29-Nov-2024');</v>
      </c>
      <c r="H856" s="12" t="str">
        <f t="shared" si="55"/>
        <v>insert into ins_premium_det (premium_rcv_code,assorted_code, rec_amount,premium_rcv_detail_code,remaining_amt, payrec, mode_code,coinsurance_code,class_cd,it_remarks) values('28Nov240101','040000171154','0',(select max(to_number(i.premium_rcv_detail_code))+1
from ins_premium_det i),'0','0','02', '11000003','00','Request by Mr. Omair Ali 29-Nov-2024');</v>
      </c>
    </row>
    <row r="857" spans="1:8" ht="105" x14ac:dyDescent="0.25">
      <c r="A857" t="s">
        <v>857</v>
      </c>
      <c r="B857" s="8" t="str">
        <f>VLOOKUP(A857,assortedcode!B:C,2,0)</f>
        <v>040000135985</v>
      </c>
      <c r="C857" s="1">
        <v>0</v>
      </c>
      <c r="D857" s="9">
        <f t="shared" si="53"/>
        <v>0</v>
      </c>
      <c r="E857" s="7" t="s">
        <v>8345</v>
      </c>
      <c r="F857" s="10" t="str">
        <f t="shared" si="52"/>
        <v>insert into ins_premium_det (premium_rcv_code,assorted_code, rec_amount,premium_rcv_detail_code,remaining_amt, payrec, mode_code,coinsurance_code,class_cd,it_remarks) values</v>
      </c>
      <c r="G857" s="11" t="str">
        <f t="shared" si="54"/>
        <v>('28Nov240101','040000135985','0',(select max(to_number(i.premium_rcv_detail_code))+1
from ins_premium_det i),'0','0','02', '11000003','00','Request by Mr. Omair Ali 29-Nov-2024');</v>
      </c>
      <c r="H857" s="12" t="str">
        <f t="shared" si="55"/>
        <v>insert into ins_premium_det (premium_rcv_code,assorted_code, rec_amount,premium_rcv_detail_code,remaining_amt, payrec, mode_code,coinsurance_code,class_cd,it_remarks) values('28Nov240101','040000135985','0',(select max(to_number(i.premium_rcv_detail_code))+1
from ins_premium_det i),'0','0','02', '11000003','00','Request by Mr. Omair Ali 29-Nov-2024');</v>
      </c>
    </row>
    <row r="858" spans="1:8" ht="105" x14ac:dyDescent="0.25">
      <c r="A858" t="s">
        <v>858</v>
      </c>
      <c r="B858" s="8" t="str">
        <f>VLOOKUP(A858,assortedcode!B:C,2,0)</f>
        <v>040000171156</v>
      </c>
      <c r="C858" s="1">
        <v>0</v>
      </c>
      <c r="D858" s="9">
        <f t="shared" si="53"/>
        <v>0</v>
      </c>
      <c r="E858" s="7" t="s">
        <v>8345</v>
      </c>
      <c r="F858" s="10" t="str">
        <f t="shared" si="52"/>
        <v>insert into ins_premium_det (premium_rcv_code,assorted_code, rec_amount,premium_rcv_detail_code,remaining_amt, payrec, mode_code,coinsurance_code,class_cd,it_remarks) values</v>
      </c>
      <c r="G858" s="11" t="str">
        <f t="shared" si="54"/>
        <v>('28Nov240101','040000171156','0',(select max(to_number(i.premium_rcv_detail_code))+1
from ins_premium_det i),'0','0','02', '11000003','00','Request by Mr. Omair Ali 29-Nov-2024');</v>
      </c>
      <c r="H858" s="12" t="str">
        <f t="shared" si="55"/>
        <v>insert into ins_premium_det (premium_rcv_code,assorted_code, rec_amount,premium_rcv_detail_code,remaining_amt, payrec, mode_code,coinsurance_code,class_cd,it_remarks) values('28Nov240101','040000171156','0',(select max(to_number(i.premium_rcv_detail_code))+1
from ins_premium_det i),'0','0','02', '11000003','00','Request by Mr. Omair Ali 29-Nov-2024');</v>
      </c>
    </row>
    <row r="859" spans="1:8" ht="105" x14ac:dyDescent="0.25">
      <c r="A859" t="s">
        <v>859</v>
      </c>
      <c r="B859" s="8" t="str">
        <f>VLOOKUP(A859,assortedcode!B:C,2,0)</f>
        <v>040000137315</v>
      </c>
      <c r="C859" s="1">
        <v>0</v>
      </c>
      <c r="D859" s="9">
        <f t="shared" si="53"/>
        <v>0</v>
      </c>
      <c r="E859" s="7" t="s">
        <v>8345</v>
      </c>
      <c r="F859" s="10" t="str">
        <f t="shared" si="52"/>
        <v>insert into ins_premium_det (premium_rcv_code,assorted_code, rec_amount,premium_rcv_detail_code,remaining_amt, payrec, mode_code,coinsurance_code,class_cd,it_remarks) values</v>
      </c>
      <c r="G859" s="11" t="str">
        <f t="shared" si="54"/>
        <v>('28Nov240101','040000137315','0',(select max(to_number(i.premium_rcv_detail_code))+1
from ins_premium_det i),'0','0','02', '11000003','00','Request by Mr. Omair Ali 29-Nov-2024');</v>
      </c>
      <c r="H859" s="12" t="str">
        <f t="shared" si="55"/>
        <v>insert into ins_premium_det (premium_rcv_code,assorted_code, rec_amount,premium_rcv_detail_code,remaining_amt, payrec, mode_code,coinsurance_code,class_cd,it_remarks) values('28Nov240101','040000137315','0',(select max(to_number(i.premium_rcv_detail_code))+1
from ins_premium_det i),'0','0','02', '11000003','00','Request by Mr. Omair Ali 29-Nov-2024');</v>
      </c>
    </row>
    <row r="860" spans="1:8" ht="105" x14ac:dyDescent="0.25">
      <c r="A860" t="s">
        <v>860</v>
      </c>
      <c r="B860" s="8" t="str">
        <f>VLOOKUP(A860,assortedcode!B:C,2,0)</f>
        <v>040000171731</v>
      </c>
      <c r="C860" s="1">
        <v>0</v>
      </c>
      <c r="D860" s="9">
        <f t="shared" si="53"/>
        <v>0</v>
      </c>
      <c r="E860" s="7" t="s">
        <v>8345</v>
      </c>
      <c r="F860" s="10" t="str">
        <f t="shared" si="52"/>
        <v>insert into ins_premium_det (premium_rcv_code,assorted_code, rec_amount,premium_rcv_detail_code,remaining_amt, payrec, mode_code,coinsurance_code,class_cd,it_remarks) values</v>
      </c>
      <c r="G860" s="11" t="str">
        <f t="shared" si="54"/>
        <v>('28Nov240101','040000171731','0',(select max(to_number(i.premium_rcv_detail_code))+1
from ins_premium_det i),'0','0','02', '11000003','00','Request by Mr. Omair Ali 29-Nov-2024');</v>
      </c>
      <c r="H860" s="12" t="str">
        <f t="shared" si="55"/>
        <v>insert into ins_premium_det (premium_rcv_code,assorted_code, rec_amount,premium_rcv_detail_code,remaining_amt, payrec, mode_code,coinsurance_code,class_cd,it_remarks) values('28Nov240101','040000171731','0',(select max(to_number(i.premium_rcv_detail_code))+1
from ins_premium_det i),'0','0','02', '11000003','00','Request by Mr. Omair Ali 29-Nov-2024');</v>
      </c>
    </row>
    <row r="861" spans="1:8" ht="105" x14ac:dyDescent="0.25">
      <c r="A861" t="s">
        <v>861</v>
      </c>
      <c r="B861" s="8" t="str">
        <f>VLOOKUP(A861,assortedcode!B:C,2,0)</f>
        <v>040000139540</v>
      </c>
      <c r="C861" s="1">
        <v>0</v>
      </c>
      <c r="D861" s="9">
        <f t="shared" si="53"/>
        <v>0</v>
      </c>
      <c r="E861" s="7" t="s">
        <v>8345</v>
      </c>
      <c r="F861" s="10" t="str">
        <f t="shared" si="52"/>
        <v>insert into ins_premium_det (premium_rcv_code,assorted_code, rec_amount,premium_rcv_detail_code,remaining_amt, payrec, mode_code,coinsurance_code,class_cd,it_remarks) values</v>
      </c>
      <c r="G861" s="11" t="str">
        <f t="shared" si="54"/>
        <v>('28Nov240101','040000139540','0',(select max(to_number(i.premium_rcv_detail_code))+1
from ins_premium_det i),'0','0','02', '11000003','00','Request by Mr. Omair Ali 29-Nov-2024');</v>
      </c>
      <c r="H861" s="12" t="str">
        <f t="shared" si="55"/>
        <v>insert into ins_premium_det (premium_rcv_code,assorted_code, rec_amount,premium_rcv_detail_code,remaining_amt, payrec, mode_code,coinsurance_code,class_cd,it_remarks) values('28Nov240101','040000139540','0',(select max(to_number(i.premium_rcv_detail_code))+1
from ins_premium_det i),'0','0','02', '11000003','00','Request by Mr. Omair Ali 29-Nov-2024');</v>
      </c>
    </row>
    <row r="862" spans="1:8" ht="105" x14ac:dyDescent="0.25">
      <c r="A862" t="s">
        <v>862</v>
      </c>
      <c r="B862" s="8" t="str">
        <f>VLOOKUP(A862,assortedcode!B:C,2,0)</f>
        <v>040000172014</v>
      </c>
      <c r="C862" s="1">
        <v>0</v>
      </c>
      <c r="D862" s="9">
        <f t="shared" si="53"/>
        <v>0</v>
      </c>
      <c r="E862" s="7" t="s">
        <v>8345</v>
      </c>
      <c r="F862" s="10" t="str">
        <f t="shared" si="52"/>
        <v>insert into ins_premium_det (premium_rcv_code,assorted_code, rec_amount,premium_rcv_detail_code,remaining_amt, payrec, mode_code,coinsurance_code,class_cd,it_remarks) values</v>
      </c>
      <c r="G862" s="11" t="str">
        <f t="shared" si="54"/>
        <v>('28Nov240101','040000172014','0',(select max(to_number(i.premium_rcv_detail_code))+1
from ins_premium_det i),'0','0','02', '11000003','00','Request by Mr. Omair Ali 29-Nov-2024');</v>
      </c>
      <c r="H862" s="12" t="str">
        <f t="shared" si="55"/>
        <v>insert into ins_premium_det (premium_rcv_code,assorted_code, rec_amount,premium_rcv_detail_code,remaining_amt, payrec, mode_code,coinsurance_code,class_cd,it_remarks) values('28Nov240101','040000172014','0',(select max(to_number(i.premium_rcv_detail_code))+1
from ins_premium_det i),'0','0','02', '11000003','00','Request by Mr. Omair Ali 29-Nov-2024');</v>
      </c>
    </row>
    <row r="863" spans="1:8" ht="105" x14ac:dyDescent="0.25">
      <c r="A863" t="s">
        <v>863</v>
      </c>
      <c r="B863" s="8" t="str">
        <f>VLOOKUP(A863,assortedcode!B:C,2,0)</f>
        <v>040000141546</v>
      </c>
      <c r="C863" s="1">
        <v>0</v>
      </c>
      <c r="D863" s="9">
        <f t="shared" si="53"/>
        <v>0</v>
      </c>
      <c r="E863" s="7" t="s">
        <v>8345</v>
      </c>
      <c r="F863" s="10" t="str">
        <f t="shared" si="52"/>
        <v>insert into ins_premium_det (premium_rcv_code,assorted_code, rec_amount,premium_rcv_detail_code,remaining_amt, payrec, mode_code,coinsurance_code,class_cd,it_remarks) values</v>
      </c>
      <c r="G863" s="11" t="str">
        <f t="shared" si="54"/>
        <v>('28Nov240101','040000141546','0',(select max(to_number(i.premium_rcv_detail_code))+1
from ins_premium_det i),'0','0','02', '11000003','00','Request by Mr. Omair Ali 29-Nov-2024');</v>
      </c>
      <c r="H863" s="12" t="str">
        <f t="shared" si="55"/>
        <v>insert into ins_premium_det (premium_rcv_code,assorted_code, rec_amount,premium_rcv_detail_code,remaining_amt, payrec, mode_code,coinsurance_code,class_cd,it_remarks) values('28Nov240101','040000141546','0',(select max(to_number(i.premium_rcv_detail_code))+1
from ins_premium_det i),'0','0','02', '11000003','00','Request by Mr. Omair Ali 29-Nov-2024');</v>
      </c>
    </row>
    <row r="864" spans="1:8" ht="105" x14ac:dyDescent="0.25">
      <c r="A864" t="s">
        <v>864</v>
      </c>
      <c r="B864" s="8" t="str">
        <f>VLOOKUP(A864,assortedcode!B:C,2,0)</f>
        <v>040000172404</v>
      </c>
      <c r="C864" s="1">
        <v>0</v>
      </c>
      <c r="D864" s="9">
        <f t="shared" si="53"/>
        <v>0</v>
      </c>
      <c r="E864" s="7" t="s">
        <v>8345</v>
      </c>
      <c r="F864" s="10" t="str">
        <f t="shared" si="52"/>
        <v>insert into ins_premium_det (premium_rcv_code,assorted_code, rec_amount,premium_rcv_detail_code,remaining_amt, payrec, mode_code,coinsurance_code,class_cd,it_remarks) values</v>
      </c>
      <c r="G864" s="11" t="str">
        <f t="shared" si="54"/>
        <v>('28Nov240101','040000172404','0',(select max(to_number(i.premium_rcv_detail_code))+1
from ins_premium_det i),'0','0','02', '11000003','00','Request by Mr. Omair Ali 29-Nov-2024');</v>
      </c>
      <c r="H864" s="12" t="str">
        <f t="shared" si="55"/>
        <v>insert into ins_premium_det (premium_rcv_code,assorted_code, rec_amount,premium_rcv_detail_code,remaining_amt, payrec, mode_code,coinsurance_code,class_cd,it_remarks) values('28Nov240101','040000172404','0',(select max(to_number(i.premium_rcv_detail_code))+1
from ins_premium_det i),'0','0','02', '11000003','00','Request by Mr. Omair Ali 29-Nov-2024');</v>
      </c>
    </row>
    <row r="865" spans="1:8" ht="105" x14ac:dyDescent="0.25">
      <c r="A865" t="s">
        <v>865</v>
      </c>
      <c r="B865" s="8" t="str">
        <f>VLOOKUP(A865,assortedcode!B:C,2,0)</f>
        <v>040000142089</v>
      </c>
      <c r="C865" s="1">
        <v>0</v>
      </c>
      <c r="D865" s="9">
        <f t="shared" si="53"/>
        <v>0</v>
      </c>
      <c r="E865" s="7" t="s">
        <v>8345</v>
      </c>
      <c r="F865" s="10" t="str">
        <f t="shared" si="52"/>
        <v>insert into ins_premium_det (premium_rcv_code,assorted_code, rec_amount,premium_rcv_detail_code,remaining_amt, payrec, mode_code,coinsurance_code,class_cd,it_remarks) values</v>
      </c>
      <c r="G865" s="11" t="str">
        <f t="shared" si="54"/>
        <v>('28Nov240101','040000142089','0',(select max(to_number(i.premium_rcv_detail_code))+1
from ins_premium_det i),'0','0','02', '11000003','00','Request by Mr. Omair Ali 29-Nov-2024');</v>
      </c>
      <c r="H865" s="12" t="str">
        <f t="shared" si="55"/>
        <v>insert into ins_premium_det (premium_rcv_code,assorted_code, rec_amount,premium_rcv_detail_code,remaining_amt, payrec, mode_code,coinsurance_code,class_cd,it_remarks) values('28Nov240101','040000142089','0',(select max(to_number(i.premium_rcv_detail_code))+1
from ins_premium_det i),'0','0','02', '11000003','00','Request by Mr. Omair Ali 29-Nov-2024');</v>
      </c>
    </row>
    <row r="866" spans="1:8" ht="105" x14ac:dyDescent="0.25">
      <c r="A866" t="s">
        <v>866</v>
      </c>
      <c r="B866" s="8" t="str">
        <f>VLOOKUP(A866,assortedcode!B:C,2,0)</f>
        <v>040000172831</v>
      </c>
      <c r="C866" s="1">
        <v>0</v>
      </c>
      <c r="D866" s="9">
        <f t="shared" si="53"/>
        <v>0</v>
      </c>
      <c r="E866" s="7" t="s">
        <v>8345</v>
      </c>
      <c r="F866" s="10" t="str">
        <f t="shared" si="52"/>
        <v>insert into ins_premium_det (premium_rcv_code,assorted_code, rec_amount,premium_rcv_detail_code,remaining_amt, payrec, mode_code,coinsurance_code,class_cd,it_remarks) values</v>
      </c>
      <c r="G866" s="11" t="str">
        <f t="shared" si="54"/>
        <v>('28Nov240101','040000172831','0',(select max(to_number(i.premium_rcv_detail_code))+1
from ins_premium_det i),'0','0','02', '11000003','00','Request by Mr. Omair Ali 29-Nov-2024');</v>
      </c>
      <c r="H866" s="12" t="str">
        <f t="shared" si="55"/>
        <v>insert into ins_premium_det (premium_rcv_code,assorted_code, rec_amount,premium_rcv_detail_code,remaining_amt, payrec, mode_code,coinsurance_code,class_cd,it_remarks) values('28Nov240101','040000172831','0',(select max(to_number(i.premium_rcv_detail_code))+1
from ins_premium_det i),'0','0','02', '11000003','00','Request by Mr. Omair Ali 29-Nov-2024');</v>
      </c>
    </row>
    <row r="867" spans="1:8" ht="105" x14ac:dyDescent="0.25">
      <c r="A867" t="s">
        <v>867</v>
      </c>
      <c r="B867" s="8" t="str">
        <f>VLOOKUP(A867,assortedcode!B:C,2,0)</f>
        <v>040000143096</v>
      </c>
      <c r="C867" s="1">
        <v>0</v>
      </c>
      <c r="D867" s="9">
        <f t="shared" si="53"/>
        <v>0</v>
      </c>
      <c r="E867" s="7" t="s">
        <v>8345</v>
      </c>
      <c r="F867" s="10" t="str">
        <f t="shared" si="52"/>
        <v>insert into ins_premium_det (premium_rcv_code,assorted_code, rec_amount,premium_rcv_detail_code,remaining_amt, payrec, mode_code,coinsurance_code,class_cd,it_remarks) values</v>
      </c>
      <c r="G867" s="11" t="str">
        <f t="shared" si="54"/>
        <v>('28Nov240101','040000143096','0',(select max(to_number(i.premium_rcv_detail_code))+1
from ins_premium_det i),'0','0','02', '11000003','00','Request by Mr. Omair Ali 29-Nov-2024');</v>
      </c>
      <c r="H867" s="12" t="str">
        <f t="shared" si="55"/>
        <v>insert into ins_premium_det (premium_rcv_code,assorted_code, rec_amount,premium_rcv_detail_code,remaining_amt, payrec, mode_code,coinsurance_code,class_cd,it_remarks) values('28Nov240101','040000143096','0',(select max(to_number(i.premium_rcv_detail_code))+1
from ins_premium_det i),'0','0','02', '11000003','00','Request by Mr. Omair Ali 29-Nov-2024');</v>
      </c>
    </row>
    <row r="868" spans="1:8" ht="105" x14ac:dyDescent="0.25">
      <c r="A868" t="s">
        <v>868</v>
      </c>
      <c r="B868" s="8" t="str">
        <f>VLOOKUP(A868,assortedcode!B:C,2,0)</f>
        <v>040000173186</v>
      </c>
      <c r="C868" s="1">
        <v>0</v>
      </c>
      <c r="D868" s="9">
        <f t="shared" si="53"/>
        <v>0</v>
      </c>
      <c r="E868" s="7" t="s">
        <v>8345</v>
      </c>
      <c r="F868" s="10" t="str">
        <f t="shared" si="52"/>
        <v>insert into ins_premium_det (premium_rcv_code,assorted_code, rec_amount,premium_rcv_detail_code,remaining_amt, payrec, mode_code,coinsurance_code,class_cd,it_remarks) values</v>
      </c>
      <c r="G868" s="11" t="str">
        <f t="shared" si="54"/>
        <v>('28Nov240101','040000173186','0',(select max(to_number(i.premium_rcv_detail_code))+1
from ins_premium_det i),'0','0','02', '11000003','00','Request by Mr. Omair Ali 29-Nov-2024');</v>
      </c>
      <c r="H868" s="12" t="str">
        <f t="shared" si="55"/>
        <v>insert into ins_premium_det (premium_rcv_code,assorted_code, rec_amount,premium_rcv_detail_code,remaining_amt, payrec, mode_code,coinsurance_code,class_cd,it_remarks) values('28Nov240101','040000173186','0',(select max(to_number(i.premium_rcv_detail_code))+1
from ins_premium_det i),'0','0','02', '11000003','00','Request by Mr. Omair Ali 29-Nov-2024');</v>
      </c>
    </row>
    <row r="869" spans="1:8" ht="105" x14ac:dyDescent="0.25">
      <c r="A869" t="s">
        <v>869</v>
      </c>
      <c r="B869" s="8" t="str">
        <f>VLOOKUP(A869,assortedcode!B:C,2,0)</f>
        <v>070000158299</v>
      </c>
      <c r="C869" s="1">
        <v>0</v>
      </c>
      <c r="D869" s="9">
        <f t="shared" si="53"/>
        <v>0</v>
      </c>
      <c r="E869" s="7" t="s">
        <v>8345</v>
      </c>
      <c r="F869" s="10" t="str">
        <f t="shared" si="52"/>
        <v>insert into ins_premium_det (premium_rcv_code,assorted_code, rec_amount,premium_rcv_detail_code,remaining_amt, payrec, mode_code,coinsurance_code,class_cd,it_remarks) values</v>
      </c>
      <c r="G869" s="11" t="str">
        <f t="shared" si="54"/>
        <v>('28Nov240101','070000158299','0',(select max(to_number(i.premium_rcv_detail_code))+1
from ins_premium_det i),'0','0','02', '11000003','00','Request by Mr. Omair Ali 29-Nov-2024');</v>
      </c>
      <c r="H869" s="12" t="str">
        <f t="shared" si="55"/>
        <v>insert into ins_premium_det (premium_rcv_code,assorted_code, rec_amount,premium_rcv_detail_code,remaining_amt, payrec, mode_code,coinsurance_code,class_cd,it_remarks) values('28Nov240101','070000158299','0',(select max(to_number(i.premium_rcv_detail_code))+1
from ins_premium_det i),'0','0','02', '11000003','00','Request by Mr. Omair Ali 29-Nov-2024');</v>
      </c>
    </row>
    <row r="870" spans="1:8" ht="105" x14ac:dyDescent="0.25">
      <c r="A870" t="s">
        <v>870</v>
      </c>
      <c r="B870" s="8" t="str">
        <f>VLOOKUP(A870,assortedcode!B:C,2,0)</f>
        <v>040000174818</v>
      </c>
      <c r="C870" s="1">
        <v>0</v>
      </c>
      <c r="D870" s="9">
        <f t="shared" si="53"/>
        <v>0</v>
      </c>
      <c r="E870" s="7" t="s">
        <v>8345</v>
      </c>
      <c r="F870" s="10" t="str">
        <f t="shared" si="52"/>
        <v>insert into ins_premium_det (premium_rcv_code,assorted_code, rec_amount,premium_rcv_detail_code,remaining_amt, payrec, mode_code,coinsurance_code,class_cd,it_remarks) values</v>
      </c>
      <c r="G870" s="11" t="str">
        <f t="shared" si="54"/>
        <v>('28Nov240101','040000174818','0',(select max(to_number(i.premium_rcv_detail_code))+1
from ins_premium_det i),'0','0','02', '11000003','00','Request by Mr. Omair Ali 29-Nov-2024');</v>
      </c>
      <c r="H870" s="12" t="str">
        <f t="shared" si="55"/>
        <v>insert into ins_premium_det (premium_rcv_code,assorted_code, rec_amount,premium_rcv_detail_code,remaining_amt, payrec, mode_code,coinsurance_code,class_cd,it_remarks) values('28Nov240101','040000174818','0',(select max(to_number(i.premium_rcv_detail_code))+1
from ins_premium_det i),'0','0','02', '11000003','00','Request by Mr. Omair Ali 29-Nov-2024');</v>
      </c>
    </row>
    <row r="871" spans="1:8" ht="105" x14ac:dyDescent="0.25">
      <c r="A871" t="s">
        <v>871</v>
      </c>
      <c r="B871" s="8" t="str">
        <f>VLOOKUP(A871,assortedcode!B:C,2,0)</f>
        <v>040000144501</v>
      </c>
      <c r="C871" s="1">
        <v>0</v>
      </c>
      <c r="D871" s="9">
        <f t="shared" si="53"/>
        <v>0</v>
      </c>
      <c r="E871" s="7" t="s">
        <v>8345</v>
      </c>
      <c r="F871" s="10" t="str">
        <f t="shared" si="52"/>
        <v>insert into ins_premium_det (premium_rcv_code,assorted_code, rec_amount,premium_rcv_detail_code,remaining_amt, payrec, mode_code,coinsurance_code,class_cd,it_remarks) values</v>
      </c>
      <c r="G871" s="11" t="str">
        <f t="shared" si="54"/>
        <v>('28Nov240101','040000144501','0',(select max(to_number(i.premium_rcv_detail_code))+1
from ins_premium_det i),'0','0','02', '11000003','00','Request by Mr. Omair Ali 29-Nov-2024');</v>
      </c>
      <c r="H871" s="12" t="str">
        <f t="shared" si="55"/>
        <v>insert into ins_premium_det (premium_rcv_code,assorted_code, rec_amount,premium_rcv_detail_code,remaining_amt, payrec, mode_code,coinsurance_code,class_cd,it_remarks) values('28Nov240101','040000144501','0',(select max(to_number(i.premium_rcv_detail_code))+1
from ins_premium_det i),'0','0','02', '11000003','00','Request by Mr. Omair Ali 29-Nov-2024');</v>
      </c>
    </row>
    <row r="872" spans="1:8" ht="105" x14ac:dyDescent="0.25">
      <c r="A872" t="s">
        <v>872</v>
      </c>
      <c r="B872" s="8" t="str">
        <f>VLOOKUP(A872,assortedcode!B:C,2,0)</f>
        <v>040000174957</v>
      </c>
      <c r="C872" s="1">
        <v>0</v>
      </c>
      <c r="D872" s="9">
        <f t="shared" si="53"/>
        <v>0</v>
      </c>
      <c r="E872" s="7" t="s">
        <v>8345</v>
      </c>
      <c r="F872" s="10" t="str">
        <f t="shared" si="52"/>
        <v>insert into ins_premium_det (premium_rcv_code,assorted_code, rec_amount,premium_rcv_detail_code,remaining_amt, payrec, mode_code,coinsurance_code,class_cd,it_remarks) values</v>
      </c>
      <c r="G872" s="11" t="str">
        <f t="shared" si="54"/>
        <v>('28Nov240101','040000174957','0',(select max(to_number(i.premium_rcv_detail_code))+1
from ins_premium_det i),'0','0','02', '11000003','00','Request by Mr. Omair Ali 29-Nov-2024');</v>
      </c>
      <c r="H872" s="12" t="str">
        <f t="shared" si="55"/>
        <v>insert into ins_premium_det (premium_rcv_code,assorted_code, rec_amount,premium_rcv_detail_code,remaining_amt, payrec, mode_code,coinsurance_code,class_cd,it_remarks) values('28Nov240101','040000174957','0',(select max(to_number(i.premium_rcv_detail_code))+1
from ins_premium_det i),'0','0','02', '11000003','00','Request by Mr. Omair Ali 29-Nov-2024');</v>
      </c>
    </row>
    <row r="873" spans="1:8" ht="105" x14ac:dyDescent="0.25">
      <c r="A873" t="s">
        <v>873</v>
      </c>
      <c r="B873" s="8" t="str">
        <f>VLOOKUP(A873,assortedcode!B:C,2,0)</f>
        <v>070000162226</v>
      </c>
      <c r="C873" s="1">
        <v>0</v>
      </c>
      <c r="D873" s="9">
        <f t="shared" si="53"/>
        <v>0</v>
      </c>
      <c r="E873" s="7" t="s">
        <v>8345</v>
      </c>
      <c r="F873" s="10" t="str">
        <f t="shared" si="52"/>
        <v>insert into ins_premium_det (premium_rcv_code,assorted_code, rec_amount,premium_rcv_detail_code,remaining_amt, payrec, mode_code,coinsurance_code,class_cd,it_remarks) values</v>
      </c>
      <c r="G873" s="11" t="str">
        <f t="shared" si="54"/>
        <v>('28Nov240101','070000162226','0',(select max(to_number(i.premium_rcv_detail_code))+1
from ins_premium_det i),'0','0','02', '11000003','00','Request by Mr. Omair Ali 29-Nov-2024');</v>
      </c>
      <c r="H873" s="12" t="str">
        <f t="shared" si="55"/>
        <v>insert into ins_premium_det (premium_rcv_code,assorted_code, rec_amount,premium_rcv_detail_code,remaining_amt, payrec, mode_code,coinsurance_code,class_cd,it_remarks) values('28Nov240101','070000162226','0',(select max(to_number(i.premium_rcv_detail_code))+1
from ins_premium_det i),'0','0','02', '11000003','00','Request by Mr. Omair Ali 29-Nov-2024');</v>
      </c>
    </row>
    <row r="874" spans="1:8" ht="105" x14ac:dyDescent="0.25">
      <c r="A874" t="s">
        <v>874</v>
      </c>
      <c r="B874" s="8" t="str">
        <f>VLOOKUP(A874,assortedcode!B:C,2,0)</f>
        <v>040000175814</v>
      </c>
      <c r="C874" s="1">
        <v>0</v>
      </c>
      <c r="D874" s="9">
        <f t="shared" si="53"/>
        <v>0</v>
      </c>
      <c r="E874" s="7" t="s">
        <v>8345</v>
      </c>
      <c r="F874" s="10" t="str">
        <f t="shared" si="52"/>
        <v>insert into ins_premium_det (premium_rcv_code,assorted_code, rec_amount,premium_rcv_detail_code,remaining_amt, payrec, mode_code,coinsurance_code,class_cd,it_remarks) values</v>
      </c>
      <c r="G874" s="11" t="str">
        <f t="shared" si="54"/>
        <v>('28Nov240101','040000175814','0',(select max(to_number(i.premium_rcv_detail_code))+1
from ins_premium_det i),'0','0','02', '11000003','00','Request by Mr. Omair Ali 29-Nov-2024');</v>
      </c>
      <c r="H874" s="12" t="str">
        <f t="shared" si="55"/>
        <v>insert into ins_premium_det (premium_rcv_code,assorted_code, rec_amount,premium_rcv_detail_code,remaining_amt, payrec, mode_code,coinsurance_code,class_cd,it_remarks) values('28Nov240101','040000175814','0',(select max(to_number(i.premium_rcv_detail_code))+1
from ins_premium_det i),'0','0','02', '11000003','00','Request by Mr. Omair Ali 29-Nov-2024');</v>
      </c>
    </row>
    <row r="875" spans="1:8" ht="105" x14ac:dyDescent="0.25">
      <c r="A875" t="s">
        <v>875</v>
      </c>
      <c r="B875" s="8" t="str">
        <f>VLOOKUP(A875,assortedcode!B:C,2,0)</f>
        <v>040000122502</v>
      </c>
      <c r="C875" s="1">
        <v>0</v>
      </c>
      <c r="D875" s="9">
        <f t="shared" si="53"/>
        <v>0</v>
      </c>
      <c r="E875" s="7" t="s">
        <v>8345</v>
      </c>
      <c r="F875" s="10" t="str">
        <f t="shared" si="52"/>
        <v>insert into ins_premium_det (premium_rcv_code,assorted_code, rec_amount,premium_rcv_detail_code,remaining_amt, payrec, mode_code,coinsurance_code,class_cd,it_remarks) values</v>
      </c>
      <c r="G875" s="11" t="str">
        <f t="shared" si="54"/>
        <v>('28Nov240101','040000122502','0',(select max(to_number(i.premium_rcv_detail_code))+1
from ins_premium_det i),'0','0','02', '11000003','00','Request by Mr. Omair Ali 29-Nov-2024');</v>
      </c>
      <c r="H875" s="12" t="str">
        <f t="shared" si="55"/>
        <v>insert into ins_premium_det (premium_rcv_code,assorted_code, rec_amount,premium_rcv_detail_code,remaining_amt, payrec, mode_code,coinsurance_code,class_cd,it_remarks) values('28Nov240101','040000122502','0',(select max(to_number(i.premium_rcv_detail_code))+1
from ins_premium_det i),'0','0','02', '11000003','00','Request by Mr. Omair Ali 29-Nov-2024');</v>
      </c>
    </row>
    <row r="876" spans="1:8" ht="105" x14ac:dyDescent="0.25">
      <c r="A876" t="s">
        <v>876</v>
      </c>
      <c r="B876" s="8" t="str">
        <f>VLOOKUP(A876,assortedcode!B:C,2,0)</f>
        <v>040000177455</v>
      </c>
      <c r="C876" s="1">
        <v>0</v>
      </c>
      <c r="D876" s="9">
        <f t="shared" si="53"/>
        <v>0</v>
      </c>
      <c r="E876" s="7" t="s">
        <v>8345</v>
      </c>
      <c r="F876" s="10" t="str">
        <f t="shared" si="52"/>
        <v>insert into ins_premium_det (premium_rcv_code,assorted_code, rec_amount,premium_rcv_detail_code,remaining_amt, payrec, mode_code,coinsurance_code,class_cd,it_remarks) values</v>
      </c>
      <c r="G876" s="11" t="str">
        <f t="shared" si="54"/>
        <v>('28Nov240101','040000177455','0',(select max(to_number(i.premium_rcv_detail_code))+1
from ins_premium_det i),'0','0','02', '11000003','00','Request by Mr. Omair Ali 29-Nov-2024');</v>
      </c>
      <c r="H876" s="12" t="str">
        <f t="shared" si="55"/>
        <v>insert into ins_premium_det (premium_rcv_code,assorted_code, rec_amount,premium_rcv_detail_code,remaining_amt, payrec, mode_code,coinsurance_code,class_cd,it_remarks) values('28Nov240101','040000177455','0',(select max(to_number(i.premium_rcv_detail_code))+1
from ins_premium_det i),'0','0','02', '11000003','00','Request by Mr. Omair Ali 29-Nov-2024');</v>
      </c>
    </row>
    <row r="877" spans="1:8" ht="105" x14ac:dyDescent="0.25">
      <c r="A877" t="s">
        <v>877</v>
      </c>
      <c r="B877" s="8" t="str">
        <f>VLOOKUP(A877,assortedcode!B:C,2,0)</f>
        <v>040000178052</v>
      </c>
      <c r="C877" s="1">
        <v>0</v>
      </c>
      <c r="D877" s="9">
        <f t="shared" si="53"/>
        <v>0</v>
      </c>
      <c r="E877" s="7" t="s">
        <v>8345</v>
      </c>
      <c r="F877" s="10" t="str">
        <f t="shared" si="52"/>
        <v>insert into ins_premium_det (premium_rcv_code,assorted_code, rec_amount,premium_rcv_detail_code,remaining_amt, payrec, mode_code,coinsurance_code,class_cd,it_remarks) values</v>
      </c>
      <c r="G877" s="11" t="str">
        <f t="shared" si="54"/>
        <v>('28Nov240101','040000178052','0',(select max(to_number(i.premium_rcv_detail_code))+1
from ins_premium_det i),'0','0','02', '11000003','00','Request by Mr. Omair Ali 29-Nov-2024');</v>
      </c>
      <c r="H877" s="12" t="str">
        <f t="shared" si="55"/>
        <v>insert into ins_premium_det (premium_rcv_code,assorted_code, rec_amount,premium_rcv_detail_code,remaining_amt, payrec, mode_code,coinsurance_code,class_cd,it_remarks) values('28Nov240101','040000178052','0',(select max(to_number(i.premium_rcv_detail_code))+1
from ins_premium_det i),'0','0','02', '11000003','00','Request by Mr. Omair Ali 29-Nov-2024');</v>
      </c>
    </row>
    <row r="878" spans="1:8" ht="105" x14ac:dyDescent="0.25">
      <c r="A878" t="s">
        <v>878</v>
      </c>
      <c r="B878" s="8" t="str">
        <f>VLOOKUP(A878,assortedcode!B:C,2,0)</f>
        <v>040000179465</v>
      </c>
      <c r="C878" s="1">
        <v>0</v>
      </c>
      <c r="D878" s="9">
        <f t="shared" si="53"/>
        <v>0</v>
      </c>
      <c r="E878" s="7" t="s">
        <v>8345</v>
      </c>
      <c r="F878" s="10" t="str">
        <f t="shared" si="52"/>
        <v>insert into ins_premium_det (premium_rcv_code,assorted_code, rec_amount,premium_rcv_detail_code,remaining_amt, payrec, mode_code,coinsurance_code,class_cd,it_remarks) values</v>
      </c>
      <c r="G878" s="11" t="str">
        <f t="shared" si="54"/>
        <v>('28Nov240101','040000179465','0',(select max(to_number(i.premium_rcv_detail_code))+1
from ins_premium_det i),'0','0','02', '11000003','00','Request by Mr. Omair Ali 29-Nov-2024');</v>
      </c>
      <c r="H878" s="12" t="str">
        <f t="shared" si="55"/>
        <v>insert into ins_premium_det (premium_rcv_code,assorted_code, rec_amount,premium_rcv_detail_code,remaining_amt, payrec, mode_code,coinsurance_code,class_cd,it_remarks) values('28Nov240101','040000179465','0',(select max(to_number(i.premium_rcv_detail_code))+1
from ins_premium_det i),'0','0','02', '11000003','00','Request by Mr. Omair Ali 29-Nov-2024');</v>
      </c>
    </row>
    <row r="879" spans="1:8" ht="105" x14ac:dyDescent="0.25">
      <c r="A879" t="s">
        <v>879</v>
      </c>
      <c r="B879" s="8" t="str">
        <f>VLOOKUP(A879,assortedcode!B:C,2,0)</f>
        <v>040000116159</v>
      </c>
      <c r="C879" s="1">
        <v>0</v>
      </c>
      <c r="D879" s="9">
        <f t="shared" si="53"/>
        <v>0</v>
      </c>
      <c r="E879" s="7" t="s">
        <v>8345</v>
      </c>
      <c r="F879" s="10" t="str">
        <f t="shared" si="52"/>
        <v>insert into ins_premium_det (premium_rcv_code,assorted_code, rec_amount,premium_rcv_detail_code,remaining_amt, payrec, mode_code,coinsurance_code,class_cd,it_remarks) values</v>
      </c>
      <c r="G879" s="11" t="str">
        <f t="shared" si="54"/>
        <v>('28Nov240101','040000116159','0',(select max(to_number(i.premium_rcv_detail_code))+1
from ins_premium_det i),'0','0','02', '11000003','00','Request by Mr. Omair Ali 29-Nov-2024');</v>
      </c>
      <c r="H879" s="12" t="str">
        <f t="shared" si="55"/>
        <v>insert into ins_premium_det (premium_rcv_code,assorted_code, rec_amount,premium_rcv_detail_code,remaining_amt, payrec, mode_code,coinsurance_code,class_cd,it_remarks) values('28Nov240101','040000116159','0',(select max(to_number(i.premium_rcv_detail_code))+1
from ins_premium_det i),'0','0','02', '11000003','00','Request by Mr. Omair Ali 29-Nov-2024');</v>
      </c>
    </row>
    <row r="880" spans="1:8" ht="105" x14ac:dyDescent="0.25">
      <c r="A880" t="s">
        <v>880</v>
      </c>
      <c r="B880" s="8" t="str">
        <f>VLOOKUP(A880,assortedcode!B:C,2,0)</f>
        <v>040000134713</v>
      </c>
      <c r="C880" s="1">
        <v>0</v>
      </c>
      <c r="D880" s="9">
        <f t="shared" si="53"/>
        <v>0</v>
      </c>
      <c r="E880" s="7" t="s">
        <v>8345</v>
      </c>
      <c r="F880" s="10" t="str">
        <f t="shared" si="52"/>
        <v>insert into ins_premium_det (premium_rcv_code,assorted_code, rec_amount,premium_rcv_detail_code,remaining_amt, payrec, mode_code,coinsurance_code,class_cd,it_remarks) values</v>
      </c>
      <c r="G880" s="11" t="str">
        <f t="shared" si="54"/>
        <v>('28Nov240101','040000134713','0',(select max(to_number(i.premium_rcv_detail_code))+1
from ins_premium_det i),'0','0','02', '11000003','00','Request by Mr. Omair Ali 29-Nov-2024');</v>
      </c>
      <c r="H880" s="12" t="str">
        <f t="shared" si="55"/>
        <v>insert into ins_premium_det (premium_rcv_code,assorted_code, rec_amount,premium_rcv_detail_code,remaining_amt, payrec, mode_code,coinsurance_code,class_cd,it_remarks) values('28Nov240101','040000134713','0',(select max(to_number(i.premium_rcv_detail_code))+1
from ins_premium_det i),'0','0','02', '11000003','00','Request by Mr. Omair Ali 29-Nov-2024');</v>
      </c>
    </row>
    <row r="881" spans="1:8" ht="105" x14ac:dyDescent="0.25">
      <c r="A881" t="s">
        <v>881</v>
      </c>
      <c r="B881" s="8" t="str">
        <f>VLOOKUP(A881,assortedcode!B:C,2,0)</f>
        <v>040000136927</v>
      </c>
      <c r="C881" s="1">
        <v>0</v>
      </c>
      <c r="D881" s="9">
        <f t="shared" si="53"/>
        <v>0</v>
      </c>
      <c r="E881" s="7" t="s">
        <v>8345</v>
      </c>
      <c r="F881" s="10" t="str">
        <f t="shared" si="52"/>
        <v>insert into ins_premium_det (premium_rcv_code,assorted_code, rec_amount,premium_rcv_detail_code,remaining_amt, payrec, mode_code,coinsurance_code,class_cd,it_remarks) values</v>
      </c>
      <c r="G881" s="11" t="str">
        <f t="shared" si="54"/>
        <v>('28Nov240101','040000136927','0',(select max(to_number(i.premium_rcv_detail_code))+1
from ins_premium_det i),'0','0','02', '11000003','00','Request by Mr. Omair Ali 29-Nov-2024');</v>
      </c>
      <c r="H881" s="12" t="str">
        <f t="shared" si="55"/>
        <v>insert into ins_premium_det (premium_rcv_code,assorted_code, rec_amount,premium_rcv_detail_code,remaining_amt, payrec, mode_code,coinsurance_code,class_cd,it_remarks) values('28Nov240101','040000136927','0',(select max(to_number(i.premium_rcv_detail_code))+1
from ins_premium_det i),'0','0','02', '11000003','00','Request by Mr. Omair Ali 29-Nov-2024');</v>
      </c>
    </row>
    <row r="882" spans="1:8" ht="105" x14ac:dyDescent="0.25">
      <c r="A882" t="s">
        <v>882</v>
      </c>
      <c r="B882" s="8" t="str">
        <f>VLOOKUP(A882,assortedcode!B:C,2,0)</f>
        <v>040000155194</v>
      </c>
      <c r="C882" s="1">
        <v>0</v>
      </c>
      <c r="D882" s="9">
        <f t="shared" si="53"/>
        <v>0</v>
      </c>
      <c r="E882" s="7" t="s">
        <v>8345</v>
      </c>
      <c r="F882" s="10" t="str">
        <f t="shared" si="52"/>
        <v>insert into ins_premium_det (premium_rcv_code,assorted_code, rec_amount,premium_rcv_detail_code,remaining_amt, payrec, mode_code,coinsurance_code,class_cd,it_remarks) values</v>
      </c>
      <c r="G882" s="11" t="str">
        <f t="shared" si="54"/>
        <v>('28Nov240101','040000155194','0',(select max(to_number(i.premium_rcv_detail_code))+1
from ins_premium_det i),'0','0','02', '11000003','00','Request by Mr. Omair Ali 29-Nov-2024');</v>
      </c>
      <c r="H882" s="12" t="str">
        <f t="shared" si="55"/>
        <v>insert into ins_premium_det (premium_rcv_code,assorted_code, rec_amount,premium_rcv_detail_code,remaining_amt, payrec, mode_code,coinsurance_code,class_cd,it_remarks) values('28Nov240101','040000155194','0',(select max(to_number(i.premium_rcv_detail_code))+1
from ins_premium_det i),'0','0','02', '11000003','00','Request by Mr. Omair Ali 29-Nov-2024');</v>
      </c>
    </row>
    <row r="883" spans="1:8" ht="105" x14ac:dyDescent="0.25">
      <c r="A883" t="s">
        <v>883</v>
      </c>
      <c r="B883" s="8" t="str">
        <f>VLOOKUP(A883,assortedcode!B:C,2,0)</f>
        <v>040000141034</v>
      </c>
      <c r="C883" s="1">
        <v>0</v>
      </c>
      <c r="D883" s="9">
        <f t="shared" si="53"/>
        <v>0</v>
      </c>
      <c r="E883" s="7" t="s">
        <v>8345</v>
      </c>
      <c r="F883" s="10" t="str">
        <f t="shared" si="52"/>
        <v>insert into ins_premium_det (premium_rcv_code,assorted_code, rec_amount,premium_rcv_detail_code,remaining_amt, payrec, mode_code,coinsurance_code,class_cd,it_remarks) values</v>
      </c>
      <c r="G883" s="11" t="str">
        <f t="shared" si="54"/>
        <v>('28Nov240101','040000141034','0',(select max(to_number(i.premium_rcv_detail_code))+1
from ins_premium_det i),'0','0','02', '11000003','00','Request by Mr. Omair Ali 29-Nov-2024');</v>
      </c>
      <c r="H883" s="12" t="str">
        <f t="shared" si="55"/>
        <v>insert into ins_premium_det (premium_rcv_code,assorted_code, rec_amount,premium_rcv_detail_code,remaining_amt, payrec, mode_code,coinsurance_code,class_cd,it_remarks) values('28Nov240101','040000141034','0',(select max(to_number(i.premium_rcv_detail_code))+1
from ins_premium_det i),'0','0','02', '11000003','00','Request by Mr. Omair Ali 29-Nov-2024');</v>
      </c>
    </row>
    <row r="884" spans="1:8" ht="105" x14ac:dyDescent="0.25">
      <c r="A884" t="s">
        <v>884</v>
      </c>
      <c r="B884" s="8" t="str">
        <f>VLOOKUP(A884,assortedcode!B:C,2,0)</f>
        <v>040000182913</v>
      </c>
      <c r="C884" s="1">
        <v>0</v>
      </c>
      <c r="D884" s="9">
        <f t="shared" si="53"/>
        <v>0</v>
      </c>
      <c r="E884" s="7" t="s">
        <v>8345</v>
      </c>
      <c r="F884" s="10" t="str">
        <f t="shared" si="52"/>
        <v>insert into ins_premium_det (premium_rcv_code,assorted_code, rec_amount,premium_rcv_detail_code,remaining_amt, payrec, mode_code,coinsurance_code,class_cd,it_remarks) values</v>
      </c>
      <c r="G884" s="11" t="str">
        <f t="shared" si="54"/>
        <v>('28Nov240101','040000182913','0',(select max(to_number(i.premium_rcv_detail_code))+1
from ins_premium_det i),'0','0','02', '11000003','00','Request by Mr. Omair Ali 29-Nov-2024');</v>
      </c>
      <c r="H884" s="12" t="str">
        <f t="shared" si="55"/>
        <v>insert into ins_premium_det (premium_rcv_code,assorted_code, rec_amount,premium_rcv_detail_code,remaining_amt, payrec, mode_code,coinsurance_code,class_cd,it_remarks) values('28Nov240101','040000182913','0',(select max(to_number(i.premium_rcv_detail_code))+1
from ins_premium_det i),'0','0','02', '11000003','00','Request by Mr. Omair Ali 29-Nov-2024');</v>
      </c>
    </row>
    <row r="885" spans="1:8" ht="105" x14ac:dyDescent="0.25">
      <c r="A885" t="s">
        <v>885</v>
      </c>
      <c r="B885" s="8" t="str">
        <f>VLOOKUP(A885,assortedcode!B:C,2,0)</f>
        <v>040000142621</v>
      </c>
      <c r="C885" s="1">
        <v>0</v>
      </c>
      <c r="D885" s="9">
        <f t="shared" si="53"/>
        <v>0</v>
      </c>
      <c r="E885" s="7" t="s">
        <v>8345</v>
      </c>
      <c r="F885" s="10" t="str">
        <f t="shared" si="52"/>
        <v>insert into ins_premium_det (premium_rcv_code,assorted_code, rec_amount,premium_rcv_detail_code,remaining_amt, payrec, mode_code,coinsurance_code,class_cd,it_remarks) values</v>
      </c>
      <c r="G885" s="11" t="str">
        <f t="shared" si="54"/>
        <v>('28Nov240101','040000142621','0',(select max(to_number(i.premium_rcv_detail_code))+1
from ins_premium_det i),'0','0','02', '11000003','00','Request by Mr. Omair Ali 29-Nov-2024');</v>
      </c>
      <c r="H885" s="12" t="str">
        <f t="shared" si="55"/>
        <v>insert into ins_premium_det (premium_rcv_code,assorted_code, rec_amount,premium_rcv_detail_code,remaining_amt, payrec, mode_code,coinsurance_code,class_cd,it_remarks) values('28Nov240101','040000142621','0',(select max(to_number(i.premium_rcv_detail_code))+1
from ins_premium_det i),'0','0','02', '11000003','00','Request by Mr. Omair Ali 29-Nov-2024');</v>
      </c>
    </row>
    <row r="886" spans="1:8" ht="105" x14ac:dyDescent="0.25">
      <c r="A886" t="s">
        <v>886</v>
      </c>
      <c r="B886" s="8" t="str">
        <f>VLOOKUP(A886,assortedcode!B:C,2,0)</f>
        <v>040000185453</v>
      </c>
      <c r="C886" s="1">
        <v>0</v>
      </c>
      <c r="D886" s="9">
        <f t="shared" si="53"/>
        <v>0</v>
      </c>
      <c r="E886" s="7" t="s">
        <v>8345</v>
      </c>
      <c r="F886" s="10" t="str">
        <f t="shared" si="52"/>
        <v>insert into ins_premium_det (premium_rcv_code,assorted_code, rec_amount,premium_rcv_detail_code,remaining_amt, payrec, mode_code,coinsurance_code,class_cd,it_remarks) values</v>
      </c>
      <c r="G886" s="11" t="str">
        <f t="shared" si="54"/>
        <v>('28Nov240101','040000185453','0',(select max(to_number(i.premium_rcv_detail_code))+1
from ins_premium_det i),'0','0','02', '11000003','00','Request by Mr. Omair Ali 29-Nov-2024');</v>
      </c>
      <c r="H886" s="12" t="str">
        <f t="shared" si="55"/>
        <v>insert into ins_premium_det (premium_rcv_code,assorted_code, rec_amount,premium_rcv_detail_code,remaining_amt, payrec, mode_code,coinsurance_code,class_cd,it_remarks) values('28Nov240101','040000185453','0',(select max(to_number(i.premium_rcv_detail_code))+1
from ins_premium_det i),'0','0','02', '11000003','00','Request by Mr. Omair Ali 29-Nov-2024');</v>
      </c>
    </row>
    <row r="887" spans="1:8" ht="105" x14ac:dyDescent="0.25">
      <c r="A887" t="s">
        <v>887</v>
      </c>
      <c r="B887" s="8" t="str">
        <f>VLOOKUP(A887,assortedcode!B:C,2,0)</f>
        <v>070000158166</v>
      </c>
      <c r="C887" s="1">
        <v>0</v>
      </c>
      <c r="D887" s="9">
        <f t="shared" si="53"/>
        <v>0</v>
      </c>
      <c r="E887" s="7" t="s">
        <v>8345</v>
      </c>
      <c r="F887" s="10" t="str">
        <f t="shared" si="52"/>
        <v>insert into ins_premium_det (premium_rcv_code,assorted_code, rec_amount,premium_rcv_detail_code,remaining_amt, payrec, mode_code,coinsurance_code,class_cd,it_remarks) values</v>
      </c>
      <c r="G887" s="11" t="str">
        <f t="shared" si="54"/>
        <v>('28Nov240101','070000158166','0',(select max(to_number(i.premium_rcv_detail_code))+1
from ins_premium_det i),'0','0','02', '11000003','00','Request by Mr. Omair Ali 29-Nov-2024');</v>
      </c>
      <c r="H887" s="12" t="str">
        <f t="shared" si="55"/>
        <v>insert into ins_premium_det (premium_rcv_code,assorted_code, rec_amount,premium_rcv_detail_code,remaining_amt, payrec, mode_code,coinsurance_code,class_cd,it_remarks) values('28Nov240101','070000158166','0',(select max(to_number(i.premium_rcv_detail_code))+1
from ins_premium_det i),'0','0','02', '11000003','00','Request by Mr. Omair Ali 29-Nov-2024');</v>
      </c>
    </row>
    <row r="888" spans="1:8" ht="105" x14ac:dyDescent="0.25">
      <c r="A888" t="s">
        <v>888</v>
      </c>
      <c r="B888" s="8" t="str">
        <f>VLOOKUP(A888,assortedcode!B:C,2,0)</f>
        <v>070000132129</v>
      </c>
      <c r="C888" s="1">
        <v>0</v>
      </c>
      <c r="D888" s="9">
        <f t="shared" si="53"/>
        <v>0</v>
      </c>
      <c r="E888" s="7" t="s">
        <v>8345</v>
      </c>
      <c r="F888" s="10" t="str">
        <f t="shared" si="52"/>
        <v>insert into ins_premium_det (premium_rcv_code,assorted_code, rec_amount,premium_rcv_detail_code,remaining_amt, payrec, mode_code,coinsurance_code,class_cd,it_remarks) values</v>
      </c>
      <c r="G888" s="11" t="str">
        <f t="shared" si="54"/>
        <v>('28Nov240101','070000132129','0',(select max(to_number(i.premium_rcv_detail_code))+1
from ins_premium_det i),'0','0','02', '11000003','00','Request by Mr. Omair Ali 29-Nov-2024');</v>
      </c>
      <c r="H888" s="12" t="str">
        <f t="shared" si="55"/>
        <v>insert into ins_premium_det (premium_rcv_code,assorted_code, rec_amount,premium_rcv_detail_code,remaining_amt, payrec, mode_code,coinsurance_code,class_cd,it_remarks) values('28Nov240101','070000132129','0',(select max(to_number(i.premium_rcv_detail_code))+1
from ins_premium_det i),'0','0','02', '11000003','00','Request by Mr. Omair Ali 29-Nov-2024');</v>
      </c>
    </row>
    <row r="889" spans="1:8" ht="105" x14ac:dyDescent="0.25">
      <c r="A889" t="s">
        <v>889</v>
      </c>
      <c r="B889" s="8" t="str">
        <f>VLOOKUP(A889,assortedcode!B:C,2,0)</f>
        <v>070000164217</v>
      </c>
      <c r="C889" s="1">
        <v>0</v>
      </c>
      <c r="D889" s="9">
        <f t="shared" si="53"/>
        <v>0</v>
      </c>
      <c r="E889" s="7" t="s">
        <v>8345</v>
      </c>
      <c r="F889" s="10" t="str">
        <f t="shared" si="52"/>
        <v>insert into ins_premium_det (premium_rcv_code,assorted_code, rec_amount,premium_rcv_detail_code,remaining_amt, payrec, mode_code,coinsurance_code,class_cd,it_remarks) values</v>
      </c>
      <c r="G889" s="11" t="str">
        <f t="shared" si="54"/>
        <v>('28Nov240101','070000164217','0',(select max(to_number(i.premium_rcv_detail_code))+1
from ins_premium_det i),'0','0','02', '11000003','00','Request by Mr. Omair Ali 29-Nov-2024');</v>
      </c>
      <c r="H889" s="12" t="str">
        <f t="shared" si="55"/>
        <v>insert into ins_premium_det (premium_rcv_code,assorted_code, rec_amount,premium_rcv_detail_code,remaining_amt, payrec, mode_code,coinsurance_code,class_cd,it_remarks) values('28Nov240101','070000164217','0',(select max(to_number(i.premium_rcv_detail_code))+1
from ins_premium_det i),'0','0','02', '11000003','00','Request by Mr. Omair Ali 29-Nov-2024');</v>
      </c>
    </row>
    <row r="890" spans="1:8" ht="105" x14ac:dyDescent="0.25">
      <c r="A890" t="s">
        <v>890</v>
      </c>
      <c r="B890" s="8" t="str">
        <f>VLOOKUP(A890,assortedcode!B:C,2,0)</f>
        <v>070000158172</v>
      </c>
      <c r="C890" s="1">
        <v>0</v>
      </c>
      <c r="D890" s="9">
        <f t="shared" si="53"/>
        <v>0</v>
      </c>
      <c r="E890" s="7" t="s">
        <v>8345</v>
      </c>
      <c r="F890" s="10" t="str">
        <f t="shared" si="52"/>
        <v>insert into ins_premium_det (premium_rcv_code,assorted_code, rec_amount,premium_rcv_detail_code,remaining_amt, payrec, mode_code,coinsurance_code,class_cd,it_remarks) values</v>
      </c>
      <c r="G890" s="11" t="str">
        <f t="shared" si="54"/>
        <v>('28Nov240101','070000158172','0',(select max(to_number(i.premium_rcv_detail_code))+1
from ins_premium_det i),'0','0','02', '11000003','00','Request by Mr. Omair Ali 29-Nov-2024');</v>
      </c>
      <c r="H890" s="12" t="str">
        <f t="shared" si="55"/>
        <v>insert into ins_premium_det (premium_rcv_code,assorted_code, rec_amount,premium_rcv_detail_code,remaining_amt, payrec, mode_code,coinsurance_code,class_cd,it_remarks) values('28Nov240101','070000158172','0',(select max(to_number(i.premium_rcv_detail_code))+1
from ins_premium_det i),'0','0','02', '11000003','00','Request by Mr. Omair Ali 29-Nov-2024');</v>
      </c>
    </row>
    <row r="891" spans="1:8" ht="105" x14ac:dyDescent="0.25">
      <c r="A891" t="s">
        <v>891</v>
      </c>
      <c r="B891" s="8" t="str">
        <f>VLOOKUP(A891,assortedcode!B:C,2,0)</f>
        <v>040000143566</v>
      </c>
      <c r="C891" s="1">
        <v>0</v>
      </c>
      <c r="D891" s="9">
        <f t="shared" si="53"/>
        <v>0</v>
      </c>
      <c r="E891" s="7" t="s">
        <v>8345</v>
      </c>
      <c r="F891" s="10" t="str">
        <f t="shared" si="52"/>
        <v>insert into ins_premium_det (premium_rcv_code,assorted_code, rec_amount,premium_rcv_detail_code,remaining_amt, payrec, mode_code,coinsurance_code,class_cd,it_remarks) values</v>
      </c>
      <c r="G891" s="11" t="str">
        <f t="shared" si="54"/>
        <v>('28Nov240101','040000143566','0',(select max(to_number(i.premium_rcv_detail_code))+1
from ins_premium_det i),'0','0','02', '11000003','00','Request by Mr. Omair Ali 29-Nov-2024');</v>
      </c>
      <c r="H891" s="12" t="str">
        <f t="shared" si="55"/>
        <v>insert into ins_premium_det (premium_rcv_code,assorted_code, rec_amount,premium_rcv_detail_code,remaining_amt, payrec, mode_code,coinsurance_code,class_cd,it_remarks) values('28Nov240101','040000143566','0',(select max(to_number(i.premium_rcv_detail_code))+1
from ins_premium_det i),'0','0','02', '11000003','00','Request by Mr. Omair Ali 29-Nov-2024');</v>
      </c>
    </row>
    <row r="892" spans="1:8" ht="105" x14ac:dyDescent="0.25">
      <c r="A892" t="s">
        <v>892</v>
      </c>
      <c r="B892" s="8" t="str">
        <f>VLOOKUP(A892,assortedcode!B:C,2,0)</f>
        <v>070000158174</v>
      </c>
      <c r="C892" s="1">
        <v>0</v>
      </c>
      <c r="D892" s="9">
        <f t="shared" si="53"/>
        <v>0</v>
      </c>
      <c r="E892" s="7" t="s">
        <v>8345</v>
      </c>
      <c r="F892" s="10" t="str">
        <f t="shared" si="52"/>
        <v>insert into ins_premium_det (premium_rcv_code,assorted_code, rec_amount,premium_rcv_detail_code,remaining_amt, payrec, mode_code,coinsurance_code,class_cd,it_remarks) values</v>
      </c>
      <c r="G892" s="11" t="str">
        <f t="shared" si="54"/>
        <v>('28Nov240101','070000158174','0',(select max(to_number(i.premium_rcv_detail_code))+1
from ins_premium_det i),'0','0','02', '11000003','00','Request by Mr. Omair Ali 29-Nov-2024');</v>
      </c>
      <c r="H892" s="12" t="str">
        <f t="shared" si="55"/>
        <v>insert into ins_premium_det (premium_rcv_code,assorted_code, rec_amount,premium_rcv_detail_code,remaining_amt, payrec, mode_code,coinsurance_code,class_cd,it_remarks) values('28Nov240101','070000158174','0',(select max(to_number(i.premium_rcv_detail_code))+1
from ins_premium_det i),'0','0','02', '11000003','00','Request by Mr. Omair Ali 29-Nov-2024');</v>
      </c>
    </row>
    <row r="893" spans="1:8" ht="105" x14ac:dyDescent="0.25">
      <c r="A893" t="s">
        <v>893</v>
      </c>
      <c r="B893" s="8" t="str">
        <f>VLOOKUP(A893,assortedcode!B:C,2,0)</f>
        <v>040000138322</v>
      </c>
      <c r="C893" s="1">
        <v>0</v>
      </c>
      <c r="D893" s="9">
        <f t="shared" si="53"/>
        <v>0</v>
      </c>
      <c r="E893" s="7" t="s">
        <v>8345</v>
      </c>
      <c r="F893" s="10" t="str">
        <f t="shared" si="52"/>
        <v>insert into ins_premium_det (premium_rcv_code,assorted_code, rec_amount,premium_rcv_detail_code,remaining_amt, payrec, mode_code,coinsurance_code,class_cd,it_remarks) values</v>
      </c>
      <c r="G893" s="11" t="str">
        <f t="shared" si="54"/>
        <v>('28Nov240101','040000138322','0',(select max(to_number(i.premium_rcv_detail_code))+1
from ins_premium_det i),'0','0','02', '11000003','00','Request by Mr. Omair Ali 29-Nov-2024');</v>
      </c>
      <c r="H893" s="12" t="str">
        <f t="shared" si="55"/>
        <v>insert into ins_premium_det (premium_rcv_code,assorted_code, rec_amount,premium_rcv_detail_code,remaining_amt, payrec, mode_code,coinsurance_code,class_cd,it_remarks) values('28Nov240101','040000138322','0',(select max(to_number(i.premium_rcv_detail_code))+1
from ins_premium_det i),'0','0','02', '11000003','00','Request by Mr. Omair Ali 29-Nov-2024');</v>
      </c>
    </row>
    <row r="894" spans="1:8" ht="105" x14ac:dyDescent="0.25">
      <c r="A894" t="s">
        <v>894</v>
      </c>
      <c r="B894" s="8" t="str">
        <f>VLOOKUP(A894,assortedcode!B:C,2,0)</f>
        <v>070000158175</v>
      </c>
      <c r="C894" s="1">
        <v>0</v>
      </c>
      <c r="D894" s="9">
        <f t="shared" si="53"/>
        <v>0</v>
      </c>
      <c r="E894" s="7" t="s">
        <v>8345</v>
      </c>
      <c r="F894" s="10" t="str">
        <f t="shared" si="52"/>
        <v>insert into ins_premium_det (premium_rcv_code,assorted_code, rec_amount,premium_rcv_detail_code,remaining_amt, payrec, mode_code,coinsurance_code,class_cd,it_remarks) values</v>
      </c>
      <c r="G894" s="11" t="str">
        <f t="shared" si="54"/>
        <v>('28Nov240101','070000158175','0',(select max(to_number(i.premium_rcv_detail_code))+1
from ins_premium_det i),'0','0','02', '11000003','00','Request by Mr. Omair Ali 29-Nov-2024');</v>
      </c>
      <c r="H894" s="12" t="str">
        <f t="shared" si="55"/>
        <v>insert into ins_premium_det (premium_rcv_code,assorted_code, rec_amount,premium_rcv_detail_code,remaining_amt, payrec, mode_code,coinsurance_code,class_cd,it_remarks) values('28Nov240101','070000158175','0',(select max(to_number(i.premium_rcv_detail_code))+1
from ins_premium_det i),'0','0','02', '11000003','00','Request by Mr. Omair Ali 29-Nov-2024');</v>
      </c>
    </row>
    <row r="895" spans="1:8" ht="105" x14ac:dyDescent="0.25">
      <c r="A895" t="s">
        <v>895</v>
      </c>
      <c r="B895" s="8" t="str">
        <f>VLOOKUP(A895,assortedcode!B:C,2,0)</f>
        <v>040000143470</v>
      </c>
      <c r="C895" s="1">
        <v>0</v>
      </c>
      <c r="D895" s="9">
        <f t="shared" si="53"/>
        <v>0</v>
      </c>
      <c r="E895" s="7" t="s">
        <v>8345</v>
      </c>
      <c r="F895" s="10" t="str">
        <f t="shared" si="52"/>
        <v>insert into ins_premium_det (premium_rcv_code,assorted_code, rec_amount,premium_rcv_detail_code,remaining_amt, payrec, mode_code,coinsurance_code,class_cd,it_remarks) values</v>
      </c>
      <c r="G895" s="11" t="str">
        <f t="shared" si="54"/>
        <v>('28Nov240101','040000143470','0',(select max(to_number(i.premium_rcv_detail_code))+1
from ins_premium_det i),'0','0','02', '11000003','00','Request by Mr. Omair Ali 29-Nov-2024');</v>
      </c>
      <c r="H895" s="12" t="str">
        <f t="shared" si="55"/>
        <v>insert into ins_premium_det (premium_rcv_code,assorted_code, rec_amount,premium_rcv_detail_code,remaining_amt, payrec, mode_code,coinsurance_code,class_cd,it_remarks) values('28Nov240101','040000143470','0',(select max(to_number(i.premium_rcv_detail_code))+1
from ins_premium_det i),'0','0','02', '11000003','00','Request by Mr. Omair Ali 29-Nov-2024');</v>
      </c>
    </row>
    <row r="896" spans="1:8" ht="105" x14ac:dyDescent="0.25">
      <c r="A896" t="s">
        <v>896</v>
      </c>
      <c r="B896" s="8" t="str">
        <f>VLOOKUP(A896,assortedcode!B:C,2,0)</f>
        <v>070000158641</v>
      </c>
      <c r="C896" s="1">
        <v>0</v>
      </c>
      <c r="D896" s="9">
        <f t="shared" si="53"/>
        <v>0</v>
      </c>
      <c r="E896" s="7" t="s">
        <v>8345</v>
      </c>
      <c r="F896" s="10" t="str">
        <f t="shared" si="52"/>
        <v>insert into ins_premium_det (premium_rcv_code,assorted_code, rec_amount,premium_rcv_detail_code,remaining_amt, payrec, mode_code,coinsurance_code,class_cd,it_remarks) values</v>
      </c>
      <c r="G896" s="11" t="str">
        <f t="shared" si="54"/>
        <v>('28Nov240101','070000158641','0',(select max(to_number(i.premium_rcv_detail_code))+1
from ins_premium_det i),'0','0','02', '11000003','00','Request by Mr. Omair Ali 29-Nov-2024');</v>
      </c>
      <c r="H896" s="12" t="str">
        <f t="shared" si="55"/>
        <v>insert into ins_premium_det (premium_rcv_code,assorted_code, rec_amount,premium_rcv_detail_code,remaining_amt, payrec, mode_code,coinsurance_code,class_cd,it_remarks) values('28Nov240101','070000158641','0',(select max(to_number(i.premium_rcv_detail_code))+1
from ins_premium_det i),'0','0','02', '11000003','00','Request by Mr. Omair Ali 29-Nov-2024');</v>
      </c>
    </row>
    <row r="897" spans="1:8" ht="105" x14ac:dyDescent="0.25">
      <c r="A897" t="s">
        <v>897</v>
      </c>
      <c r="B897" s="8" t="str">
        <f>VLOOKUP(A897,assortedcode!B:C,2,0)</f>
        <v>040000143001</v>
      </c>
      <c r="C897" s="1">
        <v>0</v>
      </c>
      <c r="D897" s="9">
        <f t="shared" si="53"/>
        <v>0</v>
      </c>
      <c r="E897" s="7" t="s">
        <v>8345</v>
      </c>
      <c r="F897" s="10" t="str">
        <f t="shared" si="52"/>
        <v>insert into ins_premium_det (premium_rcv_code,assorted_code, rec_amount,premium_rcv_detail_code,remaining_amt, payrec, mode_code,coinsurance_code,class_cd,it_remarks) values</v>
      </c>
      <c r="G897" s="11" t="str">
        <f t="shared" si="54"/>
        <v>('28Nov240101','040000143001','0',(select max(to_number(i.premium_rcv_detail_code))+1
from ins_premium_det i),'0','0','02', '11000003','00','Request by Mr. Omair Ali 29-Nov-2024');</v>
      </c>
      <c r="H897" s="12" t="str">
        <f t="shared" si="55"/>
        <v>insert into ins_premium_det (premium_rcv_code,assorted_code, rec_amount,premium_rcv_detail_code,remaining_amt, payrec, mode_code,coinsurance_code,class_cd,it_remarks) values('28Nov240101','040000143001','0',(select max(to_number(i.premium_rcv_detail_code))+1
from ins_premium_det i),'0','0','02', '11000003','00','Request by Mr. Omair Ali 29-Nov-2024');</v>
      </c>
    </row>
    <row r="898" spans="1:8" ht="105" x14ac:dyDescent="0.25">
      <c r="A898" t="s">
        <v>898</v>
      </c>
      <c r="B898" s="8" t="str">
        <f>VLOOKUP(A898,assortedcode!B:C,2,0)</f>
        <v>040000143501</v>
      </c>
      <c r="C898" s="1">
        <v>0</v>
      </c>
      <c r="D898" s="9">
        <f t="shared" si="53"/>
        <v>0</v>
      </c>
      <c r="E898" s="7" t="s">
        <v>8345</v>
      </c>
      <c r="F898" s="10" t="str">
        <f t="shared" ref="F898:F961" si="56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898" s="11" t="str">
        <f t="shared" si="54"/>
        <v>('28Nov240101','040000143501','0',(select max(to_number(i.premium_rcv_detail_code))+1
from ins_premium_det i),'0','0','02', '11000003','00','Request by Mr. Omair Ali 29-Nov-2024');</v>
      </c>
      <c r="H898" s="12" t="str">
        <f t="shared" si="55"/>
        <v>insert into ins_premium_det (premium_rcv_code,assorted_code, rec_amount,premium_rcv_detail_code,remaining_amt, payrec, mode_code,coinsurance_code,class_cd,it_remarks) values('28Nov240101','040000143501','0',(select max(to_number(i.premium_rcv_detail_code))+1
from ins_premium_det i),'0','0','02', '11000003','00','Request by Mr. Omair Ali 29-Nov-2024');</v>
      </c>
    </row>
    <row r="899" spans="1:8" ht="105" x14ac:dyDescent="0.25">
      <c r="A899" t="s">
        <v>899</v>
      </c>
      <c r="B899" s="8" t="str">
        <f>VLOOKUP(A899,assortedcode!B:C,2,0)</f>
        <v>040000141885</v>
      </c>
      <c r="C899" s="1">
        <v>0</v>
      </c>
      <c r="D899" s="9">
        <f t="shared" ref="D899:D962" si="57">ROUND(C899,0)</f>
        <v>0</v>
      </c>
      <c r="E899" s="7" t="s">
        <v>8345</v>
      </c>
      <c r="F899" s="10" t="str">
        <f t="shared" si="56"/>
        <v>insert into ins_premium_det (premium_rcv_code,assorted_code, rec_amount,premium_rcv_detail_code,remaining_amt, payrec, mode_code,coinsurance_code,class_cd,it_remarks) values</v>
      </c>
      <c r="G899" s="11" t="str">
        <f t="shared" ref="G899:G962" si="58">"('"&amp;E899&amp;"','"&amp;B899&amp;"','"&amp;ROUND(D899,2)&amp;"',(select max(to_number(i.premium_rcv_detail_code))+1
from ins_premium_det i),'"&amp;D899&amp;"','"&amp;D899&amp;"','02', '11000003','00','Request by Mr. Omair Ali 29-Nov-2024');"</f>
        <v>('28Nov240101','040000141885','0',(select max(to_number(i.premium_rcv_detail_code))+1
from ins_premium_det i),'0','0','02', '11000003','00','Request by Mr. Omair Ali 29-Nov-2024');</v>
      </c>
      <c r="H899" s="12" t="str">
        <f t="shared" ref="H899:H962" si="59">F899&amp;G899</f>
        <v>insert into ins_premium_det (premium_rcv_code,assorted_code, rec_amount,premium_rcv_detail_code,remaining_amt, payrec, mode_code,coinsurance_code,class_cd,it_remarks) values('28Nov240101','040000141885','0',(select max(to_number(i.premium_rcv_detail_code))+1
from ins_premium_det i),'0','0','02', '11000003','00','Request by Mr. Omair Ali 29-Nov-2024');</v>
      </c>
    </row>
    <row r="900" spans="1:8" ht="105" x14ac:dyDescent="0.25">
      <c r="A900" t="s">
        <v>900</v>
      </c>
      <c r="B900" s="8" t="str">
        <f>VLOOKUP(A900,assortedcode!B:C,2,0)</f>
        <v>040000186520</v>
      </c>
      <c r="C900" s="1">
        <v>0</v>
      </c>
      <c r="D900" s="9">
        <f t="shared" si="57"/>
        <v>0</v>
      </c>
      <c r="E900" s="7" t="s">
        <v>8345</v>
      </c>
      <c r="F900" s="10" t="str">
        <f t="shared" si="56"/>
        <v>insert into ins_premium_det (premium_rcv_code,assorted_code, rec_amount,premium_rcv_detail_code,remaining_amt, payrec, mode_code,coinsurance_code,class_cd,it_remarks) values</v>
      </c>
      <c r="G900" s="11" t="str">
        <f t="shared" si="58"/>
        <v>('28Nov240101','040000186520','0',(select max(to_number(i.premium_rcv_detail_code))+1
from ins_premium_det i),'0','0','02', '11000003','00','Request by Mr. Omair Ali 29-Nov-2024');</v>
      </c>
      <c r="H900" s="12" t="str">
        <f t="shared" si="59"/>
        <v>insert into ins_premium_det (premium_rcv_code,assorted_code, rec_amount,premium_rcv_detail_code,remaining_amt, payrec, mode_code,coinsurance_code,class_cd,it_remarks) values('28Nov240101','040000186520','0',(select max(to_number(i.premium_rcv_detail_code))+1
from ins_premium_det i),'0','0','02', '11000003','00','Request by Mr. Omair Ali 29-Nov-2024');</v>
      </c>
    </row>
    <row r="901" spans="1:8" ht="105" x14ac:dyDescent="0.25">
      <c r="A901" t="s">
        <v>901</v>
      </c>
      <c r="B901" s="8" t="str">
        <f>VLOOKUP(A901,assortedcode!B:C,2,0)</f>
        <v>040000134674</v>
      </c>
      <c r="C901" s="1">
        <v>0</v>
      </c>
      <c r="D901" s="9">
        <f t="shared" si="57"/>
        <v>0</v>
      </c>
      <c r="E901" s="7" t="s">
        <v>8345</v>
      </c>
      <c r="F901" s="10" t="str">
        <f t="shared" si="56"/>
        <v>insert into ins_premium_det (premium_rcv_code,assorted_code, rec_amount,premium_rcv_detail_code,remaining_amt, payrec, mode_code,coinsurance_code,class_cd,it_remarks) values</v>
      </c>
      <c r="G901" s="11" t="str">
        <f t="shared" si="58"/>
        <v>('28Nov240101','040000134674','0',(select max(to_number(i.premium_rcv_detail_code))+1
from ins_premium_det i),'0','0','02', '11000003','00','Request by Mr. Omair Ali 29-Nov-2024');</v>
      </c>
      <c r="H901" s="12" t="str">
        <f t="shared" si="59"/>
        <v>insert into ins_premium_det (premium_rcv_code,assorted_code, rec_amount,premium_rcv_detail_code,remaining_amt, payrec, mode_code,coinsurance_code,class_cd,it_remarks) values('28Nov240101','040000134674','0',(select max(to_number(i.premium_rcv_detail_code))+1
from ins_premium_det i),'0','0','02', '11000003','00','Request by Mr. Omair Ali 29-Nov-2024');</v>
      </c>
    </row>
    <row r="902" spans="1:8" ht="105" x14ac:dyDescent="0.25">
      <c r="A902" t="s">
        <v>902</v>
      </c>
      <c r="B902" s="8" t="str">
        <f>VLOOKUP(A902,assortedcode!B:C,2,0)</f>
        <v>070000121766</v>
      </c>
      <c r="C902" s="1">
        <v>0</v>
      </c>
      <c r="D902" s="9">
        <f t="shared" si="57"/>
        <v>0</v>
      </c>
      <c r="E902" s="7" t="s">
        <v>8345</v>
      </c>
      <c r="F902" s="10" t="str">
        <f t="shared" si="56"/>
        <v>insert into ins_premium_det (premium_rcv_code,assorted_code, rec_amount,premium_rcv_detail_code,remaining_amt, payrec, mode_code,coinsurance_code,class_cd,it_remarks) values</v>
      </c>
      <c r="G902" s="11" t="str">
        <f t="shared" si="58"/>
        <v>('28Nov240101','070000121766','0',(select max(to_number(i.premium_rcv_detail_code))+1
from ins_premium_det i),'0','0','02', '11000003','00','Request by Mr. Omair Ali 29-Nov-2024');</v>
      </c>
      <c r="H902" s="12" t="str">
        <f t="shared" si="59"/>
        <v>insert into ins_premium_det (premium_rcv_code,assorted_code, rec_amount,premium_rcv_detail_code,remaining_amt, payrec, mode_code,coinsurance_code,class_cd,it_remarks) values('28Nov240101','070000121766','0',(select max(to_number(i.premium_rcv_detail_code))+1
from ins_premium_det i),'0','0','02', '11000003','00','Request by Mr. Omair Ali 29-Nov-2024');</v>
      </c>
    </row>
    <row r="903" spans="1:8" ht="105" x14ac:dyDescent="0.25">
      <c r="A903" t="s">
        <v>903</v>
      </c>
      <c r="B903" s="8" t="str">
        <f>VLOOKUP(A903,assortedcode!B:C,2,0)</f>
        <v>040000145134</v>
      </c>
      <c r="C903" s="1">
        <v>0</v>
      </c>
      <c r="D903" s="9">
        <f t="shared" si="57"/>
        <v>0</v>
      </c>
      <c r="E903" s="7" t="s">
        <v>8345</v>
      </c>
      <c r="F903" s="10" t="str">
        <f t="shared" si="56"/>
        <v>insert into ins_premium_det (premium_rcv_code,assorted_code, rec_amount,premium_rcv_detail_code,remaining_amt, payrec, mode_code,coinsurance_code,class_cd,it_remarks) values</v>
      </c>
      <c r="G903" s="11" t="str">
        <f t="shared" si="58"/>
        <v>('28Nov240101','040000145134','0',(select max(to_number(i.premium_rcv_detail_code))+1
from ins_premium_det i),'0','0','02', '11000003','00','Request by Mr. Omair Ali 29-Nov-2024');</v>
      </c>
      <c r="H903" s="12" t="str">
        <f t="shared" si="59"/>
        <v>insert into ins_premium_det (premium_rcv_code,assorted_code, rec_amount,premium_rcv_detail_code,remaining_amt, payrec, mode_code,coinsurance_code,class_cd,it_remarks) values('28Nov240101','040000145134','0',(select max(to_number(i.premium_rcv_detail_code))+1
from ins_premium_det i),'0','0','02', '11000003','00','Request by Mr. Omair Ali 29-Nov-2024');</v>
      </c>
    </row>
    <row r="904" spans="1:8" ht="105" x14ac:dyDescent="0.25">
      <c r="A904" t="s">
        <v>904</v>
      </c>
      <c r="B904" s="8" t="str">
        <f>VLOOKUP(A904,assortedcode!B:C,2,0)</f>
        <v>070000126939</v>
      </c>
      <c r="C904" s="1">
        <v>0</v>
      </c>
      <c r="D904" s="9">
        <f t="shared" si="57"/>
        <v>0</v>
      </c>
      <c r="E904" s="7" t="s">
        <v>8345</v>
      </c>
      <c r="F904" s="10" t="str">
        <f t="shared" si="56"/>
        <v>insert into ins_premium_det (premium_rcv_code,assorted_code, rec_amount,premium_rcv_detail_code,remaining_amt, payrec, mode_code,coinsurance_code,class_cd,it_remarks) values</v>
      </c>
      <c r="G904" s="11" t="str">
        <f t="shared" si="58"/>
        <v>('28Nov240101','070000126939','0',(select max(to_number(i.premium_rcv_detail_code))+1
from ins_premium_det i),'0','0','02', '11000003','00','Request by Mr. Omair Ali 29-Nov-2024');</v>
      </c>
      <c r="H904" s="12" t="str">
        <f t="shared" si="59"/>
        <v>insert into ins_premium_det (premium_rcv_code,assorted_code, rec_amount,premium_rcv_detail_code,remaining_amt, payrec, mode_code,coinsurance_code,class_cd,it_remarks) values('28Nov240101','070000126939','0',(select max(to_number(i.premium_rcv_detail_code))+1
from ins_premium_det i),'0','0','02', '11000003','00','Request by Mr. Omair Ali 29-Nov-2024');</v>
      </c>
    </row>
    <row r="905" spans="1:8" ht="105" x14ac:dyDescent="0.25">
      <c r="A905" t="s">
        <v>905</v>
      </c>
      <c r="B905" s="8" t="str">
        <f>VLOOKUP(A905,assortedcode!B:C,2,0)</f>
        <v>040000119462</v>
      </c>
      <c r="C905" s="1">
        <v>0</v>
      </c>
      <c r="D905" s="9">
        <f t="shared" si="57"/>
        <v>0</v>
      </c>
      <c r="E905" s="7" t="s">
        <v>8345</v>
      </c>
      <c r="F905" s="10" t="str">
        <f t="shared" si="56"/>
        <v>insert into ins_premium_det (premium_rcv_code,assorted_code, rec_amount,premium_rcv_detail_code,remaining_amt, payrec, mode_code,coinsurance_code,class_cd,it_remarks) values</v>
      </c>
      <c r="G905" s="11" t="str">
        <f t="shared" si="58"/>
        <v>('28Nov240101','040000119462','0',(select max(to_number(i.premium_rcv_detail_code))+1
from ins_premium_det i),'0','0','02', '11000003','00','Request by Mr. Omair Ali 29-Nov-2024');</v>
      </c>
      <c r="H905" s="12" t="str">
        <f t="shared" si="59"/>
        <v>insert into ins_premium_det (premium_rcv_code,assorted_code, rec_amount,premium_rcv_detail_code,remaining_amt, payrec, mode_code,coinsurance_code,class_cd,it_remarks) values('28Nov240101','040000119462','0',(select max(to_number(i.premium_rcv_detail_code))+1
from ins_premium_det i),'0','0','02', '11000003','00','Request by Mr. Omair Ali 29-Nov-2024');</v>
      </c>
    </row>
    <row r="906" spans="1:8" ht="105" x14ac:dyDescent="0.25">
      <c r="A906" t="s">
        <v>906</v>
      </c>
      <c r="B906" s="8" t="str">
        <f>VLOOKUP(A906,assortedcode!B:C,2,0)</f>
        <v>040000149388</v>
      </c>
      <c r="C906" s="1">
        <v>0</v>
      </c>
      <c r="D906" s="9">
        <f t="shared" si="57"/>
        <v>0</v>
      </c>
      <c r="E906" s="7" t="s">
        <v>8345</v>
      </c>
      <c r="F906" s="10" t="str">
        <f t="shared" si="56"/>
        <v>insert into ins_premium_det (premium_rcv_code,assorted_code, rec_amount,premium_rcv_detail_code,remaining_amt, payrec, mode_code,coinsurance_code,class_cd,it_remarks) values</v>
      </c>
      <c r="G906" s="11" t="str">
        <f t="shared" si="58"/>
        <v>('28Nov240101','040000149388','0',(select max(to_number(i.premium_rcv_detail_code))+1
from ins_premium_det i),'0','0','02', '11000003','00','Request by Mr. Omair Ali 29-Nov-2024');</v>
      </c>
      <c r="H906" s="12" t="str">
        <f t="shared" si="59"/>
        <v>insert into ins_premium_det (premium_rcv_code,assorted_code, rec_amount,premium_rcv_detail_code,remaining_amt, payrec, mode_code,coinsurance_code,class_cd,it_remarks) values('28Nov240101','040000149388','0',(select max(to_number(i.premium_rcv_detail_code))+1
from ins_premium_det i),'0','0','02', '11000003','00','Request by Mr. Omair Ali 29-Nov-2024');</v>
      </c>
    </row>
    <row r="907" spans="1:8" ht="105" x14ac:dyDescent="0.25">
      <c r="A907" t="s">
        <v>907</v>
      </c>
      <c r="B907" s="8" t="str">
        <f>VLOOKUP(A907,assortedcode!B:C,2,0)</f>
        <v>040000108500</v>
      </c>
      <c r="C907" s="1">
        <v>0</v>
      </c>
      <c r="D907" s="9">
        <f t="shared" si="57"/>
        <v>0</v>
      </c>
      <c r="E907" s="7" t="s">
        <v>8345</v>
      </c>
      <c r="F907" s="10" t="str">
        <f t="shared" si="56"/>
        <v>insert into ins_premium_det (premium_rcv_code,assorted_code, rec_amount,premium_rcv_detail_code,remaining_amt, payrec, mode_code,coinsurance_code,class_cd,it_remarks) values</v>
      </c>
      <c r="G907" s="11" t="str">
        <f t="shared" si="58"/>
        <v>('28Nov240101','040000108500','0',(select max(to_number(i.premium_rcv_detail_code))+1
from ins_premium_det i),'0','0','02', '11000003','00','Request by Mr. Omair Ali 29-Nov-2024');</v>
      </c>
      <c r="H907" s="12" t="str">
        <f t="shared" si="59"/>
        <v>insert into ins_premium_det (premium_rcv_code,assorted_code, rec_amount,premium_rcv_detail_code,remaining_amt, payrec, mode_code,coinsurance_code,class_cd,it_remarks) values('28Nov240101','040000108500','0',(select max(to_number(i.premium_rcv_detail_code))+1
from ins_premium_det i),'0','0','02', '11000003','00','Request by Mr. Omair Ali 29-Nov-2024');</v>
      </c>
    </row>
    <row r="908" spans="1:8" ht="105" x14ac:dyDescent="0.25">
      <c r="A908" t="s">
        <v>908</v>
      </c>
      <c r="B908" s="8" t="str">
        <f>VLOOKUP(A908,assortedcode!B:C,2,0)</f>
        <v>040000109049</v>
      </c>
      <c r="C908" s="1">
        <v>0</v>
      </c>
      <c r="D908" s="9">
        <f t="shared" si="57"/>
        <v>0</v>
      </c>
      <c r="E908" s="7" t="s">
        <v>8345</v>
      </c>
      <c r="F908" s="10" t="str">
        <f t="shared" si="56"/>
        <v>insert into ins_premium_det (premium_rcv_code,assorted_code, rec_amount,premium_rcv_detail_code,remaining_amt, payrec, mode_code,coinsurance_code,class_cd,it_remarks) values</v>
      </c>
      <c r="G908" s="11" t="str">
        <f t="shared" si="58"/>
        <v>('28Nov240101','040000109049','0',(select max(to_number(i.premium_rcv_detail_code))+1
from ins_premium_det i),'0','0','02', '11000003','00','Request by Mr. Omair Ali 29-Nov-2024');</v>
      </c>
      <c r="H908" s="12" t="str">
        <f t="shared" si="59"/>
        <v>insert into ins_premium_det (premium_rcv_code,assorted_code, rec_amount,premium_rcv_detail_code,remaining_amt, payrec, mode_code,coinsurance_code,class_cd,it_remarks) values('28Nov240101','040000109049','0',(select max(to_number(i.premium_rcv_detail_code))+1
from ins_premium_det i),'0','0','02', '11000003','00','Request by Mr. Omair Ali 29-Nov-2024');</v>
      </c>
    </row>
    <row r="909" spans="1:8" ht="105" x14ac:dyDescent="0.25">
      <c r="A909" t="s">
        <v>909</v>
      </c>
      <c r="B909" s="8" t="str">
        <f>VLOOKUP(A909,assortedcode!B:C,2,0)</f>
        <v>040000108504</v>
      </c>
      <c r="C909" s="1">
        <v>0</v>
      </c>
      <c r="D909" s="9">
        <f t="shared" si="57"/>
        <v>0</v>
      </c>
      <c r="E909" s="7" t="s">
        <v>8345</v>
      </c>
      <c r="F909" s="10" t="str">
        <f t="shared" si="56"/>
        <v>insert into ins_premium_det (premium_rcv_code,assorted_code, rec_amount,premium_rcv_detail_code,remaining_amt, payrec, mode_code,coinsurance_code,class_cd,it_remarks) values</v>
      </c>
      <c r="G909" s="11" t="str">
        <f t="shared" si="58"/>
        <v>('28Nov240101','040000108504','0',(select max(to_number(i.premium_rcv_detail_code))+1
from ins_premium_det i),'0','0','02', '11000003','00','Request by Mr. Omair Ali 29-Nov-2024');</v>
      </c>
      <c r="H909" s="12" t="str">
        <f t="shared" si="59"/>
        <v>insert into ins_premium_det (premium_rcv_code,assorted_code, rec_amount,premium_rcv_detail_code,remaining_amt, payrec, mode_code,coinsurance_code,class_cd,it_remarks) values('28Nov240101','040000108504','0',(select max(to_number(i.premium_rcv_detail_code))+1
from ins_premium_det i),'0','0','02', '11000003','00','Request by Mr. Omair Ali 29-Nov-2024');</v>
      </c>
    </row>
    <row r="910" spans="1:8" ht="105" x14ac:dyDescent="0.25">
      <c r="A910" t="s">
        <v>910</v>
      </c>
      <c r="B910" s="8" t="str">
        <f>VLOOKUP(A910,assortedcode!B:C,2,0)</f>
        <v>040000109114</v>
      </c>
      <c r="C910" s="1">
        <v>0</v>
      </c>
      <c r="D910" s="9">
        <f t="shared" si="57"/>
        <v>0</v>
      </c>
      <c r="E910" s="7" t="s">
        <v>8345</v>
      </c>
      <c r="F910" s="10" t="str">
        <f t="shared" si="56"/>
        <v>insert into ins_premium_det (premium_rcv_code,assorted_code, rec_amount,premium_rcv_detail_code,remaining_amt, payrec, mode_code,coinsurance_code,class_cd,it_remarks) values</v>
      </c>
      <c r="G910" s="11" t="str">
        <f t="shared" si="58"/>
        <v>('28Nov240101','040000109114','0',(select max(to_number(i.premium_rcv_detail_code))+1
from ins_premium_det i),'0','0','02', '11000003','00','Request by Mr. Omair Ali 29-Nov-2024');</v>
      </c>
      <c r="H910" s="12" t="str">
        <f t="shared" si="59"/>
        <v>insert into ins_premium_det (premium_rcv_code,assorted_code, rec_amount,premium_rcv_detail_code,remaining_amt, payrec, mode_code,coinsurance_code,class_cd,it_remarks) values('28Nov240101','040000109114','0',(select max(to_number(i.premium_rcv_detail_code))+1
from ins_premium_det i),'0','0','02', '11000003','00','Request by Mr. Omair Ali 29-Nov-2024');</v>
      </c>
    </row>
    <row r="911" spans="1:8" ht="105" x14ac:dyDescent="0.25">
      <c r="A911" t="s">
        <v>911</v>
      </c>
      <c r="B911" s="8" t="str">
        <f>VLOOKUP(A911,assortedcode!B:C,2,0)</f>
        <v>040000108510</v>
      </c>
      <c r="C911" s="1">
        <v>0</v>
      </c>
      <c r="D911" s="9">
        <f t="shared" si="57"/>
        <v>0</v>
      </c>
      <c r="E911" s="7" t="s">
        <v>8345</v>
      </c>
      <c r="F911" s="10" t="str">
        <f t="shared" si="56"/>
        <v>insert into ins_premium_det (premium_rcv_code,assorted_code, rec_amount,premium_rcv_detail_code,remaining_amt, payrec, mode_code,coinsurance_code,class_cd,it_remarks) values</v>
      </c>
      <c r="G911" s="11" t="str">
        <f t="shared" si="58"/>
        <v>('28Nov240101','040000108510','0',(select max(to_number(i.premium_rcv_detail_code))+1
from ins_premium_det i),'0','0','02', '11000003','00','Request by Mr. Omair Ali 29-Nov-2024');</v>
      </c>
      <c r="H911" s="12" t="str">
        <f t="shared" si="59"/>
        <v>insert into ins_premium_det (premium_rcv_code,assorted_code, rec_amount,premium_rcv_detail_code,remaining_amt, payrec, mode_code,coinsurance_code,class_cd,it_remarks) values('28Nov240101','040000108510','0',(select max(to_number(i.premium_rcv_detail_code))+1
from ins_premium_det i),'0','0','02', '11000003','00','Request by Mr. Omair Ali 29-Nov-2024');</v>
      </c>
    </row>
    <row r="912" spans="1:8" ht="105" x14ac:dyDescent="0.25">
      <c r="A912" t="s">
        <v>912</v>
      </c>
      <c r="B912" s="8" t="str">
        <f>VLOOKUP(A912,assortedcode!B:C,2,0)</f>
        <v>040000111633</v>
      </c>
      <c r="C912" s="1">
        <v>0</v>
      </c>
      <c r="D912" s="9">
        <f t="shared" si="57"/>
        <v>0</v>
      </c>
      <c r="E912" s="7" t="s">
        <v>8345</v>
      </c>
      <c r="F912" s="10" t="str">
        <f t="shared" si="56"/>
        <v>insert into ins_premium_det (premium_rcv_code,assorted_code, rec_amount,premium_rcv_detail_code,remaining_amt, payrec, mode_code,coinsurance_code,class_cd,it_remarks) values</v>
      </c>
      <c r="G912" s="11" t="str">
        <f t="shared" si="58"/>
        <v>('28Nov240101','040000111633','0',(select max(to_number(i.premium_rcv_detail_code))+1
from ins_premium_det i),'0','0','02', '11000003','00','Request by Mr. Omair Ali 29-Nov-2024');</v>
      </c>
      <c r="H912" s="12" t="str">
        <f t="shared" si="59"/>
        <v>insert into ins_premium_det (premium_rcv_code,assorted_code, rec_amount,premium_rcv_detail_code,remaining_amt, payrec, mode_code,coinsurance_code,class_cd,it_remarks) values('28Nov240101','040000111633','0',(select max(to_number(i.premium_rcv_detail_code))+1
from ins_premium_det i),'0','0','02', '11000003','00','Request by Mr. Omair Ali 29-Nov-2024');</v>
      </c>
    </row>
    <row r="913" spans="1:8" ht="105" x14ac:dyDescent="0.25">
      <c r="A913" t="s">
        <v>913</v>
      </c>
      <c r="B913" s="8" t="str">
        <f>VLOOKUP(A913,assortedcode!B:C,2,0)</f>
        <v>040000142534</v>
      </c>
      <c r="C913" s="1">
        <v>0</v>
      </c>
      <c r="D913" s="9">
        <f t="shared" si="57"/>
        <v>0</v>
      </c>
      <c r="E913" s="7" t="s">
        <v>8345</v>
      </c>
      <c r="F913" s="10" t="str">
        <f t="shared" si="56"/>
        <v>insert into ins_premium_det (premium_rcv_code,assorted_code, rec_amount,premium_rcv_detail_code,remaining_amt, payrec, mode_code,coinsurance_code,class_cd,it_remarks) values</v>
      </c>
      <c r="G913" s="11" t="str">
        <f t="shared" si="58"/>
        <v>('28Nov240101','040000142534','0',(select max(to_number(i.premium_rcv_detail_code))+1
from ins_premium_det i),'0','0','02', '11000003','00','Request by Mr. Omair Ali 29-Nov-2024');</v>
      </c>
      <c r="H913" s="12" t="str">
        <f t="shared" si="59"/>
        <v>insert into ins_premium_det (premium_rcv_code,assorted_code, rec_amount,premium_rcv_detail_code,remaining_amt, payrec, mode_code,coinsurance_code,class_cd,it_remarks) values('28Nov240101','040000142534','0',(select max(to_number(i.premium_rcv_detail_code))+1
from ins_premium_det i),'0','0','02', '11000003','00','Request by Mr. Omair Ali 29-Nov-2024');</v>
      </c>
    </row>
    <row r="914" spans="1:8" ht="105" x14ac:dyDescent="0.25">
      <c r="A914" t="s">
        <v>914</v>
      </c>
      <c r="B914" s="8" t="str">
        <f>VLOOKUP(A914,assortedcode!B:C,2,0)</f>
        <v>040000112339</v>
      </c>
      <c r="C914" s="1">
        <v>0</v>
      </c>
      <c r="D914" s="9">
        <f t="shared" si="57"/>
        <v>0</v>
      </c>
      <c r="E914" s="7" t="s">
        <v>8345</v>
      </c>
      <c r="F914" s="10" t="str">
        <f t="shared" si="56"/>
        <v>insert into ins_premium_det (premium_rcv_code,assorted_code, rec_amount,premium_rcv_detail_code,remaining_amt, payrec, mode_code,coinsurance_code,class_cd,it_remarks) values</v>
      </c>
      <c r="G914" s="11" t="str">
        <f t="shared" si="58"/>
        <v>('28Nov240101','040000112339','0',(select max(to_number(i.premium_rcv_detail_code))+1
from ins_premium_det i),'0','0','02', '11000003','00','Request by Mr. Omair Ali 29-Nov-2024');</v>
      </c>
      <c r="H914" s="12" t="str">
        <f t="shared" si="59"/>
        <v>insert into ins_premium_det (premium_rcv_code,assorted_code, rec_amount,premium_rcv_detail_code,remaining_amt, payrec, mode_code,coinsurance_code,class_cd,it_remarks) values('28Nov240101','040000112339','0',(select max(to_number(i.premium_rcv_detail_code))+1
from ins_premium_det i),'0','0','02', '11000003','00','Request by Mr. Omair Ali 29-Nov-2024');</v>
      </c>
    </row>
    <row r="915" spans="1:8" ht="105" x14ac:dyDescent="0.25">
      <c r="A915" t="s">
        <v>915</v>
      </c>
      <c r="B915" s="8" t="str">
        <f>VLOOKUP(A915,assortedcode!B:C,2,0)</f>
        <v>040000115014</v>
      </c>
      <c r="C915" s="1">
        <v>0</v>
      </c>
      <c r="D915" s="9">
        <f t="shared" si="57"/>
        <v>0</v>
      </c>
      <c r="E915" s="7" t="s">
        <v>8345</v>
      </c>
      <c r="F915" s="10" t="str">
        <f t="shared" si="56"/>
        <v>insert into ins_premium_det (premium_rcv_code,assorted_code, rec_amount,premium_rcv_detail_code,remaining_amt, payrec, mode_code,coinsurance_code,class_cd,it_remarks) values</v>
      </c>
      <c r="G915" s="11" t="str">
        <f t="shared" si="58"/>
        <v>('28Nov240101','040000115014','0',(select max(to_number(i.premium_rcv_detail_code))+1
from ins_premium_det i),'0','0','02', '11000003','00','Request by Mr. Omair Ali 29-Nov-2024');</v>
      </c>
      <c r="H915" s="12" t="str">
        <f t="shared" si="59"/>
        <v>insert into ins_premium_det (premium_rcv_code,assorted_code, rec_amount,premium_rcv_detail_code,remaining_amt, payrec, mode_code,coinsurance_code,class_cd,it_remarks) values('28Nov240101','040000115014','0',(select max(to_number(i.premium_rcv_detail_code))+1
from ins_premium_det i),'0','0','02', '11000003','00','Request by Mr. Omair Ali 29-Nov-2024');</v>
      </c>
    </row>
    <row r="916" spans="1:8" ht="105" x14ac:dyDescent="0.25">
      <c r="A916" t="s">
        <v>916</v>
      </c>
      <c r="B916" s="8" t="str">
        <f>VLOOKUP(A916,assortedcode!B:C,2,0)</f>
        <v>040000113693</v>
      </c>
      <c r="C916" s="1">
        <v>0</v>
      </c>
      <c r="D916" s="9">
        <f t="shared" si="57"/>
        <v>0</v>
      </c>
      <c r="E916" s="7" t="s">
        <v>8345</v>
      </c>
      <c r="F916" s="10" t="str">
        <f t="shared" si="56"/>
        <v>insert into ins_premium_det (premium_rcv_code,assorted_code, rec_amount,premium_rcv_detail_code,remaining_amt, payrec, mode_code,coinsurance_code,class_cd,it_remarks) values</v>
      </c>
      <c r="G916" s="11" t="str">
        <f t="shared" si="58"/>
        <v>('28Nov240101','040000113693','0',(select max(to_number(i.premium_rcv_detail_code))+1
from ins_premium_det i),'0','0','02', '11000003','00','Request by Mr. Omair Ali 29-Nov-2024');</v>
      </c>
      <c r="H916" s="12" t="str">
        <f t="shared" si="59"/>
        <v>insert into ins_premium_det (premium_rcv_code,assorted_code, rec_amount,premium_rcv_detail_code,remaining_amt, payrec, mode_code,coinsurance_code,class_cd,it_remarks) values('28Nov240101','040000113693','0',(select max(to_number(i.premium_rcv_detail_code))+1
from ins_premium_det i),'0','0','02', '11000003','00','Request by Mr. Omair Ali 29-Nov-2024');</v>
      </c>
    </row>
    <row r="917" spans="1:8" ht="105" x14ac:dyDescent="0.25">
      <c r="A917" t="s">
        <v>917</v>
      </c>
      <c r="B917" s="8" t="str">
        <f>VLOOKUP(A917,assortedcode!B:C,2,0)</f>
        <v>040000183457</v>
      </c>
      <c r="C917" s="1">
        <v>0</v>
      </c>
      <c r="D917" s="9">
        <f t="shared" si="57"/>
        <v>0</v>
      </c>
      <c r="E917" s="7" t="s">
        <v>8345</v>
      </c>
      <c r="F917" s="10" t="str">
        <f t="shared" si="56"/>
        <v>insert into ins_premium_det (premium_rcv_code,assorted_code, rec_amount,premium_rcv_detail_code,remaining_amt, payrec, mode_code,coinsurance_code,class_cd,it_remarks) values</v>
      </c>
      <c r="G917" s="11" t="str">
        <f t="shared" si="58"/>
        <v>('28Nov240101','040000183457','0',(select max(to_number(i.premium_rcv_detail_code))+1
from ins_premium_det i),'0','0','02', '11000003','00','Request by Mr. Omair Ali 29-Nov-2024');</v>
      </c>
      <c r="H917" s="12" t="str">
        <f t="shared" si="59"/>
        <v>insert into ins_premium_det (premium_rcv_code,assorted_code, rec_amount,premium_rcv_detail_code,remaining_amt, payrec, mode_code,coinsurance_code,class_cd,it_remarks) values('28Nov240101','040000183457','0',(select max(to_number(i.premium_rcv_detail_code))+1
from ins_premium_det i),'0','0','02', '11000003','00','Request by Mr. Omair Ali 29-Nov-2024');</v>
      </c>
    </row>
    <row r="918" spans="1:8" ht="105" x14ac:dyDescent="0.25">
      <c r="A918" t="s">
        <v>918</v>
      </c>
      <c r="B918" s="8" t="str">
        <f>VLOOKUP(A918,assortedcode!B:C,2,0)</f>
        <v>040000114045</v>
      </c>
      <c r="C918" s="1">
        <v>0</v>
      </c>
      <c r="D918" s="9">
        <f t="shared" si="57"/>
        <v>0</v>
      </c>
      <c r="E918" s="7" t="s">
        <v>8345</v>
      </c>
      <c r="F918" s="10" t="str">
        <f t="shared" si="56"/>
        <v>insert into ins_premium_det (premium_rcv_code,assorted_code, rec_amount,premium_rcv_detail_code,remaining_amt, payrec, mode_code,coinsurance_code,class_cd,it_remarks) values</v>
      </c>
      <c r="G918" s="11" t="str">
        <f t="shared" si="58"/>
        <v>('28Nov240101','040000114045','0',(select max(to_number(i.premium_rcv_detail_code))+1
from ins_premium_det i),'0','0','02', '11000003','00','Request by Mr. Omair Ali 29-Nov-2024');</v>
      </c>
      <c r="H918" s="12" t="str">
        <f t="shared" si="59"/>
        <v>insert into ins_premium_det (premium_rcv_code,assorted_code, rec_amount,premium_rcv_detail_code,remaining_amt, payrec, mode_code,coinsurance_code,class_cd,it_remarks) values('28Nov240101','040000114045','0',(select max(to_number(i.premium_rcv_detail_code))+1
from ins_premium_det i),'0','0','02', '11000003','00','Request by Mr. Omair Ali 29-Nov-2024');</v>
      </c>
    </row>
    <row r="919" spans="1:8" ht="105" x14ac:dyDescent="0.25">
      <c r="A919" t="s">
        <v>919</v>
      </c>
      <c r="B919" s="8" t="str">
        <f>VLOOKUP(A919,assortedcode!B:C,2,0)</f>
        <v>040000186156</v>
      </c>
      <c r="C919" s="1">
        <v>0</v>
      </c>
      <c r="D919" s="9">
        <f t="shared" si="57"/>
        <v>0</v>
      </c>
      <c r="E919" s="7" t="s">
        <v>8345</v>
      </c>
      <c r="F919" s="10" t="str">
        <f t="shared" si="56"/>
        <v>insert into ins_premium_det (premium_rcv_code,assorted_code, rec_amount,premium_rcv_detail_code,remaining_amt, payrec, mode_code,coinsurance_code,class_cd,it_remarks) values</v>
      </c>
      <c r="G919" s="11" t="str">
        <f t="shared" si="58"/>
        <v>('28Nov240101','040000186156','0',(select max(to_number(i.premium_rcv_detail_code))+1
from ins_premium_det i),'0','0','02', '11000003','00','Request by Mr. Omair Ali 29-Nov-2024');</v>
      </c>
      <c r="H919" s="12" t="str">
        <f t="shared" si="59"/>
        <v>insert into ins_premium_det (premium_rcv_code,assorted_code, rec_amount,premium_rcv_detail_code,remaining_amt, payrec, mode_code,coinsurance_code,class_cd,it_remarks) values('28Nov240101','040000186156','0',(select max(to_number(i.premium_rcv_detail_code))+1
from ins_premium_det i),'0','0','02', '11000003','00','Request by Mr. Omair Ali 29-Nov-2024');</v>
      </c>
    </row>
    <row r="920" spans="1:8" ht="105" x14ac:dyDescent="0.25">
      <c r="A920" t="s">
        <v>920</v>
      </c>
      <c r="B920" s="8" t="str">
        <f>VLOOKUP(A920,assortedcode!B:C,2,0)</f>
        <v>040000114303</v>
      </c>
      <c r="C920" s="1">
        <v>0</v>
      </c>
      <c r="D920" s="9">
        <f t="shared" si="57"/>
        <v>0</v>
      </c>
      <c r="E920" s="7" t="s">
        <v>8345</v>
      </c>
      <c r="F920" s="10" t="str">
        <f t="shared" si="56"/>
        <v>insert into ins_premium_det (premium_rcv_code,assorted_code, rec_amount,premium_rcv_detail_code,remaining_amt, payrec, mode_code,coinsurance_code,class_cd,it_remarks) values</v>
      </c>
      <c r="G920" s="11" t="str">
        <f t="shared" si="58"/>
        <v>('28Nov240101','040000114303','0',(select max(to_number(i.premium_rcv_detail_code))+1
from ins_premium_det i),'0','0','02', '11000003','00','Request by Mr. Omair Ali 29-Nov-2024');</v>
      </c>
      <c r="H920" s="12" t="str">
        <f t="shared" si="59"/>
        <v>insert into ins_premium_det (premium_rcv_code,assorted_code, rec_amount,premium_rcv_detail_code,remaining_amt, payrec, mode_code,coinsurance_code,class_cd,it_remarks) values('28Nov240101','040000114303','0',(select max(to_number(i.premium_rcv_detail_code))+1
from ins_premium_det i),'0','0','02', '11000003','00','Request by Mr. Omair Ali 29-Nov-2024');</v>
      </c>
    </row>
    <row r="921" spans="1:8" ht="105" x14ac:dyDescent="0.25">
      <c r="A921" t="s">
        <v>921</v>
      </c>
      <c r="B921" s="8" t="str">
        <f>VLOOKUP(A921,assortedcode!B:C,2,0)</f>
        <v>040000147899</v>
      </c>
      <c r="C921" s="1">
        <v>0</v>
      </c>
      <c r="D921" s="9">
        <f t="shared" si="57"/>
        <v>0</v>
      </c>
      <c r="E921" s="7" t="s">
        <v>8345</v>
      </c>
      <c r="F921" s="10" t="str">
        <f t="shared" si="56"/>
        <v>insert into ins_premium_det (premium_rcv_code,assorted_code, rec_amount,premium_rcv_detail_code,remaining_amt, payrec, mode_code,coinsurance_code,class_cd,it_remarks) values</v>
      </c>
      <c r="G921" s="11" t="str">
        <f t="shared" si="58"/>
        <v>('28Nov240101','040000147899','0',(select max(to_number(i.premium_rcv_detail_code))+1
from ins_premium_det i),'0','0','02', '11000003','00','Request by Mr. Omair Ali 29-Nov-2024');</v>
      </c>
      <c r="H921" s="12" t="str">
        <f t="shared" si="59"/>
        <v>insert into ins_premium_det (premium_rcv_code,assorted_code, rec_amount,premium_rcv_detail_code,remaining_amt, payrec, mode_code,coinsurance_code,class_cd,it_remarks) values('28Nov240101','040000147899','0',(select max(to_number(i.premium_rcv_detail_code))+1
from ins_premium_det i),'0','0','02', '11000003','00','Request by Mr. Omair Ali 29-Nov-2024');</v>
      </c>
    </row>
    <row r="922" spans="1:8" ht="105" x14ac:dyDescent="0.25">
      <c r="A922" t="s">
        <v>922</v>
      </c>
      <c r="B922" s="8" t="str">
        <f>VLOOKUP(A922,assortedcode!B:C,2,0)</f>
        <v>040000114340</v>
      </c>
      <c r="C922" s="1">
        <v>0</v>
      </c>
      <c r="D922" s="9">
        <f t="shared" si="57"/>
        <v>0</v>
      </c>
      <c r="E922" s="7" t="s">
        <v>8345</v>
      </c>
      <c r="F922" s="10" t="str">
        <f t="shared" si="56"/>
        <v>insert into ins_premium_det (premium_rcv_code,assorted_code, rec_amount,premium_rcv_detail_code,remaining_amt, payrec, mode_code,coinsurance_code,class_cd,it_remarks) values</v>
      </c>
      <c r="G922" s="11" t="str">
        <f t="shared" si="58"/>
        <v>('28Nov240101','040000114340','0',(select max(to_number(i.premium_rcv_detail_code))+1
from ins_premium_det i),'0','0','02', '11000003','00','Request by Mr. Omair Ali 29-Nov-2024');</v>
      </c>
      <c r="H922" s="12" t="str">
        <f t="shared" si="59"/>
        <v>insert into ins_premium_det (premium_rcv_code,assorted_code, rec_amount,premium_rcv_detail_code,remaining_amt, payrec, mode_code,coinsurance_code,class_cd,it_remarks) values('28Nov240101','040000114340','0',(select max(to_number(i.premium_rcv_detail_code))+1
from ins_premium_det i),'0','0','02', '11000003','00','Request by Mr. Omair Ali 29-Nov-2024');</v>
      </c>
    </row>
    <row r="923" spans="1:8" ht="105" x14ac:dyDescent="0.25">
      <c r="A923" t="s">
        <v>923</v>
      </c>
      <c r="B923" s="8" t="str">
        <f>VLOOKUP(A923,assortedcode!B:C,2,0)</f>
        <v>040000151855</v>
      </c>
      <c r="C923" s="1">
        <v>0</v>
      </c>
      <c r="D923" s="9">
        <f t="shared" si="57"/>
        <v>0</v>
      </c>
      <c r="E923" s="7" t="s">
        <v>8345</v>
      </c>
      <c r="F923" s="10" t="str">
        <f t="shared" si="56"/>
        <v>insert into ins_premium_det (premium_rcv_code,assorted_code, rec_amount,premium_rcv_detail_code,remaining_amt, payrec, mode_code,coinsurance_code,class_cd,it_remarks) values</v>
      </c>
      <c r="G923" s="11" t="str">
        <f t="shared" si="58"/>
        <v>('28Nov240101','040000151855','0',(select max(to_number(i.premium_rcv_detail_code))+1
from ins_premium_det i),'0','0','02', '11000003','00','Request by Mr. Omair Ali 29-Nov-2024');</v>
      </c>
      <c r="H923" s="12" t="str">
        <f t="shared" si="59"/>
        <v>insert into ins_premium_det (premium_rcv_code,assorted_code, rec_amount,premium_rcv_detail_code,remaining_amt, payrec, mode_code,coinsurance_code,class_cd,it_remarks) values('28Nov240101','040000151855','0',(select max(to_number(i.premium_rcv_detail_code))+1
from ins_premium_det i),'0','0','02', '11000003','00','Request by Mr. Omair Ali 29-Nov-2024');</v>
      </c>
    </row>
    <row r="924" spans="1:8" ht="105" x14ac:dyDescent="0.25">
      <c r="A924" t="s">
        <v>924</v>
      </c>
      <c r="B924" s="8" t="str">
        <f>VLOOKUP(A924,assortedcode!B:C,2,0)</f>
        <v>040000114355</v>
      </c>
      <c r="C924" s="1">
        <v>0</v>
      </c>
      <c r="D924" s="9">
        <f t="shared" si="57"/>
        <v>0</v>
      </c>
      <c r="E924" s="7" t="s">
        <v>8345</v>
      </c>
      <c r="F924" s="10" t="str">
        <f t="shared" si="56"/>
        <v>insert into ins_premium_det (premium_rcv_code,assorted_code, rec_amount,premium_rcv_detail_code,remaining_amt, payrec, mode_code,coinsurance_code,class_cd,it_remarks) values</v>
      </c>
      <c r="G924" s="11" t="str">
        <f t="shared" si="58"/>
        <v>('28Nov240101','040000114355','0',(select max(to_number(i.premium_rcv_detail_code))+1
from ins_premium_det i),'0','0','02', '11000003','00','Request by Mr. Omair Ali 29-Nov-2024');</v>
      </c>
      <c r="H924" s="12" t="str">
        <f t="shared" si="59"/>
        <v>insert into ins_premium_det (premium_rcv_code,assorted_code, rec_amount,premium_rcv_detail_code,remaining_amt, payrec, mode_code,coinsurance_code,class_cd,it_remarks) values('28Nov240101','040000114355','0',(select max(to_number(i.premium_rcv_detail_code))+1
from ins_premium_det i),'0','0','02', '11000003','00','Request by Mr. Omair Ali 29-Nov-2024');</v>
      </c>
    </row>
    <row r="925" spans="1:8" ht="105" x14ac:dyDescent="0.25">
      <c r="A925" t="s">
        <v>925</v>
      </c>
      <c r="B925" s="8" t="str">
        <f>VLOOKUP(A925,assortedcode!B:C,2,0)</f>
        <v>040000151944</v>
      </c>
      <c r="C925" s="1">
        <v>0</v>
      </c>
      <c r="D925" s="9">
        <f t="shared" si="57"/>
        <v>0</v>
      </c>
      <c r="E925" s="7" t="s">
        <v>8345</v>
      </c>
      <c r="F925" s="10" t="str">
        <f t="shared" si="56"/>
        <v>insert into ins_premium_det (premium_rcv_code,assorted_code, rec_amount,premium_rcv_detail_code,remaining_amt, payrec, mode_code,coinsurance_code,class_cd,it_remarks) values</v>
      </c>
      <c r="G925" s="11" t="str">
        <f t="shared" si="58"/>
        <v>('28Nov240101','040000151944','0',(select max(to_number(i.premium_rcv_detail_code))+1
from ins_premium_det i),'0','0','02', '11000003','00','Request by Mr. Omair Ali 29-Nov-2024');</v>
      </c>
      <c r="H925" s="12" t="str">
        <f t="shared" si="59"/>
        <v>insert into ins_premium_det (premium_rcv_code,assorted_code, rec_amount,premium_rcv_detail_code,remaining_amt, payrec, mode_code,coinsurance_code,class_cd,it_remarks) values('28Nov240101','040000151944','0',(select max(to_number(i.premium_rcv_detail_code))+1
from ins_premium_det i),'0','0','02', '11000003','00','Request by Mr. Omair Ali 29-Nov-2024');</v>
      </c>
    </row>
    <row r="926" spans="1:8" ht="105" x14ac:dyDescent="0.25">
      <c r="A926" t="s">
        <v>926</v>
      </c>
      <c r="B926" s="8" t="str">
        <f>VLOOKUP(A926,assortedcode!B:C,2,0)</f>
        <v>040000114370</v>
      </c>
      <c r="C926" s="1">
        <v>0</v>
      </c>
      <c r="D926" s="9">
        <f t="shared" si="57"/>
        <v>0</v>
      </c>
      <c r="E926" s="7" t="s">
        <v>8345</v>
      </c>
      <c r="F926" s="10" t="str">
        <f t="shared" si="56"/>
        <v>insert into ins_premium_det (premium_rcv_code,assorted_code, rec_amount,premium_rcv_detail_code,remaining_amt, payrec, mode_code,coinsurance_code,class_cd,it_remarks) values</v>
      </c>
      <c r="G926" s="11" t="str">
        <f t="shared" si="58"/>
        <v>('28Nov240101','040000114370','0',(select max(to_number(i.premium_rcv_detail_code))+1
from ins_premium_det i),'0','0','02', '11000003','00','Request by Mr. Omair Ali 29-Nov-2024');</v>
      </c>
      <c r="H926" s="12" t="str">
        <f t="shared" si="59"/>
        <v>insert into ins_premium_det (premium_rcv_code,assorted_code, rec_amount,premium_rcv_detail_code,remaining_amt, payrec, mode_code,coinsurance_code,class_cd,it_remarks) values('28Nov240101','040000114370','0',(select max(to_number(i.premium_rcv_detail_code))+1
from ins_premium_det i),'0','0','02', '11000003','00','Request by Mr. Omair Ali 29-Nov-2024');</v>
      </c>
    </row>
    <row r="927" spans="1:8" ht="105" x14ac:dyDescent="0.25">
      <c r="A927" t="s">
        <v>927</v>
      </c>
      <c r="B927" s="8" t="str">
        <f>VLOOKUP(A927,assortedcode!B:C,2,0)</f>
        <v>040000153223</v>
      </c>
      <c r="C927" s="1">
        <v>0</v>
      </c>
      <c r="D927" s="9">
        <f t="shared" si="57"/>
        <v>0</v>
      </c>
      <c r="E927" s="7" t="s">
        <v>8345</v>
      </c>
      <c r="F927" s="10" t="str">
        <f t="shared" si="56"/>
        <v>insert into ins_premium_det (premium_rcv_code,assorted_code, rec_amount,premium_rcv_detail_code,remaining_amt, payrec, mode_code,coinsurance_code,class_cd,it_remarks) values</v>
      </c>
      <c r="G927" s="11" t="str">
        <f t="shared" si="58"/>
        <v>('28Nov240101','040000153223','0',(select max(to_number(i.premium_rcv_detail_code))+1
from ins_premium_det i),'0','0','02', '11000003','00','Request by Mr. Omair Ali 29-Nov-2024');</v>
      </c>
      <c r="H927" s="12" t="str">
        <f t="shared" si="59"/>
        <v>insert into ins_premium_det (premium_rcv_code,assorted_code, rec_amount,premium_rcv_detail_code,remaining_amt, payrec, mode_code,coinsurance_code,class_cd,it_remarks) values('28Nov240101','040000153223','0',(select max(to_number(i.premium_rcv_detail_code))+1
from ins_premium_det i),'0','0','02', '11000003','00','Request by Mr. Omair Ali 29-Nov-2024');</v>
      </c>
    </row>
    <row r="928" spans="1:8" ht="105" x14ac:dyDescent="0.25">
      <c r="A928" t="s">
        <v>928</v>
      </c>
      <c r="B928" s="8" t="str">
        <f>VLOOKUP(A928,assortedcode!B:C,2,0)</f>
        <v>040000114760</v>
      </c>
      <c r="C928" s="1">
        <v>0</v>
      </c>
      <c r="D928" s="9">
        <f t="shared" si="57"/>
        <v>0</v>
      </c>
      <c r="E928" s="7" t="s">
        <v>8345</v>
      </c>
      <c r="F928" s="10" t="str">
        <f t="shared" si="56"/>
        <v>insert into ins_premium_det (premium_rcv_code,assorted_code, rec_amount,premium_rcv_detail_code,remaining_amt, payrec, mode_code,coinsurance_code,class_cd,it_remarks) values</v>
      </c>
      <c r="G928" s="11" t="str">
        <f t="shared" si="58"/>
        <v>('28Nov240101','040000114760','0',(select max(to_number(i.premium_rcv_detail_code))+1
from ins_premium_det i),'0','0','02', '11000003','00','Request by Mr. Omair Ali 29-Nov-2024');</v>
      </c>
      <c r="H928" s="12" t="str">
        <f t="shared" si="59"/>
        <v>insert into ins_premium_det (premium_rcv_code,assorted_code, rec_amount,premium_rcv_detail_code,remaining_amt, payrec, mode_code,coinsurance_code,class_cd,it_remarks) values('28Nov240101','040000114760','0',(select max(to_number(i.premium_rcv_detail_code))+1
from ins_premium_det i),'0','0','02', '11000003','00','Request by Mr. Omair Ali 29-Nov-2024');</v>
      </c>
    </row>
    <row r="929" spans="1:8" ht="105" x14ac:dyDescent="0.25">
      <c r="A929" t="s">
        <v>929</v>
      </c>
      <c r="B929" s="8" t="str">
        <f>VLOOKUP(A929,assortedcode!B:C,2,0)</f>
        <v>040000164890</v>
      </c>
      <c r="C929" s="1">
        <v>0</v>
      </c>
      <c r="D929" s="9">
        <f t="shared" si="57"/>
        <v>0</v>
      </c>
      <c r="E929" s="7" t="s">
        <v>8345</v>
      </c>
      <c r="F929" s="10" t="str">
        <f t="shared" si="56"/>
        <v>insert into ins_premium_det (premium_rcv_code,assorted_code, rec_amount,premium_rcv_detail_code,remaining_amt, payrec, mode_code,coinsurance_code,class_cd,it_remarks) values</v>
      </c>
      <c r="G929" s="11" t="str">
        <f t="shared" si="58"/>
        <v>('28Nov240101','040000164890','0',(select max(to_number(i.premium_rcv_detail_code))+1
from ins_premium_det i),'0','0','02', '11000003','00','Request by Mr. Omair Ali 29-Nov-2024');</v>
      </c>
      <c r="H929" s="12" t="str">
        <f t="shared" si="59"/>
        <v>insert into ins_premium_det (premium_rcv_code,assorted_code, rec_amount,premium_rcv_detail_code,remaining_amt, payrec, mode_code,coinsurance_code,class_cd,it_remarks) values('28Nov240101','040000164890','0',(select max(to_number(i.premium_rcv_detail_code))+1
from ins_premium_det i),'0','0','02', '11000003','00','Request by Mr. Omair Ali 29-Nov-2024');</v>
      </c>
    </row>
    <row r="930" spans="1:8" ht="105" x14ac:dyDescent="0.25">
      <c r="A930" t="s">
        <v>930</v>
      </c>
      <c r="B930" s="8" t="str">
        <f>VLOOKUP(A930,assortedcode!B:C,2,0)</f>
        <v>040000114891</v>
      </c>
      <c r="C930" s="1">
        <v>0</v>
      </c>
      <c r="D930" s="9">
        <f t="shared" si="57"/>
        <v>0</v>
      </c>
      <c r="E930" s="7" t="s">
        <v>8345</v>
      </c>
      <c r="F930" s="10" t="str">
        <f t="shared" si="56"/>
        <v>insert into ins_premium_det (premium_rcv_code,assorted_code, rec_amount,premium_rcv_detail_code,remaining_amt, payrec, mode_code,coinsurance_code,class_cd,it_remarks) values</v>
      </c>
      <c r="G930" s="11" t="str">
        <f t="shared" si="58"/>
        <v>('28Nov240101','040000114891','0',(select max(to_number(i.premium_rcv_detail_code))+1
from ins_premium_det i),'0','0','02', '11000003','00','Request by Mr. Omair Ali 29-Nov-2024');</v>
      </c>
      <c r="H930" s="12" t="str">
        <f t="shared" si="59"/>
        <v>insert into ins_premium_det (premium_rcv_code,assorted_code, rec_amount,premium_rcv_detail_code,remaining_amt, payrec, mode_code,coinsurance_code,class_cd,it_remarks) values('28Nov240101','040000114891','0',(select max(to_number(i.premium_rcv_detail_code))+1
from ins_premium_det i),'0','0','02', '11000003','00','Request by Mr. Omair Ali 29-Nov-2024');</v>
      </c>
    </row>
    <row r="931" spans="1:8" ht="105" x14ac:dyDescent="0.25">
      <c r="A931" t="s">
        <v>931</v>
      </c>
      <c r="B931" s="8" t="str">
        <f>VLOOKUP(A931,assortedcode!B:C,2,0)</f>
        <v>040000166959</v>
      </c>
      <c r="C931" s="1">
        <v>0</v>
      </c>
      <c r="D931" s="9">
        <f t="shared" si="57"/>
        <v>0</v>
      </c>
      <c r="E931" s="7" t="s">
        <v>8345</v>
      </c>
      <c r="F931" s="10" t="str">
        <f t="shared" si="56"/>
        <v>insert into ins_premium_det (premium_rcv_code,assorted_code, rec_amount,premium_rcv_detail_code,remaining_amt, payrec, mode_code,coinsurance_code,class_cd,it_remarks) values</v>
      </c>
      <c r="G931" s="11" t="str">
        <f t="shared" si="58"/>
        <v>('28Nov240101','040000166959','0',(select max(to_number(i.premium_rcv_detail_code))+1
from ins_premium_det i),'0','0','02', '11000003','00','Request by Mr. Omair Ali 29-Nov-2024');</v>
      </c>
      <c r="H931" s="12" t="str">
        <f t="shared" si="59"/>
        <v>insert into ins_premium_det (premium_rcv_code,assorted_code, rec_amount,premium_rcv_detail_code,remaining_amt, payrec, mode_code,coinsurance_code,class_cd,it_remarks) values('28Nov240101','040000166959','0',(select max(to_number(i.premium_rcv_detail_code))+1
from ins_premium_det i),'0','0','02', '11000003','00','Request by Mr. Omair Ali 29-Nov-2024');</v>
      </c>
    </row>
    <row r="932" spans="1:8" ht="105" x14ac:dyDescent="0.25">
      <c r="A932" t="s">
        <v>932</v>
      </c>
      <c r="B932" s="8" t="str">
        <f>VLOOKUP(A932,assortedcode!B:C,2,0)</f>
        <v>040000116696</v>
      </c>
      <c r="C932" s="1">
        <v>0</v>
      </c>
      <c r="D932" s="9">
        <f t="shared" si="57"/>
        <v>0</v>
      </c>
      <c r="E932" s="7" t="s">
        <v>8345</v>
      </c>
      <c r="F932" s="10" t="str">
        <f t="shared" si="56"/>
        <v>insert into ins_premium_det (premium_rcv_code,assorted_code, rec_amount,premium_rcv_detail_code,remaining_amt, payrec, mode_code,coinsurance_code,class_cd,it_remarks) values</v>
      </c>
      <c r="G932" s="11" t="str">
        <f t="shared" si="58"/>
        <v>('28Nov240101','040000116696','0',(select max(to_number(i.premium_rcv_detail_code))+1
from ins_premium_det i),'0','0','02', '11000003','00','Request by Mr. Omair Ali 29-Nov-2024');</v>
      </c>
      <c r="H932" s="12" t="str">
        <f t="shared" si="59"/>
        <v>insert into ins_premium_det (premium_rcv_code,assorted_code, rec_amount,premium_rcv_detail_code,remaining_amt, payrec, mode_code,coinsurance_code,class_cd,it_remarks) values('28Nov240101','040000116696','0',(select max(to_number(i.premium_rcv_detail_code))+1
from ins_premium_det i),'0','0','02', '11000003','00','Request by Mr. Omair Ali 29-Nov-2024');</v>
      </c>
    </row>
    <row r="933" spans="1:8" ht="105" x14ac:dyDescent="0.25">
      <c r="A933" t="s">
        <v>933</v>
      </c>
      <c r="B933" s="8" t="str">
        <f>VLOOKUP(A933,assortedcode!B:C,2,0)</f>
        <v>040000108503</v>
      </c>
      <c r="C933" s="1">
        <v>0</v>
      </c>
      <c r="D933" s="9">
        <f t="shared" si="57"/>
        <v>0</v>
      </c>
      <c r="E933" s="7" t="s">
        <v>8345</v>
      </c>
      <c r="F933" s="10" t="str">
        <f t="shared" si="56"/>
        <v>insert into ins_premium_det (premium_rcv_code,assorted_code, rec_amount,premium_rcv_detail_code,remaining_amt, payrec, mode_code,coinsurance_code,class_cd,it_remarks) values</v>
      </c>
      <c r="G933" s="11" t="str">
        <f t="shared" si="58"/>
        <v>('28Nov240101','040000108503','0',(select max(to_number(i.premium_rcv_detail_code))+1
from ins_premium_det i),'0','0','02', '11000003','00','Request by Mr. Omair Ali 29-Nov-2024');</v>
      </c>
      <c r="H933" s="12" t="str">
        <f t="shared" si="59"/>
        <v>insert into ins_premium_det (premium_rcv_code,assorted_code, rec_amount,premium_rcv_detail_code,remaining_amt, payrec, mode_code,coinsurance_code,class_cd,it_remarks) values('28Nov240101','040000108503','0',(select max(to_number(i.premium_rcv_detail_code))+1
from ins_premium_det i),'0','0','02', '11000003','00','Request by Mr. Omair Ali 29-Nov-2024');</v>
      </c>
    </row>
    <row r="934" spans="1:8" ht="105" x14ac:dyDescent="0.25">
      <c r="A934" t="s">
        <v>934</v>
      </c>
      <c r="B934" s="8" t="str">
        <f>VLOOKUP(A934,assortedcode!B:C,2,0)</f>
        <v>040000118101</v>
      </c>
      <c r="C934" s="1">
        <v>0</v>
      </c>
      <c r="D934" s="9">
        <f t="shared" si="57"/>
        <v>0</v>
      </c>
      <c r="E934" s="7" t="s">
        <v>8345</v>
      </c>
      <c r="F934" s="10" t="str">
        <f t="shared" si="56"/>
        <v>insert into ins_premium_det (premium_rcv_code,assorted_code, rec_amount,premium_rcv_detail_code,remaining_amt, payrec, mode_code,coinsurance_code,class_cd,it_remarks) values</v>
      </c>
      <c r="G934" s="11" t="str">
        <f t="shared" si="58"/>
        <v>('28Nov240101','040000118101','0',(select max(to_number(i.premium_rcv_detail_code))+1
from ins_premium_det i),'0','0','02', '11000003','00','Request by Mr. Omair Ali 29-Nov-2024');</v>
      </c>
      <c r="H934" s="12" t="str">
        <f t="shared" si="59"/>
        <v>insert into ins_premium_det (premium_rcv_code,assorted_code, rec_amount,premium_rcv_detail_code,remaining_amt, payrec, mode_code,coinsurance_code,class_cd,it_remarks) values('28Nov240101','040000118101','0',(select max(to_number(i.premium_rcv_detail_code))+1
from ins_premium_det i),'0','0','02', '11000003','00','Request by Mr. Omair Ali 29-Nov-2024');</v>
      </c>
    </row>
    <row r="935" spans="1:8" ht="105" x14ac:dyDescent="0.25">
      <c r="A935" t="s">
        <v>935</v>
      </c>
      <c r="B935" s="8" t="str">
        <f>VLOOKUP(A935,assortedcode!B:C,2,0)</f>
        <v>040000108505</v>
      </c>
      <c r="C935" s="1">
        <v>0</v>
      </c>
      <c r="D935" s="9">
        <f t="shared" si="57"/>
        <v>0</v>
      </c>
      <c r="E935" s="7" t="s">
        <v>8345</v>
      </c>
      <c r="F935" s="10" t="str">
        <f t="shared" si="56"/>
        <v>insert into ins_premium_det (premium_rcv_code,assorted_code, rec_amount,premium_rcv_detail_code,remaining_amt, payrec, mode_code,coinsurance_code,class_cd,it_remarks) values</v>
      </c>
      <c r="G935" s="11" t="str">
        <f t="shared" si="58"/>
        <v>('28Nov240101','040000108505','0',(select max(to_number(i.premium_rcv_detail_code))+1
from ins_premium_det i),'0','0','02', '11000003','00','Request by Mr. Omair Ali 29-Nov-2024');</v>
      </c>
      <c r="H935" s="12" t="str">
        <f t="shared" si="59"/>
        <v>insert into ins_premium_det (premium_rcv_code,assorted_code, rec_amount,premium_rcv_detail_code,remaining_amt, payrec, mode_code,coinsurance_code,class_cd,it_remarks) values('28Nov240101','040000108505','0',(select max(to_number(i.premium_rcv_detail_code))+1
from ins_premium_det i),'0','0','02', '11000003','00','Request by Mr. Omair Ali 29-Nov-2024');</v>
      </c>
    </row>
    <row r="936" spans="1:8" ht="105" x14ac:dyDescent="0.25">
      <c r="A936" t="s">
        <v>936</v>
      </c>
      <c r="B936" s="8" t="str">
        <f>VLOOKUP(A936,assortedcode!B:C,2,0)</f>
        <v>040000119367</v>
      </c>
      <c r="C936" s="1">
        <v>0</v>
      </c>
      <c r="D936" s="9">
        <f t="shared" si="57"/>
        <v>0</v>
      </c>
      <c r="E936" s="7" t="s">
        <v>8345</v>
      </c>
      <c r="F936" s="10" t="str">
        <f t="shared" si="56"/>
        <v>insert into ins_premium_det (premium_rcv_code,assorted_code, rec_amount,premium_rcv_detail_code,remaining_amt, payrec, mode_code,coinsurance_code,class_cd,it_remarks) values</v>
      </c>
      <c r="G936" s="11" t="str">
        <f t="shared" si="58"/>
        <v>('28Nov240101','040000119367','0',(select max(to_number(i.premium_rcv_detail_code))+1
from ins_premium_det i),'0','0','02', '11000003','00','Request by Mr. Omair Ali 29-Nov-2024');</v>
      </c>
      <c r="H936" s="12" t="str">
        <f t="shared" si="59"/>
        <v>insert into ins_premium_det (premium_rcv_code,assorted_code, rec_amount,premium_rcv_detail_code,remaining_amt, payrec, mode_code,coinsurance_code,class_cd,it_remarks) values('28Nov240101','040000119367','0',(select max(to_number(i.premium_rcv_detail_code))+1
from ins_premium_det i),'0','0','02', '11000003','00','Request by Mr. Omair Ali 29-Nov-2024');</v>
      </c>
    </row>
    <row r="937" spans="1:8" ht="105" x14ac:dyDescent="0.25">
      <c r="A937" t="s">
        <v>937</v>
      </c>
      <c r="B937" s="8" t="str">
        <f>VLOOKUP(A937,assortedcode!B:C,2,0)</f>
        <v>040000108509</v>
      </c>
      <c r="C937" s="1">
        <v>0</v>
      </c>
      <c r="D937" s="9">
        <f t="shared" si="57"/>
        <v>0</v>
      </c>
      <c r="E937" s="7" t="s">
        <v>8345</v>
      </c>
      <c r="F937" s="10" t="str">
        <f t="shared" si="56"/>
        <v>insert into ins_premium_det (premium_rcv_code,assorted_code, rec_amount,premium_rcv_detail_code,remaining_amt, payrec, mode_code,coinsurance_code,class_cd,it_remarks) values</v>
      </c>
      <c r="G937" s="11" t="str">
        <f t="shared" si="58"/>
        <v>('28Nov240101','040000108509','0',(select max(to_number(i.premium_rcv_detail_code))+1
from ins_premium_det i),'0','0','02', '11000003','00','Request by Mr. Omair Ali 29-Nov-2024');</v>
      </c>
      <c r="H937" s="12" t="str">
        <f t="shared" si="59"/>
        <v>insert into ins_premium_det (premium_rcv_code,assorted_code, rec_amount,premium_rcv_detail_code,remaining_amt, payrec, mode_code,coinsurance_code,class_cd,it_remarks) values('28Nov240101','040000108509','0',(select max(to_number(i.premium_rcv_detail_code))+1
from ins_premium_det i),'0','0','02', '11000003','00','Request by Mr. Omair Ali 29-Nov-2024');</v>
      </c>
    </row>
    <row r="938" spans="1:8" ht="105" x14ac:dyDescent="0.25">
      <c r="A938" t="s">
        <v>938</v>
      </c>
      <c r="B938" s="8" t="str">
        <f>VLOOKUP(A938,assortedcode!B:C,2,0)</f>
        <v>040000121550</v>
      </c>
      <c r="C938" s="1">
        <v>0</v>
      </c>
      <c r="D938" s="9">
        <f t="shared" si="57"/>
        <v>0</v>
      </c>
      <c r="E938" s="7" t="s">
        <v>8345</v>
      </c>
      <c r="F938" s="10" t="str">
        <f t="shared" si="56"/>
        <v>insert into ins_premium_det (premium_rcv_code,assorted_code, rec_amount,premium_rcv_detail_code,remaining_amt, payrec, mode_code,coinsurance_code,class_cd,it_remarks) values</v>
      </c>
      <c r="G938" s="11" t="str">
        <f t="shared" si="58"/>
        <v>('28Nov240101','040000121550','0',(select max(to_number(i.premium_rcv_detail_code))+1
from ins_premium_det i),'0','0','02', '11000003','00','Request by Mr. Omair Ali 29-Nov-2024');</v>
      </c>
      <c r="H938" s="12" t="str">
        <f t="shared" si="59"/>
        <v>insert into ins_premium_det (premium_rcv_code,assorted_code, rec_amount,premium_rcv_detail_code,remaining_amt, payrec, mode_code,coinsurance_code,class_cd,it_remarks) values('28Nov240101','040000121550','0',(select max(to_number(i.premium_rcv_detail_code))+1
from ins_premium_det i),'0','0','02', '11000003','00','Request by Mr. Omair Ali 29-Nov-2024');</v>
      </c>
    </row>
    <row r="939" spans="1:8" ht="105" x14ac:dyDescent="0.25">
      <c r="A939" t="s">
        <v>939</v>
      </c>
      <c r="B939" s="8" t="str">
        <f>VLOOKUP(A939,assortedcode!B:C,2,0)</f>
        <v>040000109580</v>
      </c>
      <c r="C939" s="1">
        <v>0</v>
      </c>
      <c r="D939" s="9">
        <f t="shared" si="57"/>
        <v>0</v>
      </c>
      <c r="E939" s="7" t="s">
        <v>8345</v>
      </c>
      <c r="F939" s="10" t="str">
        <f t="shared" si="56"/>
        <v>insert into ins_premium_det (premium_rcv_code,assorted_code, rec_amount,premium_rcv_detail_code,remaining_amt, payrec, mode_code,coinsurance_code,class_cd,it_remarks) values</v>
      </c>
      <c r="G939" s="11" t="str">
        <f t="shared" si="58"/>
        <v>('28Nov240101','040000109580','0',(select max(to_number(i.premium_rcv_detail_code))+1
from ins_premium_det i),'0','0','02', '11000003','00','Request by Mr. Omair Ali 29-Nov-2024');</v>
      </c>
      <c r="H939" s="12" t="str">
        <f t="shared" si="59"/>
        <v>insert into ins_premium_det (premium_rcv_code,assorted_code, rec_amount,premium_rcv_detail_code,remaining_amt, payrec, mode_code,coinsurance_code,class_cd,it_remarks) values('28Nov240101','040000109580','0',(select max(to_number(i.premium_rcv_detail_code))+1
from ins_premium_det i),'0','0','02', '11000003','00','Request by Mr. Omair Ali 29-Nov-2024');</v>
      </c>
    </row>
    <row r="940" spans="1:8" ht="105" x14ac:dyDescent="0.25">
      <c r="A940" t="s">
        <v>940</v>
      </c>
      <c r="B940" s="8" t="str">
        <f>VLOOKUP(A940,assortedcode!B:C,2,0)</f>
        <v>040000122697</v>
      </c>
      <c r="C940" s="1">
        <v>0</v>
      </c>
      <c r="D940" s="9">
        <f t="shared" si="57"/>
        <v>0</v>
      </c>
      <c r="E940" s="7" t="s">
        <v>8345</v>
      </c>
      <c r="F940" s="10" t="str">
        <f t="shared" si="56"/>
        <v>insert into ins_premium_det (premium_rcv_code,assorted_code, rec_amount,premium_rcv_detail_code,remaining_amt, payrec, mode_code,coinsurance_code,class_cd,it_remarks) values</v>
      </c>
      <c r="G940" s="11" t="str">
        <f t="shared" si="58"/>
        <v>('28Nov240101','040000122697','0',(select max(to_number(i.premium_rcv_detail_code))+1
from ins_premium_det i),'0','0','02', '11000003','00','Request by Mr. Omair Ali 29-Nov-2024');</v>
      </c>
      <c r="H940" s="12" t="str">
        <f t="shared" si="59"/>
        <v>insert into ins_premium_det (premium_rcv_code,assorted_code, rec_amount,premium_rcv_detail_code,remaining_amt, payrec, mode_code,coinsurance_code,class_cd,it_remarks) values('28Nov240101','040000122697','0',(select max(to_number(i.premium_rcv_detail_code))+1
from ins_premium_det i),'0','0','02', '11000003','00','Request by Mr. Omair Ali 29-Nov-2024');</v>
      </c>
    </row>
    <row r="941" spans="1:8" ht="105" x14ac:dyDescent="0.25">
      <c r="A941" t="s">
        <v>941</v>
      </c>
      <c r="B941" s="8" t="str">
        <f>VLOOKUP(A941,assortedcode!B:C,2,0)</f>
        <v>040000109584</v>
      </c>
      <c r="C941" s="1">
        <v>0</v>
      </c>
      <c r="D941" s="9">
        <f t="shared" si="57"/>
        <v>0</v>
      </c>
      <c r="E941" s="7" t="s">
        <v>8345</v>
      </c>
      <c r="F941" s="10" t="str">
        <f t="shared" si="56"/>
        <v>insert into ins_premium_det (premium_rcv_code,assorted_code, rec_amount,premium_rcv_detail_code,remaining_amt, payrec, mode_code,coinsurance_code,class_cd,it_remarks) values</v>
      </c>
      <c r="G941" s="11" t="str">
        <f t="shared" si="58"/>
        <v>('28Nov240101','040000109584','0',(select max(to_number(i.premium_rcv_detail_code))+1
from ins_premium_det i),'0','0','02', '11000003','00','Request by Mr. Omair Ali 29-Nov-2024');</v>
      </c>
      <c r="H941" s="12" t="str">
        <f t="shared" si="59"/>
        <v>insert into ins_premium_det (premium_rcv_code,assorted_code, rec_amount,premium_rcv_detail_code,remaining_amt, payrec, mode_code,coinsurance_code,class_cd,it_remarks) values('28Nov240101','040000109584','0',(select max(to_number(i.premium_rcv_detail_code))+1
from ins_premium_det i),'0','0','02', '11000003','00','Request by Mr. Omair Ali 29-Nov-2024');</v>
      </c>
    </row>
    <row r="942" spans="1:8" ht="105" x14ac:dyDescent="0.25">
      <c r="A942" t="s">
        <v>942</v>
      </c>
      <c r="B942" s="8" t="str">
        <f>VLOOKUP(A942,assortedcode!B:C,2,0)</f>
        <v>040000126975</v>
      </c>
      <c r="C942" s="1">
        <v>0</v>
      </c>
      <c r="D942" s="9">
        <f t="shared" si="57"/>
        <v>0</v>
      </c>
      <c r="E942" s="7" t="s">
        <v>8345</v>
      </c>
      <c r="F942" s="10" t="str">
        <f t="shared" si="56"/>
        <v>insert into ins_premium_det (premium_rcv_code,assorted_code, rec_amount,premium_rcv_detail_code,remaining_amt, payrec, mode_code,coinsurance_code,class_cd,it_remarks) values</v>
      </c>
      <c r="G942" s="11" t="str">
        <f t="shared" si="58"/>
        <v>('28Nov240101','040000126975','0',(select max(to_number(i.premium_rcv_detail_code))+1
from ins_premium_det i),'0','0','02', '11000003','00','Request by Mr. Omair Ali 29-Nov-2024');</v>
      </c>
      <c r="H942" s="12" t="str">
        <f t="shared" si="59"/>
        <v>insert into ins_premium_det (premium_rcv_code,assorted_code, rec_amount,premium_rcv_detail_code,remaining_amt, payrec, mode_code,coinsurance_code,class_cd,it_remarks) values('28Nov240101','040000126975','0',(select max(to_number(i.premium_rcv_detail_code))+1
from ins_premium_det i),'0','0','02', '11000003','00','Request by Mr. Omair Ali 29-Nov-2024');</v>
      </c>
    </row>
    <row r="943" spans="1:8" ht="105" x14ac:dyDescent="0.25">
      <c r="A943" t="s">
        <v>943</v>
      </c>
      <c r="B943" s="8" t="str">
        <f>VLOOKUP(A943,assortedcode!B:C,2,0)</f>
        <v>040000111605</v>
      </c>
      <c r="C943" s="1">
        <v>0</v>
      </c>
      <c r="D943" s="9">
        <f t="shared" si="57"/>
        <v>0</v>
      </c>
      <c r="E943" s="7" t="s">
        <v>8345</v>
      </c>
      <c r="F943" s="10" t="str">
        <f t="shared" si="56"/>
        <v>insert into ins_premium_det (premium_rcv_code,assorted_code, rec_amount,premium_rcv_detail_code,remaining_amt, payrec, mode_code,coinsurance_code,class_cd,it_remarks) values</v>
      </c>
      <c r="G943" s="11" t="str">
        <f t="shared" si="58"/>
        <v>('28Nov240101','040000111605','0',(select max(to_number(i.premium_rcv_detail_code))+1
from ins_premium_det i),'0','0','02', '11000003','00','Request by Mr. Omair Ali 29-Nov-2024');</v>
      </c>
      <c r="H943" s="12" t="str">
        <f t="shared" si="59"/>
        <v>insert into ins_premium_det (premium_rcv_code,assorted_code, rec_amount,premium_rcv_detail_code,remaining_amt, payrec, mode_code,coinsurance_code,class_cd,it_remarks) values('28Nov240101','040000111605','0',(select max(to_number(i.premium_rcv_detail_code))+1
from ins_premium_det i),'0','0','02', '11000003','00','Request by Mr. Omair Ali 29-Nov-2024');</v>
      </c>
    </row>
    <row r="944" spans="1:8" ht="105" x14ac:dyDescent="0.25">
      <c r="A944" t="s">
        <v>944</v>
      </c>
      <c r="B944" s="8" t="str">
        <f>VLOOKUP(A944,assortedcode!B:C,2,0)</f>
        <v>040000122089</v>
      </c>
      <c r="C944" s="1">
        <v>0</v>
      </c>
      <c r="D944" s="9">
        <f t="shared" si="57"/>
        <v>0</v>
      </c>
      <c r="E944" s="7" t="s">
        <v>8345</v>
      </c>
      <c r="F944" s="10" t="str">
        <f t="shared" si="56"/>
        <v>insert into ins_premium_det (premium_rcv_code,assorted_code, rec_amount,premium_rcv_detail_code,remaining_amt, payrec, mode_code,coinsurance_code,class_cd,it_remarks) values</v>
      </c>
      <c r="G944" s="11" t="str">
        <f t="shared" si="58"/>
        <v>('28Nov240101','040000122089','0',(select max(to_number(i.premium_rcv_detail_code))+1
from ins_premium_det i),'0','0','02', '11000003','00','Request by Mr. Omair Ali 29-Nov-2024');</v>
      </c>
      <c r="H944" s="12" t="str">
        <f t="shared" si="59"/>
        <v>insert into ins_premium_det (premium_rcv_code,assorted_code, rec_amount,premium_rcv_detail_code,remaining_amt, payrec, mode_code,coinsurance_code,class_cd,it_remarks) values('28Nov240101','040000122089','0',(select max(to_number(i.premium_rcv_detail_code))+1
from ins_premium_det i),'0','0','02', '11000003','00','Request by Mr. Omair Ali 29-Nov-2024');</v>
      </c>
    </row>
    <row r="945" spans="1:8" ht="105" x14ac:dyDescent="0.25">
      <c r="A945" t="s">
        <v>945</v>
      </c>
      <c r="B945" s="8" t="str">
        <f>VLOOKUP(A945,assortedcode!B:C,2,0)</f>
        <v>040000111847</v>
      </c>
      <c r="C945" s="1">
        <v>0</v>
      </c>
      <c r="D945" s="9">
        <f t="shared" si="57"/>
        <v>0</v>
      </c>
      <c r="E945" s="7" t="s">
        <v>8345</v>
      </c>
      <c r="F945" s="10" t="str">
        <f t="shared" si="56"/>
        <v>insert into ins_premium_det (premium_rcv_code,assorted_code, rec_amount,premium_rcv_detail_code,remaining_amt, payrec, mode_code,coinsurance_code,class_cd,it_remarks) values</v>
      </c>
      <c r="G945" s="11" t="str">
        <f t="shared" si="58"/>
        <v>('28Nov240101','040000111847','0',(select max(to_number(i.premium_rcv_detail_code))+1
from ins_premium_det i),'0','0','02', '11000003','00','Request by Mr. Omair Ali 29-Nov-2024');</v>
      </c>
      <c r="H945" s="12" t="str">
        <f t="shared" si="59"/>
        <v>insert into ins_premium_det (premium_rcv_code,assorted_code, rec_amount,premium_rcv_detail_code,remaining_amt, payrec, mode_code,coinsurance_code,class_cd,it_remarks) values('28Nov240101','040000111847','0',(select max(to_number(i.premium_rcv_detail_code))+1
from ins_premium_det i),'0','0','02', '11000003','00','Request by Mr. Omair Ali 29-Nov-2024');</v>
      </c>
    </row>
    <row r="946" spans="1:8" ht="105" x14ac:dyDescent="0.25">
      <c r="A946" t="s">
        <v>946</v>
      </c>
      <c r="B946" s="8" t="str">
        <f>VLOOKUP(A946,assortedcode!B:C,2,0)</f>
        <v>040000144514</v>
      </c>
      <c r="C946" s="1">
        <v>0</v>
      </c>
      <c r="D946" s="9">
        <f t="shared" si="57"/>
        <v>0</v>
      </c>
      <c r="E946" s="7" t="s">
        <v>8345</v>
      </c>
      <c r="F946" s="10" t="str">
        <f t="shared" si="56"/>
        <v>insert into ins_premium_det (premium_rcv_code,assorted_code, rec_amount,premium_rcv_detail_code,remaining_amt, payrec, mode_code,coinsurance_code,class_cd,it_remarks) values</v>
      </c>
      <c r="G946" s="11" t="str">
        <f t="shared" si="58"/>
        <v>('28Nov240101','040000144514','0',(select max(to_number(i.premium_rcv_detail_code))+1
from ins_premium_det i),'0','0','02', '11000003','00','Request by Mr. Omair Ali 29-Nov-2024');</v>
      </c>
      <c r="H946" s="12" t="str">
        <f t="shared" si="59"/>
        <v>insert into ins_premium_det (premium_rcv_code,assorted_code, rec_amount,premium_rcv_detail_code,remaining_amt, payrec, mode_code,coinsurance_code,class_cd,it_remarks) values('28Nov240101','040000144514','0',(select max(to_number(i.premium_rcv_detail_code))+1
from ins_premium_det i),'0','0','02', '11000003','00','Request by Mr. Omair Ali 29-Nov-2024');</v>
      </c>
    </row>
    <row r="947" spans="1:8" ht="105" x14ac:dyDescent="0.25">
      <c r="A947" t="s">
        <v>947</v>
      </c>
      <c r="B947" s="8" t="str">
        <f>VLOOKUP(A947,assortedcode!B:C,2,0)</f>
        <v>040000111856</v>
      </c>
      <c r="C947" s="1">
        <v>0</v>
      </c>
      <c r="D947" s="9">
        <f t="shared" si="57"/>
        <v>0</v>
      </c>
      <c r="E947" s="7" t="s">
        <v>8345</v>
      </c>
      <c r="F947" s="10" t="str">
        <f t="shared" si="56"/>
        <v>insert into ins_premium_det (premium_rcv_code,assorted_code, rec_amount,premium_rcv_detail_code,remaining_amt, payrec, mode_code,coinsurance_code,class_cd,it_remarks) values</v>
      </c>
      <c r="G947" s="11" t="str">
        <f t="shared" si="58"/>
        <v>('28Nov240101','040000111856','0',(select max(to_number(i.premium_rcv_detail_code))+1
from ins_premium_det i),'0','0','02', '11000003','00','Request by Mr. Omair Ali 29-Nov-2024');</v>
      </c>
      <c r="H947" s="12" t="str">
        <f t="shared" si="59"/>
        <v>insert into ins_premium_det (premium_rcv_code,assorted_code, rec_amount,premium_rcv_detail_code,remaining_amt, payrec, mode_code,coinsurance_code,class_cd,it_remarks) values('28Nov240101','040000111856','0',(select max(to_number(i.premium_rcv_detail_code))+1
from ins_premium_det i),'0','0','02', '11000003','00','Request by Mr. Omair Ali 29-Nov-2024');</v>
      </c>
    </row>
    <row r="948" spans="1:8" ht="105" x14ac:dyDescent="0.25">
      <c r="A948" t="s">
        <v>948</v>
      </c>
      <c r="B948" s="8" t="str">
        <f>VLOOKUP(A948,assortedcode!B:C,2,0)</f>
        <v>040000122098</v>
      </c>
      <c r="C948" s="1">
        <v>0</v>
      </c>
      <c r="D948" s="9">
        <f t="shared" si="57"/>
        <v>0</v>
      </c>
      <c r="E948" s="7" t="s">
        <v>8345</v>
      </c>
      <c r="F948" s="10" t="str">
        <f t="shared" si="56"/>
        <v>insert into ins_premium_det (premium_rcv_code,assorted_code, rec_amount,premium_rcv_detail_code,remaining_amt, payrec, mode_code,coinsurance_code,class_cd,it_remarks) values</v>
      </c>
      <c r="G948" s="11" t="str">
        <f t="shared" si="58"/>
        <v>('28Nov240101','040000122098','0',(select max(to_number(i.premium_rcv_detail_code))+1
from ins_premium_det i),'0','0','02', '11000003','00','Request by Mr. Omair Ali 29-Nov-2024');</v>
      </c>
      <c r="H948" s="12" t="str">
        <f t="shared" si="59"/>
        <v>insert into ins_premium_det (premium_rcv_code,assorted_code, rec_amount,premium_rcv_detail_code,remaining_amt, payrec, mode_code,coinsurance_code,class_cd,it_remarks) values('28Nov240101','040000122098','0',(select max(to_number(i.premium_rcv_detail_code))+1
from ins_premium_det i),'0','0','02', '11000003','00','Request by Mr. Omair Ali 29-Nov-2024');</v>
      </c>
    </row>
    <row r="949" spans="1:8" ht="105" x14ac:dyDescent="0.25">
      <c r="A949" t="s">
        <v>949</v>
      </c>
      <c r="B949" s="8" t="str">
        <f>VLOOKUP(A949,assortedcode!B:C,2,0)</f>
        <v>040000111953</v>
      </c>
      <c r="C949" s="1">
        <v>0</v>
      </c>
      <c r="D949" s="9">
        <f t="shared" si="57"/>
        <v>0</v>
      </c>
      <c r="E949" s="7" t="s">
        <v>8345</v>
      </c>
      <c r="F949" s="10" t="str">
        <f t="shared" si="56"/>
        <v>insert into ins_premium_det (premium_rcv_code,assorted_code, rec_amount,premium_rcv_detail_code,remaining_amt, payrec, mode_code,coinsurance_code,class_cd,it_remarks) values</v>
      </c>
      <c r="G949" s="11" t="str">
        <f t="shared" si="58"/>
        <v>('28Nov240101','040000111953','0',(select max(to_number(i.premium_rcv_detail_code))+1
from ins_premium_det i),'0','0','02', '11000003','00','Request by Mr. Omair Ali 29-Nov-2024');</v>
      </c>
      <c r="H949" s="12" t="str">
        <f t="shared" si="59"/>
        <v>insert into ins_premium_det (premium_rcv_code,assorted_code, rec_amount,premium_rcv_detail_code,remaining_amt, payrec, mode_code,coinsurance_code,class_cd,it_remarks) values('28Nov240101','040000111953','0',(select max(to_number(i.premium_rcv_detail_code))+1
from ins_premium_det i),'0','0','02', '11000003','00','Request by Mr. Omair Ali 29-Nov-2024');</v>
      </c>
    </row>
    <row r="950" spans="1:8" ht="105" x14ac:dyDescent="0.25">
      <c r="A950" t="s">
        <v>950</v>
      </c>
      <c r="B950" s="8" t="str">
        <f>VLOOKUP(A950,assortedcode!B:C,2,0)</f>
        <v>040000122104</v>
      </c>
      <c r="C950" s="1">
        <v>0</v>
      </c>
      <c r="D950" s="9">
        <f t="shared" si="57"/>
        <v>0</v>
      </c>
      <c r="E950" s="7" t="s">
        <v>8345</v>
      </c>
      <c r="F950" s="10" t="str">
        <f t="shared" si="56"/>
        <v>insert into ins_premium_det (premium_rcv_code,assorted_code, rec_amount,premium_rcv_detail_code,remaining_amt, payrec, mode_code,coinsurance_code,class_cd,it_remarks) values</v>
      </c>
      <c r="G950" s="11" t="str">
        <f t="shared" si="58"/>
        <v>('28Nov240101','040000122104','0',(select max(to_number(i.premium_rcv_detail_code))+1
from ins_premium_det i),'0','0','02', '11000003','00','Request by Mr. Omair Ali 29-Nov-2024');</v>
      </c>
      <c r="H950" s="12" t="str">
        <f t="shared" si="59"/>
        <v>insert into ins_premium_det (premium_rcv_code,assorted_code, rec_amount,premium_rcv_detail_code,remaining_amt, payrec, mode_code,coinsurance_code,class_cd,it_remarks) values('28Nov240101','040000122104','0',(select max(to_number(i.premium_rcv_detail_code))+1
from ins_premium_det i),'0','0','02', '11000003','00','Request by Mr. Omair Ali 29-Nov-2024');</v>
      </c>
    </row>
    <row r="951" spans="1:8" ht="105" x14ac:dyDescent="0.25">
      <c r="A951" t="s">
        <v>951</v>
      </c>
      <c r="B951" s="8" t="str">
        <f>VLOOKUP(A951,assortedcode!B:C,2,0)</f>
        <v>040000171025</v>
      </c>
      <c r="C951" s="1">
        <v>0</v>
      </c>
      <c r="D951" s="9">
        <f t="shared" si="57"/>
        <v>0</v>
      </c>
      <c r="E951" s="7" t="s">
        <v>8345</v>
      </c>
      <c r="F951" s="10" t="str">
        <f t="shared" si="56"/>
        <v>insert into ins_premium_det (premium_rcv_code,assorted_code, rec_amount,premium_rcv_detail_code,remaining_amt, payrec, mode_code,coinsurance_code,class_cd,it_remarks) values</v>
      </c>
      <c r="G951" s="11" t="str">
        <f t="shared" si="58"/>
        <v>('28Nov240101','040000171025','0',(select max(to_number(i.premium_rcv_detail_code))+1
from ins_premium_det i),'0','0','02', '11000003','00','Request by Mr. Omair Ali 29-Nov-2024');</v>
      </c>
      <c r="H951" s="12" t="str">
        <f t="shared" si="59"/>
        <v>insert into ins_premium_det (premium_rcv_code,assorted_code, rec_amount,premium_rcv_detail_code,remaining_amt, payrec, mode_code,coinsurance_code,class_cd,it_remarks) values('28Nov240101','040000171025','0',(select max(to_number(i.premium_rcv_detail_code))+1
from ins_premium_det i),'0','0','02', '11000003','00','Request by Mr. Omair Ali 29-Nov-2024');</v>
      </c>
    </row>
    <row r="952" spans="1:8" ht="105" x14ac:dyDescent="0.25">
      <c r="A952" t="s">
        <v>952</v>
      </c>
      <c r="B952" s="8" t="str">
        <f>VLOOKUP(A952,assortedcode!B:C,2,0)</f>
        <v>040000104539</v>
      </c>
      <c r="C952" s="1">
        <v>0</v>
      </c>
      <c r="D952" s="9">
        <f t="shared" si="57"/>
        <v>0</v>
      </c>
      <c r="E952" s="7" t="s">
        <v>8345</v>
      </c>
      <c r="F952" s="10" t="str">
        <f t="shared" si="56"/>
        <v>insert into ins_premium_det (premium_rcv_code,assorted_code, rec_amount,premium_rcv_detail_code,remaining_amt, payrec, mode_code,coinsurance_code,class_cd,it_remarks) values</v>
      </c>
      <c r="G952" s="11" t="str">
        <f t="shared" si="58"/>
        <v>('28Nov240101','040000104539','0',(select max(to_number(i.premium_rcv_detail_code))+1
from ins_premium_det i),'0','0','02', '11000003','00','Request by Mr. Omair Ali 29-Nov-2024');</v>
      </c>
      <c r="H952" s="12" t="str">
        <f t="shared" si="59"/>
        <v>insert into ins_premium_det (premium_rcv_code,assorted_code, rec_amount,premium_rcv_detail_code,remaining_amt, payrec, mode_code,coinsurance_code,class_cd,it_remarks) values('28Nov240101','040000104539','0',(select max(to_number(i.premium_rcv_detail_code))+1
from ins_premium_det i),'0','0','02', '11000003','00','Request by Mr. Omair Ali 29-Nov-2024');</v>
      </c>
    </row>
    <row r="953" spans="1:8" ht="105" x14ac:dyDescent="0.25">
      <c r="A953" t="s">
        <v>953</v>
      </c>
      <c r="B953" s="8" t="str">
        <f>VLOOKUP(A953,assortedcode!B:C,2,0)</f>
        <v>040000115967</v>
      </c>
      <c r="C953" s="1">
        <v>0</v>
      </c>
      <c r="D953" s="9">
        <f t="shared" si="57"/>
        <v>0</v>
      </c>
      <c r="E953" s="7" t="s">
        <v>8345</v>
      </c>
      <c r="F953" s="10" t="str">
        <f t="shared" si="56"/>
        <v>insert into ins_premium_det (premium_rcv_code,assorted_code, rec_amount,premium_rcv_detail_code,remaining_amt, payrec, mode_code,coinsurance_code,class_cd,it_remarks) values</v>
      </c>
      <c r="G953" s="11" t="str">
        <f t="shared" si="58"/>
        <v>('28Nov240101','040000115967','0',(select max(to_number(i.premium_rcv_detail_code))+1
from ins_premium_det i),'0','0','02', '11000003','00','Request by Mr. Omair Ali 29-Nov-2024');</v>
      </c>
      <c r="H953" s="12" t="str">
        <f t="shared" si="59"/>
        <v>insert into ins_premium_det (premium_rcv_code,assorted_code, rec_amount,premium_rcv_detail_code,remaining_amt, payrec, mode_code,coinsurance_code,class_cd,it_remarks) values('28Nov240101','040000115967','0',(select max(to_number(i.premium_rcv_detail_code))+1
from ins_premium_det i),'0','0','02', '11000003','00','Request by Mr. Omair Ali 29-Nov-2024');</v>
      </c>
    </row>
    <row r="954" spans="1:8" ht="105" x14ac:dyDescent="0.25">
      <c r="A954" t="s">
        <v>954</v>
      </c>
      <c r="B954" s="8" t="str">
        <f>VLOOKUP(A954,assortedcode!B:C,2,0)</f>
        <v>040000122091</v>
      </c>
      <c r="C954" s="1">
        <v>0</v>
      </c>
      <c r="D954" s="9">
        <f t="shared" si="57"/>
        <v>0</v>
      </c>
      <c r="E954" s="7" t="s">
        <v>8345</v>
      </c>
      <c r="F954" s="10" t="str">
        <f t="shared" si="56"/>
        <v>insert into ins_premium_det (premium_rcv_code,assorted_code, rec_amount,premium_rcv_detail_code,remaining_amt, payrec, mode_code,coinsurance_code,class_cd,it_remarks) values</v>
      </c>
      <c r="G954" s="11" t="str">
        <f t="shared" si="58"/>
        <v>('28Nov240101','040000122091','0',(select max(to_number(i.premium_rcv_detail_code))+1
from ins_premium_det i),'0','0','02', '11000003','00','Request by Mr. Omair Ali 29-Nov-2024');</v>
      </c>
      <c r="H954" s="12" t="str">
        <f t="shared" si="59"/>
        <v>insert into ins_premium_det (premium_rcv_code,assorted_code, rec_amount,premium_rcv_detail_code,remaining_amt, payrec, mode_code,coinsurance_code,class_cd,it_remarks) values('28Nov240101','040000122091','0',(select max(to_number(i.premium_rcv_detail_code))+1
from ins_premium_det i),'0','0','02', '11000003','00','Request by Mr. Omair Ali 29-Nov-2024');</v>
      </c>
    </row>
    <row r="955" spans="1:8" ht="105" x14ac:dyDescent="0.25">
      <c r="A955" t="s">
        <v>955</v>
      </c>
      <c r="B955" s="8" t="str">
        <f>VLOOKUP(A955,assortedcode!B:C,2,0)</f>
        <v>040000117319</v>
      </c>
      <c r="C955" s="1">
        <v>0</v>
      </c>
      <c r="D955" s="9">
        <f t="shared" si="57"/>
        <v>0</v>
      </c>
      <c r="E955" s="7" t="s">
        <v>8345</v>
      </c>
      <c r="F955" s="10" t="str">
        <f t="shared" si="56"/>
        <v>insert into ins_premium_det (premium_rcv_code,assorted_code, rec_amount,premium_rcv_detail_code,remaining_amt, payrec, mode_code,coinsurance_code,class_cd,it_remarks) values</v>
      </c>
      <c r="G955" s="11" t="str">
        <f t="shared" si="58"/>
        <v>('28Nov240101','040000117319','0',(select max(to_number(i.premium_rcv_detail_code))+1
from ins_premium_det i),'0','0','02', '11000003','00','Request by Mr. Omair Ali 29-Nov-2024');</v>
      </c>
      <c r="H955" s="12" t="str">
        <f t="shared" si="59"/>
        <v>insert into ins_premium_det (premium_rcv_code,assorted_code, rec_amount,premium_rcv_detail_code,remaining_amt, payrec, mode_code,coinsurance_code,class_cd,it_remarks) values('28Nov240101','040000117319','0',(select max(to_number(i.premium_rcv_detail_code))+1
from ins_premium_det i),'0','0','02', '11000003','00','Request by Mr. Omair Ali 29-Nov-2024');</v>
      </c>
    </row>
    <row r="956" spans="1:8" ht="105" x14ac:dyDescent="0.25">
      <c r="A956" t="s">
        <v>956</v>
      </c>
      <c r="B956" s="8" t="str">
        <f>VLOOKUP(A956,assortedcode!B:C,2,0)</f>
        <v>040000122100</v>
      </c>
      <c r="C956" s="1">
        <v>0</v>
      </c>
      <c r="D956" s="9">
        <f t="shared" si="57"/>
        <v>0</v>
      </c>
      <c r="E956" s="7" t="s">
        <v>8345</v>
      </c>
      <c r="F956" s="10" t="str">
        <f t="shared" si="56"/>
        <v>insert into ins_premium_det (premium_rcv_code,assorted_code, rec_amount,premium_rcv_detail_code,remaining_amt, payrec, mode_code,coinsurance_code,class_cd,it_remarks) values</v>
      </c>
      <c r="G956" s="11" t="str">
        <f t="shared" si="58"/>
        <v>('28Nov240101','040000122100','0',(select max(to_number(i.premium_rcv_detail_code))+1
from ins_premium_det i),'0','0','02', '11000003','00','Request by Mr. Omair Ali 29-Nov-2024');</v>
      </c>
      <c r="H956" s="12" t="str">
        <f t="shared" si="59"/>
        <v>insert into ins_premium_det (premium_rcv_code,assorted_code, rec_amount,premium_rcv_detail_code,remaining_amt, payrec, mode_code,coinsurance_code,class_cd,it_remarks) values('28Nov240101','040000122100','0',(select max(to_number(i.premium_rcv_detail_code))+1
from ins_premium_det i),'0','0','02', '11000003','00','Request by Mr. Omair Ali 29-Nov-2024');</v>
      </c>
    </row>
    <row r="957" spans="1:8" ht="105" x14ac:dyDescent="0.25">
      <c r="A957" t="s">
        <v>957</v>
      </c>
      <c r="B957" s="8" t="str">
        <f>VLOOKUP(A957,assortedcode!B:C,2,0)</f>
        <v>040000126211</v>
      </c>
      <c r="C957" s="1">
        <v>0</v>
      </c>
      <c r="D957" s="9">
        <f t="shared" si="57"/>
        <v>0</v>
      </c>
      <c r="E957" s="7" t="s">
        <v>8345</v>
      </c>
      <c r="F957" s="10" t="str">
        <f t="shared" si="56"/>
        <v>insert into ins_premium_det (premium_rcv_code,assorted_code, rec_amount,premium_rcv_detail_code,remaining_amt, payrec, mode_code,coinsurance_code,class_cd,it_remarks) values</v>
      </c>
      <c r="G957" s="11" t="str">
        <f t="shared" si="58"/>
        <v>('28Nov240101','040000126211','0',(select max(to_number(i.premium_rcv_detail_code))+1
from ins_premium_det i),'0','0','02', '11000003','00','Request by Mr. Omair Ali 29-Nov-2024');</v>
      </c>
      <c r="H957" s="12" t="str">
        <f t="shared" si="59"/>
        <v>insert into ins_premium_det (premium_rcv_code,assorted_code, rec_amount,premium_rcv_detail_code,remaining_amt, payrec, mode_code,coinsurance_code,class_cd,it_remarks) values('28Nov240101','040000126211','0',(select max(to_number(i.premium_rcv_detail_code))+1
from ins_premium_det i),'0','0','02', '11000003','00','Request by Mr. Omair Ali 29-Nov-2024');</v>
      </c>
    </row>
    <row r="958" spans="1:8" ht="105" x14ac:dyDescent="0.25">
      <c r="A958" t="s">
        <v>958</v>
      </c>
      <c r="B958" s="8" t="str">
        <f>VLOOKUP(A958,assortedcode!B:C,2,0)</f>
        <v>040000142502</v>
      </c>
      <c r="C958" s="1">
        <v>0</v>
      </c>
      <c r="D958" s="9">
        <f t="shared" si="57"/>
        <v>0</v>
      </c>
      <c r="E958" s="7" t="s">
        <v>8345</v>
      </c>
      <c r="F958" s="10" t="str">
        <f t="shared" si="56"/>
        <v>insert into ins_premium_det (premium_rcv_code,assorted_code, rec_amount,premium_rcv_detail_code,remaining_amt, payrec, mode_code,coinsurance_code,class_cd,it_remarks) values</v>
      </c>
      <c r="G958" s="11" t="str">
        <f t="shared" si="58"/>
        <v>('28Nov240101','040000142502','0',(select max(to_number(i.premium_rcv_detail_code))+1
from ins_premium_det i),'0','0','02', '11000003','00','Request by Mr. Omair Ali 29-Nov-2024');</v>
      </c>
      <c r="H958" s="12" t="str">
        <f t="shared" si="59"/>
        <v>insert into ins_premium_det (premium_rcv_code,assorted_code, rec_amount,premium_rcv_detail_code,remaining_amt, payrec, mode_code,coinsurance_code,class_cd,it_remarks) values('28Nov240101','040000142502','0',(select max(to_number(i.premium_rcv_detail_code))+1
from ins_premium_det i),'0','0','02', '11000003','00','Request by Mr. Omair Ali 29-Nov-2024');</v>
      </c>
    </row>
    <row r="959" spans="1:8" ht="105" x14ac:dyDescent="0.25">
      <c r="A959" t="s">
        <v>959</v>
      </c>
      <c r="B959" s="8" t="str">
        <f>VLOOKUP(A959,assortedcode!B:C,2,0)</f>
        <v>040000126776</v>
      </c>
      <c r="C959" s="1">
        <v>0</v>
      </c>
      <c r="D959" s="9">
        <f t="shared" si="57"/>
        <v>0</v>
      </c>
      <c r="E959" s="7" t="s">
        <v>8345</v>
      </c>
      <c r="F959" s="10" t="str">
        <f t="shared" si="56"/>
        <v>insert into ins_premium_det (premium_rcv_code,assorted_code, rec_amount,premium_rcv_detail_code,remaining_amt, payrec, mode_code,coinsurance_code,class_cd,it_remarks) values</v>
      </c>
      <c r="G959" s="11" t="str">
        <f t="shared" si="58"/>
        <v>('28Nov240101','040000126776','0',(select max(to_number(i.premium_rcv_detail_code))+1
from ins_premium_det i),'0','0','02', '11000003','00','Request by Mr. Omair Ali 29-Nov-2024');</v>
      </c>
      <c r="H959" s="12" t="str">
        <f t="shared" si="59"/>
        <v>insert into ins_premium_det (premium_rcv_code,assorted_code, rec_amount,premium_rcv_detail_code,remaining_amt, payrec, mode_code,coinsurance_code,class_cd,it_remarks) values('28Nov240101','040000126776','0',(select max(to_number(i.premium_rcv_detail_code))+1
from ins_premium_det i),'0','0','02', '11000003','00','Request by Mr. Omair Ali 29-Nov-2024');</v>
      </c>
    </row>
    <row r="960" spans="1:8" ht="105" x14ac:dyDescent="0.25">
      <c r="A960" t="s">
        <v>960</v>
      </c>
      <c r="B960" s="8" t="str">
        <f>VLOOKUP(A960,assortedcode!B:C,2,0)</f>
        <v>040000143403</v>
      </c>
      <c r="C960" s="1">
        <v>0</v>
      </c>
      <c r="D960" s="9">
        <f t="shared" si="57"/>
        <v>0</v>
      </c>
      <c r="E960" s="7" t="s">
        <v>8345</v>
      </c>
      <c r="F960" s="10" t="str">
        <f t="shared" si="56"/>
        <v>insert into ins_premium_det (premium_rcv_code,assorted_code, rec_amount,premium_rcv_detail_code,remaining_amt, payrec, mode_code,coinsurance_code,class_cd,it_remarks) values</v>
      </c>
      <c r="G960" s="11" t="str">
        <f t="shared" si="58"/>
        <v>('28Nov240101','040000143403','0',(select max(to_number(i.premium_rcv_detail_code))+1
from ins_premium_det i),'0','0','02', '11000003','00','Request by Mr. Omair Ali 29-Nov-2024');</v>
      </c>
      <c r="H960" s="12" t="str">
        <f t="shared" si="59"/>
        <v>insert into ins_premium_det (premium_rcv_code,assorted_code, rec_amount,premium_rcv_detail_code,remaining_amt, payrec, mode_code,coinsurance_code,class_cd,it_remarks) values('28Nov240101','040000143403','0',(select max(to_number(i.premium_rcv_detail_code))+1
from ins_premium_det i),'0','0','02', '11000003','00','Request by Mr. Omair Ali 29-Nov-2024');</v>
      </c>
    </row>
    <row r="961" spans="1:8" ht="105" x14ac:dyDescent="0.25">
      <c r="A961" t="s">
        <v>961</v>
      </c>
      <c r="B961" s="8" t="str">
        <f>VLOOKUP(A961,assortedcode!B:C,2,0)</f>
        <v>040000124050</v>
      </c>
      <c r="C961" s="1">
        <v>0</v>
      </c>
      <c r="D961" s="9">
        <f t="shared" si="57"/>
        <v>0</v>
      </c>
      <c r="E961" s="7" t="s">
        <v>8345</v>
      </c>
      <c r="F961" s="10" t="str">
        <f t="shared" si="56"/>
        <v>insert into ins_premium_det (premium_rcv_code,assorted_code, rec_amount,premium_rcv_detail_code,remaining_amt, payrec, mode_code,coinsurance_code,class_cd,it_remarks) values</v>
      </c>
      <c r="G961" s="11" t="str">
        <f t="shared" si="58"/>
        <v>('28Nov240101','040000124050','0',(select max(to_number(i.premium_rcv_detail_code))+1
from ins_premium_det i),'0','0','02', '11000003','00','Request by Mr. Omair Ali 29-Nov-2024');</v>
      </c>
      <c r="H961" s="12" t="str">
        <f t="shared" si="59"/>
        <v>insert into ins_premium_det (premium_rcv_code,assorted_code, rec_amount,premium_rcv_detail_code,remaining_amt, payrec, mode_code,coinsurance_code,class_cd,it_remarks) values('28Nov240101','040000124050','0',(select max(to_number(i.premium_rcv_detail_code))+1
from ins_premium_det i),'0','0','02', '11000003','00','Request by Mr. Omair Ali 29-Nov-2024');</v>
      </c>
    </row>
    <row r="962" spans="1:8" ht="105" x14ac:dyDescent="0.25">
      <c r="A962" t="s">
        <v>962</v>
      </c>
      <c r="B962" s="8" t="str">
        <f>VLOOKUP(A962,assortedcode!B:C,2,0)</f>
        <v>040000147007</v>
      </c>
      <c r="C962" s="1">
        <v>0</v>
      </c>
      <c r="D962" s="9">
        <f t="shared" si="57"/>
        <v>0</v>
      </c>
      <c r="E962" s="7" t="s">
        <v>8345</v>
      </c>
      <c r="F962" s="10" t="str">
        <f t="shared" ref="F962:F1025" si="60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962" s="11" t="str">
        <f t="shared" si="58"/>
        <v>('28Nov240101','040000147007','0',(select max(to_number(i.premium_rcv_detail_code))+1
from ins_premium_det i),'0','0','02', '11000003','00','Request by Mr. Omair Ali 29-Nov-2024');</v>
      </c>
      <c r="H962" s="12" t="str">
        <f t="shared" si="59"/>
        <v>insert into ins_premium_det (premium_rcv_code,assorted_code, rec_amount,premium_rcv_detail_code,remaining_amt, payrec, mode_code,coinsurance_code,class_cd,it_remarks) values('28Nov240101','040000147007','0',(select max(to_number(i.premium_rcv_detail_code))+1
from ins_premium_det i),'0','0','02', '11000003','00','Request by Mr. Omair Ali 29-Nov-2024');</v>
      </c>
    </row>
    <row r="963" spans="1:8" ht="105" x14ac:dyDescent="0.25">
      <c r="A963" t="s">
        <v>963</v>
      </c>
      <c r="B963" s="8" t="str">
        <f>VLOOKUP(A963,assortedcode!B:C,2,0)</f>
        <v>040000170920</v>
      </c>
      <c r="C963" s="1">
        <v>0</v>
      </c>
      <c r="D963" s="9">
        <f t="shared" ref="D963:D1026" si="61">ROUND(C963,0)</f>
        <v>0</v>
      </c>
      <c r="E963" s="7" t="s">
        <v>8345</v>
      </c>
      <c r="F963" s="10" t="str">
        <f t="shared" si="60"/>
        <v>insert into ins_premium_det (premium_rcv_code,assorted_code, rec_amount,premium_rcv_detail_code,remaining_amt, payrec, mode_code,coinsurance_code,class_cd,it_remarks) values</v>
      </c>
      <c r="G963" s="11" t="str">
        <f t="shared" ref="G963:G1026" si="62">"('"&amp;E963&amp;"','"&amp;B963&amp;"','"&amp;ROUND(D963,2)&amp;"',(select max(to_number(i.premium_rcv_detail_code))+1
from ins_premium_det i),'"&amp;D963&amp;"','"&amp;D963&amp;"','02', '11000003','00','Request by Mr. Omair Ali 29-Nov-2024');"</f>
        <v>('28Nov240101','040000170920','0',(select max(to_number(i.premium_rcv_detail_code))+1
from ins_premium_det i),'0','0','02', '11000003','00','Request by Mr. Omair Ali 29-Nov-2024');</v>
      </c>
      <c r="H963" s="12" t="str">
        <f t="shared" ref="H963:H1026" si="63">F963&amp;G963</f>
        <v>insert into ins_premium_det (premium_rcv_code,assorted_code, rec_amount,premium_rcv_detail_code,remaining_amt, payrec, mode_code,coinsurance_code,class_cd,it_remarks) values('28Nov240101','040000170920','0',(select max(to_number(i.premium_rcv_detail_code))+1
from ins_premium_det i),'0','0','02', '11000003','00','Request by Mr. Omair Ali 29-Nov-2024');</v>
      </c>
    </row>
    <row r="964" spans="1:8" ht="105" x14ac:dyDescent="0.25">
      <c r="A964" t="s">
        <v>964</v>
      </c>
      <c r="B964" s="8" t="str">
        <f>VLOOKUP(A964,assortedcode!B:C,2,0)</f>
        <v>040000165775</v>
      </c>
      <c r="C964" s="1">
        <v>0</v>
      </c>
      <c r="D964" s="9">
        <f t="shared" si="61"/>
        <v>0</v>
      </c>
      <c r="E964" s="7" t="s">
        <v>8345</v>
      </c>
      <c r="F964" s="10" t="str">
        <f t="shared" si="60"/>
        <v>insert into ins_premium_det (premium_rcv_code,assorted_code, rec_amount,premium_rcv_detail_code,remaining_amt, payrec, mode_code,coinsurance_code,class_cd,it_remarks) values</v>
      </c>
      <c r="G964" s="11" t="str">
        <f t="shared" si="62"/>
        <v>('28Nov240101','040000165775','0',(select max(to_number(i.premium_rcv_detail_code))+1
from ins_premium_det i),'0','0','02', '11000003','00','Request by Mr. Omair Ali 29-Nov-2024');</v>
      </c>
      <c r="H964" s="12" t="str">
        <f t="shared" si="63"/>
        <v>insert into ins_premium_det (premium_rcv_code,assorted_code, rec_amount,premium_rcv_detail_code,remaining_amt, payrec, mode_code,coinsurance_code,class_cd,it_remarks) values('28Nov240101','040000165775','0',(select max(to_number(i.premium_rcv_detail_code))+1
from ins_premium_det i),'0','0','02', '11000003','00','Request by Mr. Omair Ali 29-Nov-2024');</v>
      </c>
    </row>
    <row r="965" spans="1:8" ht="105" x14ac:dyDescent="0.25">
      <c r="A965" t="s">
        <v>965</v>
      </c>
      <c r="B965" s="8" t="str">
        <f>VLOOKUP(A965,assortedcode!B:C,2,0)</f>
        <v>040000097124</v>
      </c>
      <c r="C965" s="1">
        <v>0</v>
      </c>
      <c r="D965" s="9">
        <f t="shared" si="61"/>
        <v>0</v>
      </c>
      <c r="E965" s="7" t="s">
        <v>8345</v>
      </c>
      <c r="F965" s="10" t="str">
        <f t="shared" si="60"/>
        <v>insert into ins_premium_det (premium_rcv_code,assorted_code, rec_amount,premium_rcv_detail_code,remaining_amt, payrec, mode_code,coinsurance_code,class_cd,it_remarks) values</v>
      </c>
      <c r="G965" s="11" t="str">
        <f t="shared" si="62"/>
        <v>('28Nov240101','040000097124','0',(select max(to_number(i.premium_rcv_detail_code))+1
from ins_premium_det i),'0','0','02', '11000003','00','Request by Mr. Omair Ali 29-Nov-2024');</v>
      </c>
      <c r="H965" s="12" t="str">
        <f t="shared" si="63"/>
        <v>insert into ins_premium_det (premium_rcv_code,assorted_code, rec_amount,premium_rcv_detail_code,remaining_amt, payrec, mode_code,coinsurance_code,class_cd,it_remarks) values('28Nov240101','040000097124','0',(select max(to_number(i.premium_rcv_detail_code))+1
from ins_premium_det i),'0','0','02', '11000003','00','Request by Mr. Omair Ali 29-Nov-2024');</v>
      </c>
    </row>
    <row r="966" spans="1:8" ht="105" x14ac:dyDescent="0.25">
      <c r="A966" t="s">
        <v>966</v>
      </c>
      <c r="B966" s="8" t="str">
        <f>VLOOKUP(A966,assortedcode!B:C,2,0)</f>
        <v>040000166343</v>
      </c>
      <c r="C966" s="1">
        <v>0</v>
      </c>
      <c r="D966" s="9">
        <f t="shared" si="61"/>
        <v>0</v>
      </c>
      <c r="E966" s="7" t="s">
        <v>8345</v>
      </c>
      <c r="F966" s="10" t="str">
        <f t="shared" si="60"/>
        <v>insert into ins_premium_det (premium_rcv_code,assorted_code, rec_amount,premium_rcv_detail_code,remaining_amt, payrec, mode_code,coinsurance_code,class_cd,it_remarks) values</v>
      </c>
      <c r="G966" s="11" t="str">
        <f t="shared" si="62"/>
        <v>('28Nov240101','040000166343','0',(select max(to_number(i.premium_rcv_detail_code))+1
from ins_premium_det i),'0','0','02', '11000003','00','Request by Mr. Omair Ali 29-Nov-2024');</v>
      </c>
      <c r="H966" s="12" t="str">
        <f t="shared" si="63"/>
        <v>insert into ins_premium_det (premium_rcv_code,assorted_code, rec_amount,premium_rcv_detail_code,remaining_amt, payrec, mode_code,coinsurance_code,class_cd,it_remarks) values('28Nov240101','040000166343','0',(select max(to_number(i.premium_rcv_detail_code))+1
from ins_premium_det i),'0','0','02', '11000003','00','Request by Mr. Omair Ali 29-Nov-2024');</v>
      </c>
    </row>
    <row r="967" spans="1:8" ht="105" x14ac:dyDescent="0.25">
      <c r="A967" t="s">
        <v>967</v>
      </c>
      <c r="B967" s="8" t="str">
        <f>VLOOKUP(A967,assortedcode!B:C,2,0)</f>
        <v>040000122335</v>
      </c>
      <c r="C967" s="1">
        <v>0</v>
      </c>
      <c r="D967" s="9">
        <f t="shared" si="61"/>
        <v>0</v>
      </c>
      <c r="E967" s="7" t="s">
        <v>8345</v>
      </c>
      <c r="F967" s="10" t="str">
        <f t="shared" si="60"/>
        <v>insert into ins_premium_det (premium_rcv_code,assorted_code, rec_amount,premium_rcv_detail_code,remaining_amt, payrec, mode_code,coinsurance_code,class_cd,it_remarks) values</v>
      </c>
      <c r="G967" s="11" t="str">
        <f t="shared" si="62"/>
        <v>('28Nov240101','040000122335','0',(select max(to_number(i.premium_rcv_detail_code))+1
from ins_premium_det i),'0','0','02', '11000003','00','Request by Mr. Omair Ali 29-Nov-2024');</v>
      </c>
      <c r="H967" s="12" t="str">
        <f t="shared" si="63"/>
        <v>insert into ins_premium_det (premium_rcv_code,assorted_code, rec_amount,premium_rcv_detail_code,remaining_amt, payrec, mode_code,coinsurance_code,class_cd,it_remarks) values('28Nov240101','040000122335','0',(select max(to_number(i.premium_rcv_detail_code))+1
from ins_premium_det i),'0','0','02', '11000003','00','Request by Mr. Omair Ali 29-Nov-2024');</v>
      </c>
    </row>
    <row r="968" spans="1:8" ht="105" x14ac:dyDescent="0.25">
      <c r="A968" t="s">
        <v>968</v>
      </c>
      <c r="B968" s="8" t="str">
        <f>VLOOKUP(A968,assortedcode!B:C,2,0)</f>
        <v>040000166350</v>
      </c>
      <c r="C968" s="1">
        <v>0</v>
      </c>
      <c r="D968" s="9">
        <f t="shared" si="61"/>
        <v>0</v>
      </c>
      <c r="E968" s="7" t="s">
        <v>8345</v>
      </c>
      <c r="F968" s="10" t="str">
        <f t="shared" si="60"/>
        <v>insert into ins_premium_det (premium_rcv_code,assorted_code, rec_amount,premium_rcv_detail_code,remaining_amt, payrec, mode_code,coinsurance_code,class_cd,it_remarks) values</v>
      </c>
      <c r="G968" s="11" t="str">
        <f t="shared" si="62"/>
        <v>('28Nov240101','040000166350','0',(select max(to_number(i.premium_rcv_detail_code))+1
from ins_premium_det i),'0','0','02', '11000003','00','Request by Mr. Omair Ali 29-Nov-2024');</v>
      </c>
      <c r="H968" s="12" t="str">
        <f t="shared" si="63"/>
        <v>insert into ins_premium_det (premium_rcv_code,assorted_code, rec_amount,premium_rcv_detail_code,remaining_amt, payrec, mode_code,coinsurance_code,class_cd,it_remarks) values('28Nov240101','040000166350','0',(select max(to_number(i.premium_rcv_detail_code))+1
from ins_premium_det i),'0','0','02', '11000003','00','Request by Mr. Omair Ali 29-Nov-2024');</v>
      </c>
    </row>
    <row r="969" spans="1:8" ht="105" x14ac:dyDescent="0.25">
      <c r="A969" t="s">
        <v>969</v>
      </c>
      <c r="B969" s="8" t="str">
        <f>VLOOKUP(A969,assortedcode!B:C,2,0)</f>
        <v>040000105493</v>
      </c>
      <c r="C969" s="1">
        <v>0</v>
      </c>
      <c r="D969" s="9">
        <f t="shared" si="61"/>
        <v>0</v>
      </c>
      <c r="E969" s="7" t="s">
        <v>8345</v>
      </c>
      <c r="F969" s="10" t="str">
        <f t="shared" si="60"/>
        <v>insert into ins_premium_det (premium_rcv_code,assorted_code, rec_amount,premium_rcv_detail_code,remaining_amt, payrec, mode_code,coinsurance_code,class_cd,it_remarks) values</v>
      </c>
      <c r="G969" s="11" t="str">
        <f t="shared" si="62"/>
        <v>('28Nov240101','040000105493','0',(select max(to_number(i.premium_rcv_detail_code))+1
from ins_premium_det i),'0','0','02', '11000003','00','Request by Mr. Omair Ali 29-Nov-2024');</v>
      </c>
      <c r="H969" s="12" t="str">
        <f t="shared" si="63"/>
        <v>insert into ins_premium_det (premium_rcv_code,assorted_code, rec_amount,premium_rcv_detail_code,remaining_amt, payrec, mode_code,coinsurance_code,class_cd,it_remarks) values('28Nov240101','040000105493','0',(select max(to_number(i.premium_rcv_detail_code))+1
from ins_premium_det i),'0','0','02', '11000003','00','Request by Mr. Omair Ali 29-Nov-2024');</v>
      </c>
    </row>
    <row r="970" spans="1:8" ht="105" x14ac:dyDescent="0.25">
      <c r="A970" t="s">
        <v>970</v>
      </c>
      <c r="B970" s="8" t="str">
        <f>VLOOKUP(A970,assortedcode!B:C,2,0)</f>
        <v>040000149413</v>
      </c>
      <c r="C970" s="1">
        <v>0</v>
      </c>
      <c r="D970" s="9">
        <f t="shared" si="61"/>
        <v>0</v>
      </c>
      <c r="E970" s="7" t="s">
        <v>8345</v>
      </c>
      <c r="F970" s="10" t="str">
        <f t="shared" si="60"/>
        <v>insert into ins_premium_det (premium_rcv_code,assorted_code, rec_amount,premium_rcv_detail_code,remaining_amt, payrec, mode_code,coinsurance_code,class_cd,it_remarks) values</v>
      </c>
      <c r="G970" s="11" t="str">
        <f t="shared" si="62"/>
        <v>('28Nov240101','040000149413','0',(select max(to_number(i.premium_rcv_detail_code))+1
from ins_premium_det i),'0','0','02', '11000003','00','Request by Mr. Omair Ali 29-Nov-2024');</v>
      </c>
      <c r="H970" s="12" t="str">
        <f t="shared" si="63"/>
        <v>insert into ins_premium_det (premium_rcv_code,assorted_code, rec_amount,premium_rcv_detail_code,remaining_amt, payrec, mode_code,coinsurance_code,class_cd,it_remarks) values('28Nov240101','040000149413','0',(select max(to_number(i.premium_rcv_detail_code))+1
from ins_premium_det i),'0','0','02', '11000003','00','Request by Mr. Omair Ali 29-Nov-2024');</v>
      </c>
    </row>
    <row r="971" spans="1:8" ht="105" x14ac:dyDescent="0.25">
      <c r="A971" t="s">
        <v>971</v>
      </c>
      <c r="B971" s="8" t="str">
        <f>VLOOKUP(A971,assortedcode!B:C,2,0)</f>
        <v>040000106302</v>
      </c>
      <c r="C971" s="1">
        <v>0</v>
      </c>
      <c r="D971" s="9">
        <f t="shared" si="61"/>
        <v>0</v>
      </c>
      <c r="E971" s="7" t="s">
        <v>8345</v>
      </c>
      <c r="F971" s="10" t="str">
        <f t="shared" si="60"/>
        <v>insert into ins_premium_det (premium_rcv_code,assorted_code, rec_amount,premium_rcv_detail_code,remaining_amt, payrec, mode_code,coinsurance_code,class_cd,it_remarks) values</v>
      </c>
      <c r="G971" s="11" t="str">
        <f t="shared" si="62"/>
        <v>('28Nov240101','040000106302','0',(select max(to_number(i.premium_rcv_detail_code))+1
from ins_premium_det i),'0','0','02', '11000003','00','Request by Mr. Omair Ali 29-Nov-2024');</v>
      </c>
      <c r="H971" s="12" t="str">
        <f t="shared" si="63"/>
        <v>insert into ins_premium_det (premium_rcv_code,assorted_code, rec_amount,premium_rcv_detail_code,remaining_amt, payrec, mode_code,coinsurance_code,class_cd,it_remarks) values('28Nov240101','040000106302','0',(select max(to_number(i.premium_rcv_detail_code))+1
from ins_premium_det i),'0','0','02', '11000003','00','Request by Mr. Omair Ali 29-Nov-2024');</v>
      </c>
    </row>
    <row r="972" spans="1:8" ht="105" x14ac:dyDescent="0.25">
      <c r="A972" t="s">
        <v>972</v>
      </c>
      <c r="B972" s="8" t="str">
        <f>VLOOKUP(A972,assortedcode!B:C,2,0)</f>
        <v>040000169116</v>
      </c>
      <c r="C972" s="1">
        <v>0</v>
      </c>
      <c r="D972" s="9">
        <f t="shared" si="61"/>
        <v>0</v>
      </c>
      <c r="E972" s="7" t="s">
        <v>8345</v>
      </c>
      <c r="F972" s="10" t="str">
        <f t="shared" si="60"/>
        <v>insert into ins_premium_det (premium_rcv_code,assorted_code, rec_amount,premium_rcv_detail_code,remaining_amt, payrec, mode_code,coinsurance_code,class_cd,it_remarks) values</v>
      </c>
      <c r="G972" s="11" t="str">
        <f t="shared" si="62"/>
        <v>('28Nov240101','040000169116','0',(select max(to_number(i.premium_rcv_detail_code))+1
from ins_premium_det i),'0','0','02', '11000003','00','Request by Mr. Omair Ali 29-Nov-2024');</v>
      </c>
      <c r="H972" s="12" t="str">
        <f t="shared" si="63"/>
        <v>insert into ins_premium_det (premium_rcv_code,assorted_code, rec_amount,premium_rcv_detail_code,remaining_amt, payrec, mode_code,coinsurance_code,class_cd,it_remarks) values('28Nov240101','040000169116','0',(select max(to_number(i.premium_rcv_detail_code))+1
from ins_premium_det i),'0','0','02', '11000003','00','Request by Mr. Omair Ali 29-Nov-2024');</v>
      </c>
    </row>
    <row r="973" spans="1:8" ht="105" x14ac:dyDescent="0.25">
      <c r="A973" t="s">
        <v>973</v>
      </c>
      <c r="B973" s="8" t="str">
        <f>VLOOKUP(A973,assortedcode!B:C,2,0)</f>
        <v>040000106339</v>
      </c>
      <c r="C973" s="1">
        <v>0</v>
      </c>
      <c r="D973" s="9">
        <f t="shared" si="61"/>
        <v>0</v>
      </c>
      <c r="E973" s="7" t="s">
        <v>8345</v>
      </c>
      <c r="F973" s="10" t="str">
        <f t="shared" si="60"/>
        <v>insert into ins_premium_det (premium_rcv_code,assorted_code, rec_amount,premium_rcv_detail_code,remaining_amt, payrec, mode_code,coinsurance_code,class_cd,it_remarks) values</v>
      </c>
      <c r="G973" s="11" t="str">
        <f t="shared" si="62"/>
        <v>('28Nov240101','040000106339','0',(select max(to_number(i.premium_rcv_detail_code))+1
from ins_premium_det i),'0','0','02', '11000003','00','Request by Mr. Omair Ali 29-Nov-2024');</v>
      </c>
      <c r="H973" s="12" t="str">
        <f t="shared" si="63"/>
        <v>insert into ins_premium_det (premium_rcv_code,assorted_code, rec_amount,premium_rcv_detail_code,remaining_amt, payrec, mode_code,coinsurance_code,class_cd,it_remarks) values('28Nov240101','040000106339','0',(select max(to_number(i.premium_rcv_detail_code))+1
from ins_premium_det i),'0','0','02', '11000003','00','Request by Mr. Omair Ali 29-Nov-2024');</v>
      </c>
    </row>
    <row r="974" spans="1:8" ht="105" x14ac:dyDescent="0.25">
      <c r="A974" t="s">
        <v>974</v>
      </c>
      <c r="B974" s="8" t="str">
        <f>VLOOKUP(A974,assortedcode!B:C,2,0)</f>
        <v>040000170061</v>
      </c>
      <c r="C974" s="1">
        <v>0</v>
      </c>
      <c r="D974" s="9">
        <f t="shared" si="61"/>
        <v>0</v>
      </c>
      <c r="E974" s="7" t="s">
        <v>8345</v>
      </c>
      <c r="F974" s="10" t="str">
        <f t="shared" si="60"/>
        <v>insert into ins_premium_det (premium_rcv_code,assorted_code, rec_amount,premium_rcv_detail_code,remaining_amt, payrec, mode_code,coinsurance_code,class_cd,it_remarks) values</v>
      </c>
      <c r="G974" s="11" t="str">
        <f t="shared" si="62"/>
        <v>('28Nov240101','040000170061','0',(select max(to_number(i.premium_rcv_detail_code))+1
from ins_premium_det i),'0','0','02', '11000003','00','Request by Mr. Omair Ali 29-Nov-2024');</v>
      </c>
      <c r="H974" s="12" t="str">
        <f t="shared" si="63"/>
        <v>insert into ins_premium_det (premium_rcv_code,assorted_code, rec_amount,premium_rcv_detail_code,remaining_amt, payrec, mode_code,coinsurance_code,class_cd,it_remarks) values('28Nov240101','040000170061','0',(select max(to_number(i.premium_rcv_detail_code))+1
from ins_premium_det i),'0','0','02', '11000003','00','Request by Mr. Omair Ali 29-Nov-2024');</v>
      </c>
    </row>
    <row r="975" spans="1:8" ht="105" x14ac:dyDescent="0.25">
      <c r="A975" t="s">
        <v>975</v>
      </c>
      <c r="B975" s="8" t="str">
        <f>VLOOKUP(A975,assortedcode!B:C,2,0)</f>
        <v>040000106542</v>
      </c>
      <c r="C975" s="1">
        <v>0</v>
      </c>
      <c r="D975" s="9">
        <f t="shared" si="61"/>
        <v>0</v>
      </c>
      <c r="E975" s="7" t="s">
        <v>8345</v>
      </c>
      <c r="F975" s="10" t="str">
        <f t="shared" si="60"/>
        <v>insert into ins_premium_det (premium_rcv_code,assorted_code, rec_amount,premium_rcv_detail_code,remaining_amt, payrec, mode_code,coinsurance_code,class_cd,it_remarks) values</v>
      </c>
      <c r="G975" s="11" t="str">
        <f t="shared" si="62"/>
        <v>('28Nov240101','040000106542','0',(select max(to_number(i.premium_rcv_detail_code))+1
from ins_premium_det i),'0','0','02', '11000003','00','Request by Mr. Omair Ali 29-Nov-2024');</v>
      </c>
      <c r="H975" s="12" t="str">
        <f t="shared" si="63"/>
        <v>insert into ins_premium_det (premium_rcv_code,assorted_code, rec_amount,premium_rcv_detail_code,remaining_amt, payrec, mode_code,coinsurance_code,class_cd,it_remarks) values('28Nov240101','040000106542','0',(select max(to_number(i.premium_rcv_detail_code))+1
from ins_premium_det i),'0','0','02', '11000003','00','Request by Mr. Omair Ali 29-Nov-2024');</v>
      </c>
    </row>
    <row r="976" spans="1:8" ht="105" x14ac:dyDescent="0.25">
      <c r="A976" t="s">
        <v>976</v>
      </c>
      <c r="B976" s="8" t="str">
        <f>VLOOKUP(A976,assortedcode!B:C,2,0)</f>
        <v>040000176410</v>
      </c>
      <c r="C976" s="1">
        <v>0</v>
      </c>
      <c r="D976" s="9">
        <f t="shared" si="61"/>
        <v>0</v>
      </c>
      <c r="E976" s="7" t="s">
        <v>8345</v>
      </c>
      <c r="F976" s="10" t="str">
        <f t="shared" si="60"/>
        <v>insert into ins_premium_det (premium_rcv_code,assorted_code, rec_amount,premium_rcv_detail_code,remaining_amt, payrec, mode_code,coinsurance_code,class_cd,it_remarks) values</v>
      </c>
      <c r="G976" s="11" t="str">
        <f t="shared" si="62"/>
        <v>('28Nov240101','040000176410','0',(select max(to_number(i.premium_rcv_detail_code))+1
from ins_premium_det i),'0','0','02', '11000003','00','Request by Mr. Omair Ali 29-Nov-2024');</v>
      </c>
      <c r="H976" s="12" t="str">
        <f t="shared" si="63"/>
        <v>insert into ins_premium_det (premium_rcv_code,assorted_code, rec_amount,premium_rcv_detail_code,remaining_amt, payrec, mode_code,coinsurance_code,class_cd,it_remarks) values('28Nov240101','040000176410','0',(select max(to_number(i.premium_rcv_detail_code))+1
from ins_premium_det i),'0','0','02', '11000003','00','Request by Mr. Omair Ali 29-Nov-2024');</v>
      </c>
    </row>
    <row r="977" spans="1:8" ht="105" x14ac:dyDescent="0.25">
      <c r="A977" t="s">
        <v>977</v>
      </c>
      <c r="B977" s="8" t="str">
        <f>VLOOKUP(A977,assortedcode!B:C,2,0)</f>
        <v>040000108297</v>
      </c>
      <c r="C977" s="1">
        <v>0</v>
      </c>
      <c r="D977" s="9">
        <f t="shared" si="61"/>
        <v>0</v>
      </c>
      <c r="E977" s="7" t="s">
        <v>8345</v>
      </c>
      <c r="F977" s="10" t="str">
        <f t="shared" si="60"/>
        <v>insert into ins_premium_det (premium_rcv_code,assorted_code, rec_amount,premium_rcv_detail_code,remaining_amt, payrec, mode_code,coinsurance_code,class_cd,it_remarks) values</v>
      </c>
      <c r="G977" s="11" t="str">
        <f t="shared" si="62"/>
        <v>('28Nov240101','040000108297','0',(select max(to_number(i.premium_rcv_detail_code))+1
from ins_premium_det i),'0','0','02', '11000003','00','Request by Mr. Omair Ali 29-Nov-2024');</v>
      </c>
      <c r="H977" s="12" t="str">
        <f t="shared" si="63"/>
        <v>insert into ins_premium_det (premium_rcv_code,assorted_code, rec_amount,premium_rcv_detail_code,remaining_amt, payrec, mode_code,coinsurance_code,class_cd,it_remarks) values('28Nov240101','040000108297','0',(select max(to_number(i.premium_rcv_detail_code))+1
from ins_premium_det i),'0','0','02', '11000003','00','Request by Mr. Omair Ali 29-Nov-2024');</v>
      </c>
    </row>
    <row r="978" spans="1:8" ht="105" x14ac:dyDescent="0.25">
      <c r="A978" t="s">
        <v>978</v>
      </c>
      <c r="B978" s="8" t="str">
        <f>VLOOKUP(A978,assortedcode!B:C,2,0)</f>
        <v>040000176568</v>
      </c>
      <c r="C978" s="1">
        <v>0</v>
      </c>
      <c r="D978" s="9">
        <f t="shared" si="61"/>
        <v>0</v>
      </c>
      <c r="E978" s="7" t="s">
        <v>8345</v>
      </c>
      <c r="F978" s="10" t="str">
        <f t="shared" si="60"/>
        <v>insert into ins_premium_det (premium_rcv_code,assorted_code, rec_amount,premium_rcv_detail_code,remaining_amt, payrec, mode_code,coinsurance_code,class_cd,it_remarks) values</v>
      </c>
      <c r="G978" s="11" t="str">
        <f t="shared" si="62"/>
        <v>('28Nov240101','040000176568','0',(select max(to_number(i.premium_rcv_detail_code))+1
from ins_premium_det i),'0','0','02', '11000003','00','Request by Mr. Omair Ali 29-Nov-2024');</v>
      </c>
      <c r="H978" s="12" t="str">
        <f t="shared" si="63"/>
        <v>insert into ins_premium_det (premium_rcv_code,assorted_code, rec_amount,premium_rcv_detail_code,remaining_amt, payrec, mode_code,coinsurance_code,class_cd,it_remarks) values('28Nov240101','040000176568','0',(select max(to_number(i.premium_rcv_detail_code))+1
from ins_premium_det i),'0','0','02', '11000003','00','Request by Mr. Omair Ali 29-Nov-2024');</v>
      </c>
    </row>
    <row r="979" spans="1:8" ht="105" x14ac:dyDescent="0.25">
      <c r="A979" t="s">
        <v>979</v>
      </c>
      <c r="B979" s="8" t="str">
        <f>VLOOKUP(A979,assortedcode!B:C,2,0)</f>
        <v>040000108921</v>
      </c>
      <c r="C979" s="1">
        <v>0</v>
      </c>
      <c r="D979" s="9">
        <f t="shared" si="61"/>
        <v>0</v>
      </c>
      <c r="E979" s="7" t="s">
        <v>8345</v>
      </c>
      <c r="F979" s="10" t="str">
        <f t="shared" si="60"/>
        <v>insert into ins_premium_det (premium_rcv_code,assorted_code, rec_amount,premium_rcv_detail_code,remaining_amt, payrec, mode_code,coinsurance_code,class_cd,it_remarks) values</v>
      </c>
      <c r="G979" s="11" t="str">
        <f t="shared" si="62"/>
        <v>('28Nov240101','040000108921','0',(select max(to_number(i.premium_rcv_detail_code))+1
from ins_premium_det i),'0','0','02', '11000003','00','Request by Mr. Omair Ali 29-Nov-2024');</v>
      </c>
      <c r="H979" s="12" t="str">
        <f t="shared" si="63"/>
        <v>insert into ins_premium_det (premium_rcv_code,assorted_code, rec_amount,premium_rcv_detail_code,remaining_amt, payrec, mode_code,coinsurance_code,class_cd,it_remarks) values('28Nov240101','040000108921','0',(select max(to_number(i.premium_rcv_detail_code))+1
from ins_premium_det i),'0','0','02', '11000003','00','Request by Mr. Omair Ali 29-Nov-2024');</v>
      </c>
    </row>
    <row r="980" spans="1:8" ht="105" x14ac:dyDescent="0.25">
      <c r="A980" t="s">
        <v>980</v>
      </c>
      <c r="B980" s="8" t="str">
        <f>VLOOKUP(A980,assortedcode!B:C,2,0)</f>
        <v>040000177853</v>
      </c>
      <c r="C980" s="1">
        <v>0</v>
      </c>
      <c r="D980" s="9">
        <f t="shared" si="61"/>
        <v>0</v>
      </c>
      <c r="E980" s="7" t="s">
        <v>8345</v>
      </c>
      <c r="F980" s="10" t="str">
        <f t="shared" si="60"/>
        <v>insert into ins_premium_det (premium_rcv_code,assorted_code, rec_amount,premium_rcv_detail_code,remaining_amt, payrec, mode_code,coinsurance_code,class_cd,it_remarks) values</v>
      </c>
      <c r="G980" s="11" t="str">
        <f t="shared" si="62"/>
        <v>('28Nov240101','040000177853','0',(select max(to_number(i.premium_rcv_detail_code))+1
from ins_premium_det i),'0','0','02', '11000003','00','Request by Mr. Omair Ali 29-Nov-2024');</v>
      </c>
      <c r="H980" s="12" t="str">
        <f t="shared" si="63"/>
        <v>insert into ins_premium_det (premium_rcv_code,assorted_code, rec_amount,premium_rcv_detail_code,remaining_amt, payrec, mode_code,coinsurance_code,class_cd,it_remarks) values('28Nov240101','040000177853','0',(select max(to_number(i.premium_rcv_detail_code))+1
from ins_premium_det i),'0','0','02', '11000003','00','Request by Mr. Omair Ali 29-Nov-2024');</v>
      </c>
    </row>
    <row r="981" spans="1:8" ht="105" x14ac:dyDescent="0.25">
      <c r="A981" t="s">
        <v>981</v>
      </c>
      <c r="B981" s="8" t="str">
        <f>VLOOKUP(A981,assortedcode!B:C,2,0)</f>
        <v>040000109076</v>
      </c>
      <c r="C981" s="1">
        <v>0</v>
      </c>
      <c r="D981" s="9">
        <f t="shared" si="61"/>
        <v>0</v>
      </c>
      <c r="E981" s="7" t="s">
        <v>8345</v>
      </c>
      <c r="F981" s="10" t="str">
        <f t="shared" si="60"/>
        <v>insert into ins_premium_det (premium_rcv_code,assorted_code, rec_amount,premium_rcv_detail_code,remaining_amt, payrec, mode_code,coinsurance_code,class_cd,it_remarks) values</v>
      </c>
      <c r="G981" s="11" t="str">
        <f t="shared" si="62"/>
        <v>('28Nov240101','040000109076','0',(select max(to_number(i.premium_rcv_detail_code))+1
from ins_premium_det i),'0','0','02', '11000003','00','Request by Mr. Omair Ali 29-Nov-2024');</v>
      </c>
      <c r="H981" s="12" t="str">
        <f t="shared" si="63"/>
        <v>insert into ins_premium_det (premium_rcv_code,assorted_code, rec_amount,premium_rcv_detail_code,remaining_amt, payrec, mode_code,coinsurance_code,class_cd,it_remarks) values('28Nov240101','040000109076','0',(select max(to_number(i.premium_rcv_detail_code))+1
from ins_premium_det i),'0','0','02', '11000003','00','Request by Mr. Omair Ali 29-Nov-2024');</v>
      </c>
    </row>
    <row r="982" spans="1:8" ht="105" x14ac:dyDescent="0.25">
      <c r="A982" t="s">
        <v>982</v>
      </c>
      <c r="B982" s="8" t="str">
        <f>VLOOKUP(A982,assortedcode!B:C,2,0)</f>
        <v>040000177967</v>
      </c>
      <c r="C982" s="1">
        <v>0</v>
      </c>
      <c r="D982" s="9">
        <f t="shared" si="61"/>
        <v>0</v>
      </c>
      <c r="E982" s="7" t="s">
        <v>8345</v>
      </c>
      <c r="F982" s="10" t="str">
        <f t="shared" si="60"/>
        <v>insert into ins_premium_det (premium_rcv_code,assorted_code, rec_amount,premium_rcv_detail_code,remaining_amt, payrec, mode_code,coinsurance_code,class_cd,it_remarks) values</v>
      </c>
      <c r="G982" s="11" t="str">
        <f t="shared" si="62"/>
        <v>('28Nov240101','040000177967','0',(select max(to_number(i.premium_rcv_detail_code))+1
from ins_premium_det i),'0','0','02', '11000003','00','Request by Mr. Omair Ali 29-Nov-2024');</v>
      </c>
      <c r="H982" s="12" t="str">
        <f t="shared" si="63"/>
        <v>insert into ins_premium_det (premium_rcv_code,assorted_code, rec_amount,premium_rcv_detail_code,remaining_amt, payrec, mode_code,coinsurance_code,class_cd,it_remarks) values('28Nov240101','040000177967','0',(select max(to_number(i.premium_rcv_detail_code))+1
from ins_premium_det i),'0','0','02', '11000003','00','Request by Mr. Omair Ali 29-Nov-2024');</v>
      </c>
    </row>
    <row r="983" spans="1:8" ht="105" x14ac:dyDescent="0.25">
      <c r="A983" t="s">
        <v>983</v>
      </c>
      <c r="B983" s="8" t="str">
        <f>VLOOKUP(A983,assortedcode!B:C,2,0)</f>
        <v>040000109999</v>
      </c>
      <c r="C983" s="1">
        <v>0</v>
      </c>
      <c r="D983" s="9">
        <f t="shared" si="61"/>
        <v>0</v>
      </c>
      <c r="E983" s="7" t="s">
        <v>8345</v>
      </c>
      <c r="F983" s="10" t="str">
        <f t="shared" si="60"/>
        <v>insert into ins_premium_det (premium_rcv_code,assorted_code, rec_amount,premium_rcv_detail_code,remaining_amt, payrec, mode_code,coinsurance_code,class_cd,it_remarks) values</v>
      </c>
      <c r="G983" s="11" t="str">
        <f t="shared" si="62"/>
        <v>('28Nov240101','040000109999','0',(select max(to_number(i.premium_rcv_detail_code))+1
from ins_premium_det i),'0','0','02', '11000003','00','Request by Mr. Omair Ali 29-Nov-2024');</v>
      </c>
      <c r="H983" s="12" t="str">
        <f t="shared" si="63"/>
        <v>insert into ins_premium_det (premium_rcv_code,assorted_code, rec_amount,premium_rcv_detail_code,remaining_amt, payrec, mode_code,coinsurance_code,class_cd,it_remarks) values('28Nov240101','040000109999','0',(select max(to_number(i.premium_rcv_detail_code))+1
from ins_premium_det i),'0','0','02', '11000003','00','Request by Mr. Omair Ali 29-Nov-2024');</v>
      </c>
    </row>
    <row r="984" spans="1:8" ht="105" x14ac:dyDescent="0.25">
      <c r="A984" t="s">
        <v>984</v>
      </c>
      <c r="B984" s="8" t="str">
        <f>VLOOKUP(A984,assortedcode!B:C,2,0)</f>
        <v>040000184227</v>
      </c>
      <c r="C984" s="1">
        <v>0</v>
      </c>
      <c r="D984" s="9">
        <f t="shared" si="61"/>
        <v>0</v>
      </c>
      <c r="E984" s="7" t="s">
        <v>8345</v>
      </c>
      <c r="F984" s="10" t="str">
        <f t="shared" si="60"/>
        <v>insert into ins_premium_det (premium_rcv_code,assorted_code, rec_amount,premium_rcv_detail_code,remaining_amt, payrec, mode_code,coinsurance_code,class_cd,it_remarks) values</v>
      </c>
      <c r="G984" s="11" t="str">
        <f t="shared" si="62"/>
        <v>('28Nov240101','040000184227','0',(select max(to_number(i.premium_rcv_detail_code))+1
from ins_premium_det i),'0','0','02', '11000003','00','Request by Mr. Omair Ali 29-Nov-2024');</v>
      </c>
      <c r="H984" s="12" t="str">
        <f t="shared" si="63"/>
        <v>insert into ins_premium_det (premium_rcv_code,assorted_code, rec_amount,premium_rcv_detail_code,remaining_amt, payrec, mode_code,coinsurance_code,class_cd,it_remarks) values('28Nov240101','040000184227','0',(select max(to_number(i.premium_rcv_detail_code))+1
from ins_premium_det i),'0','0','02', '11000003','00','Request by Mr. Omair Ali 29-Nov-2024');</v>
      </c>
    </row>
    <row r="985" spans="1:8" ht="105" x14ac:dyDescent="0.25">
      <c r="A985" t="s">
        <v>985</v>
      </c>
      <c r="B985" s="8" t="str">
        <f>VLOOKUP(A985,assortedcode!B:C,2,0)</f>
        <v>040000110039</v>
      </c>
      <c r="C985" s="1">
        <v>0</v>
      </c>
      <c r="D985" s="9">
        <f t="shared" si="61"/>
        <v>0</v>
      </c>
      <c r="E985" s="7" t="s">
        <v>8345</v>
      </c>
      <c r="F985" s="10" t="str">
        <f t="shared" si="60"/>
        <v>insert into ins_premium_det (premium_rcv_code,assorted_code, rec_amount,premium_rcv_detail_code,remaining_amt, payrec, mode_code,coinsurance_code,class_cd,it_remarks) values</v>
      </c>
      <c r="G985" s="11" t="str">
        <f t="shared" si="62"/>
        <v>('28Nov240101','040000110039','0',(select max(to_number(i.premium_rcv_detail_code))+1
from ins_premium_det i),'0','0','02', '11000003','00','Request by Mr. Omair Ali 29-Nov-2024');</v>
      </c>
      <c r="H985" s="12" t="str">
        <f t="shared" si="63"/>
        <v>insert into ins_premium_det (premium_rcv_code,assorted_code, rec_amount,premium_rcv_detail_code,remaining_amt, payrec, mode_code,coinsurance_code,class_cd,it_remarks) values('28Nov240101','040000110039','0',(select max(to_number(i.premium_rcv_detail_code))+1
from ins_premium_det i),'0','0','02', '11000003','00','Request by Mr. Omair Ali 29-Nov-2024');</v>
      </c>
    </row>
    <row r="986" spans="1:8" ht="105" x14ac:dyDescent="0.25">
      <c r="A986" t="s">
        <v>986</v>
      </c>
      <c r="B986" s="8" t="str">
        <f>VLOOKUP(A986,assortedcode!B:C,2,0)</f>
        <v>040000133378</v>
      </c>
      <c r="C986" s="1">
        <v>0</v>
      </c>
      <c r="D986" s="9">
        <f t="shared" si="61"/>
        <v>0</v>
      </c>
      <c r="E986" s="7" t="s">
        <v>8345</v>
      </c>
      <c r="F986" s="10" t="str">
        <f t="shared" si="60"/>
        <v>insert into ins_premium_det (premium_rcv_code,assorted_code, rec_amount,premium_rcv_detail_code,remaining_amt, payrec, mode_code,coinsurance_code,class_cd,it_remarks) values</v>
      </c>
      <c r="G986" s="11" t="str">
        <f t="shared" si="62"/>
        <v>('28Nov240101','040000133378','0',(select max(to_number(i.premium_rcv_detail_code))+1
from ins_premium_det i),'0','0','02', '11000003','00','Request by Mr. Omair Ali 29-Nov-2024');</v>
      </c>
      <c r="H986" s="12" t="str">
        <f t="shared" si="63"/>
        <v>insert into ins_premium_det (premium_rcv_code,assorted_code, rec_amount,premium_rcv_detail_code,remaining_amt, payrec, mode_code,coinsurance_code,class_cd,it_remarks) values('28Nov240101','040000133378','0',(select max(to_number(i.premium_rcv_detail_code))+1
from ins_premium_det i),'0','0','02', '11000003','00','Request by Mr. Omair Ali 29-Nov-2024');</v>
      </c>
    </row>
    <row r="987" spans="1:8" ht="105" x14ac:dyDescent="0.25">
      <c r="A987" t="s">
        <v>987</v>
      </c>
      <c r="B987" s="8" t="str">
        <f>VLOOKUP(A987,assortedcode!B:C,2,0)</f>
        <v>040000110708</v>
      </c>
      <c r="C987" s="1">
        <v>0</v>
      </c>
      <c r="D987" s="9">
        <f t="shared" si="61"/>
        <v>0</v>
      </c>
      <c r="E987" s="7" t="s">
        <v>8345</v>
      </c>
      <c r="F987" s="10" t="str">
        <f t="shared" si="60"/>
        <v>insert into ins_premium_det (premium_rcv_code,assorted_code, rec_amount,premium_rcv_detail_code,remaining_amt, payrec, mode_code,coinsurance_code,class_cd,it_remarks) values</v>
      </c>
      <c r="G987" s="11" t="str">
        <f t="shared" si="62"/>
        <v>('28Nov240101','040000110708','0',(select max(to_number(i.premium_rcv_detail_code))+1
from ins_premium_det i),'0','0','02', '11000003','00','Request by Mr. Omair Ali 29-Nov-2024');</v>
      </c>
      <c r="H987" s="12" t="str">
        <f t="shared" si="63"/>
        <v>insert into ins_premium_det (premium_rcv_code,assorted_code, rec_amount,premium_rcv_detail_code,remaining_amt, payrec, mode_code,coinsurance_code,class_cd,it_remarks) values('28Nov240101','040000110708','0',(select max(to_number(i.premium_rcv_detail_code))+1
from ins_premium_det i),'0','0','02', '11000003','00','Request by Mr. Omair Ali 29-Nov-2024');</v>
      </c>
    </row>
    <row r="988" spans="1:8" ht="105" x14ac:dyDescent="0.25">
      <c r="A988" t="s">
        <v>988</v>
      </c>
      <c r="B988" s="8" t="str">
        <f>VLOOKUP(A988,assortedcode!B:C,2,0)</f>
        <v>040000109092</v>
      </c>
      <c r="C988" s="1">
        <v>0</v>
      </c>
      <c r="D988" s="9">
        <f t="shared" si="61"/>
        <v>0</v>
      </c>
      <c r="E988" s="7" t="s">
        <v>8345</v>
      </c>
      <c r="F988" s="10" t="str">
        <f t="shared" si="60"/>
        <v>insert into ins_premium_det (premium_rcv_code,assorted_code, rec_amount,premium_rcv_detail_code,remaining_amt, payrec, mode_code,coinsurance_code,class_cd,it_remarks) values</v>
      </c>
      <c r="G988" s="11" t="str">
        <f t="shared" si="62"/>
        <v>('28Nov240101','040000109092','0',(select max(to_number(i.premium_rcv_detail_code))+1
from ins_premium_det i),'0','0','02', '11000003','00','Request by Mr. Omair Ali 29-Nov-2024');</v>
      </c>
      <c r="H988" s="12" t="str">
        <f t="shared" si="63"/>
        <v>insert into ins_premium_det (premium_rcv_code,assorted_code, rec_amount,premium_rcv_detail_code,remaining_amt, payrec, mode_code,coinsurance_code,class_cd,it_remarks) values('28Nov240101','040000109092','0',(select max(to_number(i.premium_rcv_detail_code))+1
from ins_premium_det i),'0','0','02', '11000003','00','Request by Mr. Omair Ali 29-Nov-2024');</v>
      </c>
    </row>
    <row r="989" spans="1:8" ht="105" x14ac:dyDescent="0.25">
      <c r="A989" t="s">
        <v>989</v>
      </c>
      <c r="B989" s="8" t="str">
        <f>VLOOKUP(A989,assortedcode!B:C,2,0)</f>
        <v>040000110710</v>
      </c>
      <c r="C989" s="1">
        <v>0</v>
      </c>
      <c r="D989" s="9">
        <f t="shared" si="61"/>
        <v>0</v>
      </c>
      <c r="E989" s="7" t="s">
        <v>8345</v>
      </c>
      <c r="F989" s="10" t="str">
        <f t="shared" si="60"/>
        <v>insert into ins_premium_det (premium_rcv_code,assorted_code, rec_amount,premium_rcv_detail_code,remaining_amt, payrec, mode_code,coinsurance_code,class_cd,it_remarks) values</v>
      </c>
      <c r="G989" s="11" t="str">
        <f t="shared" si="62"/>
        <v>('28Nov240101','040000110710','0',(select max(to_number(i.premium_rcv_detail_code))+1
from ins_premium_det i),'0','0','02', '11000003','00','Request by Mr. Omair Ali 29-Nov-2024');</v>
      </c>
      <c r="H989" s="12" t="str">
        <f t="shared" si="63"/>
        <v>insert into ins_premium_det (premium_rcv_code,assorted_code, rec_amount,premium_rcv_detail_code,remaining_amt, payrec, mode_code,coinsurance_code,class_cd,it_remarks) values('28Nov240101','040000110710','0',(select max(to_number(i.premium_rcv_detail_code))+1
from ins_premium_det i),'0','0','02', '11000003','00','Request by Mr. Omair Ali 29-Nov-2024');</v>
      </c>
    </row>
    <row r="990" spans="1:8" ht="105" x14ac:dyDescent="0.25">
      <c r="A990" t="s">
        <v>990</v>
      </c>
      <c r="B990" s="8" t="str">
        <f>VLOOKUP(A990,assortedcode!B:C,2,0)</f>
        <v>040000112301</v>
      </c>
      <c r="C990" s="1">
        <v>0</v>
      </c>
      <c r="D990" s="9">
        <f t="shared" si="61"/>
        <v>0</v>
      </c>
      <c r="E990" s="7" t="s">
        <v>8345</v>
      </c>
      <c r="F990" s="10" t="str">
        <f t="shared" si="60"/>
        <v>insert into ins_premium_det (premium_rcv_code,assorted_code, rec_amount,premium_rcv_detail_code,remaining_amt, payrec, mode_code,coinsurance_code,class_cd,it_remarks) values</v>
      </c>
      <c r="G990" s="11" t="str">
        <f t="shared" si="62"/>
        <v>('28Nov240101','040000112301','0',(select max(to_number(i.premium_rcv_detail_code))+1
from ins_premium_det i),'0','0','02', '11000003','00','Request by Mr. Omair Ali 29-Nov-2024');</v>
      </c>
      <c r="H990" s="12" t="str">
        <f t="shared" si="63"/>
        <v>insert into ins_premium_det (premium_rcv_code,assorted_code, rec_amount,premium_rcv_detail_code,remaining_amt, payrec, mode_code,coinsurance_code,class_cd,it_remarks) values('28Nov240101','040000112301','0',(select max(to_number(i.premium_rcv_detail_code))+1
from ins_premium_det i),'0','0','02', '11000003','00','Request by Mr. Omair Ali 29-Nov-2024');</v>
      </c>
    </row>
    <row r="991" spans="1:8" ht="105" x14ac:dyDescent="0.25">
      <c r="A991" t="s">
        <v>991</v>
      </c>
      <c r="B991" s="8" t="str">
        <f>VLOOKUP(A991,assortedcode!B:C,2,0)</f>
        <v>040000110713</v>
      </c>
      <c r="C991" s="1">
        <v>0</v>
      </c>
      <c r="D991" s="9">
        <f t="shared" si="61"/>
        <v>0</v>
      </c>
      <c r="E991" s="7" t="s">
        <v>8345</v>
      </c>
      <c r="F991" s="10" t="str">
        <f t="shared" si="60"/>
        <v>insert into ins_premium_det (premium_rcv_code,assorted_code, rec_amount,premium_rcv_detail_code,remaining_amt, payrec, mode_code,coinsurance_code,class_cd,it_remarks) values</v>
      </c>
      <c r="G991" s="11" t="str">
        <f t="shared" si="62"/>
        <v>('28Nov240101','040000110713','0',(select max(to_number(i.premium_rcv_detail_code))+1
from ins_premium_det i),'0','0','02', '11000003','00','Request by Mr. Omair Ali 29-Nov-2024');</v>
      </c>
      <c r="H991" s="12" t="str">
        <f t="shared" si="63"/>
        <v>insert into ins_premium_det (premium_rcv_code,assorted_code, rec_amount,premium_rcv_detail_code,remaining_amt, payrec, mode_code,coinsurance_code,class_cd,it_remarks) values('28Nov240101','040000110713','0',(select max(to_number(i.premium_rcv_detail_code))+1
from ins_premium_det i),'0','0','02', '11000003','00','Request by Mr. Omair Ali 29-Nov-2024');</v>
      </c>
    </row>
    <row r="992" spans="1:8" ht="105" x14ac:dyDescent="0.25">
      <c r="A992" t="s">
        <v>992</v>
      </c>
      <c r="B992" s="8" t="str">
        <f>VLOOKUP(A992,assortedcode!B:C,2,0)</f>
        <v>040000114041</v>
      </c>
      <c r="C992" s="1">
        <v>0</v>
      </c>
      <c r="D992" s="9">
        <f t="shared" si="61"/>
        <v>0</v>
      </c>
      <c r="E992" s="7" t="s">
        <v>8345</v>
      </c>
      <c r="F992" s="10" t="str">
        <f t="shared" si="60"/>
        <v>insert into ins_premium_det (premium_rcv_code,assorted_code, rec_amount,premium_rcv_detail_code,remaining_amt, payrec, mode_code,coinsurance_code,class_cd,it_remarks) values</v>
      </c>
      <c r="G992" s="11" t="str">
        <f t="shared" si="62"/>
        <v>('28Nov240101','040000114041','0',(select max(to_number(i.premium_rcv_detail_code))+1
from ins_premium_det i),'0','0','02', '11000003','00','Request by Mr. Omair Ali 29-Nov-2024');</v>
      </c>
      <c r="H992" s="12" t="str">
        <f t="shared" si="63"/>
        <v>insert into ins_premium_det (premium_rcv_code,assorted_code, rec_amount,premium_rcv_detail_code,remaining_amt, payrec, mode_code,coinsurance_code,class_cd,it_remarks) values('28Nov240101','040000114041','0',(select max(to_number(i.premium_rcv_detail_code))+1
from ins_premium_det i),'0','0','02', '11000003','00','Request by Mr. Omair Ali 29-Nov-2024');</v>
      </c>
    </row>
    <row r="993" spans="1:8" ht="105" x14ac:dyDescent="0.25">
      <c r="A993" t="s">
        <v>993</v>
      </c>
      <c r="B993" s="8" t="str">
        <f>VLOOKUP(A993,assortedcode!B:C,2,0)</f>
        <v>040000183458</v>
      </c>
      <c r="C993" s="1">
        <v>0</v>
      </c>
      <c r="D993" s="9">
        <f t="shared" si="61"/>
        <v>0</v>
      </c>
      <c r="E993" s="7" t="s">
        <v>8345</v>
      </c>
      <c r="F993" s="10" t="str">
        <f t="shared" si="60"/>
        <v>insert into ins_premium_det (premium_rcv_code,assorted_code, rec_amount,premium_rcv_detail_code,remaining_amt, payrec, mode_code,coinsurance_code,class_cd,it_remarks) values</v>
      </c>
      <c r="G993" s="11" t="str">
        <f t="shared" si="62"/>
        <v>('28Nov240101','040000183458','0',(select max(to_number(i.premium_rcv_detail_code))+1
from ins_premium_det i),'0','0','02', '11000003','00','Request by Mr. Omair Ali 29-Nov-2024');</v>
      </c>
      <c r="H993" s="12" t="str">
        <f t="shared" si="63"/>
        <v>insert into ins_premium_det (premium_rcv_code,assorted_code, rec_amount,premium_rcv_detail_code,remaining_amt, payrec, mode_code,coinsurance_code,class_cd,it_remarks) values('28Nov240101','040000183458','0',(select max(to_number(i.premium_rcv_detail_code))+1
from ins_premium_det i),'0','0','02', '11000003','00','Request by Mr. Omair Ali 29-Nov-2024');</v>
      </c>
    </row>
    <row r="994" spans="1:8" ht="105" x14ac:dyDescent="0.25">
      <c r="A994" t="s">
        <v>994</v>
      </c>
      <c r="B994" s="8" t="str">
        <f>VLOOKUP(A994,assortedcode!B:C,2,0)</f>
        <v>040000114305</v>
      </c>
      <c r="C994" s="1">
        <v>0</v>
      </c>
      <c r="D994" s="9">
        <f t="shared" si="61"/>
        <v>0</v>
      </c>
      <c r="E994" s="7" t="s">
        <v>8345</v>
      </c>
      <c r="F994" s="10" t="str">
        <f t="shared" si="60"/>
        <v>insert into ins_premium_det (premium_rcv_code,assorted_code, rec_amount,premium_rcv_detail_code,remaining_amt, payrec, mode_code,coinsurance_code,class_cd,it_remarks) values</v>
      </c>
      <c r="G994" s="11" t="str">
        <f t="shared" si="62"/>
        <v>('28Nov240101','040000114305','0',(select max(to_number(i.premium_rcv_detail_code))+1
from ins_premium_det i),'0','0','02', '11000003','00','Request by Mr. Omair Ali 29-Nov-2024');</v>
      </c>
      <c r="H994" s="12" t="str">
        <f t="shared" si="63"/>
        <v>insert into ins_premium_det (premium_rcv_code,assorted_code, rec_amount,premium_rcv_detail_code,remaining_amt, payrec, mode_code,coinsurance_code,class_cd,it_remarks) values('28Nov240101','040000114305','0',(select max(to_number(i.premium_rcv_detail_code))+1
from ins_premium_det i),'0','0','02', '11000003','00','Request by Mr. Omair Ali 29-Nov-2024');</v>
      </c>
    </row>
    <row r="995" spans="1:8" ht="105" x14ac:dyDescent="0.25">
      <c r="A995" t="s">
        <v>995</v>
      </c>
      <c r="B995" s="8" t="str">
        <f>VLOOKUP(A995,assortedcode!B:C,2,0)</f>
        <v>040000115087</v>
      </c>
      <c r="C995" s="1">
        <v>0</v>
      </c>
      <c r="D995" s="9">
        <f t="shared" si="61"/>
        <v>0</v>
      </c>
      <c r="E995" s="7" t="s">
        <v>8345</v>
      </c>
      <c r="F995" s="10" t="str">
        <f t="shared" si="60"/>
        <v>insert into ins_premium_det (premium_rcv_code,assorted_code, rec_amount,premium_rcv_detail_code,remaining_amt, payrec, mode_code,coinsurance_code,class_cd,it_remarks) values</v>
      </c>
      <c r="G995" s="11" t="str">
        <f t="shared" si="62"/>
        <v>('28Nov240101','040000115087','0',(select max(to_number(i.premium_rcv_detail_code))+1
from ins_premium_det i),'0','0','02', '11000003','00','Request by Mr. Omair Ali 29-Nov-2024');</v>
      </c>
      <c r="H995" s="12" t="str">
        <f t="shared" si="63"/>
        <v>insert into ins_premium_det (premium_rcv_code,assorted_code, rec_amount,premium_rcv_detail_code,remaining_amt, payrec, mode_code,coinsurance_code,class_cd,it_remarks) values('28Nov240101','040000115087','0',(select max(to_number(i.premium_rcv_detail_code))+1
from ins_premium_det i),'0','0','02', '11000003','00','Request by Mr. Omair Ali 29-Nov-2024');</v>
      </c>
    </row>
    <row r="996" spans="1:8" ht="105" x14ac:dyDescent="0.25">
      <c r="A996" t="s">
        <v>996</v>
      </c>
      <c r="B996" s="8" t="str">
        <f>VLOOKUP(A996,assortedcode!B:C,2,0)</f>
        <v>040000114359</v>
      </c>
      <c r="C996" s="1">
        <v>0</v>
      </c>
      <c r="D996" s="9">
        <f t="shared" si="61"/>
        <v>0</v>
      </c>
      <c r="E996" s="7" t="s">
        <v>8345</v>
      </c>
      <c r="F996" s="10" t="str">
        <f t="shared" si="60"/>
        <v>insert into ins_premium_det (premium_rcv_code,assorted_code, rec_amount,premium_rcv_detail_code,remaining_amt, payrec, mode_code,coinsurance_code,class_cd,it_remarks) values</v>
      </c>
      <c r="G996" s="11" t="str">
        <f t="shared" si="62"/>
        <v>('28Nov240101','040000114359','0',(select max(to_number(i.premium_rcv_detail_code))+1
from ins_premium_det i),'0','0','02', '11000003','00','Request by Mr. Omair Ali 29-Nov-2024');</v>
      </c>
      <c r="H996" s="12" t="str">
        <f t="shared" si="63"/>
        <v>insert into ins_premium_det (premium_rcv_code,assorted_code, rec_amount,premium_rcv_detail_code,remaining_amt, payrec, mode_code,coinsurance_code,class_cd,it_remarks) values('28Nov240101','040000114359','0',(select max(to_number(i.premium_rcv_detail_code))+1
from ins_premium_det i),'0','0','02', '11000003','00','Request by Mr. Omair Ali 29-Nov-2024');</v>
      </c>
    </row>
    <row r="997" spans="1:8" ht="105" x14ac:dyDescent="0.25">
      <c r="A997" t="s">
        <v>997</v>
      </c>
      <c r="B997" s="8" t="str">
        <f>VLOOKUP(A997,assortedcode!B:C,2,0)</f>
        <v>040000115668</v>
      </c>
      <c r="C997" s="1">
        <v>0</v>
      </c>
      <c r="D997" s="9">
        <f t="shared" si="61"/>
        <v>0</v>
      </c>
      <c r="E997" s="7" t="s">
        <v>8345</v>
      </c>
      <c r="F997" s="10" t="str">
        <f t="shared" si="60"/>
        <v>insert into ins_premium_det (premium_rcv_code,assorted_code, rec_amount,premium_rcv_detail_code,remaining_amt, payrec, mode_code,coinsurance_code,class_cd,it_remarks) values</v>
      </c>
      <c r="G997" s="11" t="str">
        <f t="shared" si="62"/>
        <v>('28Nov240101','040000115668','0',(select max(to_number(i.premium_rcv_detail_code))+1
from ins_premium_det i),'0','0','02', '11000003','00','Request by Mr. Omair Ali 29-Nov-2024');</v>
      </c>
      <c r="H997" s="12" t="str">
        <f t="shared" si="63"/>
        <v>insert into ins_premium_det (premium_rcv_code,assorted_code, rec_amount,premium_rcv_detail_code,remaining_amt, payrec, mode_code,coinsurance_code,class_cd,it_remarks) values('28Nov240101','040000115668','0',(select max(to_number(i.premium_rcv_detail_code))+1
from ins_premium_det i),'0','0','02', '11000003','00','Request by Mr. Omair Ali 29-Nov-2024');</v>
      </c>
    </row>
    <row r="998" spans="1:8" ht="105" x14ac:dyDescent="0.25">
      <c r="A998" t="s">
        <v>998</v>
      </c>
      <c r="B998" s="8" t="str">
        <f>VLOOKUP(A998,assortedcode!B:C,2,0)</f>
        <v>040000114781</v>
      </c>
      <c r="C998" s="1">
        <v>0</v>
      </c>
      <c r="D998" s="9">
        <f t="shared" si="61"/>
        <v>0</v>
      </c>
      <c r="E998" s="7" t="s">
        <v>8345</v>
      </c>
      <c r="F998" s="10" t="str">
        <f t="shared" si="60"/>
        <v>insert into ins_premium_det (premium_rcv_code,assorted_code, rec_amount,premium_rcv_detail_code,remaining_amt, payrec, mode_code,coinsurance_code,class_cd,it_remarks) values</v>
      </c>
      <c r="G998" s="11" t="str">
        <f t="shared" si="62"/>
        <v>('28Nov240101','040000114781','0',(select max(to_number(i.premium_rcv_detail_code))+1
from ins_premium_det i),'0','0','02', '11000003','00','Request by Mr. Omair Ali 29-Nov-2024');</v>
      </c>
      <c r="H998" s="12" t="str">
        <f t="shared" si="63"/>
        <v>insert into ins_premium_det (premium_rcv_code,assorted_code, rec_amount,premium_rcv_detail_code,remaining_amt, payrec, mode_code,coinsurance_code,class_cd,it_remarks) values('28Nov240101','040000114781','0',(select max(to_number(i.premium_rcv_detail_code))+1
from ins_premium_det i),'0','0','02', '11000003','00','Request by Mr. Omair Ali 29-Nov-2024');</v>
      </c>
    </row>
    <row r="999" spans="1:8" ht="105" x14ac:dyDescent="0.25">
      <c r="A999" t="s">
        <v>999</v>
      </c>
      <c r="B999" s="8" t="str">
        <f>VLOOKUP(A999,assortedcode!B:C,2,0)</f>
        <v>040000116263</v>
      </c>
      <c r="C999" s="1">
        <v>0</v>
      </c>
      <c r="D999" s="9">
        <f t="shared" si="61"/>
        <v>0</v>
      </c>
      <c r="E999" s="7" t="s">
        <v>8345</v>
      </c>
      <c r="F999" s="10" t="str">
        <f t="shared" si="60"/>
        <v>insert into ins_premium_det (premium_rcv_code,assorted_code, rec_amount,premium_rcv_detail_code,remaining_amt, payrec, mode_code,coinsurance_code,class_cd,it_remarks) values</v>
      </c>
      <c r="G999" s="11" t="str">
        <f t="shared" si="62"/>
        <v>('28Nov240101','040000116263','0',(select max(to_number(i.premium_rcv_detail_code))+1
from ins_premium_det i),'0','0','02', '11000003','00','Request by Mr. Omair Ali 29-Nov-2024');</v>
      </c>
      <c r="H999" s="12" t="str">
        <f t="shared" si="63"/>
        <v>insert into ins_premium_det (premium_rcv_code,assorted_code, rec_amount,premium_rcv_detail_code,remaining_amt, payrec, mode_code,coinsurance_code,class_cd,it_remarks) values('28Nov240101','040000116263','0',(select max(to_number(i.premium_rcv_detail_code))+1
from ins_premium_det i),'0','0','02', '11000003','00','Request by Mr. Omair Ali 29-Nov-2024');</v>
      </c>
    </row>
    <row r="1000" spans="1:8" ht="105" x14ac:dyDescent="0.25">
      <c r="A1000" t="s">
        <v>1000</v>
      </c>
      <c r="B1000" s="8" t="str">
        <f>VLOOKUP(A1000,assortedcode!B:C,2,0)</f>
        <v>040000117258</v>
      </c>
      <c r="C1000" s="1">
        <v>0</v>
      </c>
      <c r="D1000" s="9">
        <f t="shared" si="61"/>
        <v>0</v>
      </c>
      <c r="E1000" s="7" t="s">
        <v>8345</v>
      </c>
      <c r="F1000" s="10" t="str">
        <f t="shared" si="60"/>
        <v>insert into ins_premium_det (premium_rcv_code,assorted_code, rec_amount,premium_rcv_detail_code,remaining_amt, payrec, mode_code,coinsurance_code,class_cd,it_remarks) values</v>
      </c>
      <c r="G1000" s="11" t="str">
        <f t="shared" si="62"/>
        <v>('28Nov240101','040000117258','0',(select max(to_number(i.premium_rcv_detail_code))+1
from ins_premium_det i),'0','0','02', '11000003','00','Request by Mr. Omair Ali 29-Nov-2024');</v>
      </c>
      <c r="H1000" s="12" t="str">
        <f t="shared" si="63"/>
        <v>insert into ins_premium_det (premium_rcv_code,assorted_code, rec_amount,premium_rcv_detail_code,remaining_amt, payrec, mode_code,coinsurance_code,class_cd,it_remarks) values('28Nov240101','040000117258','0',(select max(to_number(i.premium_rcv_detail_code))+1
from ins_premium_det i),'0','0','02', '11000003','00','Request by Mr. Omair Ali 29-Nov-2024');</v>
      </c>
    </row>
    <row r="1001" spans="1:8" ht="105" x14ac:dyDescent="0.25">
      <c r="A1001" t="s">
        <v>1001</v>
      </c>
      <c r="B1001" s="8" t="str">
        <f>VLOOKUP(A1001,assortedcode!B:C,2,0)</f>
        <v>040000116275</v>
      </c>
      <c r="C1001" s="1">
        <v>0</v>
      </c>
      <c r="D1001" s="9">
        <f t="shared" si="61"/>
        <v>0</v>
      </c>
      <c r="E1001" s="7" t="s">
        <v>8345</v>
      </c>
      <c r="F1001" s="10" t="str">
        <f t="shared" si="60"/>
        <v>insert into ins_premium_det (premium_rcv_code,assorted_code, rec_amount,premium_rcv_detail_code,remaining_amt, payrec, mode_code,coinsurance_code,class_cd,it_remarks) values</v>
      </c>
      <c r="G1001" s="11" t="str">
        <f t="shared" si="62"/>
        <v>('28Nov240101','040000116275','0',(select max(to_number(i.premium_rcv_detail_code))+1
from ins_premium_det i),'0','0','02', '11000003','00','Request by Mr. Omair Ali 29-Nov-2024');</v>
      </c>
      <c r="H1001" s="12" t="str">
        <f t="shared" si="63"/>
        <v>insert into ins_premium_det (premium_rcv_code,assorted_code, rec_amount,premium_rcv_detail_code,remaining_amt, payrec, mode_code,coinsurance_code,class_cd,it_remarks) values('28Nov240101','040000116275','0',(select max(to_number(i.premium_rcv_detail_code))+1
from ins_premium_det i),'0','0','02', '11000003','00','Request by Mr. Omair Ali 29-Nov-2024');</v>
      </c>
    </row>
    <row r="1002" spans="1:8" ht="105" x14ac:dyDescent="0.25">
      <c r="A1002" t="s">
        <v>1002</v>
      </c>
      <c r="B1002" s="8" t="str">
        <f>VLOOKUP(A1002,assortedcode!B:C,2,0)</f>
        <v>040000104699</v>
      </c>
      <c r="C1002" s="1">
        <v>0</v>
      </c>
      <c r="D1002" s="9">
        <f t="shared" si="61"/>
        <v>0</v>
      </c>
      <c r="E1002" s="7" t="s">
        <v>8345</v>
      </c>
      <c r="F1002" s="10" t="str">
        <f t="shared" si="60"/>
        <v>insert into ins_premium_det (premium_rcv_code,assorted_code, rec_amount,premium_rcv_detail_code,remaining_amt, payrec, mode_code,coinsurance_code,class_cd,it_remarks) values</v>
      </c>
      <c r="G1002" s="11" t="str">
        <f t="shared" si="62"/>
        <v>('28Nov240101','040000104699','0',(select max(to_number(i.premium_rcv_detail_code))+1
from ins_premium_det i),'0','0','02', '11000003','00','Request by Mr. Omair Ali 29-Nov-2024');</v>
      </c>
      <c r="H1002" s="12" t="str">
        <f t="shared" si="63"/>
        <v>insert into ins_premium_det (premium_rcv_code,assorted_code, rec_amount,premium_rcv_detail_code,remaining_amt, payrec, mode_code,coinsurance_code,class_cd,it_remarks) values('28Nov240101','040000104699','0',(select max(to_number(i.premium_rcv_detail_code))+1
from ins_premium_det i),'0','0','02', '11000003','00','Request by Mr. Omair Ali 29-Nov-2024');</v>
      </c>
    </row>
    <row r="1003" spans="1:8" ht="105" x14ac:dyDescent="0.25">
      <c r="A1003" t="s">
        <v>1003</v>
      </c>
      <c r="B1003" s="8" t="str">
        <f>VLOOKUP(A1003,assortedcode!B:C,2,0)</f>
        <v>040000116993</v>
      </c>
      <c r="C1003" s="1">
        <v>0</v>
      </c>
      <c r="D1003" s="9">
        <f t="shared" si="61"/>
        <v>0</v>
      </c>
      <c r="E1003" s="7" t="s">
        <v>8345</v>
      </c>
      <c r="F1003" s="10" t="str">
        <f t="shared" si="60"/>
        <v>insert into ins_premium_det (premium_rcv_code,assorted_code, rec_amount,premium_rcv_detail_code,remaining_amt, payrec, mode_code,coinsurance_code,class_cd,it_remarks) values</v>
      </c>
      <c r="G1003" s="11" t="str">
        <f t="shared" si="62"/>
        <v>('28Nov240101','040000116993','0',(select max(to_number(i.premium_rcv_detail_code))+1
from ins_premium_det i),'0','0','02', '11000003','00','Request by Mr. Omair Ali 29-Nov-2024');</v>
      </c>
      <c r="H1003" s="12" t="str">
        <f t="shared" si="63"/>
        <v>insert into ins_premium_det (premium_rcv_code,assorted_code, rec_amount,premium_rcv_detail_code,remaining_amt, payrec, mode_code,coinsurance_code,class_cd,it_remarks) values('28Nov240101','040000116993','0',(select max(to_number(i.premium_rcv_detail_code))+1
from ins_premium_det i),'0','0','02', '11000003','00','Request by Mr. Omair Ali 29-Nov-2024');</v>
      </c>
    </row>
    <row r="1004" spans="1:8" ht="105" x14ac:dyDescent="0.25">
      <c r="A1004" t="s">
        <v>1004</v>
      </c>
      <c r="B1004" s="8" t="str">
        <f>VLOOKUP(A1004,assortedcode!B:C,2,0)</f>
        <v>040000126802</v>
      </c>
      <c r="C1004" s="1">
        <v>0</v>
      </c>
      <c r="D1004" s="9">
        <f t="shared" si="61"/>
        <v>0</v>
      </c>
      <c r="E1004" s="7" t="s">
        <v>8345</v>
      </c>
      <c r="F1004" s="10" t="str">
        <f t="shared" si="60"/>
        <v>insert into ins_premium_det (premium_rcv_code,assorted_code, rec_amount,premium_rcv_detail_code,remaining_amt, payrec, mode_code,coinsurance_code,class_cd,it_remarks) values</v>
      </c>
      <c r="G1004" s="11" t="str">
        <f t="shared" si="62"/>
        <v>('28Nov240101','040000126802','0',(select max(to_number(i.premium_rcv_detail_code))+1
from ins_premium_det i),'0','0','02', '11000003','00','Request by Mr. Omair Ali 29-Nov-2024');</v>
      </c>
      <c r="H1004" s="12" t="str">
        <f t="shared" si="63"/>
        <v>insert into ins_premium_det (premium_rcv_code,assorted_code, rec_amount,premium_rcv_detail_code,remaining_amt, payrec, mode_code,coinsurance_code,class_cd,it_remarks) values('28Nov240101','040000126802','0',(select max(to_number(i.premium_rcv_detail_code))+1
from ins_premium_det i),'0','0','02', '11000003','00','Request by Mr. Omair Ali 29-Nov-2024');</v>
      </c>
    </row>
    <row r="1005" spans="1:8" ht="105" x14ac:dyDescent="0.25">
      <c r="A1005" t="s">
        <v>1005</v>
      </c>
      <c r="B1005" s="8" t="str">
        <f>VLOOKUP(A1005,assortedcode!B:C,2,0)</f>
        <v>040000155291</v>
      </c>
      <c r="C1005" s="1">
        <v>0</v>
      </c>
      <c r="D1005" s="9">
        <f t="shared" si="61"/>
        <v>0</v>
      </c>
      <c r="E1005" s="7" t="s">
        <v>8345</v>
      </c>
      <c r="F1005" s="10" t="str">
        <f t="shared" si="60"/>
        <v>insert into ins_premium_det (premium_rcv_code,assorted_code, rec_amount,premium_rcv_detail_code,remaining_amt, payrec, mode_code,coinsurance_code,class_cd,it_remarks) values</v>
      </c>
      <c r="G1005" s="11" t="str">
        <f t="shared" si="62"/>
        <v>('28Nov240101','040000155291','0',(select max(to_number(i.premium_rcv_detail_code))+1
from ins_premium_det i),'0','0','02', '11000003','00','Request by Mr. Omair Ali 29-Nov-2024');</v>
      </c>
      <c r="H1005" s="12" t="str">
        <f t="shared" si="63"/>
        <v>insert into ins_premium_det (premium_rcv_code,assorted_code, rec_amount,premium_rcv_detail_code,remaining_amt, payrec, mode_code,coinsurance_code,class_cd,it_remarks) values('28Nov240101','040000155291','0',(select max(to_number(i.premium_rcv_detail_code))+1
from ins_premium_det i),'0','0','02', '11000003','00','Request by Mr. Omair Ali 29-Nov-2024');</v>
      </c>
    </row>
    <row r="1006" spans="1:8" ht="105" x14ac:dyDescent="0.25">
      <c r="A1006" t="s">
        <v>1006</v>
      </c>
      <c r="B1006" s="8" t="str">
        <f>VLOOKUP(A1006,assortedcode!B:C,2,0)</f>
        <v>040000122097</v>
      </c>
      <c r="C1006" s="1">
        <v>0</v>
      </c>
      <c r="D1006" s="9">
        <f t="shared" si="61"/>
        <v>0</v>
      </c>
      <c r="E1006" s="7" t="s">
        <v>8345</v>
      </c>
      <c r="F1006" s="10" t="str">
        <f t="shared" si="60"/>
        <v>insert into ins_premium_det (premium_rcv_code,assorted_code, rec_amount,premium_rcv_detail_code,remaining_amt, payrec, mode_code,coinsurance_code,class_cd,it_remarks) values</v>
      </c>
      <c r="G1006" s="11" t="str">
        <f t="shared" si="62"/>
        <v>('28Nov240101','040000122097','0',(select max(to_number(i.premium_rcv_detail_code))+1
from ins_premium_det i),'0','0','02', '11000003','00','Request by Mr. Omair Ali 29-Nov-2024');</v>
      </c>
      <c r="H1006" s="12" t="str">
        <f t="shared" si="63"/>
        <v>insert into ins_premium_det (premium_rcv_code,assorted_code, rec_amount,premium_rcv_detail_code,remaining_amt, payrec, mode_code,coinsurance_code,class_cd,it_remarks) values('28Nov240101','040000122097','0',(select max(to_number(i.premium_rcv_detail_code))+1
from ins_premium_det i),'0','0','02', '11000003','00','Request by Mr. Omair Ali 29-Nov-2024');</v>
      </c>
    </row>
    <row r="1007" spans="1:8" ht="105" x14ac:dyDescent="0.25">
      <c r="A1007" t="s">
        <v>1007</v>
      </c>
      <c r="B1007" s="8" t="str">
        <f>VLOOKUP(A1007,assortedcode!B:C,2,0)</f>
        <v>040000123111</v>
      </c>
      <c r="C1007" s="1">
        <v>0</v>
      </c>
      <c r="D1007" s="9">
        <f t="shared" si="61"/>
        <v>0</v>
      </c>
      <c r="E1007" s="7" t="s">
        <v>8345</v>
      </c>
      <c r="F1007" s="10" t="str">
        <f t="shared" si="60"/>
        <v>insert into ins_premium_det (premium_rcv_code,assorted_code, rec_amount,premium_rcv_detail_code,remaining_amt, payrec, mode_code,coinsurance_code,class_cd,it_remarks) values</v>
      </c>
      <c r="G1007" s="11" t="str">
        <f t="shared" si="62"/>
        <v>('28Nov240101','040000123111','0',(select max(to_number(i.premium_rcv_detail_code))+1
from ins_premium_det i),'0','0','02', '11000003','00','Request by Mr. Omair Ali 29-Nov-2024');</v>
      </c>
      <c r="H1007" s="12" t="str">
        <f t="shared" si="63"/>
        <v>insert into ins_premium_det (premium_rcv_code,assorted_code, rec_amount,premium_rcv_detail_code,remaining_amt, payrec, mode_code,coinsurance_code,class_cd,it_remarks) values('28Nov240101','040000123111','0',(select max(to_number(i.premium_rcv_detail_code))+1
from ins_premium_det i),'0','0','02', '11000003','00','Request by Mr. Omair Ali 29-Nov-2024');</v>
      </c>
    </row>
    <row r="1008" spans="1:8" ht="105" x14ac:dyDescent="0.25">
      <c r="A1008" t="s">
        <v>1008</v>
      </c>
      <c r="B1008" s="8" t="str">
        <f>VLOOKUP(A1008,assortedcode!B:C,2,0)</f>
        <v>040000122099</v>
      </c>
      <c r="C1008" s="1">
        <v>0</v>
      </c>
      <c r="D1008" s="9">
        <f t="shared" si="61"/>
        <v>0</v>
      </c>
      <c r="E1008" s="7" t="s">
        <v>8345</v>
      </c>
      <c r="F1008" s="10" t="str">
        <f t="shared" si="60"/>
        <v>insert into ins_premium_det (premium_rcv_code,assorted_code, rec_amount,premium_rcv_detail_code,remaining_amt, payrec, mode_code,coinsurance_code,class_cd,it_remarks) values</v>
      </c>
      <c r="G1008" s="11" t="str">
        <f t="shared" si="62"/>
        <v>('28Nov240101','040000122099','0',(select max(to_number(i.premium_rcv_detail_code))+1
from ins_premium_det i),'0','0','02', '11000003','00','Request by Mr. Omair Ali 29-Nov-2024');</v>
      </c>
      <c r="H1008" s="12" t="str">
        <f t="shared" si="63"/>
        <v>insert into ins_premium_det (premium_rcv_code,assorted_code, rec_amount,premium_rcv_detail_code,remaining_amt, payrec, mode_code,coinsurance_code,class_cd,it_remarks) values('28Nov240101','040000122099','0',(select max(to_number(i.premium_rcv_detail_code))+1
from ins_premium_det i),'0','0','02', '11000003','00','Request by Mr. Omair Ali 29-Nov-2024');</v>
      </c>
    </row>
    <row r="1009" spans="1:8" ht="105" x14ac:dyDescent="0.25">
      <c r="A1009" t="s">
        <v>1009</v>
      </c>
      <c r="B1009" s="8" t="str">
        <f>VLOOKUP(A1009,assortedcode!B:C,2,0)</f>
        <v>040000123923</v>
      </c>
      <c r="C1009" s="1">
        <v>0</v>
      </c>
      <c r="D1009" s="9">
        <f t="shared" si="61"/>
        <v>0</v>
      </c>
      <c r="E1009" s="7" t="s">
        <v>8345</v>
      </c>
      <c r="F1009" s="10" t="str">
        <f t="shared" si="60"/>
        <v>insert into ins_premium_det (premium_rcv_code,assorted_code, rec_amount,premium_rcv_detail_code,remaining_amt, payrec, mode_code,coinsurance_code,class_cd,it_remarks) values</v>
      </c>
      <c r="G1009" s="11" t="str">
        <f t="shared" si="62"/>
        <v>('28Nov240101','040000123923','0',(select max(to_number(i.premium_rcv_detail_code))+1
from ins_premium_det i),'0','0','02', '11000003','00','Request by Mr. Omair Ali 29-Nov-2024');</v>
      </c>
      <c r="H1009" s="12" t="str">
        <f t="shared" si="63"/>
        <v>insert into ins_premium_det (premium_rcv_code,assorted_code, rec_amount,premium_rcv_detail_code,remaining_amt, payrec, mode_code,coinsurance_code,class_cd,it_remarks) values('28Nov240101','040000123923','0',(select max(to_number(i.premium_rcv_detail_code))+1
from ins_premium_det i),'0','0','02', '11000003','00','Request by Mr. Omair Ali 29-Nov-2024');</v>
      </c>
    </row>
    <row r="1010" spans="1:8" ht="105" x14ac:dyDescent="0.25">
      <c r="A1010" t="s">
        <v>1010</v>
      </c>
      <c r="B1010" s="8" t="str">
        <f>VLOOKUP(A1010,assortedcode!B:C,2,0)</f>
        <v>040000104633</v>
      </c>
      <c r="C1010" s="1">
        <v>0</v>
      </c>
      <c r="D1010" s="9">
        <f t="shared" si="61"/>
        <v>0</v>
      </c>
      <c r="E1010" s="7" t="s">
        <v>8345</v>
      </c>
      <c r="F1010" s="10" t="str">
        <f t="shared" si="60"/>
        <v>insert into ins_premium_det (premium_rcv_code,assorted_code, rec_amount,premium_rcv_detail_code,remaining_amt, payrec, mode_code,coinsurance_code,class_cd,it_remarks) values</v>
      </c>
      <c r="G1010" s="11" t="str">
        <f t="shared" si="62"/>
        <v>('28Nov240101','040000104633','0',(select max(to_number(i.premium_rcv_detail_code))+1
from ins_premium_det i),'0','0','02', '11000003','00','Request by Mr. Omair Ali 29-Nov-2024');</v>
      </c>
      <c r="H1010" s="12" t="str">
        <f t="shared" si="63"/>
        <v>insert into ins_premium_det (premium_rcv_code,assorted_code, rec_amount,premium_rcv_detail_code,remaining_amt, payrec, mode_code,coinsurance_code,class_cd,it_remarks) values('28Nov240101','040000104633','0',(select max(to_number(i.premium_rcv_detail_code))+1
from ins_premium_det i),'0','0','02', '11000003','00','Request by Mr. Omair Ali 29-Nov-2024');</v>
      </c>
    </row>
    <row r="1011" spans="1:8" ht="105" x14ac:dyDescent="0.25">
      <c r="A1011" t="s">
        <v>1011</v>
      </c>
      <c r="B1011" s="8" t="str">
        <f>VLOOKUP(A1011,assortedcode!B:C,2,0)</f>
        <v>040000124741</v>
      </c>
      <c r="C1011" s="1">
        <v>0</v>
      </c>
      <c r="D1011" s="9">
        <f t="shared" si="61"/>
        <v>0</v>
      </c>
      <c r="E1011" s="7" t="s">
        <v>8345</v>
      </c>
      <c r="F1011" s="10" t="str">
        <f t="shared" si="60"/>
        <v>insert into ins_premium_det (premium_rcv_code,assorted_code, rec_amount,premium_rcv_detail_code,remaining_amt, payrec, mode_code,coinsurance_code,class_cd,it_remarks) values</v>
      </c>
      <c r="G1011" s="11" t="str">
        <f t="shared" si="62"/>
        <v>('28Nov240101','040000124741','0',(select max(to_number(i.premium_rcv_detail_code))+1
from ins_premium_det i),'0','0','02', '11000003','00','Request by Mr. Omair Ali 29-Nov-2024');</v>
      </c>
      <c r="H1011" s="12" t="str">
        <f t="shared" si="63"/>
        <v>insert into ins_premium_det (premium_rcv_code,assorted_code, rec_amount,premium_rcv_detail_code,remaining_amt, payrec, mode_code,coinsurance_code,class_cd,it_remarks) values('28Nov240101','040000124741','0',(select max(to_number(i.premium_rcv_detail_code))+1
from ins_premium_det i),'0','0','02', '11000003','00','Request by Mr. Omair Ali 29-Nov-2024');</v>
      </c>
    </row>
    <row r="1012" spans="1:8" ht="105" x14ac:dyDescent="0.25">
      <c r="A1012" t="s">
        <v>1012</v>
      </c>
      <c r="B1012" s="8" t="str">
        <f>VLOOKUP(A1012,assortedcode!B:C,2,0)</f>
        <v>040000148901</v>
      </c>
      <c r="C1012" s="1">
        <v>0</v>
      </c>
      <c r="D1012" s="9">
        <f t="shared" si="61"/>
        <v>0</v>
      </c>
      <c r="E1012" s="7" t="s">
        <v>8345</v>
      </c>
      <c r="F1012" s="10" t="str">
        <f t="shared" si="60"/>
        <v>insert into ins_premium_det (premium_rcv_code,assorted_code, rec_amount,premium_rcv_detail_code,remaining_amt, payrec, mode_code,coinsurance_code,class_cd,it_remarks) values</v>
      </c>
      <c r="G1012" s="11" t="str">
        <f t="shared" si="62"/>
        <v>('28Nov240101','040000148901','0',(select max(to_number(i.premium_rcv_detail_code))+1
from ins_premium_det i),'0','0','02', '11000003','00','Request by Mr. Omair Ali 29-Nov-2024');</v>
      </c>
      <c r="H1012" s="12" t="str">
        <f t="shared" si="63"/>
        <v>insert into ins_premium_det (premium_rcv_code,assorted_code, rec_amount,premium_rcv_detail_code,remaining_amt, payrec, mode_code,coinsurance_code,class_cd,it_remarks) values('28Nov240101','040000148901','0',(select max(to_number(i.premium_rcv_detail_code))+1
from ins_premium_det i),'0','0','02', '11000003','00','Request by Mr. Omair Ali 29-Nov-2024');</v>
      </c>
    </row>
    <row r="1013" spans="1:8" ht="105" x14ac:dyDescent="0.25">
      <c r="A1013" t="s">
        <v>1013</v>
      </c>
      <c r="B1013" s="8" t="str">
        <f>VLOOKUP(A1013,assortedcode!B:C,2,0)</f>
        <v>040000125574</v>
      </c>
      <c r="C1013" s="1">
        <v>0</v>
      </c>
      <c r="D1013" s="9">
        <f t="shared" si="61"/>
        <v>0</v>
      </c>
      <c r="E1013" s="7" t="s">
        <v>8345</v>
      </c>
      <c r="F1013" s="10" t="str">
        <f t="shared" si="60"/>
        <v>insert into ins_premium_det (premium_rcv_code,assorted_code, rec_amount,premium_rcv_detail_code,remaining_amt, payrec, mode_code,coinsurance_code,class_cd,it_remarks) values</v>
      </c>
      <c r="G1013" s="11" t="str">
        <f t="shared" si="62"/>
        <v>('28Nov240101','040000125574','0',(select max(to_number(i.premium_rcv_detail_code))+1
from ins_premium_det i),'0','0','02', '11000003','00','Request by Mr. Omair Ali 29-Nov-2024');</v>
      </c>
      <c r="H1013" s="12" t="str">
        <f t="shared" si="63"/>
        <v>insert into ins_premium_det (premium_rcv_code,assorted_code, rec_amount,premium_rcv_detail_code,remaining_amt, payrec, mode_code,coinsurance_code,class_cd,it_remarks) values('28Nov240101','040000125574','0',(select max(to_number(i.premium_rcv_detail_code))+1
from ins_premium_det i),'0','0','02', '11000003','00','Request by Mr. Omair Ali 29-Nov-2024');</v>
      </c>
    </row>
    <row r="1014" spans="1:8" ht="105" x14ac:dyDescent="0.25">
      <c r="A1014" t="s">
        <v>1014</v>
      </c>
      <c r="B1014" s="8" t="str">
        <f>VLOOKUP(A1014,assortedcode!B:C,2,0)</f>
        <v>040000143917</v>
      </c>
      <c r="C1014" s="1">
        <v>0</v>
      </c>
      <c r="D1014" s="9">
        <f t="shared" si="61"/>
        <v>0</v>
      </c>
      <c r="E1014" s="7" t="s">
        <v>8345</v>
      </c>
      <c r="F1014" s="10" t="str">
        <f t="shared" si="60"/>
        <v>insert into ins_premium_det (premium_rcv_code,assorted_code, rec_amount,premium_rcv_detail_code,remaining_amt, payrec, mode_code,coinsurance_code,class_cd,it_remarks) values</v>
      </c>
      <c r="G1014" s="11" t="str">
        <f t="shared" si="62"/>
        <v>('28Nov240101','040000143917','0',(select max(to_number(i.premium_rcv_detail_code))+1
from ins_premium_det i),'0','0','02', '11000003','00','Request by Mr. Omair Ali 29-Nov-2024');</v>
      </c>
      <c r="H1014" s="12" t="str">
        <f t="shared" si="63"/>
        <v>insert into ins_premium_det (premium_rcv_code,assorted_code, rec_amount,premium_rcv_detail_code,remaining_amt, payrec, mode_code,coinsurance_code,class_cd,it_remarks) values('28Nov240101','040000143917','0',(select max(to_number(i.premium_rcv_detail_code))+1
from ins_premium_det i),'0','0','02', '11000003','00','Request by Mr. Omair Ali 29-Nov-2024');</v>
      </c>
    </row>
    <row r="1015" spans="1:8" ht="105" x14ac:dyDescent="0.25">
      <c r="A1015" t="s">
        <v>1015</v>
      </c>
      <c r="B1015" s="8" t="str">
        <f>VLOOKUP(A1015,assortedcode!B:C,2,0)</f>
        <v>040000125582</v>
      </c>
      <c r="C1015" s="1">
        <v>0</v>
      </c>
      <c r="D1015" s="9">
        <f t="shared" si="61"/>
        <v>0</v>
      </c>
      <c r="E1015" s="7" t="s">
        <v>8345</v>
      </c>
      <c r="F1015" s="10" t="str">
        <f t="shared" si="60"/>
        <v>insert into ins_premium_det (premium_rcv_code,assorted_code, rec_amount,premium_rcv_detail_code,remaining_amt, payrec, mode_code,coinsurance_code,class_cd,it_remarks) values</v>
      </c>
      <c r="G1015" s="11" t="str">
        <f t="shared" si="62"/>
        <v>('28Nov240101','040000125582','0',(select max(to_number(i.premium_rcv_detail_code))+1
from ins_premium_det i),'0','0','02', '11000003','00','Request by Mr. Omair Ali 29-Nov-2024');</v>
      </c>
      <c r="H1015" s="12" t="str">
        <f t="shared" si="63"/>
        <v>insert into ins_premium_det (premium_rcv_code,assorted_code, rec_amount,premium_rcv_detail_code,remaining_amt, payrec, mode_code,coinsurance_code,class_cd,it_remarks) values('28Nov240101','040000125582','0',(select max(to_number(i.premium_rcv_detail_code))+1
from ins_premium_det i),'0','0','02', '11000003','00','Request by Mr. Omair Ali 29-Nov-2024');</v>
      </c>
    </row>
    <row r="1016" spans="1:8" ht="105" x14ac:dyDescent="0.25">
      <c r="A1016" t="s">
        <v>1016</v>
      </c>
      <c r="B1016" s="8" t="str">
        <f>VLOOKUP(A1016,assortedcode!B:C,2,0)</f>
        <v>040000147011</v>
      </c>
      <c r="C1016" s="1">
        <v>0</v>
      </c>
      <c r="D1016" s="9">
        <f t="shared" si="61"/>
        <v>0</v>
      </c>
      <c r="E1016" s="7" t="s">
        <v>8345</v>
      </c>
      <c r="F1016" s="10" t="str">
        <f t="shared" si="60"/>
        <v>insert into ins_premium_det (premium_rcv_code,assorted_code, rec_amount,premium_rcv_detail_code,remaining_amt, payrec, mode_code,coinsurance_code,class_cd,it_remarks) values</v>
      </c>
      <c r="G1016" s="11" t="str">
        <f t="shared" si="62"/>
        <v>('28Nov240101','040000147011','0',(select max(to_number(i.premium_rcv_detail_code))+1
from ins_premium_det i),'0','0','02', '11000003','00','Request by Mr. Omair Ali 29-Nov-2024');</v>
      </c>
      <c r="H1016" s="12" t="str">
        <f t="shared" si="63"/>
        <v>insert into ins_premium_det (premium_rcv_code,assorted_code, rec_amount,premium_rcv_detail_code,remaining_amt, payrec, mode_code,coinsurance_code,class_cd,it_remarks) values('28Nov240101','040000147011','0',(select max(to_number(i.premium_rcv_detail_code))+1
from ins_premium_det i),'0','0','02', '11000003','00','Request by Mr. Omair Ali 29-Nov-2024');</v>
      </c>
    </row>
    <row r="1017" spans="1:8" ht="105" x14ac:dyDescent="0.25">
      <c r="A1017" t="s">
        <v>1017</v>
      </c>
      <c r="B1017" s="8" t="str">
        <f>VLOOKUP(A1017,assortedcode!B:C,2,0)</f>
        <v>040000126705</v>
      </c>
      <c r="C1017" s="1">
        <v>0</v>
      </c>
      <c r="D1017" s="9">
        <f t="shared" si="61"/>
        <v>0</v>
      </c>
      <c r="E1017" s="7" t="s">
        <v>8345</v>
      </c>
      <c r="F1017" s="10" t="str">
        <f t="shared" si="60"/>
        <v>insert into ins_premium_det (premium_rcv_code,assorted_code, rec_amount,premium_rcv_detail_code,remaining_amt, payrec, mode_code,coinsurance_code,class_cd,it_remarks) values</v>
      </c>
      <c r="G1017" s="11" t="str">
        <f t="shared" si="62"/>
        <v>('28Nov240101','040000126705','0',(select max(to_number(i.premium_rcv_detail_code))+1
from ins_premium_det i),'0','0','02', '11000003','00','Request by Mr. Omair Ali 29-Nov-2024');</v>
      </c>
      <c r="H1017" s="12" t="str">
        <f t="shared" si="63"/>
        <v>insert into ins_premium_det (premium_rcv_code,assorted_code, rec_amount,premium_rcv_detail_code,remaining_amt, payrec, mode_code,coinsurance_code,class_cd,it_remarks) values('28Nov240101','040000126705','0',(select max(to_number(i.premium_rcv_detail_code))+1
from ins_premium_det i),'0','0','02', '11000003','00','Request by Mr. Omair Ali 29-Nov-2024');</v>
      </c>
    </row>
    <row r="1018" spans="1:8" ht="105" x14ac:dyDescent="0.25">
      <c r="A1018" t="s">
        <v>1018</v>
      </c>
      <c r="B1018" s="8" t="str">
        <f>VLOOKUP(A1018,assortedcode!B:C,2,0)</f>
        <v>040000116176</v>
      </c>
      <c r="C1018" s="1">
        <v>0</v>
      </c>
      <c r="D1018" s="9">
        <f t="shared" si="61"/>
        <v>0</v>
      </c>
      <c r="E1018" s="7" t="s">
        <v>8345</v>
      </c>
      <c r="F1018" s="10" t="str">
        <f t="shared" si="60"/>
        <v>insert into ins_premium_det (premium_rcv_code,assorted_code, rec_amount,premium_rcv_detail_code,remaining_amt, payrec, mode_code,coinsurance_code,class_cd,it_remarks) values</v>
      </c>
      <c r="G1018" s="11" t="str">
        <f t="shared" si="62"/>
        <v>('28Nov240101','040000116176','0',(select max(to_number(i.premium_rcv_detail_code))+1
from ins_premium_det i),'0','0','02', '11000003','00','Request by Mr. Omair Ali 29-Nov-2024');</v>
      </c>
      <c r="H1018" s="12" t="str">
        <f t="shared" si="63"/>
        <v>insert into ins_premium_det (premium_rcv_code,assorted_code, rec_amount,premium_rcv_detail_code,remaining_amt, payrec, mode_code,coinsurance_code,class_cd,it_remarks) values('28Nov240101','040000116176','0',(select max(to_number(i.premium_rcv_detail_code))+1
from ins_premium_det i),'0','0','02', '11000003','00','Request by Mr. Omair Ali 29-Nov-2024');</v>
      </c>
    </row>
    <row r="1019" spans="1:8" ht="105" x14ac:dyDescent="0.25">
      <c r="A1019" t="s">
        <v>1019</v>
      </c>
      <c r="B1019" s="8" t="str">
        <f>VLOOKUP(A1019,assortedcode!B:C,2,0)</f>
        <v>040000183461</v>
      </c>
      <c r="C1019" s="1">
        <v>0</v>
      </c>
      <c r="D1019" s="9">
        <f t="shared" si="61"/>
        <v>0</v>
      </c>
      <c r="E1019" s="7" t="s">
        <v>8345</v>
      </c>
      <c r="F1019" s="10" t="str">
        <f t="shared" si="60"/>
        <v>insert into ins_premium_det (premium_rcv_code,assorted_code, rec_amount,premium_rcv_detail_code,remaining_amt, payrec, mode_code,coinsurance_code,class_cd,it_remarks) values</v>
      </c>
      <c r="G1019" s="11" t="str">
        <f t="shared" si="62"/>
        <v>('28Nov240101','040000183461','0',(select max(to_number(i.premium_rcv_detail_code))+1
from ins_premium_det i),'0','0','02', '11000003','00','Request by Mr. Omair Ali 29-Nov-2024');</v>
      </c>
      <c r="H1019" s="12" t="str">
        <f t="shared" si="63"/>
        <v>insert into ins_premium_det (premium_rcv_code,assorted_code, rec_amount,premium_rcv_detail_code,remaining_amt, payrec, mode_code,coinsurance_code,class_cd,it_remarks) values('28Nov240101','040000183461','0',(select max(to_number(i.premium_rcv_detail_code))+1
from ins_premium_det i),'0','0','02', '11000003','00','Request by Mr. Omair Ali 29-Nov-2024');</v>
      </c>
    </row>
    <row r="1020" spans="1:8" ht="105" x14ac:dyDescent="0.25">
      <c r="A1020" t="s">
        <v>1020</v>
      </c>
      <c r="B1020" s="8" t="str">
        <f>VLOOKUP(A1020,assortedcode!B:C,2,0)</f>
        <v>040000170037</v>
      </c>
      <c r="C1020" s="1">
        <v>0</v>
      </c>
      <c r="D1020" s="9">
        <f t="shared" si="61"/>
        <v>0</v>
      </c>
      <c r="E1020" s="7" t="s">
        <v>8345</v>
      </c>
      <c r="F1020" s="10" t="str">
        <f t="shared" si="60"/>
        <v>insert into ins_premium_det (premium_rcv_code,assorted_code, rec_amount,premium_rcv_detail_code,remaining_amt, payrec, mode_code,coinsurance_code,class_cd,it_remarks) values</v>
      </c>
      <c r="G1020" s="11" t="str">
        <f t="shared" si="62"/>
        <v>('28Nov240101','040000170037','0',(select max(to_number(i.premium_rcv_detail_code))+1
from ins_premium_det i),'0','0','02', '11000003','00','Request by Mr. Omair Ali 29-Nov-2024');</v>
      </c>
      <c r="H1020" s="12" t="str">
        <f t="shared" si="63"/>
        <v>insert into ins_premium_det (premium_rcv_code,assorted_code, rec_amount,premium_rcv_detail_code,remaining_amt, payrec, mode_code,coinsurance_code,class_cd,it_remarks) values('28Nov240101','040000170037','0',(select max(to_number(i.premium_rcv_detail_code))+1
from ins_premium_det i),'0','0','02', '11000003','00','Request by Mr. Omair Ali 29-Nov-2024');</v>
      </c>
    </row>
    <row r="1021" spans="1:8" ht="105" x14ac:dyDescent="0.25">
      <c r="A1021" t="s">
        <v>1021</v>
      </c>
      <c r="B1021" s="8" t="str">
        <f>VLOOKUP(A1021,assortedcode!B:C,2,0)</f>
        <v>040000109104</v>
      </c>
      <c r="C1021" s="1">
        <v>0</v>
      </c>
      <c r="D1021" s="9">
        <f t="shared" si="61"/>
        <v>0</v>
      </c>
      <c r="E1021" s="7" t="s">
        <v>8345</v>
      </c>
      <c r="F1021" s="10" t="str">
        <f t="shared" si="60"/>
        <v>insert into ins_premium_det (premium_rcv_code,assorted_code, rec_amount,premium_rcv_detail_code,remaining_amt, payrec, mode_code,coinsurance_code,class_cd,it_remarks) values</v>
      </c>
      <c r="G1021" s="11" t="str">
        <f t="shared" si="62"/>
        <v>('28Nov240101','040000109104','0',(select max(to_number(i.premium_rcv_detail_code))+1
from ins_premium_det i),'0','0','02', '11000003','00','Request by Mr. Omair Ali 29-Nov-2024');</v>
      </c>
      <c r="H1021" s="12" t="str">
        <f t="shared" si="63"/>
        <v>insert into ins_premium_det (premium_rcv_code,assorted_code, rec_amount,premium_rcv_detail_code,remaining_amt, payrec, mode_code,coinsurance_code,class_cd,it_remarks) values('28Nov240101','040000109104','0',(select max(to_number(i.premium_rcv_detail_code))+1
from ins_premium_det i),'0','0','02', '11000003','00','Request by Mr. Omair Ali 29-Nov-2024');</v>
      </c>
    </row>
    <row r="1022" spans="1:8" ht="105" x14ac:dyDescent="0.25">
      <c r="A1022" t="s">
        <v>1022</v>
      </c>
      <c r="B1022" s="8" t="str">
        <f>VLOOKUP(A1022,assortedcode!B:C,2,0)</f>
        <v>040000176504</v>
      </c>
      <c r="C1022" s="1">
        <v>0</v>
      </c>
      <c r="D1022" s="9">
        <f t="shared" si="61"/>
        <v>0</v>
      </c>
      <c r="E1022" s="7" t="s">
        <v>8345</v>
      </c>
      <c r="F1022" s="10" t="str">
        <f t="shared" si="60"/>
        <v>insert into ins_premium_det (premium_rcv_code,assorted_code, rec_amount,premium_rcv_detail_code,remaining_amt, payrec, mode_code,coinsurance_code,class_cd,it_remarks) values</v>
      </c>
      <c r="G1022" s="11" t="str">
        <f t="shared" si="62"/>
        <v>('28Nov240101','040000176504','0',(select max(to_number(i.premium_rcv_detail_code))+1
from ins_premium_det i),'0','0','02', '11000003','00','Request by Mr. Omair Ali 29-Nov-2024');</v>
      </c>
      <c r="H1022" s="12" t="str">
        <f t="shared" si="63"/>
        <v>insert into ins_premium_det (premium_rcv_code,assorted_code, rec_amount,premium_rcv_detail_code,remaining_amt, payrec, mode_code,coinsurance_code,class_cd,it_remarks) values('28Nov240101','040000176504','0',(select max(to_number(i.premium_rcv_detail_code))+1
from ins_premium_det i),'0','0','02', '11000003','00','Request by Mr. Omair Ali 29-Nov-2024');</v>
      </c>
    </row>
    <row r="1023" spans="1:8" ht="105" x14ac:dyDescent="0.25">
      <c r="A1023" t="s">
        <v>1023</v>
      </c>
      <c r="B1023" s="8" t="str">
        <f>VLOOKUP(A1023,assortedcode!B:C,2,0)</f>
        <v>040000113149</v>
      </c>
      <c r="C1023" s="1">
        <v>0</v>
      </c>
      <c r="D1023" s="9">
        <f t="shared" si="61"/>
        <v>0</v>
      </c>
      <c r="E1023" s="7" t="s">
        <v>8345</v>
      </c>
      <c r="F1023" s="10" t="str">
        <f t="shared" si="60"/>
        <v>insert into ins_premium_det (premium_rcv_code,assorted_code, rec_amount,premium_rcv_detail_code,remaining_amt, payrec, mode_code,coinsurance_code,class_cd,it_remarks) values</v>
      </c>
      <c r="G1023" s="11" t="str">
        <f t="shared" si="62"/>
        <v>('28Nov240101','040000113149','0',(select max(to_number(i.premium_rcv_detail_code))+1
from ins_premium_det i),'0','0','02', '11000003','00','Request by Mr. Omair Ali 29-Nov-2024');</v>
      </c>
      <c r="H1023" s="12" t="str">
        <f t="shared" si="63"/>
        <v>insert into ins_premium_det (premium_rcv_code,assorted_code, rec_amount,premium_rcv_detail_code,remaining_amt, payrec, mode_code,coinsurance_code,class_cd,it_remarks) values('28Nov240101','040000113149','0',(select max(to_number(i.premium_rcv_detail_code))+1
from ins_premium_det i),'0','0','02', '11000003','00','Request by Mr. Omair Ali 29-Nov-2024');</v>
      </c>
    </row>
    <row r="1024" spans="1:8" ht="105" x14ac:dyDescent="0.25">
      <c r="A1024" t="s">
        <v>1024</v>
      </c>
      <c r="B1024" s="8" t="str">
        <f>VLOOKUP(A1024,assortedcode!B:C,2,0)</f>
        <v>040000177913</v>
      </c>
      <c r="C1024" s="1">
        <v>0</v>
      </c>
      <c r="D1024" s="9">
        <f t="shared" si="61"/>
        <v>0</v>
      </c>
      <c r="E1024" s="7" t="s">
        <v>8345</v>
      </c>
      <c r="F1024" s="10" t="str">
        <f t="shared" si="60"/>
        <v>insert into ins_premium_det (premium_rcv_code,assorted_code, rec_amount,premium_rcv_detail_code,remaining_amt, payrec, mode_code,coinsurance_code,class_cd,it_remarks) values</v>
      </c>
      <c r="G1024" s="11" t="str">
        <f t="shared" si="62"/>
        <v>('28Nov240101','040000177913','0',(select max(to_number(i.premium_rcv_detail_code))+1
from ins_premium_det i),'0','0','02', '11000003','00','Request by Mr. Omair Ali 29-Nov-2024');</v>
      </c>
      <c r="H1024" s="12" t="str">
        <f t="shared" si="63"/>
        <v>insert into ins_premium_det (premium_rcv_code,assorted_code, rec_amount,premium_rcv_detail_code,remaining_amt, payrec, mode_code,coinsurance_code,class_cd,it_remarks) values('28Nov240101','040000177913','0',(select max(to_number(i.premium_rcv_detail_code))+1
from ins_premium_det i),'0','0','02', '11000003','00','Request by Mr. Omair Ali 29-Nov-2024');</v>
      </c>
    </row>
    <row r="1025" spans="1:8" ht="105" x14ac:dyDescent="0.25">
      <c r="A1025" t="s">
        <v>1025</v>
      </c>
      <c r="B1025" s="8" t="str">
        <f>VLOOKUP(A1025,assortedcode!B:C,2,0)</f>
        <v>040000131053</v>
      </c>
      <c r="C1025" s="1">
        <v>0</v>
      </c>
      <c r="D1025" s="9">
        <f t="shared" si="61"/>
        <v>0</v>
      </c>
      <c r="E1025" s="7" t="s">
        <v>8345</v>
      </c>
      <c r="F1025" s="10" t="str">
        <f t="shared" si="60"/>
        <v>insert into ins_premium_det (premium_rcv_code,assorted_code, rec_amount,premium_rcv_detail_code,remaining_amt, payrec, mode_code,coinsurance_code,class_cd,it_remarks) values</v>
      </c>
      <c r="G1025" s="11" t="str">
        <f t="shared" si="62"/>
        <v>('28Nov240101','040000131053','0',(select max(to_number(i.premium_rcv_detail_code))+1
from ins_premium_det i),'0','0','02', '11000003','00','Request by Mr. Omair Ali 29-Nov-2024');</v>
      </c>
      <c r="H1025" s="12" t="str">
        <f t="shared" si="63"/>
        <v>insert into ins_premium_det (premium_rcv_code,assorted_code, rec_amount,premium_rcv_detail_code,remaining_amt, payrec, mode_code,coinsurance_code,class_cd,it_remarks) values('28Nov240101','040000131053','0',(select max(to_number(i.premium_rcv_detail_code))+1
from ins_premium_det i),'0','0','02', '11000003','00','Request by Mr. Omair Ali 29-Nov-2024');</v>
      </c>
    </row>
    <row r="1026" spans="1:8" ht="105" x14ac:dyDescent="0.25">
      <c r="A1026" t="s">
        <v>1026</v>
      </c>
      <c r="B1026" s="8" t="str">
        <f>VLOOKUP(A1026,assortedcode!B:C,2,0)</f>
        <v>040000184349</v>
      </c>
      <c r="C1026" s="1">
        <v>0</v>
      </c>
      <c r="D1026" s="9">
        <f t="shared" si="61"/>
        <v>0</v>
      </c>
      <c r="E1026" s="7" t="s">
        <v>8345</v>
      </c>
      <c r="F1026" s="10" t="str">
        <f t="shared" ref="F1026:F1089" si="64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1026" s="11" t="str">
        <f t="shared" si="62"/>
        <v>('28Nov240101','040000184349','0',(select max(to_number(i.premium_rcv_detail_code))+1
from ins_premium_det i),'0','0','02', '11000003','00','Request by Mr. Omair Ali 29-Nov-2024');</v>
      </c>
      <c r="H1026" s="12" t="str">
        <f t="shared" si="63"/>
        <v>insert into ins_premium_det (premium_rcv_code,assorted_code, rec_amount,premium_rcv_detail_code,remaining_amt, payrec, mode_code,coinsurance_code,class_cd,it_remarks) values('28Nov240101','040000184349','0',(select max(to_number(i.premium_rcv_detail_code))+1
from ins_premium_det i),'0','0','02', '11000003','00','Request by Mr. Omair Ali 29-Nov-2024');</v>
      </c>
    </row>
    <row r="1027" spans="1:8" ht="105" x14ac:dyDescent="0.25">
      <c r="A1027" t="s">
        <v>1027</v>
      </c>
      <c r="B1027" s="8" t="str">
        <f>VLOOKUP(A1027,assortedcode!B:C,2,0)</f>
        <v>040000113179</v>
      </c>
      <c r="C1027" s="1">
        <v>0</v>
      </c>
      <c r="D1027" s="9">
        <f t="shared" ref="D1027:D1090" si="65">ROUND(C1027,0)</f>
        <v>0</v>
      </c>
      <c r="E1027" s="7" t="s">
        <v>8345</v>
      </c>
      <c r="F1027" s="10" t="str">
        <f t="shared" si="64"/>
        <v>insert into ins_premium_det (premium_rcv_code,assorted_code, rec_amount,premium_rcv_detail_code,remaining_amt, payrec, mode_code,coinsurance_code,class_cd,it_remarks) values</v>
      </c>
      <c r="G1027" s="11" t="str">
        <f t="shared" ref="G1027:G1090" si="66">"('"&amp;E1027&amp;"','"&amp;B1027&amp;"','"&amp;ROUND(D1027,2)&amp;"',(select max(to_number(i.premium_rcv_detail_code))+1
from ins_premium_det i),'"&amp;D1027&amp;"','"&amp;D1027&amp;"','02', '11000003','00','Request by Mr. Omair Ali 29-Nov-2024');"</f>
        <v>('28Nov240101','040000113179','0',(select max(to_number(i.premium_rcv_detail_code))+1
from ins_premium_det i),'0','0','02', '11000003','00','Request by Mr. Omair Ali 29-Nov-2024');</v>
      </c>
      <c r="H1027" s="12" t="str">
        <f t="shared" ref="H1027:H1090" si="67">F1027&amp;G1027</f>
        <v>insert into ins_premium_det (premium_rcv_code,assorted_code, rec_amount,premium_rcv_detail_code,remaining_amt, payrec, mode_code,coinsurance_code,class_cd,it_remarks) values('28Nov240101','040000113179','0',(select max(to_number(i.premium_rcv_detail_code))+1
from ins_premium_det i),'0','0','02', '11000003','00','Request by Mr. Omair Ali 29-Nov-2024');</v>
      </c>
    </row>
    <row r="1028" spans="1:8" ht="105" x14ac:dyDescent="0.25">
      <c r="A1028" t="s">
        <v>1028</v>
      </c>
      <c r="B1028" s="8" t="str">
        <f>VLOOKUP(A1028,assortedcode!B:C,2,0)</f>
        <v>040000111328</v>
      </c>
      <c r="C1028" s="1">
        <v>0</v>
      </c>
      <c r="D1028" s="9">
        <f t="shared" si="65"/>
        <v>0</v>
      </c>
      <c r="E1028" s="7" t="s">
        <v>8345</v>
      </c>
      <c r="F1028" s="10" t="str">
        <f t="shared" si="64"/>
        <v>insert into ins_premium_det (premium_rcv_code,assorted_code, rec_amount,premium_rcv_detail_code,remaining_amt, payrec, mode_code,coinsurance_code,class_cd,it_remarks) values</v>
      </c>
      <c r="G1028" s="11" t="str">
        <f t="shared" si="66"/>
        <v>('28Nov240101','040000111328','0',(select max(to_number(i.premium_rcv_detail_code))+1
from ins_premium_det i),'0','0','02', '11000003','00','Request by Mr. Omair Ali 29-Nov-2024');</v>
      </c>
      <c r="H1028" s="12" t="str">
        <f t="shared" si="67"/>
        <v>insert into ins_premium_det (premium_rcv_code,assorted_code, rec_amount,premium_rcv_detail_code,remaining_amt, payrec, mode_code,coinsurance_code,class_cd,it_remarks) values('28Nov240101','040000111328','0',(select max(to_number(i.premium_rcv_detail_code))+1
from ins_premium_det i),'0','0','02', '11000003','00','Request by Mr. Omair Ali 29-Nov-2024');</v>
      </c>
    </row>
    <row r="1029" spans="1:8" ht="105" x14ac:dyDescent="0.25">
      <c r="A1029" t="s">
        <v>1029</v>
      </c>
      <c r="B1029" s="8" t="str">
        <f>VLOOKUP(A1029,assortedcode!B:C,2,0)</f>
        <v>040000145063</v>
      </c>
      <c r="C1029" s="1">
        <v>0</v>
      </c>
      <c r="D1029" s="9">
        <f t="shared" si="65"/>
        <v>0</v>
      </c>
      <c r="E1029" s="7" t="s">
        <v>8345</v>
      </c>
      <c r="F1029" s="10" t="str">
        <f t="shared" si="64"/>
        <v>insert into ins_premium_det (premium_rcv_code,assorted_code, rec_amount,premium_rcv_detail_code,remaining_amt, payrec, mode_code,coinsurance_code,class_cd,it_remarks) values</v>
      </c>
      <c r="G1029" s="11" t="str">
        <f t="shared" si="66"/>
        <v>('28Nov240101','040000145063','0',(select max(to_number(i.premium_rcv_detail_code))+1
from ins_premium_det i),'0','0','02', '11000003','00','Request by Mr. Omair Ali 29-Nov-2024');</v>
      </c>
      <c r="H1029" s="12" t="str">
        <f t="shared" si="67"/>
        <v>insert into ins_premium_det (premium_rcv_code,assorted_code, rec_amount,premium_rcv_detail_code,remaining_amt, payrec, mode_code,coinsurance_code,class_cd,it_remarks) values('28Nov240101','040000145063','0',(select max(to_number(i.premium_rcv_detail_code))+1
from ins_premium_det i),'0','0','02', '11000003','00','Request by Mr. Omair Ali 29-Nov-2024');</v>
      </c>
    </row>
    <row r="1030" spans="1:8" ht="105" x14ac:dyDescent="0.25">
      <c r="A1030" t="s">
        <v>1030</v>
      </c>
      <c r="B1030" s="8" t="str">
        <f>VLOOKUP(A1030,assortedcode!B:C,2,0)</f>
        <v>040000114227</v>
      </c>
      <c r="C1030" s="1">
        <v>0</v>
      </c>
      <c r="D1030" s="9">
        <f t="shared" si="65"/>
        <v>0</v>
      </c>
      <c r="E1030" s="7" t="s">
        <v>8345</v>
      </c>
      <c r="F1030" s="10" t="str">
        <f t="shared" si="64"/>
        <v>insert into ins_premium_det (premium_rcv_code,assorted_code, rec_amount,premium_rcv_detail_code,remaining_amt, payrec, mode_code,coinsurance_code,class_cd,it_remarks) values</v>
      </c>
      <c r="G1030" s="11" t="str">
        <f t="shared" si="66"/>
        <v>('28Nov240101','040000114227','0',(select max(to_number(i.premium_rcv_detail_code))+1
from ins_premium_det i),'0','0','02', '11000003','00','Request by Mr. Omair Ali 29-Nov-2024');</v>
      </c>
      <c r="H1030" s="12" t="str">
        <f t="shared" si="67"/>
        <v>insert into ins_premium_det (premium_rcv_code,assorted_code, rec_amount,premium_rcv_detail_code,remaining_amt, payrec, mode_code,coinsurance_code,class_cd,it_remarks) values('28Nov240101','040000114227','0',(select max(to_number(i.premium_rcv_detail_code))+1
from ins_premium_det i),'0','0','02', '11000003','00','Request by Mr. Omair Ali 29-Nov-2024');</v>
      </c>
    </row>
    <row r="1031" spans="1:8" ht="105" x14ac:dyDescent="0.25">
      <c r="A1031" t="s">
        <v>1031</v>
      </c>
      <c r="B1031" s="8" t="str">
        <f>VLOOKUP(A1031,assortedcode!B:C,2,0)</f>
        <v>040000116090</v>
      </c>
      <c r="C1031" s="1">
        <v>0</v>
      </c>
      <c r="D1031" s="9">
        <f t="shared" si="65"/>
        <v>0</v>
      </c>
      <c r="E1031" s="7" t="s">
        <v>8345</v>
      </c>
      <c r="F1031" s="10" t="str">
        <f t="shared" si="64"/>
        <v>insert into ins_premium_det (premium_rcv_code,assorted_code, rec_amount,premium_rcv_detail_code,remaining_amt, payrec, mode_code,coinsurance_code,class_cd,it_remarks) values</v>
      </c>
      <c r="G1031" s="11" t="str">
        <f t="shared" si="66"/>
        <v>('28Nov240101','040000116090','0',(select max(to_number(i.premium_rcv_detail_code))+1
from ins_premium_det i),'0','0','02', '11000003','00','Request by Mr. Omair Ali 29-Nov-2024');</v>
      </c>
      <c r="H1031" s="12" t="str">
        <f t="shared" si="67"/>
        <v>insert into ins_premium_det (premium_rcv_code,assorted_code, rec_amount,premium_rcv_detail_code,remaining_amt, payrec, mode_code,coinsurance_code,class_cd,it_remarks) values('28Nov240101','040000116090','0',(select max(to_number(i.premium_rcv_detail_code))+1
from ins_premium_det i),'0','0','02', '11000003','00','Request by Mr. Omair Ali 29-Nov-2024');</v>
      </c>
    </row>
    <row r="1032" spans="1:8" ht="105" x14ac:dyDescent="0.25">
      <c r="A1032" t="s">
        <v>1032</v>
      </c>
      <c r="B1032" s="8" t="str">
        <f>VLOOKUP(A1032,assortedcode!B:C,2,0)</f>
        <v>040000114743</v>
      </c>
      <c r="C1032" s="1">
        <v>0</v>
      </c>
      <c r="D1032" s="9">
        <f t="shared" si="65"/>
        <v>0</v>
      </c>
      <c r="E1032" s="7" t="s">
        <v>8345</v>
      </c>
      <c r="F1032" s="10" t="str">
        <f t="shared" si="64"/>
        <v>insert into ins_premium_det (premium_rcv_code,assorted_code, rec_amount,premium_rcv_detail_code,remaining_amt, payrec, mode_code,coinsurance_code,class_cd,it_remarks) values</v>
      </c>
      <c r="G1032" s="11" t="str">
        <f t="shared" si="66"/>
        <v>('28Nov240101','040000114743','0',(select max(to_number(i.premium_rcv_detail_code))+1
from ins_premium_det i),'0','0','02', '11000003','00','Request by Mr. Omair Ali 29-Nov-2024');</v>
      </c>
      <c r="H1032" s="12" t="str">
        <f t="shared" si="67"/>
        <v>insert into ins_premium_det (premium_rcv_code,assorted_code, rec_amount,premium_rcv_detail_code,remaining_amt, payrec, mode_code,coinsurance_code,class_cd,it_remarks) values('28Nov240101','040000114743','0',(select max(to_number(i.premium_rcv_detail_code))+1
from ins_premium_det i),'0','0','02', '11000003','00','Request by Mr. Omair Ali 29-Nov-2024');</v>
      </c>
    </row>
    <row r="1033" spans="1:8" ht="105" x14ac:dyDescent="0.25">
      <c r="A1033" t="s">
        <v>1033</v>
      </c>
      <c r="B1033" s="8" t="str">
        <f>VLOOKUP(A1033,assortedcode!B:C,2,0)</f>
        <v>040000122081</v>
      </c>
      <c r="C1033" s="1">
        <v>0</v>
      </c>
      <c r="D1033" s="9">
        <f t="shared" si="65"/>
        <v>0</v>
      </c>
      <c r="E1033" s="7" t="s">
        <v>8345</v>
      </c>
      <c r="F1033" s="10" t="str">
        <f t="shared" si="64"/>
        <v>insert into ins_premium_det (premium_rcv_code,assorted_code, rec_amount,premium_rcv_detail_code,remaining_amt, payrec, mode_code,coinsurance_code,class_cd,it_remarks) values</v>
      </c>
      <c r="G1033" s="11" t="str">
        <f t="shared" si="66"/>
        <v>('28Nov240101','040000122081','0',(select max(to_number(i.premium_rcv_detail_code))+1
from ins_premium_det i),'0','0','02', '11000003','00','Request by Mr. Omair Ali 29-Nov-2024');</v>
      </c>
      <c r="H1033" s="12" t="str">
        <f t="shared" si="67"/>
        <v>insert into ins_premium_det (premium_rcv_code,assorted_code, rec_amount,premium_rcv_detail_code,remaining_amt, payrec, mode_code,coinsurance_code,class_cd,it_remarks) values('28Nov240101','040000122081','0',(select max(to_number(i.premium_rcv_detail_code))+1
from ins_premium_det i),'0','0','02', '11000003','00','Request by Mr. Omair Ali 29-Nov-2024');</v>
      </c>
    </row>
    <row r="1034" spans="1:8" ht="105" x14ac:dyDescent="0.25">
      <c r="A1034" t="s">
        <v>1034</v>
      </c>
      <c r="B1034" s="8" t="str">
        <f>VLOOKUP(A1034,assortedcode!B:C,2,0)</f>
        <v>040000119346</v>
      </c>
      <c r="C1034" s="1">
        <v>0</v>
      </c>
      <c r="D1034" s="9">
        <f t="shared" si="65"/>
        <v>0</v>
      </c>
      <c r="E1034" s="7" t="s">
        <v>8345</v>
      </c>
      <c r="F1034" s="10" t="str">
        <f t="shared" si="64"/>
        <v>insert into ins_premium_det (premium_rcv_code,assorted_code, rec_amount,premium_rcv_detail_code,remaining_amt, payrec, mode_code,coinsurance_code,class_cd,it_remarks) values</v>
      </c>
      <c r="G1034" s="11" t="str">
        <f t="shared" si="66"/>
        <v>('28Nov240101','040000119346','0',(select max(to_number(i.premium_rcv_detail_code))+1
from ins_premium_det i),'0','0','02', '11000003','00','Request by Mr. Omair Ali 29-Nov-2024');</v>
      </c>
      <c r="H1034" s="12" t="str">
        <f t="shared" si="67"/>
        <v>insert into ins_premium_det (premium_rcv_code,assorted_code, rec_amount,premium_rcv_detail_code,remaining_amt, payrec, mode_code,coinsurance_code,class_cd,it_remarks) values('28Nov240101','040000119346','0',(select max(to_number(i.premium_rcv_detail_code))+1
from ins_premium_det i),'0','0','02', '11000003','00','Request by Mr. Omair Ali 29-Nov-2024');</v>
      </c>
    </row>
    <row r="1035" spans="1:8" ht="105" x14ac:dyDescent="0.25">
      <c r="A1035" t="s">
        <v>1035</v>
      </c>
      <c r="B1035" s="8" t="str">
        <f>VLOOKUP(A1035,assortedcode!B:C,2,0)</f>
        <v>040000184176</v>
      </c>
      <c r="C1035" s="1">
        <v>0</v>
      </c>
      <c r="D1035" s="9">
        <f t="shared" si="65"/>
        <v>0</v>
      </c>
      <c r="E1035" s="7" t="s">
        <v>8345</v>
      </c>
      <c r="F1035" s="10" t="str">
        <f t="shared" si="64"/>
        <v>insert into ins_premium_det (premium_rcv_code,assorted_code, rec_amount,premium_rcv_detail_code,remaining_amt, payrec, mode_code,coinsurance_code,class_cd,it_remarks) values</v>
      </c>
      <c r="G1035" s="11" t="str">
        <f t="shared" si="66"/>
        <v>('28Nov240101','040000184176','0',(select max(to_number(i.premium_rcv_detail_code))+1
from ins_premium_det i),'0','0','02', '11000003','00','Request by Mr. Omair Ali 29-Nov-2024');</v>
      </c>
      <c r="H1035" s="12" t="str">
        <f t="shared" si="67"/>
        <v>insert into ins_premium_det (premium_rcv_code,assorted_code, rec_amount,premium_rcv_detail_code,remaining_amt, payrec, mode_code,coinsurance_code,class_cd,it_remarks) values('28Nov240101','040000184176','0',(select max(to_number(i.premium_rcv_detail_code))+1
from ins_premium_det i),'0','0','02', '11000003','00','Request by Mr. Omair Ali 29-Nov-2024');</v>
      </c>
    </row>
    <row r="1036" spans="1:8" ht="105" x14ac:dyDescent="0.25">
      <c r="A1036" t="s">
        <v>1036</v>
      </c>
      <c r="B1036" s="8" t="str">
        <f>VLOOKUP(A1036,assortedcode!B:C,2,0)</f>
        <v>040000127115</v>
      </c>
      <c r="C1036" s="1">
        <v>0</v>
      </c>
      <c r="D1036" s="9">
        <f t="shared" si="65"/>
        <v>0</v>
      </c>
      <c r="E1036" s="7" t="s">
        <v>8345</v>
      </c>
      <c r="F1036" s="10" t="str">
        <f t="shared" si="64"/>
        <v>insert into ins_premium_det (premium_rcv_code,assorted_code, rec_amount,premium_rcv_detail_code,remaining_amt, payrec, mode_code,coinsurance_code,class_cd,it_remarks) values</v>
      </c>
      <c r="G1036" s="11" t="str">
        <f t="shared" si="66"/>
        <v>('28Nov240101','040000127115','0',(select max(to_number(i.premium_rcv_detail_code))+1
from ins_premium_det i),'0','0','02', '11000003','00','Request by Mr. Omair Ali 29-Nov-2024');</v>
      </c>
      <c r="H1036" s="12" t="str">
        <f t="shared" si="67"/>
        <v>insert into ins_premium_det (premium_rcv_code,assorted_code, rec_amount,premium_rcv_detail_code,remaining_amt, payrec, mode_code,coinsurance_code,class_cd,it_remarks) values('28Nov240101','040000127115','0',(select max(to_number(i.premium_rcv_detail_code))+1
from ins_premium_det i),'0','0','02', '11000003','00','Request by Mr. Omair Ali 29-Nov-2024');</v>
      </c>
    </row>
    <row r="1037" spans="1:8" ht="105" x14ac:dyDescent="0.25">
      <c r="A1037" t="s">
        <v>1037</v>
      </c>
      <c r="B1037" s="8" t="str">
        <f>VLOOKUP(A1037,assortedcode!B:C,2,0)</f>
        <v>040000107553</v>
      </c>
      <c r="C1037" s="1">
        <v>0</v>
      </c>
      <c r="D1037" s="9">
        <f t="shared" si="65"/>
        <v>0</v>
      </c>
      <c r="E1037" s="7" t="s">
        <v>8345</v>
      </c>
      <c r="F1037" s="10" t="str">
        <f t="shared" si="64"/>
        <v>insert into ins_premium_det (premium_rcv_code,assorted_code, rec_amount,premium_rcv_detail_code,remaining_amt, payrec, mode_code,coinsurance_code,class_cd,it_remarks) values</v>
      </c>
      <c r="G1037" s="11" t="str">
        <f t="shared" si="66"/>
        <v>('28Nov240101','040000107553','0',(select max(to_number(i.premium_rcv_detail_code))+1
from ins_premium_det i),'0','0','02', '11000003','00','Request by Mr. Omair Ali 29-Nov-2024');</v>
      </c>
      <c r="H1037" s="12" t="str">
        <f t="shared" si="67"/>
        <v>insert into ins_premium_det (premium_rcv_code,assorted_code, rec_amount,premium_rcv_detail_code,remaining_amt, payrec, mode_code,coinsurance_code,class_cd,it_remarks) values('28Nov240101','040000107553','0',(select max(to_number(i.premium_rcv_detail_code))+1
from ins_premium_det i),'0','0','02', '11000003','00','Request by Mr. Omair Ali 29-Nov-2024');</v>
      </c>
    </row>
    <row r="1038" spans="1:8" ht="105" x14ac:dyDescent="0.25">
      <c r="A1038" t="s">
        <v>1038</v>
      </c>
      <c r="B1038" s="8" t="str">
        <f>VLOOKUP(A1038,assortedcode!B:C,2,0)</f>
        <v>040000122105</v>
      </c>
      <c r="C1038" s="1">
        <v>0</v>
      </c>
      <c r="D1038" s="9">
        <f t="shared" si="65"/>
        <v>0</v>
      </c>
      <c r="E1038" s="7" t="s">
        <v>8345</v>
      </c>
      <c r="F1038" s="10" t="str">
        <f t="shared" si="64"/>
        <v>insert into ins_premium_det (premium_rcv_code,assorted_code, rec_amount,premium_rcv_detail_code,remaining_amt, payrec, mode_code,coinsurance_code,class_cd,it_remarks) values</v>
      </c>
      <c r="G1038" s="11" t="str">
        <f t="shared" si="66"/>
        <v>('28Nov240101','040000122105','0',(select max(to_number(i.premium_rcv_detail_code))+1
from ins_premium_det i),'0','0','02', '11000003','00','Request by Mr. Omair Ali 29-Nov-2024');</v>
      </c>
      <c r="H1038" s="12" t="str">
        <f t="shared" si="67"/>
        <v>insert into ins_premium_det (premium_rcv_code,assorted_code, rec_amount,premium_rcv_detail_code,remaining_amt, payrec, mode_code,coinsurance_code,class_cd,it_remarks) values('28Nov240101','040000122105','0',(select max(to_number(i.premium_rcv_detail_code))+1
from ins_premium_det i),'0','0','02', '11000003','00','Request by Mr. Omair Ali 29-Nov-2024');</v>
      </c>
    </row>
    <row r="1039" spans="1:8" ht="105" x14ac:dyDescent="0.25">
      <c r="A1039" t="s">
        <v>1039</v>
      </c>
      <c r="B1039" s="8" t="str">
        <f>VLOOKUP(A1039,assortedcode!B:C,2,0)</f>
        <v>040000108381</v>
      </c>
      <c r="C1039" s="1">
        <v>0</v>
      </c>
      <c r="D1039" s="9">
        <f t="shared" si="65"/>
        <v>0</v>
      </c>
      <c r="E1039" s="7" t="s">
        <v>8345</v>
      </c>
      <c r="F1039" s="10" t="str">
        <f t="shared" si="64"/>
        <v>insert into ins_premium_det (premium_rcv_code,assorted_code, rec_amount,premium_rcv_detail_code,remaining_amt, payrec, mode_code,coinsurance_code,class_cd,it_remarks) values</v>
      </c>
      <c r="G1039" s="11" t="str">
        <f t="shared" si="66"/>
        <v>('28Nov240101','040000108381','0',(select max(to_number(i.premium_rcv_detail_code))+1
from ins_premium_det i),'0','0','02', '11000003','00','Request by Mr. Omair Ali 29-Nov-2024');</v>
      </c>
      <c r="H1039" s="12" t="str">
        <f t="shared" si="67"/>
        <v>insert into ins_premium_det (premium_rcv_code,assorted_code, rec_amount,premium_rcv_detail_code,remaining_amt, payrec, mode_code,coinsurance_code,class_cd,it_remarks) values('28Nov240101','040000108381','0',(select max(to_number(i.premium_rcv_detail_code))+1
from ins_premium_det i),'0','0','02', '11000003','00','Request by Mr. Omair Ali 29-Nov-2024');</v>
      </c>
    </row>
    <row r="1040" spans="1:8" ht="105" x14ac:dyDescent="0.25">
      <c r="A1040" t="s">
        <v>1040</v>
      </c>
      <c r="B1040" s="8" t="str">
        <f>VLOOKUP(A1040,assortedcode!B:C,2,0)</f>
        <v>040000143397</v>
      </c>
      <c r="C1040" s="1">
        <v>0</v>
      </c>
      <c r="D1040" s="9">
        <f t="shared" si="65"/>
        <v>0</v>
      </c>
      <c r="E1040" s="7" t="s">
        <v>8345</v>
      </c>
      <c r="F1040" s="10" t="str">
        <f t="shared" si="64"/>
        <v>insert into ins_premium_det (premium_rcv_code,assorted_code, rec_amount,premium_rcv_detail_code,remaining_amt, payrec, mode_code,coinsurance_code,class_cd,it_remarks) values</v>
      </c>
      <c r="G1040" s="11" t="str">
        <f t="shared" si="66"/>
        <v>('28Nov240101','040000143397','0',(select max(to_number(i.premium_rcv_detail_code))+1
from ins_premium_det i),'0','0','02', '11000003','00','Request by Mr. Omair Ali 29-Nov-2024');</v>
      </c>
      <c r="H1040" s="12" t="str">
        <f t="shared" si="67"/>
        <v>insert into ins_premium_det (premium_rcv_code,assorted_code, rec_amount,premium_rcv_detail_code,remaining_amt, payrec, mode_code,coinsurance_code,class_cd,it_remarks) values('28Nov240101','040000143397','0',(select max(to_number(i.premium_rcv_detail_code))+1
from ins_premium_det i),'0','0','02', '11000003','00','Request by Mr. Omair Ali 29-Nov-2024');</v>
      </c>
    </row>
    <row r="1041" spans="1:8" ht="105" x14ac:dyDescent="0.25">
      <c r="A1041" t="s">
        <v>1041</v>
      </c>
      <c r="B1041" s="8" t="str">
        <f>VLOOKUP(A1041,assortedcode!B:C,2,0)</f>
        <v>040000151030</v>
      </c>
      <c r="C1041" s="1">
        <v>0</v>
      </c>
      <c r="D1041" s="9">
        <f t="shared" si="65"/>
        <v>0</v>
      </c>
      <c r="E1041" s="7" t="s">
        <v>8345</v>
      </c>
      <c r="F1041" s="10" t="str">
        <f t="shared" si="64"/>
        <v>insert into ins_premium_det (premium_rcv_code,assorted_code, rec_amount,premium_rcv_detail_code,remaining_amt, payrec, mode_code,coinsurance_code,class_cd,it_remarks) values</v>
      </c>
      <c r="G1041" s="11" t="str">
        <f t="shared" si="66"/>
        <v>('28Nov240101','040000151030','0',(select max(to_number(i.premium_rcv_detail_code))+1
from ins_premium_det i),'0','0','02', '11000003','00','Request by Mr. Omair Ali 29-Nov-2024');</v>
      </c>
      <c r="H1041" s="12" t="str">
        <f t="shared" si="67"/>
        <v>insert into ins_premium_det (premium_rcv_code,assorted_code, rec_amount,premium_rcv_detail_code,remaining_amt, payrec, mode_code,coinsurance_code,class_cd,it_remarks) values('28Nov240101','040000151030','0',(select max(to_number(i.premium_rcv_detail_code))+1
from ins_premium_det i),'0','0','02', '11000003','00','Request by Mr. Omair Ali 29-Nov-2024');</v>
      </c>
    </row>
    <row r="1042" spans="1:8" ht="105" x14ac:dyDescent="0.25">
      <c r="A1042" t="s">
        <v>1042</v>
      </c>
      <c r="B1042" s="8" t="str">
        <f>VLOOKUP(A1042,assortedcode!B:C,2,0)</f>
        <v>040000152710</v>
      </c>
      <c r="C1042" s="1">
        <v>0</v>
      </c>
      <c r="D1042" s="9">
        <f t="shared" si="65"/>
        <v>0</v>
      </c>
      <c r="E1042" s="7" t="s">
        <v>8345</v>
      </c>
      <c r="F1042" s="10" t="str">
        <f t="shared" si="64"/>
        <v>insert into ins_premium_det (premium_rcv_code,assorted_code, rec_amount,premium_rcv_detail_code,remaining_amt, payrec, mode_code,coinsurance_code,class_cd,it_remarks) values</v>
      </c>
      <c r="G1042" s="11" t="str">
        <f t="shared" si="66"/>
        <v>('28Nov240101','040000152710','0',(select max(to_number(i.premium_rcv_detail_code))+1
from ins_premium_det i),'0','0','02', '11000003','00','Request by Mr. Omair Ali 29-Nov-2024');</v>
      </c>
      <c r="H1042" s="12" t="str">
        <f t="shared" si="67"/>
        <v>insert into ins_premium_det (premium_rcv_code,assorted_code, rec_amount,premium_rcv_detail_code,remaining_amt, payrec, mode_code,coinsurance_code,class_cd,it_remarks) values('28Nov240101','040000152710','0',(select max(to_number(i.premium_rcv_detail_code))+1
from ins_premium_det i),'0','0','02', '11000003','00','Request by Mr. Omair Ali 29-Nov-2024');</v>
      </c>
    </row>
    <row r="1043" spans="1:8" ht="105" x14ac:dyDescent="0.25">
      <c r="A1043" t="s">
        <v>1043</v>
      </c>
      <c r="B1043" s="8" t="str">
        <f>VLOOKUP(A1043,assortedcode!B:C,2,0)</f>
        <v>040000151035</v>
      </c>
      <c r="C1043" s="1">
        <v>0</v>
      </c>
      <c r="D1043" s="9">
        <f t="shared" si="65"/>
        <v>0</v>
      </c>
      <c r="E1043" s="7" t="s">
        <v>8345</v>
      </c>
      <c r="F1043" s="10" t="str">
        <f t="shared" si="64"/>
        <v>insert into ins_premium_det (premium_rcv_code,assorted_code, rec_amount,premium_rcv_detail_code,remaining_amt, payrec, mode_code,coinsurance_code,class_cd,it_remarks) values</v>
      </c>
      <c r="G1043" s="11" t="str">
        <f t="shared" si="66"/>
        <v>('28Nov240101','040000151035','0',(select max(to_number(i.premium_rcv_detail_code))+1
from ins_premium_det i),'0','0','02', '11000003','00','Request by Mr. Omair Ali 29-Nov-2024');</v>
      </c>
      <c r="H1043" s="12" t="str">
        <f t="shared" si="67"/>
        <v>insert into ins_premium_det (premium_rcv_code,assorted_code, rec_amount,premium_rcv_detail_code,remaining_amt, payrec, mode_code,coinsurance_code,class_cd,it_remarks) values('28Nov240101','040000151035','0',(select max(to_number(i.premium_rcv_detail_code))+1
from ins_premium_det i),'0','0','02', '11000003','00','Request by Mr. Omair Ali 29-Nov-2024');</v>
      </c>
    </row>
    <row r="1044" spans="1:8" ht="105" x14ac:dyDescent="0.25">
      <c r="A1044" t="s">
        <v>1044</v>
      </c>
      <c r="B1044" s="8" t="str">
        <f>VLOOKUP(A1044,assortedcode!B:C,2,0)</f>
        <v>040000175644</v>
      </c>
      <c r="C1044" s="1">
        <v>0</v>
      </c>
      <c r="D1044" s="9">
        <f t="shared" si="65"/>
        <v>0</v>
      </c>
      <c r="E1044" s="7" t="s">
        <v>8345</v>
      </c>
      <c r="F1044" s="10" t="str">
        <f t="shared" si="64"/>
        <v>insert into ins_premium_det (premium_rcv_code,assorted_code, rec_amount,premium_rcv_detail_code,remaining_amt, payrec, mode_code,coinsurance_code,class_cd,it_remarks) values</v>
      </c>
      <c r="G1044" s="11" t="str">
        <f t="shared" si="66"/>
        <v>('28Nov240101','040000175644','0',(select max(to_number(i.premium_rcv_detail_code))+1
from ins_premium_det i),'0','0','02', '11000003','00','Request by Mr. Omair Ali 29-Nov-2024');</v>
      </c>
      <c r="H1044" s="12" t="str">
        <f t="shared" si="67"/>
        <v>insert into ins_premium_det (premium_rcv_code,assorted_code, rec_amount,premium_rcv_detail_code,remaining_amt, payrec, mode_code,coinsurance_code,class_cd,it_remarks) values('28Nov240101','040000175644','0',(select max(to_number(i.premium_rcv_detail_code))+1
from ins_premium_det i),'0','0','02', '11000003','00','Request by Mr. Omair Ali 29-Nov-2024');</v>
      </c>
    </row>
    <row r="1045" spans="1:8" ht="105" x14ac:dyDescent="0.25">
      <c r="A1045" t="s">
        <v>1045</v>
      </c>
      <c r="B1045" s="8" t="str">
        <f>VLOOKUP(A1045,assortedcode!B:C,2,0)</f>
        <v>040000160431</v>
      </c>
      <c r="C1045" s="1">
        <v>0</v>
      </c>
      <c r="D1045" s="9">
        <f t="shared" si="65"/>
        <v>0</v>
      </c>
      <c r="E1045" s="7" t="s">
        <v>8345</v>
      </c>
      <c r="F1045" s="10" t="str">
        <f t="shared" si="64"/>
        <v>insert into ins_premium_det (premium_rcv_code,assorted_code, rec_amount,premium_rcv_detail_code,remaining_amt, payrec, mode_code,coinsurance_code,class_cd,it_remarks) values</v>
      </c>
      <c r="G1045" s="11" t="str">
        <f t="shared" si="66"/>
        <v>('28Nov240101','040000160431','0',(select max(to_number(i.premium_rcv_detail_code))+1
from ins_premium_det i),'0','0','02', '11000003','00','Request by Mr. Omair Ali 29-Nov-2024');</v>
      </c>
      <c r="H1045" s="12" t="str">
        <f t="shared" si="67"/>
        <v>insert into ins_premium_det (premium_rcv_code,assorted_code, rec_amount,premium_rcv_detail_code,remaining_amt, payrec, mode_code,coinsurance_code,class_cd,it_remarks) values('28Nov240101','040000160431','0',(select max(to_number(i.premium_rcv_detail_code))+1
from ins_premium_det i),'0','0','02', '11000003','00','Request by Mr. Omair Ali 29-Nov-2024');</v>
      </c>
    </row>
    <row r="1046" spans="1:8" ht="105" x14ac:dyDescent="0.25">
      <c r="A1046" t="s">
        <v>1046</v>
      </c>
      <c r="B1046" s="8" t="str">
        <f>VLOOKUP(A1046,assortedcode!B:C,2,0)</f>
        <v>040000184105</v>
      </c>
      <c r="C1046" s="1">
        <v>0</v>
      </c>
      <c r="D1046" s="9">
        <f t="shared" si="65"/>
        <v>0</v>
      </c>
      <c r="E1046" s="7" t="s">
        <v>8345</v>
      </c>
      <c r="F1046" s="10" t="str">
        <f t="shared" si="64"/>
        <v>insert into ins_premium_det (premium_rcv_code,assorted_code, rec_amount,premium_rcv_detail_code,remaining_amt, payrec, mode_code,coinsurance_code,class_cd,it_remarks) values</v>
      </c>
      <c r="G1046" s="11" t="str">
        <f t="shared" si="66"/>
        <v>('28Nov240101','040000184105','0',(select max(to_number(i.premium_rcv_detail_code))+1
from ins_premium_det i),'0','0','02', '11000003','00','Request by Mr. Omair Ali 29-Nov-2024');</v>
      </c>
      <c r="H1046" s="12" t="str">
        <f t="shared" si="67"/>
        <v>insert into ins_premium_det (premium_rcv_code,assorted_code, rec_amount,premium_rcv_detail_code,remaining_amt, payrec, mode_code,coinsurance_code,class_cd,it_remarks) values('28Nov240101','040000184105','0',(select max(to_number(i.premium_rcv_detail_code))+1
from ins_premium_det i),'0','0','02', '11000003','00','Request by Mr. Omair Ali 29-Nov-2024');</v>
      </c>
    </row>
    <row r="1047" spans="1:8" ht="105" x14ac:dyDescent="0.25">
      <c r="A1047" t="s">
        <v>1047</v>
      </c>
      <c r="B1047" s="8" t="str">
        <f>VLOOKUP(A1047,assortedcode!B:C,2,0)</f>
        <v>040000160567</v>
      </c>
      <c r="C1047" s="1">
        <v>0</v>
      </c>
      <c r="D1047" s="9">
        <f t="shared" si="65"/>
        <v>0</v>
      </c>
      <c r="E1047" s="7" t="s">
        <v>8345</v>
      </c>
      <c r="F1047" s="10" t="str">
        <f t="shared" si="64"/>
        <v>insert into ins_premium_det (premium_rcv_code,assorted_code, rec_amount,premium_rcv_detail_code,remaining_amt, payrec, mode_code,coinsurance_code,class_cd,it_remarks) values</v>
      </c>
      <c r="G1047" s="11" t="str">
        <f t="shared" si="66"/>
        <v>('28Nov240101','040000160567','0',(select max(to_number(i.premium_rcv_detail_code))+1
from ins_premium_det i),'0','0','02', '11000003','00','Request by Mr. Omair Ali 29-Nov-2024');</v>
      </c>
      <c r="H1047" s="12" t="str">
        <f t="shared" si="67"/>
        <v>insert into ins_premium_det (premium_rcv_code,assorted_code, rec_amount,premium_rcv_detail_code,remaining_amt, payrec, mode_code,coinsurance_code,class_cd,it_remarks) values('28Nov240101','040000160567','0',(select max(to_number(i.premium_rcv_detail_code))+1
from ins_premium_det i),'0','0','02', '11000003','00','Request by Mr. Omair Ali 29-Nov-2024');</v>
      </c>
    </row>
    <row r="1048" spans="1:8" ht="105" x14ac:dyDescent="0.25">
      <c r="A1048" t="s">
        <v>1048</v>
      </c>
      <c r="B1048" s="8" t="str">
        <f>VLOOKUP(A1048,assortedcode!B:C,2,0)</f>
        <v>040000113066</v>
      </c>
      <c r="C1048" s="1">
        <v>0</v>
      </c>
      <c r="D1048" s="9">
        <f t="shared" si="65"/>
        <v>0</v>
      </c>
      <c r="E1048" s="7" t="s">
        <v>8345</v>
      </c>
      <c r="F1048" s="10" t="str">
        <f t="shared" si="64"/>
        <v>insert into ins_premium_det (premium_rcv_code,assorted_code, rec_amount,premium_rcv_detail_code,remaining_amt, payrec, mode_code,coinsurance_code,class_cd,it_remarks) values</v>
      </c>
      <c r="G1048" s="11" t="str">
        <f t="shared" si="66"/>
        <v>('28Nov240101','040000113066','0',(select max(to_number(i.premium_rcv_detail_code))+1
from ins_premium_det i),'0','0','02', '11000003','00','Request by Mr. Omair Ali 29-Nov-2024');</v>
      </c>
      <c r="H1048" s="12" t="str">
        <f t="shared" si="67"/>
        <v>insert into ins_premium_det (premium_rcv_code,assorted_code, rec_amount,premium_rcv_detail_code,remaining_amt, payrec, mode_code,coinsurance_code,class_cd,it_remarks) values('28Nov240101','040000113066','0',(select max(to_number(i.premium_rcv_detail_code))+1
from ins_premium_det i),'0','0','02', '11000003','00','Request by Mr. Omair Ali 29-Nov-2024');</v>
      </c>
    </row>
    <row r="1049" spans="1:8" ht="105" x14ac:dyDescent="0.25">
      <c r="A1049" t="s">
        <v>1049</v>
      </c>
      <c r="B1049" s="8" t="str">
        <f>VLOOKUP(A1049,assortedcode!B:C,2,0)</f>
        <v>040000103479</v>
      </c>
      <c r="C1049" s="1">
        <v>0</v>
      </c>
      <c r="D1049" s="9">
        <f t="shared" si="65"/>
        <v>0</v>
      </c>
      <c r="E1049" s="7" t="s">
        <v>8345</v>
      </c>
      <c r="F1049" s="10" t="str">
        <f t="shared" si="64"/>
        <v>insert into ins_premium_det (premium_rcv_code,assorted_code, rec_amount,premium_rcv_detail_code,remaining_amt, payrec, mode_code,coinsurance_code,class_cd,it_remarks) values</v>
      </c>
      <c r="G1049" s="11" t="str">
        <f t="shared" si="66"/>
        <v>('28Nov240101','040000103479','0',(select max(to_number(i.premium_rcv_detail_code))+1
from ins_premium_det i),'0','0','02', '11000003','00','Request by Mr. Omair Ali 29-Nov-2024');</v>
      </c>
      <c r="H1049" s="12" t="str">
        <f t="shared" si="67"/>
        <v>insert into ins_premium_det (premium_rcv_code,assorted_code, rec_amount,premium_rcv_detail_code,remaining_amt, payrec, mode_code,coinsurance_code,class_cd,it_remarks) values('28Nov240101','040000103479','0',(select max(to_number(i.premium_rcv_detail_code))+1
from ins_premium_det i),'0','0','02', '11000003','00','Request by Mr. Omair Ali 29-Nov-2024');</v>
      </c>
    </row>
    <row r="1050" spans="1:8" ht="105" x14ac:dyDescent="0.25">
      <c r="A1050" t="s">
        <v>1050</v>
      </c>
      <c r="B1050" s="8" t="str">
        <f>VLOOKUP(A1050,assortedcode!B:C,2,0)</f>
        <v>040000116694</v>
      </c>
      <c r="C1050" s="1">
        <v>0</v>
      </c>
      <c r="D1050" s="9">
        <f t="shared" si="65"/>
        <v>0</v>
      </c>
      <c r="E1050" s="7" t="s">
        <v>8345</v>
      </c>
      <c r="F1050" s="10" t="str">
        <f t="shared" si="64"/>
        <v>insert into ins_premium_det (premium_rcv_code,assorted_code, rec_amount,premium_rcv_detail_code,remaining_amt, payrec, mode_code,coinsurance_code,class_cd,it_remarks) values</v>
      </c>
      <c r="G1050" s="11" t="str">
        <f t="shared" si="66"/>
        <v>('28Nov240101','040000116694','0',(select max(to_number(i.premium_rcv_detail_code))+1
from ins_premium_det i),'0','0','02', '11000003','00','Request by Mr. Omair Ali 29-Nov-2024');</v>
      </c>
      <c r="H1050" s="12" t="str">
        <f t="shared" si="67"/>
        <v>insert into ins_premium_det (premium_rcv_code,assorted_code, rec_amount,premium_rcv_detail_code,remaining_amt, payrec, mode_code,coinsurance_code,class_cd,it_remarks) values('28Nov240101','040000116694','0',(select max(to_number(i.premium_rcv_detail_code))+1
from ins_premium_det i),'0','0','02', '11000003','00','Request by Mr. Omair Ali 29-Nov-2024');</v>
      </c>
    </row>
    <row r="1051" spans="1:8" ht="105" x14ac:dyDescent="0.25">
      <c r="A1051" t="s">
        <v>1051</v>
      </c>
      <c r="B1051" s="8" t="str">
        <f>VLOOKUP(A1051,assortedcode!B:C,2,0)</f>
        <v>040000103547</v>
      </c>
      <c r="C1051" s="1">
        <v>0</v>
      </c>
      <c r="D1051" s="9">
        <f t="shared" si="65"/>
        <v>0</v>
      </c>
      <c r="E1051" s="7" t="s">
        <v>8345</v>
      </c>
      <c r="F1051" s="10" t="str">
        <f t="shared" si="64"/>
        <v>insert into ins_premium_det (premium_rcv_code,assorted_code, rec_amount,premium_rcv_detail_code,remaining_amt, payrec, mode_code,coinsurance_code,class_cd,it_remarks) values</v>
      </c>
      <c r="G1051" s="11" t="str">
        <f t="shared" si="66"/>
        <v>('28Nov240101','040000103547','0',(select max(to_number(i.premium_rcv_detail_code))+1
from ins_premium_det i),'0','0','02', '11000003','00','Request by Mr. Omair Ali 29-Nov-2024');</v>
      </c>
      <c r="H1051" s="12" t="str">
        <f t="shared" si="67"/>
        <v>insert into ins_premium_det (premium_rcv_code,assorted_code, rec_amount,premium_rcv_detail_code,remaining_amt, payrec, mode_code,coinsurance_code,class_cd,it_remarks) values('28Nov240101','040000103547','0',(select max(to_number(i.premium_rcv_detail_code))+1
from ins_premium_det i),'0','0','02', '11000003','00','Request by Mr. Omair Ali 29-Nov-2024');</v>
      </c>
    </row>
    <row r="1052" spans="1:8" ht="105" x14ac:dyDescent="0.25">
      <c r="A1052" t="s">
        <v>1052</v>
      </c>
      <c r="B1052" s="8" t="str">
        <f>VLOOKUP(A1052,assortedcode!B:C,2,0)</f>
        <v>040000144609</v>
      </c>
      <c r="C1052" s="1">
        <v>0</v>
      </c>
      <c r="D1052" s="9">
        <f t="shared" si="65"/>
        <v>0</v>
      </c>
      <c r="E1052" s="7" t="s">
        <v>8345</v>
      </c>
      <c r="F1052" s="10" t="str">
        <f t="shared" si="64"/>
        <v>insert into ins_premium_det (premium_rcv_code,assorted_code, rec_amount,premium_rcv_detail_code,remaining_amt, payrec, mode_code,coinsurance_code,class_cd,it_remarks) values</v>
      </c>
      <c r="G1052" s="11" t="str">
        <f t="shared" si="66"/>
        <v>('28Nov240101','040000144609','0',(select max(to_number(i.premium_rcv_detail_code))+1
from ins_premium_det i),'0','0','02', '11000003','00','Request by Mr. Omair Ali 29-Nov-2024');</v>
      </c>
      <c r="H1052" s="12" t="str">
        <f t="shared" si="67"/>
        <v>insert into ins_premium_det (premium_rcv_code,assorted_code, rec_amount,premium_rcv_detail_code,remaining_amt, payrec, mode_code,coinsurance_code,class_cd,it_remarks) values('28Nov240101','040000144609','0',(select max(to_number(i.premium_rcv_detail_code))+1
from ins_premium_det i),'0','0','02', '11000003','00','Request by Mr. Omair Ali 29-Nov-2024');</v>
      </c>
    </row>
    <row r="1053" spans="1:8" ht="105" x14ac:dyDescent="0.25">
      <c r="A1053" t="s">
        <v>1053</v>
      </c>
      <c r="B1053" s="8" t="str">
        <f>VLOOKUP(A1053,assortedcode!B:C,2,0)</f>
        <v>040000103554</v>
      </c>
      <c r="C1053" s="1">
        <v>0</v>
      </c>
      <c r="D1053" s="9">
        <f t="shared" si="65"/>
        <v>0</v>
      </c>
      <c r="E1053" s="7" t="s">
        <v>8345</v>
      </c>
      <c r="F1053" s="10" t="str">
        <f t="shared" si="64"/>
        <v>insert into ins_premium_det (premium_rcv_code,assorted_code, rec_amount,premium_rcv_detail_code,remaining_amt, payrec, mode_code,coinsurance_code,class_cd,it_remarks) values</v>
      </c>
      <c r="G1053" s="11" t="str">
        <f t="shared" si="66"/>
        <v>('28Nov240101','040000103554','0',(select max(to_number(i.premium_rcv_detail_code))+1
from ins_premium_det i),'0','0','02', '11000003','00','Request by Mr. Omair Ali 29-Nov-2024');</v>
      </c>
      <c r="H1053" s="12" t="str">
        <f t="shared" si="67"/>
        <v>insert into ins_premium_det (premium_rcv_code,assorted_code, rec_amount,premium_rcv_detail_code,remaining_amt, payrec, mode_code,coinsurance_code,class_cd,it_remarks) values('28Nov240101','040000103554','0',(select max(to_number(i.premium_rcv_detail_code))+1
from ins_premium_det i),'0','0','02', '11000003','00','Request by Mr. Omair Ali 29-Nov-2024');</v>
      </c>
    </row>
    <row r="1054" spans="1:8" ht="105" x14ac:dyDescent="0.25">
      <c r="A1054" t="s">
        <v>1054</v>
      </c>
      <c r="B1054" s="8" t="str">
        <f>VLOOKUP(A1054,assortedcode!B:C,2,0)</f>
        <v>040000165758</v>
      </c>
      <c r="C1054" s="1">
        <v>0</v>
      </c>
      <c r="D1054" s="9">
        <f t="shared" si="65"/>
        <v>0</v>
      </c>
      <c r="E1054" s="7" t="s">
        <v>8345</v>
      </c>
      <c r="F1054" s="10" t="str">
        <f t="shared" si="64"/>
        <v>insert into ins_premium_det (premium_rcv_code,assorted_code, rec_amount,premium_rcv_detail_code,remaining_amt, payrec, mode_code,coinsurance_code,class_cd,it_remarks) values</v>
      </c>
      <c r="G1054" s="11" t="str">
        <f t="shared" si="66"/>
        <v>('28Nov240101','040000165758','0',(select max(to_number(i.premium_rcv_detail_code))+1
from ins_premium_det i),'0','0','02', '11000003','00','Request by Mr. Omair Ali 29-Nov-2024');</v>
      </c>
      <c r="H1054" s="12" t="str">
        <f t="shared" si="67"/>
        <v>insert into ins_premium_det (premium_rcv_code,assorted_code, rec_amount,premium_rcv_detail_code,remaining_amt, payrec, mode_code,coinsurance_code,class_cd,it_remarks) values('28Nov240101','040000165758','0',(select max(to_number(i.premium_rcv_detail_code))+1
from ins_premium_det i),'0','0','02', '11000003','00','Request by Mr. Omair Ali 29-Nov-2024');</v>
      </c>
    </row>
    <row r="1055" spans="1:8" ht="105" x14ac:dyDescent="0.25">
      <c r="A1055" t="s">
        <v>1055</v>
      </c>
      <c r="B1055" s="8" t="str">
        <f>VLOOKUP(A1055,assortedcode!B:C,2,0)</f>
        <v>040000103856</v>
      </c>
      <c r="C1055" s="1">
        <v>0</v>
      </c>
      <c r="D1055" s="9">
        <f t="shared" si="65"/>
        <v>0</v>
      </c>
      <c r="E1055" s="7" t="s">
        <v>8345</v>
      </c>
      <c r="F1055" s="10" t="str">
        <f t="shared" si="64"/>
        <v>insert into ins_premium_det (premium_rcv_code,assorted_code, rec_amount,premium_rcv_detail_code,remaining_amt, payrec, mode_code,coinsurance_code,class_cd,it_remarks) values</v>
      </c>
      <c r="G1055" s="11" t="str">
        <f t="shared" si="66"/>
        <v>('28Nov240101','040000103856','0',(select max(to_number(i.premium_rcv_detail_code))+1
from ins_premium_det i),'0','0','02', '11000003','00','Request by Mr. Omair Ali 29-Nov-2024');</v>
      </c>
      <c r="H1055" s="12" t="str">
        <f t="shared" si="67"/>
        <v>insert into ins_premium_det (premium_rcv_code,assorted_code, rec_amount,premium_rcv_detail_code,remaining_amt, payrec, mode_code,coinsurance_code,class_cd,it_remarks) values('28Nov240101','040000103856','0',(select max(to_number(i.premium_rcv_detail_code))+1
from ins_premium_det i),'0','0','02', '11000003','00','Request by Mr. Omair Ali 29-Nov-2024');</v>
      </c>
    </row>
    <row r="1056" spans="1:8" ht="105" x14ac:dyDescent="0.25">
      <c r="A1056" t="s">
        <v>1056</v>
      </c>
      <c r="B1056" s="8" t="str">
        <f>VLOOKUP(A1056,assortedcode!B:C,2,0)</f>
        <v>040000177830</v>
      </c>
      <c r="C1056" s="1">
        <v>0</v>
      </c>
      <c r="D1056" s="9">
        <f t="shared" si="65"/>
        <v>0</v>
      </c>
      <c r="E1056" s="7" t="s">
        <v>8345</v>
      </c>
      <c r="F1056" s="10" t="str">
        <f t="shared" si="64"/>
        <v>insert into ins_premium_det (premium_rcv_code,assorted_code, rec_amount,premium_rcv_detail_code,remaining_amt, payrec, mode_code,coinsurance_code,class_cd,it_remarks) values</v>
      </c>
      <c r="G1056" s="11" t="str">
        <f t="shared" si="66"/>
        <v>('28Nov240101','040000177830','0',(select max(to_number(i.premium_rcv_detail_code))+1
from ins_premium_det i),'0','0','02', '11000003','00','Request by Mr. Omair Ali 29-Nov-2024');</v>
      </c>
      <c r="H1056" s="12" t="str">
        <f t="shared" si="67"/>
        <v>insert into ins_premium_det (premium_rcv_code,assorted_code, rec_amount,premium_rcv_detail_code,remaining_amt, payrec, mode_code,coinsurance_code,class_cd,it_remarks) values('28Nov240101','040000177830','0',(select max(to_number(i.premium_rcv_detail_code))+1
from ins_premium_det i),'0','0','02', '11000003','00','Request by Mr. Omair Ali 29-Nov-2024');</v>
      </c>
    </row>
    <row r="1057" spans="1:8" ht="105" x14ac:dyDescent="0.25">
      <c r="A1057" t="s">
        <v>1057</v>
      </c>
      <c r="B1057" s="8" t="str">
        <f>VLOOKUP(A1057,assortedcode!B:C,2,0)</f>
        <v>040000103872</v>
      </c>
      <c r="C1057" s="1">
        <v>0</v>
      </c>
      <c r="D1057" s="9">
        <f t="shared" si="65"/>
        <v>0</v>
      </c>
      <c r="E1057" s="7" t="s">
        <v>8345</v>
      </c>
      <c r="F1057" s="10" t="str">
        <f t="shared" si="64"/>
        <v>insert into ins_premium_det (premium_rcv_code,assorted_code, rec_amount,premium_rcv_detail_code,remaining_amt, payrec, mode_code,coinsurance_code,class_cd,it_remarks) values</v>
      </c>
      <c r="G1057" s="11" t="str">
        <f t="shared" si="66"/>
        <v>('28Nov240101','040000103872','0',(select max(to_number(i.premium_rcv_detail_code))+1
from ins_premium_det i),'0','0','02', '11000003','00','Request by Mr. Omair Ali 29-Nov-2024');</v>
      </c>
      <c r="H1057" s="12" t="str">
        <f t="shared" si="67"/>
        <v>insert into ins_premium_det (premium_rcv_code,assorted_code, rec_amount,premium_rcv_detail_code,remaining_amt, payrec, mode_code,coinsurance_code,class_cd,it_remarks) values('28Nov240101','040000103872','0',(select max(to_number(i.premium_rcv_detail_code))+1
from ins_premium_det i),'0','0','02', '11000003','00','Request by Mr. Omair Ali 29-Nov-2024');</v>
      </c>
    </row>
    <row r="1058" spans="1:8" ht="105" x14ac:dyDescent="0.25">
      <c r="A1058" t="s">
        <v>1058</v>
      </c>
      <c r="B1058" s="8" t="str">
        <f>VLOOKUP(A1058,assortedcode!B:C,2,0)</f>
        <v>040000114350</v>
      </c>
      <c r="C1058" s="1">
        <v>0</v>
      </c>
      <c r="D1058" s="9">
        <f t="shared" si="65"/>
        <v>0</v>
      </c>
      <c r="E1058" s="7" t="s">
        <v>8345</v>
      </c>
      <c r="F1058" s="10" t="str">
        <f t="shared" si="64"/>
        <v>insert into ins_premium_det (premium_rcv_code,assorted_code, rec_amount,premium_rcv_detail_code,remaining_amt, payrec, mode_code,coinsurance_code,class_cd,it_remarks) values</v>
      </c>
      <c r="G1058" s="11" t="str">
        <f t="shared" si="66"/>
        <v>('28Nov240101','040000114350','0',(select max(to_number(i.premium_rcv_detail_code))+1
from ins_premium_det i),'0','0','02', '11000003','00','Request by Mr. Omair Ali 29-Nov-2024');</v>
      </c>
      <c r="H1058" s="12" t="str">
        <f t="shared" si="67"/>
        <v>insert into ins_premium_det (premium_rcv_code,assorted_code, rec_amount,premium_rcv_detail_code,remaining_amt, payrec, mode_code,coinsurance_code,class_cd,it_remarks) values('28Nov240101','040000114350','0',(select max(to_number(i.premium_rcv_detail_code))+1
from ins_premium_det i),'0','0','02', '11000003','00','Request by Mr. Omair Ali 29-Nov-2024');</v>
      </c>
    </row>
    <row r="1059" spans="1:8" ht="105" x14ac:dyDescent="0.25">
      <c r="A1059" t="s">
        <v>1059</v>
      </c>
      <c r="B1059" s="8" t="str">
        <f>VLOOKUP(A1059,assortedcode!B:C,2,0)</f>
        <v>040000103890</v>
      </c>
      <c r="C1059" s="1">
        <v>0</v>
      </c>
      <c r="D1059" s="9">
        <f t="shared" si="65"/>
        <v>0</v>
      </c>
      <c r="E1059" s="7" t="s">
        <v>8345</v>
      </c>
      <c r="F1059" s="10" t="str">
        <f t="shared" si="64"/>
        <v>insert into ins_premium_det (premium_rcv_code,assorted_code, rec_amount,premium_rcv_detail_code,remaining_amt, payrec, mode_code,coinsurance_code,class_cd,it_remarks) values</v>
      </c>
      <c r="G1059" s="11" t="str">
        <f t="shared" si="66"/>
        <v>('28Nov240101','040000103890','0',(select max(to_number(i.premium_rcv_detail_code))+1
from ins_premium_det i),'0','0','02', '11000003','00','Request by Mr. Omair Ali 29-Nov-2024');</v>
      </c>
      <c r="H1059" s="12" t="str">
        <f t="shared" si="67"/>
        <v>insert into ins_premium_det (premium_rcv_code,assorted_code, rec_amount,premium_rcv_detail_code,remaining_amt, payrec, mode_code,coinsurance_code,class_cd,it_remarks) values('28Nov240101','040000103890','0',(select max(to_number(i.premium_rcv_detail_code))+1
from ins_premium_det i),'0','0','02', '11000003','00','Request by Mr. Omair Ali 29-Nov-2024');</v>
      </c>
    </row>
    <row r="1060" spans="1:8" ht="105" x14ac:dyDescent="0.25">
      <c r="A1060" t="s">
        <v>1060</v>
      </c>
      <c r="B1060" s="8" t="str">
        <f>VLOOKUP(A1060,assortedcode!B:C,2,0)</f>
        <v>040000122092</v>
      </c>
      <c r="C1060" s="1">
        <v>0</v>
      </c>
      <c r="D1060" s="9">
        <f t="shared" si="65"/>
        <v>0</v>
      </c>
      <c r="E1060" s="7" t="s">
        <v>8345</v>
      </c>
      <c r="F1060" s="10" t="str">
        <f t="shared" si="64"/>
        <v>insert into ins_premium_det (premium_rcv_code,assorted_code, rec_amount,premium_rcv_detail_code,remaining_amt, payrec, mode_code,coinsurance_code,class_cd,it_remarks) values</v>
      </c>
      <c r="G1060" s="11" t="str">
        <f t="shared" si="66"/>
        <v>('28Nov240101','040000122092','0',(select max(to_number(i.premium_rcv_detail_code))+1
from ins_premium_det i),'0','0','02', '11000003','00','Request by Mr. Omair Ali 29-Nov-2024');</v>
      </c>
      <c r="H1060" s="12" t="str">
        <f t="shared" si="67"/>
        <v>insert into ins_premium_det (premium_rcv_code,assorted_code, rec_amount,premium_rcv_detail_code,remaining_amt, payrec, mode_code,coinsurance_code,class_cd,it_remarks) values('28Nov240101','040000122092','0',(select max(to_number(i.premium_rcv_detail_code))+1
from ins_premium_det i),'0','0','02', '11000003','00','Request by Mr. Omair Ali 29-Nov-2024');</v>
      </c>
    </row>
    <row r="1061" spans="1:8" ht="105" x14ac:dyDescent="0.25">
      <c r="A1061" t="s">
        <v>1061</v>
      </c>
      <c r="B1061" s="8" t="str">
        <f>VLOOKUP(A1061,assortedcode!B:C,2,0)</f>
        <v>040000104576</v>
      </c>
      <c r="C1061" s="1">
        <v>0</v>
      </c>
      <c r="D1061" s="9">
        <f t="shared" si="65"/>
        <v>0</v>
      </c>
      <c r="E1061" s="7" t="s">
        <v>8345</v>
      </c>
      <c r="F1061" s="10" t="str">
        <f t="shared" si="64"/>
        <v>insert into ins_premium_det (premium_rcv_code,assorted_code, rec_amount,premium_rcv_detail_code,remaining_amt, payrec, mode_code,coinsurance_code,class_cd,it_remarks) values</v>
      </c>
      <c r="G1061" s="11" t="str">
        <f t="shared" si="66"/>
        <v>('28Nov240101','040000104576','0',(select max(to_number(i.premium_rcv_detail_code))+1
from ins_premium_det i),'0','0','02', '11000003','00','Request by Mr. Omair Ali 29-Nov-2024');</v>
      </c>
      <c r="H1061" s="12" t="str">
        <f t="shared" si="67"/>
        <v>insert into ins_premium_det (premium_rcv_code,assorted_code, rec_amount,premium_rcv_detail_code,remaining_amt, payrec, mode_code,coinsurance_code,class_cd,it_remarks) values('28Nov240101','040000104576','0',(select max(to_number(i.premium_rcv_detail_code))+1
from ins_premium_det i),'0','0','02', '11000003','00','Request by Mr. Omair Ali 29-Nov-2024');</v>
      </c>
    </row>
    <row r="1062" spans="1:8" ht="105" x14ac:dyDescent="0.25">
      <c r="A1062" t="s">
        <v>1062</v>
      </c>
      <c r="B1062" s="8" t="str">
        <f>VLOOKUP(A1062,assortedcode!B:C,2,0)</f>
        <v>040000108443</v>
      </c>
      <c r="C1062" s="1">
        <v>0</v>
      </c>
      <c r="D1062" s="9">
        <f t="shared" si="65"/>
        <v>0</v>
      </c>
      <c r="E1062" s="7" t="s">
        <v>8345</v>
      </c>
      <c r="F1062" s="10" t="str">
        <f t="shared" si="64"/>
        <v>insert into ins_premium_det (premium_rcv_code,assorted_code, rec_amount,premium_rcv_detail_code,remaining_amt, payrec, mode_code,coinsurance_code,class_cd,it_remarks) values</v>
      </c>
      <c r="G1062" s="11" t="str">
        <f t="shared" si="66"/>
        <v>('28Nov240101','040000108443','0',(select max(to_number(i.premium_rcv_detail_code))+1
from ins_premium_det i),'0','0','02', '11000003','00','Request by Mr. Omair Ali 29-Nov-2024');</v>
      </c>
      <c r="H1062" s="12" t="str">
        <f t="shared" si="67"/>
        <v>insert into ins_premium_det (premium_rcv_code,assorted_code, rec_amount,premium_rcv_detail_code,remaining_amt, payrec, mode_code,coinsurance_code,class_cd,it_remarks) values('28Nov240101','040000108443','0',(select max(to_number(i.premium_rcv_detail_code))+1
from ins_premium_det i),'0','0','02', '11000003','00','Request by Mr. Omair Ali 29-Nov-2024');</v>
      </c>
    </row>
    <row r="1063" spans="1:8" ht="105" x14ac:dyDescent="0.25">
      <c r="A1063" t="s">
        <v>1063</v>
      </c>
      <c r="B1063" s="8" t="str">
        <f>VLOOKUP(A1063,assortedcode!B:C,2,0)</f>
        <v>040000104577</v>
      </c>
      <c r="C1063" s="1">
        <v>0</v>
      </c>
      <c r="D1063" s="9">
        <f t="shared" si="65"/>
        <v>0</v>
      </c>
      <c r="E1063" s="7" t="s">
        <v>8345</v>
      </c>
      <c r="F1063" s="10" t="str">
        <f t="shared" si="64"/>
        <v>insert into ins_premium_det (premium_rcv_code,assorted_code, rec_amount,premium_rcv_detail_code,remaining_amt, payrec, mode_code,coinsurance_code,class_cd,it_remarks) values</v>
      </c>
      <c r="G1063" s="11" t="str">
        <f t="shared" si="66"/>
        <v>('28Nov240101','040000104577','0',(select max(to_number(i.premium_rcv_detail_code))+1
from ins_premium_det i),'0','0','02', '11000003','00','Request by Mr. Omair Ali 29-Nov-2024');</v>
      </c>
      <c r="H1063" s="12" t="str">
        <f t="shared" si="67"/>
        <v>insert into ins_premium_det (premium_rcv_code,assorted_code, rec_amount,premium_rcv_detail_code,remaining_amt, payrec, mode_code,coinsurance_code,class_cd,it_remarks) values('28Nov240101','040000104577','0',(select max(to_number(i.premium_rcv_detail_code))+1
from ins_premium_det i),'0','0','02', '11000003','00','Request by Mr. Omair Ali 29-Nov-2024');</v>
      </c>
    </row>
    <row r="1064" spans="1:8" ht="105" x14ac:dyDescent="0.25">
      <c r="A1064" t="s">
        <v>1064</v>
      </c>
      <c r="B1064" s="8" t="str">
        <f>VLOOKUP(A1064,assortedcode!B:C,2,0)</f>
        <v>040000168458</v>
      </c>
      <c r="C1064" s="1">
        <v>0</v>
      </c>
      <c r="D1064" s="9">
        <f t="shared" si="65"/>
        <v>0</v>
      </c>
      <c r="E1064" s="7" t="s">
        <v>8345</v>
      </c>
      <c r="F1064" s="10" t="str">
        <f t="shared" si="64"/>
        <v>insert into ins_premium_det (premium_rcv_code,assorted_code, rec_amount,premium_rcv_detail_code,remaining_amt, payrec, mode_code,coinsurance_code,class_cd,it_remarks) values</v>
      </c>
      <c r="G1064" s="11" t="str">
        <f t="shared" si="66"/>
        <v>('28Nov240101','040000168458','0',(select max(to_number(i.premium_rcv_detail_code))+1
from ins_premium_det i),'0','0','02', '11000003','00','Request by Mr. Omair Ali 29-Nov-2024');</v>
      </c>
      <c r="H1064" s="12" t="str">
        <f t="shared" si="67"/>
        <v>insert into ins_premium_det (premium_rcv_code,assorted_code, rec_amount,premium_rcv_detail_code,remaining_amt, payrec, mode_code,coinsurance_code,class_cd,it_remarks) values('28Nov240101','040000168458','0',(select max(to_number(i.premium_rcv_detail_code))+1
from ins_premium_det i),'0','0','02', '11000003','00','Request by Mr. Omair Ali 29-Nov-2024');</v>
      </c>
    </row>
    <row r="1065" spans="1:8" ht="105" x14ac:dyDescent="0.25">
      <c r="A1065" t="s">
        <v>1065</v>
      </c>
      <c r="B1065" s="8" t="str">
        <f>VLOOKUP(A1065,assortedcode!B:C,2,0)</f>
        <v>040000104578</v>
      </c>
      <c r="C1065" s="1">
        <v>0</v>
      </c>
      <c r="D1065" s="9">
        <f t="shared" si="65"/>
        <v>0</v>
      </c>
      <c r="E1065" s="7" t="s">
        <v>8345</v>
      </c>
      <c r="F1065" s="10" t="str">
        <f t="shared" si="64"/>
        <v>insert into ins_premium_det (premium_rcv_code,assorted_code, rec_amount,premium_rcv_detail_code,remaining_amt, payrec, mode_code,coinsurance_code,class_cd,it_remarks) values</v>
      </c>
      <c r="G1065" s="11" t="str">
        <f t="shared" si="66"/>
        <v>('28Nov240101','040000104578','0',(select max(to_number(i.premium_rcv_detail_code))+1
from ins_premium_det i),'0','0','02', '11000003','00','Request by Mr. Omair Ali 29-Nov-2024');</v>
      </c>
      <c r="H1065" s="12" t="str">
        <f t="shared" si="67"/>
        <v>insert into ins_premium_det (premium_rcv_code,assorted_code, rec_amount,premium_rcv_detail_code,remaining_amt, payrec, mode_code,coinsurance_code,class_cd,it_remarks) values('28Nov240101','040000104578','0',(select max(to_number(i.premium_rcv_detail_code))+1
from ins_premium_det i),'0','0','02', '11000003','00','Request by Mr. Omair Ali 29-Nov-2024');</v>
      </c>
    </row>
    <row r="1066" spans="1:8" ht="105" x14ac:dyDescent="0.25">
      <c r="A1066" t="s">
        <v>1066</v>
      </c>
      <c r="B1066" s="8" t="str">
        <f>VLOOKUP(A1066,assortedcode!B:C,2,0)</f>
        <v>040000121786</v>
      </c>
      <c r="C1066" s="1">
        <v>0</v>
      </c>
      <c r="D1066" s="9">
        <f t="shared" si="65"/>
        <v>0</v>
      </c>
      <c r="E1066" s="7" t="s">
        <v>8345</v>
      </c>
      <c r="F1066" s="10" t="str">
        <f t="shared" si="64"/>
        <v>insert into ins_premium_det (premium_rcv_code,assorted_code, rec_amount,premium_rcv_detail_code,remaining_amt, payrec, mode_code,coinsurance_code,class_cd,it_remarks) values</v>
      </c>
      <c r="G1066" s="11" t="str">
        <f t="shared" si="66"/>
        <v>('28Nov240101','040000121786','0',(select max(to_number(i.premium_rcv_detail_code))+1
from ins_premium_det i),'0','0','02', '11000003','00','Request by Mr. Omair Ali 29-Nov-2024');</v>
      </c>
      <c r="H1066" s="12" t="str">
        <f t="shared" si="67"/>
        <v>insert into ins_premium_det (premium_rcv_code,assorted_code, rec_amount,premium_rcv_detail_code,remaining_amt, payrec, mode_code,coinsurance_code,class_cd,it_remarks) values('28Nov240101','040000121786','0',(select max(to_number(i.premium_rcv_detail_code))+1
from ins_premium_det i),'0','0','02', '11000003','00','Request by Mr. Omair Ali 29-Nov-2024');</v>
      </c>
    </row>
    <row r="1067" spans="1:8" ht="105" x14ac:dyDescent="0.25">
      <c r="A1067" t="s">
        <v>1067</v>
      </c>
      <c r="B1067" s="8" t="str">
        <f>VLOOKUP(A1067,assortedcode!B:C,2,0)</f>
        <v>040000104697</v>
      </c>
      <c r="C1067" s="1">
        <v>0</v>
      </c>
      <c r="D1067" s="9">
        <f t="shared" si="65"/>
        <v>0</v>
      </c>
      <c r="E1067" s="7" t="s">
        <v>8345</v>
      </c>
      <c r="F1067" s="10" t="str">
        <f t="shared" si="64"/>
        <v>insert into ins_premium_det (premium_rcv_code,assorted_code, rec_amount,premium_rcv_detail_code,remaining_amt, payrec, mode_code,coinsurance_code,class_cd,it_remarks) values</v>
      </c>
      <c r="G1067" s="11" t="str">
        <f t="shared" si="66"/>
        <v>('28Nov240101','040000104697','0',(select max(to_number(i.premium_rcv_detail_code))+1
from ins_premium_det i),'0','0','02', '11000003','00','Request by Mr. Omair Ali 29-Nov-2024');</v>
      </c>
      <c r="H1067" s="12" t="str">
        <f t="shared" si="67"/>
        <v>insert into ins_premium_det (premium_rcv_code,assorted_code, rec_amount,premium_rcv_detail_code,remaining_amt, payrec, mode_code,coinsurance_code,class_cd,it_remarks) values('28Nov240101','040000104697','0',(select max(to_number(i.premium_rcv_detail_code))+1
from ins_premium_det i),'0','0','02', '11000003','00','Request by Mr. Omair Ali 29-Nov-2024');</v>
      </c>
    </row>
    <row r="1068" spans="1:8" ht="105" x14ac:dyDescent="0.25">
      <c r="A1068" t="s">
        <v>1068</v>
      </c>
      <c r="B1068" s="8" t="str">
        <f>VLOOKUP(A1068,assortedcode!B:C,2,0)</f>
        <v>040000106518</v>
      </c>
      <c r="C1068" s="1">
        <v>0</v>
      </c>
      <c r="D1068" s="9">
        <f t="shared" si="65"/>
        <v>0</v>
      </c>
      <c r="E1068" s="7" t="s">
        <v>8345</v>
      </c>
      <c r="F1068" s="10" t="str">
        <f t="shared" si="64"/>
        <v>insert into ins_premium_det (premium_rcv_code,assorted_code, rec_amount,premium_rcv_detail_code,remaining_amt, payrec, mode_code,coinsurance_code,class_cd,it_remarks) values</v>
      </c>
      <c r="G1068" s="11" t="str">
        <f t="shared" si="66"/>
        <v>('28Nov240101','040000106518','0',(select max(to_number(i.premium_rcv_detail_code))+1
from ins_premium_det i),'0','0','02', '11000003','00','Request by Mr. Omair Ali 29-Nov-2024');</v>
      </c>
      <c r="H1068" s="12" t="str">
        <f t="shared" si="67"/>
        <v>insert into ins_premium_det (premium_rcv_code,assorted_code, rec_amount,premium_rcv_detail_code,remaining_amt, payrec, mode_code,coinsurance_code,class_cd,it_remarks) values('28Nov240101','040000106518','0',(select max(to_number(i.premium_rcv_detail_code))+1
from ins_premium_det i),'0','0','02', '11000003','00','Request by Mr. Omair Ali 29-Nov-2024');</v>
      </c>
    </row>
    <row r="1069" spans="1:8" ht="105" x14ac:dyDescent="0.25">
      <c r="A1069" t="s">
        <v>1069</v>
      </c>
      <c r="B1069" s="8" t="str">
        <f>VLOOKUP(A1069,assortedcode!B:C,2,0)</f>
        <v>040000159087</v>
      </c>
      <c r="C1069" s="1">
        <v>0</v>
      </c>
      <c r="D1069" s="9">
        <f t="shared" si="65"/>
        <v>0</v>
      </c>
      <c r="E1069" s="7" t="s">
        <v>8345</v>
      </c>
      <c r="F1069" s="10" t="str">
        <f t="shared" si="64"/>
        <v>insert into ins_premium_det (premium_rcv_code,assorted_code, rec_amount,premium_rcv_detail_code,remaining_amt, payrec, mode_code,coinsurance_code,class_cd,it_remarks) values</v>
      </c>
      <c r="G1069" s="11" t="str">
        <f t="shared" si="66"/>
        <v>('28Nov240101','040000159087','0',(select max(to_number(i.premium_rcv_detail_code))+1
from ins_premium_det i),'0','0','02', '11000003','00','Request by Mr. Omair Ali 29-Nov-2024');</v>
      </c>
      <c r="H1069" s="12" t="str">
        <f t="shared" si="67"/>
        <v>insert into ins_premium_det (premium_rcv_code,assorted_code, rec_amount,premium_rcv_detail_code,remaining_amt, payrec, mode_code,coinsurance_code,class_cd,it_remarks) values('28Nov240101','040000159087','0',(select max(to_number(i.premium_rcv_detail_code))+1
from ins_premium_det i),'0','0','02', '11000003','00','Request by Mr. Omair Ali 29-Nov-2024');</v>
      </c>
    </row>
    <row r="1070" spans="1:8" ht="105" x14ac:dyDescent="0.25">
      <c r="A1070" t="s">
        <v>1070</v>
      </c>
      <c r="B1070" s="8" t="str">
        <f>VLOOKUP(A1070,assortedcode!B:C,2,0)</f>
        <v>040000161022</v>
      </c>
      <c r="C1070" s="1">
        <v>0</v>
      </c>
      <c r="D1070" s="9">
        <f t="shared" si="65"/>
        <v>0</v>
      </c>
      <c r="E1070" s="7" t="s">
        <v>8345</v>
      </c>
      <c r="F1070" s="10" t="str">
        <f t="shared" si="64"/>
        <v>insert into ins_premium_det (premium_rcv_code,assorted_code, rec_amount,premium_rcv_detail_code,remaining_amt, payrec, mode_code,coinsurance_code,class_cd,it_remarks) values</v>
      </c>
      <c r="G1070" s="11" t="str">
        <f t="shared" si="66"/>
        <v>('28Nov240101','040000161022','0',(select max(to_number(i.premium_rcv_detail_code))+1
from ins_premium_det i),'0','0','02', '11000003','00','Request by Mr. Omair Ali 29-Nov-2024');</v>
      </c>
      <c r="H1070" s="12" t="str">
        <f t="shared" si="67"/>
        <v>insert into ins_premium_det (premium_rcv_code,assorted_code, rec_amount,premium_rcv_detail_code,remaining_amt, payrec, mode_code,coinsurance_code,class_cd,it_remarks) values('28Nov240101','040000161022','0',(select max(to_number(i.premium_rcv_detail_code))+1
from ins_premium_det i),'0','0','02', '11000003','00','Request by Mr. Omair Ali 29-Nov-2024');</v>
      </c>
    </row>
    <row r="1071" spans="1:8" ht="105" x14ac:dyDescent="0.25">
      <c r="A1071" t="s">
        <v>1071</v>
      </c>
      <c r="B1071" s="8" t="str">
        <f>VLOOKUP(A1071,assortedcode!B:C,2,0)</f>
        <v>040000122579</v>
      </c>
      <c r="C1071" s="1">
        <v>0</v>
      </c>
      <c r="D1071" s="9">
        <f t="shared" si="65"/>
        <v>0</v>
      </c>
      <c r="E1071" s="7" t="s">
        <v>8345</v>
      </c>
      <c r="F1071" s="10" t="str">
        <f t="shared" si="64"/>
        <v>insert into ins_premium_det (premium_rcv_code,assorted_code, rec_amount,premium_rcv_detail_code,remaining_amt, payrec, mode_code,coinsurance_code,class_cd,it_remarks) values</v>
      </c>
      <c r="G1071" s="11" t="str">
        <f t="shared" si="66"/>
        <v>('28Nov240101','040000122579','0',(select max(to_number(i.premium_rcv_detail_code))+1
from ins_premium_det i),'0','0','02', '11000003','00','Request by Mr. Omair Ali 29-Nov-2024');</v>
      </c>
      <c r="H1071" s="12" t="str">
        <f t="shared" si="67"/>
        <v>insert into ins_premium_det (premium_rcv_code,assorted_code, rec_amount,premium_rcv_detail_code,remaining_amt, payrec, mode_code,coinsurance_code,class_cd,it_remarks) values('28Nov240101','040000122579','0',(select max(to_number(i.premium_rcv_detail_code))+1
from ins_premium_det i),'0','0','02', '11000003','00','Request by Mr. Omair Ali 29-Nov-2024');</v>
      </c>
    </row>
    <row r="1072" spans="1:8" ht="105" x14ac:dyDescent="0.25">
      <c r="A1072" t="s">
        <v>1072</v>
      </c>
      <c r="B1072" s="8" t="str">
        <f>VLOOKUP(A1072,assortedcode!B:C,2,0)</f>
        <v>040000161193</v>
      </c>
      <c r="C1072" s="1">
        <v>0</v>
      </c>
      <c r="D1072" s="9">
        <f t="shared" si="65"/>
        <v>0</v>
      </c>
      <c r="E1072" s="7" t="s">
        <v>8345</v>
      </c>
      <c r="F1072" s="10" t="str">
        <f t="shared" si="64"/>
        <v>insert into ins_premium_det (premium_rcv_code,assorted_code, rec_amount,premium_rcv_detail_code,remaining_amt, payrec, mode_code,coinsurance_code,class_cd,it_remarks) values</v>
      </c>
      <c r="G1072" s="11" t="str">
        <f t="shared" si="66"/>
        <v>('28Nov240101','040000161193','0',(select max(to_number(i.premium_rcv_detail_code))+1
from ins_premium_det i),'0','0','02', '11000003','00','Request by Mr. Omair Ali 29-Nov-2024');</v>
      </c>
      <c r="H1072" s="12" t="str">
        <f t="shared" si="67"/>
        <v>insert into ins_premium_det (premium_rcv_code,assorted_code, rec_amount,premium_rcv_detail_code,remaining_amt, payrec, mode_code,coinsurance_code,class_cd,it_remarks) values('28Nov240101','040000161193','0',(select max(to_number(i.premium_rcv_detail_code))+1
from ins_premium_det i),'0','0','02', '11000003','00','Request by Mr. Omair Ali 29-Nov-2024');</v>
      </c>
    </row>
    <row r="1073" spans="1:8" ht="105" x14ac:dyDescent="0.25">
      <c r="A1073" t="s">
        <v>1073</v>
      </c>
      <c r="B1073" s="8" t="str">
        <f>VLOOKUP(A1073,assortedcode!B:C,2,0)</f>
        <v>040000122949</v>
      </c>
      <c r="C1073" s="1">
        <v>0</v>
      </c>
      <c r="D1073" s="9">
        <f t="shared" si="65"/>
        <v>0</v>
      </c>
      <c r="E1073" s="7" t="s">
        <v>8345</v>
      </c>
      <c r="F1073" s="10" t="str">
        <f t="shared" si="64"/>
        <v>insert into ins_premium_det (premium_rcv_code,assorted_code, rec_amount,premium_rcv_detail_code,remaining_amt, payrec, mode_code,coinsurance_code,class_cd,it_remarks) values</v>
      </c>
      <c r="G1073" s="11" t="str">
        <f t="shared" si="66"/>
        <v>('28Nov240101','040000122949','0',(select max(to_number(i.premium_rcv_detail_code))+1
from ins_premium_det i),'0','0','02', '11000003','00','Request by Mr. Omair Ali 29-Nov-2024');</v>
      </c>
      <c r="H1073" s="12" t="str">
        <f t="shared" si="67"/>
        <v>insert into ins_premium_det (premium_rcv_code,assorted_code, rec_amount,premium_rcv_detail_code,remaining_amt, payrec, mode_code,coinsurance_code,class_cd,it_remarks) values('28Nov240101','040000122949','0',(select max(to_number(i.premium_rcv_detail_code))+1
from ins_premium_det i),'0','0','02', '11000003','00','Request by Mr. Omair Ali 29-Nov-2024');</v>
      </c>
    </row>
    <row r="1074" spans="1:8" ht="105" x14ac:dyDescent="0.25">
      <c r="A1074" t="s">
        <v>1074</v>
      </c>
      <c r="B1074" s="8" t="str">
        <f>VLOOKUP(A1074,assortedcode!B:C,2,0)</f>
        <v>040000163141</v>
      </c>
      <c r="C1074" s="1">
        <v>0</v>
      </c>
      <c r="D1074" s="9">
        <f t="shared" si="65"/>
        <v>0</v>
      </c>
      <c r="E1074" s="7" t="s">
        <v>8345</v>
      </c>
      <c r="F1074" s="10" t="str">
        <f t="shared" si="64"/>
        <v>insert into ins_premium_det (premium_rcv_code,assorted_code, rec_amount,premium_rcv_detail_code,remaining_amt, payrec, mode_code,coinsurance_code,class_cd,it_remarks) values</v>
      </c>
      <c r="G1074" s="11" t="str">
        <f t="shared" si="66"/>
        <v>('28Nov240101','040000163141','0',(select max(to_number(i.premium_rcv_detail_code))+1
from ins_premium_det i),'0','0','02', '11000003','00','Request by Mr. Omair Ali 29-Nov-2024');</v>
      </c>
      <c r="H1074" s="12" t="str">
        <f t="shared" si="67"/>
        <v>insert into ins_premium_det (premium_rcv_code,assorted_code, rec_amount,premium_rcv_detail_code,remaining_amt, payrec, mode_code,coinsurance_code,class_cd,it_remarks) values('28Nov240101','040000163141','0',(select max(to_number(i.premium_rcv_detail_code))+1
from ins_premium_det i),'0','0','02', '11000003','00','Request by Mr. Omair Ali 29-Nov-2024');</v>
      </c>
    </row>
    <row r="1075" spans="1:8" ht="105" x14ac:dyDescent="0.25">
      <c r="A1075" t="s">
        <v>1075</v>
      </c>
      <c r="B1075" s="8" t="str">
        <f>VLOOKUP(A1075,assortedcode!B:C,2,0)</f>
        <v>040000104740</v>
      </c>
      <c r="C1075" s="1">
        <v>0</v>
      </c>
      <c r="D1075" s="9">
        <f t="shared" si="65"/>
        <v>0</v>
      </c>
      <c r="E1075" s="7" t="s">
        <v>8345</v>
      </c>
      <c r="F1075" s="10" t="str">
        <f t="shared" si="64"/>
        <v>insert into ins_premium_det (premium_rcv_code,assorted_code, rec_amount,premium_rcv_detail_code,remaining_amt, payrec, mode_code,coinsurance_code,class_cd,it_remarks) values</v>
      </c>
      <c r="G1075" s="11" t="str">
        <f t="shared" si="66"/>
        <v>('28Nov240101','040000104740','0',(select max(to_number(i.premium_rcv_detail_code))+1
from ins_premium_det i),'0','0','02', '11000003','00','Request by Mr. Omair Ali 29-Nov-2024');</v>
      </c>
      <c r="H1075" s="12" t="str">
        <f t="shared" si="67"/>
        <v>insert into ins_premium_det (premium_rcv_code,assorted_code, rec_amount,premium_rcv_detail_code,remaining_amt, payrec, mode_code,coinsurance_code,class_cd,it_remarks) values('28Nov240101','040000104740','0',(select max(to_number(i.premium_rcv_detail_code))+1
from ins_premium_det i),'0','0','02', '11000003','00','Request by Mr. Omair Ali 29-Nov-2024');</v>
      </c>
    </row>
    <row r="1076" spans="1:8" ht="105" x14ac:dyDescent="0.25">
      <c r="A1076" t="s">
        <v>1076</v>
      </c>
      <c r="B1076" s="8" t="str">
        <f>VLOOKUP(A1076,assortedcode!B:C,2,0)</f>
        <v>040000163147</v>
      </c>
      <c r="C1076" s="1">
        <v>0</v>
      </c>
      <c r="D1076" s="9">
        <f t="shared" si="65"/>
        <v>0</v>
      </c>
      <c r="E1076" s="7" t="s">
        <v>8345</v>
      </c>
      <c r="F1076" s="10" t="str">
        <f t="shared" si="64"/>
        <v>insert into ins_premium_det (premium_rcv_code,assorted_code, rec_amount,premium_rcv_detail_code,remaining_amt, payrec, mode_code,coinsurance_code,class_cd,it_remarks) values</v>
      </c>
      <c r="G1076" s="11" t="str">
        <f t="shared" si="66"/>
        <v>('28Nov240101','040000163147','0',(select max(to_number(i.premium_rcv_detail_code))+1
from ins_premium_det i),'0','0','02', '11000003','00','Request by Mr. Omair Ali 29-Nov-2024');</v>
      </c>
      <c r="H1076" s="12" t="str">
        <f t="shared" si="67"/>
        <v>insert into ins_premium_det (premium_rcv_code,assorted_code, rec_amount,premium_rcv_detail_code,remaining_amt, payrec, mode_code,coinsurance_code,class_cd,it_remarks) values('28Nov240101','040000163147','0',(select max(to_number(i.premium_rcv_detail_code))+1
from ins_premium_det i),'0','0','02', '11000003','00','Request by Mr. Omair Ali 29-Nov-2024');</v>
      </c>
    </row>
    <row r="1077" spans="1:8" ht="105" x14ac:dyDescent="0.25">
      <c r="A1077" t="s">
        <v>1077</v>
      </c>
      <c r="B1077" s="8" t="str">
        <f>VLOOKUP(A1077,assortedcode!B:C,2,0)</f>
        <v>040000123523</v>
      </c>
      <c r="C1077" s="1">
        <v>0</v>
      </c>
      <c r="D1077" s="9">
        <f t="shared" si="65"/>
        <v>0</v>
      </c>
      <c r="E1077" s="7" t="s">
        <v>8345</v>
      </c>
      <c r="F1077" s="10" t="str">
        <f t="shared" si="64"/>
        <v>insert into ins_premium_det (premium_rcv_code,assorted_code, rec_amount,premium_rcv_detail_code,remaining_amt, payrec, mode_code,coinsurance_code,class_cd,it_remarks) values</v>
      </c>
      <c r="G1077" s="11" t="str">
        <f t="shared" si="66"/>
        <v>('28Nov240101','040000123523','0',(select max(to_number(i.premium_rcv_detail_code))+1
from ins_premium_det i),'0','0','02', '11000003','00','Request by Mr. Omair Ali 29-Nov-2024');</v>
      </c>
      <c r="H1077" s="12" t="str">
        <f t="shared" si="67"/>
        <v>insert into ins_premium_det (premium_rcv_code,assorted_code, rec_amount,premium_rcv_detail_code,remaining_amt, payrec, mode_code,coinsurance_code,class_cd,it_remarks) values('28Nov240101','040000123523','0',(select max(to_number(i.premium_rcv_detail_code))+1
from ins_premium_det i),'0','0','02', '11000003','00','Request by Mr. Omair Ali 29-Nov-2024');</v>
      </c>
    </row>
    <row r="1078" spans="1:8" ht="105" x14ac:dyDescent="0.25">
      <c r="A1078" t="s">
        <v>1078</v>
      </c>
      <c r="B1078" s="8" t="str">
        <f>VLOOKUP(A1078,assortedcode!B:C,2,0)</f>
        <v>040000164791</v>
      </c>
      <c r="C1078" s="1">
        <v>0</v>
      </c>
      <c r="D1078" s="9">
        <f t="shared" si="65"/>
        <v>0</v>
      </c>
      <c r="E1078" s="7" t="s">
        <v>8345</v>
      </c>
      <c r="F1078" s="10" t="str">
        <f t="shared" si="64"/>
        <v>insert into ins_premium_det (premium_rcv_code,assorted_code, rec_amount,premium_rcv_detail_code,remaining_amt, payrec, mode_code,coinsurance_code,class_cd,it_remarks) values</v>
      </c>
      <c r="G1078" s="11" t="str">
        <f t="shared" si="66"/>
        <v>('28Nov240101','040000164791','0',(select max(to_number(i.premium_rcv_detail_code))+1
from ins_premium_det i),'0','0','02', '11000003','00','Request by Mr. Omair Ali 29-Nov-2024');</v>
      </c>
      <c r="H1078" s="12" t="str">
        <f t="shared" si="67"/>
        <v>insert into ins_premium_det (premium_rcv_code,assorted_code, rec_amount,premium_rcv_detail_code,remaining_amt, payrec, mode_code,coinsurance_code,class_cd,it_remarks) values('28Nov240101','040000164791','0',(select max(to_number(i.premium_rcv_detail_code))+1
from ins_premium_det i),'0','0','02', '11000003','00','Request by Mr. Omair Ali 29-Nov-2024');</v>
      </c>
    </row>
    <row r="1079" spans="1:8" ht="105" x14ac:dyDescent="0.25">
      <c r="A1079" t="s">
        <v>1079</v>
      </c>
      <c r="B1079" s="8" t="str">
        <f>VLOOKUP(A1079,assortedcode!B:C,2,0)</f>
        <v>040000123764</v>
      </c>
      <c r="C1079" s="1">
        <v>0</v>
      </c>
      <c r="D1079" s="9">
        <f t="shared" si="65"/>
        <v>0</v>
      </c>
      <c r="E1079" s="7" t="s">
        <v>8345</v>
      </c>
      <c r="F1079" s="10" t="str">
        <f t="shared" si="64"/>
        <v>insert into ins_premium_det (premium_rcv_code,assorted_code, rec_amount,premium_rcv_detail_code,remaining_amt, payrec, mode_code,coinsurance_code,class_cd,it_remarks) values</v>
      </c>
      <c r="G1079" s="11" t="str">
        <f t="shared" si="66"/>
        <v>('28Nov240101','040000123764','0',(select max(to_number(i.premium_rcv_detail_code))+1
from ins_premium_det i),'0','0','02', '11000003','00','Request by Mr. Omair Ali 29-Nov-2024');</v>
      </c>
      <c r="H1079" s="12" t="str">
        <f t="shared" si="67"/>
        <v>insert into ins_premium_det (premium_rcv_code,assorted_code, rec_amount,premium_rcv_detail_code,remaining_amt, payrec, mode_code,coinsurance_code,class_cd,it_remarks) values('28Nov240101','040000123764','0',(select max(to_number(i.premium_rcv_detail_code))+1
from ins_premium_det i),'0','0','02', '11000003','00','Request by Mr. Omair Ali 29-Nov-2024');</v>
      </c>
    </row>
    <row r="1080" spans="1:8" ht="105" x14ac:dyDescent="0.25">
      <c r="A1080" t="s">
        <v>1080</v>
      </c>
      <c r="B1080" s="8" t="str">
        <f>VLOOKUP(A1080,assortedcode!B:C,2,0)</f>
        <v>040000175598</v>
      </c>
      <c r="C1080" s="1">
        <v>0</v>
      </c>
      <c r="D1080" s="9">
        <f t="shared" si="65"/>
        <v>0</v>
      </c>
      <c r="E1080" s="7" t="s">
        <v>8345</v>
      </c>
      <c r="F1080" s="10" t="str">
        <f t="shared" si="64"/>
        <v>insert into ins_premium_det (premium_rcv_code,assorted_code, rec_amount,premium_rcv_detail_code,remaining_amt, payrec, mode_code,coinsurance_code,class_cd,it_remarks) values</v>
      </c>
      <c r="G1080" s="11" t="str">
        <f t="shared" si="66"/>
        <v>('28Nov240101','040000175598','0',(select max(to_number(i.premium_rcv_detail_code))+1
from ins_premium_det i),'0','0','02', '11000003','00','Request by Mr. Omair Ali 29-Nov-2024');</v>
      </c>
      <c r="H1080" s="12" t="str">
        <f t="shared" si="67"/>
        <v>insert into ins_premium_det (premium_rcv_code,assorted_code, rec_amount,premium_rcv_detail_code,remaining_amt, payrec, mode_code,coinsurance_code,class_cd,it_remarks) values('28Nov240101','040000175598','0',(select max(to_number(i.premium_rcv_detail_code))+1
from ins_premium_det i),'0','0','02', '11000003','00','Request by Mr. Omair Ali 29-Nov-2024');</v>
      </c>
    </row>
    <row r="1081" spans="1:8" ht="105" x14ac:dyDescent="0.25">
      <c r="A1081" t="s">
        <v>1081</v>
      </c>
      <c r="B1081" s="8" t="str">
        <f>VLOOKUP(A1081,assortedcode!B:C,2,0)</f>
        <v>040000106313</v>
      </c>
      <c r="C1081" s="1">
        <v>0</v>
      </c>
      <c r="D1081" s="9">
        <f t="shared" si="65"/>
        <v>0</v>
      </c>
      <c r="E1081" s="7" t="s">
        <v>8345</v>
      </c>
      <c r="F1081" s="10" t="str">
        <f t="shared" si="64"/>
        <v>insert into ins_premium_det (premium_rcv_code,assorted_code, rec_amount,premium_rcv_detail_code,remaining_amt, payrec, mode_code,coinsurance_code,class_cd,it_remarks) values</v>
      </c>
      <c r="G1081" s="11" t="str">
        <f t="shared" si="66"/>
        <v>('28Nov240101','040000106313','0',(select max(to_number(i.premium_rcv_detail_code))+1
from ins_premium_det i),'0','0','02', '11000003','00','Request by Mr. Omair Ali 29-Nov-2024');</v>
      </c>
      <c r="H1081" s="12" t="str">
        <f t="shared" si="67"/>
        <v>insert into ins_premium_det (premium_rcv_code,assorted_code, rec_amount,premium_rcv_detail_code,remaining_amt, payrec, mode_code,coinsurance_code,class_cd,it_remarks) values('28Nov240101','040000106313','0',(select max(to_number(i.premium_rcv_detail_code))+1
from ins_premium_det i),'0','0','02', '11000003','00','Request by Mr. Omair Ali 29-Nov-2024');</v>
      </c>
    </row>
    <row r="1082" spans="1:8" ht="105" x14ac:dyDescent="0.25">
      <c r="A1082" t="s">
        <v>1082</v>
      </c>
      <c r="B1082" s="8" t="str">
        <f>VLOOKUP(A1082,assortedcode!B:C,2,0)</f>
        <v>040000112643</v>
      </c>
      <c r="C1082" s="1">
        <v>0</v>
      </c>
      <c r="D1082" s="9">
        <f t="shared" si="65"/>
        <v>0</v>
      </c>
      <c r="E1082" s="7" t="s">
        <v>8345</v>
      </c>
      <c r="F1082" s="10" t="str">
        <f t="shared" si="64"/>
        <v>insert into ins_premium_det (premium_rcv_code,assorted_code, rec_amount,premium_rcv_detail_code,remaining_amt, payrec, mode_code,coinsurance_code,class_cd,it_remarks) values</v>
      </c>
      <c r="G1082" s="11" t="str">
        <f t="shared" si="66"/>
        <v>('28Nov240101','040000112643','0',(select max(to_number(i.premium_rcv_detail_code))+1
from ins_premium_det i),'0','0','02', '11000003','00','Request by Mr. Omair Ali 29-Nov-2024');</v>
      </c>
      <c r="H1082" s="12" t="str">
        <f t="shared" si="67"/>
        <v>insert into ins_premium_det (premium_rcv_code,assorted_code, rec_amount,premium_rcv_detail_code,remaining_amt, payrec, mode_code,coinsurance_code,class_cd,it_remarks) values('28Nov240101','040000112643','0',(select max(to_number(i.premium_rcv_detail_code))+1
from ins_premium_det i),'0','0','02', '11000003','00','Request by Mr. Omair Ali 29-Nov-2024');</v>
      </c>
    </row>
    <row r="1083" spans="1:8" ht="105" x14ac:dyDescent="0.25">
      <c r="A1083" t="s">
        <v>1083</v>
      </c>
      <c r="B1083" s="8" t="str">
        <f>VLOOKUP(A1083,assortedcode!B:C,2,0)</f>
        <v>040000123969</v>
      </c>
      <c r="C1083" s="1">
        <v>0</v>
      </c>
      <c r="D1083" s="9">
        <f t="shared" si="65"/>
        <v>0</v>
      </c>
      <c r="E1083" s="7" t="s">
        <v>8345</v>
      </c>
      <c r="F1083" s="10" t="str">
        <f t="shared" si="64"/>
        <v>insert into ins_premium_det (premium_rcv_code,assorted_code, rec_amount,premium_rcv_detail_code,remaining_amt, payrec, mode_code,coinsurance_code,class_cd,it_remarks) values</v>
      </c>
      <c r="G1083" s="11" t="str">
        <f t="shared" si="66"/>
        <v>('28Nov240101','040000123969','0',(select max(to_number(i.premium_rcv_detail_code))+1
from ins_premium_det i),'0','0','02', '11000003','00','Request by Mr. Omair Ali 29-Nov-2024');</v>
      </c>
      <c r="H1083" s="12" t="str">
        <f t="shared" si="67"/>
        <v>insert into ins_premium_det (premium_rcv_code,assorted_code, rec_amount,premium_rcv_detail_code,remaining_amt, payrec, mode_code,coinsurance_code,class_cd,it_remarks) values('28Nov240101','040000123969','0',(select max(to_number(i.premium_rcv_detail_code))+1
from ins_premium_det i),'0','0','02', '11000003','00','Request by Mr. Omair Ali 29-Nov-2024');</v>
      </c>
    </row>
    <row r="1084" spans="1:8" ht="105" x14ac:dyDescent="0.25">
      <c r="A1084" t="s">
        <v>1084</v>
      </c>
      <c r="B1084" s="8" t="str">
        <f>VLOOKUP(A1084,assortedcode!B:C,2,0)</f>
        <v>040000112685</v>
      </c>
      <c r="C1084" s="1">
        <v>0</v>
      </c>
      <c r="D1084" s="9">
        <f t="shared" si="65"/>
        <v>0</v>
      </c>
      <c r="E1084" s="7" t="s">
        <v>8345</v>
      </c>
      <c r="F1084" s="10" t="str">
        <f t="shared" si="64"/>
        <v>insert into ins_premium_det (premium_rcv_code,assorted_code, rec_amount,premium_rcv_detail_code,remaining_amt, payrec, mode_code,coinsurance_code,class_cd,it_remarks) values</v>
      </c>
      <c r="G1084" s="11" t="str">
        <f t="shared" si="66"/>
        <v>('28Nov240101','040000112685','0',(select max(to_number(i.premium_rcv_detail_code))+1
from ins_premium_det i),'0','0','02', '11000003','00','Request by Mr. Omair Ali 29-Nov-2024');</v>
      </c>
      <c r="H1084" s="12" t="str">
        <f t="shared" si="67"/>
        <v>insert into ins_premium_det (premium_rcv_code,assorted_code, rec_amount,premium_rcv_detail_code,remaining_amt, payrec, mode_code,coinsurance_code,class_cd,it_remarks) values('28Nov240101','040000112685','0',(select max(to_number(i.premium_rcv_detail_code))+1
from ins_premium_det i),'0','0','02', '11000003','00','Request by Mr. Omair Ali 29-Nov-2024');</v>
      </c>
    </row>
    <row r="1085" spans="1:8" ht="105" x14ac:dyDescent="0.25">
      <c r="A1085" t="s">
        <v>1085</v>
      </c>
      <c r="B1085" s="8" t="str">
        <f>VLOOKUP(A1085,assortedcode!B:C,2,0)</f>
        <v>040000124071</v>
      </c>
      <c r="C1085" s="1">
        <v>0</v>
      </c>
      <c r="D1085" s="9">
        <f t="shared" si="65"/>
        <v>0</v>
      </c>
      <c r="E1085" s="7" t="s">
        <v>8345</v>
      </c>
      <c r="F1085" s="10" t="str">
        <f t="shared" si="64"/>
        <v>insert into ins_premium_det (premium_rcv_code,assorted_code, rec_amount,premium_rcv_detail_code,remaining_amt, payrec, mode_code,coinsurance_code,class_cd,it_remarks) values</v>
      </c>
      <c r="G1085" s="11" t="str">
        <f t="shared" si="66"/>
        <v>('28Nov240101','040000124071','0',(select max(to_number(i.premium_rcv_detail_code))+1
from ins_premium_det i),'0','0','02', '11000003','00','Request by Mr. Omair Ali 29-Nov-2024');</v>
      </c>
      <c r="H1085" s="12" t="str">
        <f t="shared" si="67"/>
        <v>insert into ins_premium_det (premium_rcv_code,assorted_code, rec_amount,premium_rcv_detail_code,remaining_amt, payrec, mode_code,coinsurance_code,class_cd,it_remarks) values('28Nov240101','040000124071','0',(select max(to_number(i.premium_rcv_detail_code))+1
from ins_premium_det i),'0','0','02', '11000003','00','Request by Mr. Omair Ali 29-Nov-2024');</v>
      </c>
    </row>
    <row r="1086" spans="1:8" ht="105" x14ac:dyDescent="0.25">
      <c r="A1086" t="s">
        <v>1086</v>
      </c>
      <c r="B1086" s="8" t="str">
        <f>VLOOKUP(A1086,assortedcode!B:C,2,0)</f>
        <v>040000105096</v>
      </c>
      <c r="C1086" s="1">
        <v>0</v>
      </c>
      <c r="D1086" s="9">
        <f t="shared" si="65"/>
        <v>0</v>
      </c>
      <c r="E1086" s="7" t="s">
        <v>8345</v>
      </c>
      <c r="F1086" s="10" t="str">
        <f t="shared" si="64"/>
        <v>insert into ins_premium_det (premium_rcv_code,assorted_code, rec_amount,premium_rcv_detail_code,remaining_amt, payrec, mode_code,coinsurance_code,class_cd,it_remarks) values</v>
      </c>
      <c r="G1086" s="11" t="str">
        <f t="shared" si="66"/>
        <v>('28Nov240101','040000105096','0',(select max(to_number(i.premium_rcv_detail_code))+1
from ins_premium_det i),'0','0','02', '11000003','00','Request by Mr. Omair Ali 29-Nov-2024');</v>
      </c>
      <c r="H1086" s="12" t="str">
        <f t="shared" si="67"/>
        <v>insert into ins_premium_det (premium_rcv_code,assorted_code, rec_amount,premium_rcv_detail_code,remaining_amt, payrec, mode_code,coinsurance_code,class_cd,it_remarks) values('28Nov240101','040000105096','0',(select max(to_number(i.premium_rcv_detail_code))+1
from ins_premium_det i),'0','0','02', '11000003','00','Request by Mr. Omair Ali 29-Nov-2024');</v>
      </c>
    </row>
    <row r="1087" spans="1:8" ht="105" x14ac:dyDescent="0.25">
      <c r="A1087" t="s">
        <v>1087</v>
      </c>
      <c r="B1087" s="8" t="str">
        <f>VLOOKUP(A1087,assortedcode!B:C,2,0)</f>
        <v>040000125292</v>
      </c>
      <c r="C1087" s="1">
        <v>0</v>
      </c>
      <c r="D1087" s="9">
        <f t="shared" si="65"/>
        <v>0</v>
      </c>
      <c r="E1087" s="7" t="s">
        <v>8345</v>
      </c>
      <c r="F1087" s="10" t="str">
        <f t="shared" si="64"/>
        <v>insert into ins_premium_det (premium_rcv_code,assorted_code, rec_amount,premium_rcv_detail_code,remaining_amt, payrec, mode_code,coinsurance_code,class_cd,it_remarks) values</v>
      </c>
      <c r="G1087" s="11" t="str">
        <f t="shared" si="66"/>
        <v>('28Nov240101','040000125292','0',(select max(to_number(i.premium_rcv_detail_code))+1
from ins_premium_det i),'0','0','02', '11000003','00','Request by Mr. Omair Ali 29-Nov-2024');</v>
      </c>
      <c r="H1087" s="12" t="str">
        <f t="shared" si="67"/>
        <v>insert into ins_premium_det (premium_rcv_code,assorted_code, rec_amount,premium_rcv_detail_code,remaining_amt, payrec, mode_code,coinsurance_code,class_cd,it_remarks) values('28Nov240101','040000125292','0',(select max(to_number(i.premium_rcv_detail_code))+1
from ins_premium_det i),'0','0','02', '11000003','00','Request by Mr. Omair Ali 29-Nov-2024');</v>
      </c>
    </row>
    <row r="1088" spans="1:8" ht="105" x14ac:dyDescent="0.25">
      <c r="A1088" t="s">
        <v>1088</v>
      </c>
      <c r="B1088" s="8" t="str">
        <f>VLOOKUP(A1088,assortedcode!B:C,2,0)</f>
        <v>040000105445</v>
      </c>
      <c r="C1088" s="1">
        <v>0</v>
      </c>
      <c r="D1088" s="9">
        <f t="shared" si="65"/>
        <v>0</v>
      </c>
      <c r="E1088" s="7" t="s">
        <v>8345</v>
      </c>
      <c r="F1088" s="10" t="str">
        <f t="shared" si="64"/>
        <v>insert into ins_premium_det (premium_rcv_code,assorted_code, rec_amount,premium_rcv_detail_code,remaining_amt, payrec, mode_code,coinsurance_code,class_cd,it_remarks) values</v>
      </c>
      <c r="G1088" s="11" t="str">
        <f t="shared" si="66"/>
        <v>('28Nov240101','040000105445','0',(select max(to_number(i.premium_rcv_detail_code))+1
from ins_premium_det i),'0','0','02', '11000003','00','Request by Mr. Omair Ali 29-Nov-2024');</v>
      </c>
      <c r="H1088" s="12" t="str">
        <f t="shared" si="67"/>
        <v>insert into ins_premium_det (premium_rcv_code,assorted_code, rec_amount,premium_rcv_detail_code,remaining_amt, payrec, mode_code,coinsurance_code,class_cd,it_remarks) values('28Nov240101','040000105445','0',(select max(to_number(i.premium_rcv_detail_code))+1
from ins_premium_det i),'0','0','02', '11000003','00','Request by Mr. Omair Ali 29-Nov-2024');</v>
      </c>
    </row>
    <row r="1089" spans="1:8" ht="105" x14ac:dyDescent="0.25">
      <c r="A1089" t="s">
        <v>1089</v>
      </c>
      <c r="B1089" s="8" t="str">
        <f>VLOOKUP(A1089,assortedcode!B:C,2,0)</f>
        <v>040000125651</v>
      </c>
      <c r="C1089" s="1">
        <v>0</v>
      </c>
      <c r="D1089" s="9">
        <f t="shared" si="65"/>
        <v>0</v>
      </c>
      <c r="E1089" s="7" t="s">
        <v>8345</v>
      </c>
      <c r="F1089" s="10" t="str">
        <f t="shared" si="64"/>
        <v>insert into ins_premium_det (premium_rcv_code,assorted_code, rec_amount,premium_rcv_detail_code,remaining_amt, payrec, mode_code,coinsurance_code,class_cd,it_remarks) values</v>
      </c>
      <c r="G1089" s="11" t="str">
        <f t="shared" si="66"/>
        <v>('28Nov240101','040000125651','0',(select max(to_number(i.premium_rcv_detail_code))+1
from ins_premium_det i),'0','0','02', '11000003','00','Request by Mr. Omair Ali 29-Nov-2024');</v>
      </c>
      <c r="H1089" s="12" t="str">
        <f t="shared" si="67"/>
        <v>insert into ins_premium_det (premium_rcv_code,assorted_code, rec_amount,premium_rcv_detail_code,remaining_amt, payrec, mode_code,coinsurance_code,class_cd,it_remarks) values('28Nov240101','040000125651','0',(select max(to_number(i.premium_rcv_detail_code))+1
from ins_premium_det i),'0','0','02', '11000003','00','Request by Mr. Omair Ali 29-Nov-2024');</v>
      </c>
    </row>
    <row r="1090" spans="1:8" ht="105" x14ac:dyDescent="0.25">
      <c r="A1090" t="s">
        <v>1090</v>
      </c>
      <c r="B1090" s="8" t="str">
        <f>VLOOKUP(A1090,assortedcode!B:C,2,0)</f>
        <v>040000105447</v>
      </c>
      <c r="C1090" s="1">
        <v>0</v>
      </c>
      <c r="D1090" s="9">
        <f t="shared" si="65"/>
        <v>0</v>
      </c>
      <c r="E1090" s="7" t="s">
        <v>8345</v>
      </c>
      <c r="F1090" s="10" t="str">
        <f t="shared" ref="F1090:F1153" si="68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1090" s="11" t="str">
        <f t="shared" si="66"/>
        <v>('28Nov240101','040000105447','0',(select max(to_number(i.premium_rcv_detail_code))+1
from ins_premium_det i),'0','0','02', '11000003','00','Request by Mr. Omair Ali 29-Nov-2024');</v>
      </c>
      <c r="H1090" s="12" t="str">
        <f t="shared" si="67"/>
        <v>insert into ins_premium_det (premium_rcv_code,assorted_code, rec_amount,premium_rcv_detail_code,remaining_amt, payrec, mode_code,coinsurance_code,class_cd,it_remarks) values('28Nov240101','040000105447','0',(select max(to_number(i.premium_rcv_detail_code))+1
from ins_premium_det i),'0','0','02', '11000003','00','Request by Mr. Omair Ali 29-Nov-2024');</v>
      </c>
    </row>
    <row r="1091" spans="1:8" ht="105" x14ac:dyDescent="0.25">
      <c r="A1091" t="s">
        <v>1091</v>
      </c>
      <c r="B1091" s="8" t="str">
        <f>VLOOKUP(A1091,assortedcode!B:C,2,0)</f>
        <v>040000107718</v>
      </c>
      <c r="C1091" s="1">
        <v>0</v>
      </c>
      <c r="D1091" s="9">
        <f t="shared" ref="D1091:D1154" si="69">ROUND(C1091,0)</f>
        <v>0</v>
      </c>
      <c r="E1091" s="7" t="s">
        <v>8345</v>
      </c>
      <c r="F1091" s="10" t="str">
        <f t="shared" si="68"/>
        <v>insert into ins_premium_det (premium_rcv_code,assorted_code, rec_amount,premium_rcv_detail_code,remaining_amt, payrec, mode_code,coinsurance_code,class_cd,it_remarks) values</v>
      </c>
      <c r="G1091" s="11" t="str">
        <f t="shared" ref="G1091:G1154" si="70">"('"&amp;E1091&amp;"','"&amp;B1091&amp;"','"&amp;ROUND(D1091,2)&amp;"',(select max(to_number(i.premium_rcv_detail_code))+1
from ins_premium_det i),'"&amp;D1091&amp;"','"&amp;D1091&amp;"','02', '11000003','00','Request by Mr. Omair Ali 29-Nov-2024');"</f>
        <v>('28Nov240101','040000107718','0',(select max(to_number(i.premium_rcv_detail_code))+1
from ins_premium_det i),'0','0','02', '11000003','00','Request by Mr. Omair Ali 29-Nov-2024');</v>
      </c>
      <c r="H1091" s="12" t="str">
        <f t="shared" ref="H1091:H1154" si="71">F1091&amp;G1091</f>
        <v>insert into ins_premium_det (premium_rcv_code,assorted_code, rec_amount,premium_rcv_detail_code,remaining_amt, payrec, mode_code,coinsurance_code,class_cd,it_remarks) values('28Nov240101','040000107718','0',(select max(to_number(i.premium_rcv_detail_code))+1
from ins_premium_det i),'0','0','02', '11000003','00','Request by Mr. Omair Ali 29-Nov-2024');</v>
      </c>
    </row>
    <row r="1092" spans="1:8" ht="105" x14ac:dyDescent="0.25">
      <c r="A1092" t="s">
        <v>1092</v>
      </c>
      <c r="B1092" s="8" t="str">
        <f>VLOOKUP(A1092,assortedcode!B:C,2,0)</f>
        <v>040000105448</v>
      </c>
      <c r="C1092" s="1">
        <v>0</v>
      </c>
      <c r="D1092" s="9">
        <f t="shared" si="69"/>
        <v>0</v>
      </c>
      <c r="E1092" s="7" t="s">
        <v>8345</v>
      </c>
      <c r="F1092" s="10" t="str">
        <f t="shared" si="68"/>
        <v>insert into ins_premium_det (premium_rcv_code,assorted_code, rec_amount,premium_rcv_detail_code,remaining_amt, payrec, mode_code,coinsurance_code,class_cd,it_remarks) values</v>
      </c>
      <c r="G1092" s="11" t="str">
        <f t="shared" si="70"/>
        <v>('28Nov240101','040000105448','0',(select max(to_number(i.premium_rcv_detail_code))+1
from ins_premium_det i),'0','0','02', '11000003','00','Request by Mr. Omair Ali 29-Nov-2024');</v>
      </c>
      <c r="H1092" s="12" t="str">
        <f t="shared" si="71"/>
        <v>insert into ins_premium_det (premium_rcv_code,assorted_code, rec_amount,premium_rcv_detail_code,remaining_amt, payrec, mode_code,coinsurance_code,class_cd,it_remarks) values('28Nov240101','040000105448','0',(select max(to_number(i.premium_rcv_detail_code))+1
from ins_premium_det i),'0','0','02', '11000003','00','Request by Mr. Omair Ali 29-Nov-2024');</v>
      </c>
    </row>
    <row r="1093" spans="1:8" ht="105" x14ac:dyDescent="0.25">
      <c r="A1093" t="s">
        <v>1093</v>
      </c>
      <c r="B1093" s="8" t="str">
        <f>VLOOKUP(A1093,assortedcode!B:C,2,0)</f>
        <v>040000125828</v>
      </c>
      <c r="C1093" s="1">
        <v>0</v>
      </c>
      <c r="D1093" s="9">
        <f t="shared" si="69"/>
        <v>0</v>
      </c>
      <c r="E1093" s="7" t="s">
        <v>8345</v>
      </c>
      <c r="F1093" s="10" t="str">
        <f t="shared" si="68"/>
        <v>insert into ins_premium_det (premium_rcv_code,assorted_code, rec_amount,premium_rcv_detail_code,remaining_amt, payrec, mode_code,coinsurance_code,class_cd,it_remarks) values</v>
      </c>
      <c r="G1093" s="11" t="str">
        <f t="shared" si="70"/>
        <v>('28Nov240101','040000125828','0',(select max(to_number(i.premium_rcv_detail_code))+1
from ins_premium_det i),'0','0','02', '11000003','00','Request by Mr. Omair Ali 29-Nov-2024');</v>
      </c>
      <c r="H1093" s="12" t="str">
        <f t="shared" si="71"/>
        <v>insert into ins_premium_det (premium_rcv_code,assorted_code, rec_amount,premium_rcv_detail_code,remaining_amt, payrec, mode_code,coinsurance_code,class_cd,it_remarks) values('28Nov240101','040000125828','0',(select max(to_number(i.premium_rcv_detail_code))+1
from ins_premium_det i),'0','0','02', '11000003','00','Request by Mr. Omair Ali 29-Nov-2024');</v>
      </c>
    </row>
    <row r="1094" spans="1:8" ht="105" x14ac:dyDescent="0.25">
      <c r="A1094" t="s">
        <v>1094</v>
      </c>
      <c r="B1094" s="8" t="str">
        <f>VLOOKUP(A1094,assortedcode!B:C,2,0)</f>
        <v>040000105456</v>
      </c>
      <c r="C1094" s="1">
        <v>0</v>
      </c>
      <c r="D1094" s="9">
        <f t="shared" si="69"/>
        <v>0</v>
      </c>
      <c r="E1094" s="7" t="s">
        <v>8345</v>
      </c>
      <c r="F1094" s="10" t="str">
        <f t="shared" si="68"/>
        <v>insert into ins_premium_det (premium_rcv_code,assorted_code, rec_amount,premium_rcv_detail_code,remaining_amt, payrec, mode_code,coinsurance_code,class_cd,it_remarks) values</v>
      </c>
      <c r="G1094" s="11" t="str">
        <f t="shared" si="70"/>
        <v>('28Nov240101','040000105456','0',(select max(to_number(i.premium_rcv_detail_code))+1
from ins_premium_det i),'0','0','02', '11000003','00','Request by Mr. Omair Ali 29-Nov-2024');</v>
      </c>
      <c r="H1094" s="12" t="str">
        <f t="shared" si="71"/>
        <v>insert into ins_premium_det (premium_rcv_code,assorted_code, rec_amount,premium_rcv_detail_code,remaining_amt, payrec, mode_code,coinsurance_code,class_cd,it_remarks) values('28Nov240101','040000105456','0',(select max(to_number(i.premium_rcv_detail_code))+1
from ins_premium_det i),'0','0','02', '11000003','00','Request by Mr. Omair Ali 29-Nov-2024');</v>
      </c>
    </row>
    <row r="1095" spans="1:8" ht="105" x14ac:dyDescent="0.25">
      <c r="A1095" t="s">
        <v>1095</v>
      </c>
      <c r="B1095" s="8" t="str">
        <f>VLOOKUP(A1095,assortedcode!B:C,2,0)</f>
        <v>040000125843</v>
      </c>
      <c r="C1095" s="1">
        <v>0</v>
      </c>
      <c r="D1095" s="9">
        <f t="shared" si="69"/>
        <v>0</v>
      </c>
      <c r="E1095" s="7" t="s">
        <v>8345</v>
      </c>
      <c r="F1095" s="10" t="str">
        <f t="shared" si="68"/>
        <v>insert into ins_premium_det (premium_rcv_code,assorted_code, rec_amount,premium_rcv_detail_code,remaining_amt, payrec, mode_code,coinsurance_code,class_cd,it_remarks) values</v>
      </c>
      <c r="G1095" s="11" t="str">
        <f t="shared" si="70"/>
        <v>('28Nov240101','040000125843','0',(select max(to_number(i.premium_rcv_detail_code))+1
from ins_premium_det i),'0','0','02', '11000003','00','Request by Mr. Omair Ali 29-Nov-2024');</v>
      </c>
      <c r="H1095" s="12" t="str">
        <f t="shared" si="71"/>
        <v>insert into ins_premium_det (premium_rcv_code,assorted_code, rec_amount,premium_rcv_detail_code,remaining_amt, payrec, mode_code,coinsurance_code,class_cd,it_remarks) values('28Nov240101','040000125843','0',(select max(to_number(i.premium_rcv_detail_code))+1
from ins_premium_det i),'0','0','02', '11000003','00','Request by Mr. Omair Ali 29-Nov-2024');</v>
      </c>
    </row>
    <row r="1096" spans="1:8" ht="105" x14ac:dyDescent="0.25">
      <c r="A1096" t="s">
        <v>1096</v>
      </c>
      <c r="B1096" s="8" t="str">
        <f>VLOOKUP(A1096,assortedcode!B:C,2,0)</f>
        <v>040000105461</v>
      </c>
      <c r="C1096" s="1">
        <v>0</v>
      </c>
      <c r="D1096" s="9">
        <f t="shared" si="69"/>
        <v>0</v>
      </c>
      <c r="E1096" s="7" t="s">
        <v>8345</v>
      </c>
      <c r="F1096" s="10" t="str">
        <f t="shared" si="68"/>
        <v>insert into ins_premium_det (premium_rcv_code,assorted_code, rec_amount,premium_rcv_detail_code,remaining_amt, payrec, mode_code,coinsurance_code,class_cd,it_remarks) values</v>
      </c>
      <c r="G1096" s="11" t="str">
        <f t="shared" si="70"/>
        <v>('28Nov240101','040000105461','0',(select max(to_number(i.premium_rcv_detail_code))+1
from ins_premium_det i),'0','0','02', '11000003','00','Request by Mr. Omair Ali 29-Nov-2024');</v>
      </c>
      <c r="H1096" s="12" t="str">
        <f t="shared" si="71"/>
        <v>insert into ins_premium_det (premium_rcv_code,assorted_code, rec_amount,premium_rcv_detail_code,remaining_amt, payrec, mode_code,coinsurance_code,class_cd,it_remarks) values('28Nov240101','040000105461','0',(select max(to_number(i.premium_rcv_detail_code))+1
from ins_premium_det i),'0','0','02', '11000003','00','Request by Mr. Omair Ali 29-Nov-2024');</v>
      </c>
    </row>
    <row r="1097" spans="1:8" ht="105" x14ac:dyDescent="0.25">
      <c r="A1097" t="s">
        <v>1097</v>
      </c>
      <c r="B1097" s="8" t="str">
        <f>VLOOKUP(A1097,assortedcode!B:C,2,0)</f>
        <v>040000126164</v>
      </c>
      <c r="C1097" s="1">
        <v>0</v>
      </c>
      <c r="D1097" s="9">
        <f t="shared" si="69"/>
        <v>0</v>
      </c>
      <c r="E1097" s="7" t="s">
        <v>8345</v>
      </c>
      <c r="F1097" s="10" t="str">
        <f t="shared" si="68"/>
        <v>insert into ins_premium_det (premium_rcv_code,assorted_code, rec_amount,premium_rcv_detail_code,remaining_amt, payrec, mode_code,coinsurance_code,class_cd,it_remarks) values</v>
      </c>
      <c r="G1097" s="11" t="str">
        <f t="shared" si="70"/>
        <v>('28Nov240101','040000126164','0',(select max(to_number(i.premium_rcv_detail_code))+1
from ins_premium_det i),'0','0','02', '11000003','00','Request by Mr. Omair Ali 29-Nov-2024');</v>
      </c>
      <c r="H1097" s="12" t="str">
        <f t="shared" si="71"/>
        <v>insert into ins_premium_det (premium_rcv_code,assorted_code, rec_amount,premium_rcv_detail_code,remaining_amt, payrec, mode_code,coinsurance_code,class_cd,it_remarks) values('28Nov240101','040000126164','0',(select max(to_number(i.premium_rcv_detail_code))+1
from ins_premium_det i),'0','0','02', '11000003','00','Request by Mr. Omair Ali 29-Nov-2024');</v>
      </c>
    </row>
    <row r="1098" spans="1:8" ht="105" x14ac:dyDescent="0.25">
      <c r="A1098" t="s">
        <v>1098</v>
      </c>
      <c r="B1098" s="8" t="str">
        <f>VLOOKUP(A1098,assortedcode!B:C,2,0)</f>
        <v>040000106523</v>
      </c>
      <c r="C1098" s="1">
        <v>0</v>
      </c>
      <c r="D1098" s="9">
        <f t="shared" si="69"/>
        <v>0</v>
      </c>
      <c r="E1098" s="7" t="s">
        <v>8345</v>
      </c>
      <c r="F1098" s="10" t="str">
        <f t="shared" si="68"/>
        <v>insert into ins_premium_det (premium_rcv_code,assorted_code, rec_amount,premium_rcv_detail_code,remaining_amt, payrec, mode_code,coinsurance_code,class_cd,it_remarks) values</v>
      </c>
      <c r="G1098" s="11" t="str">
        <f t="shared" si="70"/>
        <v>('28Nov240101','040000106523','0',(select max(to_number(i.premium_rcv_detail_code))+1
from ins_premium_det i),'0','0','02', '11000003','00','Request by Mr. Omair Ali 29-Nov-2024');</v>
      </c>
      <c r="H1098" s="12" t="str">
        <f t="shared" si="71"/>
        <v>insert into ins_premium_det (premium_rcv_code,assorted_code, rec_amount,premium_rcv_detail_code,remaining_amt, payrec, mode_code,coinsurance_code,class_cd,it_remarks) values('28Nov240101','040000106523','0',(select max(to_number(i.premium_rcv_detail_code))+1
from ins_premium_det i),'0','0','02', '11000003','00','Request by Mr. Omair Ali 29-Nov-2024');</v>
      </c>
    </row>
    <row r="1099" spans="1:8" ht="105" x14ac:dyDescent="0.25">
      <c r="A1099" t="s">
        <v>1099</v>
      </c>
      <c r="B1099" s="8" t="str">
        <f>VLOOKUP(A1099,assortedcode!B:C,2,0)</f>
        <v>040000107734</v>
      </c>
      <c r="C1099" s="1">
        <v>0</v>
      </c>
      <c r="D1099" s="9">
        <f t="shared" si="69"/>
        <v>0</v>
      </c>
      <c r="E1099" s="7" t="s">
        <v>8345</v>
      </c>
      <c r="F1099" s="10" t="str">
        <f t="shared" si="68"/>
        <v>insert into ins_premium_det (premium_rcv_code,assorted_code, rec_amount,premium_rcv_detail_code,remaining_amt, payrec, mode_code,coinsurance_code,class_cd,it_remarks) values</v>
      </c>
      <c r="G1099" s="11" t="str">
        <f t="shared" si="70"/>
        <v>('28Nov240101','040000107734','0',(select max(to_number(i.premium_rcv_detail_code))+1
from ins_premium_det i),'0','0','02', '11000003','00','Request by Mr. Omair Ali 29-Nov-2024');</v>
      </c>
      <c r="H1099" s="12" t="str">
        <f t="shared" si="71"/>
        <v>insert into ins_premium_det (premium_rcv_code,assorted_code, rec_amount,premium_rcv_detail_code,remaining_amt, payrec, mode_code,coinsurance_code,class_cd,it_remarks) values('28Nov240101','040000107734','0',(select max(to_number(i.premium_rcv_detail_code))+1
from ins_premium_det i),'0','0','02', '11000003','00','Request by Mr. Omair Ali 29-Nov-2024');</v>
      </c>
    </row>
    <row r="1100" spans="1:8" ht="105" x14ac:dyDescent="0.25">
      <c r="A1100" t="s">
        <v>1100</v>
      </c>
      <c r="B1100" s="8" t="str">
        <f>VLOOKUP(A1100,assortedcode!B:C,2,0)</f>
        <v>040000106537</v>
      </c>
      <c r="C1100" s="1">
        <v>0</v>
      </c>
      <c r="D1100" s="9">
        <f t="shared" si="69"/>
        <v>0</v>
      </c>
      <c r="E1100" s="7" t="s">
        <v>8345</v>
      </c>
      <c r="F1100" s="10" t="str">
        <f t="shared" si="68"/>
        <v>insert into ins_premium_det (premium_rcv_code,assorted_code, rec_amount,premium_rcv_detail_code,remaining_amt, payrec, mode_code,coinsurance_code,class_cd,it_remarks) values</v>
      </c>
      <c r="G1100" s="11" t="str">
        <f t="shared" si="70"/>
        <v>('28Nov240101','040000106537','0',(select max(to_number(i.premium_rcv_detail_code))+1
from ins_premium_det i),'0','0','02', '11000003','00','Request by Mr. Omair Ali 29-Nov-2024');</v>
      </c>
      <c r="H1100" s="12" t="str">
        <f t="shared" si="71"/>
        <v>insert into ins_premium_det (premium_rcv_code,assorted_code, rec_amount,premium_rcv_detail_code,remaining_amt, payrec, mode_code,coinsurance_code,class_cd,it_remarks) values('28Nov240101','040000106537','0',(select max(to_number(i.premium_rcv_detail_code))+1
from ins_premium_det i),'0','0','02', '11000003','00','Request by Mr. Omair Ali 29-Nov-2024');</v>
      </c>
    </row>
    <row r="1101" spans="1:8" ht="105" x14ac:dyDescent="0.25">
      <c r="A1101" t="s">
        <v>1101</v>
      </c>
      <c r="B1101" s="8" t="str">
        <f>VLOOKUP(A1101,assortedcode!B:C,2,0)</f>
        <v>040000108287</v>
      </c>
      <c r="C1101" s="1">
        <v>0</v>
      </c>
      <c r="D1101" s="9">
        <f t="shared" si="69"/>
        <v>0</v>
      </c>
      <c r="E1101" s="7" t="s">
        <v>8345</v>
      </c>
      <c r="F1101" s="10" t="str">
        <f t="shared" si="68"/>
        <v>insert into ins_premium_det (premium_rcv_code,assorted_code, rec_amount,premium_rcv_detail_code,remaining_amt, payrec, mode_code,coinsurance_code,class_cd,it_remarks) values</v>
      </c>
      <c r="G1101" s="11" t="str">
        <f t="shared" si="70"/>
        <v>('28Nov240101','040000108287','0',(select max(to_number(i.premium_rcv_detail_code))+1
from ins_premium_det i),'0','0','02', '11000003','00','Request by Mr. Omair Ali 29-Nov-2024');</v>
      </c>
      <c r="H1101" s="12" t="str">
        <f t="shared" si="71"/>
        <v>insert into ins_premium_det (premium_rcv_code,assorted_code, rec_amount,premium_rcv_detail_code,remaining_amt, payrec, mode_code,coinsurance_code,class_cd,it_remarks) values('28Nov240101','040000108287','0',(select max(to_number(i.premium_rcv_detail_code))+1
from ins_premium_det i),'0','0','02', '11000003','00','Request by Mr. Omair Ali 29-Nov-2024');</v>
      </c>
    </row>
    <row r="1102" spans="1:8" ht="105" x14ac:dyDescent="0.25">
      <c r="A1102" t="s">
        <v>1102</v>
      </c>
      <c r="B1102" s="8" t="str">
        <f>VLOOKUP(A1102,assortedcode!B:C,2,0)</f>
        <v>040000108631</v>
      </c>
      <c r="C1102" s="1">
        <v>0</v>
      </c>
      <c r="D1102" s="9">
        <f t="shared" si="69"/>
        <v>0</v>
      </c>
      <c r="E1102" s="7" t="s">
        <v>8345</v>
      </c>
      <c r="F1102" s="10" t="str">
        <f t="shared" si="68"/>
        <v>insert into ins_premium_det (premium_rcv_code,assorted_code, rec_amount,premium_rcv_detail_code,remaining_amt, payrec, mode_code,coinsurance_code,class_cd,it_remarks) values</v>
      </c>
      <c r="G1102" s="11" t="str">
        <f t="shared" si="70"/>
        <v>('28Nov240101','040000108631','0',(select max(to_number(i.premium_rcv_detail_code))+1
from ins_premium_det i),'0','0','02', '11000003','00','Request by Mr. Omair Ali 29-Nov-2024');</v>
      </c>
      <c r="H1102" s="12" t="str">
        <f t="shared" si="71"/>
        <v>insert into ins_premium_det (premium_rcv_code,assorted_code, rec_amount,premium_rcv_detail_code,remaining_amt, payrec, mode_code,coinsurance_code,class_cd,it_remarks) values('28Nov240101','040000108631','0',(select max(to_number(i.premium_rcv_detail_code))+1
from ins_premium_det i),'0','0','02', '11000003','00','Request by Mr. Omair Ali 29-Nov-2024');</v>
      </c>
    </row>
    <row r="1103" spans="1:8" ht="105" x14ac:dyDescent="0.25">
      <c r="A1103" t="s">
        <v>1103</v>
      </c>
      <c r="B1103" s="8" t="str">
        <f>VLOOKUP(A1103,assortedcode!B:C,2,0)</f>
        <v>040000126931</v>
      </c>
      <c r="C1103" s="1">
        <v>0</v>
      </c>
      <c r="D1103" s="9">
        <f t="shared" si="69"/>
        <v>0</v>
      </c>
      <c r="E1103" s="7" t="s">
        <v>8345</v>
      </c>
      <c r="F1103" s="10" t="str">
        <f t="shared" si="68"/>
        <v>insert into ins_premium_det (premium_rcv_code,assorted_code, rec_amount,premium_rcv_detail_code,remaining_amt, payrec, mode_code,coinsurance_code,class_cd,it_remarks) values</v>
      </c>
      <c r="G1103" s="11" t="str">
        <f t="shared" si="70"/>
        <v>('28Nov240101','040000126931','0',(select max(to_number(i.premium_rcv_detail_code))+1
from ins_premium_det i),'0','0','02', '11000003','00','Request by Mr. Omair Ali 29-Nov-2024');</v>
      </c>
      <c r="H1103" s="12" t="str">
        <f t="shared" si="71"/>
        <v>insert into ins_premium_det (premium_rcv_code,assorted_code, rec_amount,premium_rcv_detail_code,remaining_amt, payrec, mode_code,coinsurance_code,class_cd,it_remarks) values('28Nov240101','040000126931','0',(select max(to_number(i.premium_rcv_detail_code))+1
from ins_premium_det i),'0','0','02', '11000003','00','Request by Mr. Omair Ali 29-Nov-2024');</v>
      </c>
    </row>
    <row r="1104" spans="1:8" ht="105" x14ac:dyDescent="0.25">
      <c r="A1104" t="s">
        <v>1104</v>
      </c>
      <c r="B1104" s="8" t="str">
        <f>VLOOKUP(A1104,assortedcode!B:C,2,0)</f>
        <v>040000109970</v>
      </c>
      <c r="C1104" s="1">
        <v>0</v>
      </c>
      <c r="D1104" s="9">
        <f t="shared" si="69"/>
        <v>0</v>
      </c>
      <c r="E1104" s="7" t="s">
        <v>8345</v>
      </c>
      <c r="F1104" s="10" t="str">
        <f t="shared" si="68"/>
        <v>insert into ins_premium_det (premium_rcv_code,assorted_code, rec_amount,premium_rcv_detail_code,remaining_amt, payrec, mode_code,coinsurance_code,class_cd,it_remarks) values</v>
      </c>
      <c r="G1104" s="11" t="str">
        <f t="shared" si="70"/>
        <v>('28Nov240101','040000109970','0',(select max(to_number(i.premium_rcv_detail_code))+1
from ins_premium_det i),'0','0','02', '11000003','00','Request by Mr. Omair Ali 29-Nov-2024');</v>
      </c>
      <c r="H1104" s="12" t="str">
        <f t="shared" si="71"/>
        <v>insert into ins_premium_det (premium_rcv_code,assorted_code, rec_amount,premium_rcv_detail_code,remaining_amt, payrec, mode_code,coinsurance_code,class_cd,it_remarks) values('28Nov240101','040000109970','0',(select max(to_number(i.premium_rcv_detail_code))+1
from ins_premium_det i),'0','0','02', '11000003','00','Request by Mr. Omair Ali 29-Nov-2024');</v>
      </c>
    </row>
    <row r="1105" spans="1:8" ht="105" x14ac:dyDescent="0.25">
      <c r="A1105" t="s">
        <v>1105</v>
      </c>
      <c r="B1105" s="8" t="str">
        <f>VLOOKUP(A1105,assortedcode!B:C,2,0)</f>
        <v>040000127016</v>
      </c>
      <c r="C1105" s="1">
        <v>0</v>
      </c>
      <c r="D1105" s="9">
        <f t="shared" si="69"/>
        <v>0</v>
      </c>
      <c r="E1105" s="7" t="s">
        <v>8345</v>
      </c>
      <c r="F1105" s="10" t="str">
        <f t="shared" si="68"/>
        <v>insert into ins_premium_det (premium_rcv_code,assorted_code, rec_amount,premium_rcv_detail_code,remaining_amt, payrec, mode_code,coinsurance_code,class_cd,it_remarks) values</v>
      </c>
      <c r="G1105" s="11" t="str">
        <f t="shared" si="70"/>
        <v>('28Nov240101','040000127016','0',(select max(to_number(i.premium_rcv_detail_code))+1
from ins_premium_det i),'0','0','02', '11000003','00','Request by Mr. Omair Ali 29-Nov-2024');</v>
      </c>
      <c r="H1105" s="12" t="str">
        <f t="shared" si="71"/>
        <v>insert into ins_premium_det (premium_rcv_code,assorted_code, rec_amount,premium_rcv_detail_code,remaining_amt, payrec, mode_code,coinsurance_code,class_cd,it_remarks) values('28Nov240101','040000127016','0',(select max(to_number(i.premium_rcv_detail_code))+1
from ins_premium_det i),'0','0','02', '11000003','00','Request by Mr. Omair Ali 29-Nov-2024');</v>
      </c>
    </row>
    <row r="1106" spans="1:8" ht="105" x14ac:dyDescent="0.25">
      <c r="A1106" t="s">
        <v>1106</v>
      </c>
      <c r="B1106" s="8" t="str">
        <f>VLOOKUP(A1106,assortedcode!B:C,2,0)</f>
        <v>040000106505</v>
      </c>
      <c r="C1106" s="1">
        <v>0</v>
      </c>
      <c r="D1106" s="9">
        <f t="shared" si="69"/>
        <v>0</v>
      </c>
      <c r="E1106" s="7" t="s">
        <v>8345</v>
      </c>
      <c r="F1106" s="10" t="str">
        <f t="shared" si="68"/>
        <v>insert into ins_premium_det (premium_rcv_code,assorted_code, rec_amount,premium_rcv_detail_code,remaining_amt, payrec, mode_code,coinsurance_code,class_cd,it_remarks) values</v>
      </c>
      <c r="G1106" s="11" t="str">
        <f t="shared" si="70"/>
        <v>('28Nov240101','040000106505','0',(select max(to_number(i.premium_rcv_detail_code))+1
from ins_premium_det i),'0','0','02', '11000003','00','Request by Mr. Omair Ali 29-Nov-2024');</v>
      </c>
      <c r="H1106" s="12" t="str">
        <f t="shared" si="71"/>
        <v>insert into ins_premium_det (premium_rcv_code,assorted_code, rec_amount,premium_rcv_detail_code,remaining_amt, payrec, mode_code,coinsurance_code,class_cd,it_remarks) values('28Nov240101','040000106505','0',(select max(to_number(i.premium_rcv_detail_code))+1
from ins_premium_det i),'0','0','02', '11000003','00','Request by Mr. Omair Ali 29-Nov-2024');</v>
      </c>
    </row>
    <row r="1107" spans="1:8" ht="105" x14ac:dyDescent="0.25">
      <c r="A1107" t="s">
        <v>1107</v>
      </c>
      <c r="B1107" s="8" t="str">
        <f>VLOOKUP(A1107,assortedcode!B:C,2,0)</f>
        <v>040000108294</v>
      </c>
      <c r="C1107" s="1">
        <v>0</v>
      </c>
      <c r="D1107" s="9">
        <f t="shared" si="69"/>
        <v>0</v>
      </c>
      <c r="E1107" s="7" t="s">
        <v>8345</v>
      </c>
      <c r="F1107" s="10" t="str">
        <f t="shared" si="68"/>
        <v>insert into ins_premium_det (premium_rcv_code,assorted_code, rec_amount,premium_rcv_detail_code,remaining_amt, payrec, mode_code,coinsurance_code,class_cd,it_remarks) values</v>
      </c>
      <c r="G1107" s="11" t="str">
        <f t="shared" si="70"/>
        <v>('28Nov240101','040000108294','0',(select max(to_number(i.premium_rcv_detail_code))+1
from ins_premium_det i),'0','0','02', '11000003','00','Request by Mr. Omair Ali 29-Nov-2024');</v>
      </c>
      <c r="H1107" s="12" t="str">
        <f t="shared" si="71"/>
        <v>insert into ins_premium_det (premium_rcv_code,assorted_code, rec_amount,premium_rcv_detail_code,remaining_amt, payrec, mode_code,coinsurance_code,class_cd,it_remarks) values('28Nov240101','040000108294','0',(select max(to_number(i.premium_rcv_detail_code))+1
from ins_premium_det i),'0','0','02', '11000003','00','Request by Mr. Omair Ali 29-Nov-2024');</v>
      </c>
    </row>
    <row r="1108" spans="1:8" ht="105" x14ac:dyDescent="0.25">
      <c r="A1108" t="s">
        <v>1108</v>
      </c>
      <c r="B1108" s="8" t="str">
        <f>VLOOKUP(A1108,assortedcode!B:C,2,0)</f>
        <v>040000112462</v>
      </c>
      <c r="C1108" s="1">
        <v>0</v>
      </c>
      <c r="D1108" s="9">
        <f t="shared" si="69"/>
        <v>0</v>
      </c>
      <c r="E1108" s="7" t="s">
        <v>8345</v>
      </c>
      <c r="F1108" s="10" t="str">
        <f t="shared" si="68"/>
        <v>insert into ins_premium_det (premium_rcv_code,assorted_code, rec_amount,premium_rcv_detail_code,remaining_amt, payrec, mode_code,coinsurance_code,class_cd,it_remarks) values</v>
      </c>
      <c r="G1108" s="11" t="str">
        <f t="shared" si="70"/>
        <v>('28Nov240101','040000112462','0',(select max(to_number(i.premium_rcv_detail_code))+1
from ins_premium_det i),'0','0','02', '11000003','00','Request by Mr. Omair Ali 29-Nov-2024');</v>
      </c>
      <c r="H1108" s="12" t="str">
        <f t="shared" si="71"/>
        <v>insert into ins_premium_det (premium_rcv_code,assorted_code, rec_amount,premium_rcv_detail_code,remaining_amt, payrec, mode_code,coinsurance_code,class_cd,it_remarks) values('28Nov240101','040000112462','0',(select max(to_number(i.premium_rcv_detail_code))+1
from ins_premium_det i),'0','0','02', '11000003','00','Request by Mr. Omair Ali 29-Nov-2024');</v>
      </c>
    </row>
    <row r="1109" spans="1:8" ht="105" x14ac:dyDescent="0.25">
      <c r="A1109" t="s">
        <v>1109</v>
      </c>
      <c r="B1109" s="8" t="str">
        <f>VLOOKUP(A1109,assortedcode!B:C,2,0)</f>
        <v>040000108299</v>
      </c>
      <c r="C1109" s="1">
        <v>0</v>
      </c>
      <c r="D1109" s="9">
        <f t="shared" si="69"/>
        <v>0</v>
      </c>
      <c r="E1109" s="7" t="s">
        <v>8345</v>
      </c>
      <c r="F1109" s="10" t="str">
        <f t="shared" si="68"/>
        <v>insert into ins_premium_det (premium_rcv_code,assorted_code, rec_amount,premium_rcv_detail_code,remaining_amt, payrec, mode_code,coinsurance_code,class_cd,it_remarks) values</v>
      </c>
      <c r="G1109" s="11" t="str">
        <f t="shared" si="70"/>
        <v>('28Nov240101','040000108299','0',(select max(to_number(i.premium_rcv_detail_code))+1
from ins_premium_det i),'0','0','02', '11000003','00','Request by Mr. Omair Ali 29-Nov-2024');</v>
      </c>
      <c r="H1109" s="12" t="str">
        <f t="shared" si="71"/>
        <v>insert into ins_premium_det (premium_rcv_code,assorted_code, rec_amount,premium_rcv_detail_code,remaining_amt, payrec, mode_code,coinsurance_code,class_cd,it_remarks) values('28Nov240101','040000108299','0',(select max(to_number(i.premium_rcv_detail_code))+1
from ins_premium_det i),'0','0','02', '11000003','00','Request by Mr. Omair Ali 29-Nov-2024');</v>
      </c>
    </row>
    <row r="1110" spans="1:8" ht="105" x14ac:dyDescent="0.25">
      <c r="A1110" t="s">
        <v>1110</v>
      </c>
      <c r="B1110" s="8" t="str">
        <f>VLOOKUP(A1110,assortedcode!B:C,2,0)</f>
        <v>040000124243</v>
      </c>
      <c r="C1110" s="1">
        <v>0</v>
      </c>
      <c r="D1110" s="9">
        <f t="shared" si="69"/>
        <v>0</v>
      </c>
      <c r="E1110" s="7" t="s">
        <v>8345</v>
      </c>
      <c r="F1110" s="10" t="str">
        <f t="shared" si="68"/>
        <v>insert into ins_premium_det (premium_rcv_code,assorted_code, rec_amount,premium_rcv_detail_code,remaining_amt, payrec, mode_code,coinsurance_code,class_cd,it_remarks) values</v>
      </c>
      <c r="G1110" s="11" t="str">
        <f t="shared" si="70"/>
        <v>('28Nov240101','040000124243','0',(select max(to_number(i.premium_rcv_detail_code))+1
from ins_premium_det i),'0','0','02', '11000003','00','Request by Mr. Omair Ali 29-Nov-2024');</v>
      </c>
      <c r="H1110" s="12" t="str">
        <f t="shared" si="71"/>
        <v>insert into ins_premium_det (premium_rcv_code,assorted_code, rec_amount,premium_rcv_detail_code,remaining_amt, payrec, mode_code,coinsurance_code,class_cd,it_remarks) values('28Nov240101','040000124243','0',(select max(to_number(i.premium_rcv_detail_code))+1
from ins_premium_det i),'0','0','02', '11000003','00','Request by Mr. Omair Ali 29-Nov-2024');</v>
      </c>
    </row>
    <row r="1111" spans="1:8" ht="105" x14ac:dyDescent="0.25">
      <c r="A1111" t="s">
        <v>1111</v>
      </c>
      <c r="B1111" s="8" t="str">
        <f>VLOOKUP(A1111,assortedcode!B:C,2,0)</f>
        <v>040000130679</v>
      </c>
      <c r="C1111" s="1">
        <v>0</v>
      </c>
      <c r="D1111" s="9">
        <f t="shared" si="69"/>
        <v>0</v>
      </c>
      <c r="E1111" s="7" t="s">
        <v>8345</v>
      </c>
      <c r="F1111" s="10" t="str">
        <f t="shared" si="68"/>
        <v>insert into ins_premium_det (premium_rcv_code,assorted_code, rec_amount,premium_rcv_detail_code,remaining_amt, payrec, mode_code,coinsurance_code,class_cd,it_remarks) values</v>
      </c>
      <c r="G1111" s="11" t="str">
        <f t="shared" si="70"/>
        <v>('28Nov240101','040000130679','0',(select max(to_number(i.premium_rcv_detail_code))+1
from ins_premium_det i),'0','0','02', '11000003','00','Request by Mr. Omair Ali 29-Nov-2024');</v>
      </c>
      <c r="H1111" s="12" t="str">
        <f t="shared" si="71"/>
        <v>insert into ins_premium_det (premium_rcv_code,assorted_code, rec_amount,premium_rcv_detail_code,remaining_amt, payrec, mode_code,coinsurance_code,class_cd,it_remarks) values('28Nov240101','040000130679','0',(select max(to_number(i.premium_rcv_detail_code))+1
from ins_premium_det i),'0','0','02', '11000003','00','Request by Mr. Omair Ali 29-Nov-2024');</v>
      </c>
    </row>
    <row r="1112" spans="1:8" ht="105" x14ac:dyDescent="0.25">
      <c r="A1112" t="s">
        <v>1112</v>
      </c>
      <c r="B1112" s="8" t="str">
        <f>VLOOKUP(A1112,assortedcode!B:C,2,0)</f>
        <v>040000124356</v>
      </c>
      <c r="C1112" s="1">
        <v>0</v>
      </c>
      <c r="D1112" s="9">
        <f t="shared" si="69"/>
        <v>0</v>
      </c>
      <c r="E1112" s="7" t="s">
        <v>8345</v>
      </c>
      <c r="F1112" s="10" t="str">
        <f t="shared" si="68"/>
        <v>insert into ins_premium_det (premium_rcv_code,assorted_code, rec_amount,premium_rcv_detail_code,remaining_amt, payrec, mode_code,coinsurance_code,class_cd,it_remarks) values</v>
      </c>
      <c r="G1112" s="11" t="str">
        <f t="shared" si="70"/>
        <v>('28Nov240101','040000124356','0',(select max(to_number(i.premium_rcv_detail_code))+1
from ins_premium_det i),'0','0','02', '11000003','00','Request by Mr. Omair Ali 29-Nov-2024');</v>
      </c>
      <c r="H1112" s="12" t="str">
        <f t="shared" si="71"/>
        <v>insert into ins_premium_det (premium_rcv_code,assorted_code, rec_amount,premium_rcv_detail_code,remaining_amt, payrec, mode_code,coinsurance_code,class_cd,it_remarks) values('28Nov240101','040000124356','0',(select max(to_number(i.premium_rcv_detail_code))+1
from ins_premium_det i),'0','0','02', '11000003','00','Request by Mr. Omair Ali 29-Nov-2024');</v>
      </c>
    </row>
    <row r="1113" spans="1:8" ht="105" x14ac:dyDescent="0.25">
      <c r="A1113" t="s">
        <v>1113</v>
      </c>
      <c r="B1113" s="8" t="str">
        <f>VLOOKUP(A1113,assortedcode!B:C,2,0)</f>
        <v>040000130714</v>
      </c>
      <c r="C1113" s="1">
        <v>0</v>
      </c>
      <c r="D1113" s="9">
        <f t="shared" si="69"/>
        <v>0</v>
      </c>
      <c r="E1113" s="7" t="s">
        <v>8345</v>
      </c>
      <c r="F1113" s="10" t="str">
        <f t="shared" si="68"/>
        <v>insert into ins_premium_det (premium_rcv_code,assorted_code, rec_amount,premium_rcv_detail_code,remaining_amt, payrec, mode_code,coinsurance_code,class_cd,it_remarks) values</v>
      </c>
      <c r="G1113" s="11" t="str">
        <f t="shared" si="70"/>
        <v>('28Nov240101','040000130714','0',(select max(to_number(i.premium_rcv_detail_code))+1
from ins_premium_det i),'0','0','02', '11000003','00','Request by Mr. Omair Ali 29-Nov-2024');</v>
      </c>
      <c r="H1113" s="12" t="str">
        <f t="shared" si="71"/>
        <v>insert into ins_premium_det (premium_rcv_code,assorted_code, rec_amount,premium_rcv_detail_code,remaining_amt, payrec, mode_code,coinsurance_code,class_cd,it_remarks) values('28Nov240101','040000130714','0',(select max(to_number(i.premium_rcv_detail_code))+1
from ins_premium_det i),'0','0','02', '11000003','00','Request by Mr. Omair Ali 29-Nov-2024');</v>
      </c>
    </row>
    <row r="1114" spans="1:8" ht="105" x14ac:dyDescent="0.25">
      <c r="A1114" t="s">
        <v>1114</v>
      </c>
      <c r="B1114" s="8" t="str">
        <f>VLOOKUP(A1114,assortedcode!B:C,2,0)</f>
        <v>040000124850</v>
      </c>
      <c r="C1114" s="1">
        <v>0</v>
      </c>
      <c r="D1114" s="9">
        <f t="shared" si="69"/>
        <v>0</v>
      </c>
      <c r="E1114" s="7" t="s">
        <v>8345</v>
      </c>
      <c r="F1114" s="10" t="str">
        <f t="shared" si="68"/>
        <v>insert into ins_premium_det (premium_rcv_code,assorted_code, rec_amount,premium_rcv_detail_code,remaining_amt, payrec, mode_code,coinsurance_code,class_cd,it_remarks) values</v>
      </c>
      <c r="G1114" s="11" t="str">
        <f t="shared" si="70"/>
        <v>('28Nov240101','040000124850','0',(select max(to_number(i.premium_rcv_detail_code))+1
from ins_premium_det i),'0','0','02', '11000003','00','Request by Mr. Omair Ali 29-Nov-2024');</v>
      </c>
      <c r="H1114" s="12" t="str">
        <f t="shared" si="71"/>
        <v>insert into ins_premium_det (premium_rcv_code,assorted_code, rec_amount,premium_rcv_detail_code,remaining_amt, payrec, mode_code,coinsurance_code,class_cd,it_remarks) values('28Nov240101','040000124850','0',(select max(to_number(i.premium_rcv_detail_code))+1
from ins_premium_det i),'0','0','02', '11000003','00','Request by Mr. Omair Ali 29-Nov-2024');</v>
      </c>
    </row>
    <row r="1115" spans="1:8" ht="105" x14ac:dyDescent="0.25">
      <c r="A1115" t="s">
        <v>1115</v>
      </c>
      <c r="B1115" s="8" t="str">
        <f>VLOOKUP(A1115,assortedcode!B:C,2,0)</f>
        <v>040000108330</v>
      </c>
      <c r="C1115" s="1">
        <v>0</v>
      </c>
      <c r="D1115" s="9">
        <f t="shared" si="69"/>
        <v>0</v>
      </c>
      <c r="E1115" s="7" t="s">
        <v>8345</v>
      </c>
      <c r="F1115" s="10" t="str">
        <f t="shared" si="68"/>
        <v>insert into ins_premium_det (premium_rcv_code,assorted_code, rec_amount,premium_rcv_detail_code,remaining_amt, payrec, mode_code,coinsurance_code,class_cd,it_remarks) values</v>
      </c>
      <c r="G1115" s="11" t="str">
        <f t="shared" si="70"/>
        <v>('28Nov240101','040000108330','0',(select max(to_number(i.premium_rcv_detail_code))+1
from ins_premium_det i),'0','0','02', '11000003','00','Request by Mr. Omair Ali 29-Nov-2024');</v>
      </c>
      <c r="H1115" s="12" t="str">
        <f t="shared" si="71"/>
        <v>insert into ins_premium_det (premium_rcv_code,assorted_code, rec_amount,premium_rcv_detail_code,remaining_amt, payrec, mode_code,coinsurance_code,class_cd,it_remarks) values('28Nov240101','040000108330','0',(select max(to_number(i.premium_rcv_detail_code))+1
from ins_premium_det i),'0','0','02', '11000003','00','Request by Mr. Omair Ali 29-Nov-2024');</v>
      </c>
    </row>
    <row r="1116" spans="1:8" ht="105" x14ac:dyDescent="0.25">
      <c r="A1116" t="s">
        <v>1116</v>
      </c>
      <c r="B1116" s="8" t="str">
        <f>VLOOKUP(A1116,assortedcode!B:C,2,0)</f>
        <v>040000126937</v>
      </c>
      <c r="C1116" s="1">
        <v>0</v>
      </c>
      <c r="D1116" s="9">
        <f t="shared" si="69"/>
        <v>0</v>
      </c>
      <c r="E1116" s="7" t="s">
        <v>8345</v>
      </c>
      <c r="F1116" s="10" t="str">
        <f t="shared" si="68"/>
        <v>insert into ins_premium_det (premium_rcv_code,assorted_code, rec_amount,premium_rcv_detail_code,remaining_amt, payrec, mode_code,coinsurance_code,class_cd,it_remarks) values</v>
      </c>
      <c r="G1116" s="11" t="str">
        <f t="shared" si="70"/>
        <v>('28Nov240101','040000126937','0',(select max(to_number(i.premium_rcv_detail_code))+1
from ins_premium_det i),'0','0','02', '11000003','00','Request by Mr. Omair Ali 29-Nov-2024');</v>
      </c>
      <c r="H1116" s="12" t="str">
        <f t="shared" si="71"/>
        <v>insert into ins_premium_det (premium_rcv_code,assorted_code, rec_amount,premium_rcv_detail_code,remaining_amt, payrec, mode_code,coinsurance_code,class_cd,it_remarks) values('28Nov240101','040000126937','0',(select max(to_number(i.premium_rcv_detail_code))+1
from ins_premium_det i),'0','0','02', '11000003','00','Request by Mr. Omair Ali 29-Nov-2024');</v>
      </c>
    </row>
    <row r="1117" spans="1:8" ht="105" x14ac:dyDescent="0.25">
      <c r="A1117" t="s">
        <v>1117</v>
      </c>
      <c r="B1117" s="8" t="str">
        <f>VLOOKUP(A1117,assortedcode!B:C,2,0)</f>
        <v>040000106315</v>
      </c>
      <c r="C1117" s="1">
        <v>0</v>
      </c>
      <c r="D1117" s="9">
        <f t="shared" si="69"/>
        <v>0</v>
      </c>
      <c r="E1117" s="7" t="s">
        <v>8345</v>
      </c>
      <c r="F1117" s="10" t="str">
        <f t="shared" si="68"/>
        <v>insert into ins_premium_det (premium_rcv_code,assorted_code, rec_amount,premium_rcv_detail_code,remaining_amt, payrec, mode_code,coinsurance_code,class_cd,it_remarks) values</v>
      </c>
      <c r="G1117" s="11" t="str">
        <f t="shared" si="70"/>
        <v>('28Nov240101','040000106315','0',(select max(to_number(i.premium_rcv_detail_code))+1
from ins_premium_det i),'0','0','02', '11000003','00','Request by Mr. Omair Ali 29-Nov-2024');</v>
      </c>
      <c r="H1117" s="12" t="str">
        <f t="shared" si="71"/>
        <v>insert into ins_premium_det (premium_rcv_code,assorted_code, rec_amount,premium_rcv_detail_code,remaining_amt, payrec, mode_code,coinsurance_code,class_cd,it_remarks) values('28Nov240101','040000106315','0',(select max(to_number(i.premium_rcv_detail_code))+1
from ins_premium_det i),'0','0','02', '11000003','00','Request by Mr. Omair Ali 29-Nov-2024');</v>
      </c>
    </row>
    <row r="1118" spans="1:8" ht="105" x14ac:dyDescent="0.25">
      <c r="A1118" t="s">
        <v>1118</v>
      </c>
      <c r="B1118" s="8" t="str">
        <f>VLOOKUP(A1118,assortedcode!B:C,2,0)</f>
        <v>040000130083</v>
      </c>
      <c r="C1118" s="1">
        <v>0</v>
      </c>
      <c r="D1118" s="9">
        <f t="shared" si="69"/>
        <v>0</v>
      </c>
      <c r="E1118" s="7" t="s">
        <v>8345</v>
      </c>
      <c r="F1118" s="10" t="str">
        <f t="shared" si="68"/>
        <v>insert into ins_premium_det (premium_rcv_code,assorted_code, rec_amount,premium_rcv_detail_code,remaining_amt, payrec, mode_code,coinsurance_code,class_cd,it_remarks) values</v>
      </c>
      <c r="G1118" s="11" t="str">
        <f t="shared" si="70"/>
        <v>('28Nov240101','040000130083','0',(select max(to_number(i.premium_rcv_detail_code))+1
from ins_premium_det i),'0','0','02', '11000003','00','Request by Mr. Omair Ali 29-Nov-2024');</v>
      </c>
      <c r="H1118" s="12" t="str">
        <f t="shared" si="71"/>
        <v>insert into ins_premium_det (premium_rcv_code,assorted_code, rec_amount,premium_rcv_detail_code,remaining_amt, payrec, mode_code,coinsurance_code,class_cd,it_remarks) values('28Nov240101','040000130083','0',(select max(to_number(i.premium_rcv_detail_code))+1
from ins_premium_det i),'0','0','02', '11000003','00','Request by Mr. Omair Ali 29-Nov-2024');</v>
      </c>
    </row>
    <row r="1119" spans="1:8" ht="105" x14ac:dyDescent="0.25">
      <c r="A1119" t="s">
        <v>1119</v>
      </c>
      <c r="B1119" s="8" t="str">
        <f>VLOOKUP(A1119,assortedcode!B:C,2,0)</f>
        <v>040000108341</v>
      </c>
      <c r="C1119" s="1">
        <v>0</v>
      </c>
      <c r="D1119" s="9">
        <f t="shared" si="69"/>
        <v>0</v>
      </c>
      <c r="E1119" s="7" t="s">
        <v>8345</v>
      </c>
      <c r="F1119" s="10" t="str">
        <f t="shared" si="68"/>
        <v>insert into ins_premium_det (premium_rcv_code,assorted_code, rec_amount,premium_rcv_detail_code,remaining_amt, payrec, mode_code,coinsurance_code,class_cd,it_remarks) values</v>
      </c>
      <c r="G1119" s="11" t="str">
        <f t="shared" si="70"/>
        <v>('28Nov240101','040000108341','0',(select max(to_number(i.premium_rcv_detail_code))+1
from ins_premium_det i),'0','0','02', '11000003','00','Request by Mr. Omair Ali 29-Nov-2024');</v>
      </c>
      <c r="H1119" s="12" t="str">
        <f t="shared" si="71"/>
        <v>insert into ins_premium_det (premium_rcv_code,assorted_code, rec_amount,premium_rcv_detail_code,remaining_amt, payrec, mode_code,coinsurance_code,class_cd,it_remarks) values('28Nov240101','040000108341','0',(select max(to_number(i.premium_rcv_detail_code))+1
from ins_premium_det i),'0','0','02', '11000003','00','Request by Mr. Omair Ali 29-Nov-2024');</v>
      </c>
    </row>
    <row r="1120" spans="1:8" ht="105" x14ac:dyDescent="0.25">
      <c r="A1120" t="s">
        <v>1120</v>
      </c>
      <c r="B1120" s="8" t="str">
        <f>VLOOKUP(A1120,assortedcode!B:C,2,0)</f>
        <v>040000106841</v>
      </c>
      <c r="C1120" s="1">
        <v>0</v>
      </c>
      <c r="D1120" s="9">
        <f t="shared" si="69"/>
        <v>0</v>
      </c>
      <c r="E1120" s="7" t="s">
        <v>8345</v>
      </c>
      <c r="F1120" s="10" t="str">
        <f t="shared" si="68"/>
        <v>insert into ins_premium_det (premium_rcv_code,assorted_code, rec_amount,premium_rcv_detail_code,remaining_amt, payrec, mode_code,coinsurance_code,class_cd,it_remarks) values</v>
      </c>
      <c r="G1120" s="11" t="str">
        <f t="shared" si="70"/>
        <v>('28Nov240101','040000106841','0',(select max(to_number(i.premium_rcv_detail_code))+1
from ins_premium_det i),'0','0','02', '11000003','00','Request by Mr. Omair Ali 29-Nov-2024');</v>
      </c>
      <c r="H1120" s="12" t="str">
        <f t="shared" si="71"/>
        <v>insert into ins_premium_det (premium_rcv_code,assorted_code, rec_amount,premium_rcv_detail_code,remaining_amt, payrec, mode_code,coinsurance_code,class_cd,it_remarks) values('28Nov240101','040000106841','0',(select max(to_number(i.premium_rcv_detail_code))+1
from ins_premium_det i),'0','0','02', '11000003','00','Request by Mr. Omair Ali 29-Nov-2024');</v>
      </c>
    </row>
    <row r="1121" spans="1:8" ht="105" x14ac:dyDescent="0.25">
      <c r="A1121" t="s">
        <v>1121</v>
      </c>
      <c r="B1121" s="8" t="str">
        <f>VLOOKUP(A1121,assortedcode!B:C,2,0)</f>
        <v>040000108350</v>
      </c>
      <c r="C1121" s="1">
        <v>0</v>
      </c>
      <c r="D1121" s="9">
        <f t="shared" si="69"/>
        <v>0</v>
      </c>
      <c r="E1121" s="7" t="s">
        <v>8345</v>
      </c>
      <c r="F1121" s="10" t="str">
        <f t="shared" si="68"/>
        <v>insert into ins_premium_det (premium_rcv_code,assorted_code, rec_amount,premium_rcv_detail_code,remaining_amt, payrec, mode_code,coinsurance_code,class_cd,it_remarks) values</v>
      </c>
      <c r="G1121" s="11" t="str">
        <f t="shared" si="70"/>
        <v>('28Nov240101','040000108350','0',(select max(to_number(i.premium_rcv_detail_code))+1
from ins_premium_det i),'0','0','02', '11000003','00','Request by Mr. Omair Ali 29-Nov-2024');</v>
      </c>
      <c r="H1121" s="12" t="str">
        <f t="shared" si="71"/>
        <v>insert into ins_premium_det (premium_rcv_code,assorted_code, rec_amount,premium_rcv_detail_code,remaining_amt, payrec, mode_code,coinsurance_code,class_cd,it_remarks) values('28Nov240101','040000108350','0',(select max(to_number(i.premium_rcv_detail_code))+1
from ins_premium_det i),'0','0','02', '11000003','00','Request by Mr. Omair Ali 29-Nov-2024');</v>
      </c>
    </row>
    <row r="1122" spans="1:8" ht="105" x14ac:dyDescent="0.25">
      <c r="A1122" t="s">
        <v>1122</v>
      </c>
      <c r="B1122" s="8" t="str">
        <f>VLOOKUP(A1122,assortedcode!B:C,2,0)</f>
        <v>040000134050</v>
      </c>
      <c r="C1122" s="1">
        <v>0</v>
      </c>
      <c r="D1122" s="9">
        <f t="shared" si="69"/>
        <v>0</v>
      </c>
      <c r="E1122" s="7" t="s">
        <v>8345</v>
      </c>
      <c r="F1122" s="10" t="str">
        <f t="shared" si="68"/>
        <v>insert into ins_premium_det (premium_rcv_code,assorted_code, rec_amount,premium_rcv_detail_code,remaining_amt, payrec, mode_code,coinsurance_code,class_cd,it_remarks) values</v>
      </c>
      <c r="G1122" s="11" t="str">
        <f t="shared" si="70"/>
        <v>('28Nov240101','040000134050','0',(select max(to_number(i.premium_rcv_detail_code))+1
from ins_premium_det i),'0','0','02', '11000003','00','Request by Mr. Omair Ali 29-Nov-2024');</v>
      </c>
      <c r="H1122" s="12" t="str">
        <f t="shared" si="71"/>
        <v>insert into ins_premium_det (premium_rcv_code,assorted_code, rec_amount,premium_rcv_detail_code,remaining_amt, payrec, mode_code,coinsurance_code,class_cd,it_remarks) values('28Nov240101','040000134050','0',(select max(to_number(i.premium_rcv_detail_code))+1
from ins_premium_det i),'0','0','02', '11000003','00','Request by Mr. Omair Ali 29-Nov-2024');</v>
      </c>
    </row>
    <row r="1123" spans="1:8" ht="105" x14ac:dyDescent="0.25">
      <c r="A1123" t="s">
        <v>1123</v>
      </c>
      <c r="B1123" s="8" t="str">
        <f>VLOOKUP(A1123,assortedcode!B:C,2,0)</f>
        <v>040000108365</v>
      </c>
      <c r="C1123" s="1">
        <v>0</v>
      </c>
      <c r="D1123" s="9">
        <f t="shared" si="69"/>
        <v>0</v>
      </c>
      <c r="E1123" s="7" t="s">
        <v>8345</v>
      </c>
      <c r="F1123" s="10" t="str">
        <f t="shared" si="68"/>
        <v>insert into ins_premium_det (premium_rcv_code,assorted_code, rec_amount,premium_rcv_detail_code,remaining_amt, payrec, mode_code,coinsurance_code,class_cd,it_remarks) values</v>
      </c>
      <c r="G1123" s="11" t="str">
        <f t="shared" si="70"/>
        <v>('28Nov240101','040000108365','0',(select max(to_number(i.premium_rcv_detail_code))+1
from ins_premium_det i),'0','0','02', '11000003','00','Request by Mr. Omair Ali 29-Nov-2024');</v>
      </c>
      <c r="H1123" s="12" t="str">
        <f t="shared" si="71"/>
        <v>insert into ins_premium_det (premium_rcv_code,assorted_code, rec_amount,premium_rcv_detail_code,remaining_amt, payrec, mode_code,coinsurance_code,class_cd,it_remarks) values('28Nov240101','040000108365','0',(select max(to_number(i.premium_rcv_detail_code))+1
from ins_premium_det i),'0','0','02', '11000003','00','Request by Mr. Omair Ali 29-Nov-2024');</v>
      </c>
    </row>
    <row r="1124" spans="1:8" ht="105" x14ac:dyDescent="0.25">
      <c r="A1124" t="s">
        <v>1124</v>
      </c>
      <c r="B1124" s="8" t="str">
        <f>VLOOKUP(A1124,assortedcode!B:C,2,0)</f>
        <v>040000136551</v>
      </c>
      <c r="C1124" s="1">
        <v>0</v>
      </c>
      <c r="D1124" s="9">
        <f t="shared" si="69"/>
        <v>0</v>
      </c>
      <c r="E1124" s="7" t="s">
        <v>8345</v>
      </c>
      <c r="F1124" s="10" t="str">
        <f t="shared" si="68"/>
        <v>insert into ins_premium_det (premium_rcv_code,assorted_code, rec_amount,premium_rcv_detail_code,remaining_amt, payrec, mode_code,coinsurance_code,class_cd,it_remarks) values</v>
      </c>
      <c r="G1124" s="11" t="str">
        <f t="shared" si="70"/>
        <v>('28Nov240101','040000136551','0',(select max(to_number(i.premium_rcv_detail_code))+1
from ins_premium_det i),'0','0','02', '11000003','00','Request by Mr. Omair Ali 29-Nov-2024');</v>
      </c>
      <c r="H1124" s="12" t="str">
        <f t="shared" si="71"/>
        <v>insert into ins_premium_det (premium_rcv_code,assorted_code, rec_amount,premium_rcv_detail_code,remaining_amt, payrec, mode_code,coinsurance_code,class_cd,it_remarks) values('28Nov240101','040000136551','0',(select max(to_number(i.premium_rcv_detail_code))+1
from ins_premium_det i),'0','0','02', '11000003','00','Request by Mr. Omair Ali 29-Nov-2024');</v>
      </c>
    </row>
    <row r="1125" spans="1:8" ht="105" x14ac:dyDescent="0.25">
      <c r="A1125" t="s">
        <v>1125</v>
      </c>
      <c r="B1125" s="8" t="str">
        <f>VLOOKUP(A1125,assortedcode!B:C,2,0)</f>
        <v>040000108377</v>
      </c>
      <c r="C1125" s="1">
        <v>0</v>
      </c>
      <c r="D1125" s="9">
        <f t="shared" si="69"/>
        <v>0</v>
      </c>
      <c r="E1125" s="7" t="s">
        <v>8345</v>
      </c>
      <c r="F1125" s="10" t="str">
        <f t="shared" si="68"/>
        <v>insert into ins_premium_det (premium_rcv_code,assorted_code, rec_amount,premium_rcv_detail_code,remaining_amt, payrec, mode_code,coinsurance_code,class_cd,it_remarks) values</v>
      </c>
      <c r="G1125" s="11" t="str">
        <f t="shared" si="70"/>
        <v>('28Nov240101','040000108377','0',(select max(to_number(i.premium_rcv_detail_code))+1
from ins_premium_det i),'0','0','02', '11000003','00','Request by Mr. Omair Ali 29-Nov-2024');</v>
      </c>
      <c r="H1125" s="12" t="str">
        <f t="shared" si="71"/>
        <v>insert into ins_premium_det (premium_rcv_code,assorted_code, rec_amount,premium_rcv_detail_code,remaining_amt, payrec, mode_code,coinsurance_code,class_cd,it_remarks) values('28Nov240101','040000108377','0',(select max(to_number(i.premium_rcv_detail_code))+1
from ins_premium_det i),'0','0','02', '11000003','00','Request by Mr. Omair Ali 29-Nov-2024');</v>
      </c>
    </row>
    <row r="1126" spans="1:8" ht="105" x14ac:dyDescent="0.25">
      <c r="A1126" t="s">
        <v>1126</v>
      </c>
      <c r="B1126" s="8" t="str">
        <f>VLOOKUP(A1126,assortedcode!B:C,2,0)</f>
        <v>040000110048</v>
      </c>
      <c r="C1126" s="1">
        <v>0</v>
      </c>
      <c r="D1126" s="9">
        <f t="shared" si="69"/>
        <v>0</v>
      </c>
      <c r="E1126" s="7" t="s">
        <v>8345</v>
      </c>
      <c r="F1126" s="10" t="str">
        <f t="shared" si="68"/>
        <v>insert into ins_premium_det (premium_rcv_code,assorted_code, rec_amount,premium_rcv_detail_code,remaining_amt, payrec, mode_code,coinsurance_code,class_cd,it_remarks) values</v>
      </c>
      <c r="G1126" s="11" t="str">
        <f t="shared" si="70"/>
        <v>('28Nov240101','040000110048','0',(select max(to_number(i.premium_rcv_detail_code))+1
from ins_premium_det i),'0','0','02', '11000003','00','Request by Mr. Omair Ali 29-Nov-2024');</v>
      </c>
      <c r="H1126" s="12" t="str">
        <f t="shared" si="71"/>
        <v>insert into ins_premium_det (premium_rcv_code,assorted_code, rec_amount,premium_rcv_detail_code,remaining_amt, payrec, mode_code,coinsurance_code,class_cd,it_remarks) values('28Nov240101','040000110048','0',(select max(to_number(i.premium_rcv_detail_code))+1
from ins_premium_det i),'0','0','02', '11000003','00','Request by Mr. Omair Ali 29-Nov-2024');</v>
      </c>
    </row>
    <row r="1127" spans="1:8" ht="105" x14ac:dyDescent="0.25">
      <c r="A1127" t="s">
        <v>1127</v>
      </c>
      <c r="B1127" s="8" t="str">
        <f>VLOOKUP(A1127,assortedcode!B:C,2,0)</f>
        <v>040000133947</v>
      </c>
      <c r="C1127" s="1">
        <v>0</v>
      </c>
      <c r="D1127" s="9">
        <f t="shared" si="69"/>
        <v>0</v>
      </c>
      <c r="E1127" s="7" t="s">
        <v>8345</v>
      </c>
      <c r="F1127" s="10" t="str">
        <f t="shared" si="68"/>
        <v>insert into ins_premium_det (premium_rcv_code,assorted_code, rec_amount,premium_rcv_detail_code,remaining_amt, payrec, mode_code,coinsurance_code,class_cd,it_remarks) values</v>
      </c>
      <c r="G1127" s="11" t="str">
        <f t="shared" si="70"/>
        <v>('28Nov240101','040000133947','0',(select max(to_number(i.premium_rcv_detail_code))+1
from ins_premium_det i),'0','0','02', '11000003','00','Request by Mr. Omair Ali 29-Nov-2024');</v>
      </c>
      <c r="H1127" s="12" t="str">
        <f t="shared" si="71"/>
        <v>insert into ins_premium_det (premium_rcv_code,assorted_code, rec_amount,premium_rcv_detail_code,remaining_amt, payrec, mode_code,coinsurance_code,class_cd,it_remarks) values('28Nov240101','040000133947','0',(select max(to_number(i.premium_rcv_detail_code))+1
from ins_premium_det i),'0','0','02', '11000003','00','Request by Mr. Omair Ali 29-Nov-2024');</v>
      </c>
    </row>
    <row r="1128" spans="1:8" ht="105" x14ac:dyDescent="0.25">
      <c r="A1128" t="s">
        <v>1128</v>
      </c>
      <c r="B1128" s="8" t="str">
        <f>VLOOKUP(A1128,assortedcode!B:C,2,0)</f>
        <v>040000110057</v>
      </c>
      <c r="C1128" s="1">
        <v>0</v>
      </c>
      <c r="D1128" s="9">
        <f t="shared" si="69"/>
        <v>0</v>
      </c>
      <c r="E1128" s="7" t="s">
        <v>8345</v>
      </c>
      <c r="F1128" s="10" t="str">
        <f t="shared" si="68"/>
        <v>insert into ins_premium_det (premium_rcv_code,assorted_code, rec_amount,premium_rcv_detail_code,remaining_amt, payrec, mode_code,coinsurance_code,class_cd,it_remarks) values</v>
      </c>
      <c r="G1128" s="11" t="str">
        <f t="shared" si="70"/>
        <v>('28Nov240101','040000110057','0',(select max(to_number(i.premium_rcv_detail_code))+1
from ins_premium_det i),'0','0','02', '11000003','00','Request by Mr. Omair Ali 29-Nov-2024');</v>
      </c>
      <c r="H1128" s="12" t="str">
        <f t="shared" si="71"/>
        <v>insert into ins_premium_det (premium_rcv_code,assorted_code, rec_amount,premium_rcv_detail_code,remaining_amt, payrec, mode_code,coinsurance_code,class_cd,it_remarks) values('28Nov240101','040000110057','0',(select max(to_number(i.premium_rcv_detail_code))+1
from ins_premium_det i),'0','0','02', '11000003','00','Request by Mr. Omair Ali 29-Nov-2024');</v>
      </c>
    </row>
    <row r="1129" spans="1:8" ht="105" x14ac:dyDescent="0.25">
      <c r="A1129" t="s">
        <v>1129</v>
      </c>
      <c r="B1129" s="8" t="str">
        <f>VLOOKUP(A1129,assortedcode!B:C,2,0)</f>
        <v>040000108394</v>
      </c>
      <c r="C1129" s="1">
        <v>0</v>
      </c>
      <c r="D1129" s="9">
        <f t="shared" si="69"/>
        <v>0</v>
      </c>
      <c r="E1129" s="7" t="s">
        <v>8345</v>
      </c>
      <c r="F1129" s="10" t="str">
        <f t="shared" si="68"/>
        <v>insert into ins_premium_det (premium_rcv_code,assorted_code, rec_amount,premium_rcv_detail_code,remaining_amt, payrec, mode_code,coinsurance_code,class_cd,it_remarks) values</v>
      </c>
      <c r="G1129" s="11" t="str">
        <f t="shared" si="70"/>
        <v>('28Nov240101','040000108394','0',(select max(to_number(i.premium_rcv_detail_code))+1
from ins_premium_det i),'0','0','02', '11000003','00','Request by Mr. Omair Ali 29-Nov-2024');</v>
      </c>
      <c r="H1129" s="12" t="str">
        <f t="shared" si="71"/>
        <v>insert into ins_premium_det (premium_rcv_code,assorted_code, rec_amount,premium_rcv_detail_code,remaining_amt, payrec, mode_code,coinsurance_code,class_cd,it_remarks) values('28Nov240101','040000108394','0',(select max(to_number(i.premium_rcv_detail_code))+1
from ins_premium_det i),'0','0','02', '11000003','00','Request by Mr. Omair Ali 29-Nov-2024');</v>
      </c>
    </row>
    <row r="1130" spans="1:8" ht="105" x14ac:dyDescent="0.25">
      <c r="A1130" t="s">
        <v>1130</v>
      </c>
      <c r="B1130" s="8" t="str">
        <f>VLOOKUP(A1130,assortedcode!B:C,2,0)</f>
        <v>040000149542</v>
      </c>
      <c r="C1130" s="1">
        <v>0</v>
      </c>
      <c r="D1130" s="9">
        <f t="shared" si="69"/>
        <v>0</v>
      </c>
      <c r="E1130" s="7" t="s">
        <v>8345</v>
      </c>
      <c r="F1130" s="10" t="str">
        <f t="shared" si="68"/>
        <v>insert into ins_premium_det (premium_rcv_code,assorted_code, rec_amount,premium_rcv_detail_code,remaining_amt, payrec, mode_code,coinsurance_code,class_cd,it_remarks) values</v>
      </c>
      <c r="G1130" s="11" t="str">
        <f t="shared" si="70"/>
        <v>('28Nov240101','040000149542','0',(select max(to_number(i.premium_rcv_detail_code))+1
from ins_premium_det i),'0','0','02', '11000003','00','Request by Mr. Omair Ali 29-Nov-2024');</v>
      </c>
      <c r="H1130" s="12" t="str">
        <f t="shared" si="71"/>
        <v>insert into ins_premium_det (premium_rcv_code,assorted_code, rec_amount,premium_rcv_detail_code,remaining_amt, payrec, mode_code,coinsurance_code,class_cd,it_remarks) values('28Nov240101','040000149542','0',(select max(to_number(i.premium_rcv_detail_code))+1
from ins_premium_det i),'0','0','02', '11000003','00','Request by Mr. Omair Ali 29-Nov-2024');</v>
      </c>
    </row>
    <row r="1131" spans="1:8" ht="105" x14ac:dyDescent="0.25">
      <c r="A1131" t="s">
        <v>1131</v>
      </c>
      <c r="B1131" s="8" t="str">
        <f>VLOOKUP(A1131,assortedcode!B:C,2,0)</f>
        <v>040000108655</v>
      </c>
      <c r="C1131" s="1">
        <v>0</v>
      </c>
      <c r="D1131" s="9">
        <f t="shared" si="69"/>
        <v>0</v>
      </c>
      <c r="E1131" s="7" t="s">
        <v>8345</v>
      </c>
      <c r="F1131" s="10" t="str">
        <f t="shared" si="68"/>
        <v>insert into ins_premium_det (premium_rcv_code,assorted_code, rec_amount,premium_rcv_detail_code,remaining_amt, payrec, mode_code,coinsurance_code,class_cd,it_remarks) values</v>
      </c>
      <c r="G1131" s="11" t="str">
        <f t="shared" si="70"/>
        <v>('28Nov240101','040000108655','0',(select max(to_number(i.premium_rcv_detail_code))+1
from ins_premium_det i),'0','0','02', '11000003','00','Request by Mr. Omair Ali 29-Nov-2024');</v>
      </c>
      <c r="H1131" s="12" t="str">
        <f t="shared" si="71"/>
        <v>insert into ins_premium_det (premium_rcv_code,assorted_code, rec_amount,premium_rcv_detail_code,remaining_amt, payrec, mode_code,coinsurance_code,class_cd,it_remarks) values('28Nov240101','040000108655','0',(select max(to_number(i.premium_rcv_detail_code))+1
from ins_premium_det i),'0','0','02', '11000003','00','Request by Mr. Omair Ali 29-Nov-2024');</v>
      </c>
    </row>
    <row r="1132" spans="1:8" ht="105" x14ac:dyDescent="0.25">
      <c r="A1132" t="s">
        <v>1132</v>
      </c>
      <c r="B1132" s="8" t="str">
        <f>VLOOKUP(A1132,assortedcode!B:C,2,0)</f>
        <v>040000149555</v>
      </c>
      <c r="C1132" s="1">
        <v>0</v>
      </c>
      <c r="D1132" s="9">
        <f t="shared" si="69"/>
        <v>0</v>
      </c>
      <c r="E1132" s="7" t="s">
        <v>8345</v>
      </c>
      <c r="F1132" s="10" t="str">
        <f t="shared" si="68"/>
        <v>insert into ins_premium_det (premium_rcv_code,assorted_code, rec_amount,premium_rcv_detail_code,remaining_amt, payrec, mode_code,coinsurance_code,class_cd,it_remarks) values</v>
      </c>
      <c r="G1132" s="11" t="str">
        <f t="shared" si="70"/>
        <v>('28Nov240101','040000149555','0',(select max(to_number(i.premium_rcv_detail_code))+1
from ins_premium_det i),'0','0','02', '11000003','00','Request by Mr. Omair Ali 29-Nov-2024');</v>
      </c>
      <c r="H1132" s="12" t="str">
        <f t="shared" si="71"/>
        <v>insert into ins_premium_det (premium_rcv_code,assorted_code, rec_amount,premium_rcv_detail_code,remaining_amt, payrec, mode_code,coinsurance_code,class_cd,it_remarks) values('28Nov240101','040000149555','0',(select max(to_number(i.premium_rcv_detail_code))+1
from ins_premium_det i),'0','0','02', '11000003','00','Request by Mr. Omair Ali 29-Nov-2024');</v>
      </c>
    </row>
    <row r="1133" spans="1:8" ht="105" x14ac:dyDescent="0.25">
      <c r="A1133" t="s">
        <v>1133</v>
      </c>
      <c r="B1133" s="8" t="str">
        <f>VLOOKUP(A1133,assortedcode!B:C,2,0)</f>
        <v>040000104702</v>
      </c>
      <c r="C1133" s="1">
        <v>0</v>
      </c>
      <c r="D1133" s="9">
        <f t="shared" si="69"/>
        <v>0</v>
      </c>
      <c r="E1133" s="7" t="s">
        <v>8345</v>
      </c>
      <c r="F1133" s="10" t="str">
        <f t="shared" si="68"/>
        <v>insert into ins_premium_det (premium_rcv_code,assorted_code, rec_amount,premium_rcv_detail_code,remaining_amt, payrec, mode_code,coinsurance_code,class_cd,it_remarks) values</v>
      </c>
      <c r="G1133" s="11" t="str">
        <f t="shared" si="70"/>
        <v>('28Nov240101','040000104702','0',(select max(to_number(i.premium_rcv_detail_code))+1
from ins_premium_det i),'0','0','02', '11000003','00','Request by Mr. Omair Ali 29-Nov-2024');</v>
      </c>
      <c r="H1133" s="12" t="str">
        <f t="shared" si="71"/>
        <v>insert into ins_premium_det (premium_rcv_code,assorted_code, rec_amount,premium_rcv_detail_code,remaining_amt, payrec, mode_code,coinsurance_code,class_cd,it_remarks) values('28Nov240101','040000104702','0',(select max(to_number(i.premium_rcv_detail_code))+1
from ins_premium_det i),'0','0','02', '11000003','00','Request by Mr. Omair Ali 29-Nov-2024');</v>
      </c>
    </row>
    <row r="1134" spans="1:8" ht="105" x14ac:dyDescent="0.25">
      <c r="A1134" t="s">
        <v>1134</v>
      </c>
      <c r="B1134" s="8" t="str">
        <f>VLOOKUP(A1134,assortedcode!B:C,2,0)</f>
        <v>040000149573</v>
      </c>
      <c r="C1134" s="1">
        <v>0</v>
      </c>
      <c r="D1134" s="9">
        <f t="shared" si="69"/>
        <v>0</v>
      </c>
      <c r="E1134" s="7" t="s">
        <v>8345</v>
      </c>
      <c r="F1134" s="10" t="str">
        <f t="shared" si="68"/>
        <v>insert into ins_premium_det (premium_rcv_code,assorted_code, rec_amount,premium_rcv_detail_code,remaining_amt, payrec, mode_code,coinsurance_code,class_cd,it_remarks) values</v>
      </c>
      <c r="G1134" s="11" t="str">
        <f t="shared" si="70"/>
        <v>('28Nov240101','040000149573','0',(select max(to_number(i.premium_rcv_detail_code))+1
from ins_premium_det i),'0','0','02', '11000003','00','Request by Mr. Omair Ali 29-Nov-2024');</v>
      </c>
      <c r="H1134" s="12" t="str">
        <f t="shared" si="71"/>
        <v>insert into ins_premium_det (premium_rcv_code,assorted_code, rec_amount,premium_rcv_detail_code,remaining_amt, payrec, mode_code,coinsurance_code,class_cd,it_remarks) values('28Nov240101','040000149573','0',(select max(to_number(i.premium_rcv_detail_code))+1
from ins_premium_det i),'0','0','02', '11000003','00','Request by Mr. Omair Ali 29-Nov-2024');</v>
      </c>
    </row>
    <row r="1135" spans="1:8" ht="105" x14ac:dyDescent="0.25">
      <c r="A1135" t="s">
        <v>1135</v>
      </c>
      <c r="B1135" s="8" t="str">
        <f>VLOOKUP(A1135,assortedcode!B:C,2,0)</f>
        <v>040000108663</v>
      </c>
      <c r="C1135" s="1">
        <v>0</v>
      </c>
      <c r="D1135" s="9">
        <f t="shared" si="69"/>
        <v>0</v>
      </c>
      <c r="E1135" s="7" t="s">
        <v>8345</v>
      </c>
      <c r="F1135" s="10" t="str">
        <f t="shared" si="68"/>
        <v>insert into ins_premium_det (premium_rcv_code,assorted_code, rec_amount,premium_rcv_detail_code,remaining_amt, payrec, mode_code,coinsurance_code,class_cd,it_remarks) values</v>
      </c>
      <c r="G1135" s="11" t="str">
        <f t="shared" si="70"/>
        <v>('28Nov240101','040000108663','0',(select max(to_number(i.premium_rcv_detail_code))+1
from ins_premium_det i),'0','0','02', '11000003','00','Request by Mr. Omair Ali 29-Nov-2024');</v>
      </c>
      <c r="H1135" s="12" t="str">
        <f t="shared" si="71"/>
        <v>insert into ins_premium_det (premium_rcv_code,assorted_code, rec_amount,premium_rcv_detail_code,remaining_amt, payrec, mode_code,coinsurance_code,class_cd,it_remarks) values('28Nov240101','040000108663','0',(select max(to_number(i.premium_rcv_detail_code))+1
from ins_premium_det i),'0','0','02', '11000003','00','Request by Mr. Omair Ali 29-Nov-2024');</v>
      </c>
    </row>
    <row r="1136" spans="1:8" ht="105" x14ac:dyDescent="0.25">
      <c r="A1136" t="s">
        <v>1136</v>
      </c>
      <c r="B1136" s="8" t="str">
        <f>VLOOKUP(A1136,assortedcode!B:C,2,0)</f>
        <v>040000149640</v>
      </c>
      <c r="C1136" s="1">
        <v>0</v>
      </c>
      <c r="D1136" s="9">
        <f t="shared" si="69"/>
        <v>0</v>
      </c>
      <c r="E1136" s="7" t="s">
        <v>8345</v>
      </c>
      <c r="F1136" s="10" t="str">
        <f t="shared" si="68"/>
        <v>insert into ins_premium_det (premium_rcv_code,assorted_code, rec_amount,premium_rcv_detail_code,remaining_amt, payrec, mode_code,coinsurance_code,class_cd,it_remarks) values</v>
      </c>
      <c r="G1136" s="11" t="str">
        <f t="shared" si="70"/>
        <v>('28Nov240101','040000149640','0',(select max(to_number(i.premium_rcv_detail_code))+1
from ins_premium_det i),'0','0','02', '11000003','00','Request by Mr. Omair Ali 29-Nov-2024');</v>
      </c>
      <c r="H1136" s="12" t="str">
        <f t="shared" si="71"/>
        <v>insert into ins_premium_det (premium_rcv_code,assorted_code, rec_amount,premium_rcv_detail_code,remaining_amt, payrec, mode_code,coinsurance_code,class_cd,it_remarks) values('28Nov240101','040000149640','0',(select max(to_number(i.premium_rcv_detail_code))+1
from ins_premium_det i),'0','0','02', '11000003','00','Request by Mr. Omair Ali 29-Nov-2024');</v>
      </c>
    </row>
    <row r="1137" spans="1:8" ht="105" x14ac:dyDescent="0.25">
      <c r="A1137" t="s">
        <v>1137</v>
      </c>
      <c r="B1137" s="8" t="str">
        <f>VLOOKUP(A1137,assortedcode!B:C,2,0)</f>
        <v>040000108680</v>
      </c>
      <c r="C1137" s="1">
        <v>0</v>
      </c>
      <c r="D1137" s="9">
        <f t="shared" si="69"/>
        <v>0</v>
      </c>
      <c r="E1137" s="7" t="s">
        <v>8345</v>
      </c>
      <c r="F1137" s="10" t="str">
        <f t="shared" si="68"/>
        <v>insert into ins_premium_det (premium_rcv_code,assorted_code, rec_amount,premium_rcv_detail_code,remaining_amt, payrec, mode_code,coinsurance_code,class_cd,it_remarks) values</v>
      </c>
      <c r="G1137" s="11" t="str">
        <f t="shared" si="70"/>
        <v>('28Nov240101','040000108680','0',(select max(to_number(i.premium_rcv_detail_code))+1
from ins_premium_det i),'0','0','02', '11000003','00','Request by Mr. Omair Ali 29-Nov-2024');</v>
      </c>
      <c r="H1137" s="12" t="str">
        <f t="shared" si="71"/>
        <v>insert into ins_premium_det (premium_rcv_code,assorted_code, rec_amount,premium_rcv_detail_code,remaining_amt, payrec, mode_code,coinsurance_code,class_cd,it_remarks) values('28Nov240101','040000108680','0',(select max(to_number(i.premium_rcv_detail_code))+1
from ins_premium_det i),'0','0','02', '11000003','00','Request by Mr. Omair Ali 29-Nov-2024');</v>
      </c>
    </row>
    <row r="1138" spans="1:8" ht="105" x14ac:dyDescent="0.25">
      <c r="A1138" t="s">
        <v>1138</v>
      </c>
      <c r="B1138" s="8" t="str">
        <f>VLOOKUP(A1138,assortedcode!B:C,2,0)</f>
        <v>040000149646</v>
      </c>
      <c r="C1138" s="1">
        <v>0</v>
      </c>
      <c r="D1138" s="9">
        <f t="shared" si="69"/>
        <v>0</v>
      </c>
      <c r="E1138" s="7" t="s">
        <v>8345</v>
      </c>
      <c r="F1138" s="10" t="str">
        <f t="shared" si="68"/>
        <v>insert into ins_premium_det (premium_rcv_code,assorted_code, rec_amount,premium_rcv_detail_code,remaining_amt, payrec, mode_code,coinsurance_code,class_cd,it_remarks) values</v>
      </c>
      <c r="G1138" s="11" t="str">
        <f t="shared" si="70"/>
        <v>('28Nov240101','040000149646','0',(select max(to_number(i.premium_rcv_detail_code))+1
from ins_premium_det i),'0','0','02', '11000003','00','Request by Mr. Omair Ali 29-Nov-2024');</v>
      </c>
      <c r="H1138" s="12" t="str">
        <f t="shared" si="71"/>
        <v>insert into ins_premium_det (premium_rcv_code,assorted_code, rec_amount,premium_rcv_detail_code,remaining_amt, payrec, mode_code,coinsurance_code,class_cd,it_remarks) values('28Nov240101','040000149646','0',(select max(to_number(i.premium_rcv_detail_code))+1
from ins_premium_det i),'0','0','02', '11000003','00','Request by Mr. Omair Ali 29-Nov-2024');</v>
      </c>
    </row>
    <row r="1139" spans="1:8" ht="105" x14ac:dyDescent="0.25">
      <c r="A1139" t="s">
        <v>1139</v>
      </c>
      <c r="B1139" s="8" t="str">
        <f>VLOOKUP(A1139,assortedcode!B:C,2,0)</f>
        <v>040000136160</v>
      </c>
      <c r="C1139" s="1">
        <v>0</v>
      </c>
      <c r="D1139" s="9">
        <f t="shared" si="69"/>
        <v>0</v>
      </c>
      <c r="E1139" s="7" t="s">
        <v>8345</v>
      </c>
      <c r="F1139" s="10" t="str">
        <f t="shared" si="68"/>
        <v>insert into ins_premium_det (premium_rcv_code,assorted_code, rec_amount,premium_rcv_detail_code,remaining_amt, payrec, mode_code,coinsurance_code,class_cd,it_remarks) values</v>
      </c>
      <c r="G1139" s="11" t="str">
        <f t="shared" si="70"/>
        <v>('28Nov240101','040000136160','0',(select max(to_number(i.premium_rcv_detail_code))+1
from ins_premium_det i),'0','0','02', '11000003','00','Request by Mr. Omair Ali 29-Nov-2024');</v>
      </c>
      <c r="H1139" s="12" t="str">
        <f t="shared" si="71"/>
        <v>insert into ins_premium_det (premium_rcv_code,assorted_code, rec_amount,premium_rcv_detail_code,remaining_amt, payrec, mode_code,coinsurance_code,class_cd,it_remarks) values('28Nov240101','040000136160','0',(select max(to_number(i.premium_rcv_detail_code))+1
from ins_premium_det i),'0','0','02', '11000003','00','Request by Mr. Omair Ali 29-Nov-2024');</v>
      </c>
    </row>
    <row r="1140" spans="1:8" ht="105" x14ac:dyDescent="0.25">
      <c r="A1140" t="s">
        <v>1140</v>
      </c>
      <c r="B1140" s="8" t="str">
        <f>VLOOKUP(A1140,assortedcode!B:C,2,0)</f>
        <v>040000104923</v>
      </c>
      <c r="C1140" s="1">
        <v>0</v>
      </c>
      <c r="D1140" s="9">
        <f t="shared" si="69"/>
        <v>0</v>
      </c>
      <c r="E1140" s="7" t="s">
        <v>8345</v>
      </c>
      <c r="F1140" s="10" t="str">
        <f t="shared" si="68"/>
        <v>insert into ins_premium_det (premium_rcv_code,assorted_code, rec_amount,premium_rcv_detail_code,remaining_amt, payrec, mode_code,coinsurance_code,class_cd,it_remarks) values</v>
      </c>
      <c r="G1140" s="11" t="str">
        <f t="shared" si="70"/>
        <v>('28Nov240101','040000104923','0',(select max(to_number(i.premium_rcv_detail_code))+1
from ins_premium_det i),'0','0','02', '11000003','00','Request by Mr. Omair Ali 29-Nov-2024');</v>
      </c>
      <c r="H1140" s="12" t="str">
        <f t="shared" si="71"/>
        <v>insert into ins_premium_det (premium_rcv_code,assorted_code, rec_amount,premium_rcv_detail_code,remaining_amt, payrec, mode_code,coinsurance_code,class_cd,it_remarks) values('28Nov240101','040000104923','0',(select max(to_number(i.premium_rcv_detail_code))+1
from ins_premium_det i),'0','0','02', '11000003','00','Request by Mr. Omair Ali 29-Nov-2024');</v>
      </c>
    </row>
    <row r="1141" spans="1:8" ht="105" x14ac:dyDescent="0.25">
      <c r="A1141" t="s">
        <v>1141</v>
      </c>
      <c r="B1141" s="8" t="str">
        <f>VLOOKUP(A1141,assortedcode!B:C,2,0)</f>
        <v>040000108692</v>
      </c>
      <c r="C1141" s="1">
        <v>0</v>
      </c>
      <c r="D1141" s="9">
        <f t="shared" si="69"/>
        <v>0</v>
      </c>
      <c r="E1141" s="7" t="s">
        <v>8345</v>
      </c>
      <c r="F1141" s="10" t="str">
        <f t="shared" si="68"/>
        <v>insert into ins_premium_det (premium_rcv_code,assorted_code, rec_amount,premium_rcv_detail_code,remaining_amt, payrec, mode_code,coinsurance_code,class_cd,it_remarks) values</v>
      </c>
      <c r="G1141" s="11" t="str">
        <f t="shared" si="70"/>
        <v>('28Nov240101','040000108692','0',(select max(to_number(i.premium_rcv_detail_code))+1
from ins_premium_det i),'0','0','02', '11000003','00','Request by Mr. Omair Ali 29-Nov-2024');</v>
      </c>
      <c r="H1141" s="12" t="str">
        <f t="shared" si="71"/>
        <v>insert into ins_premium_det (premium_rcv_code,assorted_code, rec_amount,premium_rcv_detail_code,remaining_amt, payrec, mode_code,coinsurance_code,class_cd,it_remarks) values('28Nov240101','040000108692','0',(select max(to_number(i.premium_rcv_detail_code))+1
from ins_premium_det i),'0','0','02', '11000003','00','Request by Mr. Omair Ali 29-Nov-2024');</v>
      </c>
    </row>
    <row r="1142" spans="1:8" ht="105" x14ac:dyDescent="0.25">
      <c r="A1142" t="s">
        <v>1142</v>
      </c>
      <c r="B1142" s="8" t="str">
        <f>VLOOKUP(A1142,assortedcode!B:C,2,0)</f>
        <v>040000105442</v>
      </c>
      <c r="C1142" s="1">
        <v>0</v>
      </c>
      <c r="D1142" s="9">
        <f t="shared" si="69"/>
        <v>0</v>
      </c>
      <c r="E1142" s="7" t="s">
        <v>8345</v>
      </c>
      <c r="F1142" s="10" t="str">
        <f t="shared" si="68"/>
        <v>insert into ins_premium_det (premium_rcv_code,assorted_code, rec_amount,premium_rcv_detail_code,remaining_amt, payrec, mode_code,coinsurance_code,class_cd,it_remarks) values</v>
      </c>
      <c r="G1142" s="11" t="str">
        <f t="shared" si="70"/>
        <v>('28Nov240101','040000105442','0',(select max(to_number(i.premium_rcv_detail_code))+1
from ins_premium_det i),'0','0','02', '11000003','00','Request by Mr. Omair Ali 29-Nov-2024');</v>
      </c>
      <c r="H1142" s="12" t="str">
        <f t="shared" si="71"/>
        <v>insert into ins_premium_det (premium_rcv_code,assorted_code, rec_amount,premium_rcv_detail_code,remaining_amt, payrec, mode_code,coinsurance_code,class_cd,it_remarks) values('28Nov240101','040000105442','0',(select max(to_number(i.premium_rcv_detail_code))+1
from ins_premium_det i),'0','0','02', '11000003','00','Request by Mr. Omair Ali 29-Nov-2024');</v>
      </c>
    </row>
    <row r="1143" spans="1:8" ht="105" x14ac:dyDescent="0.25">
      <c r="A1143" t="s">
        <v>1143</v>
      </c>
      <c r="B1143" s="8" t="str">
        <f>VLOOKUP(A1143,assortedcode!B:C,2,0)</f>
        <v>040000108696</v>
      </c>
      <c r="C1143" s="1">
        <v>0</v>
      </c>
      <c r="D1143" s="9">
        <f t="shared" si="69"/>
        <v>0</v>
      </c>
      <c r="E1143" s="7" t="s">
        <v>8345</v>
      </c>
      <c r="F1143" s="10" t="str">
        <f t="shared" si="68"/>
        <v>insert into ins_premium_det (premium_rcv_code,assorted_code, rec_amount,premium_rcv_detail_code,remaining_amt, payrec, mode_code,coinsurance_code,class_cd,it_remarks) values</v>
      </c>
      <c r="G1143" s="11" t="str">
        <f t="shared" si="70"/>
        <v>('28Nov240101','040000108696','0',(select max(to_number(i.premium_rcv_detail_code))+1
from ins_premium_det i),'0','0','02', '11000003','00','Request by Mr. Omair Ali 29-Nov-2024');</v>
      </c>
      <c r="H1143" s="12" t="str">
        <f t="shared" si="71"/>
        <v>insert into ins_premium_det (premium_rcv_code,assorted_code, rec_amount,premium_rcv_detail_code,remaining_amt, payrec, mode_code,coinsurance_code,class_cd,it_remarks) values('28Nov240101','040000108696','0',(select max(to_number(i.premium_rcv_detail_code))+1
from ins_premium_det i),'0','0','02', '11000003','00','Request by Mr. Omair Ali 29-Nov-2024');</v>
      </c>
    </row>
    <row r="1144" spans="1:8" ht="105" x14ac:dyDescent="0.25">
      <c r="A1144" t="s">
        <v>1144</v>
      </c>
      <c r="B1144" s="8" t="str">
        <f>VLOOKUP(A1144,assortedcode!B:C,2,0)</f>
        <v>040000106531</v>
      </c>
      <c r="C1144" s="1">
        <v>0</v>
      </c>
      <c r="D1144" s="9">
        <f t="shared" si="69"/>
        <v>0</v>
      </c>
      <c r="E1144" s="7" t="s">
        <v>8345</v>
      </c>
      <c r="F1144" s="10" t="str">
        <f t="shared" si="68"/>
        <v>insert into ins_premium_det (premium_rcv_code,assorted_code, rec_amount,premium_rcv_detail_code,remaining_amt, payrec, mode_code,coinsurance_code,class_cd,it_remarks) values</v>
      </c>
      <c r="G1144" s="11" t="str">
        <f t="shared" si="70"/>
        <v>('28Nov240101','040000106531','0',(select max(to_number(i.premium_rcv_detail_code))+1
from ins_premium_det i),'0','0','02', '11000003','00','Request by Mr. Omair Ali 29-Nov-2024');</v>
      </c>
      <c r="H1144" s="12" t="str">
        <f t="shared" si="71"/>
        <v>insert into ins_premium_det (premium_rcv_code,assorted_code, rec_amount,premium_rcv_detail_code,remaining_amt, payrec, mode_code,coinsurance_code,class_cd,it_remarks) values('28Nov240101','040000106531','0',(select max(to_number(i.premium_rcv_detail_code))+1
from ins_premium_det i),'0','0','02', '11000003','00','Request by Mr. Omair Ali 29-Nov-2024');</v>
      </c>
    </row>
    <row r="1145" spans="1:8" ht="105" x14ac:dyDescent="0.25">
      <c r="A1145" t="s">
        <v>1145</v>
      </c>
      <c r="B1145" s="8" t="str">
        <f>VLOOKUP(A1145,assortedcode!B:C,2,0)</f>
        <v>040000141307</v>
      </c>
      <c r="C1145" s="1">
        <v>0</v>
      </c>
      <c r="D1145" s="9">
        <f t="shared" si="69"/>
        <v>0</v>
      </c>
      <c r="E1145" s="7" t="s">
        <v>8345</v>
      </c>
      <c r="F1145" s="10" t="str">
        <f t="shared" si="68"/>
        <v>insert into ins_premium_det (premium_rcv_code,assorted_code, rec_amount,premium_rcv_detail_code,remaining_amt, payrec, mode_code,coinsurance_code,class_cd,it_remarks) values</v>
      </c>
      <c r="G1145" s="11" t="str">
        <f t="shared" si="70"/>
        <v>('28Nov240101','040000141307','0',(select max(to_number(i.premium_rcv_detail_code))+1
from ins_premium_det i),'0','0','02', '11000003','00','Request by Mr. Omair Ali 29-Nov-2024');</v>
      </c>
      <c r="H1145" s="12" t="str">
        <f t="shared" si="71"/>
        <v>insert into ins_premium_det (premium_rcv_code,assorted_code, rec_amount,premium_rcv_detail_code,remaining_amt, payrec, mode_code,coinsurance_code,class_cd,it_remarks) values('28Nov240101','040000141307','0',(select max(to_number(i.premium_rcv_detail_code))+1
from ins_premium_det i),'0','0','02', '11000003','00','Request by Mr. Omair Ali 29-Nov-2024');</v>
      </c>
    </row>
    <row r="1146" spans="1:8" ht="105" x14ac:dyDescent="0.25">
      <c r="A1146" t="s">
        <v>1146</v>
      </c>
      <c r="B1146" s="8" t="str">
        <f>VLOOKUP(A1146,assortedcode!B:C,2,0)</f>
        <v>040000109954</v>
      </c>
      <c r="C1146" s="1">
        <v>0</v>
      </c>
      <c r="D1146" s="9">
        <f t="shared" si="69"/>
        <v>0</v>
      </c>
      <c r="E1146" s="7" t="s">
        <v>8345</v>
      </c>
      <c r="F1146" s="10" t="str">
        <f t="shared" si="68"/>
        <v>insert into ins_premium_det (premium_rcv_code,assorted_code, rec_amount,premium_rcv_detail_code,remaining_amt, payrec, mode_code,coinsurance_code,class_cd,it_remarks) values</v>
      </c>
      <c r="G1146" s="11" t="str">
        <f t="shared" si="70"/>
        <v>('28Nov240101','040000109954','0',(select max(to_number(i.premium_rcv_detail_code))+1
from ins_premium_det i),'0','0','02', '11000003','00','Request by Mr. Omair Ali 29-Nov-2024');</v>
      </c>
      <c r="H1146" s="12" t="str">
        <f t="shared" si="71"/>
        <v>insert into ins_premium_det (premium_rcv_code,assorted_code, rec_amount,premium_rcv_detail_code,remaining_amt, payrec, mode_code,coinsurance_code,class_cd,it_remarks) values('28Nov240101','040000109954','0',(select max(to_number(i.premium_rcv_detail_code))+1
from ins_premium_det i),'0','0','02', '11000003','00','Request by Mr. Omair Ali 29-Nov-2024');</v>
      </c>
    </row>
    <row r="1147" spans="1:8" ht="105" x14ac:dyDescent="0.25">
      <c r="A1147" t="s">
        <v>1147</v>
      </c>
      <c r="B1147" s="8" t="str">
        <f>VLOOKUP(A1147,assortedcode!B:C,2,0)</f>
        <v>040000108917</v>
      </c>
      <c r="C1147" s="1">
        <v>0</v>
      </c>
      <c r="D1147" s="9">
        <f t="shared" si="69"/>
        <v>0</v>
      </c>
      <c r="E1147" s="7" t="s">
        <v>8345</v>
      </c>
      <c r="F1147" s="10" t="str">
        <f t="shared" si="68"/>
        <v>insert into ins_premium_det (premium_rcv_code,assorted_code, rec_amount,premium_rcv_detail_code,remaining_amt, payrec, mode_code,coinsurance_code,class_cd,it_remarks) values</v>
      </c>
      <c r="G1147" s="11" t="str">
        <f t="shared" si="70"/>
        <v>('28Nov240101','040000108917','0',(select max(to_number(i.premium_rcv_detail_code))+1
from ins_premium_det i),'0','0','02', '11000003','00','Request by Mr. Omair Ali 29-Nov-2024');</v>
      </c>
      <c r="H1147" s="12" t="str">
        <f t="shared" si="71"/>
        <v>insert into ins_premium_det (premium_rcv_code,assorted_code, rec_amount,premium_rcv_detail_code,remaining_amt, payrec, mode_code,coinsurance_code,class_cd,it_remarks) values('28Nov240101','040000108917','0',(select max(to_number(i.premium_rcv_detail_code))+1
from ins_premium_det i),'0','0','02', '11000003','00','Request by Mr. Omair Ali 29-Nov-2024');</v>
      </c>
    </row>
    <row r="1148" spans="1:8" ht="105" x14ac:dyDescent="0.25">
      <c r="A1148" t="s">
        <v>1148</v>
      </c>
      <c r="B1148" s="8" t="str">
        <f>VLOOKUP(A1148,assortedcode!B:C,2,0)</f>
        <v>040000109971</v>
      </c>
      <c r="C1148" s="1">
        <v>0</v>
      </c>
      <c r="D1148" s="9">
        <f t="shared" si="69"/>
        <v>0</v>
      </c>
      <c r="E1148" s="7" t="s">
        <v>8345</v>
      </c>
      <c r="F1148" s="10" t="str">
        <f t="shared" si="68"/>
        <v>insert into ins_premium_det (premium_rcv_code,assorted_code, rec_amount,premium_rcv_detail_code,remaining_amt, payrec, mode_code,coinsurance_code,class_cd,it_remarks) values</v>
      </c>
      <c r="G1148" s="11" t="str">
        <f t="shared" si="70"/>
        <v>('28Nov240101','040000109971','0',(select max(to_number(i.premium_rcv_detail_code))+1
from ins_premium_det i),'0','0','02', '11000003','00','Request by Mr. Omair Ali 29-Nov-2024');</v>
      </c>
      <c r="H1148" s="12" t="str">
        <f t="shared" si="71"/>
        <v>insert into ins_premium_det (premium_rcv_code,assorted_code, rec_amount,premium_rcv_detail_code,remaining_amt, payrec, mode_code,coinsurance_code,class_cd,it_remarks) values('28Nov240101','040000109971','0',(select max(to_number(i.premium_rcv_detail_code))+1
from ins_premium_det i),'0','0','02', '11000003','00','Request by Mr. Omair Ali 29-Nov-2024');</v>
      </c>
    </row>
    <row r="1149" spans="1:8" ht="105" x14ac:dyDescent="0.25">
      <c r="A1149" t="s">
        <v>1149</v>
      </c>
      <c r="B1149" s="8" t="str">
        <f>VLOOKUP(A1149,assortedcode!B:C,2,0)</f>
        <v>040000106424</v>
      </c>
      <c r="C1149" s="1">
        <v>0</v>
      </c>
      <c r="D1149" s="9">
        <f t="shared" si="69"/>
        <v>0</v>
      </c>
      <c r="E1149" s="7" t="s">
        <v>8345</v>
      </c>
      <c r="F1149" s="10" t="str">
        <f t="shared" si="68"/>
        <v>insert into ins_premium_det (premium_rcv_code,assorted_code, rec_amount,premium_rcv_detail_code,remaining_amt, payrec, mode_code,coinsurance_code,class_cd,it_remarks) values</v>
      </c>
      <c r="G1149" s="11" t="str">
        <f t="shared" si="70"/>
        <v>('28Nov240101','040000106424','0',(select max(to_number(i.premium_rcv_detail_code))+1
from ins_premium_det i),'0','0','02', '11000003','00','Request by Mr. Omair Ali 29-Nov-2024');</v>
      </c>
      <c r="H1149" s="12" t="str">
        <f t="shared" si="71"/>
        <v>insert into ins_premium_det (premium_rcv_code,assorted_code, rec_amount,premium_rcv_detail_code,remaining_amt, payrec, mode_code,coinsurance_code,class_cd,it_remarks) values('28Nov240101','040000106424','0',(select max(to_number(i.premium_rcv_detail_code))+1
from ins_premium_det i),'0','0','02', '11000003','00','Request by Mr. Omair Ali 29-Nov-2024');</v>
      </c>
    </row>
    <row r="1150" spans="1:8" ht="105" x14ac:dyDescent="0.25">
      <c r="A1150" t="s">
        <v>1150</v>
      </c>
      <c r="B1150" s="8" t="str">
        <f>VLOOKUP(A1150,assortedcode!B:C,2,0)</f>
        <v>040000109973</v>
      </c>
      <c r="C1150" s="1">
        <v>0</v>
      </c>
      <c r="D1150" s="9">
        <f t="shared" si="69"/>
        <v>0</v>
      </c>
      <c r="E1150" s="7" t="s">
        <v>8345</v>
      </c>
      <c r="F1150" s="10" t="str">
        <f t="shared" si="68"/>
        <v>insert into ins_premium_det (premium_rcv_code,assorted_code, rec_amount,premium_rcv_detail_code,remaining_amt, payrec, mode_code,coinsurance_code,class_cd,it_remarks) values</v>
      </c>
      <c r="G1150" s="11" t="str">
        <f t="shared" si="70"/>
        <v>('28Nov240101','040000109973','0',(select max(to_number(i.premium_rcv_detail_code))+1
from ins_premium_det i),'0','0','02', '11000003','00','Request by Mr. Omair Ali 29-Nov-2024');</v>
      </c>
      <c r="H1150" s="12" t="str">
        <f t="shared" si="71"/>
        <v>insert into ins_premium_det (premium_rcv_code,assorted_code, rec_amount,premium_rcv_detail_code,remaining_amt, payrec, mode_code,coinsurance_code,class_cd,it_remarks) values('28Nov240101','040000109973','0',(select max(to_number(i.premium_rcv_detail_code))+1
from ins_premium_det i),'0','0','02', '11000003','00','Request by Mr. Omair Ali 29-Nov-2024');</v>
      </c>
    </row>
    <row r="1151" spans="1:8" ht="105" x14ac:dyDescent="0.25">
      <c r="A1151" t="s">
        <v>1151</v>
      </c>
      <c r="B1151" s="8" t="str">
        <f>VLOOKUP(A1151,assortedcode!B:C,2,0)</f>
        <v>040000108968</v>
      </c>
      <c r="C1151" s="1">
        <v>0</v>
      </c>
      <c r="D1151" s="9">
        <f t="shared" si="69"/>
        <v>0</v>
      </c>
      <c r="E1151" s="7" t="s">
        <v>8345</v>
      </c>
      <c r="F1151" s="10" t="str">
        <f t="shared" si="68"/>
        <v>insert into ins_premium_det (premium_rcv_code,assorted_code, rec_amount,premium_rcv_detail_code,remaining_amt, payrec, mode_code,coinsurance_code,class_cd,it_remarks) values</v>
      </c>
      <c r="G1151" s="11" t="str">
        <f t="shared" si="70"/>
        <v>('28Nov240101','040000108968','0',(select max(to_number(i.premium_rcv_detail_code))+1
from ins_premium_det i),'0','0','02', '11000003','00','Request by Mr. Omair Ali 29-Nov-2024');</v>
      </c>
      <c r="H1151" s="12" t="str">
        <f t="shared" si="71"/>
        <v>insert into ins_premium_det (premium_rcv_code,assorted_code, rec_amount,premium_rcv_detail_code,remaining_amt, payrec, mode_code,coinsurance_code,class_cd,it_remarks) values('28Nov240101','040000108968','0',(select max(to_number(i.premium_rcv_detail_code))+1
from ins_premium_det i),'0','0','02', '11000003','00','Request by Mr. Omair Ali 29-Nov-2024');</v>
      </c>
    </row>
    <row r="1152" spans="1:8" ht="105" x14ac:dyDescent="0.25">
      <c r="A1152" t="s">
        <v>1152</v>
      </c>
      <c r="B1152" s="8" t="str">
        <f>VLOOKUP(A1152,assortedcode!B:C,2,0)</f>
        <v>040000109975</v>
      </c>
      <c r="C1152" s="1">
        <v>0</v>
      </c>
      <c r="D1152" s="9">
        <f t="shared" si="69"/>
        <v>0</v>
      </c>
      <c r="E1152" s="7" t="s">
        <v>8345</v>
      </c>
      <c r="F1152" s="10" t="str">
        <f t="shared" si="68"/>
        <v>insert into ins_premium_det (premium_rcv_code,assorted_code, rec_amount,premium_rcv_detail_code,remaining_amt, payrec, mode_code,coinsurance_code,class_cd,it_remarks) values</v>
      </c>
      <c r="G1152" s="11" t="str">
        <f t="shared" si="70"/>
        <v>('28Nov240101','040000109975','0',(select max(to_number(i.premium_rcv_detail_code))+1
from ins_premium_det i),'0','0','02', '11000003','00','Request by Mr. Omair Ali 29-Nov-2024');</v>
      </c>
      <c r="H1152" s="12" t="str">
        <f t="shared" si="71"/>
        <v>insert into ins_premium_det (premium_rcv_code,assorted_code, rec_amount,premium_rcv_detail_code,remaining_amt, payrec, mode_code,coinsurance_code,class_cd,it_remarks) values('28Nov240101','040000109975','0',(select max(to_number(i.premium_rcv_detail_code))+1
from ins_premium_det i),'0','0','02', '11000003','00','Request by Mr. Omair Ali 29-Nov-2024');</v>
      </c>
    </row>
    <row r="1153" spans="1:8" ht="105" x14ac:dyDescent="0.25">
      <c r="A1153" t="s">
        <v>1153</v>
      </c>
      <c r="B1153" s="8" t="str">
        <f>VLOOKUP(A1153,assortedcode!B:C,2,0)</f>
        <v>040000108975</v>
      </c>
      <c r="C1153" s="1">
        <v>0</v>
      </c>
      <c r="D1153" s="9">
        <f t="shared" si="69"/>
        <v>0</v>
      </c>
      <c r="E1153" s="7" t="s">
        <v>8345</v>
      </c>
      <c r="F1153" s="10" t="str">
        <f t="shared" si="68"/>
        <v>insert into ins_premium_det (premium_rcv_code,assorted_code, rec_amount,premium_rcv_detail_code,remaining_amt, payrec, mode_code,coinsurance_code,class_cd,it_remarks) values</v>
      </c>
      <c r="G1153" s="11" t="str">
        <f t="shared" si="70"/>
        <v>('28Nov240101','040000108975','0',(select max(to_number(i.premium_rcv_detail_code))+1
from ins_premium_det i),'0','0','02', '11000003','00','Request by Mr. Omair Ali 29-Nov-2024');</v>
      </c>
      <c r="H1153" s="12" t="str">
        <f t="shared" si="71"/>
        <v>insert into ins_premium_det (premium_rcv_code,assorted_code, rec_amount,premium_rcv_detail_code,remaining_amt, payrec, mode_code,coinsurance_code,class_cd,it_remarks) values('28Nov240101','040000108975','0',(select max(to_number(i.premium_rcv_detail_code))+1
from ins_premium_det i),'0','0','02', '11000003','00','Request by Mr. Omair Ali 29-Nov-2024');</v>
      </c>
    </row>
    <row r="1154" spans="1:8" ht="105" x14ac:dyDescent="0.25">
      <c r="A1154" t="s">
        <v>1154</v>
      </c>
      <c r="B1154" s="8" t="str">
        <f>VLOOKUP(A1154,assortedcode!B:C,2,0)</f>
        <v>040000109976</v>
      </c>
      <c r="C1154" s="1">
        <v>0</v>
      </c>
      <c r="D1154" s="9">
        <f t="shared" si="69"/>
        <v>0</v>
      </c>
      <c r="E1154" s="7" t="s">
        <v>8345</v>
      </c>
      <c r="F1154" s="10" t="str">
        <f t="shared" ref="F1154:F1217" si="72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1154" s="11" t="str">
        <f t="shared" si="70"/>
        <v>('28Nov240101','040000109976','0',(select max(to_number(i.premium_rcv_detail_code))+1
from ins_premium_det i),'0','0','02', '11000003','00','Request by Mr. Omair Ali 29-Nov-2024');</v>
      </c>
      <c r="H1154" s="12" t="str">
        <f t="shared" si="71"/>
        <v>insert into ins_premium_det (premium_rcv_code,assorted_code, rec_amount,premium_rcv_detail_code,remaining_amt, payrec, mode_code,coinsurance_code,class_cd,it_remarks) values('28Nov240101','040000109976','0',(select max(to_number(i.premium_rcv_detail_code))+1
from ins_premium_det i),'0','0','02', '11000003','00','Request by Mr. Omair Ali 29-Nov-2024');</v>
      </c>
    </row>
    <row r="1155" spans="1:8" ht="105" x14ac:dyDescent="0.25">
      <c r="A1155" t="s">
        <v>1155</v>
      </c>
      <c r="B1155" s="8" t="str">
        <f>VLOOKUP(A1155,assortedcode!B:C,2,0)</f>
        <v>040000109051</v>
      </c>
      <c r="C1155" s="1">
        <v>0</v>
      </c>
      <c r="D1155" s="9">
        <f t="shared" ref="D1155:D1218" si="73">ROUND(C1155,0)</f>
        <v>0</v>
      </c>
      <c r="E1155" s="7" t="s">
        <v>8345</v>
      </c>
      <c r="F1155" s="10" t="str">
        <f t="shared" si="72"/>
        <v>insert into ins_premium_det (premium_rcv_code,assorted_code, rec_amount,premium_rcv_detail_code,remaining_amt, payrec, mode_code,coinsurance_code,class_cd,it_remarks) values</v>
      </c>
      <c r="G1155" s="11" t="str">
        <f t="shared" ref="G1155:G1218" si="74">"('"&amp;E1155&amp;"','"&amp;B1155&amp;"','"&amp;ROUND(D1155,2)&amp;"',(select max(to_number(i.premium_rcv_detail_code))+1
from ins_premium_det i),'"&amp;D1155&amp;"','"&amp;D1155&amp;"','02', '11000003','00','Request by Mr. Omair Ali 29-Nov-2024');"</f>
        <v>('28Nov240101','040000109051','0',(select max(to_number(i.premium_rcv_detail_code))+1
from ins_premium_det i),'0','0','02', '11000003','00','Request by Mr. Omair Ali 29-Nov-2024');</v>
      </c>
      <c r="H1155" s="12" t="str">
        <f t="shared" ref="H1155:H1218" si="75">F1155&amp;G1155</f>
        <v>insert into ins_premium_det (premium_rcv_code,assorted_code, rec_amount,premium_rcv_detail_code,remaining_amt, payrec, mode_code,coinsurance_code,class_cd,it_remarks) values('28Nov240101','040000109051','0',(select max(to_number(i.premium_rcv_detail_code))+1
from ins_premium_det i),'0','0','02', '11000003','00','Request by Mr. Omair Ali 29-Nov-2024');</v>
      </c>
    </row>
    <row r="1156" spans="1:8" ht="105" x14ac:dyDescent="0.25">
      <c r="A1156" t="s">
        <v>1156</v>
      </c>
      <c r="B1156" s="8" t="str">
        <f>VLOOKUP(A1156,assortedcode!B:C,2,0)</f>
        <v>040000109983</v>
      </c>
      <c r="C1156" s="1">
        <v>0</v>
      </c>
      <c r="D1156" s="9">
        <f t="shared" si="73"/>
        <v>0</v>
      </c>
      <c r="E1156" s="7" t="s">
        <v>8345</v>
      </c>
      <c r="F1156" s="10" t="str">
        <f t="shared" si="72"/>
        <v>insert into ins_premium_det (premium_rcv_code,assorted_code, rec_amount,premium_rcv_detail_code,remaining_amt, payrec, mode_code,coinsurance_code,class_cd,it_remarks) values</v>
      </c>
      <c r="G1156" s="11" t="str">
        <f t="shared" si="74"/>
        <v>('28Nov240101','040000109983','0',(select max(to_number(i.premium_rcv_detail_code))+1
from ins_premium_det i),'0','0','02', '11000003','00','Request by Mr. Omair Ali 29-Nov-2024');</v>
      </c>
      <c r="H1156" s="12" t="str">
        <f t="shared" si="75"/>
        <v>insert into ins_premium_det (premium_rcv_code,assorted_code, rec_amount,premium_rcv_detail_code,remaining_amt, payrec, mode_code,coinsurance_code,class_cd,it_remarks) values('28Nov240101','040000109983','0',(select max(to_number(i.premium_rcv_detail_code))+1
from ins_premium_det i),'0','0','02', '11000003','00','Request by Mr. Omair Ali 29-Nov-2024');</v>
      </c>
    </row>
    <row r="1157" spans="1:8" ht="105" x14ac:dyDescent="0.25">
      <c r="A1157" t="s">
        <v>1157</v>
      </c>
      <c r="B1157" s="8" t="str">
        <f>VLOOKUP(A1157,assortedcode!B:C,2,0)</f>
        <v>040000106839</v>
      </c>
      <c r="C1157" s="1">
        <v>0</v>
      </c>
      <c r="D1157" s="9">
        <f t="shared" si="73"/>
        <v>0</v>
      </c>
      <c r="E1157" s="7" t="s">
        <v>8345</v>
      </c>
      <c r="F1157" s="10" t="str">
        <f t="shared" si="72"/>
        <v>insert into ins_premium_det (premium_rcv_code,assorted_code, rec_amount,premium_rcv_detail_code,remaining_amt, payrec, mode_code,coinsurance_code,class_cd,it_remarks) values</v>
      </c>
      <c r="G1157" s="11" t="str">
        <f t="shared" si="74"/>
        <v>('28Nov240101','040000106839','0',(select max(to_number(i.premium_rcv_detail_code))+1
from ins_premium_det i),'0','0','02', '11000003','00','Request by Mr. Omair Ali 29-Nov-2024');</v>
      </c>
      <c r="H1157" s="12" t="str">
        <f t="shared" si="75"/>
        <v>insert into ins_premium_det (premium_rcv_code,assorted_code, rec_amount,premium_rcv_detail_code,remaining_amt, payrec, mode_code,coinsurance_code,class_cd,it_remarks) values('28Nov240101','040000106839','0',(select max(to_number(i.premium_rcv_detail_code))+1
from ins_premium_det i),'0','0','02', '11000003','00','Request by Mr. Omair Ali 29-Nov-2024');</v>
      </c>
    </row>
    <row r="1158" spans="1:8" ht="105" x14ac:dyDescent="0.25">
      <c r="A1158" t="s">
        <v>1158</v>
      </c>
      <c r="B1158" s="8" t="str">
        <f>VLOOKUP(A1158,assortedcode!B:C,2,0)</f>
        <v>040000110034</v>
      </c>
      <c r="C1158" s="1">
        <v>0</v>
      </c>
      <c r="D1158" s="9">
        <f t="shared" si="73"/>
        <v>0</v>
      </c>
      <c r="E1158" s="7" t="s">
        <v>8345</v>
      </c>
      <c r="F1158" s="10" t="str">
        <f t="shared" si="72"/>
        <v>insert into ins_premium_det (premium_rcv_code,assorted_code, rec_amount,premium_rcv_detail_code,remaining_amt, payrec, mode_code,coinsurance_code,class_cd,it_remarks) values</v>
      </c>
      <c r="G1158" s="11" t="str">
        <f t="shared" si="74"/>
        <v>('28Nov240101','040000110034','0',(select max(to_number(i.premium_rcv_detail_code))+1
from ins_premium_det i),'0','0','02', '11000003','00','Request by Mr. Omair Ali 29-Nov-2024');</v>
      </c>
      <c r="H1158" s="12" t="str">
        <f t="shared" si="75"/>
        <v>insert into ins_premium_det (premium_rcv_code,assorted_code, rec_amount,premium_rcv_detail_code,remaining_amt, payrec, mode_code,coinsurance_code,class_cd,it_remarks) values('28Nov240101','040000110034','0',(select max(to_number(i.premium_rcv_detail_code))+1
from ins_premium_det i),'0','0','02', '11000003','00','Request by Mr. Omair Ali 29-Nov-2024');</v>
      </c>
    </row>
    <row r="1159" spans="1:8" ht="105" x14ac:dyDescent="0.25">
      <c r="A1159" t="s">
        <v>1159</v>
      </c>
      <c r="B1159" s="8" t="str">
        <f>VLOOKUP(A1159,assortedcode!B:C,2,0)</f>
        <v>040000109061</v>
      </c>
      <c r="C1159" s="1">
        <v>0</v>
      </c>
      <c r="D1159" s="9">
        <f t="shared" si="73"/>
        <v>0</v>
      </c>
      <c r="E1159" s="7" t="s">
        <v>8345</v>
      </c>
      <c r="F1159" s="10" t="str">
        <f t="shared" si="72"/>
        <v>insert into ins_premium_det (premium_rcv_code,assorted_code, rec_amount,premium_rcv_detail_code,remaining_amt, payrec, mode_code,coinsurance_code,class_cd,it_remarks) values</v>
      </c>
      <c r="G1159" s="11" t="str">
        <f t="shared" si="74"/>
        <v>('28Nov240101','040000109061','0',(select max(to_number(i.premium_rcv_detail_code))+1
from ins_premium_det i),'0','0','02', '11000003','00','Request by Mr. Omair Ali 29-Nov-2024');</v>
      </c>
      <c r="H1159" s="12" t="str">
        <f t="shared" si="75"/>
        <v>insert into ins_premium_det (premium_rcv_code,assorted_code, rec_amount,premium_rcv_detail_code,remaining_amt, payrec, mode_code,coinsurance_code,class_cd,it_remarks) values('28Nov240101','040000109061','0',(select max(to_number(i.premium_rcv_detail_code))+1
from ins_premium_det i),'0','0','02', '11000003','00','Request by Mr. Omair Ali 29-Nov-2024');</v>
      </c>
    </row>
    <row r="1160" spans="1:8" ht="105" x14ac:dyDescent="0.25">
      <c r="A1160" t="s">
        <v>1160</v>
      </c>
      <c r="B1160" s="8" t="str">
        <f>VLOOKUP(A1160,assortedcode!B:C,2,0)</f>
        <v>040000110352</v>
      </c>
      <c r="C1160" s="1">
        <v>0</v>
      </c>
      <c r="D1160" s="9">
        <f t="shared" si="73"/>
        <v>0</v>
      </c>
      <c r="E1160" s="7" t="s">
        <v>8345</v>
      </c>
      <c r="F1160" s="10" t="str">
        <f t="shared" si="72"/>
        <v>insert into ins_premium_det (premium_rcv_code,assorted_code, rec_amount,premium_rcv_detail_code,remaining_amt, payrec, mode_code,coinsurance_code,class_cd,it_remarks) values</v>
      </c>
      <c r="G1160" s="11" t="str">
        <f t="shared" si="74"/>
        <v>('28Nov240101','040000110352','0',(select max(to_number(i.premium_rcv_detail_code))+1
from ins_premium_det i),'0','0','02', '11000003','00','Request by Mr. Omair Ali 29-Nov-2024');</v>
      </c>
      <c r="H1160" s="12" t="str">
        <f t="shared" si="75"/>
        <v>insert into ins_premium_det (premium_rcv_code,assorted_code, rec_amount,premium_rcv_detail_code,remaining_amt, payrec, mode_code,coinsurance_code,class_cd,it_remarks) values('28Nov240101','040000110352','0',(select max(to_number(i.premium_rcv_detail_code))+1
from ins_premium_det i),'0','0','02', '11000003','00','Request by Mr. Omair Ali 29-Nov-2024');</v>
      </c>
    </row>
    <row r="1161" spans="1:8" ht="105" x14ac:dyDescent="0.25">
      <c r="A1161" t="s">
        <v>1161</v>
      </c>
      <c r="B1161" s="8" t="str">
        <f>VLOOKUP(A1161,assortedcode!B:C,2,0)</f>
        <v>040000109065</v>
      </c>
      <c r="C1161" s="1">
        <v>0</v>
      </c>
      <c r="D1161" s="9">
        <f t="shared" si="73"/>
        <v>0</v>
      </c>
      <c r="E1161" s="7" t="s">
        <v>8345</v>
      </c>
      <c r="F1161" s="10" t="str">
        <f t="shared" si="72"/>
        <v>insert into ins_premium_det (premium_rcv_code,assorted_code, rec_amount,premium_rcv_detail_code,remaining_amt, payrec, mode_code,coinsurance_code,class_cd,it_remarks) values</v>
      </c>
      <c r="G1161" s="11" t="str">
        <f t="shared" si="74"/>
        <v>('28Nov240101','040000109065','0',(select max(to_number(i.premium_rcv_detail_code))+1
from ins_premium_det i),'0','0','02', '11000003','00','Request by Mr. Omair Ali 29-Nov-2024');</v>
      </c>
      <c r="H1161" s="12" t="str">
        <f t="shared" si="75"/>
        <v>insert into ins_premium_det (premium_rcv_code,assorted_code, rec_amount,premium_rcv_detail_code,remaining_amt, payrec, mode_code,coinsurance_code,class_cd,it_remarks) values('28Nov240101','040000109065','0',(select max(to_number(i.premium_rcv_detail_code))+1
from ins_premium_det i),'0','0','02', '11000003','00','Request by Mr. Omair Ali 29-Nov-2024');</v>
      </c>
    </row>
    <row r="1162" spans="1:8" ht="105" x14ac:dyDescent="0.25">
      <c r="A1162" t="s">
        <v>1162</v>
      </c>
      <c r="B1162" s="8" t="str">
        <f>VLOOKUP(A1162,assortedcode!B:C,2,0)</f>
        <v>040000149521</v>
      </c>
      <c r="C1162" s="1">
        <v>0</v>
      </c>
      <c r="D1162" s="9">
        <f t="shared" si="73"/>
        <v>0</v>
      </c>
      <c r="E1162" s="7" t="s">
        <v>8345</v>
      </c>
      <c r="F1162" s="10" t="str">
        <f t="shared" si="72"/>
        <v>insert into ins_premium_det (premium_rcv_code,assorted_code, rec_amount,premium_rcv_detail_code,remaining_amt, payrec, mode_code,coinsurance_code,class_cd,it_remarks) values</v>
      </c>
      <c r="G1162" s="11" t="str">
        <f t="shared" si="74"/>
        <v>('28Nov240101','040000149521','0',(select max(to_number(i.premium_rcv_detail_code))+1
from ins_premium_det i),'0','0','02', '11000003','00','Request by Mr. Omair Ali 29-Nov-2024');</v>
      </c>
      <c r="H1162" s="12" t="str">
        <f t="shared" si="75"/>
        <v>insert into ins_premium_det (premium_rcv_code,assorted_code, rec_amount,premium_rcv_detail_code,remaining_amt, payrec, mode_code,coinsurance_code,class_cd,it_remarks) values('28Nov240101','040000149521','0',(select max(to_number(i.premium_rcv_detail_code))+1
from ins_premium_det i),'0','0','02', '11000003','00','Request by Mr. Omair Ali 29-Nov-2024');</v>
      </c>
    </row>
    <row r="1163" spans="1:8" ht="105" x14ac:dyDescent="0.25">
      <c r="A1163" t="s">
        <v>1163</v>
      </c>
      <c r="B1163" s="8" t="str">
        <f>VLOOKUP(A1163,assortedcode!B:C,2,0)</f>
        <v>040000109072</v>
      </c>
      <c r="C1163" s="1">
        <v>0</v>
      </c>
      <c r="D1163" s="9">
        <f t="shared" si="73"/>
        <v>0</v>
      </c>
      <c r="E1163" s="7" t="s">
        <v>8345</v>
      </c>
      <c r="F1163" s="10" t="str">
        <f t="shared" si="72"/>
        <v>insert into ins_premium_det (premium_rcv_code,assorted_code, rec_amount,premium_rcv_detail_code,remaining_amt, payrec, mode_code,coinsurance_code,class_cd,it_remarks) values</v>
      </c>
      <c r="G1163" s="11" t="str">
        <f t="shared" si="74"/>
        <v>('28Nov240101','040000109072','0',(select max(to_number(i.premium_rcv_detail_code))+1
from ins_premium_det i),'0','0','02', '11000003','00','Request by Mr. Omair Ali 29-Nov-2024');</v>
      </c>
      <c r="H1163" s="12" t="str">
        <f t="shared" si="75"/>
        <v>insert into ins_premium_det (premium_rcv_code,assorted_code, rec_amount,premium_rcv_detail_code,remaining_amt, payrec, mode_code,coinsurance_code,class_cd,it_remarks) values('28Nov240101','040000109072','0',(select max(to_number(i.premium_rcv_detail_code))+1
from ins_premium_det i),'0','0','02', '11000003','00','Request by Mr. Omair Ali 29-Nov-2024');</v>
      </c>
    </row>
    <row r="1164" spans="1:8" ht="105" x14ac:dyDescent="0.25">
      <c r="A1164" t="s">
        <v>1164</v>
      </c>
      <c r="B1164" s="8" t="str">
        <f>VLOOKUP(A1164,assortedcode!B:C,2,0)</f>
        <v>040000149525</v>
      </c>
      <c r="C1164" s="1">
        <v>0</v>
      </c>
      <c r="D1164" s="9">
        <f t="shared" si="73"/>
        <v>0</v>
      </c>
      <c r="E1164" s="7" t="s">
        <v>8345</v>
      </c>
      <c r="F1164" s="10" t="str">
        <f t="shared" si="72"/>
        <v>insert into ins_premium_det (premium_rcv_code,assorted_code, rec_amount,premium_rcv_detail_code,remaining_amt, payrec, mode_code,coinsurance_code,class_cd,it_remarks) values</v>
      </c>
      <c r="G1164" s="11" t="str">
        <f t="shared" si="74"/>
        <v>('28Nov240101','040000149525','0',(select max(to_number(i.premium_rcv_detail_code))+1
from ins_premium_det i),'0','0','02', '11000003','00','Request by Mr. Omair Ali 29-Nov-2024');</v>
      </c>
      <c r="H1164" s="12" t="str">
        <f t="shared" si="75"/>
        <v>insert into ins_premium_det (premium_rcv_code,assorted_code, rec_amount,premium_rcv_detail_code,remaining_amt, payrec, mode_code,coinsurance_code,class_cd,it_remarks) values('28Nov240101','040000149525','0',(select max(to_number(i.premium_rcv_detail_code))+1
from ins_premium_det i),'0','0','02', '11000003','00','Request by Mr. Omair Ali 29-Nov-2024');</v>
      </c>
    </row>
    <row r="1165" spans="1:8" ht="105" x14ac:dyDescent="0.25">
      <c r="A1165" t="s">
        <v>1165</v>
      </c>
      <c r="B1165" s="8" t="str">
        <f>VLOOKUP(A1165,assortedcode!B:C,2,0)</f>
        <v>040000109083</v>
      </c>
      <c r="C1165" s="1">
        <v>0</v>
      </c>
      <c r="D1165" s="9">
        <f t="shared" si="73"/>
        <v>0</v>
      </c>
      <c r="E1165" s="7" t="s">
        <v>8345</v>
      </c>
      <c r="F1165" s="10" t="str">
        <f t="shared" si="72"/>
        <v>insert into ins_premium_det (premium_rcv_code,assorted_code, rec_amount,premium_rcv_detail_code,remaining_amt, payrec, mode_code,coinsurance_code,class_cd,it_remarks) values</v>
      </c>
      <c r="G1165" s="11" t="str">
        <f t="shared" si="74"/>
        <v>('28Nov240101','040000109083','0',(select max(to_number(i.premium_rcv_detail_code))+1
from ins_premium_det i),'0','0','02', '11000003','00','Request by Mr. Omair Ali 29-Nov-2024');</v>
      </c>
      <c r="H1165" s="12" t="str">
        <f t="shared" si="75"/>
        <v>insert into ins_premium_det (premium_rcv_code,assorted_code, rec_amount,premium_rcv_detail_code,remaining_amt, payrec, mode_code,coinsurance_code,class_cd,it_remarks) values('28Nov240101','040000109083','0',(select max(to_number(i.premium_rcv_detail_code))+1
from ins_premium_det i),'0','0','02', '11000003','00','Request by Mr. Omair Ali 29-Nov-2024');</v>
      </c>
    </row>
    <row r="1166" spans="1:8" ht="105" x14ac:dyDescent="0.25">
      <c r="A1166" t="s">
        <v>1166</v>
      </c>
      <c r="B1166" s="8" t="str">
        <f>VLOOKUP(A1166,assortedcode!B:C,2,0)</f>
        <v>040000149531</v>
      </c>
      <c r="C1166" s="1">
        <v>0</v>
      </c>
      <c r="D1166" s="9">
        <f t="shared" si="73"/>
        <v>0</v>
      </c>
      <c r="E1166" s="7" t="s">
        <v>8345</v>
      </c>
      <c r="F1166" s="10" t="str">
        <f t="shared" si="72"/>
        <v>insert into ins_premium_det (premium_rcv_code,assorted_code, rec_amount,premium_rcv_detail_code,remaining_amt, payrec, mode_code,coinsurance_code,class_cd,it_remarks) values</v>
      </c>
      <c r="G1166" s="11" t="str">
        <f t="shared" si="74"/>
        <v>('28Nov240101','040000149531','0',(select max(to_number(i.premium_rcv_detail_code))+1
from ins_premium_det i),'0','0','02', '11000003','00','Request by Mr. Omair Ali 29-Nov-2024');</v>
      </c>
      <c r="H1166" s="12" t="str">
        <f t="shared" si="75"/>
        <v>insert into ins_premium_det (premium_rcv_code,assorted_code, rec_amount,premium_rcv_detail_code,remaining_amt, payrec, mode_code,coinsurance_code,class_cd,it_remarks) values('28Nov240101','040000149531','0',(select max(to_number(i.premium_rcv_detail_code))+1
from ins_premium_det i),'0','0','02', '11000003','00','Request by Mr. Omair Ali 29-Nov-2024');</v>
      </c>
    </row>
    <row r="1167" spans="1:8" ht="105" x14ac:dyDescent="0.25">
      <c r="A1167" t="s">
        <v>1167</v>
      </c>
      <c r="B1167" s="8" t="str">
        <f>VLOOKUP(A1167,assortedcode!B:C,2,0)</f>
        <v>040000109624</v>
      </c>
      <c r="C1167" s="1">
        <v>0</v>
      </c>
      <c r="D1167" s="9">
        <f t="shared" si="73"/>
        <v>0</v>
      </c>
      <c r="E1167" s="7" t="s">
        <v>8345</v>
      </c>
      <c r="F1167" s="10" t="str">
        <f t="shared" si="72"/>
        <v>insert into ins_premium_det (premium_rcv_code,assorted_code, rec_amount,premium_rcv_detail_code,remaining_amt, payrec, mode_code,coinsurance_code,class_cd,it_remarks) values</v>
      </c>
      <c r="G1167" s="11" t="str">
        <f t="shared" si="74"/>
        <v>('28Nov240101','040000109624','0',(select max(to_number(i.premium_rcv_detail_code))+1
from ins_premium_det i),'0','0','02', '11000003','00','Request by Mr. Omair Ali 29-Nov-2024');</v>
      </c>
      <c r="H1167" s="12" t="str">
        <f t="shared" si="75"/>
        <v>insert into ins_premium_det (premium_rcv_code,assorted_code, rec_amount,premium_rcv_detail_code,remaining_amt, payrec, mode_code,coinsurance_code,class_cd,it_remarks) values('28Nov240101','040000109624','0',(select max(to_number(i.premium_rcv_detail_code))+1
from ins_premium_det i),'0','0','02', '11000003','00','Request by Mr. Omair Ali 29-Nov-2024');</v>
      </c>
    </row>
    <row r="1168" spans="1:8" ht="105" x14ac:dyDescent="0.25">
      <c r="A1168" t="s">
        <v>1168</v>
      </c>
      <c r="B1168" s="8" t="str">
        <f>VLOOKUP(A1168,assortedcode!B:C,2,0)</f>
        <v>040000149536</v>
      </c>
      <c r="C1168" s="1">
        <v>0</v>
      </c>
      <c r="D1168" s="9">
        <f t="shared" si="73"/>
        <v>0</v>
      </c>
      <c r="E1168" s="7" t="s">
        <v>8345</v>
      </c>
      <c r="F1168" s="10" t="str">
        <f t="shared" si="72"/>
        <v>insert into ins_premium_det (premium_rcv_code,assorted_code, rec_amount,premium_rcv_detail_code,remaining_amt, payrec, mode_code,coinsurance_code,class_cd,it_remarks) values</v>
      </c>
      <c r="G1168" s="11" t="str">
        <f t="shared" si="74"/>
        <v>('28Nov240101','040000149536','0',(select max(to_number(i.premium_rcv_detail_code))+1
from ins_premium_det i),'0','0','02', '11000003','00','Request by Mr. Omair Ali 29-Nov-2024');</v>
      </c>
      <c r="H1168" s="12" t="str">
        <f t="shared" si="75"/>
        <v>insert into ins_premium_det (premium_rcv_code,assorted_code, rec_amount,premium_rcv_detail_code,remaining_amt, payrec, mode_code,coinsurance_code,class_cd,it_remarks) values('28Nov240101','040000149536','0',(select max(to_number(i.premium_rcv_detail_code))+1
from ins_premium_det i),'0','0','02', '11000003','00','Request by Mr. Omair Ali 29-Nov-2024');</v>
      </c>
    </row>
    <row r="1169" spans="1:8" ht="105" x14ac:dyDescent="0.25">
      <c r="A1169" t="s">
        <v>1169</v>
      </c>
      <c r="B1169" s="8" t="str">
        <f>VLOOKUP(A1169,assortedcode!B:C,2,0)</f>
        <v>040000144541</v>
      </c>
      <c r="C1169" s="1">
        <v>0</v>
      </c>
      <c r="D1169" s="9">
        <f t="shared" si="73"/>
        <v>0</v>
      </c>
      <c r="E1169" s="7" t="s">
        <v>8345</v>
      </c>
      <c r="F1169" s="10" t="str">
        <f t="shared" si="72"/>
        <v>insert into ins_premium_det (premium_rcv_code,assorted_code, rec_amount,premium_rcv_detail_code,remaining_amt, payrec, mode_code,coinsurance_code,class_cd,it_remarks) values</v>
      </c>
      <c r="G1169" s="11" t="str">
        <f t="shared" si="74"/>
        <v>('28Nov240101','040000144541','0',(select max(to_number(i.premium_rcv_detail_code))+1
from ins_premium_det i),'0','0','02', '11000003','00','Request by Mr. Omair Ali 29-Nov-2024');</v>
      </c>
      <c r="H1169" s="12" t="str">
        <f t="shared" si="75"/>
        <v>insert into ins_premium_det (premium_rcv_code,assorted_code, rec_amount,premium_rcv_detail_code,remaining_amt, payrec, mode_code,coinsurance_code,class_cd,it_remarks) values('28Nov240101','040000144541','0',(select max(to_number(i.premium_rcv_detail_code))+1
from ins_premium_det i),'0','0','02', '11000003','00','Request by Mr. Omair Ali 29-Nov-2024');</v>
      </c>
    </row>
    <row r="1170" spans="1:8" ht="105" x14ac:dyDescent="0.25">
      <c r="A1170" t="s">
        <v>1170</v>
      </c>
      <c r="B1170" s="8" t="str">
        <f>VLOOKUP(A1170,assortedcode!B:C,2,0)</f>
        <v>040000149568</v>
      </c>
      <c r="C1170" s="1">
        <v>0</v>
      </c>
      <c r="D1170" s="9">
        <f t="shared" si="73"/>
        <v>0</v>
      </c>
      <c r="E1170" s="7" t="s">
        <v>8345</v>
      </c>
      <c r="F1170" s="10" t="str">
        <f t="shared" si="72"/>
        <v>insert into ins_premium_det (premium_rcv_code,assorted_code, rec_amount,premium_rcv_detail_code,remaining_amt, payrec, mode_code,coinsurance_code,class_cd,it_remarks) values</v>
      </c>
      <c r="G1170" s="11" t="str">
        <f t="shared" si="74"/>
        <v>('28Nov240101','040000149568','0',(select max(to_number(i.premium_rcv_detail_code))+1
from ins_premium_det i),'0','0','02', '11000003','00','Request by Mr. Omair Ali 29-Nov-2024');</v>
      </c>
      <c r="H1170" s="12" t="str">
        <f t="shared" si="75"/>
        <v>insert into ins_premium_det (premium_rcv_code,assorted_code, rec_amount,premium_rcv_detail_code,remaining_amt, payrec, mode_code,coinsurance_code,class_cd,it_remarks) values('28Nov240101','040000149568','0',(select max(to_number(i.premium_rcv_detail_code))+1
from ins_premium_det i),'0','0','02', '11000003','00','Request by Mr. Omair Ali 29-Nov-2024');</v>
      </c>
    </row>
    <row r="1171" spans="1:8" ht="105" x14ac:dyDescent="0.25">
      <c r="A1171" t="s">
        <v>1171</v>
      </c>
      <c r="B1171" s="8" t="str">
        <f>VLOOKUP(A1171,assortedcode!B:C,2,0)</f>
        <v>040000109779</v>
      </c>
      <c r="C1171" s="1">
        <v>0</v>
      </c>
      <c r="D1171" s="9">
        <f t="shared" si="73"/>
        <v>0</v>
      </c>
      <c r="E1171" s="7" t="s">
        <v>8345</v>
      </c>
      <c r="F1171" s="10" t="str">
        <f t="shared" si="72"/>
        <v>insert into ins_premium_det (premium_rcv_code,assorted_code, rec_amount,premium_rcv_detail_code,remaining_amt, payrec, mode_code,coinsurance_code,class_cd,it_remarks) values</v>
      </c>
      <c r="G1171" s="11" t="str">
        <f t="shared" si="74"/>
        <v>('28Nov240101','040000109779','0',(select max(to_number(i.premium_rcv_detail_code))+1
from ins_premium_det i),'0','0','02', '11000003','00','Request by Mr. Omair Ali 29-Nov-2024');</v>
      </c>
      <c r="H1171" s="12" t="str">
        <f t="shared" si="75"/>
        <v>insert into ins_premium_det (premium_rcv_code,assorted_code, rec_amount,premium_rcv_detail_code,remaining_amt, payrec, mode_code,coinsurance_code,class_cd,it_remarks) values('28Nov240101','040000109779','0',(select max(to_number(i.premium_rcv_detail_code))+1
from ins_premium_det i),'0','0','02', '11000003','00','Request by Mr. Omair Ali 29-Nov-2024');</v>
      </c>
    </row>
    <row r="1172" spans="1:8" ht="105" x14ac:dyDescent="0.25">
      <c r="A1172" t="s">
        <v>1172</v>
      </c>
      <c r="B1172" s="8" t="str">
        <f>VLOOKUP(A1172,assortedcode!B:C,2,0)</f>
        <v>040000105254</v>
      </c>
      <c r="C1172" s="1">
        <v>0</v>
      </c>
      <c r="D1172" s="9">
        <f t="shared" si="73"/>
        <v>0</v>
      </c>
      <c r="E1172" s="7" t="s">
        <v>8345</v>
      </c>
      <c r="F1172" s="10" t="str">
        <f t="shared" si="72"/>
        <v>insert into ins_premium_det (premium_rcv_code,assorted_code, rec_amount,premium_rcv_detail_code,remaining_amt, payrec, mode_code,coinsurance_code,class_cd,it_remarks) values</v>
      </c>
      <c r="G1172" s="11" t="str">
        <f t="shared" si="74"/>
        <v>('28Nov240101','040000105254','0',(select max(to_number(i.premium_rcv_detail_code))+1
from ins_premium_det i),'0','0','02', '11000003','00','Request by Mr. Omair Ali 29-Nov-2024');</v>
      </c>
      <c r="H1172" s="12" t="str">
        <f t="shared" si="75"/>
        <v>insert into ins_premium_det (premium_rcv_code,assorted_code, rec_amount,premium_rcv_detail_code,remaining_amt, payrec, mode_code,coinsurance_code,class_cd,it_remarks) values('28Nov240101','040000105254','0',(select max(to_number(i.premium_rcv_detail_code))+1
from ins_premium_det i),'0','0','02', '11000003','00','Request by Mr. Omair Ali 29-Nov-2024');</v>
      </c>
    </row>
    <row r="1173" spans="1:8" ht="105" x14ac:dyDescent="0.25">
      <c r="A1173" t="s">
        <v>1173</v>
      </c>
      <c r="B1173" s="8" t="str">
        <f>VLOOKUP(A1173,assortedcode!B:C,2,0)</f>
        <v>040000146522</v>
      </c>
      <c r="C1173" s="1">
        <v>0</v>
      </c>
      <c r="D1173" s="9">
        <f t="shared" si="73"/>
        <v>0</v>
      </c>
      <c r="E1173" s="7" t="s">
        <v>8345</v>
      </c>
      <c r="F1173" s="10" t="str">
        <f t="shared" si="72"/>
        <v>insert into ins_premium_det (premium_rcv_code,assorted_code, rec_amount,premium_rcv_detail_code,remaining_amt, payrec, mode_code,coinsurance_code,class_cd,it_remarks) values</v>
      </c>
      <c r="G1173" s="11" t="str">
        <f t="shared" si="74"/>
        <v>('28Nov240101','040000146522','0',(select max(to_number(i.premium_rcv_detail_code))+1
from ins_premium_det i),'0','0','02', '11000003','00','Request by Mr. Omair Ali 29-Nov-2024');</v>
      </c>
      <c r="H1173" s="12" t="str">
        <f t="shared" si="75"/>
        <v>insert into ins_premium_det (premium_rcv_code,assorted_code, rec_amount,premium_rcv_detail_code,remaining_amt, payrec, mode_code,coinsurance_code,class_cd,it_remarks) values('28Nov240101','040000146522','0',(select max(to_number(i.premium_rcv_detail_code))+1
from ins_premium_det i),'0','0','02', '11000003','00','Request by Mr. Omair Ali 29-Nov-2024');</v>
      </c>
    </row>
    <row r="1174" spans="1:8" ht="105" x14ac:dyDescent="0.25">
      <c r="A1174" t="s">
        <v>1174</v>
      </c>
      <c r="B1174" s="8" t="str">
        <f>VLOOKUP(A1174,assortedcode!B:C,2,0)</f>
        <v>040000109680</v>
      </c>
      <c r="C1174" s="1">
        <v>0</v>
      </c>
      <c r="D1174" s="9">
        <f t="shared" si="73"/>
        <v>0</v>
      </c>
      <c r="E1174" s="7" t="s">
        <v>8345</v>
      </c>
      <c r="F1174" s="10" t="str">
        <f t="shared" si="72"/>
        <v>insert into ins_premium_det (premium_rcv_code,assorted_code, rec_amount,premium_rcv_detail_code,remaining_amt, payrec, mode_code,coinsurance_code,class_cd,it_remarks) values</v>
      </c>
      <c r="G1174" s="11" t="str">
        <f t="shared" si="74"/>
        <v>('28Nov240101','040000109680','0',(select max(to_number(i.premium_rcv_detail_code))+1
from ins_premium_det i),'0','0','02', '11000003','00','Request by Mr. Omair Ali 29-Nov-2024');</v>
      </c>
      <c r="H1174" s="12" t="str">
        <f t="shared" si="75"/>
        <v>insert into ins_premium_det (premium_rcv_code,assorted_code, rec_amount,premium_rcv_detail_code,remaining_amt, payrec, mode_code,coinsurance_code,class_cd,it_remarks) values('28Nov240101','040000109680','0',(select max(to_number(i.premium_rcv_detail_code))+1
from ins_premium_det i),'0','0','02', '11000003','00','Request by Mr. Omair Ali 29-Nov-2024');</v>
      </c>
    </row>
    <row r="1175" spans="1:8" ht="105" x14ac:dyDescent="0.25">
      <c r="A1175" t="s">
        <v>1175</v>
      </c>
      <c r="B1175" s="8" t="str">
        <f>VLOOKUP(A1175,assortedcode!B:C,2,0)</f>
        <v>040000147284</v>
      </c>
      <c r="C1175" s="1">
        <v>0</v>
      </c>
      <c r="D1175" s="9">
        <f t="shared" si="73"/>
        <v>0</v>
      </c>
      <c r="E1175" s="7" t="s">
        <v>8345</v>
      </c>
      <c r="F1175" s="10" t="str">
        <f t="shared" si="72"/>
        <v>insert into ins_premium_det (premium_rcv_code,assorted_code, rec_amount,premium_rcv_detail_code,remaining_amt, payrec, mode_code,coinsurance_code,class_cd,it_remarks) values</v>
      </c>
      <c r="G1175" s="11" t="str">
        <f t="shared" si="74"/>
        <v>('28Nov240101','040000147284','0',(select max(to_number(i.premium_rcv_detail_code))+1
from ins_premium_det i),'0','0','02', '11000003','00','Request by Mr. Omair Ali 29-Nov-2024');</v>
      </c>
      <c r="H1175" s="12" t="str">
        <f t="shared" si="75"/>
        <v>insert into ins_premium_det (premium_rcv_code,assorted_code, rec_amount,premium_rcv_detail_code,remaining_amt, payrec, mode_code,coinsurance_code,class_cd,it_remarks) values('28Nov240101','040000147284','0',(select max(to_number(i.premium_rcv_detail_code))+1
from ins_premium_det i),'0','0','02', '11000003','00','Request by Mr. Omair Ali 29-Nov-2024');</v>
      </c>
    </row>
    <row r="1176" spans="1:8" ht="105" x14ac:dyDescent="0.25">
      <c r="A1176" t="s">
        <v>1176</v>
      </c>
      <c r="B1176" s="8" t="str">
        <f>VLOOKUP(A1176,assortedcode!B:C,2,0)</f>
        <v>040000126856</v>
      </c>
      <c r="C1176" s="1">
        <v>0</v>
      </c>
      <c r="D1176" s="9">
        <f t="shared" si="73"/>
        <v>0</v>
      </c>
      <c r="E1176" s="7" t="s">
        <v>8345</v>
      </c>
      <c r="F1176" s="10" t="str">
        <f t="shared" si="72"/>
        <v>insert into ins_premium_det (premium_rcv_code,assorted_code, rec_amount,premium_rcv_detail_code,remaining_amt, payrec, mode_code,coinsurance_code,class_cd,it_remarks) values</v>
      </c>
      <c r="G1176" s="11" t="str">
        <f t="shared" si="74"/>
        <v>('28Nov240101','040000126856','0',(select max(to_number(i.premium_rcv_detail_code))+1
from ins_premium_det i),'0','0','02', '11000003','00','Request by Mr. Omair Ali 29-Nov-2024');</v>
      </c>
      <c r="H1176" s="12" t="str">
        <f t="shared" si="75"/>
        <v>insert into ins_premium_det (premium_rcv_code,assorted_code, rec_amount,premium_rcv_detail_code,remaining_amt, payrec, mode_code,coinsurance_code,class_cd,it_remarks) values('28Nov240101','040000126856','0',(select max(to_number(i.premium_rcv_detail_code))+1
from ins_premium_det i),'0','0','02', '11000003','00','Request by Mr. Omair Ali 29-Nov-2024');</v>
      </c>
    </row>
    <row r="1177" spans="1:8" ht="105" x14ac:dyDescent="0.25">
      <c r="A1177" t="s">
        <v>1177</v>
      </c>
      <c r="B1177" s="8" t="str">
        <f>VLOOKUP(A1177,assortedcode!B:C,2,0)</f>
        <v>040000149780</v>
      </c>
      <c r="C1177" s="1">
        <v>0</v>
      </c>
      <c r="D1177" s="9">
        <f t="shared" si="73"/>
        <v>0</v>
      </c>
      <c r="E1177" s="7" t="s">
        <v>8345</v>
      </c>
      <c r="F1177" s="10" t="str">
        <f t="shared" si="72"/>
        <v>insert into ins_premium_det (premium_rcv_code,assorted_code, rec_amount,premium_rcv_detail_code,remaining_amt, payrec, mode_code,coinsurance_code,class_cd,it_remarks) values</v>
      </c>
      <c r="G1177" s="11" t="str">
        <f t="shared" si="74"/>
        <v>('28Nov240101','040000149780','0',(select max(to_number(i.premium_rcv_detail_code))+1
from ins_premium_det i),'0','0','02', '11000003','00','Request by Mr. Omair Ali 29-Nov-2024');</v>
      </c>
      <c r="H1177" s="12" t="str">
        <f t="shared" si="75"/>
        <v>insert into ins_premium_det (premium_rcv_code,assorted_code, rec_amount,premium_rcv_detail_code,remaining_amt, payrec, mode_code,coinsurance_code,class_cd,it_remarks) values('28Nov240101','040000149780','0',(select max(to_number(i.premium_rcv_detail_code))+1
from ins_premium_det i),'0','0','02', '11000003','00','Request by Mr. Omair Ali 29-Nov-2024');</v>
      </c>
    </row>
    <row r="1178" spans="1:8" ht="105" x14ac:dyDescent="0.25">
      <c r="A1178" t="s">
        <v>1178</v>
      </c>
      <c r="B1178" s="8" t="str">
        <f>VLOOKUP(A1178,assortedcode!B:C,2,0)</f>
        <v>040000110685</v>
      </c>
      <c r="C1178" s="1">
        <v>0</v>
      </c>
      <c r="D1178" s="9">
        <f t="shared" si="73"/>
        <v>0</v>
      </c>
      <c r="E1178" s="7" t="s">
        <v>8345</v>
      </c>
      <c r="F1178" s="10" t="str">
        <f t="shared" si="72"/>
        <v>insert into ins_premium_det (premium_rcv_code,assorted_code, rec_amount,premium_rcv_detail_code,remaining_amt, payrec, mode_code,coinsurance_code,class_cd,it_remarks) values</v>
      </c>
      <c r="G1178" s="11" t="str">
        <f t="shared" si="74"/>
        <v>('28Nov240101','040000110685','0',(select max(to_number(i.premium_rcv_detail_code))+1
from ins_premium_det i),'0','0','02', '11000003','00','Request by Mr. Omair Ali 29-Nov-2024');</v>
      </c>
      <c r="H1178" s="12" t="str">
        <f t="shared" si="75"/>
        <v>insert into ins_premium_det (premium_rcv_code,assorted_code, rec_amount,premium_rcv_detail_code,remaining_amt, payrec, mode_code,coinsurance_code,class_cd,it_remarks) values('28Nov240101','040000110685','0',(select max(to_number(i.premium_rcv_detail_code))+1
from ins_premium_det i),'0','0','02', '11000003','00','Request by Mr. Omair Ali 29-Nov-2024');</v>
      </c>
    </row>
    <row r="1179" spans="1:8" ht="105" x14ac:dyDescent="0.25">
      <c r="A1179" t="s">
        <v>1179</v>
      </c>
      <c r="B1179" s="8" t="str">
        <f>VLOOKUP(A1179,assortedcode!B:C,2,0)</f>
        <v>040000149815</v>
      </c>
      <c r="C1179" s="1">
        <v>0</v>
      </c>
      <c r="D1179" s="9">
        <f t="shared" si="73"/>
        <v>0</v>
      </c>
      <c r="E1179" s="7" t="s">
        <v>8345</v>
      </c>
      <c r="F1179" s="10" t="str">
        <f t="shared" si="72"/>
        <v>insert into ins_premium_det (premium_rcv_code,assorted_code, rec_amount,premium_rcv_detail_code,remaining_amt, payrec, mode_code,coinsurance_code,class_cd,it_remarks) values</v>
      </c>
      <c r="G1179" s="11" t="str">
        <f t="shared" si="74"/>
        <v>('28Nov240101','040000149815','0',(select max(to_number(i.premium_rcv_detail_code))+1
from ins_premium_det i),'0','0','02', '11000003','00','Request by Mr. Omair Ali 29-Nov-2024');</v>
      </c>
      <c r="H1179" s="12" t="str">
        <f t="shared" si="75"/>
        <v>insert into ins_premium_det (premium_rcv_code,assorted_code, rec_amount,premium_rcv_detail_code,remaining_amt, payrec, mode_code,coinsurance_code,class_cd,it_remarks) values('28Nov240101','040000149815','0',(select max(to_number(i.premium_rcv_detail_code))+1
from ins_premium_det i),'0','0','02', '11000003','00','Request by Mr. Omair Ali 29-Nov-2024');</v>
      </c>
    </row>
    <row r="1180" spans="1:8" ht="105" x14ac:dyDescent="0.25">
      <c r="A1180" t="s">
        <v>1180</v>
      </c>
      <c r="B1180" s="8" t="str">
        <f>VLOOKUP(A1180,assortedcode!B:C,2,0)</f>
        <v>040000136550</v>
      </c>
      <c r="C1180" s="1">
        <v>0</v>
      </c>
      <c r="D1180" s="9">
        <f t="shared" si="73"/>
        <v>0</v>
      </c>
      <c r="E1180" s="7" t="s">
        <v>8345</v>
      </c>
      <c r="F1180" s="10" t="str">
        <f t="shared" si="72"/>
        <v>insert into ins_premium_det (premium_rcv_code,assorted_code, rec_amount,premium_rcv_detail_code,remaining_amt, payrec, mode_code,coinsurance_code,class_cd,it_remarks) values</v>
      </c>
      <c r="G1180" s="11" t="str">
        <f t="shared" si="74"/>
        <v>('28Nov240101','040000136550','0',(select max(to_number(i.premium_rcv_detail_code))+1
from ins_premium_det i),'0','0','02', '11000003','00','Request by Mr. Omair Ali 29-Nov-2024');</v>
      </c>
      <c r="H1180" s="12" t="str">
        <f t="shared" si="75"/>
        <v>insert into ins_premium_det (premium_rcv_code,assorted_code, rec_amount,premium_rcv_detail_code,remaining_amt, payrec, mode_code,coinsurance_code,class_cd,it_remarks) values('28Nov240101','040000136550','0',(select max(to_number(i.premium_rcv_detail_code))+1
from ins_premium_det i),'0','0','02', '11000003','00','Request by Mr. Omair Ali 29-Nov-2024');</v>
      </c>
    </row>
    <row r="1181" spans="1:8" ht="105" x14ac:dyDescent="0.25">
      <c r="A1181" t="s">
        <v>1181</v>
      </c>
      <c r="B1181" s="8" t="str">
        <f>VLOOKUP(A1181,assortedcode!B:C,2,0)</f>
        <v>040000149859</v>
      </c>
      <c r="C1181" s="1">
        <v>0</v>
      </c>
      <c r="D1181" s="9">
        <f t="shared" si="73"/>
        <v>0</v>
      </c>
      <c r="E1181" s="7" t="s">
        <v>8345</v>
      </c>
      <c r="F1181" s="10" t="str">
        <f t="shared" si="72"/>
        <v>insert into ins_premium_det (premium_rcv_code,assorted_code, rec_amount,premium_rcv_detail_code,remaining_amt, payrec, mode_code,coinsurance_code,class_cd,it_remarks) values</v>
      </c>
      <c r="G1181" s="11" t="str">
        <f t="shared" si="74"/>
        <v>('28Nov240101','040000149859','0',(select max(to_number(i.premium_rcv_detail_code))+1
from ins_premium_det i),'0','0','02', '11000003','00','Request by Mr. Omair Ali 29-Nov-2024');</v>
      </c>
      <c r="H1181" s="12" t="str">
        <f t="shared" si="75"/>
        <v>insert into ins_premium_det (premium_rcv_code,assorted_code, rec_amount,premium_rcv_detail_code,remaining_amt, payrec, mode_code,coinsurance_code,class_cd,it_remarks) values('28Nov240101','040000149859','0',(select max(to_number(i.premium_rcv_detail_code))+1
from ins_premium_det i),'0','0','02', '11000003','00','Request by Mr. Omair Ali 29-Nov-2024');</v>
      </c>
    </row>
    <row r="1182" spans="1:8" ht="105" x14ac:dyDescent="0.25">
      <c r="A1182" t="s">
        <v>1182</v>
      </c>
      <c r="B1182" s="8" t="str">
        <f>VLOOKUP(A1182,assortedcode!B:C,2,0)</f>
        <v>040000110697</v>
      </c>
      <c r="C1182" s="1">
        <v>0</v>
      </c>
      <c r="D1182" s="9">
        <f t="shared" si="73"/>
        <v>0</v>
      </c>
      <c r="E1182" s="7" t="s">
        <v>8345</v>
      </c>
      <c r="F1182" s="10" t="str">
        <f t="shared" si="72"/>
        <v>insert into ins_premium_det (premium_rcv_code,assorted_code, rec_amount,premium_rcv_detail_code,remaining_amt, payrec, mode_code,coinsurance_code,class_cd,it_remarks) values</v>
      </c>
      <c r="G1182" s="11" t="str">
        <f t="shared" si="74"/>
        <v>('28Nov240101','040000110697','0',(select max(to_number(i.premium_rcv_detail_code))+1
from ins_premium_det i),'0','0','02', '11000003','00','Request by Mr. Omair Ali 29-Nov-2024');</v>
      </c>
      <c r="H1182" s="12" t="str">
        <f t="shared" si="75"/>
        <v>insert into ins_premium_det (premium_rcv_code,assorted_code, rec_amount,premium_rcv_detail_code,remaining_amt, payrec, mode_code,coinsurance_code,class_cd,it_remarks) values('28Nov240101','040000110697','0',(select max(to_number(i.premium_rcv_detail_code))+1
from ins_premium_det i),'0','0','02', '11000003','00','Request by Mr. Omair Ali 29-Nov-2024');</v>
      </c>
    </row>
    <row r="1183" spans="1:8" ht="105" x14ac:dyDescent="0.25">
      <c r="A1183" t="s">
        <v>1183</v>
      </c>
      <c r="B1183" s="8" t="str">
        <f>VLOOKUP(A1183,assortedcode!B:C,2,0)</f>
        <v>040000149933</v>
      </c>
      <c r="C1183" s="1">
        <v>0</v>
      </c>
      <c r="D1183" s="9">
        <f t="shared" si="73"/>
        <v>0</v>
      </c>
      <c r="E1183" s="7" t="s">
        <v>8345</v>
      </c>
      <c r="F1183" s="10" t="str">
        <f t="shared" si="72"/>
        <v>insert into ins_premium_det (premium_rcv_code,assorted_code, rec_amount,premium_rcv_detail_code,remaining_amt, payrec, mode_code,coinsurance_code,class_cd,it_remarks) values</v>
      </c>
      <c r="G1183" s="11" t="str">
        <f t="shared" si="74"/>
        <v>('28Nov240101','040000149933','0',(select max(to_number(i.premium_rcv_detail_code))+1
from ins_premium_det i),'0','0','02', '11000003','00','Request by Mr. Omair Ali 29-Nov-2024');</v>
      </c>
      <c r="H1183" s="12" t="str">
        <f t="shared" si="75"/>
        <v>insert into ins_premium_det (premium_rcv_code,assorted_code, rec_amount,premium_rcv_detail_code,remaining_amt, payrec, mode_code,coinsurance_code,class_cd,it_remarks) values('28Nov240101','040000149933','0',(select max(to_number(i.premium_rcv_detail_code))+1
from ins_premium_det i),'0','0','02', '11000003','00','Request by Mr. Omair Ali 29-Nov-2024');</v>
      </c>
    </row>
    <row r="1184" spans="1:8" ht="105" x14ac:dyDescent="0.25">
      <c r="A1184" t="s">
        <v>1184</v>
      </c>
      <c r="B1184" s="8" t="str">
        <f>VLOOKUP(A1184,assortedcode!B:C,2,0)</f>
        <v>040000106259</v>
      </c>
      <c r="C1184" s="1">
        <v>0</v>
      </c>
      <c r="D1184" s="9">
        <f t="shared" si="73"/>
        <v>0</v>
      </c>
      <c r="E1184" s="7" t="s">
        <v>8345</v>
      </c>
      <c r="F1184" s="10" t="str">
        <f t="shared" si="72"/>
        <v>insert into ins_premium_det (premium_rcv_code,assorted_code, rec_amount,premium_rcv_detail_code,remaining_amt, payrec, mode_code,coinsurance_code,class_cd,it_remarks) values</v>
      </c>
      <c r="G1184" s="11" t="str">
        <f t="shared" si="74"/>
        <v>('28Nov240101','040000106259','0',(select max(to_number(i.premium_rcv_detail_code))+1
from ins_premium_det i),'0','0','02', '11000003','00','Request by Mr. Omair Ali 29-Nov-2024');</v>
      </c>
      <c r="H1184" s="12" t="str">
        <f t="shared" si="75"/>
        <v>insert into ins_premium_det (premium_rcv_code,assorted_code, rec_amount,premium_rcv_detail_code,remaining_amt, payrec, mode_code,coinsurance_code,class_cd,it_remarks) values('28Nov240101','040000106259','0',(select max(to_number(i.premium_rcv_detail_code))+1
from ins_premium_det i),'0','0','02', '11000003','00','Request by Mr. Omair Ali 29-Nov-2024');</v>
      </c>
    </row>
    <row r="1185" spans="1:8" ht="105" x14ac:dyDescent="0.25">
      <c r="A1185" t="s">
        <v>1185</v>
      </c>
      <c r="B1185" s="8" t="str">
        <f>VLOOKUP(A1185,assortedcode!B:C,2,0)</f>
        <v>040000150107</v>
      </c>
      <c r="C1185" s="1">
        <v>0</v>
      </c>
      <c r="D1185" s="9">
        <f t="shared" si="73"/>
        <v>0</v>
      </c>
      <c r="E1185" s="7" t="s">
        <v>8345</v>
      </c>
      <c r="F1185" s="10" t="str">
        <f t="shared" si="72"/>
        <v>insert into ins_premium_det (premium_rcv_code,assorted_code, rec_amount,premium_rcv_detail_code,remaining_amt, payrec, mode_code,coinsurance_code,class_cd,it_remarks) values</v>
      </c>
      <c r="G1185" s="11" t="str">
        <f t="shared" si="74"/>
        <v>('28Nov240101','040000150107','0',(select max(to_number(i.premium_rcv_detail_code))+1
from ins_premium_det i),'0','0','02', '11000003','00','Request by Mr. Omair Ali 29-Nov-2024');</v>
      </c>
      <c r="H1185" s="12" t="str">
        <f t="shared" si="75"/>
        <v>insert into ins_premium_det (premium_rcv_code,assorted_code, rec_amount,premium_rcv_detail_code,remaining_amt, payrec, mode_code,coinsurance_code,class_cd,it_remarks) values('28Nov240101','040000150107','0',(select max(to_number(i.premium_rcv_detail_code))+1
from ins_premium_det i),'0','0','02', '11000003','00','Request by Mr. Omair Ali 29-Nov-2024');</v>
      </c>
    </row>
    <row r="1186" spans="1:8" ht="105" x14ac:dyDescent="0.25">
      <c r="A1186" t="s">
        <v>1186</v>
      </c>
      <c r="B1186" s="8" t="str">
        <f>VLOOKUP(A1186,assortedcode!B:C,2,0)</f>
        <v>040000175286</v>
      </c>
      <c r="C1186" s="1">
        <v>0</v>
      </c>
      <c r="D1186" s="9">
        <f t="shared" si="73"/>
        <v>0</v>
      </c>
      <c r="E1186" s="7" t="s">
        <v>8345</v>
      </c>
      <c r="F1186" s="10" t="str">
        <f t="shared" si="72"/>
        <v>insert into ins_premium_det (premium_rcv_code,assorted_code, rec_amount,premium_rcv_detail_code,remaining_amt, payrec, mode_code,coinsurance_code,class_cd,it_remarks) values</v>
      </c>
      <c r="G1186" s="11" t="str">
        <f t="shared" si="74"/>
        <v>('28Nov240101','040000175286','0',(select max(to_number(i.premium_rcv_detail_code))+1
from ins_premium_det i),'0','0','02', '11000003','00','Request by Mr. Omair Ali 29-Nov-2024');</v>
      </c>
      <c r="H1186" s="12" t="str">
        <f t="shared" si="75"/>
        <v>insert into ins_premium_det (premium_rcv_code,assorted_code, rec_amount,premium_rcv_detail_code,remaining_amt, payrec, mode_code,coinsurance_code,class_cd,it_remarks) values('28Nov240101','040000175286','0',(select max(to_number(i.premium_rcv_detail_code))+1
from ins_premium_det i),'0','0','02', '11000003','00','Request by Mr. Omair Ali 29-Nov-2024');</v>
      </c>
    </row>
    <row r="1187" spans="1:8" ht="105" x14ac:dyDescent="0.25">
      <c r="A1187" t="s">
        <v>1187</v>
      </c>
      <c r="B1187" s="8" t="str">
        <f>VLOOKUP(A1187,assortedcode!B:C,2,0)</f>
        <v>040000151070</v>
      </c>
      <c r="C1187" s="1">
        <v>0</v>
      </c>
      <c r="D1187" s="9">
        <f t="shared" si="73"/>
        <v>0</v>
      </c>
      <c r="E1187" s="7" t="s">
        <v>8345</v>
      </c>
      <c r="F1187" s="10" t="str">
        <f t="shared" si="72"/>
        <v>insert into ins_premium_det (premium_rcv_code,assorted_code, rec_amount,premium_rcv_detail_code,remaining_amt, payrec, mode_code,coinsurance_code,class_cd,it_remarks) values</v>
      </c>
      <c r="G1187" s="11" t="str">
        <f t="shared" si="74"/>
        <v>('28Nov240101','040000151070','0',(select max(to_number(i.premium_rcv_detail_code))+1
from ins_premium_det i),'0','0','02', '11000003','00','Request by Mr. Omair Ali 29-Nov-2024');</v>
      </c>
      <c r="H1187" s="12" t="str">
        <f t="shared" si="75"/>
        <v>insert into ins_premium_det (premium_rcv_code,assorted_code, rec_amount,premium_rcv_detail_code,remaining_amt, payrec, mode_code,coinsurance_code,class_cd,it_remarks) values('28Nov240101','040000151070','0',(select max(to_number(i.premium_rcv_detail_code))+1
from ins_premium_det i),'0','0','02', '11000003','00','Request by Mr. Omair Ali 29-Nov-2024');</v>
      </c>
    </row>
    <row r="1188" spans="1:8" ht="105" x14ac:dyDescent="0.25">
      <c r="A1188" t="s">
        <v>1188</v>
      </c>
      <c r="B1188" s="8" t="str">
        <f>VLOOKUP(A1188,assortedcode!B:C,2,0)</f>
        <v>040000111682</v>
      </c>
      <c r="C1188" s="1">
        <v>0</v>
      </c>
      <c r="D1188" s="9">
        <f t="shared" si="73"/>
        <v>0</v>
      </c>
      <c r="E1188" s="7" t="s">
        <v>8345</v>
      </c>
      <c r="F1188" s="10" t="str">
        <f t="shared" si="72"/>
        <v>insert into ins_premium_det (premium_rcv_code,assorted_code, rec_amount,premium_rcv_detail_code,remaining_amt, payrec, mode_code,coinsurance_code,class_cd,it_remarks) values</v>
      </c>
      <c r="G1188" s="11" t="str">
        <f t="shared" si="74"/>
        <v>('28Nov240101','040000111682','0',(select max(to_number(i.premium_rcv_detail_code))+1
from ins_premium_det i),'0','0','02', '11000003','00','Request by Mr. Omair Ali 29-Nov-2024');</v>
      </c>
      <c r="H1188" s="12" t="str">
        <f t="shared" si="75"/>
        <v>insert into ins_premium_det (premium_rcv_code,assorted_code, rec_amount,premium_rcv_detail_code,remaining_amt, payrec, mode_code,coinsurance_code,class_cd,it_remarks) values('28Nov240101','040000111682','0',(select max(to_number(i.premium_rcv_detail_code))+1
from ins_premium_det i),'0','0','02', '11000003','00','Request by Mr. Omair Ali 29-Nov-2024');</v>
      </c>
    </row>
    <row r="1189" spans="1:8" ht="105" x14ac:dyDescent="0.25">
      <c r="A1189" t="s">
        <v>1189</v>
      </c>
      <c r="B1189" s="8" t="str">
        <f>VLOOKUP(A1189,assortedcode!B:C,2,0)</f>
        <v>040000151134</v>
      </c>
      <c r="C1189" s="1">
        <v>0</v>
      </c>
      <c r="D1189" s="9">
        <f t="shared" si="73"/>
        <v>0</v>
      </c>
      <c r="E1189" s="7" t="s">
        <v>8345</v>
      </c>
      <c r="F1189" s="10" t="str">
        <f t="shared" si="72"/>
        <v>insert into ins_premium_det (premium_rcv_code,assorted_code, rec_amount,premium_rcv_detail_code,remaining_amt, payrec, mode_code,coinsurance_code,class_cd,it_remarks) values</v>
      </c>
      <c r="G1189" s="11" t="str">
        <f t="shared" si="74"/>
        <v>('28Nov240101','040000151134','0',(select max(to_number(i.premium_rcv_detail_code))+1
from ins_premium_det i),'0','0','02', '11000003','00','Request by Mr. Omair Ali 29-Nov-2024');</v>
      </c>
      <c r="H1189" s="12" t="str">
        <f t="shared" si="75"/>
        <v>insert into ins_premium_det (premium_rcv_code,assorted_code, rec_amount,premium_rcv_detail_code,remaining_amt, payrec, mode_code,coinsurance_code,class_cd,it_remarks) values('28Nov240101','040000151134','0',(select max(to_number(i.premium_rcv_detail_code))+1
from ins_premium_det i),'0','0','02', '11000003','00','Request by Mr. Omair Ali 29-Nov-2024');</v>
      </c>
    </row>
    <row r="1190" spans="1:8" ht="105" x14ac:dyDescent="0.25">
      <c r="A1190" t="s">
        <v>1190</v>
      </c>
      <c r="B1190" s="8" t="str">
        <f>VLOOKUP(A1190,assortedcode!B:C,2,0)</f>
        <v>040000109745</v>
      </c>
      <c r="C1190" s="1">
        <v>0</v>
      </c>
      <c r="D1190" s="9">
        <f t="shared" si="73"/>
        <v>0</v>
      </c>
      <c r="E1190" s="7" t="s">
        <v>8345</v>
      </c>
      <c r="F1190" s="10" t="str">
        <f t="shared" si="72"/>
        <v>insert into ins_premium_det (premium_rcv_code,assorted_code, rec_amount,premium_rcv_detail_code,remaining_amt, payrec, mode_code,coinsurance_code,class_cd,it_remarks) values</v>
      </c>
      <c r="G1190" s="11" t="str">
        <f t="shared" si="74"/>
        <v>('28Nov240101','040000109745','0',(select max(to_number(i.premium_rcv_detail_code))+1
from ins_premium_det i),'0','0','02', '11000003','00','Request by Mr. Omair Ali 29-Nov-2024');</v>
      </c>
      <c r="H1190" s="12" t="str">
        <f t="shared" si="75"/>
        <v>insert into ins_premium_det (premium_rcv_code,assorted_code, rec_amount,premium_rcv_detail_code,remaining_amt, payrec, mode_code,coinsurance_code,class_cd,it_remarks) values('28Nov240101','040000109745','0',(select max(to_number(i.premium_rcv_detail_code))+1
from ins_premium_det i),'0','0','02', '11000003','00','Request by Mr. Omair Ali 29-Nov-2024');</v>
      </c>
    </row>
    <row r="1191" spans="1:8" ht="105" x14ac:dyDescent="0.25">
      <c r="A1191" t="s">
        <v>1191</v>
      </c>
      <c r="B1191" s="8" t="str">
        <f>VLOOKUP(A1191,assortedcode!B:C,2,0)</f>
        <v>040000153502</v>
      </c>
      <c r="C1191" s="1">
        <v>0</v>
      </c>
      <c r="D1191" s="9">
        <f t="shared" si="73"/>
        <v>0</v>
      </c>
      <c r="E1191" s="7" t="s">
        <v>8345</v>
      </c>
      <c r="F1191" s="10" t="str">
        <f t="shared" si="72"/>
        <v>insert into ins_premium_det (premium_rcv_code,assorted_code, rec_amount,premium_rcv_detail_code,remaining_amt, payrec, mode_code,coinsurance_code,class_cd,it_remarks) values</v>
      </c>
      <c r="G1191" s="11" t="str">
        <f t="shared" si="74"/>
        <v>('28Nov240101','040000153502','0',(select max(to_number(i.premium_rcv_detail_code))+1
from ins_premium_det i),'0','0','02', '11000003','00','Request by Mr. Omair Ali 29-Nov-2024');</v>
      </c>
      <c r="H1191" s="12" t="str">
        <f t="shared" si="75"/>
        <v>insert into ins_premium_det (premium_rcv_code,assorted_code, rec_amount,premium_rcv_detail_code,remaining_amt, payrec, mode_code,coinsurance_code,class_cd,it_remarks) values('28Nov240101','040000153502','0',(select max(to_number(i.premium_rcv_detail_code))+1
from ins_premium_det i),'0','0','02', '11000003','00','Request by Mr. Omair Ali 29-Nov-2024');</v>
      </c>
    </row>
    <row r="1192" spans="1:8" ht="105" x14ac:dyDescent="0.25">
      <c r="A1192" t="s">
        <v>1192</v>
      </c>
      <c r="B1192" s="8" t="str">
        <f>VLOOKUP(A1192,assortedcode!B:C,2,0)</f>
        <v>040000110470</v>
      </c>
      <c r="C1192" s="1">
        <v>0</v>
      </c>
      <c r="D1192" s="9">
        <f t="shared" si="73"/>
        <v>0</v>
      </c>
      <c r="E1192" s="7" t="s">
        <v>8345</v>
      </c>
      <c r="F1192" s="10" t="str">
        <f t="shared" si="72"/>
        <v>insert into ins_premium_det (premium_rcv_code,assorted_code, rec_amount,premium_rcv_detail_code,remaining_amt, payrec, mode_code,coinsurance_code,class_cd,it_remarks) values</v>
      </c>
      <c r="G1192" s="11" t="str">
        <f t="shared" si="74"/>
        <v>('28Nov240101','040000110470','0',(select max(to_number(i.premium_rcv_detail_code))+1
from ins_premium_det i),'0','0','02', '11000003','00','Request by Mr. Omair Ali 29-Nov-2024');</v>
      </c>
      <c r="H1192" s="12" t="str">
        <f t="shared" si="75"/>
        <v>insert into ins_premium_det (premium_rcv_code,assorted_code, rec_amount,premium_rcv_detail_code,remaining_amt, payrec, mode_code,coinsurance_code,class_cd,it_remarks) values('28Nov240101','040000110470','0',(select max(to_number(i.premium_rcv_detail_code))+1
from ins_premium_det i),'0','0','02', '11000003','00','Request by Mr. Omair Ali 29-Nov-2024');</v>
      </c>
    </row>
    <row r="1193" spans="1:8" ht="105" x14ac:dyDescent="0.25">
      <c r="A1193" t="s">
        <v>1193</v>
      </c>
      <c r="B1193" s="8" t="str">
        <f>VLOOKUP(A1193,assortedcode!B:C,2,0)</f>
        <v>040000154260</v>
      </c>
      <c r="C1193" s="1">
        <v>0</v>
      </c>
      <c r="D1193" s="9">
        <f t="shared" si="73"/>
        <v>0</v>
      </c>
      <c r="E1193" s="7" t="s">
        <v>8345</v>
      </c>
      <c r="F1193" s="10" t="str">
        <f t="shared" si="72"/>
        <v>insert into ins_premium_det (premium_rcv_code,assorted_code, rec_amount,premium_rcv_detail_code,remaining_amt, payrec, mode_code,coinsurance_code,class_cd,it_remarks) values</v>
      </c>
      <c r="G1193" s="11" t="str">
        <f t="shared" si="74"/>
        <v>('28Nov240101','040000154260','0',(select max(to_number(i.premium_rcv_detail_code))+1
from ins_premium_det i),'0','0','02', '11000003','00','Request by Mr. Omair Ali 29-Nov-2024');</v>
      </c>
      <c r="H1193" s="12" t="str">
        <f t="shared" si="75"/>
        <v>insert into ins_premium_det (premium_rcv_code,assorted_code, rec_amount,premium_rcv_detail_code,remaining_amt, payrec, mode_code,coinsurance_code,class_cd,it_remarks) values('28Nov240101','040000154260','0',(select max(to_number(i.premium_rcv_detail_code))+1
from ins_premium_det i),'0','0','02', '11000003','00','Request by Mr. Omair Ali 29-Nov-2024');</v>
      </c>
    </row>
    <row r="1194" spans="1:8" ht="105" x14ac:dyDescent="0.25">
      <c r="A1194" t="s">
        <v>1194</v>
      </c>
      <c r="B1194" s="8" t="str">
        <f>VLOOKUP(A1194,assortedcode!B:C,2,0)</f>
        <v>040000110482</v>
      </c>
      <c r="C1194" s="1">
        <v>0</v>
      </c>
      <c r="D1194" s="9">
        <f t="shared" si="73"/>
        <v>0</v>
      </c>
      <c r="E1194" s="7" t="s">
        <v>8345</v>
      </c>
      <c r="F1194" s="10" t="str">
        <f t="shared" si="72"/>
        <v>insert into ins_premium_det (premium_rcv_code,assorted_code, rec_amount,premium_rcv_detail_code,remaining_amt, payrec, mode_code,coinsurance_code,class_cd,it_remarks) values</v>
      </c>
      <c r="G1194" s="11" t="str">
        <f t="shared" si="74"/>
        <v>('28Nov240101','040000110482','0',(select max(to_number(i.premium_rcv_detail_code))+1
from ins_premium_det i),'0','0','02', '11000003','00','Request by Mr. Omair Ali 29-Nov-2024');</v>
      </c>
      <c r="H1194" s="12" t="str">
        <f t="shared" si="75"/>
        <v>insert into ins_premium_det (premium_rcv_code,assorted_code, rec_amount,premium_rcv_detail_code,remaining_amt, payrec, mode_code,coinsurance_code,class_cd,it_remarks) values('28Nov240101','040000110482','0',(select max(to_number(i.premium_rcv_detail_code))+1
from ins_premium_det i),'0','0','02', '11000003','00','Request by Mr. Omair Ali 29-Nov-2024');</v>
      </c>
    </row>
    <row r="1195" spans="1:8" ht="105" x14ac:dyDescent="0.25">
      <c r="A1195" t="s">
        <v>1195</v>
      </c>
      <c r="B1195" s="8" t="str">
        <f>VLOOKUP(A1195,assortedcode!B:C,2,0)</f>
        <v>040000154703</v>
      </c>
      <c r="C1195" s="1">
        <v>0</v>
      </c>
      <c r="D1195" s="9">
        <f t="shared" si="73"/>
        <v>0</v>
      </c>
      <c r="E1195" s="7" t="s">
        <v>8345</v>
      </c>
      <c r="F1195" s="10" t="str">
        <f t="shared" si="72"/>
        <v>insert into ins_premium_det (premium_rcv_code,assorted_code, rec_amount,premium_rcv_detail_code,remaining_amt, payrec, mode_code,coinsurance_code,class_cd,it_remarks) values</v>
      </c>
      <c r="G1195" s="11" t="str">
        <f t="shared" si="74"/>
        <v>('28Nov240101','040000154703','0',(select max(to_number(i.premium_rcv_detail_code))+1
from ins_premium_det i),'0','0','02', '11000003','00','Request by Mr. Omair Ali 29-Nov-2024');</v>
      </c>
      <c r="H1195" s="12" t="str">
        <f t="shared" si="75"/>
        <v>insert into ins_premium_det (premium_rcv_code,assorted_code, rec_amount,premium_rcv_detail_code,remaining_amt, payrec, mode_code,coinsurance_code,class_cd,it_remarks) values('28Nov240101','040000154703','0',(select max(to_number(i.premium_rcv_detail_code))+1
from ins_premium_det i),'0','0','02', '11000003','00','Request by Mr. Omair Ali 29-Nov-2024');</v>
      </c>
    </row>
    <row r="1196" spans="1:8" ht="105" x14ac:dyDescent="0.25">
      <c r="A1196" t="s">
        <v>1196</v>
      </c>
      <c r="B1196" s="8" t="str">
        <f>VLOOKUP(A1196,assortedcode!B:C,2,0)</f>
        <v>040000112524</v>
      </c>
      <c r="C1196" s="1">
        <v>0</v>
      </c>
      <c r="D1196" s="9">
        <f t="shared" si="73"/>
        <v>0</v>
      </c>
      <c r="E1196" s="7" t="s">
        <v>8345</v>
      </c>
      <c r="F1196" s="10" t="str">
        <f t="shared" si="72"/>
        <v>insert into ins_premium_det (premium_rcv_code,assorted_code, rec_amount,premium_rcv_detail_code,remaining_amt, payrec, mode_code,coinsurance_code,class_cd,it_remarks) values</v>
      </c>
      <c r="G1196" s="11" t="str">
        <f t="shared" si="74"/>
        <v>('28Nov240101','040000112524','0',(select max(to_number(i.premium_rcv_detail_code))+1
from ins_premium_det i),'0','0','02', '11000003','00','Request by Mr. Omair Ali 29-Nov-2024');</v>
      </c>
      <c r="H1196" s="12" t="str">
        <f t="shared" si="75"/>
        <v>insert into ins_premium_det (premium_rcv_code,assorted_code, rec_amount,premium_rcv_detail_code,remaining_amt, payrec, mode_code,coinsurance_code,class_cd,it_remarks) values('28Nov240101','040000112524','0',(select max(to_number(i.premium_rcv_detail_code))+1
from ins_premium_det i),'0','0','02', '11000003','00','Request by Mr. Omair Ali 29-Nov-2024');</v>
      </c>
    </row>
    <row r="1197" spans="1:8" ht="105" x14ac:dyDescent="0.25">
      <c r="A1197" t="s">
        <v>1197</v>
      </c>
      <c r="B1197" s="8" t="str">
        <f>VLOOKUP(A1197,assortedcode!B:C,2,0)</f>
        <v>040000155182</v>
      </c>
      <c r="C1197" s="1">
        <v>0</v>
      </c>
      <c r="D1197" s="9">
        <f t="shared" si="73"/>
        <v>0</v>
      </c>
      <c r="E1197" s="7" t="s">
        <v>8345</v>
      </c>
      <c r="F1197" s="10" t="str">
        <f t="shared" si="72"/>
        <v>insert into ins_premium_det (premium_rcv_code,assorted_code, rec_amount,premium_rcv_detail_code,remaining_amt, payrec, mode_code,coinsurance_code,class_cd,it_remarks) values</v>
      </c>
      <c r="G1197" s="11" t="str">
        <f t="shared" si="74"/>
        <v>('28Nov240101','040000155182','0',(select max(to_number(i.premium_rcv_detail_code))+1
from ins_premium_det i),'0','0','02', '11000003','00','Request by Mr. Omair Ali 29-Nov-2024');</v>
      </c>
      <c r="H1197" s="12" t="str">
        <f t="shared" si="75"/>
        <v>insert into ins_premium_det (premium_rcv_code,assorted_code, rec_amount,premium_rcv_detail_code,remaining_amt, payrec, mode_code,coinsurance_code,class_cd,it_remarks) values('28Nov240101','040000155182','0',(select max(to_number(i.premium_rcv_detail_code))+1
from ins_premium_det i),'0','0','02', '11000003','00','Request by Mr. Omair Ali 29-Nov-2024');</v>
      </c>
    </row>
    <row r="1198" spans="1:8" ht="105" x14ac:dyDescent="0.25">
      <c r="A1198" t="s">
        <v>1198</v>
      </c>
      <c r="B1198" s="8" t="str">
        <f>VLOOKUP(A1198,assortedcode!B:C,2,0)</f>
        <v>040000117834</v>
      </c>
      <c r="C1198" s="1">
        <v>0</v>
      </c>
      <c r="D1198" s="9">
        <f t="shared" si="73"/>
        <v>0</v>
      </c>
      <c r="E1198" s="7" t="s">
        <v>8345</v>
      </c>
      <c r="F1198" s="10" t="str">
        <f t="shared" si="72"/>
        <v>insert into ins_premium_det (premium_rcv_code,assorted_code, rec_amount,premium_rcv_detail_code,remaining_amt, payrec, mode_code,coinsurance_code,class_cd,it_remarks) values</v>
      </c>
      <c r="G1198" s="11" t="str">
        <f t="shared" si="74"/>
        <v>('28Nov240101','040000117834','0',(select max(to_number(i.premium_rcv_detail_code))+1
from ins_premium_det i),'0','0','02', '11000003','00','Request by Mr. Omair Ali 29-Nov-2024');</v>
      </c>
      <c r="H1198" s="12" t="str">
        <f t="shared" si="75"/>
        <v>insert into ins_premium_det (premium_rcv_code,assorted_code, rec_amount,premium_rcv_detail_code,remaining_amt, payrec, mode_code,coinsurance_code,class_cd,it_remarks) values('28Nov240101','040000117834','0',(select max(to_number(i.premium_rcv_detail_code))+1
from ins_premium_det i),'0','0','02', '11000003','00','Request by Mr. Omair Ali 29-Nov-2024');</v>
      </c>
    </row>
    <row r="1199" spans="1:8" ht="105" x14ac:dyDescent="0.25">
      <c r="A1199" t="s">
        <v>1199</v>
      </c>
      <c r="B1199" s="8" t="str">
        <f>VLOOKUP(A1199,assortedcode!B:C,2,0)</f>
        <v>040000156836</v>
      </c>
      <c r="C1199" s="1">
        <v>0</v>
      </c>
      <c r="D1199" s="9">
        <f t="shared" si="73"/>
        <v>0</v>
      </c>
      <c r="E1199" s="7" t="s">
        <v>8345</v>
      </c>
      <c r="F1199" s="10" t="str">
        <f t="shared" si="72"/>
        <v>insert into ins_premium_det (premium_rcv_code,assorted_code, rec_amount,premium_rcv_detail_code,remaining_amt, payrec, mode_code,coinsurance_code,class_cd,it_remarks) values</v>
      </c>
      <c r="G1199" s="11" t="str">
        <f t="shared" si="74"/>
        <v>('28Nov240101','040000156836','0',(select max(to_number(i.premium_rcv_detail_code))+1
from ins_premium_det i),'0','0','02', '11000003','00','Request by Mr. Omair Ali 29-Nov-2024');</v>
      </c>
      <c r="H1199" s="12" t="str">
        <f t="shared" si="75"/>
        <v>insert into ins_premium_det (premium_rcv_code,assorted_code, rec_amount,premium_rcv_detail_code,remaining_amt, payrec, mode_code,coinsurance_code,class_cd,it_remarks) values('28Nov240101','040000156836','0',(select max(to_number(i.premium_rcv_detail_code))+1
from ins_premium_det i),'0','0','02', '11000003','00','Request by Mr. Omair Ali 29-Nov-2024');</v>
      </c>
    </row>
    <row r="1200" spans="1:8" ht="105" x14ac:dyDescent="0.25">
      <c r="A1200" t="s">
        <v>1200</v>
      </c>
      <c r="B1200" s="8" t="str">
        <f>VLOOKUP(A1200,assortedcode!B:C,2,0)</f>
        <v>040000117836</v>
      </c>
      <c r="C1200" s="1">
        <v>0</v>
      </c>
      <c r="D1200" s="9">
        <f t="shared" si="73"/>
        <v>0</v>
      </c>
      <c r="E1200" s="7" t="s">
        <v>8345</v>
      </c>
      <c r="F1200" s="10" t="str">
        <f t="shared" si="72"/>
        <v>insert into ins_premium_det (premium_rcv_code,assorted_code, rec_amount,premium_rcv_detail_code,remaining_amt, payrec, mode_code,coinsurance_code,class_cd,it_remarks) values</v>
      </c>
      <c r="G1200" s="11" t="str">
        <f t="shared" si="74"/>
        <v>('28Nov240101','040000117836','0',(select max(to_number(i.premium_rcv_detail_code))+1
from ins_premium_det i),'0','0','02', '11000003','00','Request by Mr. Omair Ali 29-Nov-2024');</v>
      </c>
      <c r="H1200" s="12" t="str">
        <f t="shared" si="75"/>
        <v>insert into ins_premium_det (premium_rcv_code,assorted_code, rec_amount,premium_rcv_detail_code,remaining_amt, payrec, mode_code,coinsurance_code,class_cd,it_remarks) values('28Nov240101','040000117836','0',(select max(to_number(i.premium_rcv_detail_code))+1
from ins_premium_det i),'0','0','02', '11000003','00','Request by Mr. Omair Ali 29-Nov-2024');</v>
      </c>
    </row>
    <row r="1201" spans="1:8" ht="105" x14ac:dyDescent="0.25">
      <c r="A1201" t="s">
        <v>1201</v>
      </c>
      <c r="B1201" s="8" t="str">
        <f>VLOOKUP(A1201,assortedcode!B:C,2,0)</f>
        <v>040000122460</v>
      </c>
      <c r="C1201" s="1">
        <v>0</v>
      </c>
      <c r="D1201" s="9">
        <f t="shared" si="73"/>
        <v>0</v>
      </c>
      <c r="E1201" s="7" t="s">
        <v>8345</v>
      </c>
      <c r="F1201" s="10" t="str">
        <f t="shared" si="72"/>
        <v>insert into ins_premium_det (premium_rcv_code,assorted_code, rec_amount,premium_rcv_detail_code,remaining_amt, payrec, mode_code,coinsurance_code,class_cd,it_remarks) values</v>
      </c>
      <c r="G1201" s="11" t="str">
        <f t="shared" si="74"/>
        <v>('28Nov240101','040000122460','0',(select max(to_number(i.premium_rcv_detail_code))+1
from ins_premium_det i),'0','0','02', '11000003','00','Request by Mr. Omair Ali 29-Nov-2024');</v>
      </c>
      <c r="H1201" s="12" t="str">
        <f t="shared" si="75"/>
        <v>insert into ins_premium_det (premium_rcv_code,assorted_code, rec_amount,premium_rcv_detail_code,remaining_amt, payrec, mode_code,coinsurance_code,class_cd,it_remarks) values('28Nov240101','040000122460','0',(select max(to_number(i.premium_rcv_detail_code))+1
from ins_premium_det i),'0','0','02', '11000003','00','Request by Mr. Omair Ali 29-Nov-2024');</v>
      </c>
    </row>
    <row r="1202" spans="1:8" ht="105" x14ac:dyDescent="0.25">
      <c r="A1202" t="s">
        <v>1202</v>
      </c>
      <c r="B1202" s="8" t="str">
        <f>VLOOKUP(A1202,assortedcode!B:C,2,0)</f>
        <v>040000121046</v>
      </c>
      <c r="C1202" s="1">
        <v>0</v>
      </c>
      <c r="D1202" s="9">
        <f t="shared" si="73"/>
        <v>0</v>
      </c>
      <c r="E1202" s="7" t="s">
        <v>8345</v>
      </c>
      <c r="F1202" s="10" t="str">
        <f t="shared" si="72"/>
        <v>insert into ins_premium_det (premium_rcv_code,assorted_code, rec_amount,premium_rcv_detail_code,remaining_amt, payrec, mode_code,coinsurance_code,class_cd,it_remarks) values</v>
      </c>
      <c r="G1202" s="11" t="str">
        <f t="shared" si="74"/>
        <v>('28Nov240101','040000121046','0',(select max(to_number(i.premium_rcv_detail_code))+1
from ins_premium_det i),'0','0','02', '11000003','00','Request by Mr. Omair Ali 29-Nov-2024');</v>
      </c>
      <c r="H1202" s="12" t="str">
        <f t="shared" si="75"/>
        <v>insert into ins_premium_det (premium_rcv_code,assorted_code, rec_amount,premium_rcv_detail_code,remaining_amt, payrec, mode_code,coinsurance_code,class_cd,it_remarks) values('28Nov240101','040000121046','0',(select max(to_number(i.premium_rcv_detail_code))+1
from ins_premium_det i),'0','0','02', '11000003','00','Request by Mr. Omair Ali 29-Nov-2024');</v>
      </c>
    </row>
    <row r="1203" spans="1:8" ht="105" x14ac:dyDescent="0.25">
      <c r="A1203" t="s">
        <v>1203</v>
      </c>
      <c r="B1203" s="8" t="str">
        <f>VLOOKUP(A1203,assortedcode!B:C,2,0)</f>
        <v>040000123086</v>
      </c>
      <c r="C1203" s="1">
        <v>0</v>
      </c>
      <c r="D1203" s="9">
        <f t="shared" si="73"/>
        <v>0</v>
      </c>
      <c r="E1203" s="7" t="s">
        <v>8345</v>
      </c>
      <c r="F1203" s="10" t="str">
        <f t="shared" si="72"/>
        <v>insert into ins_premium_det (premium_rcv_code,assorted_code, rec_amount,premium_rcv_detail_code,remaining_amt, payrec, mode_code,coinsurance_code,class_cd,it_remarks) values</v>
      </c>
      <c r="G1203" s="11" t="str">
        <f t="shared" si="74"/>
        <v>('28Nov240101','040000123086','0',(select max(to_number(i.premium_rcv_detail_code))+1
from ins_premium_det i),'0','0','02', '11000003','00','Request by Mr. Omair Ali 29-Nov-2024');</v>
      </c>
      <c r="H1203" s="12" t="str">
        <f t="shared" si="75"/>
        <v>insert into ins_premium_det (premium_rcv_code,assorted_code, rec_amount,premium_rcv_detail_code,remaining_amt, payrec, mode_code,coinsurance_code,class_cd,it_remarks) values('28Nov240101','040000123086','0',(select max(to_number(i.premium_rcv_detail_code))+1
from ins_premium_det i),'0','0','02', '11000003','00','Request by Mr. Omair Ali 29-Nov-2024');</v>
      </c>
    </row>
    <row r="1204" spans="1:8" ht="105" x14ac:dyDescent="0.25">
      <c r="A1204" t="s">
        <v>1204</v>
      </c>
      <c r="B1204" s="8" t="str">
        <f>VLOOKUP(A1204,assortedcode!B:C,2,0)</f>
        <v>040000123420</v>
      </c>
      <c r="C1204" s="1">
        <v>0</v>
      </c>
      <c r="D1204" s="9">
        <f t="shared" si="73"/>
        <v>0</v>
      </c>
      <c r="E1204" s="7" t="s">
        <v>8345</v>
      </c>
      <c r="F1204" s="10" t="str">
        <f t="shared" si="72"/>
        <v>insert into ins_premium_det (premium_rcv_code,assorted_code, rec_amount,premium_rcv_detail_code,remaining_amt, payrec, mode_code,coinsurance_code,class_cd,it_remarks) values</v>
      </c>
      <c r="G1204" s="11" t="str">
        <f t="shared" si="74"/>
        <v>('28Nov240101','040000123420','0',(select max(to_number(i.premium_rcv_detail_code))+1
from ins_premium_det i),'0','0','02', '11000003','00','Request by Mr. Omair Ali 29-Nov-2024');</v>
      </c>
      <c r="H1204" s="12" t="str">
        <f t="shared" si="75"/>
        <v>insert into ins_premium_det (premium_rcv_code,assorted_code, rec_amount,premium_rcv_detail_code,remaining_amt, payrec, mode_code,coinsurance_code,class_cd,it_remarks) values('28Nov240101','040000123420','0',(select max(to_number(i.premium_rcv_detail_code))+1
from ins_premium_det i),'0','0','02', '11000003','00','Request by Mr. Omair Ali 29-Nov-2024');</v>
      </c>
    </row>
    <row r="1205" spans="1:8" ht="105" x14ac:dyDescent="0.25">
      <c r="A1205" t="s">
        <v>1205</v>
      </c>
      <c r="B1205" s="8" t="str">
        <f>VLOOKUP(A1205,assortedcode!B:C,2,0)</f>
        <v>040000123593</v>
      </c>
      <c r="C1205" s="1">
        <v>0</v>
      </c>
      <c r="D1205" s="9">
        <f t="shared" si="73"/>
        <v>0</v>
      </c>
      <c r="E1205" s="7" t="s">
        <v>8345</v>
      </c>
      <c r="F1205" s="10" t="str">
        <f t="shared" si="72"/>
        <v>insert into ins_premium_det (premium_rcv_code,assorted_code, rec_amount,premium_rcv_detail_code,remaining_amt, payrec, mode_code,coinsurance_code,class_cd,it_remarks) values</v>
      </c>
      <c r="G1205" s="11" t="str">
        <f t="shared" si="74"/>
        <v>('28Nov240101','040000123593','0',(select max(to_number(i.premium_rcv_detail_code))+1
from ins_premium_det i),'0','0','02', '11000003','00','Request by Mr. Omair Ali 29-Nov-2024');</v>
      </c>
      <c r="H1205" s="12" t="str">
        <f t="shared" si="75"/>
        <v>insert into ins_premium_det (premium_rcv_code,assorted_code, rec_amount,premium_rcv_detail_code,remaining_amt, payrec, mode_code,coinsurance_code,class_cd,it_remarks) values('28Nov240101','040000123593','0',(select max(to_number(i.premium_rcv_detail_code))+1
from ins_premium_det i),'0','0','02', '11000003','00','Request by Mr. Omair Ali 29-Nov-2024');</v>
      </c>
    </row>
    <row r="1206" spans="1:8" ht="105" x14ac:dyDescent="0.25">
      <c r="A1206" t="s">
        <v>1206</v>
      </c>
      <c r="B1206" s="8" t="str">
        <f>VLOOKUP(A1206,assortedcode!B:C,2,0)</f>
        <v>040000126009</v>
      </c>
      <c r="C1206" s="1">
        <v>0</v>
      </c>
      <c r="D1206" s="9">
        <f t="shared" si="73"/>
        <v>0</v>
      </c>
      <c r="E1206" s="7" t="s">
        <v>8345</v>
      </c>
      <c r="F1206" s="10" t="str">
        <f t="shared" si="72"/>
        <v>insert into ins_premium_det (premium_rcv_code,assorted_code, rec_amount,premium_rcv_detail_code,remaining_amt, payrec, mode_code,coinsurance_code,class_cd,it_remarks) values</v>
      </c>
      <c r="G1206" s="11" t="str">
        <f t="shared" si="74"/>
        <v>('28Nov240101','040000126009','0',(select max(to_number(i.premium_rcv_detail_code))+1
from ins_premium_det i),'0','0','02', '11000003','00','Request by Mr. Omair Ali 29-Nov-2024');</v>
      </c>
      <c r="H1206" s="12" t="str">
        <f t="shared" si="75"/>
        <v>insert into ins_premium_det (premium_rcv_code,assorted_code, rec_amount,premium_rcv_detail_code,remaining_amt, payrec, mode_code,coinsurance_code,class_cd,it_remarks) values('28Nov240101','040000126009','0',(select max(to_number(i.premium_rcv_detail_code))+1
from ins_premium_det i),'0','0','02', '11000003','00','Request by Mr. Omair Ali 29-Nov-2024');</v>
      </c>
    </row>
    <row r="1207" spans="1:8" ht="105" x14ac:dyDescent="0.25">
      <c r="A1207" t="s">
        <v>1207</v>
      </c>
      <c r="B1207" s="8" t="str">
        <f>VLOOKUP(A1207,assortedcode!B:C,2,0)</f>
        <v>040000123949</v>
      </c>
      <c r="C1207" s="1">
        <v>0</v>
      </c>
      <c r="D1207" s="9">
        <f t="shared" si="73"/>
        <v>0</v>
      </c>
      <c r="E1207" s="7" t="s">
        <v>8345</v>
      </c>
      <c r="F1207" s="10" t="str">
        <f t="shared" si="72"/>
        <v>insert into ins_premium_det (premium_rcv_code,assorted_code, rec_amount,premium_rcv_detail_code,remaining_amt, payrec, mode_code,coinsurance_code,class_cd,it_remarks) values</v>
      </c>
      <c r="G1207" s="11" t="str">
        <f t="shared" si="74"/>
        <v>('28Nov240101','040000123949','0',(select max(to_number(i.premium_rcv_detail_code))+1
from ins_premium_det i),'0','0','02', '11000003','00','Request by Mr. Omair Ali 29-Nov-2024');</v>
      </c>
      <c r="H1207" s="12" t="str">
        <f t="shared" si="75"/>
        <v>insert into ins_premium_det (premium_rcv_code,assorted_code, rec_amount,premium_rcv_detail_code,remaining_amt, payrec, mode_code,coinsurance_code,class_cd,it_remarks) values('28Nov240101','040000123949','0',(select max(to_number(i.premium_rcv_detail_code))+1
from ins_premium_det i),'0','0','02', '11000003','00','Request by Mr. Omair Ali 29-Nov-2024');</v>
      </c>
    </row>
    <row r="1208" spans="1:8" ht="105" x14ac:dyDescent="0.25">
      <c r="A1208" t="s">
        <v>1208</v>
      </c>
      <c r="B1208" s="8" t="str">
        <f>VLOOKUP(A1208,assortedcode!B:C,2,0)</f>
        <v>040000126592</v>
      </c>
      <c r="C1208" s="1">
        <v>0</v>
      </c>
      <c r="D1208" s="9">
        <f t="shared" si="73"/>
        <v>0</v>
      </c>
      <c r="E1208" s="7" t="s">
        <v>8345</v>
      </c>
      <c r="F1208" s="10" t="str">
        <f t="shared" si="72"/>
        <v>insert into ins_premium_det (premium_rcv_code,assorted_code, rec_amount,premium_rcv_detail_code,remaining_amt, payrec, mode_code,coinsurance_code,class_cd,it_remarks) values</v>
      </c>
      <c r="G1208" s="11" t="str">
        <f t="shared" si="74"/>
        <v>('28Nov240101','040000126592','0',(select max(to_number(i.premium_rcv_detail_code))+1
from ins_premium_det i),'0','0','02', '11000003','00','Request by Mr. Omair Ali 29-Nov-2024');</v>
      </c>
      <c r="H1208" s="12" t="str">
        <f t="shared" si="75"/>
        <v>insert into ins_premium_det (premium_rcv_code,assorted_code, rec_amount,premium_rcv_detail_code,remaining_amt, payrec, mode_code,coinsurance_code,class_cd,it_remarks) values('28Nov240101','040000126592','0',(select max(to_number(i.premium_rcv_detail_code))+1
from ins_premium_det i),'0','0','02', '11000003','00','Request by Mr. Omair Ali 29-Nov-2024');</v>
      </c>
    </row>
    <row r="1209" spans="1:8" ht="105" x14ac:dyDescent="0.25">
      <c r="A1209" t="s">
        <v>1209</v>
      </c>
      <c r="B1209" s="8" t="str">
        <f>VLOOKUP(A1209,assortedcode!B:C,2,0)</f>
        <v>040000124174</v>
      </c>
      <c r="C1209" s="1">
        <v>0</v>
      </c>
      <c r="D1209" s="9">
        <f t="shared" si="73"/>
        <v>0</v>
      </c>
      <c r="E1209" s="7" t="s">
        <v>8345</v>
      </c>
      <c r="F1209" s="10" t="str">
        <f t="shared" si="72"/>
        <v>insert into ins_premium_det (premium_rcv_code,assorted_code, rec_amount,premium_rcv_detail_code,remaining_amt, payrec, mode_code,coinsurance_code,class_cd,it_remarks) values</v>
      </c>
      <c r="G1209" s="11" t="str">
        <f t="shared" si="74"/>
        <v>('28Nov240101','040000124174','0',(select max(to_number(i.premium_rcv_detail_code))+1
from ins_premium_det i),'0','0','02', '11000003','00','Request by Mr. Omair Ali 29-Nov-2024');</v>
      </c>
      <c r="H1209" s="12" t="str">
        <f t="shared" si="75"/>
        <v>insert into ins_premium_det (premium_rcv_code,assorted_code, rec_amount,premium_rcv_detail_code,remaining_amt, payrec, mode_code,coinsurance_code,class_cd,it_remarks) values('28Nov240101','040000124174','0',(select max(to_number(i.premium_rcv_detail_code))+1
from ins_premium_det i),'0','0','02', '11000003','00','Request by Mr. Omair Ali 29-Nov-2024');</v>
      </c>
    </row>
    <row r="1210" spans="1:8" ht="105" x14ac:dyDescent="0.25">
      <c r="A1210" t="s">
        <v>1210</v>
      </c>
      <c r="B1210" s="8" t="str">
        <f>VLOOKUP(A1210,assortedcode!B:C,2,0)</f>
        <v>040000126598</v>
      </c>
      <c r="C1210" s="1">
        <v>0</v>
      </c>
      <c r="D1210" s="9">
        <f t="shared" si="73"/>
        <v>0</v>
      </c>
      <c r="E1210" s="7" t="s">
        <v>8345</v>
      </c>
      <c r="F1210" s="10" t="str">
        <f t="shared" si="72"/>
        <v>insert into ins_premium_det (premium_rcv_code,assorted_code, rec_amount,premium_rcv_detail_code,remaining_amt, payrec, mode_code,coinsurance_code,class_cd,it_remarks) values</v>
      </c>
      <c r="G1210" s="11" t="str">
        <f t="shared" si="74"/>
        <v>('28Nov240101','040000126598','0',(select max(to_number(i.premium_rcv_detail_code))+1
from ins_premium_det i),'0','0','02', '11000003','00','Request by Mr. Omair Ali 29-Nov-2024');</v>
      </c>
      <c r="H1210" s="12" t="str">
        <f t="shared" si="75"/>
        <v>insert into ins_premium_det (premium_rcv_code,assorted_code, rec_amount,premium_rcv_detail_code,remaining_amt, payrec, mode_code,coinsurance_code,class_cd,it_remarks) values('28Nov240101','040000126598','0',(select max(to_number(i.premium_rcv_detail_code))+1
from ins_premium_det i),'0','0','02', '11000003','00','Request by Mr. Omair Ali 29-Nov-2024');</v>
      </c>
    </row>
    <row r="1211" spans="1:8" ht="105" x14ac:dyDescent="0.25">
      <c r="A1211" t="s">
        <v>1211</v>
      </c>
      <c r="B1211" s="8" t="str">
        <f>VLOOKUP(A1211,assortedcode!B:C,2,0)</f>
        <v>040000107644</v>
      </c>
      <c r="C1211" s="1">
        <v>0</v>
      </c>
      <c r="D1211" s="9">
        <f t="shared" si="73"/>
        <v>0</v>
      </c>
      <c r="E1211" s="7" t="s">
        <v>8345</v>
      </c>
      <c r="F1211" s="10" t="str">
        <f t="shared" si="72"/>
        <v>insert into ins_premium_det (premium_rcv_code,assorted_code, rec_amount,premium_rcv_detail_code,remaining_amt, payrec, mode_code,coinsurance_code,class_cd,it_remarks) values</v>
      </c>
      <c r="G1211" s="11" t="str">
        <f t="shared" si="74"/>
        <v>('28Nov240101','040000107644','0',(select max(to_number(i.premium_rcv_detail_code))+1
from ins_premium_det i),'0','0','02', '11000003','00','Request by Mr. Omair Ali 29-Nov-2024');</v>
      </c>
      <c r="H1211" s="12" t="str">
        <f t="shared" si="75"/>
        <v>insert into ins_premium_det (premium_rcv_code,assorted_code, rec_amount,premium_rcv_detail_code,remaining_amt, payrec, mode_code,coinsurance_code,class_cd,it_remarks) values('28Nov240101','040000107644','0',(select max(to_number(i.premium_rcv_detail_code))+1
from ins_premium_det i),'0','0','02', '11000003','00','Request by Mr. Omair Ali 29-Nov-2024');</v>
      </c>
    </row>
    <row r="1212" spans="1:8" ht="105" x14ac:dyDescent="0.25">
      <c r="A1212" t="s">
        <v>1212</v>
      </c>
      <c r="B1212" s="8" t="str">
        <f>VLOOKUP(A1212,assortedcode!B:C,2,0)</f>
        <v>040000127370</v>
      </c>
      <c r="C1212" s="1">
        <v>0</v>
      </c>
      <c r="D1212" s="9">
        <f t="shared" si="73"/>
        <v>0</v>
      </c>
      <c r="E1212" s="7" t="s">
        <v>8345</v>
      </c>
      <c r="F1212" s="10" t="str">
        <f t="shared" si="72"/>
        <v>insert into ins_premium_det (premium_rcv_code,assorted_code, rec_amount,premium_rcv_detail_code,remaining_amt, payrec, mode_code,coinsurance_code,class_cd,it_remarks) values</v>
      </c>
      <c r="G1212" s="11" t="str">
        <f t="shared" si="74"/>
        <v>('28Nov240101','040000127370','0',(select max(to_number(i.premium_rcv_detail_code))+1
from ins_premium_det i),'0','0','02', '11000003','00','Request by Mr. Omair Ali 29-Nov-2024');</v>
      </c>
      <c r="H1212" s="12" t="str">
        <f t="shared" si="75"/>
        <v>insert into ins_premium_det (premium_rcv_code,assorted_code, rec_amount,premium_rcv_detail_code,remaining_amt, payrec, mode_code,coinsurance_code,class_cd,it_remarks) values('28Nov240101','040000127370','0',(select max(to_number(i.premium_rcv_detail_code))+1
from ins_premium_det i),'0','0','02', '11000003','00','Request by Mr. Omair Ali 29-Nov-2024');</v>
      </c>
    </row>
    <row r="1213" spans="1:8" ht="105" x14ac:dyDescent="0.25">
      <c r="A1213" t="s">
        <v>1213</v>
      </c>
      <c r="B1213" s="8" t="str">
        <f>VLOOKUP(A1213,assortedcode!B:C,2,0)</f>
        <v>040000107731</v>
      </c>
      <c r="C1213" s="1">
        <v>0</v>
      </c>
      <c r="D1213" s="9">
        <f t="shared" si="73"/>
        <v>0</v>
      </c>
      <c r="E1213" s="7" t="s">
        <v>8345</v>
      </c>
      <c r="F1213" s="10" t="str">
        <f t="shared" si="72"/>
        <v>insert into ins_premium_det (premium_rcv_code,assorted_code, rec_amount,premium_rcv_detail_code,remaining_amt, payrec, mode_code,coinsurance_code,class_cd,it_remarks) values</v>
      </c>
      <c r="G1213" s="11" t="str">
        <f t="shared" si="74"/>
        <v>('28Nov240101','040000107731','0',(select max(to_number(i.premium_rcv_detail_code))+1
from ins_premium_det i),'0','0','02', '11000003','00','Request by Mr. Omair Ali 29-Nov-2024');</v>
      </c>
      <c r="H1213" s="12" t="str">
        <f t="shared" si="75"/>
        <v>insert into ins_premium_det (premium_rcv_code,assorted_code, rec_amount,premium_rcv_detail_code,remaining_amt, payrec, mode_code,coinsurance_code,class_cd,it_remarks) values('28Nov240101','040000107731','0',(select max(to_number(i.premium_rcv_detail_code))+1
from ins_premium_det i),'0','0','02', '11000003','00','Request by Mr. Omair Ali 29-Nov-2024');</v>
      </c>
    </row>
    <row r="1214" spans="1:8" ht="105" x14ac:dyDescent="0.25">
      <c r="A1214" t="s">
        <v>1214</v>
      </c>
      <c r="B1214" s="8" t="str">
        <f>VLOOKUP(A1214,assortedcode!B:C,2,0)</f>
        <v>040000127389</v>
      </c>
      <c r="C1214" s="1">
        <v>0</v>
      </c>
      <c r="D1214" s="9">
        <f t="shared" si="73"/>
        <v>0</v>
      </c>
      <c r="E1214" s="7" t="s">
        <v>8345</v>
      </c>
      <c r="F1214" s="10" t="str">
        <f t="shared" si="72"/>
        <v>insert into ins_premium_det (premium_rcv_code,assorted_code, rec_amount,premium_rcv_detail_code,remaining_amt, payrec, mode_code,coinsurance_code,class_cd,it_remarks) values</v>
      </c>
      <c r="G1214" s="11" t="str">
        <f t="shared" si="74"/>
        <v>('28Nov240101','040000127389','0',(select max(to_number(i.premium_rcv_detail_code))+1
from ins_premium_det i),'0','0','02', '11000003','00','Request by Mr. Omair Ali 29-Nov-2024');</v>
      </c>
      <c r="H1214" s="12" t="str">
        <f t="shared" si="75"/>
        <v>insert into ins_premium_det (premium_rcv_code,assorted_code, rec_amount,premium_rcv_detail_code,remaining_amt, payrec, mode_code,coinsurance_code,class_cd,it_remarks) values('28Nov240101','040000127389','0',(select max(to_number(i.premium_rcv_detail_code))+1
from ins_premium_det i),'0','0','02', '11000003','00','Request by Mr. Omair Ali 29-Nov-2024');</v>
      </c>
    </row>
    <row r="1215" spans="1:8" ht="105" x14ac:dyDescent="0.25">
      <c r="A1215" t="s">
        <v>1215</v>
      </c>
      <c r="B1215" s="8" t="str">
        <f>VLOOKUP(A1215,assortedcode!B:C,2,0)</f>
        <v>040000126192</v>
      </c>
      <c r="C1215" s="1">
        <v>0</v>
      </c>
      <c r="D1215" s="9">
        <f t="shared" si="73"/>
        <v>0</v>
      </c>
      <c r="E1215" s="7" t="s">
        <v>8345</v>
      </c>
      <c r="F1215" s="10" t="str">
        <f t="shared" si="72"/>
        <v>insert into ins_premium_det (premium_rcv_code,assorted_code, rec_amount,premium_rcv_detail_code,remaining_amt, payrec, mode_code,coinsurance_code,class_cd,it_remarks) values</v>
      </c>
      <c r="G1215" s="11" t="str">
        <f t="shared" si="74"/>
        <v>('28Nov240101','040000126192','0',(select max(to_number(i.premium_rcv_detail_code))+1
from ins_premium_det i),'0','0','02', '11000003','00','Request by Mr. Omair Ali 29-Nov-2024');</v>
      </c>
      <c r="H1215" s="12" t="str">
        <f t="shared" si="75"/>
        <v>insert into ins_premium_det (premium_rcv_code,assorted_code, rec_amount,premium_rcv_detail_code,remaining_amt, payrec, mode_code,coinsurance_code,class_cd,it_remarks) values('28Nov240101','040000126192','0',(select max(to_number(i.premium_rcv_detail_code))+1
from ins_premium_det i),'0','0','02', '11000003','00','Request by Mr. Omair Ali 29-Nov-2024');</v>
      </c>
    </row>
    <row r="1216" spans="1:8" ht="105" x14ac:dyDescent="0.25">
      <c r="A1216" t="s">
        <v>1216</v>
      </c>
      <c r="B1216" s="8" t="str">
        <f>VLOOKUP(A1216,assortedcode!B:C,2,0)</f>
        <v>040000111683</v>
      </c>
      <c r="C1216" s="1">
        <v>0</v>
      </c>
      <c r="D1216" s="9">
        <f t="shared" si="73"/>
        <v>0</v>
      </c>
      <c r="E1216" s="7" t="s">
        <v>8345</v>
      </c>
      <c r="F1216" s="10" t="str">
        <f t="shared" si="72"/>
        <v>insert into ins_premium_det (premium_rcv_code,assorted_code, rec_amount,premium_rcv_detail_code,remaining_amt, payrec, mode_code,coinsurance_code,class_cd,it_remarks) values</v>
      </c>
      <c r="G1216" s="11" t="str">
        <f t="shared" si="74"/>
        <v>('28Nov240101','040000111683','0',(select max(to_number(i.premium_rcv_detail_code))+1
from ins_premium_det i),'0','0','02', '11000003','00','Request by Mr. Omair Ali 29-Nov-2024');</v>
      </c>
      <c r="H1216" s="12" t="str">
        <f t="shared" si="75"/>
        <v>insert into ins_premium_det (premium_rcv_code,assorted_code, rec_amount,premium_rcv_detail_code,remaining_amt, payrec, mode_code,coinsurance_code,class_cd,it_remarks) values('28Nov240101','040000111683','0',(select max(to_number(i.premium_rcv_detail_code))+1
from ins_premium_det i),'0','0','02', '11000003','00','Request by Mr. Omair Ali 29-Nov-2024');</v>
      </c>
    </row>
    <row r="1217" spans="1:8" ht="105" x14ac:dyDescent="0.25">
      <c r="A1217" t="s">
        <v>1217</v>
      </c>
      <c r="B1217" s="8" t="str">
        <f>VLOOKUP(A1217,assortedcode!B:C,2,0)</f>
        <v>040000126916</v>
      </c>
      <c r="C1217" s="1">
        <v>0</v>
      </c>
      <c r="D1217" s="9">
        <f t="shared" si="73"/>
        <v>0</v>
      </c>
      <c r="E1217" s="7" t="s">
        <v>8345</v>
      </c>
      <c r="F1217" s="10" t="str">
        <f t="shared" si="72"/>
        <v>insert into ins_premium_det (premium_rcv_code,assorted_code, rec_amount,premium_rcv_detail_code,remaining_amt, payrec, mode_code,coinsurance_code,class_cd,it_remarks) values</v>
      </c>
      <c r="G1217" s="11" t="str">
        <f t="shared" si="74"/>
        <v>('28Nov240101','040000126916','0',(select max(to_number(i.premium_rcv_detail_code))+1
from ins_premium_det i),'0','0','02', '11000003','00','Request by Mr. Omair Ali 29-Nov-2024');</v>
      </c>
      <c r="H1217" s="12" t="str">
        <f t="shared" si="75"/>
        <v>insert into ins_premium_det (premium_rcv_code,assorted_code, rec_amount,premium_rcv_detail_code,remaining_amt, payrec, mode_code,coinsurance_code,class_cd,it_remarks) values('28Nov240101','040000126916','0',(select max(to_number(i.premium_rcv_detail_code))+1
from ins_premium_det i),'0','0','02', '11000003','00','Request by Mr. Omair Ali 29-Nov-2024');</v>
      </c>
    </row>
    <row r="1218" spans="1:8" ht="105" x14ac:dyDescent="0.25">
      <c r="A1218" t="s">
        <v>1218</v>
      </c>
      <c r="B1218" s="8" t="str">
        <f>VLOOKUP(A1218,assortedcode!B:C,2,0)</f>
        <v>040000106309</v>
      </c>
      <c r="C1218" s="1">
        <v>0</v>
      </c>
      <c r="D1218" s="9">
        <f t="shared" si="73"/>
        <v>0</v>
      </c>
      <c r="E1218" s="7" t="s">
        <v>8345</v>
      </c>
      <c r="F1218" s="10" t="str">
        <f t="shared" ref="F1218:F1281" si="76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1218" s="11" t="str">
        <f t="shared" si="74"/>
        <v>('28Nov240101','040000106309','0',(select max(to_number(i.premium_rcv_detail_code))+1
from ins_premium_det i),'0','0','02', '11000003','00','Request by Mr. Omair Ali 29-Nov-2024');</v>
      </c>
      <c r="H1218" s="12" t="str">
        <f t="shared" si="75"/>
        <v>insert into ins_premium_det (premium_rcv_code,assorted_code, rec_amount,premium_rcv_detail_code,remaining_amt, payrec, mode_code,coinsurance_code,class_cd,it_remarks) values('28Nov240101','040000106309','0',(select max(to_number(i.premium_rcv_detail_code))+1
from ins_premium_det i),'0','0','02', '11000003','00','Request by Mr. Omair Ali 29-Nov-2024');</v>
      </c>
    </row>
    <row r="1219" spans="1:8" ht="105" x14ac:dyDescent="0.25">
      <c r="A1219" t="s">
        <v>1219</v>
      </c>
      <c r="B1219" s="8" t="str">
        <f>VLOOKUP(A1219,assortedcode!B:C,2,0)</f>
        <v>040000127609</v>
      </c>
      <c r="C1219" s="1">
        <v>0</v>
      </c>
      <c r="D1219" s="9">
        <f t="shared" ref="D1219:D1282" si="77">ROUND(C1219,0)</f>
        <v>0</v>
      </c>
      <c r="E1219" s="7" t="s">
        <v>8345</v>
      </c>
      <c r="F1219" s="10" t="str">
        <f t="shared" si="76"/>
        <v>insert into ins_premium_det (premium_rcv_code,assorted_code, rec_amount,premium_rcv_detail_code,remaining_amt, payrec, mode_code,coinsurance_code,class_cd,it_remarks) values</v>
      </c>
      <c r="G1219" s="11" t="str">
        <f t="shared" ref="G1219:G1282" si="78">"('"&amp;E1219&amp;"','"&amp;B1219&amp;"','"&amp;ROUND(D1219,2)&amp;"',(select max(to_number(i.premium_rcv_detail_code))+1
from ins_premium_det i),'"&amp;D1219&amp;"','"&amp;D1219&amp;"','02', '11000003','00','Request by Mr. Omair Ali 29-Nov-2024');"</f>
        <v>('28Nov240101','040000127609','0',(select max(to_number(i.premium_rcv_detail_code))+1
from ins_premium_det i),'0','0','02', '11000003','00','Request by Mr. Omair Ali 29-Nov-2024');</v>
      </c>
      <c r="H1219" s="12" t="str">
        <f t="shared" ref="H1219:H1282" si="79">F1219&amp;G1219</f>
        <v>insert into ins_premium_det (premium_rcv_code,assorted_code, rec_amount,premium_rcv_detail_code,remaining_amt, payrec, mode_code,coinsurance_code,class_cd,it_remarks) values('28Nov240101','040000127609','0',(select max(to_number(i.premium_rcv_detail_code))+1
from ins_premium_det i),'0','0','02', '11000003','00','Request by Mr. Omair Ali 29-Nov-2024');</v>
      </c>
    </row>
    <row r="1220" spans="1:8" ht="105" x14ac:dyDescent="0.25">
      <c r="A1220" t="s">
        <v>1220</v>
      </c>
      <c r="B1220" s="8" t="str">
        <f>VLOOKUP(A1220,assortedcode!B:C,2,0)</f>
        <v>040000111717</v>
      </c>
      <c r="C1220" s="1">
        <v>0</v>
      </c>
      <c r="D1220" s="9">
        <f t="shared" si="77"/>
        <v>0</v>
      </c>
      <c r="E1220" s="7" t="s">
        <v>8345</v>
      </c>
      <c r="F1220" s="10" t="str">
        <f t="shared" si="76"/>
        <v>insert into ins_premium_det (premium_rcv_code,assorted_code, rec_amount,premium_rcv_detail_code,remaining_amt, payrec, mode_code,coinsurance_code,class_cd,it_remarks) values</v>
      </c>
      <c r="G1220" s="11" t="str">
        <f t="shared" si="78"/>
        <v>('28Nov240101','040000111717','0',(select max(to_number(i.premium_rcv_detail_code))+1
from ins_premium_det i),'0','0','02', '11000003','00','Request by Mr. Omair Ali 29-Nov-2024');</v>
      </c>
      <c r="H1220" s="12" t="str">
        <f t="shared" si="79"/>
        <v>insert into ins_premium_det (premium_rcv_code,assorted_code, rec_amount,premium_rcv_detail_code,remaining_amt, payrec, mode_code,coinsurance_code,class_cd,it_remarks) values('28Nov240101','040000111717','0',(select max(to_number(i.premium_rcv_detail_code))+1
from ins_premium_det i),'0','0','02', '11000003','00','Request by Mr. Omair Ali 29-Nov-2024');</v>
      </c>
    </row>
    <row r="1221" spans="1:8" ht="105" x14ac:dyDescent="0.25">
      <c r="A1221" t="s">
        <v>1221</v>
      </c>
      <c r="B1221" s="8" t="str">
        <f>VLOOKUP(A1221,assortedcode!B:C,2,0)</f>
        <v>040000108317</v>
      </c>
      <c r="C1221" s="1">
        <v>0</v>
      </c>
      <c r="D1221" s="9">
        <f t="shared" si="77"/>
        <v>0</v>
      </c>
      <c r="E1221" s="7" t="s">
        <v>8345</v>
      </c>
      <c r="F1221" s="10" t="str">
        <f t="shared" si="76"/>
        <v>insert into ins_premium_det (premium_rcv_code,assorted_code, rec_amount,premium_rcv_detail_code,remaining_amt, payrec, mode_code,coinsurance_code,class_cd,it_remarks) values</v>
      </c>
      <c r="G1221" s="11" t="str">
        <f t="shared" si="78"/>
        <v>('28Nov240101','040000108317','0',(select max(to_number(i.premium_rcv_detail_code))+1
from ins_premium_det i),'0','0','02', '11000003','00','Request by Mr. Omair Ali 29-Nov-2024');</v>
      </c>
      <c r="H1221" s="12" t="str">
        <f t="shared" si="79"/>
        <v>insert into ins_premium_det (premium_rcv_code,assorted_code, rec_amount,premium_rcv_detail_code,remaining_amt, payrec, mode_code,coinsurance_code,class_cd,it_remarks) values('28Nov240101','040000108317','0',(select max(to_number(i.premium_rcv_detail_code))+1
from ins_premium_det i),'0','0','02', '11000003','00','Request by Mr. Omair Ali 29-Nov-2024');</v>
      </c>
    </row>
    <row r="1222" spans="1:8" ht="105" x14ac:dyDescent="0.25">
      <c r="A1222" t="s">
        <v>1222</v>
      </c>
      <c r="B1222" s="8" t="str">
        <f>VLOOKUP(A1222,assortedcode!B:C,2,0)</f>
        <v>040000111755</v>
      </c>
      <c r="C1222" s="1">
        <v>0</v>
      </c>
      <c r="D1222" s="9">
        <f t="shared" si="77"/>
        <v>0</v>
      </c>
      <c r="E1222" s="7" t="s">
        <v>8345</v>
      </c>
      <c r="F1222" s="10" t="str">
        <f t="shared" si="76"/>
        <v>insert into ins_premium_det (premium_rcv_code,assorted_code, rec_amount,premium_rcv_detail_code,remaining_amt, payrec, mode_code,coinsurance_code,class_cd,it_remarks) values</v>
      </c>
      <c r="G1222" s="11" t="str">
        <f t="shared" si="78"/>
        <v>('28Nov240101','040000111755','0',(select max(to_number(i.premium_rcv_detail_code))+1
from ins_premium_det i),'0','0','02', '11000003','00','Request by Mr. Omair Ali 29-Nov-2024');</v>
      </c>
      <c r="H1222" s="12" t="str">
        <f t="shared" si="79"/>
        <v>insert into ins_premium_det (premium_rcv_code,assorted_code, rec_amount,premium_rcv_detail_code,remaining_amt, payrec, mode_code,coinsurance_code,class_cd,it_remarks) values('28Nov240101','040000111755','0',(select max(to_number(i.premium_rcv_detail_code))+1
from ins_premium_det i),'0','0','02', '11000003','00','Request by Mr. Omair Ali 29-Nov-2024');</v>
      </c>
    </row>
    <row r="1223" spans="1:8" ht="105" x14ac:dyDescent="0.25">
      <c r="A1223" t="s">
        <v>1223</v>
      </c>
      <c r="B1223" s="8" t="str">
        <f>VLOOKUP(A1223,assortedcode!B:C,2,0)</f>
        <v>040000108326</v>
      </c>
      <c r="C1223" s="1">
        <v>0</v>
      </c>
      <c r="D1223" s="9">
        <f t="shared" si="77"/>
        <v>0</v>
      </c>
      <c r="E1223" s="7" t="s">
        <v>8345</v>
      </c>
      <c r="F1223" s="10" t="str">
        <f t="shared" si="76"/>
        <v>insert into ins_premium_det (premium_rcv_code,assorted_code, rec_amount,premium_rcv_detail_code,remaining_amt, payrec, mode_code,coinsurance_code,class_cd,it_remarks) values</v>
      </c>
      <c r="G1223" s="11" t="str">
        <f t="shared" si="78"/>
        <v>('28Nov240101','040000108326','0',(select max(to_number(i.premium_rcv_detail_code))+1
from ins_premium_det i),'0','0','02', '11000003','00','Request by Mr. Omair Ali 29-Nov-2024');</v>
      </c>
      <c r="H1223" s="12" t="str">
        <f t="shared" si="79"/>
        <v>insert into ins_premium_det (premium_rcv_code,assorted_code, rec_amount,premium_rcv_detail_code,remaining_amt, payrec, mode_code,coinsurance_code,class_cd,it_remarks) values('28Nov240101','040000108326','0',(select max(to_number(i.premium_rcv_detail_code))+1
from ins_premium_det i),'0','0','02', '11000003','00','Request by Mr. Omair Ali 29-Nov-2024');</v>
      </c>
    </row>
    <row r="1224" spans="1:8" ht="105" x14ac:dyDescent="0.25">
      <c r="A1224" t="s">
        <v>1224</v>
      </c>
      <c r="B1224" s="8" t="str">
        <f>VLOOKUP(A1224,assortedcode!B:C,2,0)</f>
        <v>040000111864</v>
      </c>
      <c r="C1224" s="1">
        <v>0</v>
      </c>
      <c r="D1224" s="9">
        <f t="shared" si="77"/>
        <v>0</v>
      </c>
      <c r="E1224" s="7" t="s">
        <v>8345</v>
      </c>
      <c r="F1224" s="10" t="str">
        <f t="shared" si="76"/>
        <v>insert into ins_premium_det (premium_rcv_code,assorted_code, rec_amount,premium_rcv_detail_code,remaining_amt, payrec, mode_code,coinsurance_code,class_cd,it_remarks) values</v>
      </c>
      <c r="G1224" s="11" t="str">
        <f t="shared" si="78"/>
        <v>('28Nov240101','040000111864','0',(select max(to_number(i.premium_rcv_detail_code))+1
from ins_premium_det i),'0','0','02', '11000003','00','Request by Mr. Omair Ali 29-Nov-2024');</v>
      </c>
      <c r="H1224" s="12" t="str">
        <f t="shared" si="79"/>
        <v>insert into ins_premium_det (premium_rcv_code,assorted_code, rec_amount,premium_rcv_detail_code,remaining_amt, payrec, mode_code,coinsurance_code,class_cd,it_remarks) values('28Nov240101','040000111864','0',(select max(to_number(i.premium_rcv_detail_code))+1
from ins_premium_det i),'0','0','02', '11000003','00','Request by Mr. Omair Ali 29-Nov-2024');</v>
      </c>
    </row>
    <row r="1225" spans="1:8" ht="105" x14ac:dyDescent="0.25">
      <c r="A1225" t="s">
        <v>1225</v>
      </c>
      <c r="B1225" s="8" t="str">
        <f>VLOOKUP(A1225,assortedcode!B:C,2,0)</f>
        <v>040000108339</v>
      </c>
      <c r="C1225" s="1">
        <v>0</v>
      </c>
      <c r="D1225" s="9">
        <f t="shared" si="77"/>
        <v>0</v>
      </c>
      <c r="E1225" s="7" t="s">
        <v>8345</v>
      </c>
      <c r="F1225" s="10" t="str">
        <f t="shared" si="76"/>
        <v>insert into ins_premium_det (premium_rcv_code,assorted_code, rec_amount,premium_rcv_detail_code,remaining_amt, payrec, mode_code,coinsurance_code,class_cd,it_remarks) values</v>
      </c>
      <c r="G1225" s="11" t="str">
        <f t="shared" si="78"/>
        <v>('28Nov240101','040000108339','0',(select max(to_number(i.premium_rcv_detail_code))+1
from ins_premium_det i),'0','0','02', '11000003','00','Request by Mr. Omair Ali 29-Nov-2024');</v>
      </c>
      <c r="H1225" s="12" t="str">
        <f t="shared" si="79"/>
        <v>insert into ins_premium_det (premium_rcv_code,assorted_code, rec_amount,premium_rcv_detail_code,remaining_amt, payrec, mode_code,coinsurance_code,class_cd,it_remarks) values('28Nov240101','040000108339','0',(select max(to_number(i.premium_rcv_detail_code))+1
from ins_premium_det i),'0','0','02', '11000003','00','Request by Mr. Omair Ali 29-Nov-2024');</v>
      </c>
    </row>
    <row r="1226" spans="1:8" ht="105" x14ac:dyDescent="0.25">
      <c r="A1226" t="s">
        <v>1226</v>
      </c>
      <c r="B1226" s="8" t="str">
        <f>VLOOKUP(A1226,assortedcode!B:C,2,0)</f>
        <v>040000106852</v>
      </c>
      <c r="C1226" s="1">
        <v>0</v>
      </c>
      <c r="D1226" s="9">
        <f t="shared" si="77"/>
        <v>0</v>
      </c>
      <c r="E1226" s="7" t="s">
        <v>8345</v>
      </c>
      <c r="F1226" s="10" t="str">
        <f t="shared" si="76"/>
        <v>insert into ins_premium_det (premium_rcv_code,assorted_code, rec_amount,premium_rcv_detail_code,remaining_amt, payrec, mode_code,coinsurance_code,class_cd,it_remarks) values</v>
      </c>
      <c r="G1226" s="11" t="str">
        <f t="shared" si="78"/>
        <v>('28Nov240101','040000106852','0',(select max(to_number(i.premium_rcv_detail_code))+1
from ins_premium_det i),'0','0','02', '11000003','00','Request by Mr. Omair Ali 29-Nov-2024');</v>
      </c>
      <c r="H1226" s="12" t="str">
        <f t="shared" si="79"/>
        <v>insert into ins_premium_det (premium_rcv_code,assorted_code, rec_amount,premium_rcv_detail_code,remaining_amt, payrec, mode_code,coinsurance_code,class_cd,it_remarks) values('28Nov240101','040000106852','0',(select max(to_number(i.premium_rcv_detail_code))+1
from ins_premium_det i),'0','0','02', '11000003','00','Request by Mr. Omair Ali 29-Nov-2024');</v>
      </c>
    </row>
    <row r="1227" spans="1:8" ht="105" x14ac:dyDescent="0.25">
      <c r="A1227" t="s">
        <v>1227</v>
      </c>
      <c r="B1227" s="8" t="str">
        <f>VLOOKUP(A1227,assortedcode!B:C,2,0)</f>
        <v>040000131730</v>
      </c>
      <c r="C1227" s="1">
        <v>0</v>
      </c>
      <c r="D1227" s="9">
        <f t="shared" si="77"/>
        <v>0</v>
      </c>
      <c r="E1227" s="7" t="s">
        <v>8345</v>
      </c>
      <c r="F1227" s="10" t="str">
        <f t="shared" si="76"/>
        <v>insert into ins_premium_det (premium_rcv_code,assorted_code, rec_amount,premium_rcv_detail_code,remaining_amt, payrec, mode_code,coinsurance_code,class_cd,it_remarks) values</v>
      </c>
      <c r="G1227" s="11" t="str">
        <f t="shared" si="78"/>
        <v>('28Nov240101','040000131730','0',(select max(to_number(i.premium_rcv_detail_code))+1
from ins_premium_det i),'0','0','02', '11000003','00','Request by Mr. Omair Ali 29-Nov-2024');</v>
      </c>
      <c r="H1227" s="12" t="str">
        <f t="shared" si="79"/>
        <v>insert into ins_premium_det (premium_rcv_code,assorted_code, rec_amount,premium_rcv_detail_code,remaining_amt, payrec, mode_code,coinsurance_code,class_cd,it_remarks) values('28Nov240101','040000131730','0',(select max(to_number(i.premium_rcv_detail_code))+1
from ins_premium_det i),'0','0','02', '11000003','00','Request by Mr. Omair Ali 29-Nov-2024');</v>
      </c>
    </row>
    <row r="1228" spans="1:8" ht="105" x14ac:dyDescent="0.25">
      <c r="A1228" t="s">
        <v>1228</v>
      </c>
      <c r="B1228" s="8" t="str">
        <f>VLOOKUP(A1228,assortedcode!B:C,2,0)</f>
        <v>040000112072</v>
      </c>
      <c r="C1228" s="1">
        <v>0</v>
      </c>
      <c r="D1228" s="9">
        <f t="shared" si="77"/>
        <v>0</v>
      </c>
      <c r="E1228" s="7" t="s">
        <v>8345</v>
      </c>
      <c r="F1228" s="10" t="str">
        <f t="shared" si="76"/>
        <v>insert into ins_premium_det (premium_rcv_code,assorted_code, rec_amount,premium_rcv_detail_code,remaining_amt, payrec, mode_code,coinsurance_code,class_cd,it_remarks) values</v>
      </c>
      <c r="G1228" s="11" t="str">
        <f t="shared" si="78"/>
        <v>('28Nov240101','040000112072','0',(select max(to_number(i.premium_rcv_detail_code))+1
from ins_premium_det i),'0','0','02', '11000003','00','Request by Mr. Omair Ali 29-Nov-2024');</v>
      </c>
      <c r="H1228" s="12" t="str">
        <f t="shared" si="79"/>
        <v>insert into ins_premium_det (premium_rcv_code,assorted_code, rec_amount,premium_rcv_detail_code,remaining_amt, payrec, mode_code,coinsurance_code,class_cd,it_remarks) values('28Nov240101','040000112072','0',(select max(to_number(i.premium_rcv_detail_code))+1
from ins_premium_det i),'0','0','02', '11000003','00','Request by Mr. Omair Ali 29-Nov-2024');</v>
      </c>
    </row>
    <row r="1229" spans="1:8" ht="105" x14ac:dyDescent="0.25">
      <c r="A1229" t="s">
        <v>1229</v>
      </c>
      <c r="B1229" s="8" t="str">
        <f>VLOOKUP(A1229,assortedcode!B:C,2,0)</f>
        <v>040000108384</v>
      </c>
      <c r="C1229" s="1">
        <v>0</v>
      </c>
      <c r="D1229" s="9">
        <f t="shared" si="77"/>
        <v>0</v>
      </c>
      <c r="E1229" s="7" t="s">
        <v>8345</v>
      </c>
      <c r="F1229" s="10" t="str">
        <f t="shared" si="76"/>
        <v>insert into ins_premium_det (premium_rcv_code,assorted_code, rec_amount,premium_rcv_detail_code,remaining_amt, payrec, mode_code,coinsurance_code,class_cd,it_remarks) values</v>
      </c>
      <c r="G1229" s="11" t="str">
        <f t="shared" si="78"/>
        <v>('28Nov240101','040000108384','0',(select max(to_number(i.premium_rcv_detail_code))+1
from ins_premium_det i),'0','0','02', '11000003','00','Request by Mr. Omair Ali 29-Nov-2024');</v>
      </c>
      <c r="H1229" s="12" t="str">
        <f t="shared" si="79"/>
        <v>insert into ins_premium_det (premium_rcv_code,assorted_code, rec_amount,premium_rcv_detail_code,remaining_amt, payrec, mode_code,coinsurance_code,class_cd,it_remarks) values('28Nov240101','040000108384','0',(select max(to_number(i.premium_rcv_detail_code))+1
from ins_premium_det i),'0','0','02', '11000003','00','Request by Mr. Omair Ali 29-Nov-2024');</v>
      </c>
    </row>
    <row r="1230" spans="1:8" ht="105" x14ac:dyDescent="0.25">
      <c r="A1230" t="s">
        <v>1230</v>
      </c>
      <c r="B1230" s="8" t="str">
        <f>VLOOKUP(A1230,assortedcode!B:C,2,0)</f>
        <v>040000112378</v>
      </c>
      <c r="C1230" s="1">
        <v>0</v>
      </c>
      <c r="D1230" s="9">
        <f t="shared" si="77"/>
        <v>0</v>
      </c>
      <c r="E1230" s="7" t="s">
        <v>8345</v>
      </c>
      <c r="F1230" s="10" t="str">
        <f t="shared" si="76"/>
        <v>insert into ins_premium_det (premium_rcv_code,assorted_code, rec_amount,premium_rcv_detail_code,remaining_amt, payrec, mode_code,coinsurance_code,class_cd,it_remarks) values</v>
      </c>
      <c r="G1230" s="11" t="str">
        <f t="shared" si="78"/>
        <v>('28Nov240101','040000112378','0',(select max(to_number(i.premium_rcv_detail_code))+1
from ins_premium_det i),'0','0','02', '11000003','00','Request by Mr. Omair Ali 29-Nov-2024');</v>
      </c>
      <c r="H1230" s="12" t="str">
        <f t="shared" si="79"/>
        <v>insert into ins_premium_det (premium_rcv_code,assorted_code, rec_amount,premium_rcv_detail_code,remaining_amt, payrec, mode_code,coinsurance_code,class_cd,it_remarks) values('28Nov240101','040000112378','0',(select max(to_number(i.premium_rcv_detail_code))+1
from ins_premium_det i),'0','0','02', '11000003','00','Request by Mr. Omair Ali 29-Nov-2024');</v>
      </c>
    </row>
    <row r="1231" spans="1:8" ht="105" x14ac:dyDescent="0.25">
      <c r="A1231" t="s">
        <v>1231</v>
      </c>
      <c r="B1231" s="8" t="str">
        <f>VLOOKUP(A1231,assortedcode!B:C,2,0)</f>
        <v>040000108399</v>
      </c>
      <c r="C1231" s="1">
        <v>0</v>
      </c>
      <c r="D1231" s="9">
        <f t="shared" si="77"/>
        <v>0</v>
      </c>
      <c r="E1231" s="7" t="s">
        <v>8345</v>
      </c>
      <c r="F1231" s="10" t="str">
        <f t="shared" si="76"/>
        <v>insert into ins_premium_det (premium_rcv_code,assorted_code, rec_amount,premium_rcv_detail_code,remaining_amt, payrec, mode_code,coinsurance_code,class_cd,it_remarks) values</v>
      </c>
      <c r="G1231" s="11" t="str">
        <f t="shared" si="78"/>
        <v>('28Nov240101','040000108399','0',(select max(to_number(i.premium_rcv_detail_code))+1
from ins_premium_det i),'0','0','02', '11000003','00','Request by Mr. Omair Ali 29-Nov-2024');</v>
      </c>
      <c r="H1231" s="12" t="str">
        <f t="shared" si="79"/>
        <v>insert into ins_premium_det (premium_rcv_code,assorted_code, rec_amount,premium_rcv_detail_code,remaining_amt, payrec, mode_code,coinsurance_code,class_cd,it_remarks) values('28Nov240101','040000108399','0',(select max(to_number(i.premium_rcv_detail_code))+1
from ins_premium_det i),'0','0','02', '11000003','00','Request by Mr. Omair Ali 29-Nov-2024');</v>
      </c>
    </row>
    <row r="1232" spans="1:8" ht="105" x14ac:dyDescent="0.25">
      <c r="A1232" t="s">
        <v>1232</v>
      </c>
      <c r="B1232" s="8" t="str">
        <f>VLOOKUP(A1232,assortedcode!B:C,2,0)</f>
        <v>040000112388</v>
      </c>
      <c r="C1232" s="1">
        <v>0</v>
      </c>
      <c r="D1232" s="9">
        <f t="shared" si="77"/>
        <v>0</v>
      </c>
      <c r="E1232" s="7" t="s">
        <v>8345</v>
      </c>
      <c r="F1232" s="10" t="str">
        <f t="shared" si="76"/>
        <v>insert into ins_premium_det (premium_rcv_code,assorted_code, rec_amount,premium_rcv_detail_code,remaining_amt, payrec, mode_code,coinsurance_code,class_cd,it_remarks) values</v>
      </c>
      <c r="G1232" s="11" t="str">
        <f t="shared" si="78"/>
        <v>('28Nov240101','040000112388','0',(select max(to_number(i.premium_rcv_detail_code))+1
from ins_premium_det i),'0','0','02', '11000003','00','Request by Mr. Omair Ali 29-Nov-2024');</v>
      </c>
      <c r="H1232" s="12" t="str">
        <f t="shared" si="79"/>
        <v>insert into ins_premium_det (premium_rcv_code,assorted_code, rec_amount,premium_rcv_detail_code,remaining_amt, payrec, mode_code,coinsurance_code,class_cd,it_remarks) values('28Nov240101','040000112388','0',(select max(to_number(i.premium_rcv_detail_code))+1
from ins_premium_det i),'0','0','02', '11000003','00','Request by Mr. Omair Ali 29-Nov-2024');</v>
      </c>
    </row>
    <row r="1233" spans="1:8" ht="105" x14ac:dyDescent="0.25">
      <c r="A1233" t="s">
        <v>1233</v>
      </c>
      <c r="B1233" s="8" t="str">
        <f>VLOOKUP(A1233,assortedcode!B:C,2,0)</f>
        <v>040000134657</v>
      </c>
      <c r="C1233" s="1">
        <v>0</v>
      </c>
      <c r="D1233" s="9">
        <f t="shared" si="77"/>
        <v>0</v>
      </c>
      <c r="E1233" s="7" t="s">
        <v>8345</v>
      </c>
      <c r="F1233" s="10" t="str">
        <f t="shared" si="76"/>
        <v>insert into ins_premium_det (premium_rcv_code,assorted_code, rec_amount,premium_rcv_detail_code,remaining_amt, payrec, mode_code,coinsurance_code,class_cd,it_remarks) values</v>
      </c>
      <c r="G1233" s="11" t="str">
        <f t="shared" si="78"/>
        <v>('28Nov240101','040000134657','0',(select max(to_number(i.premium_rcv_detail_code))+1
from ins_premium_det i),'0','0','02', '11000003','00','Request by Mr. Omair Ali 29-Nov-2024');</v>
      </c>
      <c r="H1233" s="12" t="str">
        <f t="shared" si="79"/>
        <v>insert into ins_premium_det (premium_rcv_code,assorted_code, rec_amount,premium_rcv_detail_code,remaining_amt, payrec, mode_code,coinsurance_code,class_cd,it_remarks) values('28Nov240101','040000134657','0',(select max(to_number(i.premium_rcv_detail_code))+1
from ins_premium_det i),'0','0','02', '11000003','00','Request by Mr. Omair Ali 29-Nov-2024');</v>
      </c>
    </row>
    <row r="1234" spans="1:8" ht="105" x14ac:dyDescent="0.25">
      <c r="A1234" t="s">
        <v>1234</v>
      </c>
      <c r="B1234" s="8" t="str">
        <f>VLOOKUP(A1234,assortedcode!B:C,2,0)</f>
        <v>040000107578</v>
      </c>
      <c r="C1234" s="1">
        <v>0</v>
      </c>
      <c r="D1234" s="9">
        <f t="shared" si="77"/>
        <v>0</v>
      </c>
      <c r="E1234" s="7" t="s">
        <v>8345</v>
      </c>
      <c r="F1234" s="10" t="str">
        <f t="shared" si="76"/>
        <v>insert into ins_premium_det (premium_rcv_code,assorted_code, rec_amount,premium_rcv_detail_code,remaining_amt, payrec, mode_code,coinsurance_code,class_cd,it_remarks) values</v>
      </c>
      <c r="G1234" s="11" t="str">
        <f t="shared" si="78"/>
        <v>('28Nov240101','040000107578','0',(select max(to_number(i.premium_rcv_detail_code))+1
from ins_premium_det i),'0','0','02', '11000003','00','Request by Mr. Omair Ali 29-Nov-2024');</v>
      </c>
      <c r="H1234" s="12" t="str">
        <f t="shared" si="79"/>
        <v>insert into ins_premium_det (premium_rcv_code,assorted_code, rec_amount,premium_rcv_detail_code,remaining_amt, payrec, mode_code,coinsurance_code,class_cd,it_remarks) values('28Nov240101','040000107578','0',(select max(to_number(i.premium_rcv_detail_code))+1
from ins_premium_det i),'0','0','02', '11000003','00','Request by Mr. Omair Ali 29-Nov-2024');</v>
      </c>
    </row>
    <row r="1235" spans="1:8" ht="105" x14ac:dyDescent="0.25">
      <c r="A1235" t="s">
        <v>1235</v>
      </c>
      <c r="B1235" s="8" t="str">
        <f>VLOOKUP(A1235,assortedcode!B:C,2,0)</f>
        <v>040000136156</v>
      </c>
      <c r="C1235" s="1">
        <v>0</v>
      </c>
      <c r="D1235" s="9">
        <f t="shared" si="77"/>
        <v>0</v>
      </c>
      <c r="E1235" s="7" t="s">
        <v>8345</v>
      </c>
      <c r="F1235" s="10" t="str">
        <f t="shared" si="76"/>
        <v>insert into ins_premium_det (premium_rcv_code,assorted_code, rec_amount,premium_rcv_detail_code,remaining_amt, payrec, mode_code,coinsurance_code,class_cd,it_remarks) values</v>
      </c>
      <c r="G1235" s="11" t="str">
        <f t="shared" si="78"/>
        <v>('28Nov240101','040000136156','0',(select max(to_number(i.premium_rcv_detail_code))+1
from ins_premium_det i),'0','0','02', '11000003','00','Request by Mr. Omair Ali 29-Nov-2024');</v>
      </c>
      <c r="H1235" s="12" t="str">
        <f t="shared" si="79"/>
        <v>insert into ins_premium_det (premium_rcv_code,assorted_code, rec_amount,premium_rcv_detail_code,remaining_amt, payrec, mode_code,coinsurance_code,class_cd,it_remarks) values('28Nov240101','040000136156','0',(select max(to_number(i.premium_rcv_detail_code))+1
from ins_premium_det i),'0','0','02', '11000003','00','Request by Mr. Omair Ali 29-Nov-2024');</v>
      </c>
    </row>
    <row r="1236" spans="1:8" ht="105" x14ac:dyDescent="0.25">
      <c r="A1236" t="s">
        <v>1236</v>
      </c>
      <c r="B1236" s="8" t="str">
        <f>VLOOKUP(A1236,assortedcode!B:C,2,0)</f>
        <v>040000113791</v>
      </c>
      <c r="C1236" s="1">
        <v>0</v>
      </c>
      <c r="D1236" s="9">
        <f t="shared" si="77"/>
        <v>0</v>
      </c>
      <c r="E1236" s="7" t="s">
        <v>8345</v>
      </c>
      <c r="F1236" s="10" t="str">
        <f t="shared" si="76"/>
        <v>insert into ins_premium_det (premium_rcv_code,assorted_code, rec_amount,premium_rcv_detail_code,remaining_amt, payrec, mode_code,coinsurance_code,class_cd,it_remarks) values</v>
      </c>
      <c r="G1236" s="11" t="str">
        <f t="shared" si="78"/>
        <v>('28Nov240101','040000113791','0',(select max(to_number(i.premium_rcv_detail_code))+1
from ins_premium_det i),'0','0','02', '11000003','00','Request by Mr. Omair Ali 29-Nov-2024');</v>
      </c>
      <c r="H1236" s="12" t="str">
        <f t="shared" si="79"/>
        <v>insert into ins_premium_det (premium_rcv_code,assorted_code, rec_amount,premium_rcv_detail_code,remaining_amt, payrec, mode_code,coinsurance_code,class_cd,it_remarks) values('28Nov240101','040000113791','0',(select max(to_number(i.premium_rcv_detail_code))+1
from ins_premium_det i),'0','0','02', '11000003','00','Request by Mr. Omair Ali 29-Nov-2024');</v>
      </c>
    </row>
    <row r="1237" spans="1:8" ht="105" x14ac:dyDescent="0.25">
      <c r="A1237" t="s">
        <v>1237</v>
      </c>
      <c r="B1237" s="8" t="str">
        <f>VLOOKUP(A1237,assortedcode!B:C,2,0)</f>
        <v>040000139040</v>
      </c>
      <c r="C1237" s="1">
        <v>0</v>
      </c>
      <c r="D1237" s="9">
        <f t="shared" si="77"/>
        <v>0</v>
      </c>
      <c r="E1237" s="7" t="s">
        <v>8345</v>
      </c>
      <c r="F1237" s="10" t="str">
        <f t="shared" si="76"/>
        <v>insert into ins_premium_det (premium_rcv_code,assorted_code, rec_amount,premium_rcv_detail_code,remaining_amt, payrec, mode_code,coinsurance_code,class_cd,it_remarks) values</v>
      </c>
      <c r="G1237" s="11" t="str">
        <f t="shared" si="78"/>
        <v>('28Nov240101','040000139040','0',(select max(to_number(i.premium_rcv_detail_code))+1
from ins_premium_det i),'0','0','02', '11000003','00','Request by Mr. Omair Ali 29-Nov-2024');</v>
      </c>
      <c r="H1237" s="12" t="str">
        <f t="shared" si="79"/>
        <v>insert into ins_premium_det (premium_rcv_code,assorted_code, rec_amount,premium_rcv_detail_code,remaining_amt, payrec, mode_code,coinsurance_code,class_cd,it_remarks) values('28Nov240101','040000139040','0',(select max(to_number(i.premium_rcv_detail_code))+1
from ins_premium_det i),'0','0','02', '11000003','00','Request by Mr. Omair Ali 29-Nov-2024');</v>
      </c>
    </row>
    <row r="1238" spans="1:8" ht="105" x14ac:dyDescent="0.25">
      <c r="A1238" t="s">
        <v>1238</v>
      </c>
      <c r="B1238" s="8" t="str">
        <f>VLOOKUP(A1238,assortedcode!B:C,2,0)</f>
        <v>040000113945</v>
      </c>
      <c r="C1238" s="1">
        <v>0</v>
      </c>
      <c r="D1238" s="9">
        <f t="shared" si="77"/>
        <v>0</v>
      </c>
      <c r="E1238" s="7" t="s">
        <v>8345</v>
      </c>
      <c r="F1238" s="10" t="str">
        <f t="shared" si="76"/>
        <v>insert into ins_premium_det (premium_rcv_code,assorted_code, rec_amount,premium_rcv_detail_code,remaining_amt, payrec, mode_code,coinsurance_code,class_cd,it_remarks) values</v>
      </c>
      <c r="G1238" s="11" t="str">
        <f t="shared" si="78"/>
        <v>('28Nov240101','040000113945','0',(select max(to_number(i.premium_rcv_detail_code))+1
from ins_premium_det i),'0','0','02', '11000003','00','Request by Mr. Omair Ali 29-Nov-2024');</v>
      </c>
      <c r="H1238" s="12" t="str">
        <f t="shared" si="79"/>
        <v>insert into ins_premium_det (premium_rcv_code,assorted_code, rec_amount,premium_rcv_detail_code,remaining_amt, payrec, mode_code,coinsurance_code,class_cd,it_remarks) values('28Nov240101','040000113945','0',(select max(to_number(i.premium_rcv_detail_code))+1
from ins_premium_det i),'0','0','02', '11000003','00','Request by Mr. Omair Ali 29-Nov-2024');</v>
      </c>
    </row>
    <row r="1239" spans="1:8" ht="105" x14ac:dyDescent="0.25">
      <c r="A1239" t="s">
        <v>1239</v>
      </c>
      <c r="B1239" s="8" t="str">
        <f>VLOOKUP(A1239,assortedcode!B:C,2,0)</f>
        <v>040000141314</v>
      </c>
      <c r="C1239" s="1">
        <v>0</v>
      </c>
      <c r="D1239" s="9">
        <f t="shared" si="77"/>
        <v>0</v>
      </c>
      <c r="E1239" s="7" t="s">
        <v>8345</v>
      </c>
      <c r="F1239" s="10" t="str">
        <f t="shared" si="76"/>
        <v>insert into ins_premium_det (premium_rcv_code,assorted_code, rec_amount,premium_rcv_detail_code,remaining_amt, payrec, mode_code,coinsurance_code,class_cd,it_remarks) values</v>
      </c>
      <c r="G1239" s="11" t="str">
        <f t="shared" si="78"/>
        <v>('28Nov240101','040000141314','0',(select max(to_number(i.premium_rcv_detail_code))+1
from ins_premium_det i),'0','0','02', '11000003','00','Request by Mr. Omair Ali 29-Nov-2024');</v>
      </c>
      <c r="H1239" s="12" t="str">
        <f t="shared" si="79"/>
        <v>insert into ins_premium_det (premium_rcv_code,assorted_code, rec_amount,premium_rcv_detail_code,remaining_amt, payrec, mode_code,coinsurance_code,class_cd,it_remarks) values('28Nov240101','040000141314','0',(select max(to_number(i.premium_rcv_detail_code))+1
from ins_premium_det i),'0','0','02', '11000003','00','Request by Mr. Omair Ali 29-Nov-2024');</v>
      </c>
    </row>
    <row r="1240" spans="1:8" ht="105" x14ac:dyDescent="0.25">
      <c r="A1240" t="s">
        <v>1240</v>
      </c>
      <c r="B1240" s="8" t="str">
        <f>VLOOKUP(A1240,assortedcode!B:C,2,0)</f>
        <v>040000114308</v>
      </c>
      <c r="C1240" s="1">
        <v>0</v>
      </c>
      <c r="D1240" s="9">
        <f t="shared" si="77"/>
        <v>0</v>
      </c>
      <c r="E1240" s="7" t="s">
        <v>8345</v>
      </c>
      <c r="F1240" s="10" t="str">
        <f t="shared" si="76"/>
        <v>insert into ins_premium_det (premium_rcv_code,assorted_code, rec_amount,premium_rcv_detail_code,remaining_amt, payrec, mode_code,coinsurance_code,class_cd,it_remarks) values</v>
      </c>
      <c r="G1240" s="11" t="str">
        <f t="shared" si="78"/>
        <v>('28Nov240101','040000114308','0',(select max(to_number(i.premium_rcv_detail_code))+1
from ins_premium_det i),'0','0','02', '11000003','00','Request by Mr. Omair Ali 29-Nov-2024');</v>
      </c>
      <c r="H1240" s="12" t="str">
        <f t="shared" si="79"/>
        <v>insert into ins_premium_det (premium_rcv_code,assorted_code, rec_amount,premium_rcv_detail_code,remaining_amt, payrec, mode_code,coinsurance_code,class_cd,it_remarks) values('28Nov240101','040000114308','0',(select max(to_number(i.premium_rcv_detail_code))+1
from ins_premium_det i),'0','0','02', '11000003','00','Request by Mr. Omair Ali 29-Nov-2024');</v>
      </c>
    </row>
    <row r="1241" spans="1:8" ht="105" x14ac:dyDescent="0.25">
      <c r="A1241" t="s">
        <v>1241</v>
      </c>
      <c r="B1241" s="8" t="str">
        <f>VLOOKUP(A1241,assortedcode!B:C,2,0)</f>
        <v>040000108966</v>
      </c>
      <c r="C1241" s="1">
        <v>0</v>
      </c>
      <c r="D1241" s="9">
        <f t="shared" si="77"/>
        <v>0</v>
      </c>
      <c r="E1241" s="7" t="s">
        <v>8345</v>
      </c>
      <c r="F1241" s="10" t="str">
        <f t="shared" si="76"/>
        <v>insert into ins_premium_det (premium_rcv_code,assorted_code, rec_amount,premium_rcv_detail_code,remaining_amt, payrec, mode_code,coinsurance_code,class_cd,it_remarks) values</v>
      </c>
      <c r="G1241" s="11" t="str">
        <f t="shared" si="78"/>
        <v>('28Nov240101','040000108966','0',(select max(to_number(i.premium_rcv_detail_code))+1
from ins_premium_det i),'0','0','02', '11000003','00','Request by Mr. Omair Ali 29-Nov-2024');</v>
      </c>
      <c r="H1241" s="12" t="str">
        <f t="shared" si="79"/>
        <v>insert into ins_premium_det (premium_rcv_code,assorted_code, rec_amount,premium_rcv_detail_code,remaining_amt, payrec, mode_code,coinsurance_code,class_cd,it_remarks) values('28Nov240101','040000108966','0',(select max(to_number(i.premium_rcv_detail_code))+1
from ins_premium_det i),'0','0','02', '11000003','00','Request by Mr. Omair Ali 29-Nov-2024');</v>
      </c>
    </row>
    <row r="1242" spans="1:8" ht="105" x14ac:dyDescent="0.25">
      <c r="A1242" t="s">
        <v>1242</v>
      </c>
      <c r="B1242" s="8" t="str">
        <f>VLOOKUP(A1242,assortedcode!B:C,2,0)</f>
        <v>040000114471</v>
      </c>
      <c r="C1242" s="1">
        <v>0</v>
      </c>
      <c r="D1242" s="9">
        <f t="shared" si="77"/>
        <v>0</v>
      </c>
      <c r="E1242" s="7" t="s">
        <v>8345</v>
      </c>
      <c r="F1242" s="10" t="str">
        <f t="shared" si="76"/>
        <v>insert into ins_premium_det (premium_rcv_code,assorted_code, rec_amount,premium_rcv_detail_code,remaining_amt, payrec, mode_code,coinsurance_code,class_cd,it_remarks) values</v>
      </c>
      <c r="G1242" s="11" t="str">
        <f t="shared" si="78"/>
        <v>('28Nov240101','040000114471','0',(select max(to_number(i.premium_rcv_detail_code))+1
from ins_premium_det i),'0','0','02', '11000003','00','Request by Mr. Omair Ali 29-Nov-2024');</v>
      </c>
      <c r="H1242" s="12" t="str">
        <f t="shared" si="79"/>
        <v>insert into ins_premium_det (premium_rcv_code,assorted_code, rec_amount,premium_rcv_detail_code,remaining_amt, payrec, mode_code,coinsurance_code,class_cd,it_remarks) values('28Nov240101','040000114471','0',(select max(to_number(i.premium_rcv_detail_code))+1
from ins_premium_det i),'0','0','02', '11000003','00','Request by Mr. Omair Ali 29-Nov-2024');</v>
      </c>
    </row>
    <row r="1243" spans="1:8" ht="105" x14ac:dyDescent="0.25">
      <c r="A1243" t="s">
        <v>1243</v>
      </c>
      <c r="B1243" s="8" t="str">
        <f>VLOOKUP(A1243,assortedcode!B:C,2,0)</f>
        <v>040000109008</v>
      </c>
      <c r="C1243" s="1">
        <v>0</v>
      </c>
      <c r="D1243" s="9">
        <f t="shared" si="77"/>
        <v>0</v>
      </c>
      <c r="E1243" s="7" t="s">
        <v>8345</v>
      </c>
      <c r="F1243" s="10" t="str">
        <f t="shared" si="76"/>
        <v>insert into ins_premium_det (premium_rcv_code,assorted_code, rec_amount,premium_rcv_detail_code,remaining_amt, payrec, mode_code,coinsurance_code,class_cd,it_remarks) values</v>
      </c>
      <c r="G1243" s="11" t="str">
        <f t="shared" si="78"/>
        <v>('28Nov240101','040000109008','0',(select max(to_number(i.premium_rcv_detail_code))+1
from ins_premium_det i),'0','0','02', '11000003','00','Request by Mr. Omair Ali 29-Nov-2024');</v>
      </c>
      <c r="H1243" s="12" t="str">
        <f t="shared" si="79"/>
        <v>insert into ins_premium_det (premium_rcv_code,assorted_code, rec_amount,premium_rcv_detail_code,remaining_amt, payrec, mode_code,coinsurance_code,class_cd,it_remarks) values('28Nov240101','040000109008','0',(select max(to_number(i.premium_rcv_detail_code))+1
from ins_premium_det i),'0','0','02', '11000003','00','Request by Mr. Omair Ali 29-Nov-2024');</v>
      </c>
    </row>
    <row r="1244" spans="1:8" ht="105" x14ac:dyDescent="0.25">
      <c r="A1244" t="s">
        <v>1244</v>
      </c>
      <c r="B1244" s="8" t="str">
        <f>VLOOKUP(A1244,assortedcode!B:C,2,0)</f>
        <v>040000115452</v>
      </c>
      <c r="C1244" s="1">
        <v>0</v>
      </c>
      <c r="D1244" s="9">
        <f t="shared" si="77"/>
        <v>0</v>
      </c>
      <c r="E1244" s="7" t="s">
        <v>8345</v>
      </c>
      <c r="F1244" s="10" t="str">
        <f t="shared" si="76"/>
        <v>insert into ins_premium_det (premium_rcv_code,assorted_code, rec_amount,premium_rcv_detail_code,remaining_amt, payrec, mode_code,coinsurance_code,class_cd,it_remarks) values</v>
      </c>
      <c r="G1244" s="11" t="str">
        <f t="shared" si="78"/>
        <v>('28Nov240101','040000115452','0',(select max(to_number(i.premium_rcv_detail_code))+1
from ins_premium_det i),'0','0','02', '11000003','00','Request by Mr. Omair Ali 29-Nov-2024');</v>
      </c>
      <c r="H1244" s="12" t="str">
        <f t="shared" si="79"/>
        <v>insert into ins_premium_det (premium_rcv_code,assorted_code, rec_amount,premium_rcv_detail_code,remaining_amt, payrec, mode_code,coinsurance_code,class_cd,it_remarks) values('28Nov240101','040000115452','0',(select max(to_number(i.premium_rcv_detail_code))+1
from ins_premium_det i),'0','0','02', '11000003','00','Request by Mr. Omair Ali 29-Nov-2024');</v>
      </c>
    </row>
    <row r="1245" spans="1:8" ht="105" x14ac:dyDescent="0.25">
      <c r="A1245" t="s">
        <v>1245</v>
      </c>
      <c r="B1245" s="8" t="str">
        <f>VLOOKUP(A1245,assortedcode!B:C,2,0)</f>
        <v>040000142362</v>
      </c>
      <c r="C1245" s="1">
        <v>0</v>
      </c>
      <c r="D1245" s="9">
        <f t="shared" si="77"/>
        <v>0</v>
      </c>
      <c r="E1245" s="7" t="s">
        <v>8345</v>
      </c>
      <c r="F1245" s="10" t="str">
        <f t="shared" si="76"/>
        <v>insert into ins_premium_det (premium_rcv_code,assorted_code, rec_amount,premium_rcv_detail_code,remaining_amt, payrec, mode_code,coinsurance_code,class_cd,it_remarks) values</v>
      </c>
      <c r="G1245" s="11" t="str">
        <f t="shared" si="78"/>
        <v>('28Nov240101','040000142362','0',(select max(to_number(i.premium_rcv_detail_code))+1
from ins_premium_det i),'0','0','02', '11000003','00','Request by Mr. Omair Ali 29-Nov-2024');</v>
      </c>
      <c r="H1245" s="12" t="str">
        <f t="shared" si="79"/>
        <v>insert into ins_premium_det (premium_rcv_code,assorted_code, rec_amount,premium_rcv_detail_code,remaining_amt, payrec, mode_code,coinsurance_code,class_cd,it_remarks) values('28Nov240101','040000142362','0',(select max(to_number(i.premium_rcv_detail_code))+1
from ins_premium_det i),'0','0','02', '11000003','00','Request by Mr. Omair Ali 29-Nov-2024');</v>
      </c>
    </row>
    <row r="1246" spans="1:8" ht="105" x14ac:dyDescent="0.25">
      <c r="A1246" t="s">
        <v>1246</v>
      </c>
      <c r="B1246" s="8" t="str">
        <f>VLOOKUP(A1246,assortedcode!B:C,2,0)</f>
        <v>040000145529</v>
      </c>
      <c r="C1246" s="1">
        <v>0</v>
      </c>
      <c r="D1246" s="9">
        <f t="shared" si="77"/>
        <v>0</v>
      </c>
      <c r="E1246" s="7" t="s">
        <v>8345</v>
      </c>
      <c r="F1246" s="10" t="str">
        <f t="shared" si="76"/>
        <v>insert into ins_premium_det (premium_rcv_code,assorted_code, rec_amount,premium_rcv_detail_code,remaining_amt, payrec, mode_code,coinsurance_code,class_cd,it_remarks) values</v>
      </c>
      <c r="G1246" s="11" t="str">
        <f t="shared" si="78"/>
        <v>('28Nov240101','040000145529','0',(select max(to_number(i.premium_rcv_detail_code))+1
from ins_premium_det i),'0','0','02', '11000003','00','Request by Mr. Omair Ali 29-Nov-2024');</v>
      </c>
      <c r="H1246" s="12" t="str">
        <f t="shared" si="79"/>
        <v>insert into ins_premium_det (premium_rcv_code,assorted_code, rec_amount,premium_rcv_detail_code,remaining_amt, payrec, mode_code,coinsurance_code,class_cd,it_remarks) values('28Nov240101','040000145529','0',(select max(to_number(i.premium_rcv_detail_code))+1
from ins_premium_det i),'0','0','02', '11000003','00','Request by Mr. Omair Ali 29-Nov-2024');</v>
      </c>
    </row>
    <row r="1247" spans="1:8" ht="105" x14ac:dyDescent="0.25">
      <c r="A1247" t="s">
        <v>1247</v>
      </c>
      <c r="B1247" s="8" t="str">
        <f>VLOOKUP(A1247,assortedcode!B:C,2,0)</f>
        <v>040000109068</v>
      </c>
      <c r="C1247" s="1">
        <v>0</v>
      </c>
      <c r="D1247" s="9">
        <f t="shared" si="77"/>
        <v>0</v>
      </c>
      <c r="E1247" s="7" t="s">
        <v>8345</v>
      </c>
      <c r="F1247" s="10" t="str">
        <f t="shared" si="76"/>
        <v>insert into ins_premium_det (premium_rcv_code,assorted_code, rec_amount,premium_rcv_detail_code,remaining_amt, payrec, mode_code,coinsurance_code,class_cd,it_remarks) values</v>
      </c>
      <c r="G1247" s="11" t="str">
        <f t="shared" si="78"/>
        <v>('28Nov240101','040000109068','0',(select max(to_number(i.premium_rcv_detail_code))+1
from ins_premium_det i),'0','0','02', '11000003','00','Request by Mr. Omair Ali 29-Nov-2024');</v>
      </c>
      <c r="H1247" s="12" t="str">
        <f t="shared" si="79"/>
        <v>insert into ins_premium_det (premium_rcv_code,assorted_code, rec_amount,premium_rcv_detail_code,remaining_amt, payrec, mode_code,coinsurance_code,class_cd,it_remarks) values('28Nov240101','040000109068','0',(select max(to_number(i.premium_rcv_detail_code))+1
from ins_premium_det i),'0','0','02', '11000003','00','Request by Mr. Omair Ali 29-Nov-2024');</v>
      </c>
    </row>
    <row r="1248" spans="1:8" ht="105" x14ac:dyDescent="0.25">
      <c r="A1248" t="s">
        <v>1248</v>
      </c>
      <c r="B1248" s="8" t="str">
        <f>VLOOKUP(A1248,assortedcode!B:C,2,0)</f>
        <v>040000145535</v>
      </c>
      <c r="C1248" s="1">
        <v>0</v>
      </c>
      <c r="D1248" s="9">
        <f t="shared" si="77"/>
        <v>0</v>
      </c>
      <c r="E1248" s="7" t="s">
        <v>8345</v>
      </c>
      <c r="F1248" s="10" t="str">
        <f t="shared" si="76"/>
        <v>insert into ins_premium_det (premium_rcv_code,assorted_code, rec_amount,premium_rcv_detail_code,remaining_amt, payrec, mode_code,coinsurance_code,class_cd,it_remarks) values</v>
      </c>
      <c r="G1248" s="11" t="str">
        <f t="shared" si="78"/>
        <v>('28Nov240101','040000145535','0',(select max(to_number(i.premium_rcv_detail_code))+1
from ins_premium_det i),'0','0','02', '11000003','00','Request by Mr. Omair Ali 29-Nov-2024');</v>
      </c>
      <c r="H1248" s="12" t="str">
        <f t="shared" si="79"/>
        <v>insert into ins_premium_det (premium_rcv_code,assorted_code, rec_amount,premium_rcv_detail_code,remaining_amt, payrec, mode_code,coinsurance_code,class_cd,it_remarks) values('28Nov240101','040000145535','0',(select max(to_number(i.premium_rcv_detail_code))+1
from ins_premium_det i),'0','0','02', '11000003','00','Request by Mr. Omair Ali 29-Nov-2024');</v>
      </c>
    </row>
    <row r="1249" spans="1:8" ht="105" x14ac:dyDescent="0.25">
      <c r="A1249" t="s">
        <v>1249</v>
      </c>
      <c r="B1249" s="8" t="str">
        <f>VLOOKUP(A1249,assortedcode!B:C,2,0)</f>
        <v>040000109084</v>
      </c>
      <c r="C1249" s="1">
        <v>0</v>
      </c>
      <c r="D1249" s="9">
        <f t="shared" si="77"/>
        <v>0</v>
      </c>
      <c r="E1249" s="7" t="s">
        <v>8345</v>
      </c>
      <c r="F1249" s="10" t="str">
        <f t="shared" si="76"/>
        <v>insert into ins_premium_det (premium_rcv_code,assorted_code, rec_amount,premium_rcv_detail_code,remaining_amt, payrec, mode_code,coinsurance_code,class_cd,it_remarks) values</v>
      </c>
      <c r="G1249" s="11" t="str">
        <f t="shared" si="78"/>
        <v>('28Nov240101','040000109084','0',(select max(to_number(i.premium_rcv_detail_code))+1
from ins_premium_det i),'0','0','02', '11000003','00','Request by Mr. Omair Ali 29-Nov-2024');</v>
      </c>
      <c r="H1249" s="12" t="str">
        <f t="shared" si="79"/>
        <v>insert into ins_premium_det (premium_rcv_code,assorted_code, rec_amount,premium_rcv_detail_code,remaining_amt, payrec, mode_code,coinsurance_code,class_cd,it_remarks) values('28Nov240101','040000109084','0',(select max(to_number(i.premium_rcv_detail_code))+1
from ins_premium_det i),'0','0','02', '11000003','00','Request by Mr. Omair Ali 29-Nov-2024');</v>
      </c>
    </row>
    <row r="1250" spans="1:8" ht="105" x14ac:dyDescent="0.25">
      <c r="A1250" t="s">
        <v>1250</v>
      </c>
      <c r="B1250" s="8" t="str">
        <f>VLOOKUP(A1250,assortedcode!B:C,2,0)</f>
        <v>040000145570</v>
      </c>
      <c r="C1250" s="1">
        <v>0</v>
      </c>
      <c r="D1250" s="9">
        <f t="shared" si="77"/>
        <v>0</v>
      </c>
      <c r="E1250" s="7" t="s">
        <v>8345</v>
      </c>
      <c r="F1250" s="10" t="str">
        <f t="shared" si="76"/>
        <v>insert into ins_premium_det (premium_rcv_code,assorted_code, rec_amount,premium_rcv_detail_code,remaining_amt, payrec, mode_code,coinsurance_code,class_cd,it_remarks) values</v>
      </c>
      <c r="G1250" s="11" t="str">
        <f t="shared" si="78"/>
        <v>('28Nov240101','040000145570','0',(select max(to_number(i.premium_rcv_detail_code))+1
from ins_premium_det i),'0','0','02', '11000003','00','Request by Mr. Omair Ali 29-Nov-2024');</v>
      </c>
      <c r="H1250" s="12" t="str">
        <f t="shared" si="79"/>
        <v>insert into ins_premium_det (premium_rcv_code,assorted_code, rec_amount,premium_rcv_detail_code,remaining_amt, payrec, mode_code,coinsurance_code,class_cd,it_remarks) values('28Nov240101','040000145570','0',(select max(to_number(i.premium_rcv_detail_code))+1
from ins_premium_det i),'0','0','02', '11000003','00','Request by Mr. Omair Ali 29-Nov-2024');</v>
      </c>
    </row>
    <row r="1251" spans="1:8" ht="105" x14ac:dyDescent="0.25">
      <c r="A1251" t="s">
        <v>1251</v>
      </c>
      <c r="B1251" s="8" t="str">
        <f>VLOOKUP(A1251,assortedcode!B:C,2,0)</f>
        <v>040000109704</v>
      </c>
      <c r="C1251" s="1">
        <v>0</v>
      </c>
      <c r="D1251" s="9">
        <f t="shared" si="77"/>
        <v>0</v>
      </c>
      <c r="E1251" s="7" t="s">
        <v>8345</v>
      </c>
      <c r="F1251" s="10" t="str">
        <f t="shared" si="76"/>
        <v>insert into ins_premium_det (premium_rcv_code,assorted_code, rec_amount,premium_rcv_detail_code,remaining_amt, payrec, mode_code,coinsurance_code,class_cd,it_remarks) values</v>
      </c>
      <c r="G1251" s="11" t="str">
        <f t="shared" si="78"/>
        <v>('28Nov240101','040000109704','0',(select max(to_number(i.premium_rcv_detail_code))+1
from ins_premium_det i),'0','0','02', '11000003','00','Request by Mr. Omair Ali 29-Nov-2024');</v>
      </c>
      <c r="H1251" s="12" t="str">
        <f t="shared" si="79"/>
        <v>insert into ins_premium_det (premium_rcv_code,assorted_code, rec_amount,premium_rcv_detail_code,remaining_amt, payrec, mode_code,coinsurance_code,class_cd,it_remarks) values('28Nov240101','040000109704','0',(select max(to_number(i.premium_rcv_detail_code))+1
from ins_premium_det i),'0','0','02', '11000003','00','Request by Mr. Omair Ali 29-Nov-2024');</v>
      </c>
    </row>
    <row r="1252" spans="1:8" ht="105" x14ac:dyDescent="0.25">
      <c r="A1252" t="s">
        <v>1252</v>
      </c>
      <c r="B1252" s="8" t="str">
        <f>VLOOKUP(A1252,assortedcode!B:C,2,0)</f>
        <v>040000145652</v>
      </c>
      <c r="C1252" s="1">
        <v>0</v>
      </c>
      <c r="D1252" s="9">
        <f t="shared" si="77"/>
        <v>0</v>
      </c>
      <c r="E1252" s="7" t="s">
        <v>8345</v>
      </c>
      <c r="F1252" s="10" t="str">
        <f t="shared" si="76"/>
        <v>insert into ins_premium_det (premium_rcv_code,assorted_code, rec_amount,premium_rcv_detail_code,remaining_amt, payrec, mode_code,coinsurance_code,class_cd,it_remarks) values</v>
      </c>
      <c r="G1252" s="11" t="str">
        <f t="shared" si="78"/>
        <v>('28Nov240101','040000145652','0',(select max(to_number(i.premium_rcv_detail_code))+1
from ins_premium_det i),'0','0','02', '11000003','00','Request by Mr. Omair Ali 29-Nov-2024');</v>
      </c>
      <c r="H1252" s="12" t="str">
        <f t="shared" si="79"/>
        <v>insert into ins_premium_det (premium_rcv_code,assorted_code, rec_amount,premium_rcv_detail_code,remaining_amt, payrec, mode_code,coinsurance_code,class_cd,it_remarks) values('28Nov240101','040000145652','0',(select max(to_number(i.premium_rcv_detail_code))+1
from ins_premium_det i),'0','0','02', '11000003','00','Request by Mr. Omair Ali 29-Nov-2024');</v>
      </c>
    </row>
    <row r="1253" spans="1:8" ht="105" x14ac:dyDescent="0.25">
      <c r="A1253" t="s">
        <v>1253</v>
      </c>
      <c r="B1253" s="8" t="str">
        <f>VLOOKUP(A1253,assortedcode!B:C,2,0)</f>
        <v>040000110027</v>
      </c>
      <c r="C1253" s="1">
        <v>0</v>
      </c>
      <c r="D1253" s="9">
        <f t="shared" si="77"/>
        <v>0</v>
      </c>
      <c r="E1253" s="7" t="s">
        <v>8345</v>
      </c>
      <c r="F1253" s="10" t="str">
        <f t="shared" si="76"/>
        <v>insert into ins_premium_det (premium_rcv_code,assorted_code, rec_amount,premium_rcv_detail_code,remaining_amt, payrec, mode_code,coinsurance_code,class_cd,it_remarks) values</v>
      </c>
      <c r="G1253" s="11" t="str">
        <f t="shared" si="78"/>
        <v>('28Nov240101','040000110027','0',(select max(to_number(i.premium_rcv_detail_code))+1
from ins_premium_det i),'0','0','02', '11000003','00','Request by Mr. Omair Ali 29-Nov-2024');</v>
      </c>
      <c r="H1253" s="12" t="str">
        <f t="shared" si="79"/>
        <v>insert into ins_premium_det (premium_rcv_code,assorted_code, rec_amount,premium_rcv_detail_code,remaining_amt, payrec, mode_code,coinsurance_code,class_cd,it_remarks) values('28Nov240101','040000110027','0',(select max(to_number(i.premium_rcv_detail_code))+1
from ins_premium_det i),'0','0','02', '11000003','00','Request by Mr. Omair Ali 29-Nov-2024');</v>
      </c>
    </row>
    <row r="1254" spans="1:8" ht="105" x14ac:dyDescent="0.25">
      <c r="A1254" t="s">
        <v>1254</v>
      </c>
      <c r="B1254" s="8" t="str">
        <f>VLOOKUP(A1254,assortedcode!B:C,2,0)</f>
        <v>040000145689</v>
      </c>
      <c r="C1254" s="1">
        <v>0</v>
      </c>
      <c r="D1254" s="9">
        <f t="shared" si="77"/>
        <v>0</v>
      </c>
      <c r="E1254" s="7" t="s">
        <v>8345</v>
      </c>
      <c r="F1254" s="10" t="str">
        <f t="shared" si="76"/>
        <v>insert into ins_premium_det (premium_rcv_code,assorted_code, rec_amount,premium_rcv_detail_code,remaining_amt, payrec, mode_code,coinsurance_code,class_cd,it_remarks) values</v>
      </c>
      <c r="G1254" s="11" t="str">
        <f t="shared" si="78"/>
        <v>('28Nov240101','040000145689','0',(select max(to_number(i.premium_rcv_detail_code))+1
from ins_premium_det i),'0','0','02', '11000003','00','Request by Mr. Omair Ali 29-Nov-2024');</v>
      </c>
      <c r="H1254" s="12" t="str">
        <f t="shared" si="79"/>
        <v>insert into ins_premium_det (premium_rcv_code,assorted_code, rec_amount,premium_rcv_detail_code,remaining_amt, payrec, mode_code,coinsurance_code,class_cd,it_remarks) values('28Nov240101','040000145689','0',(select max(to_number(i.premium_rcv_detail_code))+1
from ins_premium_det i),'0','0','02', '11000003','00','Request by Mr. Omair Ali 29-Nov-2024');</v>
      </c>
    </row>
    <row r="1255" spans="1:8" ht="105" x14ac:dyDescent="0.25">
      <c r="A1255" t="s">
        <v>1255</v>
      </c>
      <c r="B1255" s="8" t="str">
        <f>VLOOKUP(A1255,assortedcode!B:C,2,0)</f>
        <v>040000149796</v>
      </c>
      <c r="C1255" s="1">
        <v>0</v>
      </c>
      <c r="D1255" s="9">
        <f t="shared" si="77"/>
        <v>0</v>
      </c>
      <c r="E1255" s="7" t="s">
        <v>8345</v>
      </c>
      <c r="F1255" s="10" t="str">
        <f t="shared" si="76"/>
        <v>insert into ins_premium_det (premium_rcv_code,assorted_code, rec_amount,premium_rcv_detail_code,remaining_amt, payrec, mode_code,coinsurance_code,class_cd,it_remarks) values</v>
      </c>
      <c r="G1255" s="11" t="str">
        <f t="shared" si="78"/>
        <v>('28Nov240101','040000149796','0',(select max(to_number(i.premium_rcv_detail_code))+1
from ins_premium_det i),'0','0','02', '11000003','00','Request by Mr. Omair Ali 29-Nov-2024');</v>
      </c>
      <c r="H1255" s="12" t="str">
        <f t="shared" si="79"/>
        <v>insert into ins_premium_det (premium_rcv_code,assorted_code, rec_amount,premium_rcv_detail_code,remaining_amt, payrec, mode_code,coinsurance_code,class_cd,it_remarks) values('28Nov240101','040000149796','0',(select max(to_number(i.premium_rcv_detail_code))+1
from ins_premium_det i),'0','0','02', '11000003','00','Request by Mr. Omair Ali 29-Nov-2024');</v>
      </c>
    </row>
    <row r="1256" spans="1:8" ht="105" x14ac:dyDescent="0.25">
      <c r="A1256" t="s">
        <v>1256</v>
      </c>
      <c r="B1256" s="8" t="str">
        <f>VLOOKUP(A1256,assortedcode!B:C,2,0)</f>
        <v>040000145691</v>
      </c>
      <c r="C1256" s="1">
        <v>0</v>
      </c>
      <c r="D1256" s="9">
        <f t="shared" si="77"/>
        <v>0</v>
      </c>
      <c r="E1256" s="7" t="s">
        <v>8345</v>
      </c>
      <c r="F1256" s="10" t="str">
        <f t="shared" si="76"/>
        <v>insert into ins_premium_det (premium_rcv_code,assorted_code, rec_amount,premium_rcv_detail_code,remaining_amt, payrec, mode_code,coinsurance_code,class_cd,it_remarks) values</v>
      </c>
      <c r="G1256" s="11" t="str">
        <f t="shared" si="78"/>
        <v>('28Nov240101','040000145691','0',(select max(to_number(i.premium_rcv_detail_code))+1
from ins_premium_det i),'0','0','02', '11000003','00','Request by Mr. Omair Ali 29-Nov-2024');</v>
      </c>
      <c r="H1256" s="12" t="str">
        <f t="shared" si="79"/>
        <v>insert into ins_premium_det (premium_rcv_code,assorted_code, rec_amount,premium_rcv_detail_code,remaining_amt, payrec, mode_code,coinsurance_code,class_cd,it_remarks) values('28Nov240101','040000145691','0',(select max(to_number(i.premium_rcv_detail_code))+1
from ins_premium_det i),'0','0','02', '11000003','00','Request by Mr. Omair Ali 29-Nov-2024');</v>
      </c>
    </row>
    <row r="1257" spans="1:8" ht="105" x14ac:dyDescent="0.25">
      <c r="A1257" t="s">
        <v>1257</v>
      </c>
      <c r="B1257" s="8" t="str">
        <f>VLOOKUP(A1257,assortedcode!B:C,2,0)</f>
        <v>040000149869</v>
      </c>
      <c r="C1257" s="1">
        <v>0</v>
      </c>
      <c r="D1257" s="9">
        <f t="shared" si="77"/>
        <v>0</v>
      </c>
      <c r="E1257" s="7" t="s">
        <v>8345</v>
      </c>
      <c r="F1257" s="10" t="str">
        <f t="shared" si="76"/>
        <v>insert into ins_premium_det (premium_rcv_code,assorted_code, rec_amount,premium_rcv_detail_code,remaining_amt, payrec, mode_code,coinsurance_code,class_cd,it_remarks) values</v>
      </c>
      <c r="G1257" s="11" t="str">
        <f t="shared" si="78"/>
        <v>('28Nov240101','040000149869','0',(select max(to_number(i.premium_rcv_detail_code))+1
from ins_premium_det i),'0','0','02', '11000003','00','Request by Mr. Omair Ali 29-Nov-2024');</v>
      </c>
      <c r="H1257" s="12" t="str">
        <f t="shared" si="79"/>
        <v>insert into ins_premium_det (premium_rcv_code,assorted_code, rec_amount,premium_rcv_detail_code,remaining_amt, payrec, mode_code,coinsurance_code,class_cd,it_remarks) values('28Nov240101','040000149869','0',(select max(to_number(i.premium_rcv_detail_code))+1
from ins_premium_det i),'0','0','02', '11000003','00','Request by Mr. Omair Ali 29-Nov-2024');</v>
      </c>
    </row>
    <row r="1258" spans="1:8" ht="105" x14ac:dyDescent="0.25">
      <c r="A1258" t="s">
        <v>1258</v>
      </c>
      <c r="B1258" s="8" t="str">
        <f>VLOOKUP(A1258,assortedcode!B:C,2,0)</f>
        <v>040000145692</v>
      </c>
      <c r="C1258" s="1">
        <v>0</v>
      </c>
      <c r="D1258" s="9">
        <f t="shared" si="77"/>
        <v>0</v>
      </c>
      <c r="E1258" s="7" t="s">
        <v>8345</v>
      </c>
      <c r="F1258" s="10" t="str">
        <f t="shared" si="76"/>
        <v>insert into ins_premium_det (premium_rcv_code,assorted_code, rec_amount,premium_rcv_detail_code,remaining_amt, payrec, mode_code,coinsurance_code,class_cd,it_remarks) values</v>
      </c>
      <c r="G1258" s="11" t="str">
        <f t="shared" si="78"/>
        <v>('28Nov240101','040000145692','0',(select max(to_number(i.premium_rcv_detail_code))+1
from ins_premium_det i),'0','0','02', '11000003','00','Request by Mr. Omair Ali 29-Nov-2024');</v>
      </c>
      <c r="H1258" s="12" t="str">
        <f t="shared" si="79"/>
        <v>insert into ins_premium_det (premium_rcv_code,assorted_code, rec_amount,premium_rcv_detail_code,remaining_amt, payrec, mode_code,coinsurance_code,class_cd,it_remarks) values('28Nov240101','040000145692','0',(select max(to_number(i.premium_rcv_detail_code))+1
from ins_premium_det i),'0','0','02', '11000003','00','Request by Mr. Omair Ali 29-Nov-2024');</v>
      </c>
    </row>
    <row r="1259" spans="1:8" ht="105" x14ac:dyDescent="0.25">
      <c r="A1259" t="s">
        <v>1259</v>
      </c>
      <c r="B1259" s="8" t="str">
        <f>VLOOKUP(A1259,assortedcode!B:C,2,0)</f>
        <v>040000150134</v>
      </c>
      <c r="C1259" s="1">
        <v>0</v>
      </c>
      <c r="D1259" s="9">
        <f t="shared" si="77"/>
        <v>0</v>
      </c>
      <c r="E1259" s="7" t="s">
        <v>8345</v>
      </c>
      <c r="F1259" s="10" t="str">
        <f t="shared" si="76"/>
        <v>insert into ins_premium_det (premium_rcv_code,assorted_code, rec_amount,premium_rcv_detail_code,remaining_amt, payrec, mode_code,coinsurance_code,class_cd,it_remarks) values</v>
      </c>
      <c r="G1259" s="11" t="str">
        <f t="shared" si="78"/>
        <v>('28Nov240101','040000150134','0',(select max(to_number(i.premium_rcv_detail_code))+1
from ins_premium_det i),'0','0','02', '11000003','00','Request by Mr. Omair Ali 29-Nov-2024');</v>
      </c>
      <c r="H1259" s="12" t="str">
        <f t="shared" si="79"/>
        <v>insert into ins_premium_det (premium_rcv_code,assorted_code, rec_amount,premium_rcv_detail_code,remaining_amt, payrec, mode_code,coinsurance_code,class_cd,it_remarks) values('28Nov240101','040000150134','0',(select max(to_number(i.premium_rcv_detail_code))+1
from ins_premium_det i),'0','0','02', '11000003','00','Request by Mr. Omair Ali 29-Nov-2024');</v>
      </c>
    </row>
    <row r="1260" spans="1:8" ht="105" x14ac:dyDescent="0.25">
      <c r="A1260" t="s">
        <v>1260</v>
      </c>
      <c r="B1260" s="8" t="str">
        <f>VLOOKUP(A1260,assortedcode!B:C,2,0)</f>
        <v>040000145695</v>
      </c>
      <c r="C1260" s="1">
        <v>0</v>
      </c>
      <c r="D1260" s="9">
        <f t="shared" si="77"/>
        <v>0</v>
      </c>
      <c r="E1260" s="7" t="s">
        <v>8345</v>
      </c>
      <c r="F1260" s="10" t="str">
        <f t="shared" si="76"/>
        <v>insert into ins_premium_det (premium_rcv_code,assorted_code, rec_amount,premium_rcv_detail_code,remaining_amt, payrec, mode_code,coinsurance_code,class_cd,it_remarks) values</v>
      </c>
      <c r="G1260" s="11" t="str">
        <f t="shared" si="78"/>
        <v>('28Nov240101','040000145695','0',(select max(to_number(i.premium_rcv_detail_code))+1
from ins_premium_det i),'0','0','02', '11000003','00','Request by Mr. Omair Ali 29-Nov-2024');</v>
      </c>
      <c r="H1260" s="12" t="str">
        <f t="shared" si="79"/>
        <v>insert into ins_premium_det (premium_rcv_code,assorted_code, rec_amount,premium_rcv_detail_code,remaining_amt, payrec, mode_code,coinsurance_code,class_cd,it_remarks) values('28Nov240101','040000145695','0',(select max(to_number(i.premium_rcv_detail_code))+1
from ins_premium_det i),'0','0','02', '11000003','00','Request by Mr. Omair Ali 29-Nov-2024');</v>
      </c>
    </row>
    <row r="1261" spans="1:8" ht="105" x14ac:dyDescent="0.25">
      <c r="A1261" t="s">
        <v>1261</v>
      </c>
      <c r="B1261" s="8" t="str">
        <f>VLOOKUP(A1261,assortedcode!B:C,2,0)</f>
        <v>040000153434</v>
      </c>
      <c r="C1261" s="1">
        <v>0</v>
      </c>
      <c r="D1261" s="9">
        <f t="shared" si="77"/>
        <v>0</v>
      </c>
      <c r="E1261" s="7" t="s">
        <v>8345</v>
      </c>
      <c r="F1261" s="10" t="str">
        <f t="shared" si="76"/>
        <v>insert into ins_premium_det (premium_rcv_code,assorted_code, rec_amount,premium_rcv_detail_code,remaining_amt, payrec, mode_code,coinsurance_code,class_cd,it_remarks) values</v>
      </c>
      <c r="G1261" s="11" t="str">
        <f t="shared" si="78"/>
        <v>('28Nov240101','040000153434','0',(select max(to_number(i.premium_rcv_detail_code))+1
from ins_premium_det i),'0','0','02', '11000003','00','Request by Mr. Omair Ali 29-Nov-2024');</v>
      </c>
      <c r="H1261" s="12" t="str">
        <f t="shared" si="79"/>
        <v>insert into ins_premium_det (premium_rcv_code,assorted_code, rec_amount,premium_rcv_detail_code,remaining_amt, payrec, mode_code,coinsurance_code,class_cd,it_remarks) values('28Nov240101','040000153434','0',(select max(to_number(i.premium_rcv_detail_code))+1
from ins_premium_det i),'0','0','02', '11000003','00','Request by Mr. Omair Ali 29-Nov-2024');</v>
      </c>
    </row>
    <row r="1262" spans="1:8" ht="105" x14ac:dyDescent="0.25">
      <c r="A1262" t="s">
        <v>1262</v>
      </c>
      <c r="B1262" s="8" t="str">
        <f>VLOOKUP(A1262,assortedcode!B:C,2,0)</f>
        <v>040000149694</v>
      </c>
      <c r="C1262" s="1">
        <v>0</v>
      </c>
      <c r="D1262" s="9">
        <f t="shared" si="77"/>
        <v>0</v>
      </c>
      <c r="E1262" s="7" t="s">
        <v>8345</v>
      </c>
      <c r="F1262" s="10" t="str">
        <f t="shared" si="76"/>
        <v>insert into ins_premium_det (premium_rcv_code,assorted_code, rec_amount,premium_rcv_detail_code,remaining_amt, payrec, mode_code,coinsurance_code,class_cd,it_remarks) values</v>
      </c>
      <c r="G1262" s="11" t="str">
        <f t="shared" si="78"/>
        <v>('28Nov240101','040000149694','0',(select max(to_number(i.premium_rcv_detail_code))+1
from ins_premium_det i),'0','0','02', '11000003','00','Request by Mr. Omair Ali 29-Nov-2024');</v>
      </c>
      <c r="H1262" s="12" t="str">
        <f t="shared" si="79"/>
        <v>insert into ins_premium_det (premium_rcv_code,assorted_code, rec_amount,premium_rcv_detail_code,remaining_amt, payrec, mode_code,coinsurance_code,class_cd,it_remarks) values('28Nov240101','040000149694','0',(select max(to_number(i.premium_rcv_detail_code))+1
from ins_premium_det i),'0','0','02', '11000003','00','Request by Mr. Omair Ali 29-Nov-2024');</v>
      </c>
    </row>
    <row r="1263" spans="1:8" ht="105" x14ac:dyDescent="0.25">
      <c r="A1263" t="s">
        <v>1263</v>
      </c>
      <c r="B1263" s="8" t="str">
        <f>VLOOKUP(A1263,assortedcode!B:C,2,0)</f>
        <v>040000154265</v>
      </c>
      <c r="C1263" s="1">
        <v>0</v>
      </c>
      <c r="D1263" s="9">
        <f t="shared" si="77"/>
        <v>0</v>
      </c>
      <c r="E1263" s="7" t="s">
        <v>8345</v>
      </c>
      <c r="F1263" s="10" t="str">
        <f t="shared" si="76"/>
        <v>insert into ins_premium_det (premium_rcv_code,assorted_code, rec_amount,premium_rcv_detail_code,remaining_amt, payrec, mode_code,coinsurance_code,class_cd,it_remarks) values</v>
      </c>
      <c r="G1263" s="11" t="str">
        <f t="shared" si="78"/>
        <v>('28Nov240101','040000154265','0',(select max(to_number(i.premium_rcv_detail_code))+1
from ins_premium_det i),'0','0','02', '11000003','00','Request by Mr. Omair Ali 29-Nov-2024');</v>
      </c>
      <c r="H1263" s="12" t="str">
        <f t="shared" si="79"/>
        <v>insert into ins_premium_det (premium_rcv_code,assorted_code, rec_amount,premium_rcv_detail_code,remaining_amt, payrec, mode_code,coinsurance_code,class_cd,it_remarks) values('28Nov240101','040000154265','0',(select max(to_number(i.premium_rcv_detail_code))+1
from ins_premium_det i),'0','0','02', '11000003','00','Request by Mr. Omair Ali 29-Nov-2024');</v>
      </c>
    </row>
    <row r="1264" spans="1:8" ht="105" x14ac:dyDescent="0.25">
      <c r="A1264" t="s">
        <v>1264</v>
      </c>
      <c r="B1264" s="8" t="str">
        <f>VLOOKUP(A1264,assortedcode!B:C,2,0)</f>
        <v>040000149699</v>
      </c>
      <c r="C1264" s="1">
        <v>0</v>
      </c>
      <c r="D1264" s="9">
        <f t="shared" si="77"/>
        <v>0</v>
      </c>
      <c r="E1264" s="7" t="s">
        <v>8345</v>
      </c>
      <c r="F1264" s="10" t="str">
        <f t="shared" si="76"/>
        <v>insert into ins_premium_det (premium_rcv_code,assorted_code, rec_amount,premium_rcv_detail_code,remaining_amt, payrec, mode_code,coinsurance_code,class_cd,it_remarks) values</v>
      </c>
      <c r="G1264" s="11" t="str">
        <f t="shared" si="78"/>
        <v>('28Nov240101','040000149699','0',(select max(to_number(i.premium_rcv_detail_code))+1
from ins_premium_det i),'0','0','02', '11000003','00','Request by Mr. Omair Ali 29-Nov-2024');</v>
      </c>
      <c r="H1264" s="12" t="str">
        <f t="shared" si="79"/>
        <v>insert into ins_premium_det (premium_rcv_code,assorted_code, rec_amount,premium_rcv_detail_code,remaining_amt, payrec, mode_code,coinsurance_code,class_cd,it_remarks) values('28Nov240101','040000149699','0',(select max(to_number(i.premium_rcv_detail_code))+1
from ins_premium_det i),'0','0','02', '11000003','00','Request by Mr. Omair Ali 29-Nov-2024');</v>
      </c>
    </row>
    <row r="1265" spans="1:8" ht="105" x14ac:dyDescent="0.25">
      <c r="A1265" t="s">
        <v>1265</v>
      </c>
      <c r="B1265" s="8" t="str">
        <f>VLOOKUP(A1265,assortedcode!B:C,2,0)</f>
        <v>040000156561</v>
      </c>
      <c r="C1265" s="1">
        <v>0</v>
      </c>
      <c r="D1265" s="9">
        <f t="shared" si="77"/>
        <v>0</v>
      </c>
      <c r="E1265" s="7" t="s">
        <v>8345</v>
      </c>
      <c r="F1265" s="10" t="str">
        <f t="shared" si="76"/>
        <v>insert into ins_premium_det (premium_rcv_code,assorted_code, rec_amount,premium_rcv_detail_code,remaining_amt, payrec, mode_code,coinsurance_code,class_cd,it_remarks) values</v>
      </c>
      <c r="G1265" s="11" t="str">
        <f t="shared" si="78"/>
        <v>('28Nov240101','040000156561','0',(select max(to_number(i.premium_rcv_detail_code))+1
from ins_premium_det i),'0','0','02', '11000003','00','Request by Mr. Omair Ali 29-Nov-2024');</v>
      </c>
      <c r="H1265" s="12" t="str">
        <f t="shared" si="79"/>
        <v>insert into ins_premium_det (premium_rcv_code,assorted_code, rec_amount,premium_rcv_detail_code,remaining_amt, payrec, mode_code,coinsurance_code,class_cd,it_remarks) values('28Nov240101','040000156561','0',(select max(to_number(i.premium_rcv_detail_code))+1
from ins_premium_det i),'0','0','02', '11000003','00','Request by Mr. Omair Ali 29-Nov-2024');</v>
      </c>
    </row>
    <row r="1266" spans="1:8" ht="105" x14ac:dyDescent="0.25">
      <c r="A1266" t="s">
        <v>1266</v>
      </c>
      <c r="B1266" s="8" t="str">
        <f>VLOOKUP(A1266,assortedcode!B:C,2,0)</f>
        <v>040000115763</v>
      </c>
      <c r="C1266" s="1">
        <v>0</v>
      </c>
      <c r="D1266" s="9">
        <f t="shared" si="77"/>
        <v>0</v>
      </c>
      <c r="E1266" s="7" t="s">
        <v>8345</v>
      </c>
      <c r="F1266" s="10" t="str">
        <f t="shared" si="76"/>
        <v>insert into ins_premium_det (premium_rcv_code,assorted_code, rec_amount,premium_rcv_detail_code,remaining_amt, payrec, mode_code,coinsurance_code,class_cd,it_remarks) values</v>
      </c>
      <c r="G1266" s="11" t="str">
        <f t="shared" si="78"/>
        <v>('28Nov240101','040000115763','0',(select max(to_number(i.premium_rcv_detail_code))+1
from ins_premium_det i),'0','0','02', '11000003','00','Request by Mr. Omair Ali 29-Nov-2024');</v>
      </c>
      <c r="H1266" s="12" t="str">
        <f t="shared" si="79"/>
        <v>insert into ins_premium_det (premium_rcv_code,assorted_code, rec_amount,premium_rcv_detail_code,remaining_amt, payrec, mode_code,coinsurance_code,class_cd,it_remarks) values('28Nov240101','040000115763','0',(select max(to_number(i.premium_rcv_detail_code))+1
from ins_premium_det i),'0','0','02', '11000003','00','Request by Mr. Omair Ali 29-Nov-2024');</v>
      </c>
    </row>
    <row r="1267" spans="1:8" ht="105" x14ac:dyDescent="0.25">
      <c r="A1267" t="s">
        <v>1267</v>
      </c>
      <c r="B1267" s="8" t="str">
        <f>VLOOKUP(A1267,assortedcode!B:C,2,0)</f>
        <v>040000122590</v>
      </c>
      <c r="C1267" s="1">
        <v>0</v>
      </c>
      <c r="D1267" s="9">
        <f t="shared" si="77"/>
        <v>0</v>
      </c>
      <c r="E1267" s="7" t="s">
        <v>8345</v>
      </c>
      <c r="F1267" s="10" t="str">
        <f t="shared" si="76"/>
        <v>insert into ins_premium_det (premium_rcv_code,assorted_code, rec_amount,premium_rcv_detail_code,remaining_amt, payrec, mode_code,coinsurance_code,class_cd,it_remarks) values</v>
      </c>
      <c r="G1267" s="11" t="str">
        <f t="shared" si="78"/>
        <v>('28Nov240101','040000122590','0',(select max(to_number(i.premium_rcv_detail_code))+1
from ins_premium_det i),'0','0','02', '11000003','00','Request by Mr. Omair Ali 29-Nov-2024');</v>
      </c>
      <c r="H1267" s="12" t="str">
        <f t="shared" si="79"/>
        <v>insert into ins_premium_det (premium_rcv_code,assorted_code, rec_amount,premium_rcv_detail_code,remaining_amt, payrec, mode_code,coinsurance_code,class_cd,it_remarks) values('28Nov240101','040000122590','0',(select max(to_number(i.premium_rcv_detail_code))+1
from ins_premium_det i),'0','0','02', '11000003','00','Request by Mr. Omair Ali 29-Nov-2024');</v>
      </c>
    </row>
    <row r="1268" spans="1:8" ht="105" x14ac:dyDescent="0.25">
      <c r="A1268" t="s">
        <v>1268</v>
      </c>
      <c r="B1268" s="8" t="str">
        <f>VLOOKUP(A1268,assortedcode!B:C,2,0)</f>
        <v>040000115855</v>
      </c>
      <c r="C1268" s="1">
        <v>0</v>
      </c>
      <c r="D1268" s="9">
        <f t="shared" si="77"/>
        <v>0</v>
      </c>
      <c r="E1268" s="7" t="s">
        <v>8345</v>
      </c>
      <c r="F1268" s="10" t="str">
        <f t="shared" si="76"/>
        <v>insert into ins_premium_det (premium_rcv_code,assorted_code, rec_amount,premium_rcv_detail_code,remaining_amt, payrec, mode_code,coinsurance_code,class_cd,it_remarks) values</v>
      </c>
      <c r="G1268" s="11" t="str">
        <f t="shared" si="78"/>
        <v>('28Nov240101','040000115855','0',(select max(to_number(i.premium_rcv_detail_code))+1
from ins_premium_det i),'0','0','02', '11000003','00','Request by Mr. Omair Ali 29-Nov-2024');</v>
      </c>
      <c r="H1268" s="12" t="str">
        <f t="shared" si="79"/>
        <v>insert into ins_premium_det (premium_rcv_code,assorted_code, rec_amount,premium_rcv_detail_code,remaining_amt, payrec, mode_code,coinsurance_code,class_cd,it_remarks) values('28Nov240101','040000115855','0',(select max(to_number(i.premium_rcv_detail_code))+1
from ins_premium_det i),'0','0','02', '11000003','00','Request by Mr. Omair Ali 29-Nov-2024');</v>
      </c>
    </row>
    <row r="1269" spans="1:8" ht="105" x14ac:dyDescent="0.25">
      <c r="A1269" t="s">
        <v>1269</v>
      </c>
      <c r="B1269" s="8" t="str">
        <f>VLOOKUP(A1269,assortedcode!B:C,2,0)</f>
        <v>040000123918</v>
      </c>
      <c r="C1269" s="1">
        <v>0</v>
      </c>
      <c r="D1269" s="9">
        <f t="shared" si="77"/>
        <v>0</v>
      </c>
      <c r="E1269" s="7" t="s">
        <v>8345</v>
      </c>
      <c r="F1269" s="10" t="str">
        <f t="shared" si="76"/>
        <v>insert into ins_premium_det (premium_rcv_code,assorted_code, rec_amount,premium_rcv_detail_code,remaining_amt, payrec, mode_code,coinsurance_code,class_cd,it_remarks) values</v>
      </c>
      <c r="G1269" s="11" t="str">
        <f t="shared" si="78"/>
        <v>('28Nov240101','040000123918','0',(select max(to_number(i.premium_rcv_detail_code))+1
from ins_premium_det i),'0','0','02', '11000003','00','Request by Mr. Omair Ali 29-Nov-2024');</v>
      </c>
      <c r="H1269" s="12" t="str">
        <f t="shared" si="79"/>
        <v>insert into ins_premium_det (premium_rcv_code,assorted_code, rec_amount,premium_rcv_detail_code,remaining_amt, payrec, mode_code,coinsurance_code,class_cd,it_remarks) values('28Nov240101','040000123918','0',(select max(to_number(i.premium_rcv_detail_code))+1
from ins_premium_det i),'0','0','02', '11000003','00','Request by Mr. Omair Ali 29-Nov-2024');</v>
      </c>
    </row>
    <row r="1270" spans="1:8" ht="105" x14ac:dyDescent="0.25">
      <c r="A1270" t="s">
        <v>1270</v>
      </c>
      <c r="B1270" s="8" t="str">
        <f>VLOOKUP(A1270,assortedcode!B:C,2,0)</f>
        <v>040000120853</v>
      </c>
      <c r="C1270" s="1">
        <v>0</v>
      </c>
      <c r="D1270" s="9">
        <f t="shared" si="77"/>
        <v>0</v>
      </c>
      <c r="E1270" s="7" t="s">
        <v>8345</v>
      </c>
      <c r="F1270" s="10" t="str">
        <f t="shared" si="76"/>
        <v>insert into ins_premium_det (premium_rcv_code,assorted_code, rec_amount,premium_rcv_detail_code,remaining_amt, payrec, mode_code,coinsurance_code,class_cd,it_remarks) values</v>
      </c>
      <c r="G1270" s="11" t="str">
        <f t="shared" si="78"/>
        <v>('28Nov240101','040000120853','0',(select max(to_number(i.premium_rcv_detail_code))+1
from ins_premium_det i),'0','0','02', '11000003','00','Request by Mr. Omair Ali 29-Nov-2024');</v>
      </c>
      <c r="H1270" s="12" t="str">
        <f t="shared" si="79"/>
        <v>insert into ins_premium_det (premium_rcv_code,assorted_code, rec_amount,premium_rcv_detail_code,remaining_amt, payrec, mode_code,coinsurance_code,class_cd,it_remarks) values('28Nov240101','040000120853','0',(select max(to_number(i.premium_rcv_detail_code))+1
from ins_premium_det i),'0','0','02', '11000003','00','Request by Mr. Omair Ali 29-Nov-2024');</v>
      </c>
    </row>
    <row r="1271" spans="1:8" ht="105" x14ac:dyDescent="0.25">
      <c r="A1271" t="s">
        <v>1271</v>
      </c>
      <c r="B1271" s="8" t="str">
        <f>VLOOKUP(A1271,assortedcode!B:C,2,0)</f>
        <v>040000125296</v>
      </c>
      <c r="C1271" s="1">
        <v>0</v>
      </c>
      <c r="D1271" s="9">
        <f t="shared" si="77"/>
        <v>0</v>
      </c>
      <c r="E1271" s="7" t="s">
        <v>8345</v>
      </c>
      <c r="F1271" s="10" t="str">
        <f t="shared" si="76"/>
        <v>insert into ins_premium_det (premium_rcv_code,assorted_code, rec_amount,premium_rcv_detail_code,remaining_amt, payrec, mode_code,coinsurance_code,class_cd,it_remarks) values</v>
      </c>
      <c r="G1271" s="11" t="str">
        <f t="shared" si="78"/>
        <v>('28Nov240101','040000125296','0',(select max(to_number(i.premium_rcv_detail_code))+1
from ins_premium_det i),'0','0','02', '11000003','00','Request by Mr. Omair Ali 29-Nov-2024');</v>
      </c>
      <c r="H1271" s="12" t="str">
        <f t="shared" si="79"/>
        <v>insert into ins_premium_det (premium_rcv_code,assorted_code, rec_amount,premium_rcv_detail_code,remaining_amt, payrec, mode_code,coinsurance_code,class_cd,it_remarks) values('28Nov240101','040000125296','0',(select max(to_number(i.premium_rcv_detail_code))+1
from ins_premium_det i),'0','0','02', '11000003','00','Request by Mr. Omair Ali 29-Nov-2024');</v>
      </c>
    </row>
    <row r="1272" spans="1:8" ht="105" x14ac:dyDescent="0.25">
      <c r="A1272" t="s">
        <v>1272</v>
      </c>
      <c r="B1272" s="8" t="str">
        <f>VLOOKUP(A1272,assortedcode!B:C,2,0)</f>
        <v>040000121193</v>
      </c>
      <c r="C1272" s="1">
        <v>0</v>
      </c>
      <c r="D1272" s="9">
        <f t="shared" si="77"/>
        <v>0</v>
      </c>
      <c r="E1272" s="7" t="s">
        <v>8345</v>
      </c>
      <c r="F1272" s="10" t="str">
        <f t="shared" si="76"/>
        <v>insert into ins_premium_det (premium_rcv_code,assorted_code, rec_amount,premium_rcv_detail_code,remaining_amt, payrec, mode_code,coinsurance_code,class_cd,it_remarks) values</v>
      </c>
      <c r="G1272" s="11" t="str">
        <f t="shared" si="78"/>
        <v>('28Nov240101','040000121193','0',(select max(to_number(i.premium_rcv_detail_code))+1
from ins_premium_det i),'0','0','02', '11000003','00','Request by Mr. Omair Ali 29-Nov-2024');</v>
      </c>
      <c r="H1272" s="12" t="str">
        <f t="shared" si="79"/>
        <v>insert into ins_premium_det (premium_rcv_code,assorted_code, rec_amount,premium_rcv_detail_code,remaining_amt, payrec, mode_code,coinsurance_code,class_cd,it_remarks) values('28Nov240101','040000121193','0',(select max(to_number(i.premium_rcv_detail_code))+1
from ins_premium_det i),'0','0','02', '11000003','00','Request by Mr. Omair Ali 29-Nov-2024');</v>
      </c>
    </row>
    <row r="1273" spans="1:8" ht="105" x14ac:dyDescent="0.25">
      <c r="A1273" t="s">
        <v>1273</v>
      </c>
      <c r="B1273" s="8" t="str">
        <f>VLOOKUP(A1273,assortedcode!B:C,2,0)</f>
        <v>040000125908</v>
      </c>
      <c r="C1273" s="1">
        <v>0</v>
      </c>
      <c r="D1273" s="9">
        <f t="shared" si="77"/>
        <v>0</v>
      </c>
      <c r="E1273" s="7" t="s">
        <v>8345</v>
      </c>
      <c r="F1273" s="10" t="str">
        <f t="shared" si="76"/>
        <v>insert into ins_premium_det (premium_rcv_code,assorted_code, rec_amount,premium_rcv_detail_code,remaining_amt, payrec, mode_code,coinsurance_code,class_cd,it_remarks) values</v>
      </c>
      <c r="G1273" s="11" t="str">
        <f t="shared" si="78"/>
        <v>('28Nov240101','040000125908','0',(select max(to_number(i.premium_rcv_detail_code))+1
from ins_premium_det i),'0','0','02', '11000003','00','Request by Mr. Omair Ali 29-Nov-2024');</v>
      </c>
      <c r="H1273" s="12" t="str">
        <f t="shared" si="79"/>
        <v>insert into ins_premium_det (premium_rcv_code,assorted_code, rec_amount,premium_rcv_detail_code,remaining_amt, payrec, mode_code,coinsurance_code,class_cd,it_remarks) values('28Nov240101','040000125908','0',(select max(to_number(i.premium_rcv_detail_code))+1
from ins_premium_det i),'0','0','02', '11000003','00','Request by Mr. Omair Ali 29-Nov-2024');</v>
      </c>
    </row>
    <row r="1274" spans="1:8" ht="105" x14ac:dyDescent="0.25">
      <c r="A1274" t="s">
        <v>1274</v>
      </c>
      <c r="B1274" s="8" t="str">
        <f>VLOOKUP(A1274,assortedcode!B:C,2,0)</f>
        <v>040000104853</v>
      </c>
      <c r="C1274" s="1">
        <v>0</v>
      </c>
      <c r="D1274" s="9">
        <f t="shared" si="77"/>
        <v>0</v>
      </c>
      <c r="E1274" s="7" t="s">
        <v>8345</v>
      </c>
      <c r="F1274" s="10" t="str">
        <f t="shared" si="76"/>
        <v>insert into ins_premium_det (premium_rcv_code,assorted_code, rec_amount,premium_rcv_detail_code,remaining_amt, payrec, mode_code,coinsurance_code,class_cd,it_remarks) values</v>
      </c>
      <c r="G1274" s="11" t="str">
        <f t="shared" si="78"/>
        <v>('28Nov240101','040000104853','0',(select max(to_number(i.premium_rcv_detail_code))+1
from ins_premium_det i),'0','0','02', '11000003','00','Request by Mr. Omair Ali 29-Nov-2024');</v>
      </c>
      <c r="H1274" s="12" t="str">
        <f t="shared" si="79"/>
        <v>insert into ins_premium_det (premium_rcv_code,assorted_code, rec_amount,premium_rcv_detail_code,remaining_amt, payrec, mode_code,coinsurance_code,class_cd,it_remarks) values('28Nov240101','040000104853','0',(select max(to_number(i.premium_rcv_detail_code))+1
from ins_premium_det i),'0','0','02', '11000003','00','Request by Mr. Omair Ali 29-Nov-2024');</v>
      </c>
    </row>
    <row r="1275" spans="1:8" ht="105" x14ac:dyDescent="0.25">
      <c r="A1275" t="s">
        <v>1275</v>
      </c>
      <c r="B1275" s="8" t="str">
        <f>VLOOKUP(A1275,assortedcode!B:C,2,0)</f>
        <v>040000108290</v>
      </c>
      <c r="C1275" s="1">
        <v>0</v>
      </c>
      <c r="D1275" s="9">
        <f t="shared" si="77"/>
        <v>0</v>
      </c>
      <c r="E1275" s="7" t="s">
        <v>8345</v>
      </c>
      <c r="F1275" s="10" t="str">
        <f t="shared" si="76"/>
        <v>insert into ins_premium_det (premium_rcv_code,assorted_code, rec_amount,premium_rcv_detail_code,remaining_amt, payrec, mode_code,coinsurance_code,class_cd,it_remarks) values</v>
      </c>
      <c r="G1275" s="11" t="str">
        <f t="shared" si="78"/>
        <v>('28Nov240101','040000108290','0',(select max(to_number(i.premium_rcv_detail_code))+1
from ins_premium_det i),'0','0','02', '11000003','00','Request by Mr. Omair Ali 29-Nov-2024');</v>
      </c>
      <c r="H1275" s="12" t="str">
        <f t="shared" si="79"/>
        <v>insert into ins_premium_det (premium_rcv_code,assorted_code, rec_amount,premium_rcv_detail_code,remaining_amt, payrec, mode_code,coinsurance_code,class_cd,it_remarks) values('28Nov240101','040000108290','0',(select max(to_number(i.premium_rcv_detail_code))+1
from ins_premium_det i),'0','0','02', '11000003','00','Request by Mr. Omair Ali 29-Nov-2024');</v>
      </c>
    </row>
    <row r="1276" spans="1:8" ht="105" x14ac:dyDescent="0.25">
      <c r="A1276" t="s">
        <v>1276</v>
      </c>
      <c r="B1276" s="8" t="str">
        <f>VLOOKUP(A1276,assortedcode!B:C,2,0)</f>
        <v>040000105215</v>
      </c>
      <c r="C1276" s="1">
        <v>0</v>
      </c>
      <c r="D1276" s="9">
        <f t="shared" si="77"/>
        <v>0</v>
      </c>
      <c r="E1276" s="7" t="s">
        <v>8345</v>
      </c>
      <c r="F1276" s="10" t="str">
        <f t="shared" si="76"/>
        <v>insert into ins_premium_det (premium_rcv_code,assorted_code, rec_amount,premium_rcv_detail_code,remaining_amt, payrec, mode_code,coinsurance_code,class_cd,it_remarks) values</v>
      </c>
      <c r="G1276" s="11" t="str">
        <f t="shared" si="78"/>
        <v>('28Nov240101','040000105215','0',(select max(to_number(i.premium_rcv_detail_code))+1
from ins_premium_det i),'0','0','02', '11000003','00','Request by Mr. Omair Ali 29-Nov-2024');</v>
      </c>
      <c r="H1276" s="12" t="str">
        <f t="shared" si="79"/>
        <v>insert into ins_premium_det (premium_rcv_code,assorted_code, rec_amount,premium_rcv_detail_code,remaining_amt, payrec, mode_code,coinsurance_code,class_cd,it_remarks) values('28Nov240101','040000105215','0',(select max(to_number(i.premium_rcv_detail_code))+1
from ins_premium_det i),'0','0','02', '11000003','00','Request by Mr. Omair Ali 29-Nov-2024');</v>
      </c>
    </row>
    <row r="1277" spans="1:8" ht="105" x14ac:dyDescent="0.25">
      <c r="A1277" t="s">
        <v>1277</v>
      </c>
      <c r="B1277" s="8" t="str">
        <f>VLOOKUP(A1277,assortedcode!B:C,2,0)</f>
        <v>040000106840</v>
      </c>
      <c r="C1277" s="1">
        <v>0</v>
      </c>
      <c r="D1277" s="9">
        <f t="shared" si="77"/>
        <v>0</v>
      </c>
      <c r="E1277" s="7" t="s">
        <v>8345</v>
      </c>
      <c r="F1277" s="10" t="str">
        <f t="shared" si="76"/>
        <v>insert into ins_premium_det (premium_rcv_code,assorted_code, rec_amount,premium_rcv_detail_code,remaining_amt, payrec, mode_code,coinsurance_code,class_cd,it_remarks) values</v>
      </c>
      <c r="G1277" s="11" t="str">
        <f t="shared" si="78"/>
        <v>('28Nov240101','040000106840','0',(select max(to_number(i.premium_rcv_detail_code))+1
from ins_premium_det i),'0','0','02', '11000003','00','Request by Mr. Omair Ali 29-Nov-2024');</v>
      </c>
      <c r="H1277" s="12" t="str">
        <f t="shared" si="79"/>
        <v>insert into ins_premium_det (premium_rcv_code,assorted_code, rec_amount,premium_rcv_detail_code,remaining_amt, payrec, mode_code,coinsurance_code,class_cd,it_remarks) values('28Nov240101','040000106840','0',(select max(to_number(i.premium_rcv_detail_code))+1
from ins_premium_det i),'0','0','02', '11000003','00','Request by Mr. Omair Ali 29-Nov-2024');</v>
      </c>
    </row>
    <row r="1278" spans="1:8" ht="105" x14ac:dyDescent="0.25">
      <c r="A1278" t="s">
        <v>1278</v>
      </c>
      <c r="B1278" s="8" t="str">
        <f>VLOOKUP(A1278,assortedcode!B:C,2,0)</f>
        <v>040000108605</v>
      </c>
      <c r="C1278" s="1">
        <v>0</v>
      </c>
      <c r="D1278" s="9">
        <f t="shared" si="77"/>
        <v>0</v>
      </c>
      <c r="E1278" s="7" t="s">
        <v>8345</v>
      </c>
      <c r="F1278" s="10" t="str">
        <f t="shared" si="76"/>
        <v>insert into ins_premium_det (premium_rcv_code,assorted_code, rec_amount,premium_rcv_detail_code,remaining_amt, payrec, mode_code,coinsurance_code,class_cd,it_remarks) values</v>
      </c>
      <c r="G1278" s="11" t="str">
        <f t="shared" si="78"/>
        <v>('28Nov240101','040000108605','0',(select max(to_number(i.premium_rcv_detail_code))+1
from ins_premium_det i),'0','0','02', '11000003','00','Request by Mr. Omair Ali 29-Nov-2024');</v>
      </c>
      <c r="H1278" s="12" t="str">
        <f t="shared" si="79"/>
        <v>insert into ins_premium_det (premium_rcv_code,assorted_code, rec_amount,premium_rcv_detail_code,remaining_amt, payrec, mode_code,coinsurance_code,class_cd,it_remarks) values('28Nov240101','040000108605','0',(select max(to_number(i.premium_rcv_detail_code))+1
from ins_premium_det i),'0','0','02', '11000003','00','Request by Mr. Omair Ali 29-Nov-2024');</v>
      </c>
    </row>
    <row r="1279" spans="1:8" ht="105" x14ac:dyDescent="0.25">
      <c r="A1279" t="s">
        <v>1279</v>
      </c>
      <c r="B1279" s="8" t="str">
        <f>VLOOKUP(A1279,assortedcode!B:C,2,0)</f>
        <v>040000131640</v>
      </c>
      <c r="C1279" s="1">
        <v>0</v>
      </c>
      <c r="D1279" s="9">
        <f t="shared" si="77"/>
        <v>0</v>
      </c>
      <c r="E1279" s="7" t="s">
        <v>8345</v>
      </c>
      <c r="F1279" s="10" t="str">
        <f t="shared" si="76"/>
        <v>insert into ins_premium_det (premium_rcv_code,assorted_code, rec_amount,premium_rcv_detail_code,remaining_amt, payrec, mode_code,coinsurance_code,class_cd,it_remarks) values</v>
      </c>
      <c r="G1279" s="11" t="str">
        <f t="shared" si="78"/>
        <v>('28Nov240101','040000131640','0',(select max(to_number(i.premium_rcv_detail_code))+1
from ins_premium_det i),'0','0','02', '11000003','00','Request by Mr. Omair Ali 29-Nov-2024');</v>
      </c>
      <c r="H1279" s="12" t="str">
        <f t="shared" si="79"/>
        <v>insert into ins_premium_det (premium_rcv_code,assorted_code, rec_amount,premium_rcv_detail_code,remaining_amt, payrec, mode_code,coinsurance_code,class_cd,it_remarks) values('28Nov240101','040000131640','0',(select max(to_number(i.premium_rcv_detail_code))+1
from ins_premium_det i),'0','0','02', '11000003','00','Request by Mr. Omair Ali 29-Nov-2024');</v>
      </c>
    </row>
    <row r="1280" spans="1:8" ht="105" x14ac:dyDescent="0.25">
      <c r="A1280" t="s">
        <v>1280</v>
      </c>
      <c r="B1280" s="8" t="str">
        <f>VLOOKUP(A1280,assortedcode!B:C,2,0)</f>
        <v>040000109725</v>
      </c>
      <c r="C1280" s="1">
        <v>0</v>
      </c>
      <c r="D1280" s="9">
        <f t="shared" si="77"/>
        <v>0</v>
      </c>
      <c r="E1280" s="7" t="s">
        <v>8345</v>
      </c>
      <c r="F1280" s="10" t="str">
        <f t="shared" si="76"/>
        <v>insert into ins_premium_det (premium_rcv_code,assorted_code, rec_amount,premium_rcv_detail_code,remaining_amt, payrec, mode_code,coinsurance_code,class_cd,it_remarks) values</v>
      </c>
      <c r="G1280" s="11" t="str">
        <f t="shared" si="78"/>
        <v>('28Nov240101','040000109725','0',(select max(to_number(i.premium_rcv_detail_code))+1
from ins_premium_det i),'0','0','02', '11000003','00','Request by Mr. Omair Ali 29-Nov-2024');</v>
      </c>
      <c r="H1280" s="12" t="str">
        <f t="shared" si="79"/>
        <v>insert into ins_premium_det (premium_rcv_code,assorted_code, rec_amount,premium_rcv_detail_code,remaining_amt, payrec, mode_code,coinsurance_code,class_cd,it_remarks) values('28Nov240101','040000109725','0',(select max(to_number(i.premium_rcv_detail_code))+1
from ins_premium_det i),'0','0','02', '11000003','00','Request by Mr. Omair Ali 29-Nov-2024');</v>
      </c>
    </row>
    <row r="1281" spans="1:8" ht="105" x14ac:dyDescent="0.25">
      <c r="A1281" t="s">
        <v>1281</v>
      </c>
      <c r="B1281" s="8" t="str">
        <f>VLOOKUP(A1281,assortedcode!B:C,2,0)</f>
        <v>040000106329</v>
      </c>
      <c r="C1281" s="1">
        <v>0</v>
      </c>
      <c r="D1281" s="9">
        <f t="shared" si="77"/>
        <v>0</v>
      </c>
      <c r="E1281" s="7" t="s">
        <v>8345</v>
      </c>
      <c r="F1281" s="10" t="str">
        <f t="shared" si="76"/>
        <v>insert into ins_premium_det (premium_rcv_code,assorted_code, rec_amount,premium_rcv_detail_code,remaining_amt, payrec, mode_code,coinsurance_code,class_cd,it_remarks) values</v>
      </c>
      <c r="G1281" s="11" t="str">
        <f t="shared" si="78"/>
        <v>('28Nov240101','040000106329','0',(select max(to_number(i.premium_rcv_detail_code))+1
from ins_premium_det i),'0','0','02', '11000003','00','Request by Mr. Omair Ali 29-Nov-2024');</v>
      </c>
      <c r="H1281" s="12" t="str">
        <f t="shared" si="79"/>
        <v>insert into ins_premium_det (premium_rcv_code,assorted_code, rec_amount,premium_rcv_detail_code,remaining_amt, payrec, mode_code,coinsurance_code,class_cd,it_remarks) values('28Nov240101','040000106329','0',(select max(to_number(i.premium_rcv_detail_code))+1
from ins_premium_det i),'0','0','02', '11000003','00','Request by Mr. Omair Ali 29-Nov-2024');</v>
      </c>
    </row>
    <row r="1282" spans="1:8" ht="105" x14ac:dyDescent="0.25">
      <c r="A1282" t="s">
        <v>1282</v>
      </c>
      <c r="B1282" s="8" t="str">
        <f>VLOOKUP(A1282,assortedcode!B:C,2,0)</f>
        <v>040000109731</v>
      </c>
      <c r="C1282" s="1">
        <v>0</v>
      </c>
      <c r="D1282" s="9">
        <f t="shared" si="77"/>
        <v>0</v>
      </c>
      <c r="E1282" s="7" t="s">
        <v>8345</v>
      </c>
      <c r="F1282" s="10" t="str">
        <f t="shared" ref="F1282:F1345" si="80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1282" s="11" t="str">
        <f t="shared" si="78"/>
        <v>('28Nov240101','040000109731','0',(select max(to_number(i.premium_rcv_detail_code))+1
from ins_premium_det i),'0','0','02', '11000003','00','Request by Mr. Omair Ali 29-Nov-2024');</v>
      </c>
      <c r="H1282" s="12" t="str">
        <f t="shared" si="79"/>
        <v>insert into ins_premium_det (premium_rcv_code,assorted_code, rec_amount,premium_rcv_detail_code,remaining_amt, payrec, mode_code,coinsurance_code,class_cd,it_remarks) values('28Nov240101','040000109731','0',(select max(to_number(i.premium_rcv_detail_code))+1
from ins_premium_det i),'0','0','02', '11000003','00','Request by Mr. Omair Ali 29-Nov-2024');</v>
      </c>
    </row>
    <row r="1283" spans="1:8" ht="105" x14ac:dyDescent="0.25">
      <c r="A1283" t="s">
        <v>1283</v>
      </c>
      <c r="B1283" s="8" t="str">
        <f>VLOOKUP(A1283,assortedcode!B:C,2,0)</f>
        <v>040000136066</v>
      </c>
      <c r="C1283" s="1">
        <v>0</v>
      </c>
      <c r="D1283" s="9">
        <f t="shared" ref="D1283:D1346" si="81">ROUND(C1283,0)</f>
        <v>0</v>
      </c>
      <c r="E1283" s="7" t="s">
        <v>8345</v>
      </c>
      <c r="F1283" s="10" t="str">
        <f t="shared" si="80"/>
        <v>insert into ins_premium_det (premium_rcv_code,assorted_code, rec_amount,premium_rcv_detail_code,remaining_amt, payrec, mode_code,coinsurance_code,class_cd,it_remarks) values</v>
      </c>
      <c r="G1283" s="11" t="str">
        <f t="shared" ref="G1283:G1346" si="82">"('"&amp;E1283&amp;"','"&amp;B1283&amp;"','"&amp;ROUND(D1283,2)&amp;"',(select max(to_number(i.premium_rcv_detail_code))+1
from ins_premium_det i),'"&amp;D1283&amp;"','"&amp;D1283&amp;"','02', '11000003','00','Request by Mr. Omair Ali 29-Nov-2024');"</f>
        <v>('28Nov240101','040000136066','0',(select max(to_number(i.premium_rcv_detail_code))+1
from ins_premium_det i),'0','0','02', '11000003','00','Request by Mr. Omair Ali 29-Nov-2024');</v>
      </c>
      <c r="H1283" s="12" t="str">
        <f t="shared" ref="H1283:H1346" si="83">F1283&amp;G1283</f>
        <v>insert into ins_premium_det (premium_rcv_code,assorted_code, rec_amount,premium_rcv_detail_code,remaining_amt, payrec, mode_code,coinsurance_code,class_cd,it_remarks) values('28Nov240101','040000136066','0',(select max(to_number(i.premium_rcv_detail_code))+1
from ins_premium_det i),'0','0','02', '11000003','00','Request by Mr. Omair Ali 29-Nov-2024');</v>
      </c>
    </row>
    <row r="1284" spans="1:8" ht="105" x14ac:dyDescent="0.25">
      <c r="A1284" t="s">
        <v>1284</v>
      </c>
      <c r="B1284" s="8" t="str">
        <f>VLOOKUP(A1284,assortedcode!B:C,2,0)</f>
        <v>040000109739</v>
      </c>
      <c r="C1284" s="1">
        <v>0</v>
      </c>
      <c r="D1284" s="9">
        <f t="shared" si="81"/>
        <v>0</v>
      </c>
      <c r="E1284" s="7" t="s">
        <v>8345</v>
      </c>
      <c r="F1284" s="10" t="str">
        <f t="shared" si="80"/>
        <v>insert into ins_premium_det (premium_rcv_code,assorted_code, rec_amount,premium_rcv_detail_code,remaining_amt, payrec, mode_code,coinsurance_code,class_cd,it_remarks) values</v>
      </c>
      <c r="G1284" s="11" t="str">
        <f t="shared" si="82"/>
        <v>('28Nov240101','040000109739','0',(select max(to_number(i.premium_rcv_detail_code))+1
from ins_premium_det i),'0','0','02', '11000003','00','Request by Mr. Omair Ali 29-Nov-2024');</v>
      </c>
      <c r="H1284" s="12" t="str">
        <f t="shared" si="83"/>
        <v>insert into ins_premium_det (premium_rcv_code,assorted_code, rec_amount,premium_rcv_detail_code,remaining_amt, payrec, mode_code,coinsurance_code,class_cd,it_remarks) values('28Nov240101','040000109739','0',(select max(to_number(i.premium_rcv_detail_code))+1
from ins_premium_det i),'0','0','02', '11000003','00','Request by Mr. Omair Ali 29-Nov-2024');</v>
      </c>
    </row>
    <row r="1285" spans="1:8" ht="105" x14ac:dyDescent="0.25">
      <c r="A1285" t="s">
        <v>1285</v>
      </c>
      <c r="B1285" s="8" t="str">
        <f>VLOOKUP(A1285,assortedcode!B:C,2,0)</f>
        <v>040000108904</v>
      </c>
      <c r="C1285" s="1">
        <v>0</v>
      </c>
      <c r="D1285" s="9">
        <f t="shared" si="81"/>
        <v>0</v>
      </c>
      <c r="E1285" s="7" t="s">
        <v>8345</v>
      </c>
      <c r="F1285" s="10" t="str">
        <f t="shared" si="80"/>
        <v>insert into ins_premium_det (premium_rcv_code,assorted_code, rec_amount,premium_rcv_detail_code,remaining_amt, payrec, mode_code,coinsurance_code,class_cd,it_remarks) values</v>
      </c>
      <c r="G1285" s="11" t="str">
        <f t="shared" si="82"/>
        <v>('28Nov240101','040000108904','0',(select max(to_number(i.premium_rcv_detail_code))+1
from ins_premium_det i),'0','0','02', '11000003','00','Request by Mr. Omair Ali 29-Nov-2024');</v>
      </c>
      <c r="H1285" s="12" t="str">
        <f t="shared" si="83"/>
        <v>insert into ins_premium_det (premium_rcv_code,assorted_code, rec_amount,premium_rcv_detail_code,remaining_amt, payrec, mode_code,coinsurance_code,class_cd,it_remarks) values('28Nov240101','040000108904','0',(select max(to_number(i.premium_rcv_detail_code))+1
from ins_premium_det i),'0','0','02', '11000003','00','Request by Mr. Omair Ali 29-Nov-2024');</v>
      </c>
    </row>
    <row r="1286" spans="1:8" ht="105" x14ac:dyDescent="0.25">
      <c r="A1286" t="s">
        <v>1286</v>
      </c>
      <c r="B1286" s="8" t="str">
        <f>VLOOKUP(A1286,assortedcode!B:C,2,0)</f>
        <v>040000109740</v>
      </c>
      <c r="C1286" s="1">
        <v>0</v>
      </c>
      <c r="D1286" s="9">
        <f t="shared" si="81"/>
        <v>0</v>
      </c>
      <c r="E1286" s="7" t="s">
        <v>8345</v>
      </c>
      <c r="F1286" s="10" t="str">
        <f t="shared" si="80"/>
        <v>insert into ins_premium_det (premium_rcv_code,assorted_code, rec_amount,premium_rcv_detail_code,remaining_amt, payrec, mode_code,coinsurance_code,class_cd,it_remarks) values</v>
      </c>
      <c r="G1286" s="11" t="str">
        <f t="shared" si="82"/>
        <v>('28Nov240101','040000109740','0',(select max(to_number(i.premium_rcv_detail_code))+1
from ins_premium_det i),'0','0','02', '11000003','00','Request by Mr. Omair Ali 29-Nov-2024');</v>
      </c>
      <c r="H1286" s="12" t="str">
        <f t="shared" si="83"/>
        <v>insert into ins_premium_det (premium_rcv_code,assorted_code, rec_amount,premium_rcv_detail_code,remaining_amt, payrec, mode_code,coinsurance_code,class_cd,it_remarks) values('28Nov240101','040000109740','0',(select max(to_number(i.premium_rcv_detail_code))+1
from ins_premium_det i),'0','0','02', '11000003','00','Request by Mr. Omair Ali 29-Nov-2024');</v>
      </c>
    </row>
    <row r="1287" spans="1:8" ht="105" x14ac:dyDescent="0.25">
      <c r="A1287" t="s">
        <v>1287</v>
      </c>
      <c r="B1287" s="8" t="str">
        <f>VLOOKUP(A1287,assortedcode!B:C,2,0)</f>
        <v>040000141778</v>
      </c>
      <c r="C1287" s="1">
        <v>0</v>
      </c>
      <c r="D1287" s="9">
        <f t="shared" si="81"/>
        <v>0</v>
      </c>
      <c r="E1287" s="7" t="s">
        <v>8345</v>
      </c>
      <c r="F1287" s="10" t="str">
        <f t="shared" si="80"/>
        <v>insert into ins_premium_det (premium_rcv_code,assorted_code, rec_amount,premium_rcv_detail_code,remaining_amt, payrec, mode_code,coinsurance_code,class_cd,it_remarks) values</v>
      </c>
      <c r="G1287" s="11" t="str">
        <f t="shared" si="82"/>
        <v>('28Nov240101','040000141778','0',(select max(to_number(i.premium_rcv_detail_code))+1
from ins_premium_det i),'0','0','02', '11000003','00','Request by Mr. Omair Ali 29-Nov-2024');</v>
      </c>
      <c r="H1287" s="12" t="str">
        <f t="shared" si="83"/>
        <v>insert into ins_premium_det (premium_rcv_code,assorted_code, rec_amount,premium_rcv_detail_code,remaining_amt, payrec, mode_code,coinsurance_code,class_cd,it_remarks) values('28Nov240101','040000141778','0',(select max(to_number(i.premium_rcv_detail_code))+1
from ins_premium_det i),'0','0','02', '11000003','00','Request by Mr. Omair Ali 29-Nov-2024');</v>
      </c>
    </row>
    <row r="1288" spans="1:8" ht="105" x14ac:dyDescent="0.25">
      <c r="A1288" t="s">
        <v>1288</v>
      </c>
      <c r="B1288" s="8" t="str">
        <f>VLOOKUP(A1288,assortedcode!B:C,2,0)</f>
        <v>040000111612</v>
      </c>
      <c r="C1288" s="1">
        <v>0</v>
      </c>
      <c r="D1288" s="9">
        <f t="shared" si="81"/>
        <v>0</v>
      </c>
      <c r="E1288" s="7" t="s">
        <v>8345</v>
      </c>
      <c r="F1288" s="10" t="str">
        <f t="shared" si="80"/>
        <v>insert into ins_premium_det (premium_rcv_code,assorted_code, rec_amount,premium_rcv_detail_code,remaining_amt, payrec, mode_code,coinsurance_code,class_cd,it_remarks) values</v>
      </c>
      <c r="G1288" s="11" t="str">
        <f t="shared" si="82"/>
        <v>('28Nov240101','040000111612','0',(select max(to_number(i.premium_rcv_detail_code))+1
from ins_premium_det i),'0','0','02', '11000003','00','Request by Mr. Omair Ali 29-Nov-2024');</v>
      </c>
      <c r="H1288" s="12" t="str">
        <f t="shared" si="83"/>
        <v>insert into ins_premium_det (premium_rcv_code,assorted_code, rec_amount,premium_rcv_detail_code,remaining_amt, payrec, mode_code,coinsurance_code,class_cd,it_remarks) values('28Nov240101','040000111612','0',(select max(to_number(i.premium_rcv_detail_code))+1
from ins_premium_det i),'0','0','02', '11000003','00','Request by Mr. Omair Ali 29-Nov-2024');</v>
      </c>
    </row>
    <row r="1289" spans="1:8" ht="105" x14ac:dyDescent="0.25">
      <c r="A1289" t="s">
        <v>1289</v>
      </c>
      <c r="B1289" s="8" t="str">
        <f>VLOOKUP(A1289,assortedcode!B:C,2,0)</f>
        <v>040000109064</v>
      </c>
      <c r="C1289" s="1">
        <v>0</v>
      </c>
      <c r="D1289" s="9">
        <f t="shared" si="81"/>
        <v>0</v>
      </c>
      <c r="E1289" s="7" t="s">
        <v>8345</v>
      </c>
      <c r="F1289" s="10" t="str">
        <f t="shared" si="80"/>
        <v>insert into ins_premium_det (premium_rcv_code,assorted_code, rec_amount,premium_rcv_detail_code,remaining_amt, payrec, mode_code,coinsurance_code,class_cd,it_remarks) values</v>
      </c>
      <c r="G1289" s="11" t="str">
        <f t="shared" si="82"/>
        <v>('28Nov240101','040000109064','0',(select max(to_number(i.premium_rcv_detail_code))+1
from ins_premium_det i),'0','0','02', '11000003','00','Request by Mr. Omair Ali 29-Nov-2024');</v>
      </c>
      <c r="H1289" s="12" t="str">
        <f t="shared" si="83"/>
        <v>insert into ins_premium_det (premium_rcv_code,assorted_code, rec_amount,premium_rcv_detail_code,remaining_amt, payrec, mode_code,coinsurance_code,class_cd,it_remarks) values('28Nov240101','040000109064','0',(select max(to_number(i.premium_rcv_detail_code))+1
from ins_premium_det i),'0','0','02', '11000003','00','Request by Mr. Omair Ali 29-Nov-2024');</v>
      </c>
    </row>
    <row r="1290" spans="1:8" ht="105" x14ac:dyDescent="0.25">
      <c r="A1290" t="s">
        <v>1290</v>
      </c>
      <c r="B1290" s="8" t="str">
        <f>VLOOKUP(A1290,assortedcode!B:C,2,0)</f>
        <v>040000111973</v>
      </c>
      <c r="C1290" s="1">
        <v>0</v>
      </c>
      <c r="D1290" s="9">
        <f t="shared" si="81"/>
        <v>0</v>
      </c>
      <c r="E1290" s="7" t="s">
        <v>8345</v>
      </c>
      <c r="F1290" s="10" t="str">
        <f t="shared" si="80"/>
        <v>insert into ins_premium_det (premium_rcv_code,assorted_code, rec_amount,premium_rcv_detail_code,remaining_amt, payrec, mode_code,coinsurance_code,class_cd,it_remarks) values</v>
      </c>
      <c r="G1290" s="11" t="str">
        <f t="shared" si="82"/>
        <v>('28Nov240101','040000111973','0',(select max(to_number(i.premium_rcv_detail_code))+1
from ins_premium_det i),'0','0','02', '11000003','00','Request by Mr. Omair Ali 29-Nov-2024');</v>
      </c>
      <c r="H1290" s="12" t="str">
        <f t="shared" si="83"/>
        <v>insert into ins_premium_det (premium_rcv_code,assorted_code, rec_amount,premium_rcv_detail_code,remaining_amt, payrec, mode_code,coinsurance_code,class_cd,it_remarks) values('28Nov240101','040000111973','0',(select max(to_number(i.premium_rcv_detail_code))+1
from ins_premium_det i),'0','0','02', '11000003','00','Request by Mr. Omair Ali 29-Nov-2024');</v>
      </c>
    </row>
    <row r="1291" spans="1:8" ht="105" x14ac:dyDescent="0.25">
      <c r="A1291" t="s">
        <v>1291</v>
      </c>
      <c r="B1291" s="8" t="str">
        <f>VLOOKUP(A1291,assortedcode!B:C,2,0)</f>
        <v>040000109625</v>
      </c>
      <c r="C1291" s="1">
        <v>0</v>
      </c>
      <c r="D1291" s="9">
        <f t="shared" si="81"/>
        <v>0</v>
      </c>
      <c r="E1291" s="7" t="s">
        <v>8345</v>
      </c>
      <c r="F1291" s="10" t="str">
        <f t="shared" si="80"/>
        <v>insert into ins_premium_det (premium_rcv_code,assorted_code, rec_amount,premium_rcv_detail_code,remaining_amt, payrec, mode_code,coinsurance_code,class_cd,it_remarks) values</v>
      </c>
      <c r="G1291" s="11" t="str">
        <f t="shared" si="82"/>
        <v>('28Nov240101','040000109625','0',(select max(to_number(i.premium_rcv_detail_code))+1
from ins_premium_det i),'0','0','02', '11000003','00','Request by Mr. Omair Ali 29-Nov-2024');</v>
      </c>
      <c r="H1291" s="12" t="str">
        <f t="shared" si="83"/>
        <v>insert into ins_premium_det (premium_rcv_code,assorted_code, rec_amount,premium_rcv_detail_code,remaining_amt, payrec, mode_code,coinsurance_code,class_cd,it_remarks) values('28Nov240101','040000109625','0',(select max(to_number(i.premium_rcv_detail_code))+1
from ins_premium_det i),'0','0','02', '11000003','00','Request by Mr. Omair Ali 29-Nov-2024');</v>
      </c>
    </row>
    <row r="1292" spans="1:8" ht="105" x14ac:dyDescent="0.25">
      <c r="A1292" t="s">
        <v>1292</v>
      </c>
      <c r="B1292" s="8" t="str">
        <f>VLOOKUP(A1292,assortedcode!B:C,2,0)</f>
        <v>040000111977</v>
      </c>
      <c r="C1292" s="1">
        <v>0</v>
      </c>
      <c r="D1292" s="9">
        <f t="shared" si="81"/>
        <v>0</v>
      </c>
      <c r="E1292" s="7" t="s">
        <v>8345</v>
      </c>
      <c r="F1292" s="10" t="str">
        <f t="shared" si="80"/>
        <v>insert into ins_premium_det (premium_rcv_code,assorted_code, rec_amount,premium_rcv_detail_code,remaining_amt, payrec, mode_code,coinsurance_code,class_cd,it_remarks) values</v>
      </c>
      <c r="G1292" s="11" t="str">
        <f t="shared" si="82"/>
        <v>('28Nov240101','040000111977','0',(select max(to_number(i.premium_rcv_detail_code))+1
from ins_premium_det i),'0','0','02', '11000003','00','Request by Mr. Omair Ali 29-Nov-2024');</v>
      </c>
      <c r="H1292" s="12" t="str">
        <f t="shared" si="83"/>
        <v>insert into ins_premium_det (premium_rcv_code,assorted_code, rec_amount,premium_rcv_detail_code,remaining_amt, payrec, mode_code,coinsurance_code,class_cd,it_remarks) values('28Nov240101','040000111977','0',(select max(to_number(i.premium_rcv_detail_code))+1
from ins_premium_det i),'0','0','02', '11000003','00','Request by Mr. Omair Ali 29-Nov-2024');</v>
      </c>
    </row>
    <row r="1293" spans="1:8" ht="105" x14ac:dyDescent="0.25">
      <c r="A1293" t="s">
        <v>1293</v>
      </c>
      <c r="B1293" s="8" t="str">
        <f>VLOOKUP(A1293,assortedcode!B:C,2,0)</f>
        <v>040000148274</v>
      </c>
      <c r="C1293" s="1">
        <v>0</v>
      </c>
      <c r="D1293" s="9">
        <f t="shared" si="81"/>
        <v>0</v>
      </c>
      <c r="E1293" s="7" t="s">
        <v>8345</v>
      </c>
      <c r="F1293" s="10" t="str">
        <f t="shared" si="80"/>
        <v>insert into ins_premium_det (premium_rcv_code,assorted_code, rec_amount,premium_rcv_detail_code,remaining_amt, payrec, mode_code,coinsurance_code,class_cd,it_remarks) values</v>
      </c>
      <c r="G1293" s="11" t="str">
        <f t="shared" si="82"/>
        <v>('28Nov240101','040000148274','0',(select max(to_number(i.premium_rcv_detail_code))+1
from ins_premium_det i),'0','0','02', '11000003','00','Request by Mr. Omair Ali 29-Nov-2024');</v>
      </c>
      <c r="H1293" s="12" t="str">
        <f t="shared" si="83"/>
        <v>insert into ins_premium_det (premium_rcv_code,assorted_code, rec_amount,premium_rcv_detail_code,remaining_amt, payrec, mode_code,coinsurance_code,class_cd,it_remarks) values('28Nov240101','040000148274','0',(select max(to_number(i.premium_rcv_detail_code))+1
from ins_premium_det i),'0','0','02', '11000003','00','Request by Mr. Omair Ali 29-Nov-2024');</v>
      </c>
    </row>
    <row r="1294" spans="1:8" ht="105" x14ac:dyDescent="0.25">
      <c r="A1294" t="s">
        <v>1294</v>
      </c>
      <c r="B1294" s="8" t="str">
        <f>VLOOKUP(A1294,assortedcode!B:C,2,0)</f>
        <v>040000111989</v>
      </c>
      <c r="C1294" s="1">
        <v>0</v>
      </c>
      <c r="D1294" s="9">
        <f t="shared" si="81"/>
        <v>0</v>
      </c>
      <c r="E1294" s="7" t="s">
        <v>8345</v>
      </c>
      <c r="F1294" s="10" t="str">
        <f t="shared" si="80"/>
        <v>insert into ins_premium_det (premium_rcv_code,assorted_code, rec_amount,premium_rcv_detail_code,remaining_amt, payrec, mode_code,coinsurance_code,class_cd,it_remarks) values</v>
      </c>
      <c r="G1294" s="11" t="str">
        <f t="shared" si="82"/>
        <v>('28Nov240101','040000111989','0',(select max(to_number(i.premium_rcv_detail_code))+1
from ins_premium_det i),'0','0','02', '11000003','00','Request by Mr. Omair Ali 29-Nov-2024');</v>
      </c>
      <c r="H1294" s="12" t="str">
        <f t="shared" si="83"/>
        <v>insert into ins_premium_det (premium_rcv_code,assorted_code, rec_amount,premium_rcv_detail_code,remaining_amt, payrec, mode_code,coinsurance_code,class_cd,it_remarks) values('28Nov240101','040000111989','0',(select max(to_number(i.premium_rcv_detail_code))+1
from ins_premium_det i),'0','0','02', '11000003','00','Request by Mr. Omair Ali 29-Nov-2024');</v>
      </c>
    </row>
    <row r="1295" spans="1:8" ht="105" x14ac:dyDescent="0.25">
      <c r="A1295" t="s">
        <v>1295</v>
      </c>
      <c r="B1295" s="8" t="str">
        <f>VLOOKUP(A1295,assortedcode!B:C,2,0)</f>
        <v>040000150086</v>
      </c>
      <c r="C1295" s="1">
        <v>0</v>
      </c>
      <c r="D1295" s="9">
        <f t="shared" si="81"/>
        <v>0</v>
      </c>
      <c r="E1295" s="7" t="s">
        <v>8345</v>
      </c>
      <c r="F1295" s="10" t="str">
        <f t="shared" si="80"/>
        <v>insert into ins_premium_det (premium_rcv_code,assorted_code, rec_amount,premium_rcv_detail_code,remaining_amt, payrec, mode_code,coinsurance_code,class_cd,it_remarks) values</v>
      </c>
      <c r="G1295" s="11" t="str">
        <f t="shared" si="82"/>
        <v>('28Nov240101','040000150086','0',(select max(to_number(i.premium_rcv_detail_code))+1
from ins_premium_det i),'0','0','02', '11000003','00','Request by Mr. Omair Ali 29-Nov-2024');</v>
      </c>
      <c r="H1295" s="12" t="str">
        <f t="shared" si="83"/>
        <v>insert into ins_premium_det (premium_rcv_code,assorted_code, rec_amount,premium_rcv_detail_code,remaining_amt, payrec, mode_code,coinsurance_code,class_cd,it_remarks) values('28Nov240101','040000150086','0',(select max(to_number(i.premium_rcv_detail_code))+1
from ins_premium_det i),'0','0','02', '11000003','00','Request by Mr. Omair Ali 29-Nov-2024');</v>
      </c>
    </row>
    <row r="1296" spans="1:8" ht="105" x14ac:dyDescent="0.25">
      <c r="A1296" t="s">
        <v>1296</v>
      </c>
      <c r="B1296" s="8" t="str">
        <f>VLOOKUP(A1296,assortedcode!B:C,2,0)</f>
        <v>040000112667</v>
      </c>
      <c r="C1296" s="1">
        <v>0</v>
      </c>
      <c r="D1296" s="9">
        <f t="shared" si="81"/>
        <v>0</v>
      </c>
      <c r="E1296" s="7" t="s">
        <v>8345</v>
      </c>
      <c r="F1296" s="10" t="str">
        <f t="shared" si="80"/>
        <v>insert into ins_premium_det (premium_rcv_code,assorted_code, rec_amount,premium_rcv_detail_code,remaining_amt, payrec, mode_code,coinsurance_code,class_cd,it_remarks) values</v>
      </c>
      <c r="G1296" s="11" t="str">
        <f t="shared" si="82"/>
        <v>('28Nov240101','040000112667','0',(select max(to_number(i.premium_rcv_detail_code))+1
from ins_premium_det i),'0','0','02', '11000003','00','Request by Mr. Omair Ali 29-Nov-2024');</v>
      </c>
      <c r="H1296" s="12" t="str">
        <f t="shared" si="83"/>
        <v>insert into ins_premium_det (premium_rcv_code,assorted_code, rec_amount,premium_rcv_detail_code,remaining_amt, payrec, mode_code,coinsurance_code,class_cd,it_remarks) values('28Nov240101','040000112667','0',(select max(to_number(i.premium_rcv_detail_code))+1
from ins_premium_det i),'0','0','02', '11000003','00','Request by Mr. Omair Ali 29-Nov-2024');</v>
      </c>
    </row>
    <row r="1297" spans="1:8" ht="105" x14ac:dyDescent="0.25">
      <c r="A1297" t="s">
        <v>1297</v>
      </c>
      <c r="B1297" s="8" t="str">
        <f>VLOOKUP(A1297,assortedcode!B:C,2,0)</f>
        <v>040000154059</v>
      </c>
      <c r="C1297" s="1">
        <v>0</v>
      </c>
      <c r="D1297" s="9">
        <f t="shared" si="81"/>
        <v>0</v>
      </c>
      <c r="E1297" s="7" t="s">
        <v>8345</v>
      </c>
      <c r="F1297" s="10" t="str">
        <f t="shared" si="80"/>
        <v>insert into ins_premium_det (premium_rcv_code,assorted_code, rec_amount,premium_rcv_detail_code,remaining_amt, payrec, mode_code,coinsurance_code,class_cd,it_remarks) values</v>
      </c>
      <c r="G1297" s="11" t="str">
        <f t="shared" si="82"/>
        <v>('28Nov240101','040000154059','0',(select max(to_number(i.premium_rcv_detail_code))+1
from ins_premium_det i),'0','0','02', '11000003','00','Request by Mr. Omair Ali 29-Nov-2024');</v>
      </c>
      <c r="H1297" s="12" t="str">
        <f t="shared" si="83"/>
        <v>insert into ins_premium_det (premium_rcv_code,assorted_code, rec_amount,premium_rcv_detail_code,remaining_amt, payrec, mode_code,coinsurance_code,class_cd,it_remarks) values('28Nov240101','040000154059','0',(select max(to_number(i.premium_rcv_detail_code))+1
from ins_premium_det i),'0','0','02', '11000003','00','Request by Mr. Omair Ali 29-Nov-2024');</v>
      </c>
    </row>
    <row r="1298" spans="1:8" ht="105" x14ac:dyDescent="0.25">
      <c r="A1298" t="s">
        <v>1298</v>
      </c>
      <c r="B1298" s="8" t="str">
        <f>VLOOKUP(A1298,assortedcode!B:C,2,0)</f>
        <v>040000123426</v>
      </c>
      <c r="C1298" s="1">
        <v>0</v>
      </c>
      <c r="D1298" s="9">
        <f t="shared" si="81"/>
        <v>0</v>
      </c>
      <c r="E1298" s="7" t="s">
        <v>8345</v>
      </c>
      <c r="F1298" s="10" t="str">
        <f t="shared" si="80"/>
        <v>insert into ins_premium_det (premium_rcv_code,assorted_code, rec_amount,premium_rcv_detail_code,remaining_amt, payrec, mode_code,coinsurance_code,class_cd,it_remarks) values</v>
      </c>
      <c r="G1298" s="11" t="str">
        <f t="shared" si="82"/>
        <v>('28Nov240101','040000123426','0',(select max(to_number(i.premium_rcv_detail_code))+1
from ins_premium_det i),'0','0','02', '11000003','00','Request by Mr. Omair Ali 29-Nov-2024');</v>
      </c>
      <c r="H1298" s="12" t="str">
        <f t="shared" si="83"/>
        <v>insert into ins_premium_det (premium_rcv_code,assorted_code, rec_amount,premium_rcv_detail_code,remaining_amt, payrec, mode_code,coinsurance_code,class_cd,it_remarks) values('28Nov240101','040000123426','0',(select max(to_number(i.premium_rcv_detail_code))+1
from ins_premium_det i),'0','0','02', '11000003','00','Request by Mr. Omair Ali 29-Nov-2024');</v>
      </c>
    </row>
    <row r="1299" spans="1:8" ht="105" x14ac:dyDescent="0.25">
      <c r="A1299" t="s">
        <v>1299</v>
      </c>
      <c r="B1299" s="8" t="str">
        <f>VLOOKUP(A1299,assortedcode!B:C,2,0)</f>
        <v>040000158571</v>
      </c>
      <c r="C1299" s="1">
        <v>0</v>
      </c>
      <c r="D1299" s="9">
        <f t="shared" si="81"/>
        <v>0</v>
      </c>
      <c r="E1299" s="7" t="s">
        <v>8345</v>
      </c>
      <c r="F1299" s="10" t="str">
        <f t="shared" si="80"/>
        <v>insert into ins_premium_det (premium_rcv_code,assorted_code, rec_amount,premium_rcv_detail_code,remaining_amt, payrec, mode_code,coinsurance_code,class_cd,it_remarks) values</v>
      </c>
      <c r="G1299" s="11" t="str">
        <f t="shared" si="82"/>
        <v>('28Nov240101','040000158571','0',(select max(to_number(i.premium_rcv_detail_code))+1
from ins_premium_det i),'0','0','02', '11000003','00','Request by Mr. Omair Ali 29-Nov-2024');</v>
      </c>
      <c r="H1299" s="12" t="str">
        <f t="shared" si="83"/>
        <v>insert into ins_premium_det (premium_rcv_code,assorted_code, rec_amount,premium_rcv_detail_code,remaining_amt, payrec, mode_code,coinsurance_code,class_cd,it_remarks) values('28Nov240101','040000158571','0',(select max(to_number(i.premium_rcv_detail_code))+1
from ins_premium_det i),'0','0','02', '11000003','00','Request by Mr. Omair Ali 29-Nov-2024');</v>
      </c>
    </row>
    <row r="1300" spans="1:8" ht="105" x14ac:dyDescent="0.25">
      <c r="A1300" t="s">
        <v>1300</v>
      </c>
      <c r="B1300" s="8" t="str">
        <f>VLOOKUP(A1300,assortedcode!B:C,2,0)</f>
        <v>040000123626</v>
      </c>
      <c r="C1300" s="1">
        <v>0</v>
      </c>
      <c r="D1300" s="9">
        <f t="shared" si="81"/>
        <v>0</v>
      </c>
      <c r="E1300" s="7" t="s">
        <v>8345</v>
      </c>
      <c r="F1300" s="10" t="str">
        <f t="shared" si="80"/>
        <v>insert into ins_premium_det (premium_rcv_code,assorted_code, rec_amount,premium_rcv_detail_code,remaining_amt, payrec, mode_code,coinsurance_code,class_cd,it_remarks) values</v>
      </c>
      <c r="G1300" s="11" t="str">
        <f t="shared" si="82"/>
        <v>('28Nov240101','040000123626','0',(select max(to_number(i.premium_rcv_detail_code))+1
from ins_premium_det i),'0','0','02', '11000003','00','Request by Mr. Omair Ali 29-Nov-2024');</v>
      </c>
      <c r="H1300" s="12" t="str">
        <f t="shared" si="83"/>
        <v>insert into ins_premium_det (premium_rcv_code,assorted_code, rec_amount,premium_rcv_detail_code,remaining_amt, payrec, mode_code,coinsurance_code,class_cd,it_remarks) values('28Nov240101','040000123626','0',(select max(to_number(i.premium_rcv_detail_code))+1
from ins_premium_det i),'0','0','02', '11000003','00','Request by Mr. Omair Ali 29-Nov-2024');</v>
      </c>
    </row>
    <row r="1301" spans="1:8" ht="105" x14ac:dyDescent="0.25">
      <c r="A1301" t="s">
        <v>1301</v>
      </c>
      <c r="B1301" s="8" t="str">
        <f>VLOOKUP(A1301,assortedcode!B:C,2,0)</f>
        <v>040000107626</v>
      </c>
      <c r="C1301" s="1">
        <v>0</v>
      </c>
      <c r="D1301" s="9">
        <f t="shared" si="81"/>
        <v>0</v>
      </c>
      <c r="E1301" s="7" t="s">
        <v>8345</v>
      </c>
      <c r="F1301" s="10" t="str">
        <f t="shared" si="80"/>
        <v>insert into ins_premium_det (premium_rcv_code,assorted_code, rec_amount,premium_rcv_detail_code,remaining_amt, payrec, mode_code,coinsurance_code,class_cd,it_remarks) values</v>
      </c>
      <c r="G1301" s="11" t="str">
        <f t="shared" si="82"/>
        <v>('28Nov240101','040000107626','0',(select max(to_number(i.premium_rcv_detail_code))+1
from ins_premium_det i),'0','0','02', '11000003','00','Request by Mr. Omair Ali 29-Nov-2024');</v>
      </c>
      <c r="H1301" s="12" t="str">
        <f t="shared" si="83"/>
        <v>insert into ins_premium_det (premium_rcv_code,assorted_code, rec_amount,premium_rcv_detail_code,remaining_amt, payrec, mode_code,coinsurance_code,class_cd,it_remarks) values('28Nov240101','040000107626','0',(select max(to_number(i.premium_rcv_detail_code))+1
from ins_premium_det i),'0','0','02', '11000003','00','Request by Mr. Omair Ali 29-Nov-2024');</v>
      </c>
    </row>
    <row r="1302" spans="1:8" ht="105" x14ac:dyDescent="0.25">
      <c r="A1302" t="s">
        <v>1302</v>
      </c>
      <c r="B1302" s="8" t="str">
        <f>VLOOKUP(A1302,assortedcode!B:C,2,0)</f>
        <v>040000123639</v>
      </c>
      <c r="C1302" s="1">
        <v>0</v>
      </c>
      <c r="D1302" s="9">
        <f t="shared" si="81"/>
        <v>0</v>
      </c>
      <c r="E1302" s="7" t="s">
        <v>8345</v>
      </c>
      <c r="F1302" s="10" t="str">
        <f t="shared" si="80"/>
        <v>insert into ins_premium_det (premium_rcv_code,assorted_code, rec_amount,premium_rcv_detail_code,remaining_amt, payrec, mode_code,coinsurance_code,class_cd,it_remarks) values</v>
      </c>
      <c r="G1302" s="11" t="str">
        <f t="shared" si="82"/>
        <v>('28Nov240101','040000123639','0',(select max(to_number(i.premium_rcv_detail_code))+1
from ins_premium_det i),'0','0','02', '11000003','00','Request by Mr. Omair Ali 29-Nov-2024');</v>
      </c>
      <c r="H1302" s="12" t="str">
        <f t="shared" si="83"/>
        <v>insert into ins_premium_det (premium_rcv_code,assorted_code, rec_amount,premium_rcv_detail_code,remaining_amt, payrec, mode_code,coinsurance_code,class_cd,it_remarks) values('28Nov240101','040000123639','0',(select max(to_number(i.premium_rcv_detail_code))+1
from ins_premium_det i),'0','0','02', '11000003','00','Request by Mr. Omair Ali 29-Nov-2024');</v>
      </c>
    </row>
    <row r="1303" spans="1:8" ht="105" x14ac:dyDescent="0.25">
      <c r="A1303" t="s">
        <v>1303</v>
      </c>
      <c r="B1303" s="8" t="str">
        <f>VLOOKUP(A1303,assortedcode!B:C,2,0)</f>
        <v>040000107751</v>
      </c>
      <c r="C1303" s="1">
        <v>0</v>
      </c>
      <c r="D1303" s="9">
        <f t="shared" si="81"/>
        <v>0</v>
      </c>
      <c r="E1303" s="7" t="s">
        <v>8345</v>
      </c>
      <c r="F1303" s="10" t="str">
        <f t="shared" si="80"/>
        <v>insert into ins_premium_det (premium_rcv_code,assorted_code, rec_amount,premium_rcv_detail_code,remaining_amt, payrec, mode_code,coinsurance_code,class_cd,it_remarks) values</v>
      </c>
      <c r="G1303" s="11" t="str">
        <f t="shared" si="82"/>
        <v>('28Nov240101','040000107751','0',(select max(to_number(i.premium_rcv_detail_code))+1
from ins_premium_det i),'0','0','02', '11000003','00','Request by Mr. Omair Ali 29-Nov-2024');</v>
      </c>
      <c r="H1303" s="12" t="str">
        <f t="shared" si="83"/>
        <v>insert into ins_premium_det (premium_rcv_code,assorted_code, rec_amount,premium_rcv_detail_code,remaining_amt, payrec, mode_code,coinsurance_code,class_cd,it_remarks) values('28Nov240101','040000107751','0',(select max(to_number(i.premium_rcv_detail_code))+1
from ins_premium_det i),'0','0','02', '11000003','00','Request by Mr. Omair Ali 29-Nov-2024');</v>
      </c>
    </row>
    <row r="1304" spans="1:8" ht="105" x14ac:dyDescent="0.25">
      <c r="A1304" t="s">
        <v>1304</v>
      </c>
      <c r="B1304" s="8" t="str">
        <f>VLOOKUP(A1304,assortedcode!B:C,2,0)</f>
        <v>040000123704</v>
      </c>
      <c r="C1304" s="1">
        <v>0</v>
      </c>
      <c r="D1304" s="9">
        <f t="shared" si="81"/>
        <v>0</v>
      </c>
      <c r="E1304" s="7" t="s">
        <v>8345</v>
      </c>
      <c r="F1304" s="10" t="str">
        <f t="shared" si="80"/>
        <v>insert into ins_premium_det (premium_rcv_code,assorted_code, rec_amount,premium_rcv_detail_code,remaining_amt, payrec, mode_code,coinsurance_code,class_cd,it_remarks) values</v>
      </c>
      <c r="G1304" s="11" t="str">
        <f t="shared" si="82"/>
        <v>('28Nov240101','040000123704','0',(select max(to_number(i.premium_rcv_detail_code))+1
from ins_premium_det i),'0','0','02', '11000003','00','Request by Mr. Omair Ali 29-Nov-2024');</v>
      </c>
      <c r="H1304" s="12" t="str">
        <f t="shared" si="83"/>
        <v>insert into ins_premium_det (premium_rcv_code,assorted_code, rec_amount,premium_rcv_detail_code,remaining_amt, payrec, mode_code,coinsurance_code,class_cd,it_remarks) values('28Nov240101','040000123704','0',(select max(to_number(i.premium_rcv_detail_code))+1
from ins_premium_det i),'0','0','02', '11000003','00','Request by Mr. Omair Ali 29-Nov-2024');</v>
      </c>
    </row>
    <row r="1305" spans="1:8" ht="105" x14ac:dyDescent="0.25">
      <c r="A1305" t="s">
        <v>1305</v>
      </c>
      <c r="B1305" s="8" t="str">
        <f>VLOOKUP(A1305,assortedcode!B:C,2,0)</f>
        <v>040000131040</v>
      </c>
      <c r="C1305" s="1">
        <v>0</v>
      </c>
      <c r="D1305" s="9">
        <f t="shared" si="81"/>
        <v>0</v>
      </c>
      <c r="E1305" s="7" t="s">
        <v>8345</v>
      </c>
      <c r="F1305" s="10" t="str">
        <f t="shared" si="80"/>
        <v>insert into ins_premium_det (premium_rcv_code,assorted_code, rec_amount,premium_rcv_detail_code,remaining_amt, payrec, mode_code,coinsurance_code,class_cd,it_remarks) values</v>
      </c>
      <c r="G1305" s="11" t="str">
        <f t="shared" si="82"/>
        <v>('28Nov240101','040000131040','0',(select max(to_number(i.premium_rcv_detail_code))+1
from ins_premium_det i),'0','0','02', '11000003','00','Request by Mr. Omair Ali 29-Nov-2024');</v>
      </c>
      <c r="H1305" s="12" t="str">
        <f t="shared" si="83"/>
        <v>insert into ins_premium_det (premium_rcv_code,assorted_code, rec_amount,premium_rcv_detail_code,remaining_amt, payrec, mode_code,coinsurance_code,class_cd,it_remarks) values('28Nov240101','040000131040','0',(select max(to_number(i.premium_rcv_detail_code))+1
from ins_premium_det i),'0','0','02', '11000003','00','Request by Mr. Omair Ali 29-Nov-2024');</v>
      </c>
    </row>
    <row r="1306" spans="1:8" ht="105" x14ac:dyDescent="0.25">
      <c r="A1306" t="s">
        <v>1306</v>
      </c>
      <c r="B1306" s="8" t="str">
        <f>VLOOKUP(A1306,assortedcode!B:C,2,0)</f>
        <v>040000124398</v>
      </c>
      <c r="C1306" s="1">
        <v>0</v>
      </c>
      <c r="D1306" s="9">
        <f t="shared" si="81"/>
        <v>0</v>
      </c>
      <c r="E1306" s="7" t="s">
        <v>8345</v>
      </c>
      <c r="F1306" s="10" t="str">
        <f t="shared" si="80"/>
        <v>insert into ins_premium_det (premium_rcv_code,assorted_code, rec_amount,premium_rcv_detail_code,remaining_amt, payrec, mode_code,coinsurance_code,class_cd,it_remarks) values</v>
      </c>
      <c r="G1306" s="11" t="str">
        <f t="shared" si="82"/>
        <v>('28Nov240101','040000124398','0',(select max(to_number(i.premium_rcv_detail_code))+1
from ins_premium_det i),'0','0','02', '11000003','00','Request by Mr. Omair Ali 29-Nov-2024');</v>
      </c>
      <c r="H1306" s="12" t="str">
        <f t="shared" si="83"/>
        <v>insert into ins_premium_det (premium_rcv_code,assorted_code, rec_amount,premium_rcv_detail_code,remaining_amt, payrec, mode_code,coinsurance_code,class_cd,it_remarks) values('28Nov240101','040000124398','0',(select max(to_number(i.premium_rcv_detail_code))+1
from ins_premium_det i),'0','0','02', '11000003','00','Request by Mr. Omair Ali 29-Nov-2024');</v>
      </c>
    </row>
    <row r="1307" spans="1:8" ht="105" x14ac:dyDescent="0.25">
      <c r="A1307" t="s">
        <v>1307</v>
      </c>
      <c r="B1307" s="8" t="str">
        <f>VLOOKUP(A1307,assortedcode!B:C,2,0)</f>
        <v>040000108658</v>
      </c>
      <c r="C1307" s="1">
        <v>0</v>
      </c>
      <c r="D1307" s="9">
        <f t="shared" si="81"/>
        <v>0</v>
      </c>
      <c r="E1307" s="7" t="s">
        <v>8345</v>
      </c>
      <c r="F1307" s="10" t="str">
        <f t="shared" si="80"/>
        <v>insert into ins_premium_det (premium_rcv_code,assorted_code, rec_amount,premium_rcv_detail_code,remaining_amt, payrec, mode_code,coinsurance_code,class_cd,it_remarks) values</v>
      </c>
      <c r="G1307" s="11" t="str">
        <f t="shared" si="82"/>
        <v>('28Nov240101','040000108658','0',(select max(to_number(i.premium_rcv_detail_code))+1
from ins_premium_det i),'0','0','02', '11000003','00','Request by Mr. Omair Ali 29-Nov-2024');</v>
      </c>
      <c r="H1307" s="12" t="str">
        <f t="shared" si="83"/>
        <v>insert into ins_premium_det (premium_rcv_code,assorted_code, rec_amount,premium_rcv_detail_code,remaining_amt, payrec, mode_code,coinsurance_code,class_cd,it_remarks) values('28Nov240101','040000108658','0',(select max(to_number(i.premium_rcv_detail_code))+1
from ins_premium_det i),'0','0','02', '11000003','00','Request by Mr. Omair Ali 29-Nov-2024');</v>
      </c>
    </row>
    <row r="1308" spans="1:8" ht="105" x14ac:dyDescent="0.25">
      <c r="A1308" t="s">
        <v>1308</v>
      </c>
      <c r="B1308" s="8" t="str">
        <f>VLOOKUP(A1308,assortedcode!B:C,2,0)</f>
        <v>040000140747</v>
      </c>
      <c r="C1308" s="1">
        <v>0</v>
      </c>
      <c r="D1308" s="9">
        <f t="shared" si="81"/>
        <v>0</v>
      </c>
      <c r="E1308" s="7" t="s">
        <v>8345</v>
      </c>
      <c r="F1308" s="10" t="str">
        <f t="shared" si="80"/>
        <v>insert into ins_premium_det (premium_rcv_code,assorted_code, rec_amount,premium_rcv_detail_code,remaining_amt, payrec, mode_code,coinsurance_code,class_cd,it_remarks) values</v>
      </c>
      <c r="G1308" s="11" t="str">
        <f t="shared" si="82"/>
        <v>('28Nov240101','040000140747','0',(select max(to_number(i.premium_rcv_detail_code))+1
from ins_premium_det i),'0','0','02', '11000003','00','Request by Mr. Omair Ali 29-Nov-2024');</v>
      </c>
      <c r="H1308" s="12" t="str">
        <f t="shared" si="83"/>
        <v>insert into ins_premium_det (premium_rcv_code,assorted_code, rec_amount,premium_rcv_detail_code,remaining_amt, payrec, mode_code,coinsurance_code,class_cd,it_remarks) values('28Nov240101','040000140747','0',(select max(to_number(i.premium_rcv_detail_code))+1
from ins_premium_det i),'0','0','02', '11000003','00','Request by Mr. Omair Ali 29-Nov-2024');</v>
      </c>
    </row>
    <row r="1309" spans="1:8" ht="105" x14ac:dyDescent="0.25">
      <c r="A1309" t="s">
        <v>1309</v>
      </c>
      <c r="B1309" s="8" t="str">
        <f>VLOOKUP(A1309,assortedcode!B:C,2,0)</f>
        <v>040000108920</v>
      </c>
      <c r="C1309" s="1">
        <v>0</v>
      </c>
      <c r="D1309" s="9">
        <f t="shared" si="81"/>
        <v>0</v>
      </c>
      <c r="E1309" s="7" t="s">
        <v>8345</v>
      </c>
      <c r="F1309" s="10" t="str">
        <f t="shared" si="80"/>
        <v>insert into ins_premium_det (premium_rcv_code,assorted_code, rec_amount,premium_rcv_detail_code,remaining_amt, payrec, mode_code,coinsurance_code,class_cd,it_remarks) values</v>
      </c>
      <c r="G1309" s="11" t="str">
        <f t="shared" si="82"/>
        <v>('28Nov240101','040000108920','0',(select max(to_number(i.premium_rcv_detail_code))+1
from ins_premium_det i),'0','0','02', '11000003','00','Request by Mr. Omair Ali 29-Nov-2024');</v>
      </c>
      <c r="H1309" s="12" t="str">
        <f t="shared" si="83"/>
        <v>insert into ins_premium_det (premium_rcv_code,assorted_code, rec_amount,premium_rcv_detail_code,remaining_amt, payrec, mode_code,coinsurance_code,class_cd,it_remarks) values('28Nov240101','040000108920','0',(select max(to_number(i.premium_rcv_detail_code))+1
from ins_premium_det i),'0','0','02', '11000003','00','Request by Mr. Omair Ali 29-Nov-2024');</v>
      </c>
    </row>
    <row r="1310" spans="1:8" ht="105" x14ac:dyDescent="0.25">
      <c r="A1310" t="s">
        <v>1310</v>
      </c>
      <c r="B1310" s="8" t="str">
        <f>VLOOKUP(A1310,assortedcode!B:C,2,0)</f>
        <v>040000140749</v>
      </c>
      <c r="C1310" s="1">
        <v>0</v>
      </c>
      <c r="D1310" s="9">
        <f t="shared" si="81"/>
        <v>0</v>
      </c>
      <c r="E1310" s="7" t="s">
        <v>8345</v>
      </c>
      <c r="F1310" s="10" t="str">
        <f t="shared" si="80"/>
        <v>insert into ins_premium_det (premium_rcv_code,assorted_code, rec_amount,premium_rcv_detail_code,remaining_amt, payrec, mode_code,coinsurance_code,class_cd,it_remarks) values</v>
      </c>
      <c r="G1310" s="11" t="str">
        <f t="shared" si="82"/>
        <v>('28Nov240101','040000140749','0',(select max(to_number(i.premium_rcv_detail_code))+1
from ins_premium_det i),'0','0','02', '11000003','00','Request by Mr. Omair Ali 29-Nov-2024');</v>
      </c>
      <c r="H1310" s="12" t="str">
        <f t="shared" si="83"/>
        <v>insert into ins_premium_det (premium_rcv_code,assorted_code, rec_amount,premium_rcv_detail_code,remaining_amt, payrec, mode_code,coinsurance_code,class_cd,it_remarks) values('28Nov240101','040000140749','0',(select max(to_number(i.premium_rcv_detail_code))+1
from ins_premium_det i),'0','0','02', '11000003','00','Request by Mr. Omair Ali 29-Nov-2024');</v>
      </c>
    </row>
    <row r="1311" spans="1:8" ht="105" x14ac:dyDescent="0.25">
      <c r="A1311" t="s">
        <v>1311</v>
      </c>
      <c r="B1311" s="8" t="str">
        <f>VLOOKUP(A1311,assortedcode!B:C,2,0)</f>
        <v>040000109079</v>
      </c>
      <c r="C1311" s="1">
        <v>0</v>
      </c>
      <c r="D1311" s="9">
        <f t="shared" si="81"/>
        <v>0</v>
      </c>
      <c r="E1311" s="7" t="s">
        <v>8345</v>
      </c>
      <c r="F1311" s="10" t="str">
        <f t="shared" si="80"/>
        <v>insert into ins_premium_det (premium_rcv_code,assorted_code, rec_amount,premium_rcv_detail_code,remaining_amt, payrec, mode_code,coinsurance_code,class_cd,it_remarks) values</v>
      </c>
      <c r="G1311" s="11" t="str">
        <f t="shared" si="82"/>
        <v>('28Nov240101','040000109079','0',(select max(to_number(i.premium_rcv_detail_code))+1
from ins_premium_det i),'0','0','02', '11000003','00','Request by Mr. Omair Ali 29-Nov-2024');</v>
      </c>
      <c r="H1311" s="12" t="str">
        <f t="shared" si="83"/>
        <v>insert into ins_premium_det (premium_rcv_code,assorted_code, rec_amount,premium_rcv_detail_code,remaining_amt, payrec, mode_code,coinsurance_code,class_cd,it_remarks) values('28Nov240101','040000109079','0',(select max(to_number(i.premium_rcv_detail_code))+1
from ins_premium_det i),'0','0','02', '11000003','00','Request by Mr. Omair Ali 29-Nov-2024');</v>
      </c>
    </row>
    <row r="1312" spans="1:8" ht="105" x14ac:dyDescent="0.25">
      <c r="A1312" t="s">
        <v>1312</v>
      </c>
      <c r="B1312" s="8" t="str">
        <f>VLOOKUP(A1312,assortedcode!B:C,2,0)</f>
        <v>040000107594</v>
      </c>
      <c r="C1312" s="1">
        <v>0</v>
      </c>
      <c r="D1312" s="9">
        <f t="shared" si="81"/>
        <v>0</v>
      </c>
      <c r="E1312" s="7" t="s">
        <v>8345</v>
      </c>
      <c r="F1312" s="10" t="str">
        <f t="shared" si="80"/>
        <v>insert into ins_premium_det (premium_rcv_code,assorted_code, rec_amount,premium_rcv_detail_code,remaining_amt, payrec, mode_code,coinsurance_code,class_cd,it_remarks) values</v>
      </c>
      <c r="G1312" s="11" t="str">
        <f t="shared" si="82"/>
        <v>('28Nov240101','040000107594','0',(select max(to_number(i.premium_rcv_detail_code))+1
from ins_premium_det i),'0','0','02', '11000003','00','Request by Mr. Omair Ali 29-Nov-2024');</v>
      </c>
      <c r="H1312" s="12" t="str">
        <f t="shared" si="83"/>
        <v>insert into ins_premium_det (premium_rcv_code,assorted_code, rec_amount,premium_rcv_detail_code,remaining_amt, payrec, mode_code,coinsurance_code,class_cd,it_remarks) values('28Nov240101','040000107594','0',(select max(to_number(i.premium_rcv_detail_code))+1
from ins_premium_det i),'0','0','02', '11000003','00','Request by Mr. Omair Ali 29-Nov-2024');</v>
      </c>
    </row>
    <row r="1313" spans="1:8" ht="105" x14ac:dyDescent="0.25">
      <c r="A1313" t="s">
        <v>1313</v>
      </c>
      <c r="B1313" s="8" t="str">
        <f>VLOOKUP(A1313,assortedcode!B:C,2,0)</f>
        <v>040000149830</v>
      </c>
      <c r="C1313" s="1">
        <v>0</v>
      </c>
      <c r="D1313" s="9">
        <f t="shared" si="81"/>
        <v>0</v>
      </c>
      <c r="E1313" s="7" t="s">
        <v>8345</v>
      </c>
      <c r="F1313" s="10" t="str">
        <f t="shared" si="80"/>
        <v>insert into ins_premium_det (premium_rcv_code,assorted_code, rec_amount,premium_rcv_detail_code,remaining_amt, payrec, mode_code,coinsurance_code,class_cd,it_remarks) values</v>
      </c>
      <c r="G1313" s="11" t="str">
        <f t="shared" si="82"/>
        <v>('28Nov240101','040000149830','0',(select max(to_number(i.premium_rcv_detail_code))+1
from ins_premium_det i),'0','0','02', '11000003','00','Request by Mr. Omair Ali 29-Nov-2024');</v>
      </c>
      <c r="H1313" s="12" t="str">
        <f t="shared" si="83"/>
        <v>insert into ins_premium_det (premium_rcv_code,assorted_code, rec_amount,premium_rcv_detail_code,remaining_amt, payrec, mode_code,coinsurance_code,class_cd,it_remarks) values('28Nov240101','040000149830','0',(select max(to_number(i.premium_rcv_detail_code))+1
from ins_premium_det i),'0','0','02', '11000003','00','Request by Mr. Omair Ali 29-Nov-2024');</v>
      </c>
    </row>
    <row r="1314" spans="1:8" ht="105" x14ac:dyDescent="0.25">
      <c r="A1314" t="s">
        <v>1314</v>
      </c>
      <c r="B1314" s="8" t="str">
        <f>VLOOKUP(A1314,assortedcode!B:C,2,0)</f>
        <v>040000121590</v>
      </c>
      <c r="C1314" s="1">
        <v>0</v>
      </c>
      <c r="D1314" s="9">
        <f t="shared" si="81"/>
        <v>0</v>
      </c>
      <c r="E1314" s="7" t="s">
        <v>8345</v>
      </c>
      <c r="F1314" s="10" t="str">
        <f t="shared" si="80"/>
        <v>insert into ins_premium_det (premium_rcv_code,assorted_code, rec_amount,premium_rcv_detail_code,remaining_amt, payrec, mode_code,coinsurance_code,class_cd,it_remarks) values</v>
      </c>
      <c r="G1314" s="11" t="str">
        <f t="shared" si="82"/>
        <v>('28Nov240101','040000121590','0',(select max(to_number(i.premium_rcv_detail_code))+1
from ins_premium_det i),'0','0','02', '11000003','00','Request by Mr. Omair Ali 29-Nov-2024');</v>
      </c>
      <c r="H1314" s="12" t="str">
        <f t="shared" si="83"/>
        <v>insert into ins_premium_det (premium_rcv_code,assorted_code, rec_amount,premium_rcv_detail_code,remaining_amt, payrec, mode_code,coinsurance_code,class_cd,it_remarks) values('28Nov240101','040000121590','0',(select max(to_number(i.premium_rcv_detail_code))+1
from ins_premium_det i),'0','0','02', '11000003','00','Request by Mr. Omair Ali 29-Nov-2024');</v>
      </c>
    </row>
    <row r="1315" spans="1:8" ht="105" x14ac:dyDescent="0.25">
      <c r="A1315" t="s">
        <v>1315</v>
      </c>
      <c r="B1315" s="8" t="str">
        <f>VLOOKUP(A1315,assortedcode!B:C,2,0)</f>
        <v>040000154705</v>
      </c>
      <c r="C1315" s="1">
        <v>0</v>
      </c>
      <c r="D1315" s="9">
        <f t="shared" si="81"/>
        <v>0</v>
      </c>
      <c r="E1315" s="7" t="s">
        <v>8345</v>
      </c>
      <c r="F1315" s="10" t="str">
        <f t="shared" si="80"/>
        <v>insert into ins_premium_det (premium_rcv_code,assorted_code, rec_amount,premium_rcv_detail_code,remaining_amt, payrec, mode_code,coinsurance_code,class_cd,it_remarks) values</v>
      </c>
      <c r="G1315" s="11" t="str">
        <f t="shared" si="82"/>
        <v>('28Nov240101','040000154705','0',(select max(to_number(i.premium_rcv_detail_code))+1
from ins_premium_det i),'0','0','02', '11000003','00','Request by Mr. Omair Ali 29-Nov-2024');</v>
      </c>
      <c r="H1315" s="12" t="str">
        <f t="shared" si="83"/>
        <v>insert into ins_premium_det (premium_rcv_code,assorted_code, rec_amount,premium_rcv_detail_code,remaining_amt, payrec, mode_code,coinsurance_code,class_cd,it_remarks) values('28Nov240101','040000154705','0',(select max(to_number(i.premium_rcv_detail_code))+1
from ins_premium_det i),'0','0','02', '11000003','00','Request by Mr. Omair Ali 29-Nov-2024');</v>
      </c>
    </row>
    <row r="1316" spans="1:8" ht="105" x14ac:dyDescent="0.25">
      <c r="A1316" t="s">
        <v>1316</v>
      </c>
      <c r="B1316" s="8" t="str">
        <f>VLOOKUP(A1316,assortedcode!B:C,2,0)</f>
        <v>040000121676</v>
      </c>
      <c r="C1316" s="1">
        <v>0</v>
      </c>
      <c r="D1316" s="9">
        <f t="shared" si="81"/>
        <v>0</v>
      </c>
      <c r="E1316" s="7" t="s">
        <v>8345</v>
      </c>
      <c r="F1316" s="10" t="str">
        <f t="shared" si="80"/>
        <v>insert into ins_premium_det (premium_rcv_code,assorted_code, rec_amount,premium_rcv_detail_code,remaining_amt, payrec, mode_code,coinsurance_code,class_cd,it_remarks) values</v>
      </c>
      <c r="G1316" s="11" t="str">
        <f t="shared" si="82"/>
        <v>('28Nov240101','040000121676','0',(select max(to_number(i.premium_rcv_detail_code))+1
from ins_premium_det i),'0','0','02', '11000003','00','Request by Mr. Omair Ali 29-Nov-2024');</v>
      </c>
      <c r="H1316" s="12" t="str">
        <f t="shared" si="83"/>
        <v>insert into ins_premium_det (premium_rcv_code,assorted_code, rec_amount,premium_rcv_detail_code,remaining_amt, payrec, mode_code,coinsurance_code,class_cd,it_remarks) values('28Nov240101','040000121676','0',(select max(to_number(i.premium_rcv_detail_code))+1
from ins_premium_det i),'0','0','02', '11000003','00','Request by Mr. Omair Ali 29-Nov-2024');</v>
      </c>
    </row>
    <row r="1317" spans="1:8" ht="105" x14ac:dyDescent="0.25">
      <c r="A1317" t="s">
        <v>1317</v>
      </c>
      <c r="B1317" s="8" t="str">
        <f>VLOOKUP(A1317,assortedcode!B:C,2,0)</f>
        <v>040000125795</v>
      </c>
      <c r="C1317" s="1">
        <v>0</v>
      </c>
      <c r="D1317" s="9">
        <f t="shared" si="81"/>
        <v>0</v>
      </c>
      <c r="E1317" s="7" t="s">
        <v>8345</v>
      </c>
      <c r="F1317" s="10" t="str">
        <f t="shared" si="80"/>
        <v>insert into ins_premium_det (premium_rcv_code,assorted_code, rec_amount,premium_rcv_detail_code,remaining_amt, payrec, mode_code,coinsurance_code,class_cd,it_remarks) values</v>
      </c>
      <c r="G1317" s="11" t="str">
        <f t="shared" si="82"/>
        <v>('28Nov240101','040000125795','0',(select max(to_number(i.premium_rcv_detail_code))+1
from ins_premium_det i),'0','0','02', '11000003','00','Request by Mr. Omair Ali 29-Nov-2024');</v>
      </c>
      <c r="H1317" s="12" t="str">
        <f t="shared" si="83"/>
        <v>insert into ins_premium_det (premium_rcv_code,assorted_code, rec_amount,premium_rcv_detail_code,remaining_amt, payrec, mode_code,coinsurance_code,class_cd,it_remarks) values('28Nov240101','040000125795','0',(select max(to_number(i.premium_rcv_detail_code))+1
from ins_premium_det i),'0','0','02', '11000003','00','Request by Mr. Omair Ali 29-Nov-2024');</v>
      </c>
    </row>
    <row r="1318" spans="1:8" ht="105" x14ac:dyDescent="0.25">
      <c r="A1318" t="s">
        <v>1318</v>
      </c>
      <c r="B1318" s="8" t="str">
        <f>VLOOKUP(A1318,assortedcode!B:C,2,0)</f>
        <v>040000121844</v>
      </c>
      <c r="C1318" s="1">
        <v>0</v>
      </c>
      <c r="D1318" s="9">
        <f t="shared" si="81"/>
        <v>0</v>
      </c>
      <c r="E1318" s="7" t="s">
        <v>8345</v>
      </c>
      <c r="F1318" s="10" t="str">
        <f t="shared" si="80"/>
        <v>insert into ins_premium_det (premium_rcv_code,assorted_code, rec_amount,premium_rcv_detail_code,remaining_amt, payrec, mode_code,coinsurance_code,class_cd,it_remarks) values</v>
      </c>
      <c r="G1318" s="11" t="str">
        <f t="shared" si="82"/>
        <v>('28Nov240101','040000121844','0',(select max(to_number(i.premium_rcv_detail_code))+1
from ins_premium_det i),'0','0','02', '11000003','00','Request by Mr. Omair Ali 29-Nov-2024');</v>
      </c>
      <c r="H1318" s="12" t="str">
        <f t="shared" si="83"/>
        <v>insert into ins_premium_det (premium_rcv_code,assorted_code, rec_amount,premium_rcv_detail_code,remaining_amt, payrec, mode_code,coinsurance_code,class_cd,it_remarks) values('28Nov240101','040000121844','0',(select max(to_number(i.premium_rcv_detail_code))+1
from ins_premium_det i),'0','0','02', '11000003','00','Request by Mr. Omair Ali 29-Nov-2024');</v>
      </c>
    </row>
    <row r="1319" spans="1:8" ht="105" x14ac:dyDescent="0.25">
      <c r="A1319" t="s">
        <v>1319</v>
      </c>
      <c r="B1319" s="8" t="str">
        <f>VLOOKUP(A1319,assortedcode!B:C,2,0)</f>
        <v>040000108369</v>
      </c>
      <c r="C1319" s="1">
        <v>0</v>
      </c>
      <c r="D1319" s="9">
        <f t="shared" si="81"/>
        <v>0</v>
      </c>
      <c r="E1319" s="7" t="s">
        <v>8345</v>
      </c>
      <c r="F1319" s="10" t="str">
        <f t="shared" si="80"/>
        <v>insert into ins_premium_det (premium_rcv_code,assorted_code, rec_amount,premium_rcv_detail_code,remaining_amt, payrec, mode_code,coinsurance_code,class_cd,it_remarks) values</v>
      </c>
      <c r="G1319" s="11" t="str">
        <f t="shared" si="82"/>
        <v>('28Nov240101','040000108369','0',(select max(to_number(i.premium_rcv_detail_code))+1
from ins_premium_det i),'0','0','02', '11000003','00','Request by Mr. Omair Ali 29-Nov-2024');</v>
      </c>
      <c r="H1319" s="12" t="str">
        <f t="shared" si="83"/>
        <v>insert into ins_premium_det (premium_rcv_code,assorted_code, rec_amount,premium_rcv_detail_code,remaining_amt, payrec, mode_code,coinsurance_code,class_cd,it_remarks) values('28Nov240101','040000108369','0',(select max(to_number(i.premium_rcv_detail_code))+1
from ins_premium_det i),'0','0','02', '11000003','00','Request by Mr. Omair Ali 29-Nov-2024');</v>
      </c>
    </row>
    <row r="1320" spans="1:8" ht="105" x14ac:dyDescent="0.25">
      <c r="A1320" t="s">
        <v>1320</v>
      </c>
      <c r="B1320" s="8" t="str">
        <f>VLOOKUP(A1320,assortedcode!B:C,2,0)</f>
        <v>040000149144</v>
      </c>
      <c r="C1320" s="1">
        <v>0</v>
      </c>
      <c r="D1320" s="9">
        <f t="shared" si="81"/>
        <v>0</v>
      </c>
      <c r="E1320" s="7" t="s">
        <v>8345</v>
      </c>
      <c r="F1320" s="10" t="str">
        <f t="shared" si="80"/>
        <v>insert into ins_premium_det (premium_rcv_code,assorted_code, rec_amount,premium_rcv_detail_code,remaining_amt, payrec, mode_code,coinsurance_code,class_cd,it_remarks) values</v>
      </c>
      <c r="G1320" s="11" t="str">
        <f t="shared" si="82"/>
        <v>('28Nov240101','040000149144','0',(select max(to_number(i.premium_rcv_detail_code))+1
from ins_premium_det i),'0','0','02', '11000003','00','Request by Mr. Omair Ali 29-Nov-2024');</v>
      </c>
      <c r="H1320" s="12" t="str">
        <f t="shared" si="83"/>
        <v>insert into ins_premium_det (premium_rcv_code,assorted_code, rec_amount,premium_rcv_detail_code,remaining_amt, payrec, mode_code,coinsurance_code,class_cd,it_remarks) values('28Nov240101','040000149144','0',(select max(to_number(i.premium_rcv_detail_code))+1
from ins_premium_det i),'0','0','02', '11000003','00','Request by Mr. Omair Ali 29-Nov-2024');</v>
      </c>
    </row>
    <row r="1321" spans="1:8" ht="105" x14ac:dyDescent="0.25">
      <c r="A1321" t="s">
        <v>1321</v>
      </c>
      <c r="B1321" s="8" t="str">
        <f>VLOOKUP(A1321,assortedcode!B:C,2,0)</f>
        <v>040000109057</v>
      </c>
      <c r="C1321" s="1">
        <v>0</v>
      </c>
      <c r="D1321" s="9">
        <f t="shared" si="81"/>
        <v>0</v>
      </c>
      <c r="E1321" s="7" t="s">
        <v>8345</v>
      </c>
      <c r="F1321" s="10" t="str">
        <f t="shared" si="80"/>
        <v>insert into ins_premium_det (premium_rcv_code,assorted_code, rec_amount,premium_rcv_detail_code,remaining_amt, payrec, mode_code,coinsurance_code,class_cd,it_remarks) values</v>
      </c>
      <c r="G1321" s="11" t="str">
        <f t="shared" si="82"/>
        <v>('28Nov240101','040000109057','0',(select max(to_number(i.premium_rcv_detail_code))+1
from ins_premium_det i),'0','0','02', '11000003','00','Request by Mr. Omair Ali 29-Nov-2024');</v>
      </c>
      <c r="H1321" s="12" t="str">
        <f t="shared" si="83"/>
        <v>insert into ins_premium_det (premium_rcv_code,assorted_code, rec_amount,premium_rcv_detail_code,remaining_amt, payrec, mode_code,coinsurance_code,class_cd,it_remarks) values('28Nov240101','040000109057','0',(select max(to_number(i.premium_rcv_detail_code))+1
from ins_premium_det i),'0','0','02', '11000003','00','Request by Mr. Omair Ali 29-Nov-2024');</v>
      </c>
    </row>
    <row r="1322" spans="1:8" ht="105" x14ac:dyDescent="0.25">
      <c r="A1322" t="s">
        <v>1322</v>
      </c>
      <c r="B1322" s="8" t="str">
        <f>VLOOKUP(A1322,assortedcode!B:C,2,0)</f>
        <v>040000150465</v>
      </c>
      <c r="C1322" s="1">
        <v>0</v>
      </c>
      <c r="D1322" s="9">
        <f t="shared" si="81"/>
        <v>0</v>
      </c>
      <c r="E1322" s="7" t="s">
        <v>8345</v>
      </c>
      <c r="F1322" s="10" t="str">
        <f t="shared" si="80"/>
        <v>insert into ins_premium_det (premium_rcv_code,assorted_code, rec_amount,premium_rcv_detail_code,remaining_amt, payrec, mode_code,coinsurance_code,class_cd,it_remarks) values</v>
      </c>
      <c r="G1322" s="11" t="str">
        <f t="shared" si="82"/>
        <v>('28Nov240101','040000150465','0',(select max(to_number(i.premium_rcv_detail_code))+1
from ins_premium_det i),'0','0','02', '11000003','00','Request by Mr. Omair Ali 29-Nov-2024');</v>
      </c>
      <c r="H1322" s="12" t="str">
        <f t="shared" si="83"/>
        <v>insert into ins_premium_det (premium_rcv_code,assorted_code, rec_amount,premium_rcv_detail_code,remaining_amt, payrec, mode_code,coinsurance_code,class_cd,it_remarks) values('28Nov240101','040000150465','0',(select max(to_number(i.premium_rcv_detail_code))+1
from ins_premium_det i),'0','0','02', '11000003','00','Request by Mr. Omair Ali 29-Nov-2024');</v>
      </c>
    </row>
    <row r="1323" spans="1:8" ht="105" x14ac:dyDescent="0.25">
      <c r="A1323" t="s">
        <v>1323</v>
      </c>
      <c r="B1323" s="8" t="str">
        <f>VLOOKUP(A1323,assortedcode!B:C,2,0)</f>
        <v>040000151099</v>
      </c>
      <c r="C1323" s="1">
        <v>0</v>
      </c>
      <c r="D1323" s="9">
        <f t="shared" si="81"/>
        <v>0</v>
      </c>
      <c r="E1323" s="7" t="s">
        <v>8345</v>
      </c>
      <c r="F1323" s="10" t="str">
        <f t="shared" si="80"/>
        <v>insert into ins_premium_det (premium_rcv_code,assorted_code, rec_amount,premium_rcv_detail_code,remaining_amt, payrec, mode_code,coinsurance_code,class_cd,it_remarks) values</v>
      </c>
      <c r="G1323" s="11" t="str">
        <f t="shared" si="82"/>
        <v>('28Nov240101','040000151099','0',(select max(to_number(i.premium_rcv_detail_code))+1
from ins_premium_det i),'0','0','02', '11000003','00','Request by Mr. Omair Ali 29-Nov-2024');</v>
      </c>
      <c r="H1323" s="12" t="str">
        <f t="shared" si="83"/>
        <v>insert into ins_premium_det (premium_rcv_code,assorted_code, rec_amount,premium_rcv_detail_code,remaining_amt, payrec, mode_code,coinsurance_code,class_cd,it_remarks) values('28Nov240101','040000151099','0',(select max(to_number(i.premium_rcv_detail_code))+1
from ins_premium_det i),'0','0','02', '11000003','00','Request by Mr. Omair Ali 29-Nov-2024');</v>
      </c>
    </row>
    <row r="1324" spans="1:8" ht="105" x14ac:dyDescent="0.25">
      <c r="A1324" t="s">
        <v>1324</v>
      </c>
      <c r="B1324" s="8" t="str">
        <f>VLOOKUP(A1324,assortedcode!B:C,2,0)</f>
        <v>040000155011</v>
      </c>
      <c r="C1324" s="1">
        <v>0</v>
      </c>
      <c r="D1324" s="9">
        <f t="shared" si="81"/>
        <v>0</v>
      </c>
      <c r="E1324" s="7" t="s">
        <v>8345</v>
      </c>
      <c r="F1324" s="10" t="str">
        <f t="shared" si="80"/>
        <v>insert into ins_premium_det (premium_rcv_code,assorted_code, rec_amount,premium_rcv_detail_code,remaining_amt, payrec, mode_code,coinsurance_code,class_cd,it_remarks) values</v>
      </c>
      <c r="G1324" s="11" t="str">
        <f t="shared" si="82"/>
        <v>('28Nov240101','040000155011','0',(select max(to_number(i.premium_rcv_detail_code))+1
from ins_premium_det i),'0','0','02', '11000003','00','Request by Mr. Omair Ali 29-Nov-2024');</v>
      </c>
      <c r="H1324" s="12" t="str">
        <f t="shared" si="83"/>
        <v>insert into ins_premium_det (premium_rcv_code,assorted_code, rec_amount,premium_rcv_detail_code,remaining_amt, payrec, mode_code,coinsurance_code,class_cd,it_remarks) values('28Nov240101','040000155011','0',(select max(to_number(i.premium_rcv_detail_code))+1
from ins_premium_det i),'0','0','02', '11000003','00','Request by Mr. Omair Ali 29-Nov-2024');</v>
      </c>
    </row>
    <row r="1325" spans="1:8" ht="105" x14ac:dyDescent="0.25">
      <c r="A1325" t="s">
        <v>1325</v>
      </c>
      <c r="B1325" s="8" t="str">
        <f>VLOOKUP(A1325,assortedcode!B:C,2,0)</f>
        <v>040000129475</v>
      </c>
      <c r="C1325" s="1">
        <v>0</v>
      </c>
      <c r="D1325" s="9">
        <f t="shared" si="81"/>
        <v>0</v>
      </c>
      <c r="E1325" s="7" t="s">
        <v>8345</v>
      </c>
      <c r="F1325" s="10" t="str">
        <f t="shared" si="80"/>
        <v>insert into ins_premium_det (premium_rcv_code,assorted_code, rec_amount,premium_rcv_detail_code,remaining_amt, payrec, mode_code,coinsurance_code,class_cd,it_remarks) values</v>
      </c>
      <c r="G1325" s="11" t="str">
        <f t="shared" si="82"/>
        <v>('28Nov240101','040000129475','0',(select max(to_number(i.premium_rcv_detail_code))+1
from ins_premium_det i),'0','0','02', '11000003','00','Request by Mr. Omair Ali 29-Nov-2024');</v>
      </c>
      <c r="H1325" s="12" t="str">
        <f t="shared" si="83"/>
        <v>insert into ins_premium_det (premium_rcv_code,assorted_code, rec_amount,premium_rcv_detail_code,remaining_amt, payrec, mode_code,coinsurance_code,class_cd,it_remarks) values('28Nov240101','040000129475','0',(select max(to_number(i.premium_rcv_detail_code))+1
from ins_premium_det i),'0','0','02', '11000003','00','Request by Mr. Omair Ali 29-Nov-2024');</v>
      </c>
    </row>
    <row r="1326" spans="1:8" ht="105" x14ac:dyDescent="0.25">
      <c r="A1326" t="s">
        <v>1326</v>
      </c>
      <c r="B1326" s="8" t="str">
        <f>VLOOKUP(A1326,assortedcode!B:C,2,0)</f>
        <v>040000155316</v>
      </c>
      <c r="C1326" s="1">
        <v>0</v>
      </c>
      <c r="D1326" s="9">
        <f t="shared" si="81"/>
        <v>0</v>
      </c>
      <c r="E1326" s="7" t="s">
        <v>8345</v>
      </c>
      <c r="F1326" s="10" t="str">
        <f t="shared" si="80"/>
        <v>insert into ins_premium_det (premium_rcv_code,assorted_code, rec_amount,premium_rcv_detail_code,remaining_amt, payrec, mode_code,coinsurance_code,class_cd,it_remarks) values</v>
      </c>
      <c r="G1326" s="11" t="str">
        <f t="shared" si="82"/>
        <v>('28Nov240101','040000155316','0',(select max(to_number(i.premium_rcv_detail_code))+1
from ins_premium_det i),'0','0','02', '11000003','00','Request by Mr. Omair Ali 29-Nov-2024');</v>
      </c>
      <c r="H1326" s="12" t="str">
        <f t="shared" si="83"/>
        <v>insert into ins_premium_det (premium_rcv_code,assorted_code, rec_amount,premium_rcv_detail_code,remaining_amt, payrec, mode_code,coinsurance_code,class_cd,it_remarks) values('28Nov240101','040000155316','0',(select max(to_number(i.premium_rcv_detail_code))+1
from ins_premium_det i),'0','0','02', '11000003','00','Request by Mr. Omair Ali 29-Nov-2024');</v>
      </c>
    </row>
    <row r="1327" spans="1:8" ht="105" x14ac:dyDescent="0.25">
      <c r="A1327" t="s">
        <v>1327</v>
      </c>
      <c r="B1327" s="8" t="str">
        <f>VLOOKUP(A1327,assortedcode!B:C,2,0)</f>
        <v>040000106490</v>
      </c>
      <c r="C1327" s="1">
        <v>0</v>
      </c>
      <c r="D1327" s="9">
        <f t="shared" si="81"/>
        <v>0</v>
      </c>
      <c r="E1327" s="7" t="s">
        <v>8345</v>
      </c>
      <c r="F1327" s="10" t="str">
        <f t="shared" si="80"/>
        <v>insert into ins_premium_det (premium_rcv_code,assorted_code, rec_amount,premium_rcv_detail_code,remaining_amt, payrec, mode_code,coinsurance_code,class_cd,it_remarks) values</v>
      </c>
      <c r="G1327" s="11" t="str">
        <f t="shared" si="82"/>
        <v>('28Nov240101','040000106490','0',(select max(to_number(i.premium_rcv_detail_code))+1
from ins_premium_det i),'0','0','02', '11000003','00','Request by Mr. Omair Ali 29-Nov-2024');</v>
      </c>
      <c r="H1327" s="12" t="str">
        <f t="shared" si="83"/>
        <v>insert into ins_premium_det (premium_rcv_code,assorted_code, rec_amount,premium_rcv_detail_code,remaining_amt, payrec, mode_code,coinsurance_code,class_cd,it_remarks) values('28Nov240101','040000106490','0',(select max(to_number(i.premium_rcv_detail_code))+1
from ins_premium_det i),'0','0','02', '11000003','00','Request by Mr. Omair Ali 29-Nov-2024');</v>
      </c>
    </row>
    <row r="1328" spans="1:8" ht="105" x14ac:dyDescent="0.25">
      <c r="A1328" t="s">
        <v>1328</v>
      </c>
      <c r="B1328" s="8" t="str">
        <f>VLOOKUP(A1328,assortedcode!B:C,2,0)</f>
        <v>040000147909</v>
      </c>
      <c r="C1328" s="1">
        <v>0</v>
      </c>
      <c r="D1328" s="9">
        <f t="shared" si="81"/>
        <v>0</v>
      </c>
      <c r="E1328" s="7" t="s">
        <v>8345</v>
      </c>
      <c r="F1328" s="10" t="str">
        <f t="shared" si="80"/>
        <v>insert into ins_premium_det (premium_rcv_code,assorted_code, rec_amount,premium_rcv_detail_code,remaining_amt, payrec, mode_code,coinsurance_code,class_cd,it_remarks) values</v>
      </c>
      <c r="G1328" s="11" t="str">
        <f t="shared" si="82"/>
        <v>('28Nov240101','040000147909','0',(select max(to_number(i.premium_rcv_detail_code))+1
from ins_premium_det i),'0','0','02', '11000003','00','Request by Mr. Omair Ali 29-Nov-2024');</v>
      </c>
      <c r="H1328" s="12" t="str">
        <f t="shared" si="83"/>
        <v>insert into ins_premium_det (premium_rcv_code,assorted_code, rec_amount,premium_rcv_detail_code,remaining_amt, payrec, mode_code,coinsurance_code,class_cd,it_remarks) values('28Nov240101','040000147909','0',(select max(to_number(i.premium_rcv_detail_code))+1
from ins_premium_det i),'0','0','02', '11000003','00','Request by Mr. Omair Ali 29-Nov-2024');</v>
      </c>
    </row>
    <row r="1329" spans="1:8" ht="105" x14ac:dyDescent="0.25">
      <c r="A1329" t="s">
        <v>1329</v>
      </c>
      <c r="B1329" s="8" t="str">
        <f>VLOOKUP(A1329,assortedcode!B:C,2,0)</f>
        <v>040000138854</v>
      </c>
      <c r="C1329" s="1">
        <v>0</v>
      </c>
      <c r="D1329" s="9">
        <f t="shared" si="81"/>
        <v>0</v>
      </c>
      <c r="E1329" s="7" t="s">
        <v>8345</v>
      </c>
      <c r="F1329" s="10" t="str">
        <f t="shared" si="80"/>
        <v>insert into ins_premium_det (premium_rcv_code,assorted_code, rec_amount,premium_rcv_detail_code,remaining_amt, payrec, mode_code,coinsurance_code,class_cd,it_remarks) values</v>
      </c>
      <c r="G1329" s="11" t="str">
        <f t="shared" si="82"/>
        <v>('28Nov240101','040000138854','0',(select max(to_number(i.premium_rcv_detail_code))+1
from ins_premium_det i),'0','0','02', '11000003','00','Request by Mr. Omair Ali 29-Nov-2024');</v>
      </c>
      <c r="H1329" s="12" t="str">
        <f t="shared" si="83"/>
        <v>insert into ins_premium_det (premium_rcv_code,assorted_code, rec_amount,premium_rcv_detail_code,remaining_amt, payrec, mode_code,coinsurance_code,class_cd,it_remarks) values('28Nov240101','040000138854','0',(select max(to_number(i.premium_rcv_detail_code))+1
from ins_premium_det i),'0','0','02', '11000003','00','Request by Mr. Omair Ali 29-Nov-2024');</v>
      </c>
    </row>
    <row r="1330" spans="1:8" ht="105" x14ac:dyDescent="0.25">
      <c r="A1330" t="s">
        <v>1330</v>
      </c>
      <c r="B1330" s="8" t="str">
        <f>VLOOKUP(A1330,assortedcode!B:C,2,0)</f>
        <v>040000147912</v>
      </c>
      <c r="C1330" s="1">
        <v>0</v>
      </c>
      <c r="D1330" s="9">
        <f t="shared" si="81"/>
        <v>0</v>
      </c>
      <c r="E1330" s="7" t="s">
        <v>8345</v>
      </c>
      <c r="F1330" s="10" t="str">
        <f t="shared" si="80"/>
        <v>insert into ins_premium_det (premium_rcv_code,assorted_code, rec_amount,premium_rcv_detail_code,remaining_amt, payrec, mode_code,coinsurance_code,class_cd,it_remarks) values</v>
      </c>
      <c r="G1330" s="11" t="str">
        <f t="shared" si="82"/>
        <v>('28Nov240101','040000147912','0',(select max(to_number(i.premium_rcv_detail_code))+1
from ins_premium_det i),'0','0','02', '11000003','00','Request by Mr. Omair Ali 29-Nov-2024');</v>
      </c>
      <c r="H1330" s="12" t="str">
        <f t="shared" si="83"/>
        <v>insert into ins_premium_det (premium_rcv_code,assorted_code, rec_amount,premium_rcv_detail_code,remaining_amt, payrec, mode_code,coinsurance_code,class_cd,it_remarks) values('28Nov240101','040000147912','0',(select max(to_number(i.premium_rcv_detail_code))+1
from ins_premium_det i),'0','0','02', '11000003','00','Request by Mr. Omair Ali 29-Nov-2024');</v>
      </c>
    </row>
    <row r="1331" spans="1:8" ht="105" x14ac:dyDescent="0.25">
      <c r="A1331" t="s">
        <v>1331</v>
      </c>
      <c r="B1331" s="8" t="str">
        <f>VLOOKUP(A1331,assortedcode!B:C,2,0)</f>
        <v>040000123521</v>
      </c>
      <c r="C1331" s="1">
        <v>0</v>
      </c>
      <c r="D1331" s="9">
        <f t="shared" si="81"/>
        <v>0</v>
      </c>
      <c r="E1331" s="7" t="s">
        <v>8345</v>
      </c>
      <c r="F1331" s="10" t="str">
        <f t="shared" si="80"/>
        <v>insert into ins_premium_det (premium_rcv_code,assorted_code, rec_amount,premium_rcv_detail_code,remaining_amt, payrec, mode_code,coinsurance_code,class_cd,it_remarks) values</v>
      </c>
      <c r="G1331" s="11" t="str">
        <f t="shared" si="82"/>
        <v>('28Nov240101','040000123521','0',(select max(to_number(i.premium_rcv_detail_code))+1
from ins_premium_det i),'0','0','02', '11000003','00','Request by Mr. Omair Ali 29-Nov-2024');</v>
      </c>
      <c r="H1331" s="12" t="str">
        <f t="shared" si="83"/>
        <v>insert into ins_premium_det (premium_rcv_code,assorted_code, rec_amount,premium_rcv_detail_code,remaining_amt, payrec, mode_code,coinsurance_code,class_cd,it_remarks) values('28Nov240101','040000123521','0',(select max(to_number(i.premium_rcv_detail_code))+1
from ins_premium_det i),'0','0','02', '11000003','00','Request by Mr. Omair Ali 29-Nov-2024');</v>
      </c>
    </row>
    <row r="1332" spans="1:8" ht="105" x14ac:dyDescent="0.25">
      <c r="A1332" t="s">
        <v>1332</v>
      </c>
      <c r="B1332" s="8" t="str">
        <f>VLOOKUP(A1332,assortedcode!B:C,2,0)</f>
        <v>040000184086</v>
      </c>
      <c r="C1332" s="1">
        <v>0</v>
      </c>
      <c r="D1332" s="9">
        <f t="shared" si="81"/>
        <v>0</v>
      </c>
      <c r="E1332" s="7" t="s">
        <v>8345</v>
      </c>
      <c r="F1332" s="10" t="str">
        <f t="shared" si="80"/>
        <v>insert into ins_premium_det (premium_rcv_code,assorted_code, rec_amount,premium_rcv_detail_code,remaining_amt, payrec, mode_code,coinsurance_code,class_cd,it_remarks) values</v>
      </c>
      <c r="G1332" s="11" t="str">
        <f t="shared" si="82"/>
        <v>('28Nov240101','040000184086','0',(select max(to_number(i.premium_rcv_detail_code))+1
from ins_premium_det i),'0','0','02', '11000003','00','Request by Mr. Omair Ali 29-Nov-2024');</v>
      </c>
      <c r="H1332" s="12" t="str">
        <f t="shared" si="83"/>
        <v>insert into ins_premium_det (premium_rcv_code,assorted_code, rec_amount,premium_rcv_detail_code,remaining_amt, payrec, mode_code,coinsurance_code,class_cd,it_remarks) values('28Nov240101','040000184086','0',(select max(to_number(i.premium_rcv_detail_code))+1
from ins_premium_det i),'0','0','02', '11000003','00','Request by Mr. Omair Ali 29-Nov-2024');</v>
      </c>
    </row>
    <row r="1333" spans="1:8" ht="105" x14ac:dyDescent="0.25">
      <c r="A1333" t="s">
        <v>1333</v>
      </c>
      <c r="B1333" s="8" t="str">
        <f>VLOOKUP(A1333,assortedcode!B:C,2,0)</f>
        <v>040000103826</v>
      </c>
      <c r="C1333" s="1">
        <v>1.4551901350579044E-13</v>
      </c>
      <c r="D1333" s="9">
        <f t="shared" si="81"/>
        <v>0</v>
      </c>
      <c r="E1333" s="7" t="s">
        <v>8345</v>
      </c>
      <c r="F1333" s="10" t="str">
        <f t="shared" si="80"/>
        <v>insert into ins_premium_det (premium_rcv_code,assorted_code, rec_amount,premium_rcv_detail_code,remaining_amt, payrec, mode_code,coinsurance_code,class_cd,it_remarks) values</v>
      </c>
      <c r="G1333" s="11" t="str">
        <f t="shared" si="82"/>
        <v>('28Nov240101','040000103826','0',(select max(to_number(i.premium_rcv_detail_code))+1
from ins_premium_det i),'0','0','02', '11000003','00','Request by Mr. Omair Ali 29-Nov-2024');</v>
      </c>
      <c r="H1333" s="12" t="str">
        <f t="shared" si="83"/>
        <v>insert into ins_premium_det (premium_rcv_code,assorted_code, rec_amount,premium_rcv_detail_code,remaining_amt, payrec, mode_code,coinsurance_code,class_cd,it_remarks) values('28Nov240101','040000103826','0',(select max(to_number(i.premium_rcv_detail_code))+1
from ins_premium_det i),'0','0','02', '11000003','00','Request by Mr. Omair Ali 29-Nov-2024');</v>
      </c>
    </row>
    <row r="1334" spans="1:8" ht="105" x14ac:dyDescent="0.25">
      <c r="A1334" t="s">
        <v>1334</v>
      </c>
      <c r="B1334" s="8" t="str">
        <f>VLOOKUP(A1334,assortedcode!B:C,2,0)</f>
        <v>040000138744</v>
      </c>
      <c r="C1334" s="1">
        <v>5.8206217623535395E-13</v>
      </c>
      <c r="D1334" s="9">
        <f t="shared" si="81"/>
        <v>0</v>
      </c>
      <c r="E1334" s="7" t="s">
        <v>8345</v>
      </c>
      <c r="F1334" s="10" t="str">
        <f t="shared" si="80"/>
        <v>insert into ins_premium_det (premium_rcv_code,assorted_code, rec_amount,premium_rcv_detail_code,remaining_amt, payrec, mode_code,coinsurance_code,class_cd,it_remarks) values</v>
      </c>
      <c r="G1334" s="11" t="str">
        <f t="shared" si="82"/>
        <v>('28Nov240101','040000138744','0',(select max(to_number(i.premium_rcv_detail_code))+1
from ins_premium_det i),'0','0','02', '11000003','00','Request by Mr. Omair Ali 29-Nov-2024');</v>
      </c>
      <c r="H1334" s="12" t="str">
        <f t="shared" si="83"/>
        <v>insert into ins_premium_det (premium_rcv_code,assorted_code, rec_amount,premium_rcv_detail_code,remaining_amt, payrec, mode_code,coinsurance_code,class_cd,it_remarks) values('28Nov240101','040000138744','0',(select max(to_number(i.premium_rcv_detail_code))+1
from ins_premium_det i),'0','0','02', '11000003','00','Request by Mr. Omair Ali 29-Nov-2024');</v>
      </c>
    </row>
    <row r="1335" spans="1:8" ht="105" x14ac:dyDescent="0.25">
      <c r="A1335" t="s">
        <v>1335</v>
      </c>
      <c r="B1335" s="8" t="str">
        <f>VLOOKUP(A1335,assortedcode!B:C,2,0)</f>
        <v>040000149287</v>
      </c>
      <c r="C1335" s="1">
        <v>8.7311491370201108E-13</v>
      </c>
      <c r="D1335" s="9">
        <f t="shared" si="81"/>
        <v>0</v>
      </c>
      <c r="E1335" s="7" t="s">
        <v>8345</v>
      </c>
      <c r="F1335" s="10" t="str">
        <f t="shared" si="80"/>
        <v>insert into ins_premium_det (premium_rcv_code,assorted_code, rec_amount,premium_rcv_detail_code,remaining_amt, payrec, mode_code,coinsurance_code,class_cd,it_remarks) values</v>
      </c>
      <c r="G1335" s="11" t="str">
        <f t="shared" si="82"/>
        <v>('28Nov240101','040000149287','0',(select max(to_number(i.premium_rcv_detail_code))+1
from ins_premium_det i),'0','0','02', '11000003','00','Request by Mr. Omair Ali 29-Nov-2024');</v>
      </c>
      <c r="H1335" s="12" t="str">
        <f t="shared" si="83"/>
        <v>insert into ins_premium_det (premium_rcv_code,assorted_code, rec_amount,premium_rcv_detail_code,remaining_amt, payrec, mode_code,coinsurance_code,class_cd,it_remarks) values('28Nov240101','040000149287','0',(select max(to_number(i.premium_rcv_detail_code))+1
from ins_premium_det i),'0','0','02', '11000003','00','Request by Mr. Omair Ali 29-Nov-2024');</v>
      </c>
    </row>
    <row r="1336" spans="1:8" ht="105" x14ac:dyDescent="0.25">
      <c r="A1336" t="s">
        <v>1336</v>
      </c>
      <c r="B1336" s="8" t="str">
        <f>VLOOKUP(A1336,assortedcode!B:C,2,0)</f>
        <v>040000146501</v>
      </c>
      <c r="C1336" s="1">
        <v>8.7311491370201108E-13</v>
      </c>
      <c r="D1336" s="9">
        <f t="shared" si="81"/>
        <v>0</v>
      </c>
      <c r="E1336" s="7" t="s">
        <v>8345</v>
      </c>
      <c r="F1336" s="10" t="str">
        <f t="shared" si="80"/>
        <v>insert into ins_premium_det (premium_rcv_code,assorted_code, rec_amount,premium_rcv_detail_code,remaining_amt, payrec, mode_code,coinsurance_code,class_cd,it_remarks) values</v>
      </c>
      <c r="G1336" s="11" t="str">
        <f t="shared" si="82"/>
        <v>('28Nov240101','040000146501','0',(select max(to_number(i.premium_rcv_detail_code))+1
from ins_premium_det i),'0','0','02', '11000003','00','Request by Mr. Omair Ali 29-Nov-2024');</v>
      </c>
      <c r="H1336" s="12" t="str">
        <f t="shared" si="83"/>
        <v>insert into ins_premium_det (premium_rcv_code,assorted_code, rec_amount,premium_rcv_detail_code,remaining_amt, payrec, mode_code,coinsurance_code,class_cd,it_remarks) values('28Nov240101','040000146501','0',(select max(to_number(i.premium_rcv_detail_code))+1
from ins_premium_det i),'0','0','02', '11000003','00','Request by Mr. Omair Ali 29-Nov-2024');</v>
      </c>
    </row>
    <row r="1337" spans="1:8" ht="105" x14ac:dyDescent="0.25">
      <c r="A1337" t="s">
        <v>1337</v>
      </c>
      <c r="B1337" s="8" t="str">
        <f>VLOOKUP(A1337,assortedcode!B:C,2,0)</f>
        <v>070000160325</v>
      </c>
      <c r="C1337" s="1">
        <v>3.9999999990686777E-2</v>
      </c>
      <c r="D1337" s="9">
        <f t="shared" si="81"/>
        <v>0</v>
      </c>
      <c r="E1337" s="7" t="s">
        <v>8345</v>
      </c>
      <c r="F1337" s="10" t="str">
        <f t="shared" si="80"/>
        <v>insert into ins_premium_det (premium_rcv_code,assorted_code, rec_amount,premium_rcv_detail_code,remaining_amt, payrec, mode_code,coinsurance_code,class_cd,it_remarks) values</v>
      </c>
      <c r="G1337" s="11" t="str">
        <f t="shared" si="82"/>
        <v>('28Nov240101','070000160325','0',(select max(to_number(i.premium_rcv_detail_code))+1
from ins_premium_det i),'0','0','02', '11000003','00','Request by Mr. Omair Ali 29-Nov-2024');</v>
      </c>
      <c r="H1337" s="12" t="str">
        <f t="shared" si="83"/>
        <v>insert into ins_premium_det (premium_rcv_code,assorted_code, rec_amount,premium_rcv_detail_code,remaining_amt, payrec, mode_code,coinsurance_code,class_cd,it_remarks) values('28Nov240101','070000160325','0',(select max(to_number(i.premium_rcv_detail_code))+1
from ins_premium_det i),'0','0','02', '11000003','00','Request by Mr. Omair Ali 29-Nov-2024');</v>
      </c>
    </row>
    <row r="1338" spans="1:8" ht="105" x14ac:dyDescent="0.25">
      <c r="A1338" t="s">
        <v>1338</v>
      </c>
      <c r="B1338" s="8" t="str">
        <f>VLOOKUP(A1338,assortedcode!B:C,2,0)</f>
        <v>070000155610</v>
      </c>
      <c r="C1338" s="1">
        <v>0.04</v>
      </c>
      <c r="D1338" s="9">
        <f t="shared" si="81"/>
        <v>0</v>
      </c>
      <c r="E1338" s="7" t="s">
        <v>8345</v>
      </c>
      <c r="F1338" s="10" t="str">
        <f t="shared" si="80"/>
        <v>insert into ins_premium_det (premium_rcv_code,assorted_code, rec_amount,premium_rcv_detail_code,remaining_amt, payrec, mode_code,coinsurance_code,class_cd,it_remarks) values</v>
      </c>
      <c r="G1338" s="11" t="str">
        <f t="shared" si="82"/>
        <v>('28Nov240101','070000155610','0',(select max(to_number(i.premium_rcv_detail_code))+1
from ins_premium_det i),'0','0','02', '11000003','00','Request by Mr. Omair Ali 29-Nov-2024');</v>
      </c>
      <c r="H1338" s="12" t="str">
        <f t="shared" si="83"/>
        <v>insert into ins_premium_det (premium_rcv_code,assorted_code, rec_amount,premium_rcv_detail_code,remaining_amt, payrec, mode_code,coinsurance_code,class_cd,it_remarks) values('28Nov240101','070000155610','0',(select max(to_number(i.premium_rcv_detail_code))+1
from ins_premium_det i),'0','0','02', '11000003','00','Request by Mr. Omair Ali 29-Nov-2024');</v>
      </c>
    </row>
    <row r="1339" spans="1:8" ht="105" x14ac:dyDescent="0.25">
      <c r="A1339" t="s">
        <v>1339</v>
      </c>
      <c r="B1339" s="8" t="str">
        <f>VLOOKUP(A1339,assortedcode!B:C,2,0)</f>
        <v>040000184520</v>
      </c>
      <c r="C1339" s="1">
        <v>0.05</v>
      </c>
      <c r="D1339" s="9">
        <f t="shared" si="81"/>
        <v>0</v>
      </c>
      <c r="E1339" s="7" t="s">
        <v>8345</v>
      </c>
      <c r="F1339" s="10" t="str">
        <f t="shared" si="80"/>
        <v>insert into ins_premium_det (premium_rcv_code,assorted_code, rec_amount,premium_rcv_detail_code,remaining_amt, payrec, mode_code,coinsurance_code,class_cd,it_remarks) values</v>
      </c>
      <c r="G1339" s="11" t="str">
        <f t="shared" si="82"/>
        <v>('28Nov240101','040000184520','0',(select max(to_number(i.premium_rcv_detail_code))+1
from ins_premium_det i),'0','0','02', '11000003','00','Request by Mr. Omair Ali 29-Nov-2024');</v>
      </c>
      <c r="H1339" s="12" t="str">
        <f t="shared" si="83"/>
        <v>insert into ins_premium_det (premium_rcv_code,assorted_code, rec_amount,premium_rcv_detail_code,remaining_amt, payrec, mode_code,coinsurance_code,class_cd,it_remarks) values('28Nov240101','040000184520','0',(select max(to_number(i.premium_rcv_detail_code))+1
from ins_premium_det i),'0','0','02', '11000003','00','Request by Mr. Omair Ali 29-Nov-2024');</v>
      </c>
    </row>
    <row r="1340" spans="1:8" ht="105" x14ac:dyDescent="0.25">
      <c r="A1340" t="s">
        <v>1340</v>
      </c>
      <c r="B1340" s="8" t="str">
        <f>VLOOKUP(A1340,assortedcode!B:C,2,0)</f>
        <v>070000160323</v>
      </c>
      <c r="C1340" s="1">
        <v>0.19999999999534337</v>
      </c>
      <c r="D1340" s="9">
        <f t="shared" si="81"/>
        <v>0</v>
      </c>
      <c r="E1340" s="7" t="s">
        <v>8345</v>
      </c>
      <c r="F1340" s="10" t="str">
        <f t="shared" si="80"/>
        <v>insert into ins_premium_det (premium_rcv_code,assorted_code, rec_amount,premium_rcv_detail_code,remaining_amt, payrec, mode_code,coinsurance_code,class_cd,it_remarks) values</v>
      </c>
      <c r="G1340" s="11" t="str">
        <f t="shared" si="82"/>
        <v>('28Nov240101','070000160323','0',(select max(to_number(i.premium_rcv_detail_code))+1
from ins_premium_det i),'0','0','02', '11000003','00','Request by Mr. Omair Ali 29-Nov-2024');</v>
      </c>
      <c r="H1340" s="12" t="str">
        <f t="shared" si="83"/>
        <v>insert into ins_premium_det (premium_rcv_code,assorted_code, rec_amount,premium_rcv_detail_code,remaining_amt, payrec, mode_code,coinsurance_code,class_cd,it_remarks) values('28Nov240101','070000160323','0',(select max(to_number(i.premium_rcv_detail_code))+1
from ins_premium_det i),'0','0','02', '11000003','00','Request by Mr. Omair Ali 29-Nov-2024');</v>
      </c>
    </row>
    <row r="1341" spans="1:8" ht="105" x14ac:dyDescent="0.25">
      <c r="A1341" t="s">
        <v>1341</v>
      </c>
      <c r="B1341" s="8" t="str">
        <f>VLOOKUP(A1341,assortedcode!B:C,2,0)</f>
        <v>070000160321</v>
      </c>
      <c r="C1341" s="1">
        <v>0.19999999999534337</v>
      </c>
      <c r="D1341" s="9">
        <f t="shared" si="81"/>
        <v>0</v>
      </c>
      <c r="E1341" s="7" t="s">
        <v>8345</v>
      </c>
      <c r="F1341" s="10" t="str">
        <f t="shared" si="80"/>
        <v>insert into ins_premium_det (premium_rcv_code,assorted_code, rec_amount,premium_rcv_detail_code,remaining_amt, payrec, mode_code,coinsurance_code,class_cd,it_remarks) values</v>
      </c>
      <c r="G1341" s="11" t="str">
        <f t="shared" si="82"/>
        <v>('28Nov240101','070000160321','0',(select max(to_number(i.premium_rcv_detail_code))+1
from ins_premium_det i),'0','0','02', '11000003','00','Request by Mr. Omair Ali 29-Nov-2024');</v>
      </c>
      <c r="H1341" s="12" t="str">
        <f t="shared" si="83"/>
        <v>insert into ins_premium_det (premium_rcv_code,assorted_code, rec_amount,premium_rcv_detail_code,remaining_amt, payrec, mode_code,coinsurance_code,class_cd,it_remarks) values('28Nov240101','070000160321','0',(select max(to_number(i.premium_rcv_detail_code))+1
from ins_premium_det i),'0','0','02', '11000003','00','Request by Mr. Omair Ali 29-Nov-2024');</v>
      </c>
    </row>
    <row r="1342" spans="1:8" ht="105" x14ac:dyDescent="0.25">
      <c r="A1342" t="s">
        <v>1342</v>
      </c>
      <c r="B1342" s="8" t="str">
        <f>VLOOKUP(A1342,assortedcode!B:C,2,0)</f>
        <v>040000150021</v>
      </c>
      <c r="C1342" s="1">
        <v>0.2</v>
      </c>
      <c r="D1342" s="9">
        <f t="shared" si="81"/>
        <v>0</v>
      </c>
      <c r="E1342" s="7" t="s">
        <v>8345</v>
      </c>
      <c r="F1342" s="10" t="str">
        <f t="shared" si="80"/>
        <v>insert into ins_premium_det (premium_rcv_code,assorted_code, rec_amount,premium_rcv_detail_code,remaining_amt, payrec, mode_code,coinsurance_code,class_cd,it_remarks) values</v>
      </c>
      <c r="G1342" s="11" t="str">
        <f t="shared" si="82"/>
        <v>('28Nov240101','040000150021','0',(select max(to_number(i.premium_rcv_detail_code))+1
from ins_premium_det i),'0','0','02', '11000003','00','Request by Mr. Omair Ali 29-Nov-2024');</v>
      </c>
      <c r="H1342" s="12" t="str">
        <f t="shared" si="83"/>
        <v>insert into ins_premium_det (premium_rcv_code,assorted_code, rec_amount,premium_rcv_detail_code,remaining_amt, payrec, mode_code,coinsurance_code,class_cd,it_remarks) values('28Nov240101','040000150021','0',(select max(to_number(i.premium_rcv_detail_code))+1
from ins_premium_det i),'0','0','02', '11000003','00','Request by Mr. Omair Ali 29-Nov-2024');</v>
      </c>
    </row>
    <row r="1343" spans="1:8" ht="105" x14ac:dyDescent="0.25">
      <c r="A1343" t="s">
        <v>1343</v>
      </c>
      <c r="B1343" s="8" t="str">
        <f>VLOOKUP(A1343,assortedcode!B:C,2,0)</f>
        <v>070000155608</v>
      </c>
      <c r="C1343" s="1">
        <v>0.2</v>
      </c>
      <c r="D1343" s="9">
        <f t="shared" si="81"/>
        <v>0</v>
      </c>
      <c r="E1343" s="7" t="s">
        <v>8345</v>
      </c>
      <c r="F1343" s="10" t="str">
        <f t="shared" si="80"/>
        <v>insert into ins_premium_det (premium_rcv_code,assorted_code, rec_amount,premium_rcv_detail_code,remaining_amt, payrec, mode_code,coinsurance_code,class_cd,it_remarks) values</v>
      </c>
      <c r="G1343" s="11" t="str">
        <f t="shared" si="82"/>
        <v>('28Nov240101','070000155608','0',(select max(to_number(i.premium_rcv_detail_code))+1
from ins_premium_det i),'0','0','02', '11000003','00','Request by Mr. Omair Ali 29-Nov-2024');</v>
      </c>
      <c r="H1343" s="12" t="str">
        <f t="shared" si="83"/>
        <v>insert into ins_premium_det (premium_rcv_code,assorted_code, rec_amount,premium_rcv_detail_code,remaining_amt, payrec, mode_code,coinsurance_code,class_cd,it_remarks) values('28Nov240101','070000155608','0',(select max(to_number(i.premium_rcv_detail_code))+1
from ins_premium_det i),'0','0','02', '11000003','00','Request by Mr. Omair Ali 29-Nov-2024');</v>
      </c>
    </row>
    <row r="1344" spans="1:8" ht="105" x14ac:dyDescent="0.25">
      <c r="A1344" t="s">
        <v>1344</v>
      </c>
      <c r="B1344" s="8" t="str">
        <f>VLOOKUP(A1344,assortedcode!B:C,2,0)</f>
        <v>070000155609</v>
      </c>
      <c r="C1344" s="1">
        <v>0.2</v>
      </c>
      <c r="D1344" s="9">
        <f t="shared" si="81"/>
        <v>0</v>
      </c>
      <c r="E1344" s="7" t="s">
        <v>8345</v>
      </c>
      <c r="F1344" s="10" t="str">
        <f t="shared" si="80"/>
        <v>insert into ins_premium_det (premium_rcv_code,assorted_code, rec_amount,premium_rcv_detail_code,remaining_amt, payrec, mode_code,coinsurance_code,class_cd,it_remarks) values</v>
      </c>
      <c r="G1344" s="11" t="str">
        <f t="shared" si="82"/>
        <v>('28Nov240101','070000155609','0',(select max(to_number(i.premium_rcv_detail_code))+1
from ins_premium_det i),'0','0','02', '11000003','00','Request by Mr. Omair Ali 29-Nov-2024');</v>
      </c>
      <c r="H1344" s="12" t="str">
        <f t="shared" si="83"/>
        <v>insert into ins_premium_det (premium_rcv_code,assorted_code, rec_amount,premium_rcv_detail_code,remaining_amt, payrec, mode_code,coinsurance_code,class_cd,it_remarks) values('28Nov240101','070000155609','0',(select max(to_number(i.premium_rcv_detail_code))+1
from ins_premium_det i),'0','0','02', '11000003','00','Request by Mr. Omair Ali 29-Nov-2024');</v>
      </c>
    </row>
    <row r="1345" spans="1:8" ht="105" x14ac:dyDescent="0.25">
      <c r="A1345" t="s">
        <v>1345</v>
      </c>
      <c r="B1345" s="8" t="str">
        <f>VLOOKUP(A1345,assortedcode!B:C,2,0)</f>
        <v>070000157095</v>
      </c>
      <c r="C1345" s="1">
        <v>0.2</v>
      </c>
      <c r="D1345" s="9">
        <f t="shared" si="81"/>
        <v>0</v>
      </c>
      <c r="E1345" s="7" t="s">
        <v>8345</v>
      </c>
      <c r="F1345" s="10" t="str">
        <f t="shared" si="80"/>
        <v>insert into ins_premium_det (premium_rcv_code,assorted_code, rec_amount,premium_rcv_detail_code,remaining_amt, payrec, mode_code,coinsurance_code,class_cd,it_remarks) values</v>
      </c>
      <c r="G1345" s="11" t="str">
        <f t="shared" si="82"/>
        <v>('28Nov240101','070000157095','0',(select max(to_number(i.premium_rcv_detail_code))+1
from ins_premium_det i),'0','0','02', '11000003','00','Request by Mr. Omair Ali 29-Nov-2024');</v>
      </c>
      <c r="H1345" s="12" t="str">
        <f t="shared" si="83"/>
        <v>insert into ins_premium_det (premium_rcv_code,assorted_code, rec_amount,premium_rcv_detail_code,remaining_amt, payrec, mode_code,coinsurance_code,class_cd,it_remarks) values('28Nov240101','070000157095','0',(select max(to_number(i.premium_rcv_detail_code))+1
from ins_premium_det i),'0','0','02', '11000003','00','Request by Mr. Omair Ali 29-Nov-2024');</v>
      </c>
    </row>
    <row r="1346" spans="1:8" ht="105" x14ac:dyDescent="0.25">
      <c r="A1346" t="s">
        <v>1346</v>
      </c>
      <c r="B1346" s="8" t="str">
        <f>VLOOKUP(A1346,assortedcode!B:C,2,0)</f>
        <v>070000163751</v>
      </c>
      <c r="C1346" s="1">
        <v>0.24</v>
      </c>
      <c r="D1346" s="9">
        <f t="shared" si="81"/>
        <v>0</v>
      </c>
      <c r="E1346" s="7" t="s">
        <v>8345</v>
      </c>
      <c r="F1346" s="10" t="str">
        <f t="shared" ref="F1346:F1409" si="84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1346" s="11" t="str">
        <f t="shared" si="82"/>
        <v>('28Nov240101','070000163751','0',(select max(to_number(i.premium_rcv_detail_code))+1
from ins_premium_det i),'0','0','02', '11000003','00','Request by Mr. Omair Ali 29-Nov-2024');</v>
      </c>
      <c r="H1346" s="12" t="str">
        <f t="shared" si="83"/>
        <v>insert into ins_premium_det (premium_rcv_code,assorted_code, rec_amount,premium_rcv_detail_code,remaining_amt, payrec, mode_code,coinsurance_code,class_cd,it_remarks) values('28Nov240101','070000163751','0',(select max(to_number(i.premium_rcv_detail_code))+1
from ins_premium_det i),'0','0','02', '11000003','00','Request by Mr. Omair Ali 29-Nov-2024');</v>
      </c>
    </row>
    <row r="1347" spans="1:8" ht="105" x14ac:dyDescent="0.25">
      <c r="A1347" t="s">
        <v>1347</v>
      </c>
      <c r="B1347" s="8" t="str">
        <f>VLOOKUP(A1347,assortedcode!B:C,2,0)</f>
        <v>040000147054</v>
      </c>
      <c r="C1347" s="1">
        <v>0.25</v>
      </c>
      <c r="D1347" s="9">
        <f t="shared" ref="D1347:D1410" si="85">ROUND(C1347,0)</f>
        <v>0</v>
      </c>
      <c r="E1347" s="7" t="s">
        <v>8345</v>
      </c>
      <c r="F1347" s="10" t="str">
        <f t="shared" si="84"/>
        <v>insert into ins_premium_det (premium_rcv_code,assorted_code, rec_amount,premium_rcv_detail_code,remaining_amt, payrec, mode_code,coinsurance_code,class_cd,it_remarks) values</v>
      </c>
      <c r="G1347" s="11" t="str">
        <f t="shared" ref="G1347:G1410" si="86">"('"&amp;E1347&amp;"','"&amp;B1347&amp;"','"&amp;ROUND(D1347,2)&amp;"',(select max(to_number(i.premium_rcv_detail_code))+1
from ins_premium_det i),'"&amp;D1347&amp;"','"&amp;D1347&amp;"','02', '11000003','00','Request by Mr. Omair Ali 29-Nov-2024');"</f>
        <v>('28Nov240101','040000147054','0',(select max(to_number(i.premium_rcv_detail_code))+1
from ins_premium_det i),'0','0','02', '11000003','00','Request by Mr. Omair Ali 29-Nov-2024');</v>
      </c>
      <c r="H1347" s="12" t="str">
        <f t="shared" ref="H1347:H1410" si="87">F1347&amp;G1347</f>
        <v>insert into ins_premium_det (premium_rcv_code,assorted_code, rec_amount,premium_rcv_detail_code,remaining_amt, payrec, mode_code,coinsurance_code,class_cd,it_remarks) values('28Nov240101','040000147054','0',(select max(to_number(i.premium_rcv_detail_code))+1
from ins_premium_det i),'0','0','02', '11000003','00','Request by Mr. Omair Ali 29-Nov-2024');</v>
      </c>
    </row>
    <row r="1348" spans="1:8" ht="105" x14ac:dyDescent="0.25">
      <c r="A1348" t="s">
        <v>1348</v>
      </c>
      <c r="B1348" s="8" t="str">
        <f>VLOOKUP(A1348,assortedcode!B:C,2,0)</f>
        <v>070000162959</v>
      </c>
      <c r="C1348" s="1">
        <v>0.3</v>
      </c>
      <c r="D1348" s="9">
        <f t="shared" si="85"/>
        <v>0</v>
      </c>
      <c r="E1348" s="7" t="s">
        <v>8345</v>
      </c>
      <c r="F1348" s="10" t="str">
        <f t="shared" si="84"/>
        <v>insert into ins_premium_det (premium_rcv_code,assorted_code, rec_amount,premium_rcv_detail_code,remaining_amt, payrec, mode_code,coinsurance_code,class_cd,it_remarks) values</v>
      </c>
      <c r="G1348" s="11" t="str">
        <f t="shared" si="86"/>
        <v>('28Nov240101','070000162959','0',(select max(to_number(i.premium_rcv_detail_code))+1
from ins_premium_det i),'0','0','02', '11000003','00','Request by Mr. Omair Ali 29-Nov-2024');</v>
      </c>
      <c r="H1348" s="12" t="str">
        <f t="shared" si="87"/>
        <v>insert into ins_premium_det (premium_rcv_code,assorted_code, rec_amount,premium_rcv_detail_code,remaining_amt, payrec, mode_code,coinsurance_code,class_cd,it_remarks) values('28Nov240101','070000162959','0',(select max(to_number(i.premium_rcv_detail_code))+1
from ins_premium_det i),'0','0','02', '11000003','00','Request by Mr. Omair Ali 29-Nov-2024');</v>
      </c>
    </row>
    <row r="1349" spans="1:8" ht="105" x14ac:dyDescent="0.25">
      <c r="A1349" t="s">
        <v>1349</v>
      </c>
      <c r="B1349" s="8" t="str">
        <f>VLOOKUP(A1349,assortedcode!B:C,2,0)</f>
        <v>040000130596</v>
      </c>
      <c r="C1349" s="1">
        <v>0.35</v>
      </c>
      <c r="D1349" s="9">
        <f t="shared" si="85"/>
        <v>0</v>
      </c>
      <c r="E1349" s="7" t="s">
        <v>8345</v>
      </c>
      <c r="F1349" s="10" t="str">
        <f t="shared" si="84"/>
        <v>insert into ins_premium_det (premium_rcv_code,assorted_code, rec_amount,premium_rcv_detail_code,remaining_amt, payrec, mode_code,coinsurance_code,class_cd,it_remarks) values</v>
      </c>
      <c r="G1349" s="11" t="str">
        <f t="shared" si="86"/>
        <v>('28Nov240101','040000130596','0',(select max(to_number(i.premium_rcv_detail_code))+1
from ins_premium_det i),'0','0','02', '11000003','00','Request by Mr. Omair Ali 29-Nov-2024');</v>
      </c>
      <c r="H1349" s="12" t="str">
        <f t="shared" si="87"/>
        <v>insert into ins_premium_det (premium_rcv_code,assorted_code, rec_amount,premium_rcv_detail_code,remaining_amt, payrec, mode_code,coinsurance_code,class_cd,it_remarks) values('28Nov240101','040000130596','0',(select max(to_number(i.premium_rcv_detail_code))+1
from ins_premium_det i),'0','0','02', '11000003','00','Request by Mr. Omair Ali 29-Nov-2024');</v>
      </c>
    </row>
    <row r="1350" spans="1:8" ht="105" x14ac:dyDescent="0.25">
      <c r="A1350" t="s">
        <v>1350</v>
      </c>
      <c r="B1350" s="8" t="str">
        <f>VLOOKUP(A1350,assortedcode!B:C,2,0)</f>
        <v>040000130595</v>
      </c>
      <c r="C1350" s="1">
        <v>0.35</v>
      </c>
      <c r="D1350" s="9">
        <f t="shared" si="85"/>
        <v>0</v>
      </c>
      <c r="E1350" s="7" t="s">
        <v>8345</v>
      </c>
      <c r="F1350" s="10" t="str">
        <f t="shared" si="84"/>
        <v>insert into ins_premium_det (premium_rcv_code,assorted_code, rec_amount,premium_rcv_detail_code,remaining_amt, payrec, mode_code,coinsurance_code,class_cd,it_remarks) values</v>
      </c>
      <c r="G1350" s="11" t="str">
        <f t="shared" si="86"/>
        <v>('28Nov240101','040000130595','0',(select max(to_number(i.premium_rcv_detail_code))+1
from ins_premium_det i),'0','0','02', '11000003','00','Request by Mr. Omair Ali 29-Nov-2024');</v>
      </c>
      <c r="H1350" s="12" t="str">
        <f t="shared" si="87"/>
        <v>insert into ins_premium_det (premium_rcv_code,assorted_code, rec_amount,premium_rcv_detail_code,remaining_amt, payrec, mode_code,coinsurance_code,class_cd,it_remarks) values('28Nov240101','040000130595','0',(select max(to_number(i.premium_rcv_detail_code))+1
from ins_premium_det i),'0','0','02', '11000003','00','Request by Mr. Omair Ali 29-Nov-2024');</v>
      </c>
    </row>
    <row r="1351" spans="1:8" ht="105" x14ac:dyDescent="0.25">
      <c r="A1351" t="s">
        <v>1351</v>
      </c>
      <c r="B1351" s="8" t="str">
        <f>VLOOKUP(A1351,assortedcode!B:C,2,0)</f>
        <v>040000130594</v>
      </c>
      <c r="C1351" s="1">
        <v>0.35</v>
      </c>
      <c r="D1351" s="9">
        <f t="shared" si="85"/>
        <v>0</v>
      </c>
      <c r="E1351" s="7" t="s">
        <v>8345</v>
      </c>
      <c r="F1351" s="10" t="str">
        <f t="shared" si="84"/>
        <v>insert into ins_premium_det (premium_rcv_code,assorted_code, rec_amount,premium_rcv_detail_code,remaining_amt, payrec, mode_code,coinsurance_code,class_cd,it_remarks) values</v>
      </c>
      <c r="G1351" s="11" t="str">
        <f t="shared" si="86"/>
        <v>('28Nov240101','040000130594','0',(select max(to_number(i.premium_rcv_detail_code))+1
from ins_premium_det i),'0','0','02', '11000003','00','Request by Mr. Omair Ali 29-Nov-2024');</v>
      </c>
      <c r="H1351" s="12" t="str">
        <f t="shared" si="87"/>
        <v>insert into ins_premium_det (premium_rcv_code,assorted_code, rec_amount,premium_rcv_detail_code,remaining_amt, payrec, mode_code,coinsurance_code,class_cd,it_remarks) values('28Nov240101','040000130594','0',(select max(to_number(i.premium_rcv_detail_code))+1
from ins_premium_det i),'0','0','02', '11000003','00','Request by Mr. Omair Ali 29-Nov-2024');</v>
      </c>
    </row>
    <row r="1352" spans="1:8" ht="105" x14ac:dyDescent="0.25">
      <c r="A1352" t="s">
        <v>1352</v>
      </c>
      <c r="B1352" s="8" t="str">
        <f>VLOOKUP(A1352,assortedcode!B:C,2,0)</f>
        <v>040000147983</v>
      </c>
      <c r="C1352" s="1">
        <v>0.35</v>
      </c>
      <c r="D1352" s="9">
        <f t="shared" si="85"/>
        <v>0</v>
      </c>
      <c r="E1352" s="7" t="s">
        <v>8345</v>
      </c>
      <c r="F1352" s="10" t="str">
        <f t="shared" si="84"/>
        <v>insert into ins_premium_det (premium_rcv_code,assorted_code, rec_amount,premium_rcv_detail_code,remaining_amt, payrec, mode_code,coinsurance_code,class_cd,it_remarks) values</v>
      </c>
      <c r="G1352" s="11" t="str">
        <f t="shared" si="86"/>
        <v>('28Nov240101','040000147983','0',(select max(to_number(i.premium_rcv_detail_code))+1
from ins_premium_det i),'0','0','02', '11000003','00','Request by Mr. Omair Ali 29-Nov-2024');</v>
      </c>
      <c r="H1352" s="12" t="str">
        <f t="shared" si="87"/>
        <v>insert into ins_premium_det (premium_rcv_code,assorted_code, rec_amount,premium_rcv_detail_code,remaining_amt, payrec, mode_code,coinsurance_code,class_cd,it_remarks) values('28Nov240101','040000147983','0',(select max(to_number(i.premium_rcv_detail_code))+1
from ins_premium_det i),'0','0','02', '11000003','00','Request by Mr. Omair Ali 29-Nov-2024');</v>
      </c>
    </row>
    <row r="1353" spans="1:8" ht="105" x14ac:dyDescent="0.25">
      <c r="A1353" t="s">
        <v>1353</v>
      </c>
      <c r="B1353" s="8" t="str">
        <f>VLOOKUP(A1353,assortedcode!B:C,2,0)</f>
        <v>070000160337</v>
      </c>
      <c r="C1353" s="1">
        <v>0.35</v>
      </c>
      <c r="D1353" s="9">
        <f t="shared" si="85"/>
        <v>0</v>
      </c>
      <c r="E1353" s="7" t="s">
        <v>8345</v>
      </c>
      <c r="F1353" s="10" t="str">
        <f t="shared" si="84"/>
        <v>insert into ins_premium_det (premium_rcv_code,assorted_code, rec_amount,premium_rcv_detail_code,remaining_amt, payrec, mode_code,coinsurance_code,class_cd,it_remarks) values</v>
      </c>
      <c r="G1353" s="11" t="str">
        <f t="shared" si="86"/>
        <v>('28Nov240101','070000160337','0',(select max(to_number(i.premium_rcv_detail_code))+1
from ins_premium_det i),'0','0','02', '11000003','00','Request by Mr. Omair Ali 29-Nov-2024');</v>
      </c>
      <c r="H1353" s="12" t="str">
        <f t="shared" si="87"/>
        <v>insert into ins_premium_det (premium_rcv_code,assorted_code, rec_amount,premium_rcv_detail_code,remaining_amt, payrec, mode_code,coinsurance_code,class_cd,it_remarks) values('28Nov240101','070000160337','0',(select max(to_number(i.premium_rcv_detail_code))+1
from ins_premium_det i),'0','0','02', '11000003','00','Request by Mr. Omair Ali 29-Nov-2024');</v>
      </c>
    </row>
    <row r="1354" spans="1:8" ht="105" x14ac:dyDescent="0.25">
      <c r="A1354" t="s">
        <v>1354</v>
      </c>
      <c r="B1354" s="8" t="str">
        <f>VLOOKUP(A1354,assortedcode!B:C,2,0)</f>
        <v>070000160339</v>
      </c>
      <c r="C1354" s="1">
        <v>0.35</v>
      </c>
      <c r="D1354" s="9">
        <f t="shared" si="85"/>
        <v>0</v>
      </c>
      <c r="E1354" s="7" t="s">
        <v>8345</v>
      </c>
      <c r="F1354" s="10" t="str">
        <f t="shared" si="84"/>
        <v>insert into ins_premium_det (premium_rcv_code,assorted_code, rec_amount,premium_rcv_detail_code,remaining_amt, payrec, mode_code,coinsurance_code,class_cd,it_remarks) values</v>
      </c>
      <c r="G1354" s="11" t="str">
        <f t="shared" si="86"/>
        <v>('28Nov240101','070000160339','0',(select max(to_number(i.premium_rcv_detail_code))+1
from ins_premium_det i),'0','0','02', '11000003','00','Request by Mr. Omair Ali 29-Nov-2024');</v>
      </c>
      <c r="H1354" s="12" t="str">
        <f t="shared" si="87"/>
        <v>insert into ins_premium_det (premium_rcv_code,assorted_code, rec_amount,premium_rcv_detail_code,remaining_amt, payrec, mode_code,coinsurance_code,class_cd,it_remarks) values('28Nov240101','070000160339','0',(select max(to_number(i.premium_rcv_detail_code))+1
from ins_premium_det i),'0','0','02', '11000003','00','Request by Mr. Omair Ali 29-Nov-2024');</v>
      </c>
    </row>
    <row r="1355" spans="1:8" ht="105" x14ac:dyDescent="0.25">
      <c r="A1355" t="s">
        <v>1355</v>
      </c>
      <c r="B1355" s="8" t="str">
        <f>VLOOKUP(A1355,assortedcode!B:C,2,0)</f>
        <v>040000147171</v>
      </c>
      <c r="C1355" s="1">
        <v>0.4</v>
      </c>
      <c r="D1355" s="9">
        <f t="shared" si="85"/>
        <v>0</v>
      </c>
      <c r="E1355" s="7" t="s">
        <v>8345</v>
      </c>
      <c r="F1355" s="10" t="str">
        <f t="shared" si="84"/>
        <v>insert into ins_premium_det (premium_rcv_code,assorted_code, rec_amount,premium_rcv_detail_code,remaining_amt, payrec, mode_code,coinsurance_code,class_cd,it_remarks) values</v>
      </c>
      <c r="G1355" s="11" t="str">
        <f t="shared" si="86"/>
        <v>('28Nov240101','040000147171','0',(select max(to_number(i.premium_rcv_detail_code))+1
from ins_premium_det i),'0','0','02', '11000003','00','Request by Mr. Omair Ali 29-Nov-2024');</v>
      </c>
      <c r="H1355" s="12" t="str">
        <f t="shared" si="87"/>
        <v>insert into ins_premium_det (premium_rcv_code,assorted_code, rec_amount,premium_rcv_detail_code,remaining_amt, payrec, mode_code,coinsurance_code,class_cd,it_remarks) values('28Nov240101','040000147171','0',(select max(to_number(i.premium_rcv_detail_code))+1
from ins_premium_det i),'0','0','02', '11000003','00','Request by Mr. Omair Ali 29-Nov-2024');</v>
      </c>
    </row>
    <row r="1356" spans="1:8" ht="105" x14ac:dyDescent="0.25">
      <c r="A1356" t="s">
        <v>1356</v>
      </c>
      <c r="B1356" s="8" t="str">
        <f>VLOOKUP(A1356,assortedcode!B:C,2,0)</f>
        <v>040000147170</v>
      </c>
      <c r="C1356" s="1">
        <v>0.4</v>
      </c>
      <c r="D1356" s="9">
        <f t="shared" si="85"/>
        <v>0</v>
      </c>
      <c r="E1356" s="7" t="s">
        <v>8345</v>
      </c>
      <c r="F1356" s="10" t="str">
        <f t="shared" si="84"/>
        <v>insert into ins_premium_det (premium_rcv_code,assorted_code, rec_amount,premium_rcv_detail_code,remaining_amt, payrec, mode_code,coinsurance_code,class_cd,it_remarks) values</v>
      </c>
      <c r="G1356" s="11" t="str">
        <f t="shared" si="86"/>
        <v>('28Nov240101','040000147170','0',(select max(to_number(i.premium_rcv_detail_code))+1
from ins_premium_det i),'0','0','02', '11000003','00','Request by Mr. Omair Ali 29-Nov-2024');</v>
      </c>
      <c r="H1356" s="12" t="str">
        <f t="shared" si="87"/>
        <v>insert into ins_premium_det (premium_rcv_code,assorted_code, rec_amount,premium_rcv_detail_code,remaining_amt, payrec, mode_code,coinsurance_code,class_cd,it_remarks) values('28Nov240101','040000147170','0',(select max(to_number(i.premium_rcv_detail_code))+1
from ins_premium_det i),'0','0','02', '11000003','00','Request by Mr. Omair Ali 29-Nov-2024');</v>
      </c>
    </row>
    <row r="1357" spans="1:8" ht="105" x14ac:dyDescent="0.25">
      <c r="A1357" t="s">
        <v>1357</v>
      </c>
      <c r="B1357" s="8" t="str">
        <f>VLOOKUP(A1357,assortedcode!B:C,2,0)</f>
        <v>070000151297</v>
      </c>
      <c r="C1357" s="1">
        <v>0.4</v>
      </c>
      <c r="D1357" s="9">
        <f t="shared" si="85"/>
        <v>0</v>
      </c>
      <c r="E1357" s="7" t="s">
        <v>8345</v>
      </c>
      <c r="F1357" s="10" t="str">
        <f t="shared" si="84"/>
        <v>insert into ins_premium_det (premium_rcv_code,assorted_code, rec_amount,premium_rcv_detail_code,remaining_amt, payrec, mode_code,coinsurance_code,class_cd,it_remarks) values</v>
      </c>
      <c r="G1357" s="11" t="str">
        <f t="shared" si="86"/>
        <v>('28Nov240101','070000151297','0',(select max(to_number(i.premium_rcv_detail_code))+1
from ins_premium_det i),'0','0','02', '11000003','00','Request by Mr. Omair Ali 29-Nov-2024');</v>
      </c>
      <c r="H1357" s="12" t="str">
        <f t="shared" si="87"/>
        <v>insert into ins_premium_det (premium_rcv_code,assorted_code, rec_amount,premium_rcv_detail_code,remaining_amt, payrec, mode_code,coinsurance_code,class_cd,it_remarks) values('28Nov240101','070000151297','0',(select max(to_number(i.premium_rcv_detail_code))+1
from ins_premium_det i),'0','0','02', '11000003','00','Request by Mr. Omair Ali 29-Nov-2024');</v>
      </c>
    </row>
    <row r="1358" spans="1:8" ht="105" x14ac:dyDescent="0.25">
      <c r="A1358" t="s">
        <v>1358</v>
      </c>
      <c r="B1358" s="8" t="str">
        <f>VLOOKUP(A1358,assortedcode!B:C,2,0)</f>
        <v>070000155605</v>
      </c>
      <c r="C1358" s="1">
        <v>0.43999999999068679</v>
      </c>
      <c r="D1358" s="9">
        <f t="shared" si="85"/>
        <v>0</v>
      </c>
      <c r="E1358" s="7" t="s">
        <v>8345</v>
      </c>
      <c r="F1358" s="10" t="str">
        <f t="shared" si="84"/>
        <v>insert into ins_premium_det (premium_rcv_code,assorted_code, rec_amount,premium_rcv_detail_code,remaining_amt, payrec, mode_code,coinsurance_code,class_cd,it_remarks) values</v>
      </c>
      <c r="G1358" s="11" t="str">
        <f t="shared" si="86"/>
        <v>('28Nov240101','070000155605','0',(select max(to_number(i.premium_rcv_detail_code))+1
from ins_premium_det i),'0','0','02', '11000003','00','Request by Mr. Omair Ali 29-Nov-2024');</v>
      </c>
      <c r="H1358" s="12" t="str">
        <f t="shared" si="87"/>
        <v>insert into ins_premium_det (premium_rcv_code,assorted_code, rec_amount,premium_rcv_detail_code,remaining_amt, payrec, mode_code,coinsurance_code,class_cd,it_remarks) values('28Nov240101','070000155605','0',(select max(to_number(i.premium_rcv_detail_code))+1
from ins_premium_det i),'0','0','02', '11000003','00','Request by Mr. Omair Ali 29-Nov-2024');</v>
      </c>
    </row>
    <row r="1359" spans="1:8" ht="105" x14ac:dyDescent="0.25">
      <c r="A1359" t="s">
        <v>1359</v>
      </c>
      <c r="B1359" s="8" t="str">
        <f>VLOOKUP(A1359,assortedcode!B:C,2,0)</f>
        <v>070000165324</v>
      </c>
      <c r="C1359" s="1">
        <v>0.43999999999068679</v>
      </c>
      <c r="D1359" s="9">
        <f t="shared" si="85"/>
        <v>0</v>
      </c>
      <c r="E1359" s="7" t="s">
        <v>8345</v>
      </c>
      <c r="F1359" s="10" t="str">
        <f t="shared" si="84"/>
        <v>insert into ins_premium_det (premium_rcv_code,assorted_code, rec_amount,premium_rcv_detail_code,remaining_amt, payrec, mode_code,coinsurance_code,class_cd,it_remarks) values</v>
      </c>
      <c r="G1359" s="11" t="str">
        <f t="shared" si="86"/>
        <v>('28Nov240101','070000165324','0',(select max(to_number(i.premium_rcv_detail_code))+1
from ins_premium_det i),'0','0','02', '11000003','00','Request by Mr. Omair Ali 29-Nov-2024');</v>
      </c>
      <c r="H1359" s="12" t="str">
        <f t="shared" si="87"/>
        <v>insert into ins_premium_det (premium_rcv_code,assorted_code, rec_amount,premium_rcv_detail_code,remaining_amt, payrec, mode_code,coinsurance_code,class_cd,it_remarks) values('28Nov240101','070000165324','0',(select max(to_number(i.premium_rcv_detail_code))+1
from ins_premium_det i),'0','0','02', '11000003','00','Request by Mr. Omair Ali 29-Nov-2024');</v>
      </c>
    </row>
    <row r="1360" spans="1:8" ht="105" x14ac:dyDescent="0.25">
      <c r="A1360" t="s">
        <v>1360</v>
      </c>
      <c r="B1360" s="8" t="str">
        <f>VLOOKUP(A1360,assortedcode!B:C,2,0)</f>
        <v>070000153612</v>
      </c>
      <c r="C1360" s="1">
        <v>0.44</v>
      </c>
      <c r="D1360" s="9">
        <f t="shared" si="85"/>
        <v>0</v>
      </c>
      <c r="E1360" s="7" t="s">
        <v>8345</v>
      </c>
      <c r="F1360" s="10" t="str">
        <f t="shared" si="84"/>
        <v>insert into ins_premium_det (premium_rcv_code,assorted_code, rec_amount,premium_rcv_detail_code,remaining_amt, payrec, mode_code,coinsurance_code,class_cd,it_remarks) values</v>
      </c>
      <c r="G1360" s="11" t="str">
        <f t="shared" si="86"/>
        <v>('28Nov240101','070000153612','0',(select max(to_number(i.premium_rcv_detail_code))+1
from ins_premium_det i),'0','0','02', '11000003','00','Request by Mr. Omair Ali 29-Nov-2024');</v>
      </c>
      <c r="H1360" s="12" t="str">
        <f t="shared" si="87"/>
        <v>insert into ins_premium_det (premium_rcv_code,assorted_code, rec_amount,premium_rcv_detail_code,remaining_amt, payrec, mode_code,coinsurance_code,class_cd,it_remarks) values('28Nov240101','070000153612','0',(select max(to_number(i.premium_rcv_detail_code))+1
from ins_premium_det i),'0','0','02', '11000003','00','Request by Mr. Omair Ali 29-Nov-2024');</v>
      </c>
    </row>
    <row r="1361" spans="1:8" ht="105" x14ac:dyDescent="0.25">
      <c r="A1361" t="s">
        <v>1361</v>
      </c>
      <c r="B1361" s="8" t="str">
        <f>VLOOKUP(A1361,assortedcode!B:C,2,0)</f>
        <v>070000160318</v>
      </c>
      <c r="C1361" s="1">
        <v>0.44</v>
      </c>
      <c r="D1361" s="9">
        <f t="shared" si="85"/>
        <v>0</v>
      </c>
      <c r="E1361" s="7" t="s">
        <v>8345</v>
      </c>
      <c r="F1361" s="10" t="str">
        <f t="shared" si="84"/>
        <v>insert into ins_premium_det (premium_rcv_code,assorted_code, rec_amount,premium_rcv_detail_code,remaining_amt, payrec, mode_code,coinsurance_code,class_cd,it_remarks) values</v>
      </c>
      <c r="G1361" s="11" t="str">
        <f t="shared" si="86"/>
        <v>('28Nov240101','070000160318','0',(select max(to_number(i.premium_rcv_detail_code))+1
from ins_premium_det i),'0','0','02', '11000003','00','Request by Mr. Omair Ali 29-Nov-2024');</v>
      </c>
      <c r="H1361" s="12" t="str">
        <f t="shared" si="87"/>
        <v>insert into ins_premium_det (premium_rcv_code,assorted_code, rec_amount,premium_rcv_detail_code,remaining_amt, payrec, mode_code,coinsurance_code,class_cd,it_remarks) values('28Nov240101','070000160318','0',(select max(to_number(i.premium_rcv_detail_code))+1
from ins_premium_det i),'0','0','02', '11000003','00','Request by Mr. Omair Ali 29-Nov-2024');</v>
      </c>
    </row>
    <row r="1362" spans="1:8" ht="105" x14ac:dyDescent="0.25">
      <c r="A1362" t="s">
        <v>1362</v>
      </c>
      <c r="B1362" s="8" t="str">
        <f>VLOOKUP(A1362,assortedcode!B:C,2,0)</f>
        <v>070000160320</v>
      </c>
      <c r="C1362" s="1">
        <v>0.44</v>
      </c>
      <c r="D1362" s="9">
        <f t="shared" si="85"/>
        <v>0</v>
      </c>
      <c r="E1362" s="7" t="s">
        <v>8345</v>
      </c>
      <c r="F1362" s="10" t="str">
        <f t="shared" si="84"/>
        <v>insert into ins_premium_det (premium_rcv_code,assorted_code, rec_amount,premium_rcv_detail_code,remaining_amt, payrec, mode_code,coinsurance_code,class_cd,it_remarks) values</v>
      </c>
      <c r="G1362" s="11" t="str">
        <f t="shared" si="86"/>
        <v>('28Nov240101','070000160320','0',(select max(to_number(i.premium_rcv_detail_code))+1
from ins_premium_det i),'0','0','02', '11000003','00','Request by Mr. Omair Ali 29-Nov-2024');</v>
      </c>
      <c r="H1362" s="12" t="str">
        <f t="shared" si="87"/>
        <v>insert into ins_premium_det (premium_rcv_code,assorted_code, rec_amount,premium_rcv_detail_code,remaining_amt, payrec, mode_code,coinsurance_code,class_cd,it_remarks) values('28Nov240101','070000160320','0',(select max(to_number(i.premium_rcv_detail_code))+1
from ins_premium_det i),'0','0','02', '11000003','00','Request by Mr. Omair Ali 29-Nov-2024');</v>
      </c>
    </row>
    <row r="1363" spans="1:8" ht="105" x14ac:dyDescent="0.25">
      <c r="A1363" t="s">
        <v>1363</v>
      </c>
      <c r="B1363" s="8" t="str">
        <f>VLOOKUP(A1363,assortedcode!B:C,2,0)</f>
        <v>070000165333</v>
      </c>
      <c r="C1363" s="1">
        <v>0.44</v>
      </c>
      <c r="D1363" s="9">
        <f t="shared" si="85"/>
        <v>0</v>
      </c>
      <c r="E1363" s="7" t="s">
        <v>8345</v>
      </c>
      <c r="F1363" s="10" t="str">
        <f t="shared" si="84"/>
        <v>insert into ins_premium_det (premium_rcv_code,assorted_code, rec_amount,premium_rcv_detail_code,remaining_amt, payrec, mode_code,coinsurance_code,class_cd,it_remarks) values</v>
      </c>
      <c r="G1363" s="11" t="str">
        <f t="shared" si="86"/>
        <v>('28Nov240101','070000165333','0',(select max(to_number(i.premium_rcv_detail_code))+1
from ins_premium_det i),'0','0','02', '11000003','00','Request by Mr. Omair Ali 29-Nov-2024');</v>
      </c>
      <c r="H1363" s="12" t="str">
        <f t="shared" si="87"/>
        <v>insert into ins_premium_det (premium_rcv_code,assorted_code, rec_amount,premium_rcv_detail_code,remaining_amt, payrec, mode_code,coinsurance_code,class_cd,it_remarks) values('28Nov240101','070000165333','0',(select max(to_number(i.premium_rcv_detail_code))+1
from ins_premium_det i),'0','0','02', '11000003','00','Request by Mr. Omair Ali 29-Nov-2024');</v>
      </c>
    </row>
    <row r="1364" spans="1:8" ht="105" x14ac:dyDescent="0.25">
      <c r="A1364" t="s">
        <v>1364</v>
      </c>
      <c r="B1364" s="8" t="str">
        <f>VLOOKUP(A1364,assortedcode!B:C,2,0)</f>
        <v>070000157094</v>
      </c>
      <c r="C1364" s="1">
        <v>0.44</v>
      </c>
      <c r="D1364" s="9">
        <f t="shared" si="85"/>
        <v>0</v>
      </c>
      <c r="E1364" s="7" t="s">
        <v>8345</v>
      </c>
      <c r="F1364" s="10" t="str">
        <f t="shared" si="84"/>
        <v>insert into ins_premium_det (premium_rcv_code,assorted_code, rec_amount,premium_rcv_detail_code,remaining_amt, payrec, mode_code,coinsurance_code,class_cd,it_remarks) values</v>
      </c>
      <c r="G1364" s="11" t="str">
        <f t="shared" si="86"/>
        <v>('28Nov240101','070000157094','0',(select max(to_number(i.premium_rcv_detail_code))+1
from ins_premium_det i),'0','0','02', '11000003','00','Request by Mr. Omair Ali 29-Nov-2024');</v>
      </c>
      <c r="H1364" s="12" t="str">
        <f t="shared" si="87"/>
        <v>insert into ins_premium_det (premium_rcv_code,assorted_code, rec_amount,premium_rcv_detail_code,remaining_amt, payrec, mode_code,coinsurance_code,class_cd,it_remarks) values('28Nov240101','070000157094','0',(select max(to_number(i.premium_rcv_detail_code))+1
from ins_premium_det i),'0','0','02', '11000003','00','Request by Mr. Omair Ali 29-Nov-2024');</v>
      </c>
    </row>
    <row r="1365" spans="1:8" ht="105" x14ac:dyDescent="0.25">
      <c r="A1365" t="s">
        <v>1365</v>
      </c>
      <c r="B1365" s="8" t="str">
        <f>VLOOKUP(A1365,assortedcode!B:C,2,0)</f>
        <v>070000157091</v>
      </c>
      <c r="C1365" s="1">
        <v>0.47999999999534337</v>
      </c>
      <c r="D1365" s="9">
        <f t="shared" si="85"/>
        <v>0</v>
      </c>
      <c r="E1365" s="7" t="s">
        <v>8345</v>
      </c>
      <c r="F1365" s="10" t="str">
        <f t="shared" si="84"/>
        <v>insert into ins_premium_det (premium_rcv_code,assorted_code, rec_amount,premium_rcv_detail_code,remaining_amt, payrec, mode_code,coinsurance_code,class_cd,it_remarks) values</v>
      </c>
      <c r="G1365" s="11" t="str">
        <f t="shared" si="86"/>
        <v>('28Nov240101','070000157091','0',(select max(to_number(i.premium_rcv_detail_code))+1
from ins_premium_det i),'0','0','02', '11000003','00','Request by Mr. Omair Ali 29-Nov-2024');</v>
      </c>
      <c r="H1365" s="12" t="str">
        <f t="shared" si="87"/>
        <v>insert into ins_premium_det (premium_rcv_code,assorted_code, rec_amount,premium_rcv_detail_code,remaining_amt, payrec, mode_code,coinsurance_code,class_cd,it_remarks) values('28Nov240101','070000157091','0',(select max(to_number(i.premium_rcv_detail_code))+1
from ins_premium_det i),'0','0','02', '11000003','00','Request by Mr. Omair Ali 29-Nov-2024');</v>
      </c>
    </row>
    <row r="1366" spans="1:8" ht="105" x14ac:dyDescent="0.25">
      <c r="A1366" t="s">
        <v>1366</v>
      </c>
      <c r="B1366" s="8" t="str">
        <f>VLOOKUP(A1366,assortedcode!B:C,2,0)</f>
        <v>070000162043</v>
      </c>
      <c r="C1366" s="1">
        <v>0.47999999999534337</v>
      </c>
      <c r="D1366" s="9">
        <f t="shared" si="85"/>
        <v>0</v>
      </c>
      <c r="E1366" s="7" t="s">
        <v>8345</v>
      </c>
      <c r="F1366" s="10" t="str">
        <f t="shared" si="84"/>
        <v>insert into ins_premium_det (premium_rcv_code,assorted_code, rec_amount,premium_rcv_detail_code,remaining_amt, payrec, mode_code,coinsurance_code,class_cd,it_remarks) values</v>
      </c>
      <c r="G1366" s="11" t="str">
        <f t="shared" si="86"/>
        <v>('28Nov240101','070000162043','0',(select max(to_number(i.premium_rcv_detail_code))+1
from ins_premium_det i),'0','0','02', '11000003','00','Request by Mr. Omair Ali 29-Nov-2024');</v>
      </c>
      <c r="H1366" s="12" t="str">
        <f t="shared" si="87"/>
        <v>insert into ins_premium_det (premium_rcv_code,assorted_code, rec_amount,premium_rcv_detail_code,remaining_amt, payrec, mode_code,coinsurance_code,class_cd,it_remarks) values('28Nov240101','070000162043','0',(select max(to_number(i.premium_rcv_detail_code))+1
from ins_premium_det i),'0','0','02', '11000003','00','Request by Mr. Omair Ali 29-Nov-2024');</v>
      </c>
    </row>
    <row r="1367" spans="1:8" ht="105" x14ac:dyDescent="0.25">
      <c r="A1367" t="s">
        <v>1367</v>
      </c>
      <c r="B1367" s="8" t="str">
        <f>VLOOKUP(A1367,assortedcode!B:C,2,0)</f>
        <v>070000162042</v>
      </c>
      <c r="C1367" s="1">
        <v>0.48</v>
      </c>
      <c r="D1367" s="9">
        <f t="shared" si="85"/>
        <v>0</v>
      </c>
      <c r="E1367" s="7" t="s">
        <v>8345</v>
      </c>
      <c r="F1367" s="10" t="str">
        <f t="shared" si="84"/>
        <v>insert into ins_premium_det (premium_rcv_code,assorted_code, rec_amount,premium_rcv_detail_code,remaining_amt, payrec, mode_code,coinsurance_code,class_cd,it_remarks) values</v>
      </c>
      <c r="G1367" s="11" t="str">
        <f t="shared" si="86"/>
        <v>('28Nov240101','070000162042','0',(select max(to_number(i.premium_rcv_detail_code))+1
from ins_premium_det i),'0','0','02', '11000003','00','Request by Mr. Omair Ali 29-Nov-2024');</v>
      </c>
      <c r="H1367" s="12" t="str">
        <f t="shared" si="87"/>
        <v>insert into ins_premium_det (premium_rcv_code,assorted_code, rec_amount,premium_rcv_detail_code,remaining_amt, payrec, mode_code,coinsurance_code,class_cd,it_remarks) values('28Nov240101','070000162042','0',(select max(to_number(i.premium_rcv_detail_code))+1
from ins_premium_det i),'0','0','02', '11000003','00','Request by Mr. Omair Ali 29-Nov-2024');</v>
      </c>
    </row>
    <row r="1368" spans="1:8" ht="105" x14ac:dyDescent="0.25">
      <c r="A1368" t="s">
        <v>1368</v>
      </c>
      <c r="B1368" s="8" t="str">
        <f>VLOOKUP(A1368,assortedcode!B:C,2,0)</f>
        <v>040000117742</v>
      </c>
      <c r="C1368" s="1">
        <v>0.5</v>
      </c>
      <c r="D1368" s="9">
        <f t="shared" si="85"/>
        <v>1</v>
      </c>
      <c r="E1368" s="7" t="s">
        <v>8345</v>
      </c>
      <c r="F1368" s="10" t="str">
        <f t="shared" si="84"/>
        <v>insert into ins_premium_det (premium_rcv_code,assorted_code, rec_amount,premium_rcv_detail_code,remaining_amt, payrec, mode_code,coinsurance_code,class_cd,it_remarks) values</v>
      </c>
      <c r="G1368" s="11" t="str">
        <f t="shared" si="86"/>
        <v>('28Nov240101','040000117742','1',(select max(to_number(i.premium_rcv_detail_code))+1
from ins_premium_det i),'1','1','02', '11000003','00','Request by Mr. Omair Ali 29-Nov-2024');</v>
      </c>
      <c r="H1368" s="12" t="str">
        <f t="shared" si="87"/>
        <v>insert into ins_premium_det (premium_rcv_code,assorted_code, rec_amount,premium_rcv_detail_code,remaining_amt, payrec, mode_code,coinsurance_code,class_cd,it_remarks) values('28Nov240101','040000117742','1',(select max(to_number(i.premium_rcv_detail_code))+1
from ins_premium_det i),'1','1','02', '11000003','00','Request by Mr. Omair Ali 29-Nov-2024');</v>
      </c>
    </row>
    <row r="1369" spans="1:8" ht="105" x14ac:dyDescent="0.25">
      <c r="A1369" t="s">
        <v>1369</v>
      </c>
      <c r="B1369" s="8" t="str">
        <f>VLOOKUP(A1369,assortedcode!B:C,2,0)</f>
        <v>070000160342</v>
      </c>
      <c r="C1369" s="1">
        <v>0.5</v>
      </c>
      <c r="D1369" s="9">
        <f t="shared" si="85"/>
        <v>1</v>
      </c>
      <c r="E1369" s="7" t="s">
        <v>8345</v>
      </c>
      <c r="F1369" s="10" t="str">
        <f t="shared" si="84"/>
        <v>insert into ins_premium_det (premium_rcv_code,assorted_code, rec_amount,premium_rcv_detail_code,remaining_amt, payrec, mode_code,coinsurance_code,class_cd,it_remarks) values</v>
      </c>
      <c r="G1369" s="11" t="str">
        <f t="shared" si="86"/>
        <v>('28Nov240101','070000160342','1',(select max(to_number(i.premium_rcv_detail_code))+1
from ins_premium_det i),'1','1','02', '11000003','00','Request by Mr. Omair Ali 29-Nov-2024');</v>
      </c>
      <c r="H1369" s="12" t="str">
        <f t="shared" si="87"/>
        <v>insert into ins_premium_det (premium_rcv_code,assorted_code, rec_amount,premium_rcv_detail_code,remaining_amt, payrec, mode_code,coinsurance_code,class_cd,it_remarks) values('28Nov240101','070000160342','1',(select max(to_number(i.premium_rcv_detail_code))+1
from ins_premium_det i),'1','1','02', '11000003','00','Request by Mr. Omair Ali 29-Nov-2024');</v>
      </c>
    </row>
    <row r="1370" spans="1:8" ht="105" x14ac:dyDescent="0.25">
      <c r="A1370" t="s">
        <v>1370</v>
      </c>
      <c r="B1370" s="8" t="str">
        <f>VLOOKUP(A1370,assortedcode!B:C,2,0)</f>
        <v>070000160330</v>
      </c>
      <c r="C1370" s="1">
        <v>0.5</v>
      </c>
      <c r="D1370" s="9">
        <f t="shared" si="85"/>
        <v>1</v>
      </c>
      <c r="E1370" s="7" t="s">
        <v>8345</v>
      </c>
      <c r="F1370" s="10" t="str">
        <f t="shared" si="84"/>
        <v>insert into ins_premium_det (premium_rcv_code,assorted_code, rec_amount,premium_rcv_detail_code,remaining_amt, payrec, mode_code,coinsurance_code,class_cd,it_remarks) values</v>
      </c>
      <c r="G1370" s="11" t="str">
        <f t="shared" si="86"/>
        <v>('28Nov240101','070000160330','1',(select max(to_number(i.premium_rcv_detail_code))+1
from ins_premium_det i),'1','1','02', '11000003','00','Request by Mr. Omair Ali 29-Nov-2024');</v>
      </c>
      <c r="H1370" s="12" t="str">
        <f t="shared" si="87"/>
        <v>insert into ins_premium_det (premium_rcv_code,assorted_code, rec_amount,premium_rcv_detail_code,remaining_amt, payrec, mode_code,coinsurance_code,class_cd,it_remarks) values('28Nov240101','070000160330','1',(select max(to_number(i.premium_rcv_detail_code))+1
from ins_premium_det i),'1','1','02', '11000003','00','Request by Mr. Omair Ali 29-Nov-2024');</v>
      </c>
    </row>
    <row r="1371" spans="1:8" ht="105" x14ac:dyDescent="0.25">
      <c r="A1371" t="s">
        <v>1371</v>
      </c>
      <c r="B1371" s="8" t="str">
        <f>VLOOKUP(A1371,assortedcode!B:C,2,0)</f>
        <v>070000155606</v>
      </c>
      <c r="C1371" s="1">
        <v>0.51999999999534341</v>
      </c>
      <c r="D1371" s="9">
        <f t="shared" si="85"/>
        <v>1</v>
      </c>
      <c r="E1371" s="7" t="s">
        <v>8345</v>
      </c>
      <c r="F1371" s="10" t="str">
        <f t="shared" si="84"/>
        <v>insert into ins_premium_det (premium_rcv_code,assorted_code, rec_amount,premium_rcv_detail_code,remaining_amt, payrec, mode_code,coinsurance_code,class_cd,it_remarks) values</v>
      </c>
      <c r="G1371" s="11" t="str">
        <f t="shared" si="86"/>
        <v>('28Nov240101','070000155606','1',(select max(to_number(i.premium_rcv_detail_code))+1
from ins_premium_det i),'1','1','02', '11000003','00','Request by Mr. Omair Ali 29-Nov-2024');</v>
      </c>
      <c r="H1371" s="12" t="str">
        <f t="shared" si="87"/>
        <v>insert into ins_premium_det (premium_rcv_code,assorted_code, rec_amount,premium_rcv_detail_code,remaining_amt, payrec, mode_code,coinsurance_code,class_cd,it_remarks) values('28Nov240101','070000155606','1',(select max(to_number(i.premium_rcv_detail_code))+1
from ins_premium_det i),'1','1','02', '11000003','00','Request by Mr. Omair Ali 29-Nov-2024');</v>
      </c>
    </row>
    <row r="1372" spans="1:8" ht="105" x14ac:dyDescent="0.25">
      <c r="A1372" t="s">
        <v>1372</v>
      </c>
      <c r="B1372" s="8" t="str">
        <f>VLOOKUP(A1372,assortedcode!B:C,2,0)</f>
        <v>040000115411</v>
      </c>
      <c r="C1372" s="1">
        <v>0.99900000005960465</v>
      </c>
      <c r="D1372" s="9">
        <f t="shared" si="85"/>
        <v>1</v>
      </c>
      <c r="E1372" s="7" t="s">
        <v>8345</v>
      </c>
      <c r="F1372" s="10" t="str">
        <f t="shared" si="84"/>
        <v>insert into ins_premium_det (premium_rcv_code,assorted_code, rec_amount,premium_rcv_detail_code,remaining_amt, payrec, mode_code,coinsurance_code,class_cd,it_remarks) values</v>
      </c>
      <c r="G1372" s="11" t="str">
        <f t="shared" si="86"/>
        <v>('28Nov240101','040000115411','1',(select max(to_number(i.premium_rcv_detail_code))+1
from ins_premium_det i),'1','1','02', '11000003','00','Request by Mr. Omair Ali 29-Nov-2024');</v>
      </c>
      <c r="H1372" s="12" t="str">
        <f t="shared" si="87"/>
        <v>insert into ins_premium_det (premium_rcv_code,assorted_code, rec_amount,premium_rcv_detail_code,remaining_amt, payrec, mode_code,coinsurance_code,class_cd,it_remarks) values('28Nov240101','040000115411','1',(select max(to_number(i.premium_rcv_detail_code))+1
from ins_premium_det i),'1','1','02', '11000003','00','Request by Mr. Omair Ali 29-Nov-2024');</v>
      </c>
    </row>
    <row r="1373" spans="1:8" ht="105" x14ac:dyDescent="0.25">
      <c r="A1373" t="s">
        <v>1373</v>
      </c>
      <c r="B1373" s="8" t="str">
        <f>VLOOKUP(A1373,assortedcode!B:C,2,0)</f>
        <v>070000145128</v>
      </c>
      <c r="C1373" s="1">
        <v>1</v>
      </c>
      <c r="D1373" s="9">
        <f t="shared" si="85"/>
        <v>1</v>
      </c>
      <c r="E1373" s="7" t="s">
        <v>8345</v>
      </c>
      <c r="F1373" s="10" t="str">
        <f t="shared" si="84"/>
        <v>insert into ins_premium_det (premium_rcv_code,assorted_code, rec_amount,premium_rcv_detail_code,remaining_amt, payrec, mode_code,coinsurance_code,class_cd,it_remarks) values</v>
      </c>
      <c r="G1373" s="11" t="str">
        <f t="shared" si="86"/>
        <v>('28Nov240101','070000145128','1',(select max(to_number(i.premium_rcv_detail_code))+1
from ins_premium_det i),'1','1','02', '11000003','00','Request by Mr. Omair Ali 29-Nov-2024');</v>
      </c>
      <c r="H1373" s="12" t="str">
        <f t="shared" si="87"/>
        <v>insert into ins_premium_det (premium_rcv_code,assorted_code, rec_amount,premium_rcv_detail_code,remaining_amt, payrec, mode_code,coinsurance_code,class_cd,it_remarks) values('28Nov240101','070000145128','1',(select max(to_number(i.premium_rcv_detail_code))+1
from ins_premium_det i),'1','1','02', '11000003','00','Request by Mr. Omair Ali 29-Nov-2024');</v>
      </c>
    </row>
    <row r="1374" spans="1:8" ht="105" x14ac:dyDescent="0.25">
      <c r="A1374" t="s">
        <v>1374</v>
      </c>
      <c r="B1374" s="8" t="str">
        <f>VLOOKUP(A1374,assortedcode!B:C,2,0)</f>
        <v>040000152225</v>
      </c>
      <c r="C1374" s="1">
        <v>1</v>
      </c>
      <c r="D1374" s="9">
        <f t="shared" si="85"/>
        <v>1</v>
      </c>
      <c r="E1374" s="7" t="s">
        <v>8345</v>
      </c>
      <c r="F1374" s="10" t="str">
        <f t="shared" si="84"/>
        <v>insert into ins_premium_det (premium_rcv_code,assorted_code, rec_amount,premium_rcv_detail_code,remaining_amt, payrec, mode_code,coinsurance_code,class_cd,it_remarks) values</v>
      </c>
      <c r="G1374" s="11" t="str">
        <f t="shared" si="86"/>
        <v>('28Nov240101','040000152225','1',(select max(to_number(i.premium_rcv_detail_code))+1
from ins_premium_det i),'1','1','02', '11000003','00','Request by Mr. Omair Ali 29-Nov-2024');</v>
      </c>
      <c r="H1374" s="12" t="str">
        <f t="shared" si="87"/>
        <v>insert into ins_premium_det (premium_rcv_code,assorted_code, rec_amount,premium_rcv_detail_code,remaining_amt, payrec, mode_code,coinsurance_code,class_cd,it_remarks) values('28Nov240101','040000152225','1',(select max(to_number(i.premium_rcv_detail_code))+1
from ins_premium_det i),'1','1','02', '11000003','00','Request by Mr. Omair Ali 29-Nov-2024');</v>
      </c>
    </row>
    <row r="1375" spans="1:8" ht="105" x14ac:dyDescent="0.25">
      <c r="A1375" t="s">
        <v>1375</v>
      </c>
      <c r="B1375" s="8" t="str">
        <f>VLOOKUP(A1375,assortedcode!B:C,2,0)</f>
        <v>040000171026</v>
      </c>
      <c r="C1375" s="1">
        <v>1</v>
      </c>
      <c r="D1375" s="9">
        <f t="shared" si="85"/>
        <v>1</v>
      </c>
      <c r="E1375" s="7" t="s">
        <v>8345</v>
      </c>
      <c r="F1375" s="10" t="str">
        <f t="shared" si="84"/>
        <v>insert into ins_premium_det (premium_rcv_code,assorted_code, rec_amount,premium_rcv_detail_code,remaining_amt, payrec, mode_code,coinsurance_code,class_cd,it_remarks) values</v>
      </c>
      <c r="G1375" s="11" t="str">
        <f t="shared" si="86"/>
        <v>('28Nov240101','040000171026','1',(select max(to_number(i.premium_rcv_detail_code))+1
from ins_premium_det i),'1','1','02', '11000003','00','Request by Mr. Omair Ali 29-Nov-2024');</v>
      </c>
      <c r="H1375" s="12" t="str">
        <f t="shared" si="87"/>
        <v>insert into ins_premium_det (premium_rcv_code,assorted_code, rec_amount,premium_rcv_detail_code,remaining_amt, payrec, mode_code,coinsurance_code,class_cd,it_remarks) values('28Nov240101','040000171026','1',(select max(to_number(i.premium_rcv_detail_code))+1
from ins_premium_det i),'1','1','02', '11000003','00','Request by Mr. Omair Ali 29-Nov-2024');</v>
      </c>
    </row>
    <row r="1376" spans="1:8" ht="105" x14ac:dyDescent="0.25">
      <c r="A1376" t="s">
        <v>1376</v>
      </c>
      <c r="B1376" s="8" t="str">
        <f>VLOOKUP(A1376,assortedcode!B:C,2,0)</f>
        <v>070000151902</v>
      </c>
      <c r="C1376" s="1">
        <v>1</v>
      </c>
      <c r="D1376" s="9">
        <f t="shared" si="85"/>
        <v>1</v>
      </c>
      <c r="E1376" s="7" t="s">
        <v>8345</v>
      </c>
      <c r="F1376" s="10" t="str">
        <f t="shared" si="84"/>
        <v>insert into ins_premium_det (premium_rcv_code,assorted_code, rec_amount,premium_rcv_detail_code,remaining_amt, payrec, mode_code,coinsurance_code,class_cd,it_remarks) values</v>
      </c>
      <c r="G1376" s="11" t="str">
        <f t="shared" si="86"/>
        <v>('28Nov240101','070000151902','1',(select max(to_number(i.premium_rcv_detail_code))+1
from ins_premium_det i),'1','1','02', '11000003','00','Request by Mr. Omair Ali 29-Nov-2024');</v>
      </c>
      <c r="H1376" s="12" t="str">
        <f t="shared" si="87"/>
        <v>insert into ins_premium_det (premium_rcv_code,assorted_code, rec_amount,premium_rcv_detail_code,remaining_amt, payrec, mode_code,coinsurance_code,class_cd,it_remarks) values('28Nov240101','070000151902','1',(select max(to_number(i.premium_rcv_detail_code))+1
from ins_premium_det i),'1','1','02', '11000003','00','Request by Mr. Omair Ali 29-Nov-2024');</v>
      </c>
    </row>
    <row r="1377" spans="1:8" ht="105" x14ac:dyDescent="0.25">
      <c r="A1377" t="s">
        <v>1377</v>
      </c>
      <c r="B1377" s="8" t="str">
        <f>VLOOKUP(A1377,assortedcode!B:C,2,0)</f>
        <v>040000175239</v>
      </c>
      <c r="C1377" s="1">
        <v>1</v>
      </c>
      <c r="D1377" s="9">
        <f t="shared" si="85"/>
        <v>1</v>
      </c>
      <c r="E1377" s="7" t="s">
        <v>8345</v>
      </c>
      <c r="F1377" s="10" t="str">
        <f t="shared" si="84"/>
        <v>insert into ins_premium_det (premium_rcv_code,assorted_code, rec_amount,premium_rcv_detail_code,remaining_amt, payrec, mode_code,coinsurance_code,class_cd,it_remarks) values</v>
      </c>
      <c r="G1377" s="11" t="str">
        <f t="shared" si="86"/>
        <v>('28Nov240101','040000175239','1',(select max(to_number(i.premium_rcv_detail_code))+1
from ins_premium_det i),'1','1','02', '11000003','00','Request by Mr. Omair Ali 29-Nov-2024');</v>
      </c>
      <c r="H1377" s="12" t="str">
        <f t="shared" si="87"/>
        <v>insert into ins_premium_det (premium_rcv_code,assorted_code, rec_amount,premium_rcv_detail_code,remaining_amt, payrec, mode_code,coinsurance_code,class_cd,it_remarks) values('28Nov240101','040000175239','1',(select max(to_number(i.premium_rcv_detail_code))+1
from ins_premium_det i),'1','1','02', '11000003','00','Request by Mr. Omair Ali 29-Nov-2024');</v>
      </c>
    </row>
    <row r="1378" spans="1:8" ht="105" x14ac:dyDescent="0.25">
      <c r="A1378" t="s">
        <v>1378</v>
      </c>
      <c r="B1378" s="8" t="str">
        <f>VLOOKUP(A1378,assortedcode!B:C,2,0)</f>
        <v>070000151897</v>
      </c>
      <c r="C1378" s="1">
        <v>1</v>
      </c>
      <c r="D1378" s="9">
        <f t="shared" si="85"/>
        <v>1</v>
      </c>
      <c r="E1378" s="7" t="s">
        <v>8345</v>
      </c>
      <c r="F1378" s="10" t="str">
        <f t="shared" si="84"/>
        <v>insert into ins_premium_det (premium_rcv_code,assorted_code, rec_amount,premium_rcv_detail_code,remaining_amt, payrec, mode_code,coinsurance_code,class_cd,it_remarks) values</v>
      </c>
      <c r="G1378" s="11" t="str">
        <f t="shared" si="86"/>
        <v>('28Nov240101','070000151897','1',(select max(to_number(i.premium_rcv_detail_code))+1
from ins_premium_det i),'1','1','02', '11000003','00','Request by Mr. Omair Ali 29-Nov-2024');</v>
      </c>
      <c r="H1378" s="12" t="str">
        <f t="shared" si="87"/>
        <v>insert into ins_premium_det (premium_rcv_code,assorted_code, rec_amount,premium_rcv_detail_code,remaining_amt, payrec, mode_code,coinsurance_code,class_cd,it_remarks) values('28Nov240101','070000151897','1',(select max(to_number(i.premium_rcv_detail_code))+1
from ins_premium_det i),'1','1','02', '11000003','00','Request by Mr. Omair Ali 29-Nov-2024');</v>
      </c>
    </row>
    <row r="1379" spans="1:8" ht="105" x14ac:dyDescent="0.25">
      <c r="A1379" t="s">
        <v>1379</v>
      </c>
      <c r="B1379" s="8" t="str">
        <f>VLOOKUP(A1379,assortedcode!B:C,2,0)</f>
        <v>070000130271</v>
      </c>
      <c r="C1379" s="1">
        <v>1</v>
      </c>
      <c r="D1379" s="9">
        <f t="shared" si="85"/>
        <v>1</v>
      </c>
      <c r="E1379" s="7" t="s">
        <v>8345</v>
      </c>
      <c r="F1379" s="10" t="str">
        <f t="shared" si="84"/>
        <v>insert into ins_premium_det (premium_rcv_code,assorted_code, rec_amount,premium_rcv_detail_code,remaining_amt, payrec, mode_code,coinsurance_code,class_cd,it_remarks) values</v>
      </c>
      <c r="G1379" s="11" t="str">
        <f t="shared" si="86"/>
        <v>('28Nov240101','070000130271','1',(select max(to_number(i.premium_rcv_detail_code))+1
from ins_premium_det i),'1','1','02', '11000003','00','Request by Mr. Omair Ali 29-Nov-2024');</v>
      </c>
      <c r="H1379" s="12" t="str">
        <f t="shared" si="87"/>
        <v>insert into ins_premium_det (premium_rcv_code,assorted_code, rec_amount,premium_rcv_detail_code,remaining_amt, payrec, mode_code,coinsurance_code,class_cd,it_remarks) values('28Nov240101','070000130271','1',(select max(to_number(i.premium_rcv_detail_code))+1
from ins_premium_det i),'1','1','02', '11000003','00','Request by Mr. Omair Ali 29-Nov-2024');</v>
      </c>
    </row>
    <row r="1380" spans="1:8" ht="105" x14ac:dyDescent="0.25">
      <c r="A1380" t="s">
        <v>1380</v>
      </c>
      <c r="B1380" s="8" t="str">
        <f>VLOOKUP(A1380,assortedcode!B:C,2,0)</f>
        <v>070000151898</v>
      </c>
      <c r="C1380" s="1">
        <v>1</v>
      </c>
      <c r="D1380" s="9">
        <f t="shared" si="85"/>
        <v>1</v>
      </c>
      <c r="E1380" s="7" t="s">
        <v>8345</v>
      </c>
      <c r="F1380" s="10" t="str">
        <f t="shared" si="84"/>
        <v>insert into ins_premium_det (premium_rcv_code,assorted_code, rec_amount,premium_rcv_detail_code,remaining_amt, payrec, mode_code,coinsurance_code,class_cd,it_remarks) values</v>
      </c>
      <c r="G1380" s="11" t="str">
        <f t="shared" si="86"/>
        <v>('28Nov240101','070000151898','1',(select max(to_number(i.premium_rcv_detail_code))+1
from ins_premium_det i),'1','1','02', '11000003','00','Request by Mr. Omair Ali 29-Nov-2024');</v>
      </c>
      <c r="H1380" s="12" t="str">
        <f t="shared" si="87"/>
        <v>insert into ins_premium_det (premium_rcv_code,assorted_code, rec_amount,premium_rcv_detail_code,remaining_amt, payrec, mode_code,coinsurance_code,class_cd,it_remarks) values('28Nov240101','070000151898','1',(select max(to_number(i.premium_rcv_detail_code))+1
from ins_premium_det i),'1','1','02', '11000003','00','Request by Mr. Omair Ali 29-Nov-2024');</v>
      </c>
    </row>
    <row r="1381" spans="1:8" ht="105" x14ac:dyDescent="0.25">
      <c r="A1381" t="s">
        <v>1381</v>
      </c>
      <c r="B1381" s="8" t="str">
        <f>VLOOKUP(A1381,assortedcode!B:C,2,0)</f>
        <v>040000183520</v>
      </c>
      <c r="C1381" s="1">
        <v>1</v>
      </c>
      <c r="D1381" s="9">
        <f t="shared" si="85"/>
        <v>1</v>
      </c>
      <c r="E1381" s="7" t="s">
        <v>8345</v>
      </c>
      <c r="F1381" s="10" t="str">
        <f t="shared" si="84"/>
        <v>insert into ins_premium_det (premium_rcv_code,assorted_code, rec_amount,premium_rcv_detail_code,remaining_amt, payrec, mode_code,coinsurance_code,class_cd,it_remarks) values</v>
      </c>
      <c r="G1381" s="11" t="str">
        <f t="shared" si="86"/>
        <v>('28Nov240101','040000183520','1',(select max(to_number(i.premium_rcv_detail_code))+1
from ins_premium_det i),'1','1','02', '11000003','00','Request by Mr. Omair Ali 29-Nov-2024');</v>
      </c>
      <c r="H1381" s="12" t="str">
        <f t="shared" si="87"/>
        <v>insert into ins_premium_det (premium_rcv_code,assorted_code, rec_amount,premium_rcv_detail_code,remaining_amt, payrec, mode_code,coinsurance_code,class_cd,it_remarks) values('28Nov240101','040000183520','1',(select max(to_number(i.premium_rcv_detail_code))+1
from ins_premium_det i),'1','1','02', '11000003','00','Request by Mr. Omair Ali 29-Nov-2024');</v>
      </c>
    </row>
    <row r="1382" spans="1:8" ht="105" x14ac:dyDescent="0.25">
      <c r="A1382" t="s">
        <v>1382</v>
      </c>
      <c r="B1382" s="8" t="str">
        <f>VLOOKUP(A1382,assortedcode!B:C,2,0)</f>
        <v>070000151886</v>
      </c>
      <c r="C1382" s="1">
        <v>1</v>
      </c>
      <c r="D1382" s="9">
        <f t="shared" si="85"/>
        <v>1</v>
      </c>
      <c r="E1382" s="7" t="s">
        <v>8345</v>
      </c>
      <c r="F1382" s="10" t="str">
        <f t="shared" si="84"/>
        <v>insert into ins_premium_det (premium_rcv_code,assorted_code, rec_amount,premium_rcv_detail_code,remaining_amt, payrec, mode_code,coinsurance_code,class_cd,it_remarks) values</v>
      </c>
      <c r="G1382" s="11" t="str">
        <f t="shared" si="86"/>
        <v>('28Nov240101','070000151886','1',(select max(to_number(i.premium_rcv_detail_code))+1
from ins_premium_det i),'1','1','02', '11000003','00','Request by Mr. Omair Ali 29-Nov-2024');</v>
      </c>
      <c r="H1382" s="12" t="str">
        <f t="shared" si="87"/>
        <v>insert into ins_premium_det (premium_rcv_code,assorted_code, rec_amount,premium_rcv_detail_code,remaining_amt, payrec, mode_code,coinsurance_code,class_cd,it_remarks) values('28Nov240101','070000151886','1',(select max(to_number(i.premium_rcv_detail_code))+1
from ins_premium_det i),'1','1','02', '11000003','00','Request by Mr. Omair Ali 29-Nov-2024');</v>
      </c>
    </row>
    <row r="1383" spans="1:8" ht="105" x14ac:dyDescent="0.25">
      <c r="A1383" t="s">
        <v>1383</v>
      </c>
      <c r="B1383" s="8" t="str">
        <f>VLOOKUP(A1383,assortedcode!B:C,2,0)</f>
        <v>040000134729</v>
      </c>
      <c r="C1383" s="1">
        <v>1</v>
      </c>
      <c r="D1383" s="9">
        <f t="shared" si="85"/>
        <v>1</v>
      </c>
      <c r="E1383" s="7" t="s">
        <v>8345</v>
      </c>
      <c r="F1383" s="10" t="str">
        <f t="shared" si="84"/>
        <v>insert into ins_premium_det (premium_rcv_code,assorted_code, rec_amount,premium_rcv_detail_code,remaining_amt, payrec, mode_code,coinsurance_code,class_cd,it_remarks) values</v>
      </c>
      <c r="G1383" s="11" t="str">
        <f t="shared" si="86"/>
        <v>('28Nov240101','040000134729','1',(select max(to_number(i.premium_rcv_detail_code))+1
from ins_premium_det i),'1','1','02', '11000003','00','Request by Mr. Omair Ali 29-Nov-2024');</v>
      </c>
      <c r="H1383" s="12" t="str">
        <f t="shared" si="87"/>
        <v>insert into ins_premium_det (premium_rcv_code,assorted_code, rec_amount,premium_rcv_detail_code,remaining_amt, payrec, mode_code,coinsurance_code,class_cd,it_remarks) values('28Nov240101','040000134729','1',(select max(to_number(i.premium_rcv_detail_code))+1
from ins_premium_det i),'1','1','02', '11000003','00','Request by Mr. Omair Ali 29-Nov-2024');</v>
      </c>
    </row>
    <row r="1384" spans="1:8" ht="105" x14ac:dyDescent="0.25">
      <c r="A1384" t="s">
        <v>1384</v>
      </c>
      <c r="B1384" s="8" t="str">
        <f>VLOOKUP(A1384,assortedcode!B:C,2,0)</f>
        <v>070000152300</v>
      </c>
      <c r="C1384" s="1">
        <v>1</v>
      </c>
      <c r="D1384" s="9">
        <f t="shared" si="85"/>
        <v>1</v>
      </c>
      <c r="E1384" s="7" t="s">
        <v>8345</v>
      </c>
      <c r="F1384" s="10" t="str">
        <f t="shared" si="84"/>
        <v>insert into ins_premium_det (premium_rcv_code,assorted_code, rec_amount,premium_rcv_detail_code,remaining_amt, payrec, mode_code,coinsurance_code,class_cd,it_remarks) values</v>
      </c>
      <c r="G1384" s="11" t="str">
        <f t="shared" si="86"/>
        <v>('28Nov240101','070000152300','1',(select max(to_number(i.premium_rcv_detail_code))+1
from ins_premium_det i),'1','1','02', '11000003','00','Request by Mr. Omair Ali 29-Nov-2024');</v>
      </c>
      <c r="H1384" s="12" t="str">
        <f t="shared" si="87"/>
        <v>insert into ins_premium_det (premium_rcv_code,assorted_code, rec_amount,premium_rcv_detail_code,remaining_amt, payrec, mode_code,coinsurance_code,class_cd,it_remarks) values('28Nov240101','070000152300','1',(select max(to_number(i.premium_rcv_detail_code))+1
from ins_premium_det i),'1','1','02', '11000003','00','Request by Mr. Omair Ali 29-Nov-2024');</v>
      </c>
    </row>
    <row r="1385" spans="1:8" ht="105" x14ac:dyDescent="0.25">
      <c r="A1385" t="s">
        <v>1385</v>
      </c>
      <c r="B1385" s="8" t="str">
        <f>VLOOKUP(A1385,assortedcode!B:C,2,0)</f>
        <v>040000112662</v>
      </c>
      <c r="C1385" s="1">
        <v>1</v>
      </c>
      <c r="D1385" s="9">
        <f t="shared" si="85"/>
        <v>1</v>
      </c>
      <c r="E1385" s="7" t="s">
        <v>8345</v>
      </c>
      <c r="F1385" s="10" t="str">
        <f t="shared" si="84"/>
        <v>insert into ins_premium_det (premium_rcv_code,assorted_code, rec_amount,premium_rcv_detail_code,remaining_amt, payrec, mode_code,coinsurance_code,class_cd,it_remarks) values</v>
      </c>
      <c r="G1385" s="11" t="str">
        <f t="shared" si="86"/>
        <v>('28Nov240101','040000112662','1',(select max(to_number(i.premium_rcv_detail_code))+1
from ins_premium_det i),'1','1','02', '11000003','00','Request by Mr. Omair Ali 29-Nov-2024');</v>
      </c>
      <c r="H1385" s="12" t="str">
        <f t="shared" si="87"/>
        <v>insert into ins_premium_det (premium_rcv_code,assorted_code, rec_amount,premium_rcv_detail_code,remaining_amt, payrec, mode_code,coinsurance_code,class_cd,it_remarks) values('28Nov240101','040000112662','1',(select max(to_number(i.premium_rcv_detail_code))+1
from ins_premium_det i),'1','1','02', '11000003','00','Request by Mr. Omair Ali 29-Nov-2024');</v>
      </c>
    </row>
    <row r="1386" spans="1:8" ht="105" x14ac:dyDescent="0.25">
      <c r="A1386" t="s">
        <v>1386</v>
      </c>
      <c r="B1386" s="8" t="str">
        <f>VLOOKUP(A1386,assortedcode!B:C,2,0)</f>
        <v>070000152779</v>
      </c>
      <c r="C1386" s="1">
        <v>1</v>
      </c>
      <c r="D1386" s="9">
        <f t="shared" si="85"/>
        <v>1</v>
      </c>
      <c r="E1386" s="7" t="s">
        <v>8345</v>
      </c>
      <c r="F1386" s="10" t="str">
        <f t="shared" si="84"/>
        <v>insert into ins_premium_det (premium_rcv_code,assorted_code, rec_amount,premium_rcv_detail_code,remaining_amt, payrec, mode_code,coinsurance_code,class_cd,it_remarks) values</v>
      </c>
      <c r="G1386" s="11" t="str">
        <f t="shared" si="86"/>
        <v>('28Nov240101','070000152779','1',(select max(to_number(i.premium_rcv_detail_code))+1
from ins_premium_det i),'1','1','02', '11000003','00','Request by Mr. Omair Ali 29-Nov-2024');</v>
      </c>
      <c r="H1386" s="12" t="str">
        <f t="shared" si="87"/>
        <v>insert into ins_premium_det (premium_rcv_code,assorted_code, rec_amount,premium_rcv_detail_code,remaining_amt, payrec, mode_code,coinsurance_code,class_cd,it_remarks) values('28Nov240101','070000152779','1',(select max(to_number(i.premium_rcv_detail_code))+1
from ins_premium_det i),'1','1','02', '11000003','00','Request by Mr. Omair Ali 29-Nov-2024');</v>
      </c>
    </row>
    <row r="1387" spans="1:8" ht="105" x14ac:dyDescent="0.25">
      <c r="A1387" t="s">
        <v>1387</v>
      </c>
      <c r="B1387" s="8" t="str">
        <f>VLOOKUP(A1387,assortedcode!B:C,2,0)</f>
        <v>040000122048</v>
      </c>
      <c r="C1387" s="1">
        <v>1</v>
      </c>
      <c r="D1387" s="9">
        <f t="shared" si="85"/>
        <v>1</v>
      </c>
      <c r="E1387" s="7" t="s">
        <v>8345</v>
      </c>
      <c r="F1387" s="10" t="str">
        <f t="shared" si="84"/>
        <v>insert into ins_premium_det (premium_rcv_code,assorted_code, rec_amount,premium_rcv_detail_code,remaining_amt, payrec, mode_code,coinsurance_code,class_cd,it_remarks) values</v>
      </c>
      <c r="G1387" s="11" t="str">
        <f t="shared" si="86"/>
        <v>('28Nov240101','040000122048','1',(select max(to_number(i.premium_rcv_detail_code))+1
from ins_premium_det i),'1','1','02', '11000003','00','Request by Mr. Omair Ali 29-Nov-2024');</v>
      </c>
      <c r="H1387" s="12" t="str">
        <f t="shared" si="87"/>
        <v>insert into ins_premium_det (premium_rcv_code,assorted_code, rec_amount,premium_rcv_detail_code,remaining_amt, payrec, mode_code,coinsurance_code,class_cd,it_remarks) values('28Nov240101','040000122048','1',(select max(to_number(i.premium_rcv_detail_code))+1
from ins_premium_det i),'1','1','02', '11000003','00','Request by Mr. Omair Ali 29-Nov-2024');</v>
      </c>
    </row>
    <row r="1388" spans="1:8" ht="105" x14ac:dyDescent="0.25">
      <c r="A1388" t="s">
        <v>1388</v>
      </c>
      <c r="B1388" s="8" t="str">
        <f>VLOOKUP(A1388,assortedcode!B:C,2,0)</f>
        <v>070000153209</v>
      </c>
      <c r="C1388" s="1">
        <v>1</v>
      </c>
      <c r="D1388" s="9">
        <f t="shared" si="85"/>
        <v>1</v>
      </c>
      <c r="E1388" s="7" t="s">
        <v>8345</v>
      </c>
      <c r="F1388" s="10" t="str">
        <f t="shared" si="84"/>
        <v>insert into ins_premium_det (premium_rcv_code,assorted_code, rec_amount,premium_rcv_detail_code,remaining_amt, payrec, mode_code,coinsurance_code,class_cd,it_remarks) values</v>
      </c>
      <c r="G1388" s="11" t="str">
        <f t="shared" si="86"/>
        <v>('28Nov240101','070000153209','1',(select max(to_number(i.premium_rcv_detail_code))+1
from ins_premium_det i),'1','1','02', '11000003','00','Request by Mr. Omair Ali 29-Nov-2024');</v>
      </c>
      <c r="H1388" s="12" t="str">
        <f t="shared" si="87"/>
        <v>insert into ins_premium_det (premium_rcv_code,assorted_code, rec_amount,premium_rcv_detail_code,remaining_amt, payrec, mode_code,coinsurance_code,class_cd,it_remarks) values('28Nov240101','070000153209','1',(select max(to_number(i.premium_rcv_detail_code))+1
from ins_premium_det i),'1','1','02', '11000003','00','Request by Mr. Omair Ali 29-Nov-2024');</v>
      </c>
    </row>
    <row r="1389" spans="1:8" ht="105" x14ac:dyDescent="0.25">
      <c r="A1389" t="s">
        <v>1389</v>
      </c>
      <c r="B1389" s="8" t="str">
        <f>VLOOKUP(A1389,assortedcode!B:C,2,0)</f>
        <v>070000131652</v>
      </c>
      <c r="C1389" s="1">
        <v>1</v>
      </c>
      <c r="D1389" s="9">
        <f t="shared" si="85"/>
        <v>1</v>
      </c>
      <c r="E1389" s="7" t="s">
        <v>8345</v>
      </c>
      <c r="F1389" s="10" t="str">
        <f t="shared" si="84"/>
        <v>insert into ins_premium_det (premium_rcv_code,assorted_code, rec_amount,premium_rcv_detail_code,remaining_amt, payrec, mode_code,coinsurance_code,class_cd,it_remarks) values</v>
      </c>
      <c r="G1389" s="11" t="str">
        <f t="shared" si="86"/>
        <v>('28Nov240101','070000131652','1',(select max(to_number(i.premium_rcv_detail_code))+1
from ins_premium_det i),'1','1','02', '11000003','00','Request by Mr. Omair Ali 29-Nov-2024');</v>
      </c>
      <c r="H1389" s="12" t="str">
        <f t="shared" si="87"/>
        <v>insert into ins_premium_det (premium_rcv_code,assorted_code, rec_amount,premium_rcv_detail_code,remaining_amt, payrec, mode_code,coinsurance_code,class_cd,it_remarks) values('28Nov240101','070000131652','1',(select max(to_number(i.premium_rcv_detail_code))+1
from ins_premium_det i),'1','1','02', '11000003','00','Request by Mr. Omair Ali 29-Nov-2024');</v>
      </c>
    </row>
    <row r="1390" spans="1:8" ht="105" x14ac:dyDescent="0.25">
      <c r="A1390" t="s">
        <v>1390</v>
      </c>
      <c r="B1390" s="8" t="str">
        <f>VLOOKUP(A1390,assortedcode!B:C,2,0)</f>
        <v>070000153777</v>
      </c>
      <c r="C1390" s="1">
        <v>1</v>
      </c>
      <c r="D1390" s="9">
        <f t="shared" si="85"/>
        <v>1</v>
      </c>
      <c r="E1390" s="7" t="s">
        <v>8345</v>
      </c>
      <c r="F1390" s="10" t="str">
        <f t="shared" si="84"/>
        <v>insert into ins_premium_det (premium_rcv_code,assorted_code, rec_amount,premium_rcv_detail_code,remaining_amt, payrec, mode_code,coinsurance_code,class_cd,it_remarks) values</v>
      </c>
      <c r="G1390" s="11" t="str">
        <f t="shared" si="86"/>
        <v>('28Nov240101','070000153777','1',(select max(to_number(i.premium_rcv_detail_code))+1
from ins_premium_det i),'1','1','02', '11000003','00','Request by Mr. Omair Ali 29-Nov-2024');</v>
      </c>
      <c r="H1390" s="12" t="str">
        <f t="shared" si="87"/>
        <v>insert into ins_premium_det (premium_rcv_code,assorted_code, rec_amount,premium_rcv_detail_code,remaining_amt, payrec, mode_code,coinsurance_code,class_cd,it_remarks) values('28Nov240101','070000153777','1',(select max(to_number(i.premium_rcv_detail_code))+1
from ins_premium_det i),'1','1','02', '11000003','00','Request by Mr. Omair Ali 29-Nov-2024');</v>
      </c>
    </row>
    <row r="1391" spans="1:8" ht="105" x14ac:dyDescent="0.25">
      <c r="A1391" t="s">
        <v>1391</v>
      </c>
      <c r="B1391" s="8" t="str">
        <f>VLOOKUP(A1391,assortedcode!B:C,2,0)</f>
        <v>070000136048</v>
      </c>
      <c r="C1391" s="1">
        <v>1</v>
      </c>
      <c r="D1391" s="9">
        <f t="shared" si="85"/>
        <v>1</v>
      </c>
      <c r="E1391" s="7" t="s">
        <v>8345</v>
      </c>
      <c r="F1391" s="10" t="str">
        <f t="shared" si="84"/>
        <v>insert into ins_premium_det (premium_rcv_code,assorted_code, rec_amount,premium_rcv_detail_code,remaining_amt, payrec, mode_code,coinsurance_code,class_cd,it_remarks) values</v>
      </c>
      <c r="G1391" s="11" t="str">
        <f t="shared" si="86"/>
        <v>('28Nov240101','070000136048','1',(select max(to_number(i.premium_rcv_detail_code))+1
from ins_premium_det i),'1','1','02', '11000003','00','Request by Mr. Omair Ali 29-Nov-2024');</v>
      </c>
      <c r="H1391" s="12" t="str">
        <f t="shared" si="87"/>
        <v>insert into ins_premium_det (premium_rcv_code,assorted_code, rec_amount,premium_rcv_detail_code,remaining_amt, payrec, mode_code,coinsurance_code,class_cd,it_remarks) values('28Nov240101','070000136048','1',(select max(to_number(i.premium_rcv_detail_code))+1
from ins_premium_det i),'1','1','02', '11000003','00','Request by Mr. Omair Ali 29-Nov-2024');</v>
      </c>
    </row>
    <row r="1392" spans="1:8" ht="105" x14ac:dyDescent="0.25">
      <c r="A1392" t="s">
        <v>1392</v>
      </c>
      <c r="B1392" s="8" t="str">
        <f>VLOOKUP(A1392,assortedcode!B:C,2,0)</f>
        <v>070000153453</v>
      </c>
      <c r="C1392" s="1">
        <v>1</v>
      </c>
      <c r="D1392" s="9">
        <f t="shared" si="85"/>
        <v>1</v>
      </c>
      <c r="E1392" s="7" t="s">
        <v>8345</v>
      </c>
      <c r="F1392" s="10" t="str">
        <f t="shared" si="84"/>
        <v>insert into ins_premium_det (premium_rcv_code,assorted_code, rec_amount,premium_rcv_detail_code,remaining_amt, payrec, mode_code,coinsurance_code,class_cd,it_remarks) values</v>
      </c>
      <c r="G1392" s="11" t="str">
        <f t="shared" si="86"/>
        <v>('28Nov240101','070000153453','1',(select max(to_number(i.premium_rcv_detail_code))+1
from ins_premium_det i),'1','1','02', '11000003','00','Request by Mr. Omair Ali 29-Nov-2024');</v>
      </c>
      <c r="H1392" s="12" t="str">
        <f t="shared" si="87"/>
        <v>insert into ins_premium_det (premium_rcv_code,assorted_code, rec_amount,premium_rcv_detail_code,remaining_amt, payrec, mode_code,coinsurance_code,class_cd,it_remarks) values('28Nov240101','070000153453','1',(select max(to_number(i.premium_rcv_detail_code))+1
from ins_premium_det i),'1','1','02', '11000003','00','Request by Mr. Omair Ali 29-Nov-2024');</v>
      </c>
    </row>
    <row r="1393" spans="1:8" ht="105" x14ac:dyDescent="0.25">
      <c r="A1393" t="s">
        <v>1393</v>
      </c>
      <c r="B1393" s="8" t="str">
        <f>VLOOKUP(A1393,assortedcode!B:C,2,0)</f>
        <v>070000136703</v>
      </c>
      <c r="C1393" s="1">
        <v>1</v>
      </c>
      <c r="D1393" s="9">
        <f t="shared" si="85"/>
        <v>1</v>
      </c>
      <c r="E1393" s="7" t="s">
        <v>8345</v>
      </c>
      <c r="F1393" s="10" t="str">
        <f t="shared" si="84"/>
        <v>insert into ins_premium_det (premium_rcv_code,assorted_code, rec_amount,premium_rcv_detail_code,remaining_amt, payrec, mode_code,coinsurance_code,class_cd,it_remarks) values</v>
      </c>
      <c r="G1393" s="11" t="str">
        <f t="shared" si="86"/>
        <v>('28Nov240101','070000136703','1',(select max(to_number(i.premium_rcv_detail_code))+1
from ins_premium_det i),'1','1','02', '11000003','00','Request by Mr. Omair Ali 29-Nov-2024');</v>
      </c>
      <c r="H1393" s="12" t="str">
        <f t="shared" si="87"/>
        <v>insert into ins_premium_det (premium_rcv_code,assorted_code, rec_amount,premium_rcv_detail_code,remaining_amt, payrec, mode_code,coinsurance_code,class_cd,it_remarks) values('28Nov240101','070000136703','1',(select max(to_number(i.premium_rcv_detail_code))+1
from ins_premium_det i),'1','1','02', '11000003','00','Request by Mr. Omair Ali 29-Nov-2024');</v>
      </c>
    </row>
    <row r="1394" spans="1:8" ht="105" x14ac:dyDescent="0.25">
      <c r="A1394" t="s">
        <v>1394</v>
      </c>
      <c r="B1394" s="8" t="str">
        <f>VLOOKUP(A1394,assortedcode!B:C,2,0)</f>
        <v>040000166694</v>
      </c>
      <c r="C1394" s="1">
        <v>1</v>
      </c>
      <c r="D1394" s="9">
        <f t="shared" si="85"/>
        <v>1</v>
      </c>
      <c r="E1394" s="7" t="s">
        <v>8345</v>
      </c>
      <c r="F1394" s="10" t="str">
        <f t="shared" si="84"/>
        <v>insert into ins_premium_det (premium_rcv_code,assorted_code, rec_amount,premium_rcv_detail_code,remaining_amt, payrec, mode_code,coinsurance_code,class_cd,it_remarks) values</v>
      </c>
      <c r="G1394" s="11" t="str">
        <f t="shared" si="86"/>
        <v>('28Nov240101','040000166694','1',(select max(to_number(i.premium_rcv_detail_code))+1
from ins_premium_det i),'1','1','02', '11000003','00','Request by Mr. Omair Ali 29-Nov-2024');</v>
      </c>
      <c r="H1394" s="12" t="str">
        <f t="shared" si="87"/>
        <v>insert into ins_premium_det (premium_rcv_code,assorted_code, rec_amount,premium_rcv_detail_code,remaining_amt, payrec, mode_code,coinsurance_code,class_cd,it_remarks) values('28Nov240101','040000166694','1',(select max(to_number(i.premium_rcv_detail_code))+1
from ins_premium_det i),'1','1','02', '11000003','00','Request by Mr. Omair Ali 29-Nov-2024');</v>
      </c>
    </row>
    <row r="1395" spans="1:8" ht="105" x14ac:dyDescent="0.25">
      <c r="A1395" t="s">
        <v>1395</v>
      </c>
      <c r="B1395" s="8" t="str">
        <f>VLOOKUP(A1395,assortedcode!B:C,2,0)</f>
        <v>070000139633</v>
      </c>
      <c r="C1395" s="1">
        <v>1</v>
      </c>
      <c r="D1395" s="9">
        <f t="shared" si="85"/>
        <v>1</v>
      </c>
      <c r="E1395" s="7" t="s">
        <v>8345</v>
      </c>
      <c r="F1395" s="10" t="str">
        <f t="shared" si="84"/>
        <v>insert into ins_premium_det (premium_rcv_code,assorted_code, rec_amount,premium_rcv_detail_code,remaining_amt, payrec, mode_code,coinsurance_code,class_cd,it_remarks) values</v>
      </c>
      <c r="G1395" s="11" t="str">
        <f t="shared" si="86"/>
        <v>('28Nov240101','070000139633','1',(select max(to_number(i.premium_rcv_detail_code))+1
from ins_premium_det i),'1','1','02', '11000003','00','Request by Mr. Omair Ali 29-Nov-2024');</v>
      </c>
      <c r="H1395" s="12" t="str">
        <f t="shared" si="87"/>
        <v>insert into ins_premium_det (premium_rcv_code,assorted_code, rec_amount,premium_rcv_detail_code,remaining_amt, payrec, mode_code,coinsurance_code,class_cd,it_remarks) values('28Nov240101','070000139633','1',(select max(to_number(i.premium_rcv_detail_code))+1
from ins_premium_det i),'1','1','02', '11000003','00','Request by Mr. Omair Ali 29-Nov-2024');</v>
      </c>
    </row>
    <row r="1396" spans="1:8" ht="105" x14ac:dyDescent="0.25">
      <c r="A1396" t="s">
        <v>1396</v>
      </c>
      <c r="B1396" s="8" t="str">
        <f>VLOOKUP(A1396,assortedcode!B:C,2,0)</f>
        <v>040000124851</v>
      </c>
      <c r="C1396" s="1">
        <v>1</v>
      </c>
      <c r="D1396" s="9">
        <f t="shared" si="85"/>
        <v>1</v>
      </c>
      <c r="E1396" s="7" t="s">
        <v>8345</v>
      </c>
      <c r="F1396" s="10" t="str">
        <f t="shared" si="84"/>
        <v>insert into ins_premium_det (premium_rcv_code,assorted_code, rec_amount,premium_rcv_detail_code,remaining_amt, payrec, mode_code,coinsurance_code,class_cd,it_remarks) values</v>
      </c>
      <c r="G1396" s="11" t="str">
        <f t="shared" si="86"/>
        <v>('28Nov240101','040000124851','1',(select max(to_number(i.premium_rcv_detail_code))+1
from ins_premium_det i),'1','1','02', '11000003','00','Request by Mr. Omair Ali 29-Nov-2024');</v>
      </c>
      <c r="H1396" s="12" t="str">
        <f t="shared" si="87"/>
        <v>insert into ins_premium_det (premium_rcv_code,assorted_code, rec_amount,premium_rcv_detail_code,remaining_amt, payrec, mode_code,coinsurance_code,class_cd,it_remarks) values('28Nov240101','040000124851','1',(select max(to_number(i.premium_rcv_detail_code))+1
from ins_premium_det i),'1','1','02', '11000003','00','Request by Mr. Omair Ali 29-Nov-2024');</v>
      </c>
    </row>
    <row r="1397" spans="1:8" ht="105" x14ac:dyDescent="0.25">
      <c r="A1397" t="s">
        <v>1397</v>
      </c>
      <c r="B1397" s="8" t="str">
        <f>VLOOKUP(A1397,assortedcode!B:C,2,0)</f>
        <v>070000140481</v>
      </c>
      <c r="C1397" s="1">
        <v>1</v>
      </c>
      <c r="D1397" s="9">
        <f t="shared" si="85"/>
        <v>1</v>
      </c>
      <c r="E1397" s="7" t="s">
        <v>8345</v>
      </c>
      <c r="F1397" s="10" t="str">
        <f t="shared" si="84"/>
        <v>insert into ins_premium_det (premium_rcv_code,assorted_code, rec_amount,premium_rcv_detail_code,remaining_amt, payrec, mode_code,coinsurance_code,class_cd,it_remarks) values</v>
      </c>
      <c r="G1397" s="11" t="str">
        <f t="shared" si="86"/>
        <v>('28Nov240101','070000140481','1',(select max(to_number(i.premium_rcv_detail_code))+1
from ins_premium_det i),'1','1','02', '11000003','00','Request by Mr. Omair Ali 29-Nov-2024');</v>
      </c>
      <c r="H1397" s="12" t="str">
        <f t="shared" si="87"/>
        <v>insert into ins_premium_det (premium_rcv_code,assorted_code, rec_amount,premium_rcv_detail_code,remaining_amt, payrec, mode_code,coinsurance_code,class_cd,it_remarks) values('28Nov240101','070000140481','1',(select max(to_number(i.premium_rcv_detail_code))+1
from ins_premium_det i),'1','1','02', '11000003','00','Request by Mr. Omair Ali 29-Nov-2024');</v>
      </c>
    </row>
    <row r="1398" spans="1:8" ht="105" x14ac:dyDescent="0.25">
      <c r="A1398" t="s">
        <v>1398</v>
      </c>
      <c r="B1398" s="8" t="str">
        <f>VLOOKUP(A1398,assortedcode!B:C,2,0)</f>
        <v>070000153655</v>
      </c>
      <c r="C1398" s="1">
        <v>1</v>
      </c>
      <c r="D1398" s="9">
        <f t="shared" si="85"/>
        <v>1</v>
      </c>
      <c r="E1398" s="7" t="s">
        <v>8345</v>
      </c>
      <c r="F1398" s="10" t="str">
        <f t="shared" si="84"/>
        <v>insert into ins_premium_det (premium_rcv_code,assorted_code, rec_amount,premium_rcv_detail_code,remaining_amt, payrec, mode_code,coinsurance_code,class_cd,it_remarks) values</v>
      </c>
      <c r="G1398" s="11" t="str">
        <f t="shared" si="86"/>
        <v>('28Nov240101','070000153655','1',(select max(to_number(i.premium_rcv_detail_code))+1
from ins_premium_det i),'1','1','02', '11000003','00','Request by Mr. Omair Ali 29-Nov-2024');</v>
      </c>
      <c r="H1398" s="12" t="str">
        <f t="shared" si="87"/>
        <v>insert into ins_premium_det (premium_rcv_code,assorted_code, rec_amount,premium_rcv_detail_code,remaining_amt, payrec, mode_code,coinsurance_code,class_cd,it_remarks) values('28Nov240101','070000153655','1',(select max(to_number(i.premium_rcv_detail_code))+1
from ins_premium_det i),'1','1','02', '11000003','00','Request by Mr. Omair Ali 29-Nov-2024');</v>
      </c>
    </row>
    <row r="1399" spans="1:8" ht="105" x14ac:dyDescent="0.25">
      <c r="A1399" t="s">
        <v>1399</v>
      </c>
      <c r="B1399" s="8" t="str">
        <f>VLOOKUP(A1399,assortedcode!B:C,2,0)</f>
        <v>070000156380</v>
      </c>
      <c r="C1399" s="1">
        <v>1</v>
      </c>
      <c r="D1399" s="9">
        <f t="shared" si="85"/>
        <v>1</v>
      </c>
      <c r="E1399" s="7" t="s">
        <v>8345</v>
      </c>
      <c r="F1399" s="10" t="str">
        <f t="shared" si="84"/>
        <v>insert into ins_premium_det (premium_rcv_code,assorted_code, rec_amount,premium_rcv_detail_code,remaining_amt, payrec, mode_code,coinsurance_code,class_cd,it_remarks) values</v>
      </c>
      <c r="G1399" s="11" t="str">
        <f t="shared" si="86"/>
        <v>('28Nov240101','070000156380','1',(select max(to_number(i.premium_rcv_detail_code))+1
from ins_premium_det i),'1','1','02', '11000003','00','Request by Mr. Omair Ali 29-Nov-2024');</v>
      </c>
      <c r="H1399" s="12" t="str">
        <f t="shared" si="87"/>
        <v>insert into ins_premium_det (premium_rcv_code,assorted_code, rec_amount,premium_rcv_detail_code,remaining_amt, payrec, mode_code,coinsurance_code,class_cd,it_remarks) values('28Nov240101','070000156380','1',(select max(to_number(i.premium_rcv_detail_code))+1
from ins_premium_det i),'1','1','02', '11000003','00','Request by Mr. Omair Ali 29-Nov-2024');</v>
      </c>
    </row>
    <row r="1400" spans="1:8" ht="105" x14ac:dyDescent="0.25">
      <c r="A1400" t="s">
        <v>1400</v>
      </c>
      <c r="B1400" s="8" t="str">
        <f>VLOOKUP(A1400,assortedcode!B:C,2,0)</f>
        <v>070000153651</v>
      </c>
      <c r="C1400" s="1">
        <v>1</v>
      </c>
      <c r="D1400" s="9">
        <f t="shared" si="85"/>
        <v>1</v>
      </c>
      <c r="E1400" s="7" t="s">
        <v>8345</v>
      </c>
      <c r="F1400" s="10" t="str">
        <f t="shared" si="84"/>
        <v>insert into ins_premium_det (premium_rcv_code,assorted_code, rec_amount,premium_rcv_detail_code,remaining_amt, payrec, mode_code,coinsurance_code,class_cd,it_remarks) values</v>
      </c>
      <c r="G1400" s="11" t="str">
        <f t="shared" si="86"/>
        <v>('28Nov240101','070000153651','1',(select max(to_number(i.premium_rcv_detail_code))+1
from ins_premium_det i),'1','1','02', '11000003','00','Request by Mr. Omair Ali 29-Nov-2024');</v>
      </c>
      <c r="H1400" s="12" t="str">
        <f t="shared" si="87"/>
        <v>insert into ins_premium_det (premium_rcv_code,assorted_code, rec_amount,premium_rcv_detail_code,remaining_amt, payrec, mode_code,coinsurance_code,class_cd,it_remarks) values('28Nov240101','070000153651','1',(select max(to_number(i.premium_rcv_detail_code))+1
from ins_premium_det i),'1','1','02', '11000003','00','Request by Mr. Omair Ali 29-Nov-2024');</v>
      </c>
    </row>
    <row r="1401" spans="1:8" ht="105" x14ac:dyDescent="0.25">
      <c r="A1401" t="s">
        <v>1401</v>
      </c>
      <c r="B1401" s="8" t="str">
        <f>VLOOKUP(A1401,assortedcode!B:C,2,0)</f>
        <v>070000145220</v>
      </c>
      <c r="C1401" s="1">
        <v>1</v>
      </c>
      <c r="D1401" s="9">
        <f t="shared" si="85"/>
        <v>1</v>
      </c>
      <c r="E1401" s="7" t="s">
        <v>8345</v>
      </c>
      <c r="F1401" s="10" t="str">
        <f t="shared" si="84"/>
        <v>insert into ins_premium_det (premium_rcv_code,assorted_code, rec_amount,premium_rcv_detail_code,remaining_amt, payrec, mode_code,coinsurance_code,class_cd,it_remarks) values</v>
      </c>
      <c r="G1401" s="11" t="str">
        <f t="shared" si="86"/>
        <v>('28Nov240101','070000145220','1',(select max(to_number(i.premium_rcv_detail_code))+1
from ins_premium_det i),'1','1','02', '11000003','00','Request by Mr. Omair Ali 29-Nov-2024');</v>
      </c>
      <c r="H1401" s="12" t="str">
        <f t="shared" si="87"/>
        <v>insert into ins_premium_det (premium_rcv_code,assorted_code, rec_amount,premium_rcv_detail_code,remaining_amt, payrec, mode_code,coinsurance_code,class_cd,it_remarks) values('28Nov240101','070000145220','1',(select max(to_number(i.premium_rcv_detail_code))+1
from ins_premium_det i),'1','1','02', '11000003','00','Request by Mr. Omair Ali 29-Nov-2024');</v>
      </c>
    </row>
    <row r="1402" spans="1:8" ht="105" x14ac:dyDescent="0.25">
      <c r="A1402" t="s">
        <v>1402</v>
      </c>
      <c r="B1402" s="8" t="str">
        <f>VLOOKUP(A1402,assortedcode!B:C,2,0)</f>
        <v>070000153652</v>
      </c>
      <c r="C1402" s="1">
        <v>1</v>
      </c>
      <c r="D1402" s="9">
        <f t="shared" si="85"/>
        <v>1</v>
      </c>
      <c r="E1402" s="7" t="s">
        <v>8345</v>
      </c>
      <c r="F1402" s="10" t="str">
        <f t="shared" si="84"/>
        <v>insert into ins_premium_det (premium_rcv_code,assorted_code, rec_amount,premium_rcv_detail_code,remaining_amt, payrec, mode_code,coinsurance_code,class_cd,it_remarks) values</v>
      </c>
      <c r="G1402" s="11" t="str">
        <f t="shared" si="86"/>
        <v>('28Nov240101','070000153652','1',(select max(to_number(i.premium_rcv_detail_code))+1
from ins_premium_det i),'1','1','02', '11000003','00','Request by Mr. Omair Ali 29-Nov-2024');</v>
      </c>
      <c r="H1402" s="12" t="str">
        <f t="shared" si="87"/>
        <v>insert into ins_premium_det (premium_rcv_code,assorted_code, rec_amount,premium_rcv_detail_code,remaining_amt, payrec, mode_code,coinsurance_code,class_cd,it_remarks) values('28Nov240101','070000153652','1',(select max(to_number(i.premium_rcv_detail_code))+1
from ins_premium_det i),'1','1','02', '11000003','00','Request by Mr. Omair Ali 29-Nov-2024');</v>
      </c>
    </row>
    <row r="1403" spans="1:8" ht="105" x14ac:dyDescent="0.25">
      <c r="A1403" t="s">
        <v>1403</v>
      </c>
      <c r="B1403" s="8" t="str">
        <f>VLOOKUP(A1403,assortedcode!B:C,2,0)</f>
        <v>070000145061</v>
      </c>
      <c r="C1403" s="1">
        <v>1</v>
      </c>
      <c r="D1403" s="9">
        <f t="shared" si="85"/>
        <v>1</v>
      </c>
      <c r="E1403" s="7" t="s">
        <v>8345</v>
      </c>
      <c r="F1403" s="10" t="str">
        <f t="shared" si="84"/>
        <v>insert into ins_premium_det (premium_rcv_code,assorted_code, rec_amount,premium_rcv_detail_code,remaining_amt, payrec, mode_code,coinsurance_code,class_cd,it_remarks) values</v>
      </c>
      <c r="G1403" s="11" t="str">
        <f t="shared" si="86"/>
        <v>('28Nov240101','070000145061','1',(select max(to_number(i.premium_rcv_detail_code))+1
from ins_premium_det i),'1','1','02', '11000003','00','Request by Mr. Omair Ali 29-Nov-2024');</v>
      </c>
      <c r="H1403" s="12" t="str">
        <f t="shared" si="87"/>
        <v>insert into ins_premium_det (premium_rcv_code,assorted_code, rec_amount,premium_rcv_detail_code,remaining_amt, payrec, mode_code,coinsurance_code,class_cd,it_remarks) values('28Nov240101','070000145061','1',(select max(to_number(i.premium_rcv_detail_code))+1
from ins_premium_det i),'1','1','02', '11000003','00','Request by Mr. Omair Ali 29-Nov-2024');</v>
      </c>
    </row>
    <row r="1404" spans="1:8" ht="105" x14ac:dyDescent="0.25">
      <c r="A1404" t="s">
        <v>1404</v>
      </c>
      <c r="B1404" s="8" t="str">
        <f>VLOOKUP(A1404,assortedcode!B:C,2,0)</f>
        <v>070000153708</v>
      </c>
      <c r="C1404" s="1">
        <v>1</v>
      </c>
      <c r="D1404" s="9">
        <f t="shared" si="85"/>
        <v>1</v>
      </c>
      <c r="E1404" s="7" t="s">
        <v>8345</v>
      </c>
      <c r="F1404" s="10" t="str">
        <f t="shared" si="84"/>
        <v>insert into ins_premium_det (premium_rcv_code,assorted_code, rec_amount,premium_rcv_detail_code,remaining_amt, payrec, mode_code,coinsurance_code,class_cd,it_remarks) values</v>
      </c>
      <c r="G1404" s="11" t="str">
        <f t="shared" si="86"/>
        <v>('28Nov240101','070000153708','1',(select max(to_number(i.premium_rcv_detail_code))+1
from ins_premium_det i),'1','1','02', '11000003','00','Request by Mr. Omair Ali 29-Nov-2024');</v>
      </c>
      <c r="H1404" s="12" t="str">
        <f t="shared" si="87"/>
        <v>insert into ins_premium_det (premium_rcv_code,assorted_code, rec_amount,premium_rcv_detail_code,remaining_amt, payrec, mode_code,coinsurance_code,class_cd,it_remarks) values('28Nov240101','070000153708','1',(select max(to_number(i.premium_rcv_detail_code))+1
from ins_premium_det i),'1','1','02', '11000003','00','Request by Mr. Omair Ali 29-Nov-2024');</v>
      </c>
    </row>
    <row r="1405" spans="1:8" ht="105" x14ac:dyDescent="0.25">
      <c r="A1405" t="s">
        <v>1405</v>
      </c>
      <c r="B1405" s="8" t="str">
        <f>VLOOKUP(A1405,assortedcode!B:C,2,0)</f>
        <v>070000145977</v>
      </c>
      <c r="C1405" s="1">
        <v>1</v>
      </c>
      <c r="D1405" s="9">
        <f t="shared" si="85"/>
        <v>1</v>
      </c>
      <c r="E1405" s="7" t="s">
        <v>8345</v>
      </c>
      <c r="F1405" s="10" t="str">
        <f t="shared" si="84"/>
        <v>insert into ins_premium_det (premium_rcv_code,assorted_code, rec_amount,premium_rcv_detail_code,remaining_amt, payrec, mode_code,coinsurance_code,class_cd,it_remarks) values</v>
      </c>
      <c r="G1405" s="11" t="str">
        <f t="shared" si="86"/>
        <v>('28Nov240101','070000145977','1',(select max(to_number(i.premium_rcv_detail_code))+1
from ins_premium_det i),'1','1','02', '11000003','00','Request by Mr. Omair Ali 29-Nov-2024');</v>
      </c>
      <c r="H1405" s="12" t="str">
        <f t="shared" si="87"/>
        <v>insert into ins_premium_det (premium_rcv_code,assorted_code, rec_amount,premium_rcv_detail_code,remaining_amt, payrec, mode_code,coinsurance_code,class_cd,it_remarks) values('28Nov240101','070000145977','1',(select max(to_number(i.premium_rcv_detail_code))+1
from ins_premium_det i),'1','1','02', '11000003','00','Request by Mr. Omair Ali 29-Nov-2024');</v>
      </c>
    </row>
    <row r="1406" spans="1:8" ht="105" x14ac:dyDescent="0.25">
      <c r="A1406" t="s">
        <v>1406</v>
      </c>
      <c r="B1406" s="8" t="str">
        <f>VLOOKUP(A1406,assortedcode!B:C,2,0)</f>
        <v>070000153627</v>
      </c>
      <c r="C1406" s="1">
        <v>1</v>
      </c>
      <c r="D1406" s="9">
        <f t="shared" si="85"/>
        <v>1</v>
      </c>
      <c r="E1406" s="7" t="s">
        <v>8345</v>
      </c>
      <c r="F1406" s="10" t="str">
        <f t="shared" si="84"/>
        <v>insert into ins_premium_det (premium_rcv_code,assorted_code, rec_amount,premium_rcv_detail_code,remaining_amt, payrec, mode_code,coinsurance_code,class_cd,it_remarks) values</v>
      </c>
      <c r="G1406" s="11" t="str">
        <f t="shared" si="86"/>
        <v>('28Nov240101','070000153627','1',(select max(to_number(i.premium_rcv_detail_code))+1
from ins_premium_det i),'1','1','02', '11000003','00','Request by Mr. Omair Ali 29-Nov-2024');</v>
      </c>
      <c r="H1406" s="12" t="str">
        <f t="shared" si="87"/>
        <v>insert into ins_premium_det (premium_rcv_code,assorted_code, rec_amount,premium_rcv_detail_code,remaining_amt, payrec, mode_code,coinsurance_code,class_cd,it_remarks) values('28Nov240101','070000153627','1',(select max(to_number(i.premium_rcv_detail_code))+1
from ins_premium_det i),'1','1','02', '11000003','00','Request by Mr. Omair Ali 29-Nov-2024');</v>
      </c>
    </row>
    <row r="1407" spans="1:8" ht="105" x14ac:dyDescent="0.25">
      <c r="A1407" t="s">
        <v>1407</v>
      </c>
      <c r="B1407" s="8" t="str">
        <f>VLOOKUP(A1407,assortedcode!B:C,2,0)</f>
        <v>040000141721</v>
      </c>
      <c r="C1407" s="1">
        <v>1</v>
      </c>
      <c r="D1407" s="9">
        <f t="shared" si="85"/>
        <v>1</v>
      </c>
      <c r="E1407" s="7" t="s">
        <v>8345</v>
      </c>
      <c r="F1407" s="10" t="str">
        <f t="shared" si="84"/>
        <v>insert into ins_premium_det (premium_rcv_code,assorted_code, rec_amount,premium_rcv_detail_code,remaining_amt, payrec, mode_code,coinsurance_code,class_cd,it_remarks) values</v>
      </c>
      <c r="G1407" s="11" t="str">
        <f t="shared" si="86"/>
        <v>('28Nov240101','040000141721','1',(select max(to_number(i.premium_rcv_detail_code))+1
from ins_premium_det i),'1','1','02', '11000003','00','Request by Mr. Omair Ali 29-Nov-2024');</v>
      </c>
      <c r="H1407" s="12" t="str">
        <f t="shared" si="87"/>
        <v>insert into ins_premium_det (premium_rcv_code,assorted_code, rec_amount,premium_rcv_detail_code,remaining_amt, payrec, mode_code,coinsurance_code,class_cd,it_remarks) values('28Nov240101','040000141721','1',(select max(to_number(i.premium_rcv_detail_code))+1
from ins_premium_det i),'1','1','02', '11000003','00','Request by Mr. Omair Ali 29-Nov-2024');</v>
      </c>
    </row>
    <row r="1408" spans="1:8" ht="105" x14ac:dyDescent="0.25">
      <c r="A1408" t="s">
        <v>1408</v>
      </c>
      <c r="B1408" s="8" t="str">
        <f>VLOOKUP(A1408,assortedcode!B:C,2,0)</f>
        <v>040000125656</v>
      </c>
      <c r="C1408" s="1">
        <v>1</v>
      </c>
      <c r="D1408" s="9">
        <f t="shared" si="85"/>
        <v>1</v>
      </c>
      <c r="E1408" s="7" t="s">
        <v>8345</v>
      </c>
      <c r="F1408" s="10" t="str">
        <f t="shared" si="84"/>
        <v>insert into ins_premium_det (premium_rcv_code,assorted_code, rec_amount,premium_rcv_detail_code,remaining_amt, payrec, mode_code,coinsurance_code,class_cd,it_remarks) values</v>
      </c>
      <c r="G1408" s="11" t="str">
        <f t="shared" si="86"/>
        <v>('28Nov240101','040000125656','1',(select max(to_number(i.premium_rcv_detail_code))+1
from ins_premium_det i),'1','1','02', '11000003','00','Request by Mr. Omair Ali 29-Nov-2024');</v>
      </c>
      <c r="H1408" s="12" t="str">
        <f t="shared" si="87"/>
        <v>insert into ins_premium_det (premium_rcv_code,assorted_code, rec_amount,premium_rcv_detail_code,remaining_amt, payrec, mode_code,coinsurance_code,class_cd,it_remarks) values('28Nov240101','040000125656','1',(select max(to_number(i.premium_rcv_detail_code))+1
from ins_premium_det i),'1','1','02', '11000003','00','Request by Mr. Omair Ali 29-Nov-2024');</v>
      </c>
    </row>
    <row r="1409" spans="1:8" ht="105" x14ac:dyDescent="0.25">
      <c r="A1409" t="s">
        <v>1409</v>
      </c>
      <c r="B1409" s="8" t="str">
        <f>VLOOKUP(A1409,assortedcode!B:C,2,0)</f>
        <v>070000152036</v>
      </c>
      <c r="C1409" s="1">
        <v>1</v>
      </c>
      <c r="D1409" s="9">
        <f t="shared" si="85"/>
        <v>1</v>
      </c>
      <c r="E1409" s="7" t="s">
        <v>8345</v>
      </c>
      <c r="F1409" s="10" t="str">
        <f t="shared" si="84"/>
        <v>insert into ins_premium_det (premium_rcv_code,assorted_code, rec_amount,premium_rcv_detail_code,remaining_amt, payrec, mode_code,coinsurance_code,class_cd,it_remarks) values</v>
      </c>
      <c r="G1409" s="11" t="str">
        <f t="shared" si="86"/>
        <v>('28Nov240101','070000152036','1',(select max(to_number(i.premium_rcv_detail_code))+1
from ins_premium_det i),'1','1','02', '11000003','00','Request by Mr. Omair Ali 29-Nov-2024');</v>
      </c>
      <c r="H1409" s="12" t="str">
        <f t="shared" si="87"/>
        <v>insert into ins_premium_det (premium_rcv_code,assorted_code, rec_amount,premium_rcv_detail_code,remaining_amt, payrec, mode_code,coinsurance_code,class_cd,it_remarks) values('28Nov240101','070000152036','1',(select max(to_number(i.premium_rcv_detail_code))+1
from ins_premium_det i),'1','1','02', '11000003','00','Request by Mr. Omair Ali 29-Nov-2024');</v>
      </c>
    </row>
    <row r="1410" spans="1:8" ht="105" x14ac:dyDescent="0.25">
      <c r="A1410" t="s">
        <v>1410</v>
      </c>
      <c r="B1410" s="8" t="str">
        <f>VLOOKUP(A1410,assortedcode!B:C,2,0)</f>
        <v>070000154841</v>
      </c>
      <c r="C1410" s="1">
        <v>1</v>
      </c>
      <c r="D1410" s="9">
        <f t="shared" si="85"/>
        <v>1</v>
      </c>
      <c r="E1410" s="7" t="s">
        <v>8345</v>
      </c>
      <c r="F1410" s="10" t="str">
        <f t="shared" ref="F1410:F1473" si="88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1410" s="11" t="str">
        <f t="shared" si="86"/>
        <v>('28Nov240101','070000154841','1',(select max(to_number(i.premium_rcv_detail_code))+1
from ins_premium_det i),'1','1','02', '11000003','00','Request by Mr. Omair Ali 29-Nov-2024');</v>
      </c>
      <c r="H1410" s="12" t="str">
        <f t="shared" si="87"/>
        <v>insert into ins_premium_det (premium_rcv_code,assorted_code, rec_amount,premium_rcv_detail_code,remaining_amt, payrec, mode_code,coinsurance_code,class_cd,it_remarks) values('28Nov240101','070000154841','1',(select max(to_number(i.premium_rcv_detail_code))+1
from ins_premium_det i),'1','1','02', '11000003','00','Request by Mr. Omair Ali 29-Nov-2024');</v>
      </c>
    </row>
    <row r="1411" spans="1:8" ht="105" x14ac:dyDescent="0.25">
      <c r="A1411" t="s">
        <v>1411</v>
      </c>
      <c r="B1411" s="8" t="str">
        <f>VLOOKUP(A1411,assortedcode!B:C,2,0)</f>
        <v>070000169302</v>
      </c>
      <c r="C1411" s="1">
        <v>1</v>
      </c>
      <c r="D1411" s="9">
        <f t="shared" ref="D1411:D1474" si="89">ROUND(C1411,0)</f>
        <v>1</v>
      </c>
      <c r="E1411" s="7" t="s">
        <v>8345</v>
      </c>
      <c r="F1411" s="10" t="str">
        <f t="shared" si="88"/>
        <v>insert into ins_premium_det (premium_rcv_code,assorted_code, rec_amount,premium_rcv_detail_code,remaining_amt, payrec, mode_code,coinsurance_code,class_cd,it_remarks) values</v>
      </c>
      <c r="G1411" s="11" t="str">
        <f t="shared" ref="G1411:G1474" si="90">"('"&amp;E1411&amp;"','"&amp;B1411&amp;"','"&amp;ROUND(D1411,2)&amp;"',(select max(to_number(i.premium_rcv_detail_code))+1
from ins_premium_det i),'"&amp;D1411&amp;"','"&amp;D1411&amp;"','02', '11000003','00','Request by Mr. Omair Ali 29-Nov-2024');"</f>
        <v>('28Nov240101','070000169302','1',(select max(to_number(i.premium_rcv_detail_code))+1
from ins_premium_det i),'1','1','02', '11000003','00','Request by Mr. Omair Ali 29-Nov-2024');</v>
      </c>
      <c r="H1411" s="12" t="str">
        <f t="shared" ref="H1411:H1474" si="91">F1411&amp;G1411</f>
        <v>insert into ins_premium_det (premium_rcv_code,assorted_code, rec_amount,premium_rcv_detail_code,remaining_amt, payrec, mode_code,coinsurance_code,class_cd,it_remarks) values('28Nov240101','070000169302','1',(select max(to_number(i.premium_rcv_detail_code))+1
from ins_premium_det i),'1','1','02', '11000003','00','Request by Mr. Omair Ali 29-Nov-2024');</v>
      </c>
    </row>
    <row r="1412" spans="1:8" ht="105" x14ac:dyDescent="0.25">
      <c r="A1412" t="s">
        <v>1412</v>
      </c>
      <c r="B1412" s="8" t="str">
        <f>VLOOKUP(A1412,assortedcode!B:C,2,0)</f>
        <v>070000153988</v>
      </c>
      <c r="C1412" s="1">
        <v>1</v>
      </c>
      <c r="D1412" s="9">
        <f t="shared" si="89"/>
        <v>1</v>
      </c>
      <c r="E1412" s="7" t="s">
        <v>8345</v>
      </c>
      <c r="F1412" s="10" t="str">
        <f t="shared" si="88"/>
        <v>insert into ins_premium_det (premium_rcv_code,assorted_code, rec_amount,premium_rcv_detail_code,remaining_amt, payrec, mode_code,coinsurance_code,class_cd,it_remarks) values</v>
      </c>
      <c r="G1412" s="11" t="str">
        <f t="shared" si="90"/>
        <v>('28Nov240101','070000153988','1',(select max(to_number(i.premium_rcv_detail_code))+1
from ins_premium_det i),'1','1','02', '11000003','00','Request by Mr. Omair Ali 29-Nov-2024');</v>
      </c>
      <c r="H1412" s="12" t="str">
        <f t="shared" si="91"/>
        <v>insert into ins_premium_det (premium_rcv_code,assorted_code, rec_amount,premium_rcv_detail_code,remaining_amt, payrec, mode_code,coinsurance_code,class_cd,it_remarks) values('28Nov240101','070000153988','1',(select max(to_number(i.premium_rcv_detail_code))+1
from ins_premium_det i),'1','1','02', '11000003','00','Request by Mr. Omair Ali 29-Nov-2024');</v>
      </c>
    </row>
    <row r="1413" spans="1:8" ht="105" x14ac:dyDescent="0.25">
      <c r="A1413" t="s">
        <v>1413</v>
      </c>
      <c r="B1413" s="8" t="str">
        <f>VLOOKUP(A1413,assortedcode!B:C,2,0)</f>
        <v>040000150133</v>
      </c>
      <c r="C1413" s="1">
        <v>1</v>
      </c>
      <c r="D1413" s="9">
        <f t="shared" si="89"/>
        <v>1</v>
      </c>
      <c r="E1413" s="7" t="s">
        <v>8345</v>
      </c>
      <c r="F1413" s="10" t="str">
        <f t="shared" si="88"/>
        <v>insert into ins_premium_det (premium_rcv_code,assorted_code, rec_amount,premium_rcv_detail_code,remaining_amt, payrec, mode_code,coinsurance_code,class_cd,it_remarks) values</v>
      </c>
      <c r="G1413" s="11" t="str">
        <f t="shared" si="90"/>
        <v>('28Nov240101','040000150133','1',(select max(to_number(i.premium_rcv_detail_code))+1
from ins_premium_det i),'1','1','02', '11000003','00','Request by Mr. Omair Ali 29-Nov-2024');</v>
      </c>
      <c r="H1413" s="12" t="str">
        <f t="shared" si="91"/>
        <v>insert into ins_premium_det (premium_rcv_code,assorted_code, rec_amount,premium_rcv_detail_code,remaining_amt, payrec, mode_code,coinsurance_code,class_cd,it_remarks) values('28Nov240101','040000150133','1',(select max(to_number(i.premium_rcv_detail_code))+1
from ins_premium_det i),'1','1','02', '11000003','00','Request by Mr. Omair Ali 29-Nov-2024');</v>
      </c>
    </row>
    <row r="1414" spans="1:8" ht="105" x14ac:dyDescent="0.25">
      <c r="A1414" t="s">
        <v>1414</v>
      </c>
      <c r="B1414" s="8" t="str">
        <f>VLOOKUP(A1414,assortedcode!B:C,2,0)</f>
        <v>070000154356</v>
      </c>
      <c r="C1414" s="1">
        <v>1</v>
      </c>
      <c r="D1414" s="9">
        <f t="shared" si="89"/>
        <v>1</v>
      </c>
      <c r="E1414" s="7" t="s">
        <v>8345</v>
      </c>
      <c r="F1414" s="10" t="str">
        <f t="shared" si="88"/>
        <v>insert into ins_premium_det (premium_rcv_code,assorted_code, rec_amount,premium_rcv_detail_code,remaining_amt, payrec, mode_code,coinsurance_code,class_cd,it_remarks) values</v>
      </c>
      <c r="G1414" s="11" t="str">
        <f t="shared" si="90"/>
        <v>('28Nov240101','070000154356','1',(select max(to_number(i.premium_rcv_detail_code))+1
from ins_premium_det i),'1','1','02', '11000003','00','Request by Mr. Omair Ali 29-Nov-2024');</v>
      </c>
      <c r="H1414" s="12" t="str">
        <f t="shared" si="91"/>
        <v>insert into ins_premium_det (premium_rcv_code,assorted_code, rec_amount,premium_rcv_detail_code,remaining_amt, payrec, mode_code,coinsurance_code,class_cd,it_remarks) values('28Nov240101','070000154356','1',(select max(to_number(i.premium_rcv_detail_code))+1
from ins_premium_det i),'1','1','02', '11000003','00','Request by Mr. Omair Ali 29-Nov-2024');</v>
      </c>
    </row>
    <row r="1415" spans="1:8" ht="105" x14ac:dyDescent="0.25">
      <c r="A1415" t="s">
        <v>1415</v>
      </c>
      <c r="B1415" s="8" t="str">
        <f>VLOOKUP(A1415,assortedcode!B:C,2,0)</f>
        <v>040000176913</v>
      </c>
      <c r="C1415" s="1">
        <v>1</v>
      </c>
      <c r="D1415" s="9">
        <f t="shared" si="89"/>
        <v>1</v>
      </c>
      <c r="E1415" s="7" t="s">
        <v>8345</v>
      </c>
      <c r="F1415" s="10" t="str">
        <f t="shared" si="88"/>
        <v>insert into ins_premium_det (premium_rcv_code,assorted_code, rec_amount,premium_rcv_detail_code,remaining_amt, payrec, mode_code,coinsurance_code,class_cd,it_remarks) values</v>
      </c>
      <c r="G1415" s="11" t="str">
        <f t="shared" si="90"/>
        <v>('28Nov240101','040000176913','1',(select max(to_number(i.premium_rcv_detail_code))+1
from ins_premium_det i),'1','1','02', '11000003','00','Request by Mr. Omair Ali 29-Nov-2024');</v>
      </c>
      <c r="H1415" s="12" t="str">
        <f t="shared" si="91"/>
        <v>insert into ins_premium_det (premium_rcv_code,assorted_code, rec_amount,premium_rcv_detail_code,remaining_amt, payrec, mode_code,coinsurance_code,class_cd,it_remarks) values('28Nov240101','040000176913','1',(select max(to_number(i.premium_rcv_detail_code))+1
from ins_premium_det i),'1','1','02', '11000003','00','Request by Mr. Omair Ali 29-Nov-2024');</v>
      </c>
    </row>
    <row r="1416" spans="1:8" ht="105" x14ac:dyDescent="0.25">
      <c r="A1416" t="s">
        <v>1416</v>
      </c>
      <c r="B1416" s="8" t="str">
        <f>VLOOKUP(A1416,assortedcode!B:C,2,0)</f>
        <v>070000155051</v>
      </c>
      <c r="C1416" s="1">
        <v>1</v>
      </c>
      <c r="D1416" s="9">
        <f t="shared" si="89"/>
        <v>1</v>
      </c>
      <c r="E1416" s="7" t="s">
        <v>8345</v>
      </c>
      <c r="F1416" s="10" t="str">
        <f t="shared" si="88"/>
        <v>insert into ins_premium_det (premium_rcv_code,assorted_code, rec_amount,premium_rcv_detail_code,remaining_amt, payrec, mode_code,coinsurance_code,class_cd,it_remarks) values</v>
      </c>
      <c r="G1416" s="11" t="str">
        <f t="shared" si="90"/>
        <v>('28Nov240101','070000155051','1',(select max(to_number(i.premium_rcv_detail_code))+1
from ins_premium_det i),'1','1','02', '11000003','00','Request by Mr. Omair Ali 29-Nov-2024');</v>
      </c>
      <c r="H1416" s="12" t="str">
        <f t="shared" si="91"/>
        <v>insert into ins_premium_det (premium_rcv_code,assorted_code, rec_amount,premium_rcv_detail_code,remaining_amt, payrec, mode_code,coinsurance_code,class_cd,it_remarks) values('28Nov240101','070000155051','1',(select max(to_number(i.premium_rcv_detail_code))+1
from ins_premium_det i),'1','1','02', '11000003','00','Request by Mr. Omair Ali 29-Nov-2024');</v>
      </c>
    </row>
    <row r="1417" spans="1:8" ht="105" x14ac:dyDescent="0.25">
      <c r="A1417" t="s">
        <v>1417</v>
      </c>
      <c r="B1417" s="8" t="str">
        <f>VLOOKUP(A1417,assortedcode!B:C,2,0)</f>
        <v>070000134266</v>
      </c>
      <c r="C1417" s="1">
        <v>1</v>
      </c>
      <c r="D1417" s="9">
        <f t="shared" si="89"/>
        <v>1</v>
      </c>
      <c r="E1417" s="7" t="s">
        <v>8345</v>
      </c>
      <c r="F1417" s="10" t="str">
        <f t="shared" si="88"/>
        <v>insert into ins_premium_det (premium_rcv_code,assorted_code, rec_amount,premium_rcv_detail_code,remaining_amt, payrec, mode_code,coinsurance_code,class_cd,it_remarks) values</v>
      </c>
      <c r="G1417" s="11" t="str">
        <f t="shared" si="90"/>
        <v>('28Nov240101','070000134266','1',(select max(to_number(i.premium_rcv_detail_code))+1
from ins_premium_det i),'1','1','02', '11000003','00','Request by Mr. Omair Ali 29-Nov-2024');</v>
      </c>
      <c r="H1417" s="12" t="str">
        <f t="shared" si="91"/>
        <v>insert into ins_premium_det (premium_rcv_code,assorted_code, rec_amount,premium_rcv_detail_code,remaining_amt, payrec, mode_code,coinsurance_code,class_cd,it_remarks) values('28Nov240101','070000134266','1',(select max(to_number(i.premium_rcv_detail_code))+1
from ins_premium_det i),'1','1','02', '11000003','00','Request by Mr. Omair Ali 29-Nov-2024');</v>
      </c>
    </row>
    <row r="1418" spans="1:8" ht="105" x14ac:dyDescent="0.25">
      <c r="A1418" t="s">
        <v>1418</v>
      </c>
      <c r="B1418" s="8" t="str">
        <f>VLOOKUP(A1418,assortedcode!B:C,2,0)</f>
        <v>070000155547</v>
      </c>
      <c r="C1418" s="1">
        <v>1</v>
      </c>
      <c r="D1418" s="9">
        <f t="shared" si="89"/>
        <v>1</v>
      </c>
      <c r="E1418" s="7" t="s">
        <v>8345</v>
      </c>
      <c r="F1418" s="10" t="str">
        <f t="shared" si="88"/>
        <v>insert into ins_premium_det (premium_rcv_code,assorted_code, rec_amount,premium_rcv_detail_code,remaining_amt, payrec, mode_code,coinsurance_code,class_cd,it_remarks) values</v>
      </c>
      <c r="G1418" s="11" t="str">
        <f t="shared" si="90"/>
        <v>('28Nov240101','070000155547','1',(select max(to_number(i.premium_rcv_detail_code))+1
from ins_premium_det i),'1','1','02', '11000003','00','Request by Mr. Omair Ali 29-Nov-2024');</v>
      </c>
      <c r="H1418" s="12" t="str">
        <f t="shared" si="91"/>
        <v>insert into ins_premium_det (premium_rcv_code,assorted_code, rec_amount,premium_rcv_detail_code,remaining_amt, payrec, mode_code,coinsurance_code,class_cd,it_remarks) values('28Nov240101','070000155547','1',(select max(to_number(i.premium_rcv_detail_code))+1
from ins_premium_det i),'1','1','02', '11000003','00','Request by Mr. Omair Ali 29-Nov-2024');</v>
      </c>
    </row>
    <row r="1419" spans="1:8" ht="105" x14ac:dyDescent="0.25">
      <c r="A1419" t="s">
        <v>1419</v>
      </c>
      <c r="B1419" s="8" t="str">
        <f>VLOOKUP(A1419,assortedcode!B:C,2,0)</f>
        <v>070000137134</v>
      </c>
      <c r="C1419" s="1">
        <v>1</v>
      </c>
      <c r="D1419" s="9">
        <f t="shared" si="89"/>
        <v>1</v>
      </c>
      <c r="E1419" s="7" t="s">
        <v>8345</v>
      </c>
      <c r="F1419" s="10" t="str">
        <f t="shared" si="88"/>
        <v>insert into ins_premium_det (premium_rcv_code,assorted_code, rec_amount,premium_rcv_detail_code,remaining_amt, payrec, mode_code,coinsurance_code,class_cd,it_remarks) values</v>
      </c>
      <c r="G1419" s="11" t="str">
        <f t="shared" si="90"/>
        <v>('28Nov240101','070000137134','1',(select max(to_number(i.premium_rcv_detail_code))+1
from ins_premium_det i),'1','1','02', '11000003','00','Request by Mr. Omair Ali 29-Nov-2024');</v>
      </c>
      <c r="H1419" s="12" t="str">
        <f t="shared" si="91"/>
        <v>insert into ins_premium_det (premium_rcv_code,assorted_code, rec_amount,premium_rcv_detail_code,remaining_amt, payrec, mode_code,coinsurance_code,class_cd,it_remarks) values('28Nov240101','070000137134','1',(select max(to_number(i.premium_rcv_detail_code))+1
from ins_premium_det i),'1','1','02', '11000003','00','Request by Mr. Omair Ali 29-Nov-2024');</v>
      </c>
    </row>
    <row r="1420" spans="1:8" ht="105" x14ac:dyDescent="0.25">
      <c r="A1420" t="s">
        <v>1420</v>
      </c>
      <c r="B1420" s="8" t="str">
        <f>VLOOKUP(A1420,assortedcode!B:C,2,0)</f>
        <v>070000155562</v>
      </c>
      <c r="C1420" s="1">
        <v>1</v>
      </c>
      <c r="D1420" s="9">
        <f t="shared" si="89"/>
        <v>1</v>
      </c>
      <c r="E1420" s="7" t="s">
        <v>8345</v>
      </c>
      <c r="F1420" s="10" t="str">
        <f t="shared" si="88"/>
        <v>insert into ins_premium_det (premium_rcv_code,assorted_code, rec_amount,premium_rcv_detail_code,remaining_amt, payrec, mode_code,coinsurance_code,class_cd,it_remarks) values</v>
      </c>
      <c r="G1420" s="11" t="str">
        <f t="shared" si="90"/>
        <v>('28Nov240101','070000155562','1',(select max(to_number(i.premium_rcv_detail_code))+1
from ins_premium_det i),'1','1','02', '11000003','00','Request by Mr. Omair Ali 29-Nov-2024');</v>
      </c>
      <c r="H1420" s="12" t="str">
        <f t="shared" si="91"/>
        <v>insert into ins_premium_det (premium_rcv_code,assorted_code, rec_amount,premium_rcv_detail_code,remaining_amt, payrec, mode_code,coinsurance_code,class_cd,it_remarks) values('28Nov240101','070000155562','1',(select max(to_number(i.premium_rcv_detail_code))+1
from ins_premium_det i),'1','1','02', '11000003','00','Request by Mr. Omair Ali 29-Nov-2024');</v>
      </c>
    </row>
    <row r="1421" spans="1:8" ht="105" x14ac:dyDescent="0.25">
      <c r="A1421" t="s">
        <v>1421</v>
      </c>
      <c r="B1421" s="8" t="str">
        <f>VLOOKUP(A1421,assortedcode!B:C,2,0)</f>
        <v>070000144941</v>
      </c>
      <c r="C1421" s="1">
        <v>1</v>
      </c>
      <c r="D1421" s="9">
        <f t="shared" si="89"/>
        <v>1</v>
      </c>
      <c r="E1421" s="7" t="s">
        <v>8345</v>
      </c>
      <c r="F1421" s="10" t="str">
        <f t="shared" si="88"/>
        <v>insert into ins_premium_det (premium_rcv_code,assorted_code, rec_amount,premium_rcv_detail_code,remaining_amt, payrec, mode_code,coinsurance_code,class_cd,it_remarks) values</v>
      </c>
      <c r="G1421" s="11" t="str">
        <f t="shared" si="90"/>
        <v>('28Nov240101','070000144941','1',(select max(to_number(i.premium_rcv_detail_code))+1
from ins_premium_det i),'1','1','02', '11000003','00','Request by Mr. Omair Ali 29-Nov-2024');</v>
      </c>
      <c r="H1421" s="12" t="str">
        <f t="shared" si="91"/>
        <v>insert into ins_premium_det (premium_rcv_code,assorted_code, rec_amount,premium_rcv_detail_code,remaining_amt, payrec, mode_code,coinsurance_code,class_cd,it_remarks) values('28Nov240101','070000144941','1',(select max(to_number(i.premium_rcv_detail_code))+1
from ins_premium_det i),'1','1','02', '11000003','00','Request by Mr. Omair Ali 29-Nov-2024');</v>
      </c>
    </row>
    <row r="1422" spans="1:8" ht="105" x14ac:dyDescent="0.25">
      <c r="A1422" t="s">
        <v>1422</v>
      </c>
      <c r="B1422" s="8" t="str">
        <f>VLOOKUP(A1422,assortedcode!B:C,2,0)</f>
        <v>070000155565</v>
      </c>
      <c r="C1422" s="1">
        <v>1</v>
      </c>
      <c r="D1422" s="9">
        <f t="shared" si="89"/>
        <v>1</v>
      </c>
      <c r="E1422" s="7" t="s">
        <v>8345</v>
      </c>
      <c r="F1422" s="10" t="str">
        <f t="shared" si="88"/>
        <v>insert into ins_premium_det (premium_rcv_code,assorted_code, rec_amount,premium_rcv_detail_code,remaining_amt, payrec, mode_code,coinsurance_code,class_cd,it_remarks) values</v>
      </c>
      <c r="G1422" s="11" t="str">
        <f t="shared" si="90"/>
        <v>('28Nov240101','070000155565','1',(select max(to_number(i.premium_rcv_detail_code))+1
from ins_premium_det i),'1','1','02', '11000003','00','Request by Mr. Omair Ali 29-Nov-2024');</v>
      </c>
      <c r="H1422" s="12" t="str">
        <f t="shared" si="91"/>
        <v>insert into ins_premium_det (premium_rcv_code,assorted_code, rec_amount,premium_rcv_detail_code,remaining_amt, payrec, mode_code,coinsurance_code,class_cd,it_remarks) values('28Nov240101','070000155565','1',(select max(to_number(i.premium_rcv_detail_code))+1
from ins_premium_det i),'1','1','02', '11000003','00','Request by Mr. Omair Ali 29-Nov-2024');</v>
      </c>
    </row>
    <row r="1423" spans="1:8" ht="105" x14ac:dyDescent="0.25">
      <c r="A1423" t="s">
        <v>1423</v>
      </c>
      <c r="B1423" s="8" t="str">
        <f>VLOOKUP(A1423,assortedcode!B:C,2,0)</f>
        <v>070000145315</v>
      </c>
      <c r="C1423" s="1">
        <v>1</v>
      </c>
      <c r="D1423" s="9">
        <f t="shared" si="89"/>
        <v>1</v>
      </c>
      <c r="E1423" s="7" t="s">
        <v>8345</v>
      </c>
      <c r="F1423" s="10" t="str">
        <f t="shared" si="88"/>
        <v>insert into ins_premium_det (premium_rcv_code,assorted_code, rec_amount,premium_rcv_detail_code,remaining_amt, payrec, mode_code,coinsurance_code,class_cd,it_remarks) values</v>
      </c>
      <c r="G1423" s="11" t="str">
        <f t="shared" si="90"/>
        <v>('28Nov240101','070000145315','1',(select max(to_number(i.premium_rcv_detail_code))+1
from ins_premium_det i),'1','1','02', '11000003','00','Request by Mr. Omair Ali 29-Nov-2024');</v>
      </c>
      <c r="H1423" s="12" t="str">
        <f t="shared" si="91"/>
        <v>insert into ins_premium_det (premium_rcv_code,assorted_code, rec_amount,premium_rcv_detail_code,remaining_amt, payrec, mode_code,coinsurance_code,class_cd,it_remarks) values('28Nov240101','070000145315','1',(select max(to_number(i.premium_rcv_detail_code))+1
from ins_premium_det i),'1','1','02', '11000003','00','Request by Mr. Omair Ali 29-Nov-2024');</v>
      </c>
    </row>
    <row r="1424" spans="1:8" ht="105" x14ac:dyDescent="0.25">
      <c r="A1424" t="s">
        <v>1424</v>
      </c>
      <c r="B1424" s="8" t="str">
        <f>VLOOKUP(A1424,assortedcode!B:C,2,0)</f>
        <v>070000155555</v>
      </c>
      <c r="C1424" s="1">
        <v>1</v>
      </c>
      <c r="D1424" s="9">
        <f t="shared" si="89"/>
        <v>1</v>
      </c>
      <c r="E1424" s="7" t="s">
        <v>8345</v>
      </c>
      <c r="F1424" s="10" t="str">
        <f t="shared" si="88"/>
        <v>insert into ins_premium_det (premium_rcv_code,assorted_code, rec_amount,premium_rcv_detail_code,remaining_amt, payrec, mode_code,coinsurance_code,class_cd,it_remarks) values</v>
      </c>
      <c r="G1424" s="11" t="str">
        <f t="shared" si="90"/>
        <v>('28Nov240101','070000155555','1',(select max(to_number(i.premium_rcv_detail_code))+1
from ins_premium_det i),'1','1','02', '11000003','00','Request by Mr. Omair Ali 29-Nov-2024');</v>
      </c>
      <c r="H1424" s="12" t="str">
        <f t="shared" si="91"/>
        <v>insert into ins_premium_det (premium_rcv_code,assorted_code, rec_amount,premium_rcv_detail_code,remaining_amt, payrec, mode_code,coinsurance_code,class_cd,it_remarks) values('28Nov240101','070000155555','1',(select max(to_number(i.premium_rcv_detail_code))+1
from ins_premium_det i),'1','1','02', '11000003','00','Request by Mr. Omair Ali 29-Nov-2024');</v>
      </c>
    </row>
    <row r="1425" spans="1:8" ht="105" x14ac:dyDescent="0.25">
      <c r="A1425" t="s">
        <v>1425</v>
      </c>
      <c r="B1425" s="8" t="str">
        <f>VLOOKUP(A1425,assortedcode!B:C,2,0)</f>
        <v>070000145963</v>
      </c>
      <c r="C1425" s="1">
        <v>1</v>
      </c>
      <c r="D1425" s="9">
        <f t="shared" si="89"/>
        <v>1</v>
      </c>
      <c r="E1425" s="7" t="s">
        <v>8345</v>
      </c>
      <c r="F1425" s="10" t="str">
        <f t="shared" si="88"/>
        <v>insert into ins_premium_det (premium_rcv_code,assorted_code, rec_amount,premium_rcv_detail_code,remaining_amt, payrec, mode_code,coinsurance_code,class_cd,it_remarks) values</v>
      </c>
      <c r="G1425" s="11" t="str">
        <f t="shared" si="90"/>
        <v>('28Nov240101','070000145963','1',(select max(to_number(i.premium_rcv_detail_code))+1
from ins_premium_det i),'1','1','02', '11000003','00','Request by Mr. Omair Ali 29-Nov-2024');</v>
      </c>
      <c r="H1425" s="12" t="str">
        <f t="shared" si="91"/>
        <v>insert into ins_premium_det (premium_rcv_code,assorted_code, rec_amount,premium_rcv_detail_code,remaining_amt, payrec, mode_code,coinsurance_code,class_cd,it_remarks) values('28Nov240101','070000145963','1',(select max(to_number(i.premium_rcv_detail_code))+1
from ins_premium_det i),'1','1','02', '11000003','00','Request by Mr. Omair Ali 29-Nov-2024');</v>
      </c>
    </row>
    <row r="1426" spans="1:8" ht="105" x14ac:dyDescent="0.25">
      <c r="A1426" t="s">
        <v>1426</v>
      </c>
      <c r="B1426" s="8" t="str">
        <f>VLOOKUP(A1426,assortedcode!B:C,2,0)</f>
        <v>070000155558</v>
      </c>
      <c r="C1426" s="1">
        <v>1</v>
      </c>
      <c r="D1426" s="9">
        <f t="shared" si="89"/>
        <v>1</v>
      </c>
      <c r="E1426" s="7" t="s">
        <v>8345</v>
      </c>
      <c r="F1426" s="10" t="str">
        <f t="shared" si="88"/>
        <v>insert into ins_premium_det (premium_rcv_code,assorted_code, rec_amount,premium_rcv_detail_code,remaining_amt, payrec, mode_code,coinsurance_code,class_cd,it_remarks) values</v>
      </c>
      <c r="G1426" s="11" t="str">
        <f t="shared" si="90"/>
        <v>('28Nov240101','070000155558','1',(select max(to_number(i.premium_rcv_detail_code))+1
from ins_premium_det i),'1','1','02', '11000003','00','Request by Mr. Omair Ali 29-Nov-2024');</v>
      </c>
      <c r="H1426" s="12" t="str">
        <f t="shared" si="91"/>
        <v>insert into ins_premium_det (premium_rcv_code,assorted_code, rec_amount,premium_rcv_detail_code,remaining_amt, payrec, mode_code,coinsurance_code,class_cd,it_remarks) values('28Nov240101','070000155558','1',(select max(to_number(i.premium_rcv_detail_code))+1
from ins_premium_det i),'1','1','02', '11000003','00','Request by Mr. Omair Ali 29-Nov-2024');</v>
      </c>
    </row>
    <row r="1427" spans="1:8" ht="105" x14ac:dyDescent="0.25">
      <c r="A1427" t="s">
        <v>1427</v>
      </c>
      <c r="B1427" s="8" t="str">
        <f>VLOOKUP(A1427,assortedcode!B:C,2,0)</f>
        <v>040000171230</v>
      </c>
      <c r="C1427" s="1">
        <v>1</v>
      </c>
      <c r="D1427" s="9">
        <f t="shared" si="89"/>
        <v>1</v>
      </c>
      <c r="E1427" s="7" t="s">
        <v>8345</v>
      </c>
      <c r="F1427" s="10" t="str">
        <f t="shared" si="88"/>
        <v>insert into ins_premium_det (premium_rcv_code,assorted_code, rec_amount,premium_rcv_detail_code,remaining_amt, payrec, mode_code,coinsurance_code,class_cd,it_remarks) values</v>
      </c>
      <c r="G1427" s="11" t="str">
        <f t="shared" si="90"/>
        <v>('28Nov240101','040000171230','1',(select max(to_number(i.premium_rcv_detail_code))+1
from ins_premium_det i),'1','1','02', '11000003','00','Request by Mr. Omair Ali 29-Nov-2024');</v>
      </c>
      <c r="H1427" s="12" t="str">
        <f t="shared" si="91"/>
        <v>insert into ins_premium_det (premium_rcv_code,assorted_code, rec_amount,premium_rcv_detail_code,remaining_amt, payrec, mode_code,coinsurance_code,class_cd,it_remarks) values('28Nov240101','040000171230','1',(select max(to_number(i.premium_rcv_detail_code))+1
from ins_premium_det i),'1','1','02', '11000003','00','Request by Mr. Omair Ali 29-Nov-2024');</v>
      </c>
    </row>
    <row r="1428" spans="1:8" ht="105" x14ac:dyDescent="0.25">
      <c r="A1428" t="s">
        <v>1428</v>
      </c>
      <c r="B1428" s="8" t="str">
        <f>VLOOKUP(A1428,assortedcode!B:C,2,0)</f>
        <v>070000155561</v>
      </c>
      <c r="C1428" s="1">
        <v>1</v>
      </c>
      <c r="D1428" s="9">
        <f t="shared" si="89"/>
        <v>1</v>
      </c>
      <c r="E1428" s="7" t="s">
        <v>8345</v>
      </c>
      <c r="F1428" s="10" t="str">
        <f t="shared" si="88"/>
        <v>insert into ins_premium_det (premium_rcv_code,assorted_code, rec_amount,premium_rcv_detail_code,remaining_amt, payrec, mode_code,coinsurance_code,class_cd,it_remarks) values</v>
      </c>
      <c r="G1428" s="11" t="str">
        <f t="shared" si="90"/>
        <v>('28Nov240101','070000155561','1',(select max(to_number(i.premium_rcv_detail_code))+1
from ins_premium_det i),'1','1','02', '11000003','00','Request by Mr. Omair Ali 29-Nov-2024');</v>
      </c>
      <c r="H1428" s="12" t="str">
        <f t="shared" si="91"/>
        <v>insert into ins_premium_det (premium_rcv_code,assorted_code, rec_amount,premium_rcv_detail_code,remaining_amt, payrec, mode_code,coinsurance_code,class_cd,it_remarks) values('28Nov240101','070000155561','1',(select max(to_number(i.premium_rcv_detail_code))+1
from ins_premium_det i),'1','1','02', '11000003','00','Request by Mr. Omair Ali 29-Nov-2024');</v>
      </c>
    </row>
    <row r="1429" spans="1:8" ht="105" x14ac:dyDescent="0.25">
      <c r="A1429" t="s">
        <v>1429</v>
      </c>
      <c r="B1429" s="8" t="str">
        <f>VLOOKUP(A1429,assortedcode!B:C,2,0)</f>
        <v>070000156051</v>
      </c>
      <c r="C1429" s="1">
        <v>1</v>
      </c>
      <c r="D1429" s="9">
        <f t="shared" si="89"/>
        <v>1</v>
      </c>
      <c r="E1429" s="7" t="s">
        <v>8345</v>
      </c>
      <c r="F1429" s="10" t="str">
        <f t="shared" si="88"/>
        <v>insert into ins_premium_det (premium_rcv_code,assorted_code, rec_amount,premium_rcv_detail_code,remaining_amt, payrec, mode_code,coinsurance_code,class_cd,it_remarks) values</v>
      </c>
      <c r="G1429" s="11" t="str">
        <f t="shared" si="90"/>
        <v>('28Nov240101','070000156051','1',(select max(to_number(i.premium_rcv_detail_code))+1
from ins_premium_det i),'1','1','02', '11000003','00','Request by Mr. Omair Ali 29-Nov-2024');</v>
      </c>
      <c r="H1429" s="12" t="str">
        <f t="shared" si="91"/>
        <v>insert into ins_premium_det (premium_rcv_code,assorted_code, rec_amount,premium_rcv_detail_code,remaining_amt, payrec, mode_code,coinsurance_code,class_cd,it_remarks) values('28Nov240101','070000156051','1',(select max(to_number(i.premium_rcv_detail_code))+1
from ins_premium_det i),'1','1','02', '11000003','00','Request by Mr. Omair Ali 29-Nov-2024');</v>
      </c>
    </row>
    <row r="1430" spans="1:8" ht="105" x14ac:dyDescent="0.25">
      <c r="A1430" t="s">
        <v>1430</v>
      </c>
      <c r="B1430" s="8" t="str">
        <f>VLOOKUP(A1430,assortedcode!B:C,2,0)</f>
        <v>070000155596</v>
      </c>
      <c r="C1430" s="1">
        <v>1</v>
      </c>
      <c r="D1430" s="9">
        <f t="shared" si="89"/>
        <v>1</v>
      </c>
      <c r="E1430" s="7" t="s">
        <v>8345</v>
      </c>
      <c r="F1430" s="10" t="str">
        <f t="shared" si="88"/>
        <v>insert into ins_premium_det (premium_rcv_code,assorted_code, rec_amount,premium_rcv_detail_code,remaining_amt, payrec, mode_code,coinsurance_code,class_cd,it_remarks) values</v>
      </c>
      <c r="G1430" s="11" t="str">
        <f t="shared" si="90"/>
        <v>('28Nov240101','070000155596','1',(select max(to_number(i.premium_rcv_detail_code))+1
from ins_premium_det i),'1','1','02', '11000003','00','Request by Mr. Omair Ali 29-Nov-2024');</v>
      </c>
      <c r="H1430" s="12" t="str">
        <f t="shared" si="91"/>
        <v>insert into ins_premium_det (premium_rcv_code,assorted_code, rec_amount,premium_rcv_detail_code,remaining_amt, payrec, mode_code,coinsurance_code,class_cd,it_remarks) values('28Nov240101','070000155596','1',(select max(to_number(i.premium_rcv_detail_code))+1
from ins_premium_det i),'1','1','02', '11000003','00','Request by Mr. Omair Ali 29-Nov-2024');</v>
      </c>
    </row>
    <row r="1431" spans="1:8" ht="105" x14ac:dyDescent="0.25">
      <c r="A1431" t="s">
        <v>1431</v>
      </c>
      <c r="B1431" s="8" t="str">
        <f>VLOOKUP(A1431,assortedcode!B:C,2,0)</f>
        <v>040000182064</v>
      </c>
      <c r="C1431" s="1">
        <v>1</v>
      </c>
      <c r="D1431" s="9">
        <f t="shared" si="89"/>
        <v>1</v>
      </c>
      <c r="E1431" s="7" t="s">
        <v>8345</v>
      </c>
      <c r="F1431" s="10" t="str">
        <f t="shared" si="88"/>
        <v>insert into ins_premium_det (premium_rcv_code,assorted_code, rec_amount,premium_rcv_detail_code,remaining_amt, payrec, mode_code,coinsurance_code,class_cd,it_remarks) values</v>
      </c>
      <c r="G1431" s="11" t="str">
        <f t="shared" si="90"/>
        <v>('28Nov240101','040000182064','1',(select max(to_number(i.premium_rcv_detail_code))+1
from ins_premium_det i),'1','1','02', '11000003','00','Request by Mr. Omair Ali 29-Nov-2024');</v>
      </c>
      <c r="H1431" s="12" t="str">
        <f t="shared" si="91"/>
        <v>insert into ins_premium_det (premium_rcv_code,assorted_code, rec_amount,premium_rcv_detail_code,remaining_amt, payrec, mode_code,coinsurance_code,class_cd,it_remarks) values('28Nov240101','040000182064','1',(select max(to_number(i.premium_rcv_detail_code))+1
from ins_premium_det i),'1','1','02', '11000003','00','Request by Mr. Omair Ali 29-Nov-2024');</v>
      </c>
    </row>
    <row r="1432" spans="1:8" ht="105" x14ac:dyDescent="0.25">
      <c r="A1432" t="s">
        <v>1432</v>
      </c>
      <c r="B1432" s="8" t="str">
        <f>VLOOKUP(A1432,assortedcode!B:C,2,0)</f>
        <v>070000155597</v>
      </c>
      <c r="C1432" s="1">
        <v>1</v>
      </c>
      <c r="D1432" s="9">
        <f t="shared" si="89"/>
        <v>1</v>
      </c>
      <c r="E1432" s="7" t="s">
        <v>8345</v>
      </c>
      <c r="F1432" s="10" t="str">
        <f t="shared" si="88"/>
        <v>insert into ins_premium_det (premium_rcv_code,assorted_code, rec_amount,premium_rcv_detail_code,remaining_amt, payrec, mode_code,coinsurance_code,class_cd,it_remarks) values</v>
      </c>
      <c r="G1432" s="11" t="str">
        <f t="shared" si="90"/>
        <v>('28Nov240101','070000155597','1',(select max(to_number(i.premium_rcv_detail_code))+1
from ins_premium_det i),'1','1','02', '11000003','00','Request by Mr. Omair Ali 29-Nov-2024');</v>
      </c>
      <c r="H1432" s="12" t="str">
        <f t="shared" si="91"/>
        <v>insert into ins_premium_det (premium_rcv_code,assorted_code, rec_amount,premium_rcv_detail_code,remaining_amt, payrec, mode_code,coinsurance_code,class_cd,it_remarks) values('28Nov240101','070000155597','1',(select max(to_number(i.premium_rcv_detail_code))+1
from ins_premium_det i),'1','1','02', '11000003','00','Request by Mr. Omair Ali 29-Nov-2024');</v>
      </c>
    </row>
    <row r="1433" spans="1:8" ht="105" x14ac:dyDescent="0.25">
      <c r="A1433" t="s">
        <v>1433</v>
      </c>
      <c r="B1433" s="8" t="str">
        <f>VLOOKUP(A1433,assortedcode!B:C,2,0)</f>
        <v>070000145040</v>
      </c>
      <c r="C1433" s="1">
        <v>1</v>
      </c>
      <c r="D1433" s="9">
        <f t="shared" si="89"/>
        <v>1</v>
      </c>
      <c r="E1433" s="7" t="s">
        <v>8345</v>
      </c>
      <c r="F1433" s="10" t="str">
        <f t="shared" si="88"/>
        <v>insert into ins_premium_det (premium_rcv_code,assorted_code, rec_amount,premium_rcv_detail_code,remaining_amt, payrec, mode_code,coinsurance_code,class_cd,it_remarks) values</v>
      </c>
      <c r="G1433" s="11" t="str">
        <f t="shared" si="90"/>
        <v>('28Nov240101','070000145040','1',(select max(to_number(i.premium_rcv_detail_code))+1
from ins_premium_det i),'1','1','02', '11000003','00','Request by Mr. Omair Ali 29-Nov-2024');</v>
      </c>
      <c r="H1433" s="12" t="str">
        <f t="shared" si="91"/>
        <v>insert into ins_premium_det (premium_rcv_code,assorted_code, rec_amount,premium_rcv_detail_code,remaining_amt, payrec, mode_code,coinsurance_code,class_cd,it_remarks) values('28Nov240101','070000145040','1',(select max(to_number(i.premium_rcv_detail_code))+1
from ins_premium_det i),'1','1','02', '11000003','00','Request by Mr. Omair Ali 29-Nov-2024');</v>
      </c>
    </row>
    <row r="1434" spans="1:8" ht="105" x14ac:dyDescent="0.25">
      <c r="A1434" t="s">
        <v>1434</v>
      </c>
      <c r="B1434" s="8" t="str">
        <f>VLOOKUP(A1434,assortedcode!B:C,2,0)</f>
        <v>040000132307</v>
      </c>
      <c r="C1434" s="1">
        <v>1</v>
      </c>
      <c r="D1434" s="9">
        <f t="shared" si="89"/>
        <v>1</v>
      </c>
      <c r="E1434" s="7" t="s">
        <v>8345</v>
      </c>
      <c r="F1434" s="10" t="str">
        <f t="shared" si="88"/>
        <v>insert into ins_premium_det (premium_rcv_code,assorted_code, rec_amount,premium_rcv_detail_code,remaining_amt, payrec, mode_code,coinsurance_code,class_cd,it_remarks) values</v>
      </c>
      <c r="G1434" s="11" t="str">
        <f t="shared" si="90"/>
        <v>('28Nov240101','040000132307','1',(select max(to_number(i.premium_rcv_detail_code))+1
from ins_premium_det i),'1','1','02', '11000003','00','Request by Mr. Omair Ali 29-Nov-2024');</v>
      </c>
      <c r="H1434" s="12" t="str">
        <f t="shared" si="91"/>
        <v>insert into ins_premium_det (premium_rcv_code,assorted_code, rec_amount,premium_rcv_detail_code,remaining_amt, payrec, mode_code,coinsurance_code,class_cd,it_remarks) values('28Nov240101','040000132307','1',(select max(to_number(i.premium_rcv_detail_code))+1
from ins_premium_det i),'1','1','02', '11000003','00','Request by Mr. Omair Ali 29-Nov-2024');</v>
      </c>
    </row>
    <row r="1435" spans="1:8" ht="105" x14ac:dyDescent="0.25">
      <c r="A1435" t="s">
        <v>1435</v>
      </c>
      <c r="B1435" s="8" t="str">
        <f>VLOOKUP(A1435,assortedcode!B:C,2,0)</f>
        <v>070000148516</v>
      </c>
      <c r="C1435" s="1">
        <v>1</v>
      </c>
      <c r="D1435" s="9">
        <f t="shared" si="89"/>
        <v>1</v>
      </c>
      <c r="E1435" s="7" t="s">
        <v>8345</v>
      </c>
      <c r="F1435" s="10" t="str">
        <f t="shared" si="88"/>
        <v>insert into ins_premium_det (premium_rcv_code,assorted_code, rec_amount,premium_rcv_detail_code,remaining_amt, payrec, mode_code,coinsurance_code,class_cd,it_remarks) values</v>
      </c>
      <c r="G1435" s="11" t="str">
        <f t="shared" si="90"/>
        <v>('28Nov240101','070000148516','1',(select max(to_number(i.premium_rcv_detail_code))+1
from ins_premium_det i),'1','1','02', '11000003','00','Request by Mr. Omair Ali 29-Nov-2024');</v>
      </c>
      <c r="H1435" s="12" t="str">
        <f t="shared" si="91"/>
        <v>insert into ins_premium_det (premium_rcv_code,assorted_code, rec_amount,premium_rcv_detail_code,remaining_amt, payrec, mode_code,coinsurance_code,class_cd,it_remarks) values('28Nov240101','070000148516','1',(select max(to_number(i.premium_rcv_detail_code))+1
from ins_premium_det i),'1','1','02', '11000003','00','Request by Mr. Omair Ali 29-Nov-2024');</v>
      </c>
    </row>
    <row r="1436" spans="1:8" ht="105" x14ac:dyDescent="0.25">
      <c r="A1436" t="s">
        <v>1436</v>
      </c>
      <c r="B1436" s="8" t="str">
        <f>VLOOKUP(A1436,assortedcode!B:C,2,0)</f>
        <v>040000115225</v>
      </c>
      <c r="C1436" s="1">
        <v>1</v>
      </c>
      <c r="D1436" s="9">
        <f t="shared" si="89"/>
        <v>1</v>
      </c>
      <c r="E1436" s="7" t="s">
        <v>8345</v>
      </c>
      <c r="F1436" s="10" t="str">
        <f t="shared" si="88"/>
        <v>insert into ins_premium_det (premium_rcv_code,assorted_code, rec_amount,premium_rcv_detail_code,remaining_amt, payrec, mode_code,coinsurance_code,class_cd,it_remarks) values</v>
      </c>
      <c r="G1436" s="11" t="str">
        <f t="shared" si="90"/>
        <v>('28Nov240101','040000115225','1',(select max(to_number(i.premium_rcv_detail_code))+1
from ins_premium_det i),'1','1','02', '11000003','00','Request by Mr. Omair Ali 29-Nov-2024');</v>
      </c>
      <c r="H1436" s="12" t="str">
        <f t="shared" si="91"/>
        <v>insert into ins_premium_det (premium_rcv_code,assorted_code, rec_amount,premium_rcv_detail_code,remaining_amt, payrec, mode_code,coinsurance_code,class_cd,it_remarks) values('28Nov240101','040000115225','1',(select max(to_number(i.premium_rcv_detail_code))+1
from ins_premium_det i),'1','1','02', '11000003','00','Request by Mr. Omair Ali 29-Nov-2024');</v>
      </c>
    </row>
    <row r="1437" spans="1:8" ht="105" x14ac:dyDescent="0.25">
      <c r="A1437" t="s">
        <v>1437</v>
      </c>
      <c r="B1437" s="8" t="str">
        <f>VLOOKUP(A1437,assortedcode!B:C,2,0)</f>
        <v>070000130978</v>
      </c>
      <c r="C1437" s="1">
        <v>1</v>
      </c>
      <c r="D1437" s="9">
        <f t="shared" si="89"/>
        <v>1</v>
      </c>
      <c r="E1437" s="7" t="s">
        <v>8345</v>
      </c>
      <c r="F1437" s="10" t="str">
        <f t="shared" si="88"/>
        <v>insert into ins_premium_det (premium_rcv_code,assorted_code, rec_amount,premium_rcv_detail_code,remaining_amt, payrec, mode_code,coinsurance_code,class_cd,it_remarks) values</v>
      </c>
      <c r="G1437" s="11" t="str">
        <f t="shared" si="90"/>
        <v>('28Nov240101','070000130978','1',(select max(to_number(i.premium_rcv_detail_code))+1
from ins_premium_det i),'1','1','02', '11000003','00','Request by Mr. Omair Ali 29-Nov-2024');</v>
      </c>
      <c r="H1437" s="12" t="str">
        <f t="shared" si="91"/>
        <v>insert into ins_premium_det (premium_rcv_code,assorted_code, rec_amount,premium_rcv_detail_code,remaining_amt, payrec, mode_code,coinsurance_code,class_cd,it_remarks) values('28Nov240101','070000130978','1',(select max(to_number(i.premium_rcv_detail_code))+1
from ins_premium_det i),'1','1','02', '11000003','00','Request by Mr. Omair Ali 29-Nov-2024');</v>
      </c>
    </row>
    <row r="1438" spans="1:8" ht="105" x14ac:dyDescent="0.25">
      <c r="A1438" t="s">
        <v>1438</v>
      </c>
      <c r="B1438" s="8" t="str">
        <f>VLOOKUP(A1438,assortedcode!B:C,2,0)</f>
        <v>070000145454</v>
      </c>
      <c r="C1438" s="1">
        <v>1</v>
      </c>
      <c r="D1438" s="9">
        <f t="shared" si="89"/>
        <v>1</v>
      </c>
      <c r="E1438" s="7" t="s">
        <v>8345</v>
      </c>
      <c r="F1438" s="10" t="str">
        <f t="shared" si="88"/>
        <v>insert into ins_premium_det (premium_rcv_code,assorted_code, rec_amount,premium_rcv_detail_code,remaining_amt, payrec, mode_code,coinsurance_code,class_cd,it_remarks) values</v>
      </c>
      <c r="G1438" s="11" t="str">
        <f t="shared" si="90"/>
        <v>('28Nov240101','070000145454','1',(select max(to_number(i.premium_rcv_detail_code))+1
from ins_premium_det i),'1','1','02', '11000003','00','Request by Mr. Omair Ali 29-Nov-2024');</v>
      </c>
      <c r="H1438" s="12" t="str">
        <f t="shared" si="91"/>
        <v>insert into ins_premium_det (premium_rcv_code,assorted_code, rec_amount,premium_rcv_detail_code,remaining_amt, payrec, mode_code,coinsurance_code,class_cd,it_remarks) values('28Nov240101','070000145454','1',(select max(to_number(i.premium_rcv_detail_code))+1
from ins_premium_det i),'1','1','02', '11000003','00','Request by Mr. Omair Ali 29-Nov-2024');</v>
      </c>
    </row>
    <row r="1439" spans="1:8" ht="105" x14ac:dyDescent="0.25">
      <c r="A1439" t="s">
        <v>1439</v>
      </c>
      <c r="B1439" s="8" t="str">
        <f>VLOOKUP(A1439,assortedcode!B:C,2,0)</f>
        <v>070000162963</v>
      </c>
      <c r="C1439" s="1">
        <v>1</v>
      </c>
      <c r="D1439" s="9">
        <f t="shared" si="89"/>
        <v>1</v>
      </c>
      <c r="E1439" s="7" t="s">
        <v>8345</v>
      </c>
      <c r="F1439" s="10" t="str">
        <f t="shared" si="88"/>
        <v>insert into ins_premium_det (premium_rcv_code,assorted_code, rec_amount,premium_rcv_detail_code,remaining_amt, payrec, mode_code,coinsurance_code,class_cd,it_remarks) values</v>
      </c>
      <c r="G1439" s="11" t="str">
        <f t="shared" si="90"/>
        <v>('28Nov240101','070000162963','1',(select max(to_number(i.premium_rcv_detail_code))+1
from ins_premium_det i),'1','1','02', '11000003','00','Request by Mr. Omair Ali 29-Nov-2024');</v>
      </c>
      <c r="H1439" s="12" t="str">
        <f t="shared" si="91"/>
        <v>insert into ins_premium_det (premium_rcv_code,assorted_code, rec_amount,premium_rcv_detail_code,remaining_amt, payrec, mode_code,coinsurance_code,class_cd,it_remarks) values('28Nov240101','070000162963','1',(select max(to_number(i.premium_rcv_detail_code))+1
from ins_premium_det i),'1','1','02', '11000003','00','Request by Mr. Omair Ali 29-Nov-2024');</v>
      </c>
    </row>
    <row r="1440" spans="1:8" ht="105" x14ac:dyDescent="0.25">
      <c r="A1440" t="s">
        <v>1440</v>
      </c>
      <c r="B1440" s="8" t="str">
        <f>VLOOKUP(A1440,assortedcode!B:C,2,0)</f>
        <v>070000140379</v>
      </c>
      <c r="C1440" s="1">
        <v>1</v>
      </c>
      <c r="D1440" s="9">
        <f t="shared" si="89"/>
        <v>1</v>
      </c>
      <c r="E1440" s="7" t="s">
        <v>8345</v>
      </c>
      <c r="F1440" s="10" t="str">
        <f t="shared" si="88"/>
        <v>insert into ins_premium_det (premium_rcv_code,assorted_code, rec_amount,premium_rcv_detail_code,remaining_amt, payrec, mode_code,coinsurance_code,class_cd,it_remarks) values</v>
      </c>
      <c r="G1440" s="11" t="str">
        <f t="shared" si="90"/>
        <v>('28Nov240101','070000140379','1',(select max(to_number(i.premium_rcv_detail_code))+1
from ins_premium_det i),'1','1','02', '11000003','00','Request by Mr. Omair Ali 29-Nov-2024');</v>
      </c>
      <c r="H1440" s="12" t="str">
        <f t="shared" si="91"/>
        <v>insert into ins_premium_det (premium_rcv_code,assorted_code, rec_amount,premium_rcv_detail_code,remaining_amt, payrec, mode_code,coinsurance_code,class_cd,it_remarks) values('28Nov240101','070000140379','1',(select max(to_number(i.premium_rcv_detail_code))+1
from ins_premium_det i),'1','1','02', '11000003','00','Request by Mr. Omair Ali 29-Nov-2024');</v>
      </c>
    </row>
    <row r="1441" spans="1:8" ht="105" x14ac:dyDescent="0.25">
      <c r="A1441" t="s">
        <v>1441</v>
      </c>
      <c r="B1441" s="8" t="str">
        <f>VLOOKUP(A1441,assortedcode!B:C,2,0)</f>
        <v>070000162965</v>
      </c>
      <c r="C1441" s="1">
        <v>1</v>
      </c>
      <c r="D1441" s="9">
        <f t="shared" si="89"/>
        <v>1</v>
      </c>
      <c r="E1441" s="7" t="s">
        <v>8345</v>
      </c>
      <c r="F1441" s="10" t="str">
        <f t="shared" si="88"/>
        <v>insert into ins_premium_det (premium_rcv_code,assorted_code, rec_amount,premium_rcv_detail_code,remaining_amt, payrec, mode_code,coinsurance_code,class_cd,it_remarks) values</v>
      </c>
      <c r="G1441" s="11" t="str">
        <f t="shared" si="90"/>
        <v>('28Nov240101','070000162965','1',(select max(to_number(i.premium_rcv_detail_code))+1
from ins_premium_det i),'1','1','02', '11000003','00','Request by Mr. Omair Ali 29-Nov-2024');</v>
      </c>
      <c r="H1441" s="12" t="str">
        <f t="shared" si="91"/>
        <v>insert into ins_premium_det (premium_rcv_code,assorted_code, rec_amount,premium_rcv_detail_code,remaining_amt, payrec, mode_code,coinsurance_code,class_cd,it_remarks) values('28Nov240101','070000162965','1',(select max(to_number(i.premium_rcv_detail_code))+1
from ins_premium_det i),'1','1','02', '11000003','00','Request by Mr. Omair Ali 29-Nov-2024');</v>
      </c>
    </row>
    <row r="1442" spans="1:8" ht="105" x14ac:dyDescent="0.25">
      <c r="A1442" t="s">
        <v>1442</v>
      </c>
      <c r="B1442" s="8" t="str">
        <f>VLOOKUP(A1442,assortedcode!B:C,2,0)</f>
        <v>040000148042</v>
      </c>
      <c r="C1442" s="1">
        <v>1</v>
      </c>
      <c r="D1442" s="9">
        <f t="shared" si="89"/>
        <v>1</v>
      </c>
      <c r="E1442" s="7" t="s">
        <v>8345</v>
      </c>
      <c r="F1442" s="10" t="str">
        <f t="shared" si="88"/>
        <v>insert into ins_premium_det (premium_rcv_code,assorted_code, rec_amount,premium_rcv_detail_code,remaining_amt, payrec, mode_code,coinsurance_code,class_cd,it_remarks) values</v>
      </c>
      <c r="G1442" s="11" t="str">
        <f t="shared" si="90"/>
        <v>('28Nov240101','040000148042','1',(select max(to_number(i.premium_rcv_detail_code))+1
from ins_premium_det i),'1','1','02', '11000003','00','Request by Mr. Omair Ali 29-Nov-2024');</v>
      </c>
      <c r="H1442" s="12" t="str">
        <f t="shared" si="91"/>
        <v>insert into ins_premium_det (premium_rcv_code,assorted_code, rec_amount,premium_rcv_detail_code,remaining_amt, payrec, mode_code,coinsurance_code,class_cd,it_remarks) values('28Nov240101','040000148042','1',(select max(to_number(i.premium_rcv_detail_code))+1
from ins_premium_det i),'1','1','02', '11000003','00','Request by Mr. Omair Ali 29-Nov-2024');</v>
      </c>
    </row>
    <row r="1443" spans="1:8" ht="105" x14ac:dyDescent="0.25">
      <c r="A1443" t="s">
        <v>1443</v>
      </c>
      <c r="B1443" s="8" t="str">
        <f>VLOOKUP(A1443,assortedcode!B:C,2,0)</f>
        <v>070000158199</v>
      </c>
      <c r="C1443" s="1">
        <v>1</v>
      </c>
      <c r="D1443" s="9">
        <f t="shared" si="89"/>
        <v>1</v>
      </c>
      <c r="E1443" s="7" t="s">
        <v>8345</v>
      </c>
      <c r="F1443" s="10" t="str">
        <f t="shared" si="88"/>
        <v>insert into ins_premium_det (premium_rcv_code,assorted_code, rec_amount,premium_rcv_detail_code,remaining_amt, payrec, mode_code,coinsurance_code,class_cd,it_remarks) values</v>
      </c>
      <c r="G1443" s="11" t="str">
        <f t="shared" si="90"/>
        <v>('28Nov240101','070000158199','1',(select max(to_number(i.premium_rcv_detail_code))+1
from ins_premium_det i),'1','1','02', '11000003','00','Request by Mr. Omair Ali 29-Nov-2024');</v>
      </c>
      <c r="H1443" s="12" t="str">
        <f t="shared" si="91"/>
        <v>insert into ins_premium_det (premium_rcv_code,assorted_code, rec_amount,premium_rcv_detail_code,remaining_amt, payrec, mode_code,coinsurance_code,class_cd,it_remarks) values('28Nov240101','070000158199','1',(select max(to_number(i.premium_rcv_detail_code))+1
from ins_premium_det i),'1','1','02', '11000003','00','Request by Mr. Omair Ali 29-Nov-2024');</v>
      </c>
    </row>
    <row r="1444" spans="1:8" ht="105" x14ac:dyDescent="0.25">
      <c r="A1444" t="s">
        <v>1444</v>
      </c>
      <c r="B1444" s="8" t="str">
        <f>VLOOKUP(A1444,assortedcode!B:C,2,0)</f>
        <v>070000128648</v>
      </c>
      <c r="C1444" s="1">
        <v>1</v>
      </c>
      <c r="D1444" s="9">
        <f t="shared" si="89"/>
        <v>1</v>
      </c>
      <c r="E1444" s="7" t="s">
        <v>8345</v>
      </c>
      <c r="F1444" s="10" t="str">
        <f t="shared" si="88"/>
        <v>insert into ins_premium_det (premium_rcv_code,assorted_code, rec_amount,premium_rcv_detail_code,remaining_amt, payrec, mode_code,coinsurance_code,class_cd,it_remarks) values</v>
      </c>
      <c r="G1444" s="11" t="str">
        <f t="shared" si="90"/>
        <v>('28Nov240101','070000128648','1',(select max(to_number(i.premium_rcv_detail_code))+1
from ins_premium_det i),'1','1','02', '11000003','00','Request by Mr. Omair Ali 29-Nov-2024');</v>
      </c>
      <c r="H1444" s="12" t="str">
        <f t="shared" si="91"/>
        <v>insert into ins_premium_det (premium_rcv_code,assorted_code, rec_amount,premium_rcv_detail_code,remaining_amt, payrec, mode_code,coinsurance_code,class_cd,it_remarks) values('28Nov240101','070000128648','1',(select max(to_number(i.premium_rcv_detail_code))+1
from ins_premium_det i),'1','1','02', '11000003','00','Request by Mr. Omair Ali 29-Nov-2024');</v>
      </c>
    </row>
    <row r="1445" spans="1:8" ht="105" x14ac:dyDescent="0.25">
      <c r="A1445" t="s">
        <v>1445</v>
      </c>
      <c r="B1445" s="8" t="str">
        <f>VLOOKUP(A1445,assortedcode!B:C,2,0)</f>
        <v>070000158087</v>
      </c>
      <c r="C1445" s="1">
        <v>1</v>
      </c>
      <c r="D1445" s="9">
        <f t="shared" si="89"/>
        <v>1</v>
      </c>
      <c r="E1445" s="7" t="s">
        <v>8345</v>
      </c>
      <c r="F1445" s="10" t="str">
        <f t="shared" si="88"/>
        <v>insert into ins_premium_det (premium_rcv_code,assorted_code, rec_amount,premium_rcv_detail_code,remaining_amt, payrec, mode_code,coinsurance_code,class_cd,it_remarks) values</v>
      </c>
      <c r="G1445" s="11" t="str">
        <f t="shared" si="90"/>
        <v>('28Nov240101','070000158087','1',(select max(to_number(i.premium_rcv_detail_code))+1
from ins_premium_det i),'1','1','02', '11000003','00','Request by Mr. Omair Ali 29-Nov-2024');</v>
      </c>
      <c r="H1445" s="12" t="str">
        <f t="shared" si="91"/>
        <v>insert into ins_premium_det (premium_rcv_code,assorted_code, rec_amount,premium_rcv_detail_code,remaining_amt, payrec, mode_code,coinsurance_code,class_cd,it_remarks) values('28Nov240101','070000158087','1',(select max(to_number(i.premium_rcv_detail_code))+1
from ins_premium_det i),'1','1','02', '11000003','00','Request by Mr. Omair Ali 29-Nov-2024');</v>
      </c>
    </row>
    <row r="1446" spans="1:8" ht="105" x14ac:dyDescent="0.25">
      <c r="A1446" t="s">
        <v>1446</v>
      </c>
      <c r="B1446" s="8" t="str">
        <f>VLOOKUP(A1446,assortedcode!B:C,2,0)</f>
        <v>070000158674</v>
      </c>
      <c r="C1446" s="1">
        <v>1</v>
      </c>
      <c r="D1446" s="9">
        <f t="shared" si="89"/>
        <v>1</v>
      </c>
      <c r="E1446" s="7" t="s">
        <v>8345</v>
      </c>
      <c r="F1446" s="10" t="str">
        <f t="shared" si="88"/>
        <v>insert into ins_premium_det (premium_rcv_code,assorted_code, rec_amount,premium_rcv_detail_code,remaining_amt, payrec, mode_code,coinsurance_code,class_cd,it_remarks) values</v>
      </c>
      <c r="G1446" s="11" t="str">
        <f t="shared" si="90"/>
        <v>('28Nov240101','070000158674','1',(select max(to_number(i.premium_rcv_detail_code))+1
from ins_premium_det i),'1','1','02', '11000003','00','Request by Mr. Omair Ali 29-Nov-2024');</v>
      </c>
      <c r="H1446" s="12" t="str">
        <f t="shared" si="91"/>
        <v>insert into ins_premium_det (premium_rcv_code,assorted_code, rec_amount,premium_rcv_detail_code,remaining_amt, payrec, mode_code,coinsurance_code,class_cd,it_remarks) values('28Nov240101','070000158674','1',(select max(to_number(i.premium_rcv_detail_code))+1
from ins_premium_det i),'1','1','02', '11000003','00','Request by Mr. Omair Ali 29-Nov-2024');</v>
      </c>
    </row>
    <row r="1447" spans="1:8" ht="105" x14ac:dyDescent="0.25">
      <c r="A1447" t="s">
        <v>1447</v>
      </c>
      <c r="B1447" s="8" t="str">
        <f>VLOOKUP(A1447,assortedcode!B:C,2,0)</f>
        <v>070000158244</v>
      </c>
      <c r="C1447" s="1">
        <v>1</v>
      </c>
      <c r="D1447" s="9">
        <f t="shared" si="89"/>
        <v>1</v>
      </c>
      <c r="E1447" s="7" t="s">
        <v>8345</v>
      </c>
      <c r="F1447" s="10" t="str">
        <f t="shared" si="88"/>
        <v>insert into ins_premium_det (premium_rcv_code,assorted_code, rec_amount,premium_rcv_detail_code,remaining_amt, payrec, mode_code,coinsurance_code,class_cd,it_remarks) values</v>
      </c>
      <c r="G1447" s="11" t="str">
        <f t="shared" si="90"/>
        <v>('28Nov240101','070000158244','1',(select max(to_number(i.premium_rcv_detail_code))+1
from ins_premium_det i),'1','1','02', '11000003','00','Request by Mr. Omair Ali 29-Nov-2024');</v>
      </c>
      <c r="H1447" s="12" t="str">
        <f t="shared" si="91"/>
        <v>insert into ins_premium_det (premium_rcv_code,assorted_code, rec_amount,premium_rcv_detail_code,remaining_amt, payrec, mode_code,coinsurance_code,class_cd,it_remarks) values('28Nov240101','070000158244','1',(select max(to_number(i.premium_rcv_detail_code))+1
from ins_premium_det i),'1','1','02', '11000003','00','Request by Mr. Omair Ali 29-Nov-2024');</v>
      </c>
    </row>
    <row r="1448" spans="1:8" ht="105" x14ac:dyDescent="0.25">
      <c r="A1448" t="s">
        <v>1448</v>
      </c>
      <c r="B1448" s="8" t="str">
        <f>VLOOKUP(A1448,assortedcode!B:C,2,0)</f>
        <v>070000164093</v>
      </c>
      <c r="C1448" s="1">
        <v>1</v>
      </c>
      <c r="D1448" s="9">
        <f t="shared" si="89"/>
        <v>1</v>
      </c>
      <c r="E1448" s="7" t="s">
        <v>8345</v>
      </c>
      <c r="F1448" s="10" t="str">
        <f t="shared" si="88"/>
        <v>insert into ins_premium_det (premium_rcv_code,assorted_code, rec_amount,premium_rcv_detail_code,remaining_amt, payrec, mode_code,coinsurance_code,class_cd,it_remarks) values</v>
      </c>
      <c r="G1448" s="11" t="str">
        <f t="shared" si="90"/>
        <v>('28Nov240101','070000164093','1',(select max(to_number(i.premium_rcv_detail_code))+1
from ins_premium_det i),'1','1','02', '11000003','00','Request by Mr. Omair Ali 29-Nov-2024');</v>
      </c>
      <c r="H1448" s="12" t="str">
        <f t="shared" si="91"/>
        <v>insert into ins_premium_det (premium_rcv_code,assorted_code, rec_amount,premium_rcv_detail_code,remaining_amt, payrec, mode_code,coinsurance_code,class_cd,it_remarks) values('28Nov240101','070000164093','1',(select max(to_number(i.premium_rcv_detail_code))+1
from ins_premium_det i),'1','1','02', '11000003','00','Request by Mr. Omair Ali 29-Nov-2024');</v>
      </c>
    </row>
    <row r="1449" spans="1:8" ht="105" x14ac:dyDescent="0.25">
      <c r="A1449" t="s">
        <v>1449</v>
      </c>
      <c r="B1449" s="8" t="str">
        <f>VLOOKUP(A1449,assortedcode!B:C,2,0)</f>
        <v>070000158662</v>
      </c>
      <c r="C1449" s="1">
        <v>1</v>
      </c>
      <c r="D1449" s="9">
        <f t="shared" si="89"/>
        <v>1</v>
      </c>
      <c r="E1449" s="7" t="s">
        <v>8345</v>
      </c>
      <c r="F1449" s="10" t="str">
        <f t="shared" si="88"/>
        <v>insert into ins_premium_det (premium_rcv_code,assorted_code, rec_amount,premium_rcv_detail_code,remaining_amt, payrec, mode_code,coinsurance_code,class_cd,it_remarks) values</v>
      </c>
      <c r="G1449" s="11" t="str">
        <f t="shared" si="90"/>
        <v>('28Nov240101','070000158662','1',(select max(to_number(i.premium_rcv_detail_code))+1
from ins_premium_det i),'1','1','02', '11000003','00','Request by Mr. Omair Ali 29-Nov-2024');</v>
      </c>
      <c r="H1449" s="12" t="str">
        <f t="shared" si="91"/>
        <v>insert into ins_premium_det (premium_rcv_code,assorted_code, rec_amount,premium_rcv_detail_code,remaining_amt, payrec, mode_code,coinsurance_code,class_cd,it_remarks) values('28Nov240101','070000158662','1',(select max(to_number(i.premium_rcv_detail_code))+1
from ins_premium_det i),'1','1','02', '11000003','00','Request by Mr. Omair Ali 29-Nov-2024');</v>
      </c>
    </row>
    <row r="1450" spans="1:8" ht="105" x14ac:dyDescent="0.25">
      <c r="A1450" t="s">
        <v>1450</v>
      </c>
      <c r="B1450" s="8" t="str">
        <f>VLOOKUP(A1450,assortedcode!B:C,2,0)</f>
        <v>070000157395</v>
      </c>
      <c r="C1450" s="1">
        <v>1</v>
      </c>
      <c r="D1450" s="9">
        <f t="shared" si="89"/>
        <v>1</v>
      </c>
      <c r="E1450" s="7" t="s">
        <v>8345</v>
      </c>
      <c r="F1450" s="10" t="str">
        <f t="shared" si="88"/>
        <v>insert into ins_premium_det (premium_rcv_code,assorted_code, rec_amount,premium_rcv_detail_code,remaining_amt, payrec, mode_code,coinsurance_code,class_cd,it_remarks) values</v>
      </c>
      <c r="G1450" s="11" t="str">
        <f t="shared" si="90"/>
        <v>('28Nov240101','070000157395','1',(select max(to_number(i.premium_rcv_detail_code))+1
from ins_premium_det i),'1','1','02', '11000003','00','Request by Mr. Omair Ali 29-Nov-2024');</v>
      </c>
      <c r="H1450" s="12" t="str">
        <f t="shared" si="91"/>
        <v>insert into ins_premium_det (premium_rcv_code,assorted_code, rec_amount,premium_rcv_detail_code,remaining_amt, payrec, mode_code,coinsurance_code,class_cd,it_remarks) values('28Nov240101','070000157395','1',(select max(to_number(i.premium_rcv_detail_code))+1
from ins_premium_det i),'1','1','02', '11000003','00','Request by Mr. Omair Ali 29-Nov-2024');</v>
      </c>
    </row>
    <row r="1451" spans="1:8" ht="105" x14ac:dyDescent="0.25">
      <c r="A1451" t="s">
        <v>1451</v>
      </c>
      <c r="B1451" s="8" t="str">
        <f>VLOOKUP(A1451,assortedcode!B:C,2,0)</f>
        <v>070000158673</v>
      </c>
      <c r="C1451" s="1">
        <v>1</v>
      </c>
      <c r="D1451" s="9">
        <f t="shared" si="89"/>
        <v>1</v>
      </c>
      <c r="E1451" s="7" t="s">
        <v>8345</v>
      </c>
      <c r="F1451" s="10" t="str">
        <f t="shared" si="88"/>
        <v>insert into ins_premium_det (premium_rcv_code,assorted_code, rec_amount,premium_rcv_detail_code,remaining_amt, payrec, mode_code,coinsurance_code,class_cd,it_remarks) values</v>
      </c>
      <c r="G1451" s="11" t="str">
        <f t="shared" si="90"/>
        <v>('28Nov240101','070000158673','1',(select max(to_number(i.premium_rcv_detail_code))+1
from ins_premium_det i),'1','1','02', '11000003','00','Request by Mr. Omair Ali 29-Nov-2024');</v>
      </c>
      <c r="H1451" s="12" t="str">
        <f t="shared" si="91"/>
        <v>insert into ins_premium_det (premium_rcv_code,assorted_code, rec_amount,premium_rcv_detail_code,remaining_amt, payrec, mode_code,coinsurance_code,class_cd,it_remarks) values('28Nov240101','070000158673','1',(select max(to_number(i.premium_rcv_detail_code))+1
from ins_premium_det i),'1','1','02', '11000003','00','Request by Mr. Omair Ali 29-Nov-2024');</v>
      </c>
    </row>
    <row r="1452" spans="1:8" ht="105" x14ac:dyDescent="0.25">
      <c r="A1452" t="s">
        <v>1452</v>
      </c>
      <c r="B1452" s="8" t="str">
        <f>VLOOKUP(A1452,assortedcode!B:C,2,0)</f>
        <v>070000164147</v>
      </c>
      <c r="C1452" s="1">
        <v>1</v>
      </c>
      <c r="D1452" s="9">
        <f t="shared" si="89"/>
        <v>1</v>
      </c>
      <c r="E1452" s="7" t="s">
        <v>8345</v>
      </c>
      <c r="F1452" s="10" t="str">
        <f t="shared" si="88"/>
        <v>insert into ins_premium_det (premium_rcv_code,assorted_code, rec_amount,premium_rcv_detail_code,remaining_amt, payrec, mode_code,coinsurance_code,class_cd,it_remarks) values</v>
      </c>
      <c r="G1452" s="11" t="str">
        <f t="shared" si="90"/>
        <v>('28Nov240101','070000164147','1',(select max(to_number(i.premium_rcv_detail_code))+1
from ins_premium_det i),'1','1','02', '11000003','00','Request by Mr. Omair Ali 29-Nov-2024');</v>
      </c>
      <c r="H1452" s="12" t="str">
        <f t="shared" si="91"/>
        <v>insert into ins_premium_det (premium_rcv_code,assorted_code, rec_amount,premium_rcv_detail_code,remaining_amt, payrec, mode_code,coinsurance_code,class_cd,it_remarks) values('28Nov240101','070000164147','1',(select max(to_number(i.premium_rcv_detail_code))+1
from ins_premium_det i),'1','1','02', '11000003','00','Request by Mr. Omair Ali 29-Nov-2024');</v>
      </c>
    </row>
    <row r="1453" spans="1:8" ht="105" x14ac:dyDescent="0.25">
      <c r="A1453" t="s">
        <v>1453</v>
      </c>
      <c r="B1453" s="8" t="str">
        <f>VLOOKUP(A1453,assortedcode!B:C,2,0)</f>
        <v>070000158156</v>
      </c>
      <c r="C1453" s="1">
        <v>1</v>
      </c>
      <c r="D1453" s="9">
        <f t="shared" si="89"/>
        <v>1</v>
      </c>
      <c r="E1453" s="7" t="s">
        <v>8345</v>
      </c>
      <c r="F1453" s="10" t="str">
        <f t="shared" si="88"/>
        <v>insert into ins_premium_det (premium_rcv_code,assorted_code, rec_amount,premium_rcv_detail_code,remaining_amt, payrec, mode_code,coinsurance_code,class_cd,it_remarks) values</v>
      </c>
      <c r="G1453" s="11" t="str">
        <f t="shared" si="90"/>
        <v>('28Nov240101','070000158156','1',(select max(to_number(i.premium_rcv_detail_code))+1
from ins_premium_det i),'1','1','02', '11000003','00','Request by Mr. Omair Ali 29-Nov-2024');</v>
      </c>
      <c r="H1453" s="12" t="str">
        <f t="shared" si="91"/>
        <v>insert into ins_premium_det (premium_rcv_code,assorted_code, rec_amount,premium_rcv_detail_code,remaining_amt, payrec, mode_code,coinsurance_code,class_cd,it_remarks) values('28Nov240101','070000158156','1',(select max(to_number(i.premium_rcv_detail_code))+1
from ins_premium_det i),'1','1','02', '11000003','00','Request by Mr. Omair Ali 29-Nov-2024');</v>
      </c>
    </row>
    <row r="1454" spans="1:8" ht="105" x14ac:dyDescent="0.25">
      <c r="A1454" t="s">
        <v>1454</v>
      </c>
      <c r="B1454" s="8" t="str">
        <f>VLOOKUP(A1454,assortedcode!B:C,2,0)</f>
        <v>070000158679</v>
      </c>
      <c r="C1454" s="1">
        <v>1</v>
      </c>
      <c r="D1454" s="9">
        <f t="shared" si="89"/>
        <v>1</v>
      </c>
      <c r="E1454" s="7" t="s">
        <v>8345</v>
      </c>
      <c r="F1454" s="10" t="str">
        <f t="shared" si="88"/>
        <v>insert into ins_premium_det (premium_rcv_code,assorted_code, rec_amount,premium_rcv_detail_code,remaining_amt, payrec, mode_code,coinsurance_code,class_cd,it_remarks) values</v>
      </c>
      <c r="G1454" s="11" t="str">
        <f t="shared" si="90"/>
        <v>('28Nov240101','070000158679','1',(select max(to_number(i.premium_rcv_detail_code))+1
from ins_premium_det i),'1','1','02', '11000003','00','Request by Mr. Omair Ali 29-Nov-2024');</v>
      </c>
      <c r="H1454" s="12" t="str">
        <f t="shared" si="91"/>
        <v>insert into ins_premium_det (premium_rcv_code,assorted_code, rec_amount,premium_rcv_detail_code,remaining_amt, payrec, mode_code,coinsurance_code,class_cd,it_remarks) values('28Nov240101','070000158679','1',(select max(to_number(i.premium_rcv_detail_code))+1
from ins_premium_det i),'1','1','02', '11000003','00','Request by Mr. Omair Ali 29-Nov-2024');</v>
      </c>
    </row>
    <row r="1455" spans="1:8" ht="105" x14ac:dyDescent="0.25">
      <c r="A1455" t="s">
        <v>1455</v>
      </c>
      <c r="B1455" s="8" t="str">
        <f>VLOOKUP(A1455,assortedcode!B:C,2,0)</f>
        <v>070000157402</v>
      </c>
      <c r="C1455" s="1">
        <v>1</v>
      </c>
      <c r="D1455" s="9">
        <f t="shared" si="89"/>
        <v>1</v>
      </c>
      <c r="E1455" s="7" t="s">
        <v>8345</v>
      </c>
      <c r="F1455" s="10" t="str">
        <f t="shared" si="88"/>
        <v>insert into ins_premium_det (premium_rcv_code,assorted_code, rec_amount,premium_rcv_detail_code,remaining_amt, payrec, mode_code,coinsurance_code,class_cd,it_remarks) values</v>
      </c>
      <c r="G1455" s="11" t="str">
        <f t="shared" si="90"/>
        <v>('28Nov240101','070000157402','1',(select max(to_number(i.premium_rcv_detail_code))+1
from ins_premium_det i),'1','1','02', '11000003','00','Request by Mr. Omair Ali 29-Nov-2024');</v>
      </c>
      <c r="H1455" s="12" t="str">
        <f t="shared" si="91"/>
        <v>insert into ins_premium_det (premium_rcv_code,assorted_code, rec_amount,premium_rcv_detail_code,remaining_amt, payrec, mode_code,coinsurance_code,class_cd,it_remarks) values('28Nov240101','070000157402','1',(select max(to_number(i.premium_rcv_detail_code))+1
from ins_premium_det i),'1','1','02', '11000003','00','Request by Mr. Omair Ali 29-Nov-2024');</v>
      </c>
    </row>
    <row r="1456" spans="1:8" ht="105" x14ac:dyDescent="0.25">
      <c r="A1456" t="s">
        <v>1456</v>
      </c>
      <c r="B1456" s="8" t="str">
        <f>VLOOKUP(A1456,assortedcode!B:C,2,0)</f>
        <v>070000158186</v>
      </c>
      <c r="C1456" s="1">
        <v>1</v>
      </c>
      <c r="D1456" s="9">
        <f t="shared" si="89"/>
        <v>1</v>
      </c>
      <c r="E1456" s="7" t="s">
        <v>8345</v>
      </c>
      <c r="F1456" s="10" t="str">
        <f t="shared" si="88"/>
        <v>insert into ins_premium_det (premium_rcv_code,assorted_code, rec_amount,premium_rcv_detail_code,remaining_amt, payrec, mode_code,coinsurance_code,class_cd,it_remarks) values</v>
      </c>
      <c r="G1456" s="11" t="str">
        <f t="shared" si="90"/>
        <v>('28Nov240101','070000158186','1',(select max(to_number(i.premium_rcv_detail_code))+1
from ins_premium_det i),'1','1','02', '11000003','00','Request by Mr. Omair Ali 29-Nov-2024');</v>
      </c>
      <c r="H1456" s="12" t="str">
        <f t="shared" si="91"/>
        <v>insert into ins_premium_det (premium_rcv_code,assorted_code, rec_amount,premium_rcv_detail_code,remaining_amt, payrec, mode_code,coinsurance_code,class_cd,it_remarks) values('28Nov240101','070000158186','1',(select max(to_number(i.premium_rcv_detail_code))+1
from ins_premium_det i),'1','1','02', '11000003','00','Request by Mr. Omair Ali 29-Nov-2024');</v>
      </c>
    </row>
    <row r="1457" spans="1:8" ht="105" x14ac:dyDescent="0.25">
      <c r="A1457" t="s">
        <v>1457</v>
      </c>
      <c r="B1457" s="8" t="str">
        <f>VLOOKUP(A1457,assortedcode!B:C,2,0)</f>
        <v>070000158687</v>
      </c>
      <c r="C1457" s="1">
        <v>1</v>
      </c>
      <c r="D1457" s="9">
        <f t="shared" si="89"/>
        <v>1</v>
      </c>
      <c r="E1457" s="7" t="s">
        <v>8345</v>
      </c>
      <c r="F1457" s="10" t="str">
        <f t="shared" si="88"/>
        <v>insert into ins_premium_det (premium_rcv_code,assorted_code, rec_amount,premium_rcv_detail_code,remaining_amt, payrec, mode_code,coinsurance_code,class_cd,it_remarks) values</v>
      </c>
      <c r="G1457" s="11" t="str">
        <f t="shared" si="90"/>
        <v>('28Nov240101','070000158687','1',(select max(to_number(i.premium_rcv_detail_code))+1
from ins_premium_det i),'1','1','02', '11000003','00','Request by Mr. Omair Ali 29-Nov-2024');</v>
      </c>
      <c r="H1457" s="12" t="str">
        <f t="shared" si="91"/>
        <v>insert into ins_premium_det (premium_rcv_code,assorted_code, rec_amount,premium_rcv_detail_code,remaining_amt, payrec, mode_code,coinsurance_code,class_cd,it_remarks) values('28Nov240101','070000158687','1',(select max(to_number(i.premium_rcv_detail_code))+1
from ins_premium_det i),'1','1','02', '11000003','00','Request by Mr. Omair Ali 29-Nov-2024');</v>
      </c>
    </row>
    <row r="1458" spans="1:8" ht="105" x14ac:dyDescent="0.25">
      <c r="A1458" t="s">
        <v>1458</v>
      </c>
      <c r="B1458" s="8" t="str">
        <f>VLOOKUP(A1458,assortedcode!B:C,2,0)</f>
        <v>070000158475</v>
      </c>
      <c r="C1458" s="1">
        <v>1</v>
      </c>
      <c r="D1458" s="9">
        <f t="shared" si="89"/>
        <v>1</v>
      </c>
      <c r="E1458" s="7" t="s">
        <v>8345</v>
      </c>
      <c r="F1458" s="10" t="str">
        <f t="shared" si="88"/>
        <v>insert into ins_premium_det (premium_rcv_code,assorted_code, rec_amount,premium_rcv_detail_code,remaining_amt, payrec, mode_code,coinsurance_code,class_cd,it_remarks) values</v>
      </c>
      <c r="G1458" s="11" t="str">
        <f t="shared" si="90"/>
        <v>('28Nov240101','070000158475','1',(select max(to_number(i.premium_rcv_detail_code))+1
from ins_premium_det i),'1','1','02', '11000003','00','Request by Mr. Omair Ali 29-Nov-2024');</v>
      </c>
      <c r="H1458" s="12" t="str">
        <f t="shared" si="91"/>
        <v>insert into ins_premium_det (premium_rcv_code,assorted_code, rec_amount,premium_rcv_detail_code,remaining_amt, payrec, mode_code,coinsurance_code,class_cd,it_remarks) values('28Nov240101','070000158475','1',(select max(to_number(i.premium_rcv_detail_code))+1
from ins_premium_det i),'1','1','02', '11000003','00','Request by Mr. Omair Ali 29-Nov-2024');</v>
      </c>
    </row>
    <row r="1459" spans="1:8" ht="105" x14ac:dyDescent="0.25">
      <c r="A1459" t="s">
        <v>1459</v>
      </c>
      <c r="B1459" s="8" t="str">
        <f>VLOOKUP(A1459,assortedcode!B:C,2,0)</f>
        <v>070000158697</v>
      </c>
      <c r="C1459" s="1">
        <v>1</v>
      </c>
      <c r="D1459" s="9">
        <f t="shared" si="89"/>
        <v>1</v>
      </c>
      <c r="E1459" s="7" t="s">
        <v>8345</v>
      </c>
      <c r="F1459" s="10" t="str">
        <f t="shared" si="88"/>
        <v>insert into ins_premium_det (premium_rcv_code,assorted_code, rec_amount,premium_rcv_detail_code,remaining_amt, payrec, mode_code,coinsurance_code,class_cd,it_remarks) values</v>
      </c>
      <c r="G1459" s="11" t="str">
        <f t="shared" si="90"/>
        <v>('28Nov240101','070000158697','1',(select max(to_number(i.premium_rcv_detail_code))+1
from ins_premium_det i),'1','1','02', '11000003','00','Request by Mr. Omair Ali 29-Nov-2024');</v>
      </c>
      <c r="H1459" s="12" t="str">
        <f t="shared" si="91"/>
        <v>insert into ins_premium_det (premium_rcv_code,assorted_code, rec_amount,premium_rcv_detail_code,remaining_amt, payrec, mode_code,coinsurance_code,class_cd,it_remarks) values('28Nov240101','070000158697','1',(select max(to_number(i.premium_rcv_detail_code))+1
from ins_premium_det i),'1','1','02', '11000003','00','Request by Mr. Omair Ali 29-Nov-2024');</v>
      </c>
    </row>
    <row r="1460" spans="1:8" ht="105" x14ac:dyDescent="0.25">
      <c r="A1460" t="s">
        <v>1460</v>
      </c>
      <c r="B1460" s="8" t="str">
        <f>VLOOKUP(A1460,assortedcode!B:C,2,0)</f>
        <v>070000158700</v>
      </c>
      <c r="C1460" s="1">
        <v>1</v>
      </c>
      <c r="D1460" s="9">
        <f t="shared" si="89"/>
        <v>1</v>
      </c>
      <c r="E1460" s="7" t="s">
        <v>8345</v>
      </c>
      <c r="F1460" s="10" t="str">
        <f t="shared" si="88"/>
        <v>insert into ins_premium_det (premium_rcv_code,assorted_code, rec_amount,premium_rcv_detail_code,remaining_amt, payrec, mode_code,coinsurance_code,class_cd,it_remarks) values</v>
      </c>
      <c r="G1460" s="11" t="str">
        <f t="shared" si="90"/>
        <v>('28Nov240101','070000158700','1',(select max(to_number(i.premium_rcv_detail_code))+1
from ins_premium_det i),'1','1','02', '11000003','00','Request by Mr. Omair Ali 29-Nov-2024');</v>
      </c>
      <c r="H1460" s="12" t="str">
        <f t="shared" si="91"/>
        <v>insert into ins_premium_det (premium_rcv_code,assorted_code, rec_amount,premium_rcv_detail_code,remaining_amt, payrec, mode_code,coinsurance_code,class_cd,it_remarks) values('28Nov240101','070000158700','1',(select max(to_number(i.premium_rcv_detail_code))+1
from ins_premium_det i),'1','1','02', '11000003','00','Request by Mr. Omair Ali 29-Nov-2024');</v>
      </c>
    </row>
    <row r="1461" spans="1:8" ht="105" x14ac:dyDescent="0.25">
      <c r="A1461" t="s">
        <v>1461</v>
      </c>
      <c r="B1461" s="8" t="str">
        <f>VLOOKUP(A1461,assortedcode!B:C,2,0)</f>
        <v>070000157202</v>
      </c>
      <c r="C1461" s="1">
        <v>1</v>
      </c>
      <c r="D1461" s="9">
        <f t="shared" si="89"/>
        <v>1</v>
      </c>
      <c r="E1461" s="7" t="s">
        <v>8345</v>
      </c>
      <c r="F1461" s="10" t="str">
        <f t="shared" si="88"/>
        <v>insert into ins_premium_det (premium_rcv_code,assorted_code, rec_amount,premium_rcv_detail_code,remaining_amt, payrec, mode_code,coinsurance_code,class_cd,it_remarks) values</v>
      </c>
      <c r="G1461" s="11" t="str">
        <f t="shared" si="90"/>
        <v>('28Nov240101','070000157202','1',(select max(to_number(i.premium_rcv_detail_code))+1
from ins_premium_det i),'1','1','02', '11000003','00','Request by Mr. Omair Ali 29-Nov-2024');</v>
      </c>
      <c r="H1461" s="12" t="str">
        <f t="shared" si="91"/>
        <v>insert into ins_premium_det (premium_rcv_code,assorted_code, rec_amount,premium_rcv_detail_code,remaining_amt, payrec, mode_code,coinsurance_code,class_cd,it_remarks) values('28Nov240101','070000157202','1',(select max(to_number(i.premium_rcv_detail_code))+1
from ins_premium_det i),'1','1','02', '11000003','00','Request by Mr. Omair Ali 29-Nov-2024');</v>
      </c>
    </row>
    <row r="1462" spans="1:8" ht="105" x14ac:dyDescent="0.25">
      <c r="A1462" t="s">
        <v>1462</v>
      </c>
      <c r="B1462" s="8" t="str">
        <f>VLOOKUP(A1462,assortedcode!B:C,2,0)</f>
        <v>070000165921</v>
      </c>
      <c r="C1462" s="1">
        <v>1</v>
      </c>
      <c r="D1462" s="9">
        <f t="shared" si="89"/>
        <v>1</v>
      </c>
      <c r="E1462" s="7" t="s">
        <v>8345</v>
      </c>
      <c r="F1462" s="10" t="str">
        <f t="shared" si="88"/>
        <v>insert into ins_premium_det (premium_rcv_code,assorted_code, rec_amount,premium_rcv_detail_code,remaining_amt, payrec, mode_code,coinsurance_code,class_cd,it_remarks) values</v>
      </c>
      <c r="G1462" s="11" t="str">
        <f t="shared" si="90"/>
        <v>('28Nov240101','070000165921','1',(select max(to_number(i.premium_rcv_detail_code))+1
from ins_premium_det i),'1','1','02', '11000003','00','Request by Mr. Omair Ali 29-Nov-2024');</v>
      </c>
      <c r="H1462" s="12" t="str">
        <f t="shared" si="91"/>
        <v>insert into ins_premium_det (premium_rcv_code,assorted_code, rec_amount,premium_rcv_detail_code,remaining_amt, payrec, mode_code,coinsurance_code,class_cd,it_remarks) values('28Nov240101','070000165921','1',(select max(to_number(i.premium_rcv_detail_code))+1
from ins_premium_det i),'1','1','02', '11000003','00','Request by Mr. Omair Ali 29-Nov-2024');</v>
      </c>
    </row>
    <row r="1463" spans="1:8" ht="105" x14ac:dyDescent="0.25">
      <c r="A1463" t="s">
        <v>1463</v>
      </c>
      <c r="B1463" s="8" t="str">
        <f>VLOOKUP(A1463,assortedcode!B:C,2,0)</f>
        <v>070000165955</v>
      </c>
      <c r="C1463" s="1">
        <v>1</v>
      </c>
      <c r="D1463" s="9">
        <f t="shared" si="89"/>
        <v>1</v>
      </c>
      <c r="E1463" s="7" t="s">
        <v>8345</v>
      </c>
      <c r="F1463" s="10" t="str">
        <f t="shared" si="88"/>
        <v>insert into ins_premium_det (premium_rcv_code,assorted_code, rec_amount,premium_rcv_detail_code,remaining_amt, payrec, mode_code,coinsurance_code,class_cd,it_remarks) values</v>
      </c>
      <c r="G1463" s="11" t="str">
        <f t="shared" si="90"/>
        <v>('28Nov240101','070000165955','1',(select max(to_number(i.premium_rcv_detail_code))+1
from ins_premium_det i),'1','1','02', '11000003','00','Request by Mr. Omair Ali 29-Nov-2024');</v>
      </c>
      <c r="H1463" s="12" t="str">
        <f t="shared" si="91"/>
        <v>insert into ins_premium_det (premium_rcv_code,assorted_code, rec_amount,premium_rcv_detail_code,remaining_amt, payrec, mode_code,coinsurance_code,class_cd,it_remarks) values('28Nov240101','070000165955','1',(select max(to_number(i.premium_rcv_detail_code))+1
from ins_premium_det i),'1','1','02', '11000003','00','Request by Mr. Omair Ali 29-Nov-2024');</v>
      </c>
    </row>
    <row r="1464" spans="1:8" ht="105" x14ac:dyDescent="0.25">
      <c r="A1464" t="s">
        <v>1464</v>
      </c>
      <c r="B1464" s="8" t="str">
        <f>VLOOKUP(A1464,assortedcode!B:C,2,0)</f>
        <v>070000157189</v>
      </c>
      <c r="C1464" s="1">
        <v>1</v>
      </c>
      <c r="D1464" s="9">
        <f t="shared" si="89"/>
        <v>1</v>
      </c>
      <c r="E1464" s="7" t="s">
        <v>8345</v>
      </c>
      <c r="F1464" s="10" t="str">
        <f t="shared" si="88"/>
        <v>insert into ins_premium_det (premium_rcv_code,assorted_code, rec_amount,premium_rcv_detail_code,remaining_amt, payrec, mode_code,coinsurance_code,class_cd,it_remarks) values</v>
      </c>
      <c r="G1464" s="11" t="str">
        <f t="shared" si="90"/>
        <v>('28Nov240101','070000157189','1',(select max(to_number(i.premium_rcv_detail_code))+1
from ins_premium_det i),'1','1','02', '11000003','00','Request by Mr. Omair Ali 29-Nov-2024');</v>
      </c>
      <c r="H1464" s="12" t="str">
        <f t="shared" si="91"/>
        <v>insert into ins_premium_det (premium_rcv_code,assorted_code, rec_amount,premium_rcv_detail_code,remaining_amt, payrec, mode_code,coinsurance_code,class_cd,it_remarks) values('28Nov240101','070000157189','1',(select max(to_number(i.premium_rcv_detail_code))+1
from ins_premium_det i),'1','1','02', '11000003','00','Request by Mr. Omair Ali 29-Nov-2024');</v>
      </c>
    </row>
    <row r="1465" spans="1:8" ht="105" x14ac:dyDescent="0.25">
      <c r="A1465" t="s">
        <v>1465</v>
      </c>
      <c r="B1465" s="8" t="str">
        <f>VLOOKUP(A1465,assortedcode!B:C,2,0)</f>
        <v>040000171853</v>
      </c>
      <c r="C1465" s="1">
        <v>1</v>
      </c>
      <c r="D1465" s="9">
        <f t="shared" si="89"/>
        <v>1</v>
      </c>
      <c r="E1465" s="7" t="s">
        <v>8345</v>
      </c>
      <c r="F1465" s="10" t="str">
        <f t="shared" si="88"/>
        <v>insert into ins_premium_det (premium_rcv_code,assorted_code, rec_amount,premium_rcv_detail_code,remaining_amt, payrec, mode_code,coinsurance_code,class_cd,it_remarks) values</v>
      </c>
      <c r="G1465" s="11" t="str">
        <f t="shared" si="90"/>
        <v>('28Nov240101','040000171853','1',(select max(to_number(i.premium_rcv_detail_code))+1
from ins_premium_det i),'1','1','02', '11000003','00','Request by Mr. Omair Ali 29-Nov-2024');</v>
      </c>
      <c r="H1465" s="12" t="str">
        <f t="shared" si="91"/>
        <v>insert into ins_premium_det (premium_rcv_code,assorted_code, rec_amount,premium_rcv_detail_code,remaining_amt, payrec, mode_code,coinsurance_code,class_cd,it_remarks) values('28Nov240101','040000171853','1',(select max(to_number(i.premium_rcv_detail_code))+1
from ins_premium_det i),'1','1','02', '11000003','00','Request by Mr. Omair Ali 29-Nov-2024');</v>
      </c>
    </row>
    <row r="1466" spans="1:8" ht="105" x14ac:dyDescent="0.25">
      <c r="A1466" t="s">
        <v>1466</v>
      </c>
      <c r="B1466" s="8" t="str">
        <f>VLOOKUP(A1466,assortedcode!B:C,2,0)</f>
        <v>070000165995</v>
      </c>
      <c r="C1466" s="1">
        <v>1</v>
      </c>
      <c r="D1466" s="9">
        <f t="shared" si="89"/>
        <v>1</v>
      </c>
      <c r="E1466" s="7" t="s">
        <v>8345</v>
      </c>
      <c r="F1466" s="10" t="str">
        <f t="shared" si="88"/>
        <v>insert into ins_premium_det (premium_rcv_code,assorted_code, rec_amount,premium_rcv_detail_code,remaining_amt, payrec, mode_code,coinsurance_code,class_cd,it_remarks) values</v>
      </c>
      <c r="G1466" s="11" t="str">
        <f t="shared" si="90"/>
        <v>('28Nov240101','070000165995','1',(select max(to_number(i.premium_rcv_detail_code))+1
from ins_premium_det i),'1','1','02', '11000003','00','Request by Mr. Omair Ali 29-Nov-2024');</v>
      </c>
      <c r="H1466" s="12" t="str">
        <f t="shared" si="91"/>
        <v>insert into ins_premium_det (premium_rcv_code,assorted_code, rec_amount,premium_rcv_detail_code,remaining_amt, payrec, mode_code,coinsurance_code,class_cd,it_remarks) values('28Nov240101','070000165995','1',(select max(to_number(i.premium_rcv_detail_code))+1
from ins_premium_det i),'1','1','02', '11000003','00','Request by Mr. Omair Ali 29-Nov-2024');</v>
      </c>
    </row>
    <row r="1467" spans="1:8" ht="105" x14ac:dyDescent="0.25">
      <c r="A1467" t="s">
        <v>1467</v>
      </c>
      <c r="B1467" s="8" t="str">
        <f>VLOOKUP(A1467,assortedcode!B:C,2,0)</f>
        <v>070000157218</v>
      </c>
      <c r="C1467" s="1">
        <v>1</v>
      </c>
      <c r="D1467" s="9">
        <f t="shared" si="89"/>
        <v>1</v>
      </c>
      <c r="E1467" s="7" t="s">
        <v>8345</v>
      </c>
      <c r="F1467" s="10" t="str">
        <f t="shared" si="88"/>
        <v>insert into ins_premium_det (premium_rcv_code,assorted_code, rec_amount,premium_rcv_detail_code,remaining_amt, payrec, mode_code,coinsurance_code,class_cd,it_remarks) values</v>
      </c>
      <c r="G1467" s="11" t="str">
        <f t="shared" si="90"/>
        <v>('28Nov240101','070000157218','1',(select max(to_number(i.premium_rcv_detail_code))+1
from ins_premium_det i),'1','1','02', '11000003','00','Request by Mr. Omair Ali 29-Nov-2024');</v>
      </c>
      <c r="H1467" s="12" t="str">
        <f t="shared" si="91"/>
        <v>insert into ins_premium_det (premium_rcv_code,assorted_code, rec_amount,premium_rcv_detail_code,remaining_amt, payrec, mode_code,coinsurance_code,class_cd,it_remarks) values('28Nov240101','070000157218','1',(select max(to_number(i.premium_rcv_detail_code))+1
from ins_premium_det i),'1','1','02', '11000003','00','Request by Mr. Omair Ali 29-Nov-2024');</v>
      </c>
    </row>
    <row r="1468" spans="1:8" ht="105" x14ac:dyDescent="0.25">
      <c r="A1468" t="s">
        <v>1468</v>
      </c>
      <c r="B1468" s="8" t="str">
        <f>VLOOKUP(A1468,assortedcode!B:C,2,0)</f>
        <v>070000166055</v>
      </c>
      <c r="C1468" s="1">
        <v>1</v>
      </c>
      <c r="D1468" s="9">
        <f t="shared" si="89"/>
        <v>1</v>
      </c>
      <c r="E1468" s="7" t="s">
        <v>8345</v>
      </c>
      <c r="F1468" s="10" t="str">
        <f t="shared" si="88"/>
        <v>insert into ins_premium_det (premium_rcv_code,assorted_code, rec_amount,premium_rcv_detail_code,remaining_amt, payrec, mode_code,coinsurance_code,class_cd,it_remarks) values</v>
      </c>
      <c r="G1468" s="11" t="str">
        <f t="shared" si="90"/>
        <v>('28Nov240101','070000166055','1',(select max(to_number(i.premium_rcv_detail_code))+1
from ins_premium_det i),'1','1','02', '11000003','00','Request by Mr. Omair Ali 29-Nov-2024');</v>
      </c>
      <c r="H1468" s="12" t="str">
        <f t="shared" si="91"/>
        <v>insert into ins_premium_det (premium_rcv_code,assorted_code, rec_amount,premium_rcv_detail_code,remaining_amt, payrec, mode_code,coinsurance_code,class_cd,it_remarks) values('28Nov240101','070000166055','1',(select max(to_number(i.premium_rcv_detail_code))+1
from ins_premium_det i),'1','1','02', '11000003','00','Request by Mr. Omair Ali 29-Nov-2024');</v>
      </c>
    </row>
    <row r="1469" spans="1:8" ht="105" x14ac:dyDescent="0.25">
      <c r="A1469" t="s">
        <v>1469</v>
      </c>
      <c r="B1469" s="8" t="str">
        <f>VLOOKUP(A1469,assortedcode!B:C,2,0)</f>
        <v>070000157255</v>
      </c>
      <c r="C1469" s="1">
        <v>1</v>
      </c>
      <c r="D1469" s="9">
        <f t="shared" si="89"/>
        <v>1</v>
      </c>
      <c r="E1469" s="7" t="s">
        <v>8345</v>
      </c>
      <c r="F1469" s="10" t="str">
        <f t="shared" si="88"/>
        <v>insert into ins_premium_det (premium_rcv_code,assorted_code, rec_amount,premium_rcv_detail_code,remaining_amt, payrec, mode_code,coinsurance_code,class_cd,it_remarks) values</v>
      </c>
      <c r="G1469" s="11" t="str">
        <f t="shared" si="90"/>
        <v>('28Nov240101','070000157255','1',(select max(to_number(i.premium_rcv_detail_code))+1
from ins_premium_det i),'1','1','02', '11000003','00','Request by Mr. Omair Ali 29-Nov-2024');</v>
      </c>
      <c r="H1469" s="12" t="str">
        <f t="shared" si="91"/>
        <v>insert into ins_premium_det (premium_rcv_code,assorted_code, rec_amount,premium_rcv_detail_code,remaining_amt, payrec, mode_code,coinsurance_code,class_cd,it_remarks) values('28Nov240101','070000157255','1',(select max(to_number(i.premium_rcv_detail_code))+1
from ins_premium_det i),'1','1','02', '11000003','00','Request by Mr. Omair Ali 29-Nov-2024');</v>
      </c>
    </row>
    <row r="1470" spans="1:8" ht="105" x14ac:dyDescent="0.25">
      <c r="A1470" t="s">
        <v>1470</v>
      </c>
      <c r="B1470" s="8" t="str">
        <f>VLOOKUP(A1470,assortedcode!B:C,2,0)</f>
        <v>070000157269</v>
      </c>
      <c r="C1470" s="1">
        <v>1</v>
      </c>
      <c r="D1470" s="9">
        <f t="shared" si="89"/>
        <v>1</v>
      </c>
      <c r="E1470" s="7" t="s">
        <v>8345</v>
      </c>
      <c r="F1470" s="10" t="str">
        <f t="shared" si="88"/>
        <v>insert into ins_premium_det (premium_rcv_code,assorted_code, rec_amount,premium_rcv_detail_code,remaining_amt, payrec, mode_code,coinsurance_code,class_cd,it_remarks) values</v>
      </c>
      <c r="G1470" s="11" t="str">
        <f t="shared" si="90"/>
        <v>('28Nov240101','070000157269','1',(select max(to_number(i.premium_rcv_detail_code))+1
from ins_premium_det i),'1','1','02', '11000003','00','Request by Mr. Omair Ali 29-Nov-2024');</v>
      </c>
      <c r="H1470" s="12" t="str">
        <f t="shared" si="91"/>
        <v>insert into ins_premium_det (premium_rcv_code,assorted_code, rec_amount,premium_rcv_detail_code,remaining_amt, payrec, mode_code,coinsurance_code,class_cd,it_remarks) values('28Nov240101','070000157269','1',(select max(to_number(i.premium_rcv_detail_code))+1
from ins_premium_det i),'1','1','02', '11000003','00','Request by Mr. Omair Ali 29-Nov-2024');</v>
      </c>
    </row>
    <row r="1471" spans="1:8" ht="105" x14ac:dyDescent="0.25">
      <c r="A1471" t="s">
        <v>1471</v>
      </c>
      <c r="B1471" s="8" t="str">
        <f>VLOOKUP(A1471,assortedcode!B:C,2,0)</f>
        <v>070000158259</v>
      </c>
      <c r="C1471" s="1">
        <v>1</v>
      </c>
      <c r="D1471" s="9">
        <f t="shared" si="89"/>
        <v>1</v>
      </c>
      <c r="E1471" s="7" t="s">
        <v>8345</v>
      </c>
      <c r="F1471" s="10" t="str">
        <f t="shared" si="88"/>
        <v>insert into ins_premium_det (premium_rcv_code,assorted_code, rec_amount,premium_rcv_detail_code,remaining_amt, payrec, mode_code,coinsurance_code,class_cd,it_remarks) values</v>
      </c>
      <c r="G1471" s="11" t="str">
        <f t="shared" si="90"/>
        <v>('28Nov240101','070000158259','1',(select max(to_number(i.premium_rcv_detail_code))+1
from ins_premium_det i),'1','1','02', '11000003','00','Request by Mr. Omair Ali 29-Nov-2024');</v>
      </c>
      <c r="H1471" s="12" t="str">
        <f t="shared" si="91"/>
        <v>insert into ins_premium_det (premium_rcv_code,assorted_code, rec_amount,premium_rcv_detail_code,remaining_amt, payrec, mode_code,coinsurance_code,class_cd,it_remarks) values('28Nov240101','070000158259','1',(select max(to_number(i.premium_rcv_detail_code))+1
from ins_premium_det i),'1','1','02', '11000003','00','Request by Mr. Omair Ali 29-Nov-2024');</v>
      </c>
    </row>
    <row r="1472" spans="1:8" ht="105" x14ac:dyDescent="0.25">
      <c r="A1472" t="s">
        <v>1472</v>
      </c>
      <c r="B1472" s="8" t="str">
        <f>VLOOKUP(A1472,assortedcode!B:C,2,0)</f>
        <v>070000157465</v>
      </c>
      <c r="C1472" s="1">
        <v>1</v>
      </c>
      <c r="D1472" s="9">
        <f t="shared" si="89"/>
        <v>1</v>
      </c>
      <c r="E1472" s="7" t="s">
        <v>8345</v>
      </c>
      <c r="F1472" s="10" t="str">
        <f t="shared" si="88"/>
        <v>insert into ins_premium_det (premium_rcv_code,assorted_code, rec_amount,premium_rcv_detail_code,remaining_amt, payrec, mode_code,coinsurance_code,class_cd,it_remarks) values</v>
      </c>
      <c r="G1472" s="11" t="str">
        <f t="shared" si="90"/>
        <v>('28Nov240101','070000157465','1',(select max(to_number(i.premium_rcv_detail_code))+1
from ins_premium_det i),'1','1','02', '11000003','00','Request by Mr. Omair Ali 29-Nov-2024');</v>
      </c>
      <c r="H1472" s="12" t="str">
        <f t="shared" si="91"/>
        <v>insert into ins_premium_det (premium_rcv_code,assorted_code, rec_amount,premium_rcv_detail_code,remaining_amt, payrec, mode_code,coinsurance_code,class_cd,it_remarks) values('28Nov240101','070000157465','1',(select max(to_number(i.premium_rcv_detail_code))+1
from ins_premium_det i),'1','1','02', '11000003','00','Request by Mr. Omair Ali 29-Nov-2024');</v>
      </c>
    </row>
    <row r="1473" spans="1:8" ht="105" x14ac:dyDescent="0.25">
      <c r="A1473" t="s">
        <v>1473</v>
      </c>
      <c r="B1473" s="8" t="str">
        <f>VLOOKUP(A1473,assortedcode!B:C,2,0)</f>
        <v>070000165827</v>
      </c>
      <c r="C1473" s="1">
        <v>1</v>
      </c>
      <c r="D1473" s="9">
        <f t="shared" si="89"/>
        <v>1</v>
      </c>
      <c r="E1473" s="7" t="s">
        <v>8345</v>
      </c>
      <c r="F1473" s="10" t="str">
        <f t="shared" si="88"/>
        <v>insert into ins_premium_det (premium_rcv_code,assorted_code, rec_amount,premium_rcv_detail_code,remaining_amt, payrec, mode_code,coinsurance_code,class_cd,it_remarks) values</v>
      </c>
      <c r="G1473" s="11" t="str">
        <f t="shared" si="90"/>
        <v>('28Nov240101','070000165827','1',(select max(to_number(i.premium_rcv_detail_code))+1
from ins_premium_det i),'1','1','02', '11000003','00','Request by Mr. Omair Ali 29-Nov-2024');</v>
      </c>
      <c r="H1473" s="12" t="str">
        <f t="shared" si="91"/>
        <v>insert into ins_premium_det (premium_rcv_code,assorted_code, rec_amount,premium_rcv_detail_code,remaining_amt, payrec, mode_code,coinsurance_code,class_cd,it_remarks) values('28Nov240101','070000165827','1',(select max(to_number(i.premium_rcv_detail_code))+1
from ins_premium_det i),'1','1','02', '11000003','00','Request by Mr. Omair Ali 29-Nov-2024');</v>
      </c>
    </row>
    <row r="1474" spans="1:8" ht="105" x14ac:dyDescent="0.25">
      <c r="A1474" t="s">
        <v>1474</v>
      </c>
      <c r="B1474" s="8" t="str">
        <f>VLOOKUP(A1474,assortedcode!B:C,2,0)</f>
        <v>070000157354</v>
      </c>
      <c r="C1474" s="1">
        <v>1</v>
      </c>
      <c r="D1474" s="9">
        <f t="shared" si="89"/>
        <v>1</v>
      </c>
      <c r="E1474" s="7" t="s">
        <v>8345</v>
      </c>
      <c r="F1474" s="10" t="str">
        <f t="shared" ref="F1474:F1537" si="92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1474" s="11" t="str">
        <f t="shared" si="90"/>
        <v>('28Nov240101','070000157354','1',(select max(to_number(i.premium_rcv_detail_code))+1
from ins_premium_det i),'1','1','02', '11000003','00','Request by Mr. Omair Ali 29-Nov-2024');</v>
      </c>
      <c r="H1474" s="12" t="str">
        <f t="shared" si="91"/>
        <v>insert into ins_premium_det (premium_rcv_code,assorted_code, rec_amount,premium_rcv_detail_code,remaining_amt, payrec, mode_code,coinsurance_code,class_cd,it_remarks) values('28Nov240101','070000157354','1',(select max(to_number(i.premium_rcv_detail_code))+1
from ins_premium_det i),'1','1','02', '11000003','00','Request by Mr. Omair Ali 29-Nov-2024');</v>
      </c>
    </row>
    <row r="1475" spans="1:8" ht="105" x14ac:dyDescent="0.25">
      <c r="A1475" t="s">
        <v>1475</v>
      </c>
      <c r="B1475" s="8" t="str">
        <f>VLOOKUP(A1475,assortedcode!B:C,2,0)</f>
        <v>070000157355</v>
      </c>
      <c r="C1475" s="1">
        <v>1</v>
      </c>
      <c r="D1475" s="9">
        <f t="shared" ref="D1475:D1538" si="93">ROUND(C1475,0)</f>
        <v>1</v>
      </c>
      <c r="E1475" s="7" t="s">
        <v>8345</v>
      </c>
      <c r="F1475" s="10" t="str">
        <f t="shared" si="92"/>
        <v>insert into ins_premium_det (premium_rcv_code,assorted_code, rec_amount,premium_rcv_detail_code,remaining_amt, payrec, mode_code,coinsurance_code,class_cd,it_remarks) values</v>
      </c>
      <c r="G1475" s="11" t="str">
        <f t="shared" ref="G1475:G1538" si="94">"('"&amp;E1475&amp;"','"&amp;B1475&amp;"','"&amp;ROUND(D1475,2)&amp;"',(select max(to_number(i.premium_rcv_detail_code))+1
from ins_premium_det i),'"&amp;D1475&amp;"','"&amp;D1475&amp;"','02', '11000003','00','Request by Mr. Omair Ali 29-Nov-2024');"</f>
        <v>('28Nov240101','070000157355','1',(select max(to_number(i.premium_rcv_detail_code))+1
from ins_premium_det i),'1','1','02', '11000003','00','Request by Mr. Omair Ali 29-Nov-2024');</v>
      </c>
      <c r="H1475" s="12" t="str">
        <f t="shared" ref="H1475:H1538" si="95">F1475&amp;G1475</f>
        <v>insert into ins_premium_det (premium_rcv_code,assorted_code, rec_amount,premium_rcv_detail_code,remaining_amt, payrec, mode_code,coinsurance_code,class_cd,it_remarks) values('28Nov240101','070000157355','1',(select max(to_number(i.premium_rcv_detail_code))+1
from ins_premium_det i),'1','1','02', '11000003','00','Request by Mr. Omair Ali 29-Nov-2024');</v>
      </c>
    </row>
    <row r="1476" spans="1:8" ht="105" x14ac:dyDescent="0.25">
      <c r="A1476" t="s">
        <v>1476</v>
      </c>
      <c r="B1476" s="8" t="str">
        <f>VLOOKUP(A1476,assortedcode!B:C,2,0)</f>
        <v>070000165851</v>
      </c>
      <c r="C1476" s="1">
        <v>1</v>
      </c>
      <c r="D1476" s="9">
        <f t="shared" si="93"/>
        <v>1</v>
      </c>
      <c r="E1476" s="7" t="s">
        <v>8345</v>
      </c>
      <c r="F1476" s="10" t="str">
        <f t="shared" si="92"/>
        <v>insert into ins_premium_det (premium_rcv_code,assorted_code, rec_amount,premium_rcv_detail_code,remaining_amt, payrec, mode_code,coinsurance_code,class_cd,it_remarks) values</v>
      </c>
      <c r="G1476" s="11" t="str">
        <f t="shared" si="94"/>
        <v>('28Nov240101','070000165851','1',(select max(to_number(i.premium_rcv_detail_code))+1
from ins_premium_det i),'1','1','02', '11000003','00','Request by Mr. Omair Ali 29-Nov-2024');</v>
      </c>
      <c r="H1476" s="12" t="str">
        <f t="shared" si="95"/>
        <v>insert into ins_premium_det (premium_rcv_code,assorted_code, rec_amount,premium_rcv_detail_code,remaining_amt, payrec, mode_code,coinsurance_code,class_cd,it_remarks) values('28Nov240101','070000165851','1',(select max(to_number(i.premium_rcv_detail_code))+1
from ins_premium_det i),'1','1','02', '11000003','00','Request by Mr. Omair Ali 29-Nov-2024');</v>
      </c>
    </row>
    <row r="1477" spans="1:8" ht="105" x14ac:dyDescent="0.25">
      <c r="A1477" t="s">
        <v>1477</v>
      </c>
      <c r="B1477" s="8" t="str">
        <f>VLOOKUP(A1477,assortedcode!B:C,2,0)</f>
        <v>070000158262</v>
      </c>
      <c r="C1477" s="1">
        <v>1</v>
      </c>
      <c r="D1477" s="9">
        <f t="shared" si="93"/>
        <v>1</v>
      </c>
      <c r="E1477" s="7" t="s">
        <v>8345</v>
      </c>
      <c r="F1477" s="10" t="str">
        <f t="shared" si="92"/>
        <v>insert into ins_premium_det (premium_rcv_code,assorted_code, rec_amount,premium_rcv_detail_code,remaining_amt, payrec, mode_code,coinsurance_code,class_cd,it_remarks) values</v>
      </c>
      <c r="G1477" s="11" t="str">
        <f t="shared" si="94"/>
        <v>('28Nov240101','070000158262','1',(select max(to_number(i.premium_rcv_detail_code))+1
from ins_premium_det i),'1','1','02', '11000003','00','Request by Mr. Omair Ali 29-Nov-2024');</v>
      </c>
      <c r="H1477" s="12" t="str">
        <f t="shared" si="95"/>
        <v>insert into ins_premium_det (premium_rcv_code,assorted_code, rec_amount,premium_rcv_detail_code,remaining_amt, payrec, mode_code,coinsurance_code,class_cd,it_remarks) values('28Nov240101','070000158262','1',(select max(to_number(i.premium_rcv_detail_code))+1
from ins_premium_det i),'1','1','02', '11000003','00','Request by Mr. Omair Ali 29-Nov-2024');</v>
      </c>
    </row>
    <row r="1478" spans="1:8" ht="105" x14ac:dyDescent="0.25">
      <c r="A1478" t="s">
        <v>1478</v>
      </c>
      <c r="B1478" s="8" t="str">
        <f>VLOOKUP(A1478,assortedcode!B:C,2,0)</f>
        <v>070000158263</v>
      </c>
      <c r="C1478" s="1">
        <v>1</v>
      </c>
      <c r="D1478" s="9">
        <f t="shared" si="93"/>
        <v>1</v>
      </c>
      <c r="E1478" s="7" t="s">
        <v>8345</v>
      </c>
      <c r="F1478" s="10" t="str">
        <f t="shared" si="92"/>
        <v>insert into ins_premium_det (premium_rcv_code,assorted_code, rec_amount,premium_rcv_detail_code,remaining_amt, payrec, mode_code,coinsurance_code,class_cd,it_remarks) values</v>
      </c>
      <c r="G1478" s="11" t="str">
        <f t="shared" si="94"/>
        <v>('28Nov240101','070000158263','1',(select max(to_number(i.premium_rcv_detail_code))+1
from ins_premium_det i),'1','1','02', '11000003','00','Request by Mr. Omair Ali 29-Nov-2024');</v>
      </c>
      <c r="H1478" s="12" t="str">
        <f t="shared" si="95"/>
        <v>insert into ins_premium_det (premium_rcv_code,assorted_code, rec_amount,premium_rcv_detail_code,remaining_amt, payrec, mode_code,coinsurance_code,class_cd,it_remarks) values('28Nov240101','070000158263','1',(select max(to_number(i.premium_rcv_detail_code))+1
from ins_premium_det i),'1','1','02', '11000003','00','Request by Mr. Omair Ali 29-Nov-2024');</v>
      </c>
    </row>
    <row r="1479" spans="1:8" ht="105" x14ac:dyDescent="0.25">
      <c r="A1479" t="s">
        <v>1479</v>
      </c>
      <c r="B1479" s="8" t="str">
        <f>VLOOKUP(A1479,assortedcode!B:C,2,0)</f>
        <v>070000161947</v>
      </c>
      <c r="C1479" s="1">
        <v>1</v>
      </c>
      <c r="D1479" s="9">
        <f t="shared" si="93"/>
        <v>1</v>
      </c>
      <c r="E1479" s="7" t="s">
        <v>8345</v>
      </c>
      <c r="F1479" s="10" t="str">
        <f t="shared" si="92"/>
        <v>insert into ins_premium_det (premium_rcv_code,assorted_code, rec_amount,premium_rcv_detail_code,remaining_amt, payrec, mode_code,coinsurance_code,class_cd,it_remarks) values</v>
      </c>
      <c r="G1479" s="11" t="str">
        <f t="shared" si="94"/>
        <v>('28Nov240101','070000161947','1',(select max(to_number(i.premium_rcv_detail_code))+1
from ins_premium_det i),'1','1','02', '11000003','00','Request by Mr. Omair Ali 29-Nov-2024');</v>
      </c>
      <c r="H1479" s="12" t="str">
        <f t="shared" si="95"/>
        <v>insert into ins_premium_det (premium_rcv_code,assorted_code, rec_amount,premium_rcv_detail_code,remaining_amt, payrec, mode_code,coinsurance_code,class_cd,it_remarks) values('28Nov240101','070000161947','1',(select max(to_number(i.premium_rcv_detail_code))+1
from ins_premium_det i),'1','1','02', '11000003','00','Request by Mr. Omair Ali 29-Nov-2024');</v>
      </c>
    </row>
    <row r="1480" spans="1:8" ht="105" x14ac:dyDescent="0.25">
      <c r="A1480" t="s">
        <v>1480</v>
      </c>
      <c r="B1480" s="8" t="str">
        <f>VLOOKUP(A1480,assortedcode!B:C,2,0)</f>
        <v>070000158715</v>
      </c>
      <c r="C1480" s="1">
        <v>1</v>
      </c>
      <c r="D1480" s="9">
        <f t="shared" si="93"/>
        <v>1</v>
      </c>
      <c r="E1480" s="7" t="s">
        <v>8345</v>
      </c>
      <c r="F1480" s="10" t="str">
        <f t="shared" si="92"/>
        <v>insert into ins_premium_det (premium_rcv_code,assorted_code, rec_amount,premium_rcv_detail_code,remaining_amt, payrec, mode_code,coinsurance_code,class_cd,it_remarks) values</v>
      </c>
      <c r="G1480" s="11" t="str">
        <f t="shared" si="94"/>
        <v>('28Nov240101','070000158715','1',(select max(to_number(i.premium_rcv_detail_code))+1
from ins_premium_det i),'1','1','02', '11000003','00','Request by Mr. Omair Ali 29-Nov-2024');</v>
      </c>
      <c r="H1480" s="12" t="str">
        <f t="shared" si="95"/>
        <v>insert into ins_premium_det (premium_rcv_code,assorted_code, rec_amount,premium_rcv_detail_code,remaining_amt, payrec, mode_code,coinsurance_code,class_cd,it_remarks) values('28Nov240101','070000158715','1',(select max(to_number(i.premium_rcv_detail_code))+1
from ins_premium_det i),'1','1','02', '11000003','00','Request by Mr. Omair Ali 29-Nov-2024');</v>
      </c>
    </row>
    <row r="1481" spans="1:8" ht="105" x14ac:dyDescent="0.25">
      <c r="A1481" t="s">
        <v>1481</v>
      </c>
      <c r="B1481" s="8" t="str">
        <f>VLOOKUP(A1481,assortedcode!B:C,2,0)</f>
        <v>040000182192</v>
      </c>
      <c r="C1481" s="1">
        <v>1</v>
      </c>
      <c r="D1481" s="9">
        <f t="shared" si="93"/>
        <v>1</v>
      </c>
      <c r="E1481" s="7" t="s">
        <v>8345</v>
      </c>
      <c r="F1481" s="10" t="str">
        <f t="shared" si="92"/>
        <v>insert into ins_premium_det (premium_rcv_code,assorted_code, rec_amount,premium_rcv_detail_code,remaining_amt, payrec, mode_code,coinsurance_code,class_cd,it_remarks) values</v>
      </c>
      <c r="G1481" s="11" t="str">
        <f t="shared" si="94"/>
        <v>('28Nov240101','040000182192','1',(select max(to_number(i.premium_rcv_detail_code))+1
from ins_premium_det i),'1','1','02', '11000003','00','Request by Mr. Omair Ali 29-Nov-2024');</v>
      </c>
      <c r="H1481" s="12" t="str">
        <f t="shared" si="95"/>
        <v>insert into ins_premium_det (premium_rcv_code,assorted_code, rec_amount,premium_rcv_detail_code,remaining_amt, payrec, mode_code,coinsurance_code,class_cd,it_remarks) values('28Nov240101','040000182192','1',(select max(to_number(i.premium_rcv_detail_code))+1
from ins_premium_det i),'1','1','02', '11000003','00','Request by Mr. Omair Ali 29-Nov-2024');</v>
      </c>
    </row>
    <row r="1482" spans="1:8" ht="105" x14ac:dyDescent="0.25">
      <c r="A1482" t="s">
        <v>1482</v>
      </c>
      <c r="B1482" s="8" t="str">
        <f>VLOOKUP(A1482,assortedcode!B:C,2,0)</f>
        <v>070000158717</v>
      </c>
      <c r="C1482" s="1">
        <v>1</v>
      </c>
      <c r="D1482" s="9">
        <f t="shared" si="93"/>
        <v>1</v>
      </c>
      <c r="E1482" s="7" t="s">
        <v>8345</v>
      </c>
      <c r="F1482" s="10" t="str">
        <f t="shared" si="92"/>
        <v>insert into ins_premium_det (premium_rcv_code,assorted_code, rec_amount,premium_rcv_detail_code,remaining_amt, payrec, mode_code,coinsurance_code,class_cd,it_remarks) values</v>
      </c>
      <c r="G1482" s="11" t="str">
        <f t="shared" si="94"/>
        <v>('28Nov240101','070000158717','1',(select max(to_number(i.premium_rcv_detail_code))+1
from ins_premium_det i),'1','1','02', '11000003','00','Request by Mr. Omair Ali 29-Nov-2024');</v>
      </c>
      <c r="H1482" s="12" t="str">
        <f t="shared" si="95"/>
        <v>insert into ins_premium_det (premium_rcv_code,assorted_code, rec_amount,premium_rcv_detail_code,remaining_amt, payrec, mode_code,coinsurance_code,class_cd,it_remarks) values('28Nov240101','070000158717','1',(select max(to_number(i.premium_rcv_detail_code))+1
from ins_premium_det i),'1','1','02', '11000003','00','Request by Mr. Omair Ali 29-Nov-2024');</v>
      </c>
    </row>
    <row r="1483" spans="1:8" ht="105" x14ac:dyDescent="0.25">
      <c r="A1483" t="s">
        <v>1483</v>
      </c>
      <c r="B1483" s="8" t="str">
        <f>VLOOKUP(A1483,assortedcode!B:C,2,0)</f>
        <v>070000158306</v>
      </c>
      <c r="C1483" s="1">
        <v>1</v>
      </c>
      <c r="D1483" s="9">
        <f t="shared" si="93"/>
        <v>1</v>
      </c>
      <c r="E1483" s="7" t="s">
        <v>8345</v>
      </c>
      <c r="F1483" s="10" t="str">
        <f t="shared" si="92"/>
        <v>insert into ins_premium_det (premium_rcv_code,assorted_code, rec_amount,premium_rcv_detail_code,remaining_amt, payrec, mode_code,coinsurance_code,class_cd,it_remarks) values</v>
      </c>
      <c r="G1483" s="11" t="str">
        <f t="shared" si="94"/>
        <v>('28Nov240101','070000158306','1',(select max(to_number(i.premium_rcv_detail_code))+1
from ins_premium_det i),'1','1','02', '11000003','00','Request by Mr. Omair Ali 29-Nov-2024');</v>
      </c>
      <c r="H1483" s="12" t="str">
        <f t="shared" si="95"/>
        <v>insert into ins_premium_det (premium_rcv_code,assorted_code, rec_amount,premium_rcv_detail_code,remaining_amt, payrec, mode_code,coinsurance_code,class_cd,it_remarks) values('28Nov240101','070000158306','1',(select max(to_number(i.premium_rcv_detail_code))+1
from ins_premium_det i),'1','1','02', '11000003','00','Request by Mr. Omair Ali 29-Nov-2024');</v>
      </c>
    </row>
    <row r="1484" spans="1:8" ht="105" x14ac:dyDescent="0.25">
      <c r="A1484" t="s">
        <v>1484</v>
      </c>
      <c r="B1484" s="8" t="str">
        <f>VLOOKUP(A1484,assortedcode!B:C,2,0)</f>
        <v>070000158047</v>
      </c>
      <c r="C1484" s="1">
        <v>1</v>
      </c>
      <c r="D1484" s="9">
        <f t="shared" si="93"/>
        <v>1</v>
      </c>
      <c r="E1484" s="7" t="s">
        <v>8345</v>
      </c>
      <c r="F1484" s="10" t="str">
        <f t="shared" si="92"/>
        <v>insert into ins_premium_det (premium_rcv_code,assorted_code, rec_amount,premium_rcv_detail_code,remaining_amt, payrec, mode_code,coinsurance_code,class_cd,it_remarks) values</v>
      </c>
      <c r="G1484" s="11" t="str">
        <f t="shared" si="94"/>
        <v>('28Nov240101','070000158047','1',(select max(to_number(i.premium_rcv_detail_code))+1
from ins_premium_det i),'1','1','02', '11000003','00','Request by Mr. Omair Ali 29-Nov-2024');</v>
      </c>
      <c r="H1484" s="12" t="str">
        <f t="shared" si="95"/>
        <v>insert into ins_premium_det (premium_rcv_code,assorted_code, rec_amount,premium_rcv_detail_code,remaining_amt, payrec, mode_code,coinsurance_code,class_cd,it_remarks) values('28Nov240101','070000158047','1',(select max(to_number(i.premium_rcv_detail_code))+1
from ins_premium_det i),'1','1','02', '11000003','00','Request by Mr. Omair Ali 29-Nov-2024');</v>
      </c>
    </row>
    <row r="1485" spans="1:8" ht="105" x14ac:dyDescent="0.25">
      <c r="A1485" t="s">
        <v>1485</v>
      </c>
      <c r="B1485" s="8" t="str">
        <f>VLOOKUP(A1485,assortedcode!B:C,2,0)</f>
        <v>070000157368</v>
      </c>
      <c r="C1485" s="1">
        <v>1</v>
      </c>
      <c r="D1485" s="9">
        <f t="shared" si="93"/>
        <v>1</v>
      </c>
      <c r="E1485" s="7" t="s">
        <v>8345</v>
      </c>
      <c r="F1485" s="10" t="str">
        <f t="shared" si="92"/>
        <v>insert into ins_premium_det (premium_rcv_code,assorted_code, rec_amount,premium_rcv_detail_code,remaining_amt, payrec, mode_code,coinsurance_code,class_cd,it_remarks) values</v>
      </c>
      <c r="G1485" s="11" t="str">
        <f t="shared" si="94"/>
        <v>('28Nov240101','070000157368','1',(select max(to_number(i.premium_rcv_detail_code))+1
from ins_premium_det i),'1','1','02', '11000003','00','Request by Mr. Omair Ali 29-Nov-2024');</v>
      </c>
      <c r="H1485" s="12" t="str">
        <f t="shared" si="95"/>
        <v>insert into ins_premium_det (premium_rcv_code,assorted_code, rec_amount,premium_rcv_detail_code,remaining_amt, payrec, mode_code,coinsurance_code,class_cd,it_remarks) values('28Nov240101','070000157368','1',(select max(to_number(i.premium_rcv_detail_code))+1
from ins_premium_det i),'1','1','02', '11000003','00','Request by Mr. Omair Ali 29-Nov-2024');</v>
      </c>
    </row>
    <row r="1486" spans="1:8" ht="105" x14ac:dyDescent="0.25">
      <c r="A1486" t="s">
        <v>1486</v>
      </c>
      <c r="B1486" s="8" t="str">
        <f>VLOOKUP(A1486,assortedcode!B:C,2,0)</f>
        <v>070000159618</v>
      </c>
      <c r="C1486" s="1">
        <v>1</v>
      </c>
      <c r="D1486" s="9">
        <f t="shared" si="93"/>
        <v>1</v>
      </c>
      <c r="E1486" s="7" t="s">
        <v>8345</v>
      </c>
      <c r="F1486" s="10" t="str">
        <f t="shared" si="92"/>
        <v>insert into ins_premium_det (premium_rcv_code,assorted_code, rec_amount,premium_rcv_detail_code,remaining_amt, payrec, mode_code,coinsurance_code,class_cd,it_remarks) values</v>
      </c>
      <c r="G1486" s="11" t="str">
        <f t="shared" si="94"/>
        <v>('28Nov240101','070000159618','1',(select max(to_number(i.premium_rcv_detail_code))+1
from ins_premium_det i),'1','1','02', '11000003','00','Request by Mr. Omair Ali 29-Nov-2024');</v>
      </c>
      <c r="H1486" s="12" t="str">
        <f t="shared" si="95"/>
        <v>insert into ins_premium_det (premium_rcv_code,assorted_code, rec_amount,premium_rcv_detail_code,remaining_amt, payrec, mode_code,coinsurance_code,class_cd,it_remarks) values('28Nov240101','070000159618','1',(select max(to_number(i.premium_rcv_detail_code))+1
from ins_premium_det i),'1','1','02', '11000003','00','Request by Mr. Omair Ali 29-Nov-2024');</v>
      </c>
    </row>
    <row r="1487" spans="1:8" ht="105" x14ac:dyDescent="0.25">
      <c r="A1487" t="s">
        <v>1487</v>
      </c>
      <c r="B1487" s="8" t="str">
        <f>VLOOKUP(A1487,assortedcode!B:C,2,0)</f>
        <v>070000158055</v>
      </c>
      <c r="C1487" s="1">
        <v>1</v>
      </c>
      <c r="D1487" s="9">
        <f t="shared" si="93"/>
        <v>1</v>
      </c>
      <c r="E1487" s="7" t="s">
        <v>8345</v>
      </c>
      <c r="F1487" s="10" t="str">
        <f t="shared" si="92"/>
        <v>insert into ins_premium_det (premium_rcv_code,assorted_code, rec_amount,premium_rcv_detail_code,remaining_amt, payrec, mode_code,coinsurance_code,class_cd,it_remarks) values</v>
      </c>
      <c r="G1487" s="11" t="str">
        <f t="shared" si="94"/>
        <v>('28Nov240101','070000158055','1',(select max(to_number(i.premium_rcv_detail_code))+1
from ins_premium_det i),'1','1','02', '11000003','00','Request by Mr. Omair Ali 29-Nov-2024');</v>
      </c>
      <c r="H1487" s="12" t="str">
        <f t="shared" si="95"/>
        <v>insert into ins_premium_det (premium_rcv_code,assorted_code, rec_amount,premium_rcv_detail_code,remaining_amt, payrec, mode_code,coinsurance_code,class_cd,it_remarks) values('28Nov240101','070000158055','1',(select max(to_number(i.premium_rcv_detail_code))+1
from ins_premium_det i),'1','1','02', '11000003','00','Request by Mr. Omair Ali 29-Nov-2024');</v>
      </c>
    </row>
    <row r="1488" spans="1:8" ht="105" x14ac:dyDescent="0.25">
      <c r="A1488" t="s">
        <v>1488</v>
      </c>
      <c r="B1488" s="8" t="str">
        <f>VLOOKUP(A1488,assortedcode!B:C,2,0)</f>
        <v>070000158060</v>
      </c>
      <c r="C1488" s="1">
        <v>1</v>
      </c>
      <c r="D1488" s="9">
        <f t="shared" si="93"/>
        <v>1</v>
      </c>
      <c r="E1488" s="7" t="s">
        <v>8345</v>
      </c>
      <c r="F1488" s="10" t="str">
        <f t="shared" si="92"/>
        <v>insert into ins_premium_det (premium_rcv_code,assorted_code, rec_amount,premium_rcv_detail_code,remaining_amt, payrec, mode_code,coinsurance_code,class_cd,it_remarks) values</v>
      </c>
      <c r="G1488" s="11" t="str">
        <f t="shared" si="94"/>
        <v>('28Nov240101','070000158060','1',(select max(to_number(i.premium_rcv_detail_code))+1
from ins_premium_det i),'1','1','02', '11000003','00','Request by Mr. Omair Ali 29-Nov-2024');</v>
      </c>
      <c r="H1488" s="12" t="str">
        <f t="shared" si="95"/>
        <v>insert into ins_premium_det (premium_rcv_code,assorted_code, rec_amount,premium_rcv_detail_code,remaining_amt, payrec, mode_code,coinsurance_code,class_cd,it_remarks) values('28Nov240101','070000158060','1',(select max(to_number(i.premium_rcv_detail_code))+1
from ins_premium_det i),'1','1','02', '11000003','00','Request by Mr. Omair Ali 29-Nov-2024');</v>
      </c>
    </row>
    <row r="1489" spans="1:8" ht="105" x14ac:dyDescent="0.25">
      <c r="A1489" t="s">
        <v>1489</v>
      </c>
      <c r="B1489" s="8" t="str">
        <f>VLOOKUP(A1489,assortedcode!B:C,2,0)</f>
        <v>070000158204</v>
      </c>
      <c r="C1489" s="1">
        <v>1</v>
      </c>
      <c r="D1489" s="9">
        <f t="shared" si="93"/>
        <v>1</v>
      </c>
      <c r="E1489" s="7" t="s">
        <v>8345</v>
      </c>
      <c r="F1489" s="10" t="str">
        <f t="shared" si="92"/>
        <v>insert into ins_premium_det (premium_rcv_code,assorted_code, rec_amount,premium_rcv_detail_code,remaining_amt, payrec, mode_code,coinsurance_code,class_cd,it_remarks) values</v>
      </c>
      <c r="G1489" s="11" t="str">
        <f t="shared" si="94"/>
        <v>('28Nov240101','070000158204','1',(select max(to_number(i.premium_rcv_detail_code))+1
from ins_premium_det i),'1','1','02', '11000003','00','Request by Mr. Omair Ali 29-Nov-2024');</v>
      </c>
      <c r="H1489" s="12" t="str">
        <f t="shared" si="95"/>
        <v>insert into ins_premium_det (premium_rcv_code,assorted_code, rec_amount,premium_rcv_detail_code,remaining_amt, payrec, mode_code,coinsurance_code,class_cd,it_remarks) values('28Nov240101','070000158204','1',(select max(to_number(i.premium_rcv_detail_code))+1
from ins_premium_det i),'1','1','02', '11000003','00','Request by Mr. Omair Ali 29-Nov-2024');</v>
      </c>
    </row>
    <row r="1490" spans="1:8" ht="105" x14ac:dyDescent="0.25">
      <c r="A1490" t="s">
        <v>1490</v>
      </c>
      <c r="B1490" s="8" t="str">
        <f>VLOOKUP(A1490,assortedcode!B:C,2,0)</f>
        <v>070000158221</v>
      </c>
      <c r="C1490" s="1">
        <v>1</v>
      </c>
      <c r="D1490" s="9">
        <f t="shared" si="93"/>
        <v>1</v>
      </c>
      <c r="E1490" s="7" t="s">
        <v>8345</v>
      </c>
      <c r="F1490" s="10" t="str">
        <f t="shared" si="92"/>
        <v>insert into ins_premium_det (premium_rcv_code,assorted_code, rec_amount,premium_rcv_detail_code,remaining_amt, payrec, mode_code,coinsurance_code,class_cd,it_remarks) values</v>
      </c>
      <c r="G1490" s="11" t="str">
        <f t="shared" si="94"/>
        <v>('28Nov240101','070000158221','1',(select max(to_number(i.premium_rcv_detail_code))+1
from ins_premium_det i),'1','1','02', '11000003','00','Request by Mr. Omair Ali 29-Nov-2024');</v>
      </c>
      <c r="H1490" s="12" t="str">
        <f t="shared" si="95"/>
        <v>insert into ins_premium_det (premium_rcv_code,assorted_code, rec_amount,premium_rcv_detail_code,remaining_amt, payrec, mode_code,coinsurance_code,class_cd,it_remarks) values('28Nov240101','070000158221','1',(select max(to_number(i.premium_rcv_detail_code))+1
from ins_premium_det i),'1','1','02', '11000003','00','Request by Mr. Omair Ali 29-Nov-2024');</v>
      </c>
    </row>
    <row r="1491" spans="1:8" ht="105" x14ac:dyDescent="0.25">
      <c r="A1491" t="s">
        <v>1491</v>
      </c>
      <c r="B1491" s="8" t="str">
        <f>VLOOKUP(A1491,assortedcode!B:C,2,0)</f>
        <v>070000158012</v>
      </c>
      <c r="C1491" s="1">
        <v>1</v>
      </c>
      <c r="D1491" s="9">
        <f t="shared" si="93"/>
        <v>1</v>
      </c>
      <c r="E1491" s="7" t="s">
        <v>8345</v>
      </c>
      <c r="F1491" s="10" t="str">
        <f t="shared" si="92"/>
        <v>insert into ins_premium_det (premium_rcv_code,assorted_code, rec_amount,premium_rcv_detail_code,remaining_amt, payrec, mode_code,coinsurance_code,class_cd,it_remarks) values</v>
      </c>
      <c r="G1491" s="11" t="str">
        <f t="shared" si="94"/>
        <v>('28Nov240101','070000158012','1',(select max(to_number(i.premium_rcv_detail_code))+1
from ins_premium_det i),'1','1','02', '11000003','00','Request by Mr. Omair Ali 29-Nov-2024');</v>
      </c>
      <c r="H1491" s="12" t="str">
        <f t="shared" si="95"/>
        <v>insert into ins_premium_det (premium_rcv_code,assorted_code, rec_amount,premium_rcv_detail_code,remaining_amt, payrec, mode_code,coinsurance_code,class_cd,it_remarks) values('28Nov240101','070000158012','1',(select max(to_number(i.premium_rcv_detail_code))+1
from ins_premium_det i),'1','1','02', '11000003','00','Request by Mr. Omair Ali 29-Nov-2024');</v>
      </c>
    </row>
    <row r="1492" spans="1:8" ht="105" x14ac:dyDescent="0.25">
      <c r="A1492" t="s">
        <v>1492</v>
      </c>
      <c r="B1492" s="8" t="str">
        <f>VLOOKUP(A1492,assortedcode!B:C,2,0)</f>
        <v>070000161188</v>
      </c>
      <c r="C1492" s="1">
        <v>1</v>
      </c>
      <c r="D1492" s="9">
        <f t="shared" si="93"/>
        <v>1</v>
      </c>
      <c r="E1492" s="7" t="s">
        <v>8345</v>
      </c>
      <c r="F1492" s="10" t="str">
        <f t="shared" si="92"/>
        <v>insert into ins_premium_det (premium_rcv_code,assorted_code, rec_amount,premium_rcv_detail_code,remaining_amt, payrec, mode_code,coinsurance_code,class_cd,it_remarks) values</v>
      </c>
      <c r="G1492" s="11" t="str">
        <f t="shared" si="94"/>
        <v>('28Nov240101','070000161188','1',(select max(to_number(i.premium_rcv_detail_code))+1
from ins_premium_det i),'1','1','02', '11000003','00','Request by Mr. Omair Ali 29-Nov-2024');</v>
      </c>
      <c r="H1492" s="12" t="str">
        <f t="shared" si="95"/>
        <v>insert into ins_premium_det (premium_rcv_code,assorted_code, rec_amount,premium_rcv_detail_code,remaining_amt, payrec, mode_code,coinsurance_code,class_cd,it_remarks) values('28Nov240101','070000161188','1',(select max(to_number(i.premium_rcv_detail_code))+1
from ins_premium_det i),'1','1','02', '11000003','00','Request by Mr. Omair Ali 29-Nov-2024');</v>
      </c>
    </row>
    <row r="1493" spans="1:8" ht="105" x14ac:dyDescent="0.25">
      <c r="A1493" t="s">
        <v>1493</v>
      </c>
      <c r="B1493" s="8" t="str">
        <f>VLOOKUP(A1493,assortedcode!B:C,2,0)</f>
        <v>070000164157</v>
      </c>
      <c r="C1493" s="1">
        <v>1</v>
      </c>
      <c r="D1493" s="9">
        <f t="shared" si="93"/>
        <v>1</v>
      </c>
      <c r="E1493" s="7" t="s">
        <v>8345</v>
      </c>
      <c r="F1493" s="10" t="str">
        <f t="shared" si="92"/>
        <v>insert into ins_premium_det (premium_rcv_code,assorted_code, rec_amount,premium_rcv_detail_code,remaining_amt, payrec, mode_code,coinsurance_code,class_cd,it_remarks) values</v>
      </c>
      <c r="G1493" s="11" t="str">
        <f t="shared" si="94"/>
        <v>('28Nov240101','070000164157','1',(select max(to_number(i.premium_rcv_detail_code))+1
from ins_premium_det i),'1','1','02', '11000003','00','Request by Mr. Omair Ali 29-Nov-2024');</v>
      </c>
      <c r="H1493" s="12" t="str">
        <f t="shared" si="95"/>
        <v>insert into ins_premium_det (premium_rcv_code,assorted_code, rec_amount,premium_rcv_detail_code,remaining_amt, payrec, mode_code,coinsurance_code,class_cd,it_remarks) values('28Nov240101','070000164157','1',(select max(to_number(i.premium_rcv_detail_code))+1
from ins_premium_det i),'1','1','02', '11000003','00','Request by Mr. Omair Ali 29-Nov-2024');</v>
      </c>
    </row>
    <row r="1494" spans="1:8" ht="105" x14ac:dyDescent="0.25">
      <c r="A1494" t="s">
        <v>1494</v>
      </c>
      <c r="B1494" s="8" t="str">
        <f>VLOOKUP(A1494,assortedcode!B:C,2,0)</f>
        <v>070000158229</v>
      </c>
      <c r="C1494" s="1">
        <v>1</v>
      </c>
      <c r="D1494" s="9">
        <f t="shared" si="93"/>
        <v>1</v>
      </c>
      <c r="E1494" s="7" t="s">
        <v>8345</v>
      </c>
      <c r="F1494" s="10" t="str">
        <f t="shared" si="92"/>
        <v>insert into ins_premium_det (premium_rcv_code,assorted_code, rec_amount,premium_rcv_detail_code,remaining_amt, payrec, mode_code,coinsurance_code,class_cd,it_remarks) values</v>
      </c>
      <c r="G1494" s="11" t="str">
        <f t="shared" si="94"/>
        <v>('28Nov240101','070000158229','1',(select max(to_number(i.premium_rcv_detail_code))+1
from ins_premium_det i),'1','1','02', '11000003','00','Request by Mr. Omair Ali 29-Nov-2024');</v>
      </c>
      <c r="H1494" s="12" t="str">
        <f t="shared" si="95"/>
        <v>insert into ins_premium_det (premium_rcv_code,assorted_code, rec_amount,premium_rcv_detail_code,remaining_amt, payrec, mode_code,coinsurance_code,class_cd,it_remarks) values('28Nov240101','070000158229','1',(select max(to_number(i.premium_rcv_detail_code))+1
from ins_premium_det i),'1','1','02', '11000003','00','Request by Mr. Omair Ali 29-Nov-2024');</v>
      </c>
    </row>
    <row r="1495" spans="1:8" ht="105" x14ac:dyDescent="0.25">
      <c r="A1495" t="s">
        <v>1495</v>
      </c>
      <c r="B1495" s="8" t="str">
        <f>VLOOKUP(A1495,assortedcode!B:C,2,0)</f>
        <v>070000158678</v>
      </c>
      <c r="C1495" s="1">
        <v>1</v>
      </c>
      <c r="D1495" s="9">
        <f t="shared" si="93"/>
        <v>1</v>
      </c>
      <c r="E1495" s="7" t="s">
        <v>8345</v>
      </c>
      <c r="F1495" s="10" t="str">
        <f t="shared" si="92"/>
        <v>insert into ins_premium_det (premium_rcv_code,assorted_code, rec_amount,premium_rcv_detail_code,remaining_amt, payrec, mode_code,coinsurance_code,class_cd,it_remarks) values</v>
      </c>
      <c r="G1495" s="11" t="str">
        <f t="shared" si="94"/>
        <v>('28Nov240101','070000158678','1',(select max(to_number(i.premium_rcv_detail_code))+1
from ins_premium_det i),'1','1','02', '11000003','00','Request by Mr. Omair Ali 29-Nov-2024');</v>
      </c>
      <c r="H1495" s="12" t="str">
        <f t="shared" si="95"/>
        <v>insert into ins_premium_det (premium_rcv_code,assorted_code, rec_amount,premium_rcv_detail_code,remaining_amt, payrec, mode_code,coinsurance_code,class_cd,it_remarks) values('28Nov240101','070000158678','1',(select max(to_number(i.premium_rcv_detail_code))+1
from ins_premium_det i),'1','1','02', '11000003','00','Request by Mr. Omair Ali 29-Nov-2024');</v>
      </c>
    </row>
    <row r="1496" spans="1:8" ht="105" x14ac:dyDescent="0.25">
      <c r="A1496" t="s">
        <v>1496</v>
      </c>
      <c r="B1496" s="8" t="str">
        <f>VLOOKUP(A1496,assortedcode!B:C,2,0)</f>
        <v>070000161017</v>
      </c>
      <c r="C1496" s="1">
        <v>1</v>
      </c>
      <c r="D1496" s="9">
        <f t="shared" si="93"/>
        <v>1</v>
      </c>
      <c r="E1496" s="7" t="s">
        <v>8345</v>
      </c>
      <c r="F1496" s="10" t="str">
        <f t="shared" si="92"/>
        <v>insert into ins_premium_det (premium_rcv_code,assorted_code, rec_amount,premium_rcv_detail_code,remaining_amt, payrec, mode_code,coinsurance_code,class_cd,it_remarks) values</v>
      </c>
      <c r="G1496" s="11" t="str">
        <f t="shared" si="94"/>
        <v>('28Nov240101','070000161017','1',(select max(to_number(i.premium_rcv_detail_code))+1
from ins_premium_det i),'1','1','02', '11000003','00','Request by Mr. Omair Ali 29-Nov-2024');</v>
      </c>
      <c r="H1496" s="12" t="str">
        <f t="shared" si="95"/>
        <v>insert into ins_premium_det (premium_rcv_code,assorted_code, rec_amount,premium_rcv_detail_code,remaining_amt, payrec, mode_code,coinsurance_code,class_cd,it_remarks) values('28Nov240101','070000161017','1',(select max(to_number(i.premium_rcv_detail_code))+1
from ins_premium_det i),'1','1','02', '11000003','00','Request by Mr. Omair Ali 29-Nov-2024');</v>
      </c>
    </row>
    <row r="1497" spans="1:8" ht="105" x14ac:dyDescent="0.25">
      <c r="A1497" t="s">
        <v>1497</v>
      </c>
      <c r="B1497" s="8" t="str">
        <f>VLOOKUP(A1497,assortedcode!B:C,2,0)</f>
        <v>070000158686</v>
      </c>
      <c r="C1497" s="1">
        <v>1</v>
      </c>
      <c r="D1497" s="9">
        <f t="shared" si="93"/>
        <v>1</v>
      </c>
      <c r="E1497" s="7" t="s">
        <v>8345</v>
      </c>
      <c r="F1497" s="10" t="str">
        <f t="shared" si="92"/>
        <v>insert into ins_premium_det (premium_rcv_code,assorted_code, rec_amount,premium_rcv_detail_code,remaining_amt, payrec, mode_code,coinsurance_code,class_cd,it_remarks) values</v>
      </c>
      <c r="G1497" s="11" t="str">
        <f t="shared" si="94"/>
        <v>('28Nov240101','070000158686','1',(select max(to_number(i.premium_rcv_detail_code))+1
from ins_premium_det i),'1','1','02', '11000003','00','Request by Mr. Omair Ali 29-Nov-2024');</v>
      </c>
      <c r="H1497" s="12" t="str">
        <f t="shared" si="95"/>
        <v>insert into ins_premium_det (premium_rcv_code,assorted_code, rec_amount,premium_rcv_detail_code,remaining_amt, payrec, mode_code,coinsurance_code,class_cd,it_remarks) values('28Nov240101','070000158686','1',(select max(to_number(i.premium_rcv_detail_code))+1
from ins_premium_det i),'1','1','02', '11000003','00','Request by Mr. Omair Ali 29-Nov-2024');</v>
      </c>
    </row>
    <row r="1498" spans="1:8" ht="105" x14ac:dyDescent="0.25">
      <c r="A1498" t="s">
        <v>1498</v>
      </c>
      <c r="B1498" s="8" t="str">
        <f>VLOOKUP(A1498,assortedcode!B:C,2,0)</f>
        <v>070000161021</v>
      </c>
      <c r="C1498" s="1">
        <v>1</v>
      </c>
      <c r="D1498" s="9">
        <f t="shared" si="93"/>
        <v>1</v>
      </c>
      <c r="E1498" s="7" t="s">
        <v>8345</v>
      </c>
      <c r="F1498" s="10" t="str">
        <f t="shared" si="92"/>
        <v>insert into ins_premium_det (premium_rcv_code,assorted_code, rec_amount,premium_rcv_detail_code,remaining_amt, payrec, mode_code,coinsurance_code,class_cd,it_remarks) values</v>
      </c>
      <c r="G1498" s="11" t="str">
        <f t="shared" si="94"/>
        <v>('28Nov240101','070000161021','1',(select max(to_number(i.premium_rcv_detail_code))+1
from ins_premium_det i),'1','1','02', '11000003','00','Request by Mr. Omair Ali 29-Nov-2024');</v>
      </c>
      <c r="H1498" s="12" t="str">
        <f t="shared" si="95"/>
        <v>insert into ins_premium_det (premium_rcv_code,assorted_code, rec_amount,premium_rcv_detail_code,remaining_amt, payrec, mode_code,coinsurance_code,class_cd,it_remarks) values('28Nov240101','070000161021','1',(select max(to_number(i.premium_rcv_detail_code))+1
from ins_premium_det i),'1','1','02', '11000003','00','Request by Mr. Omair Ali 29-Nov-2024');</v>
      </c>
    </row>
    <row r="1499" spans="1:8" ht="105" x14ac:dyDescent="0.25">
      <c r="A1499" t="s">
        <v>1499</v>
      </c>
      <c r="B1499" s="8" t="str">
        <f>VLOOKUP(A1499,assortedcode!B:C,2,0)</f>
        <v>070000158699</v>
      </c>
      <c r="C1499" s="1">
        <v>1</v>
      </c>
      <c r="D1499" s="9">
        <f t="shared" si="93"/>
        <v>1</v>
      </c>
      <c r="E1499" s="7" t="s">
        <v>8345</v>
      </c>
      <c r="F1499" s="10" t="str">
        <f t="shared" si="92"/>
        <v>insert into ins_premium_det (premium_rcv_code,assorted_code, rec_amount,premium_rcv_detail_code,remaining_amt, payrec, mode_code,coinsurance_code,class_cd,it_remarks) values</v>
      </c>
      <c r="G1499" s="11" t="str">
        <f t="shared" si="94"/>
        <v>('28Nov240101','070000158699','1',(select max(to_number(i.premium_rcv_detail_code))+1
from ins_premium_det i),'1','1','02', '11000003','00','Request by Mr. Omair Ali 29-Nov-2024');</v>
      </c>
      <c r="H1499" s="12" t="str">
        <f t="shared" si="95"/>
        <v>insert into ins_premium_det (premium_rcv_code,assorted_code, rec_amount,premium_rcv_detail_code,remaining_amt, payrec, mode_code,coinsurance_code,class_cd,it_remarks) values('28Nov240101','070000158699','1',(select max(to_number(i.premium_rcv_detail_code))+1
from ins_premium_det i),'1','1','02', '11000003','00','Request by Mr. Omair Ali 29-Nov-2024');</v>
      </c>
    </row>
    <row r="1500" spans="1:8" ht="105" x14ac:dyDescent="0.25">
      <c r="A1500" t="s">
        <v>1500</v>
      </c>
      <c r="B1500" s="8" t="str">
        <f>VLOOKUP(A1500,assortedcode!B:C,2,0)</f>
        <v>070000161023</v>
      </c>
      <c r="C1500" s="1">
        <v>1</v>
      </c>
      <c r="D1500" s="9">
        <f t="shared" si="93"/>
        <v>1</v>
      </c>
      <c r="E1500" s="7" t="s">
        <v>8345</v>
      </c>
      <c r="F1500" s="10" t="str">
        <f t="shared" si="92"/>
        <v>insert into ins_premium_det (premium_rcv_code,assorted_code, rec_amount,premium_rcv_detail_code,remaining_amt, payrec, mode_code,coinsurance_code,class_cd,it_remarks) values</v>
      </c>
      <c r="G1500" s="11" t="str">
        <f t="shared" si="94"/>
        <v>('28Nov240101','070000161023','1',(select max(to_number(i.premium_rcv_detail_code))+1
from ins_premium_det i),'1','1','02', '11000003','00','Request by Mr. Omair Ali 29-Nov-2024');</v>
      </c>
      <c r="H1500" s="12" t="str">
        <f t="shared" si="95"/>
        <v>insert into ins_premium_det (premium_rcv_code,assorted_code, rec_amount,premium_rcv_detail_code,remaining_amt, payrec, mode_code,coinsurance_code,class_cd,it_remarks) values('28Nov240101','070000161023','1',(select max(to_number(i.premium_rcv_detail_code))+1
from ins_premium_det i),'1','1','02', '11000003','00','Request by Mr. Omair Ali 29-Nov-2024');</v>
      </c>
    </row>
    <row r="1501" spans="1:8" ht="105" x14ac:dyDescent="0.25">
      <c r="A1501" t="s">
        <v>1501</v>
      </c>
      <c r="B1501" s="8" t="str">
        <f>VLOOKUP(A1501,assortedcode!B:C,2,0)</f>
        <v>070000157204</v>
      </c>
      <c r="C1501" s="1">
        <v>1</v>
      </c>
      <c r="D1501" s="9">
        <f t="shared" si="93"/>
        <v>1</v>
      </c>
      <c r="E1501" s="7" t="s">
        <v>8345</v>
      </c>
      <c r="F1501" s="10" t="str">
        <f t="shared" si="92"/>
        <v>insert into ins_premium_det (premium_rcv_code,assorted_code, rec_amount,premium_rcv_detail_code,remaining_amt, payrec, mode_code,coinsurance_code,class_cd,it_remarks) values</v>
      </c>
      <c r="G1501" s="11" t="str">
        <f t="shared" si="94"/>
        <v>('28Nov240101','070000157204','1',(select max(to_number(i.premium_rcv_detail_code))+1
from ins_premium_det i),'1','1','02', '11000003','00','Request by Mr. Omair Ali 29-Nov-2024');</v>
      </c>
      <c r="H1501" s="12" t="str">
        <f t="shared" si="95"/>
        <v>insert into ins_premium_det (premium_rcv_code,assorted_code, rec_amount,premium_rcv_detail_code,remaining_amt, payrec, mode_code,coinsurance_code,class_cd,it_remarks) values('28Nov240101','070000157204','1',(select max(to_number(i.premium_rcv_detail_code))+1
from ins_premium_det i),'1','1','02', '11000003','00','Request by Mr. Omair Ali 29-Nov-2024');</v>
      </c>
    </row>
    <row r="1502" spans="1:8" ht="105" x14ac:dyDescent="0.25">
      <c r="A1502" t="s">
        <v>1502</v>
      </c>
      <c r="B1502" s="8" t="str">
        <f>VLOOKUP(A1502,assortedcode!B:C,2,0)</f>
        <v>070000165970</v>
      </c>
      <c r="C1502" s="1">
        <v>1</v>
      </c>
      <c r="D1502" s="9">
        <f t="shared" si="93"/>
        <v>1</v>
      </c>
      <c r="E1502" s="7" t="s">
        <v>8345</v>
      </c>
      <c r="F1502" s="10" t="str">
        <f t="shared" si="92"/>
        <v>insert into ins_premium_det (premium_rcv_code,assorted_code, rec_amount,premium_rcv_detail_code,remaining_amt, payrec, mode_code,coinsurance_code,class_cd,it_remarks) values</v>
      </c>
      <c r="G1502" s="11" t="str">
        <f t="shared" si="94"/>
        <v>('28Nov240101','070000165970','1',(select max(to_number(i.premium_rcv_detail_code))+1
from ins_premium_det i),'1','1','02', '11000003','00','Request by Mr. Omair Ali 29-Nov-2024');</v>
      </c>
      <c r="H1502" s="12" t="str">
        <f t="shared" si="95"/>
        <v>insert into ins_premium_det (premium_rcv_code,assorted_code, rec_amount,premium_rcv_detail_code,remaining_amt, payrec, mode_code,coinsurance_code,class_cd,it_remarks) values('28Nov240101','070000165970','1',(select max(to_number(i.premium_rcv_detail_code))+1
from ins_premium_det i),'1','1','02', '11000003','00','Request by Mr. Omair Ali 29-Nov-2024');</v>
      </c>
    </row>
    <row r="1503" spans="1:8" ht="105" x14ac:dyDescent="0.25">
      <c r="A1503" t="s">
        <v>1503</v>
      </c>
      <c r="B1503" s="8" t="str">
        <f>VLOOKUP(A1503,assortedcode!B:C,2,0)</f>
        <v>070000165998</v>
      </c>
      <c r="C1503" s="1">
        <v>1</v>
      </c>
      <c r="D1503" s="9">
        <f t="shared" si="93"/>
        <v>1</v>
      </c>
      <c r="E1503" s="7" t="s">
        <v>8345</v>
      </c>
      <c r="F1503" s="10" t="str">
        <f t="shared" si="92"/>
        <v>insert into ins_premium_det (premium_rcv_code,assorted_code, rec_amount,premium_rcv_detail_code,remaining_amt, payrec, mode_code,coinsurance_code,class_cd,it_remarks) values</v>
      </c>
      <c r="G1503" s="11" t="str">
        <f t="shared" si="94"/>
        <v>('28Nov240101','070000165998','1',(select max(to_number(i.premium_rcv_detail_code))+1
from ins_premium_det i),'1','1','02', '11000003','00','Request by Mr. Omair Ali 29-Nov-2024');</v>
      </c>
      <c r="H1503" s="12" t="str">
        <f t="shared" si="95"/>
        <v>insert into ins_premium_det (premium_rcv_code,assorted_code, rec_amount,premium_rcv_detail_code,remaining_amt, payrec, mode_code,coinsurance_code,class_cd,it_remarks) values('28Nov240101','070000165998','1',(select max(to_number(i.premium_rcv_detail_code))+1
from ins_premium_det i),'1','1','02', '11000003','00','Request by Mr. Omair Ali 29-Nov-2024');</v>
      </c>
    </row>
    <row r="1504" spans="1:8" ht="105" x14ac:dyDescent="0.25">
      <c r="A1504" t="s">
        <v>1504</v>
      </c>
      <c r="B1504" s="8" t="str">
        <f>VLOOKUP(A1504,assortedcode!B:C,2,0)</f>
        <v>070000157220</v>
      </c>
      <c r="C1504" s="1">
        <v>1</v>
      </c>
      <c r="D1504" s="9">
        <f t="shared" si="93"/>
        <v>1</v>
      </c>
      <c r="E1504" s="7" t="s">
        <v>8345</v>
      </c>
      <c r="F1504" s="10" t="str">
        <f t="shared" si="92"/>
        <v>insert into ins_premium_det (premium_rcv_code,assorted_code, rec_amount,premium_rcv_detail_code,remaining_amt, payrec, mode_code,coinsurance_code,class_cd,it_remarks) values</v>
      </c>
      <c r="G1504" s="11" t="str">
        <f t="shared" si="94"/>
        <v>('28Nov240101','070000157220','1',(select max(to_number(i.premium_rcv_detail_code))+1
from ins_premium_det i),'1','1','02', '11000003','00','Request by Mr. Omair Ali 29-Nov-2024');</v>
      </c>
      <c r="H1504" s="12" t="str">
        <f t="shared" si="95"/>
        <v>insert into ins_premium_det (premium_rcv_code,assorted_code, rec_amount,premium_rcv_detail_code,remaining_amt, payrec, mode_code,coinsurance_code,class_cd,it_remarks) values('28Nov240101','070000157220','1',(select max(to_number(i.premium_rcv_detail_code))+1
from ins_premium_det i),'1','1','02', '11000003','00','Request by Mr. Omair Ali 29-Nov-2024');</v>
      </c>
    </row>
    <row r="1505" spans="1:8" ht="105" x14ac:dyDescent="0.25">
      <c r="A1505" t="s">
        <v>1505</v>
      </c>
      <c r="B1505" s="8" t="str">
        <f>VLOOKUP(A1505,assortedcode!B:C,2,0)</f>
        <v>070000165819</v>
      </c>
      <c r="C1505" s="1">
        <v>1</v>
      </c>
      <c r="D1505" s="9">
        <f t="shared" si="93"/>
        <v>1</v>
      </c>
      <c r="E1505" s="7" t="s">
        <v>8345</v>
      </c>
      <c r="F1505" s="10" t="str">
        <f t="shared" si="92"/>
        <v>insert into ins_premium_det (premium_rcv_code,assorted_code, rec_amount,premium_rcv_detail_code,remaining_amt, payrec, mode_code,coinsurance_code,class_cd,it_remarks) values</v>
      </c>
      <c r="G1505" s="11" t="str">
        <f t="shared" si="94"/>
        <v>('28Nov240101','070000165819','1',(select max(to_number(i.premium_rcv_detail_code))+1
from ins_premium_det i),'1','1','02', '11000003','00','Request by Mr. Omair Ali 29-Nov-2024');</v>
      </c>
      <c r="H1505" s="12" t="str">
        <f t="shared" si="95"/>
        <v>insert into ins_premium_det (premium_rcv_code,assorted_code, rec_amount,premium_rcv_detail_code,remaining_amt, payrec, mode_code,coinsurance_code,class_cd,it_remarks) values('28Nov240101','070000165819','1',(select max(to_number(i.premium_rcv_detail_code))+1
from ins_premium_det i),'1','1','02', '11000003','00','Request by Mr. Omair Ali 29-Nov-2024');</v>
      </c>
    </row>
    <row r="1506" spans="1:8" ht="105" x14ac:dyDescent="0.25">
      <c r="A1506" t="s">
        <v>1506</v>
      </c>
      <c r="B1506" s="8" t="str">
        <f>VLOOKUP(A1506,assortedcode!B:C,2,0)</f>
        <v>070000157388</v>
      </c>
      <c r="C1506" s="1">
        <v>1</v>
      </c>
      <c r="D1506" s="9">
        <f t="shared" si="93"/>
        <v>1</v>
      </c>
      <c r="E1506" s="7" t="s">
        <v>8345</v>
      </c>
      <c r="F1506" s="10" t="str">
        <f t="shared" si="92"/>
        <v>insert into ins_premium_det (premium_rcv_code,assorted_code, rec_amount,premium_rcv_detail_code,remaining_amt, payrec, mode_code,coinsurance_code,class_cd,it_remarks) values</v>
      </c>
      <c r="G1506" s="11" t="str">
        <f t="shared" si="94"/>
        <v>('28Nov240101','070000157388','1',(select max(to_number(i.premium_rcv_detail_code))+1
from ins_premium_det i),'1','1','02', '11000003','00','Request by Mr. Omair Ali 29-Nov-2024');</v>
      </c>
      <c r="H1506" s="12" t="str">
        <f t="shared" si="95"/>
        <v>insert into ins_premium_det (premium_rcv_code,assorted_code, rec_amount,premium_rcv_detail_code,remaining_amt, payrec, mode_code,coinsurance_code,class_cd,it_remarks) values('28Nov240101','070000157388','1',(select max(to_number(i.premium_rcv_detail_code))+1
from ins_premium_det i),'1','1','02', '11000003','00','Request by Mr. Omair Ali 29-Nov-2024');</v>
      </c>
    </row>
    <row r="1507" spans="1:8" ht="105" x14ac:dyDescent="0.25">
      <c r="A1507" t="s">
        <v>1507</v>
      </c>
      <c r="B1507" s="8" t="str">
        <f>VLOOKUP(A1507,assortedcode!B:C,2,0)</f>
        <v>070000158185</v>
      </c>
      <c r="C1507" s="1">
        <v>1</v>
      </c>
      <c r="D1507" s="9">
        <f t="shared" si="93"/>
        <v>1</v>
      </c>
      <c r="E1507" s="7" t="s">
        <v>8345</v>
      </c>
      <c r="F1507" s="10" t="str">
        <f t="shared" si="92"/>
        <v>insert into ins_premium_det (premium_rcv_code,assorted_code, rec_amount,premium_rcv_detail_code,remaining_amt, payrec, mode_code,coinsurance_code,class_cd,it_remarks) values</v>
      </c>
      <c r="G1507" s="11" t="str">
        <f t="shared" si="94"/>
        <v>('28Nov240101','070000158185','1',(select max(to_number(i.premium_rcv_detail_code))+1
from ins_premium_det i),'1','1','02', '11000003','00','Request by Mr. Omair Ali 29-Nov-2024');</v>
      </c>
      <c r="H1507" s="12" t="str">
        <f t="shared" si="95"/>
        <v>insert into ins_premium_det (premium_rcv_code,assorted_code, rec_amount,premium_rcv_detail_code,remaining_amt, payrec, mode_code,coinsurance_code,class_cd,it_remarks) values('28Nov240101','070000158185','1',(select max(to_number(i.premium_rcv_detail_code))+1
from ins_premium_det i),'1','1','02', '11000003','00','Request by Mr. Omair Ali 29-Nov-2024');</v>
      </c>
    </row>
    <row r="1508" spans="1:8" ht="105" x14ac:dyDescent="0.25">
      <c r="A1508" t="s">
        <v>1508</v>
      </c>
      <c r="B1508" s="8" t="str">
        <f>VLOOKUP(A1508,assortedcode!B:C,2,0)</f>
        <v>070000161024</v>
      </c>
      <c r="C1508" s="1">
        <v>1</v>
      </c>
      <c r="D1508" s="9">
        <f t="shared" si="93"/>
        <v>1</v>
      </c>
      <c r="E1508" s="7" t="s">
        <v>8345</v>
      </c>
      <c r="F1508" s="10" t="str">
        <f t="shared" si="92"/>
        <v>insert into ins_premium_det (premium_rcv_code,assorted_code, rec_amount,premium_rcv_detail_code,remaining_amt, payrec, mode_code,coinsurance_code,class_cd,it_remarks) values</v>
      </c>
      <c r="G1508" s="11" t="str">
        <f t="shared" si="94"/>
        <v>('28Nov240101','070000161024','1',(select max(to_number(i.premium_rcv_detail_code))+1
from ins_premium_det i),'1','1','02', '11000003','00','Request by Mr. Omair Ali 29-Nov-2024');</v>
      </c>
      <c r="H1508" s="12" t="str">
        <f t="shared" si="95"/>
        <v>insert into ins_premium_det (premium_rcv_code,assorted_code, rec_amount,premium_rcv_detail_code,remaining_amt, payrec, mode_code,coinsurance_code,class_cd,it_remarks) values('28Nov240101','070000161024','1',(select max(to_number(i.premium_rcv_detail_code))+1
from ins_premium_det i),'1','1','02', '11000003','00','Request by Mr. Omair Ali 29-Nov-2024');</v>
      </c>
    </row>
    <row r="1509" spans="1:8" ht="105" x14ac:dyDescent="0.25">
      <c r="A1509" t="s">
        <v>1509</v>
      </c>
      <c r="B1509" s="8" t="str">
        <f>VLOOKUP(A1509,assortedcode!B:C,2,0)</f>
        <v>070000161007</v>
      </c>
      <c r="C1509" s="1">
        <v>1</v>
      </c>
      <c r="D1509" s="9">
        <f t="shared" si="93"/>
        <v>1</v>
      </c>
      <c r="E1509" s="7" t="s">
        <v>8345</v>
      </c>
      <c r="F1509" s="10" t="str">
        <f t="shared" si="92"/>
        <v>insert into ins_premium_det (premium_rcv_code,assorted_code, rec_amount,premium_rcv_detail_code,remaining_amt, payrec, mode_code,coinsurance_code,class_cd,it_remarks) values</v>
      </c>
      <c r="G1509" s="11" t="str">
        <f t="shared" si="94"/>
        <v>('28Nov240101','070000161007','1',(select max(to_number(i.premium_rcv_detail_code))+1
from ins_premium_det i),'1','1','02', '11000003','00','Request by Mr. Omair Ali 29-Nov-2024');</v>
      </c>
      <c r="H1509" s="12" t="str">
        <f t="shared" si="95"/>
        <v>insert into ins_premium_det (premium_rcv_code,assorted_code, rec_amount,premium_rcv_detail_code,remaining_amt, payrec, mode_code,coinsurance_code,class_cd,it_remarks) values('28Nov240101','070000161007','1',(select max(to_number(i.premium_rcv_detail_code))+1
from ins_premium_det i),'1','1','02', '11000003','00','Request by Mr. Omair Ali 29-Nov-2024');</v>
      </c>
    </row>
    <row r="1510" spans="1:8" ht="105" x14ac:dyDescent="0.25">
      <c r="A1510" t="s">
        <v>1510</v>
      </c>
      <c r="B1510" s="8" t="str">
        <f>VLOOKUP(A1510,assortedcode!B:C,2,0)</f>
        <v>070000157367</v>
      </c>
      <c r="C1510" s="1">
        <v>1</v>
      </c>
      <c r="D1510" s="9">
        <f t="shared" si="93"/>
        <v>1</v>
      </c>
      <c r="E1510" s="7" t="s">
        <v>8345</v>
      </c>
      <c r="F1510" s="10" t="str">
        <f t="shared" si="92"/>
        <v>insert into ins_premium_det (premium_rcv_code,assorted_code, rec_amount,premium_rcv_detail_code,remaining_amt, payrec, mode_code,coinsurance_code,class_cd,it_remarks) values</v>
      </c>
      <c r="G1510" s="11" t="str">
        <f t="shared" si="94"/>
        <v>('28Nov240101','070000157367','1',(select max(to_number(i.premium_rcv_detail_code))+1
from ins_premium_det i),'1','1','02', '11000003','00','Request by Mr. Omair Ali 29-Nov-2024');</v>
      </c>
      <c r="H1510" s="12" t="str">
        <f t="shared" si="95"/>
        <v>insert into ins_premium_det (premium_rcv_code,assorted_code, rec_amount,premium_rcv_detail_code,remaining_amt, payrec, mode_code,coinsurance_code,class_cd,it_remarks) values('28Nov240101','070000157367','1',(select max(to_number(i.premium_rcv_detail_code))+1
from ins_premium_det i),'1','1','02', '11000003','00','Request by Mr. Omair Ali 29-Nov-2024');</v>
      </c>
    </row>
    <row r="1511" spans="1:8" ht="105" x14ac:dyDescent="0.25">
      <c r="A1511" t="s">
        <v>1511</v>
      </c>
      <c r="B1511" s="8" t="str">
        <f>VLOOKUP(A1511,assortedcode!B:C,2,0)</f>
        <v>070000161013</v>
      </c>
      <c r="C1511" s="1">
        <v>1</v>
      </c>
      <c r="D1511" s="9">
        <f t="shared" si="93"/>
        <v>1</v>
      </c>
      <c r="E1511" s="7" t="s">
        <v>8345</v>
      </c>
      <c r="F1511" s="10" t="str">
        <f t="shared" si="92"/>
        <v>insert into ins_premium_det (premium_rcv_code,assorted_code, rec_amount,premium_rcv_detail_code,remaining_amt, payrec, mode_code,coinsurance_code,class_cd,it_remarks) values</v>
      </c>
      <c r="G1511" s="11" t="str">
        <f t="shared" si="94"/>
        <v>('28Nov240101','070000161013','1',(select max(to_number(i.premium_rcv_detail_code))+1
from ins_premium_det i),'1','1','02', '11000003','00','Request by Mr. Omair Ali 29-Nov-2024');</v>
      </c>
      <c r="H1511" s="12" t="str">
        <f t="shared" si="95"/>
        <v>insert into ins_premium_det (premium_rcv_code,assorted_code, rec_amount,premium_rcv_detail_code,remaining_amt, payrec, mode_code,coinsurance_code,class_cd,it_remarks) values('28Nov240101','070000161013','1',(select max(to_number(i.premium_rcv_detail_code))+1
from ins_premium_det i),'1','1','02', '11000003','00','Request by Mr. Omair Ali 29-Nov-2024');</v>
      </c>
    </row>
    <row r="1512" spans="1:8" ht="105" x14ac:dyDescent="0.25">
      <c r="A1512" t="s">
        <v>1512</v>
      </c>
      <c r="B1512" s="8" t="str">
        <f>VLOOKUP(A1512,assortedcode!B:C,2,0)</f>
        <v>070000158000</v>
      </c>
      <c r="C1512" s="1">
        <v>1</v>
      </c>
      <c r="D1512" s="9">
        <f t="shared" si="93"/>
        <v>1</v>
      </c>
      <c r="E1512" s="7" t="s">
        <v>8345</v>
      </c>
      <c r="F1512" s="10" t="str">
        <f t="shared" si="92"/>
        <v>insert into ins_premium_det (premium_rcv_code,assorted_code, rec_amount,premium_rcv_detail_code,remaining_amt, payrec, mode_code,coinsurance_code,class_cd,it_remarks) values</v>
      </c>
      <c r="G1512" s="11" t="str">
        <f t="shared" si="94"/>
        <v>('28Nov240101','070000158000','1',(select max(to_number(i.premium_rcv_detail_code))+1
from ins_premium_det i),'1','1','02', '11000003','00','Request by Mr. Omair Ali 29-Nov-2024');</v>
      </c>
      <c r="H1512" s="12" t="str">
        <f t="shared" si="95"/>
        <v>insert into ins_premium_det (premium_rcv_code,assorted_code, rec_amount,premium_rcv_detail_code,remaining_amt, payrec, mode_code,coinsurance_code,class_cd,it_remarks) values('28Nov240101','070000158000','1',(select max(to_number(i.premium_rcv_detail_code))+1
from ins_premium_det i),'1','1','02', '11000003','00','Request by Mr. Omair Ali 29-Nov-2024');</v>
      </c>
    </row>
    <row r="1513" spans="1:8" ht="105" x14ac:dyDescent="0.25">
      <c r="A1513" t="s">
        <v>1513</v>
      </c>
      <c r="B1513" s="8" t="str">
        <f>VLOOKUP(A1513,assortedcode!B:C,2,0)</f>
        <v>070000161665</v>
      </c>
      <c r="C1513" s="1">
        <v>1</v>
      </c>
      <c r="D1513" s="9">
        <f t="shared" si="93"/>
        <v>1</v>
      </c>
      <c r="E1513" s="7" t="s">
        <v>8345</v>
      </c>
      <c r="F1513" s="10" t="str">
        <f t="shared" si="92"/>
        <v>insert into ins_premium_det (premium_rcv_code,assorted_code, rec_amount,premium_rcv_detail_code,remaining_amt, payrec, mode_code,coinsurance_code,class_cd,it_remarks) values</v>
      </c>
      <c r="G1513" s="11" t="str">
        <f t="shared" si="94"/>
        <v>('28Nov240101','070000161665','1',(select max(to_number(i.premium_rcv_detail_code))+1
from ins_premium_det i),'1','1','02', '11000003','00','Request by Mr. Omair Ali 29-Nov-2024');</v>
      </c>
      <c r="H1513" s="12" t="str">
        <f t="shared" si="95"/>
        <v>insert into ins_premium_det (premium_rcv_code,assorted_code, rec_amount,premium_rcv_detail_code,remaining_amt, payrec, mode_code,coinsurance_code,class_cd,it_remarks) values('28Nov240101','070000161665','1',(select max(to_number(i.premium_rcv_detail_code))+1
from ins_premium_det i),'1','1','02', '11000003','00','Request by Mr. Omair Ali 29-Nov-2024');</v>
      </c>
    </row>
    <row r="1514" spans="1:8" ht="105" x14ac:dyDescent="0.25">
      <c r="A1514" t="s">
        <v>1514</v>
      </c>
      <c r="B1514" s="8" t="str">
        <f>VLOOKUP(A1514,assortedcode!B:C,2,0)</f>
        <v>070000158931</v>
      </c>
      <c r="C1514" s="1">
        <v>1</v>
      </c>
      <c r="D1514" s="9">
        <f t="shared" si="93"/>
        <v>1</v>
      </c>
      <c r="E1514" s="7" t="s">
        <v>8345</v>
      </c>
      <c r="F1514" s="10" t="str">
        <f t="shared" si="92"/>
        <v>insert into ins_premium_det (premium_rcv_code,assorted_code, rec_amount,premium_rcv_detail_code,remaining_amt, payrec, mode_code,coinsurance_code,class_cd,it_remarks) values</v>
      </c>
      <c r="G1514" s="11" t="str">
        <f t="shared" si="94"/>
        <v>('28Nov240101','070000158931','1',(select max(to_number(i.premium_rcv_detail_code))+1
from ins_premium_det i),'1','1','02', '11000003','00','Request by Mr. Omair Ali 29-Nov-2024');</v>
      </c>
      <c r="H1514" s="12" t="str">
        <f t="shared" si="95"/>
        <v>insert into ins_premium_det (premium_rcv_code,assorted_code, rec_amount,premium_rcv_detail_code,remaining_amt, payrec, mode_code,coinsurance_code,class_cd,it_remarks) values('28Nov240101','070000158931','1',(select max(to_number(i.premium_rcv_detail_code))+1
from ins_premium_det i),'1','1','02', '11000003','00','Request by Mr. Omair Ali 29-Nov-2024');</v>
      </c>
    </row>
    <row r="1515" spans="1:8" ht="105" x14ac:dyDescent="0.25">
      <c r="A1515" t="s">
        <v>1515</v>
      </c>
      <c r="B1515" s="8" t="str">
        <f>VLOOKUP(A1515,assortedcode!B:C,2,0)</f>
        <v>070000161706</v>
      </c>
      <c r="C1515" s="1">
        <v>1</v>
      </c>
      <c r="D1515" s="9">
        <f t="shared" si="93"/>
        <v>1</v>
      </c>
      <c r="E1515" s="7" t="s">
        <v>8345</v>
      </c>
      <c r="F1515" s="10" t="str">
        <f t="shared" si="92"/>
        <v>insert into ins_premium_det (premium_rcv_code,assorted_code, rec_amount,premium_rcv_detail_code,remaining_amt, payrec, mode_code,coinsurance_code,class_cd,it_remarks) values</v>
      </c>
      <c r="G1515" s="11" t="str">
        <f t="shared" si="94"/>
        <v>('28Nov240101','070000161706','1',(select max(to_number(i.premium_rcv_detail_code))+1
from ins_premium_det i),'1','1','02', '11000003','00','Request by Mr. Omair Ali 29-Nov-2024');</v>
      </c>
      <c r="H1515" s="12" t="str">
        <f t="shared" si="95"/>
        <v>insert into ins_premium_det (premium_rcv_code,assorted_code, rec_amount,premium_rcv_detail_code,remaining_amt, payrec, mode_code,coinsurance_code,class_cd,it_remarks) values('28Nov240101','070000161706','1',(select max(to_number(i.premium_rcv_detail_code))+1
from ins_premium_det i),'1','1','02', '11000003','00','Request by Mr. Omair Ali 29-Nov-2024');</v>
      </c>
    </row>
    <row r="1516" spans="1:8" ht="105" x14ac:dyDescent="0.25">
      <c r="A1516" t="s">
        <v>1516</v>
      </c>
      <c r="B1516" s="8" t="str">
        <f>VLOOKUP(A1516,assortedcode!B:C,2,0)</f>
        <v>070000158056</v>
      </c>
      <c r="C1516" s="1">
        <v>1</v>
      </c>
      <c r="D1516" s="9">
        <f t="shared" si="93"/>
        <v>1</v>
      </c>
      <c r="E1516" s="7" t="s">
        <v>8345</v>
      </c>
      <c r="F1516" s="10" t="str">
        <f t="shared" si="92"/>
        <v>insert into ins_premium_det (premium_rcv_code,assorted_code, rec_amount,premium_rcv_detail_code,remaining_amt, payrec, mode_code,coinsurance_code,class_cd,it_remarks) values</v>
      </c>
      <c r="G1516" s="11" t="str">
        <f t="shared" si="94"/>
        <v>('28Nov240101','070000158056','1',(select max(to_number(i.premium_rcv_detail_code))+1
from ins_premium_det i),'1','1','02', '11000003','00','Request by Mr. Omair Ali 29-Nov-2024');</v>
      </c>
      <c r="H1516" s="12" t="str">
        <f t="shared" si="95"/>
        <v>insert into ins_premium_det (premium_rcv_code,assorted_code, rec_amount,premium_rcv_detail_code,remaining_amt, payrec, mode_code,coinsurance_code,class_cd,it_remarks) values('28Nov240101','070000158056','1',(select max(to_number(i.premium_rcv_detail_code))+1
from ins_premium_det i),'1','1','02', '11000003','00','Request by Mr. Omair Ali 29-Nov-2024');</v>
      </c>
    </row>
    <row r="1517" spans="1:8" ht="105" x14ac:dyDescent="0.25">
      <c r="A1517" t="s">
        <v>1517</v>
      </c>
      <c r="B1517" s="8" t="str">
        <f>VLOOKUP(A1517,assortedcode!B:C,2,0)</f>
        <v>070000161725</v>
      </c>
      <c r="C1517" s="1">
        <v>1</v>
      </c>
      <c r="D1517" s="9">
        <f t="shared" si="93"/>
        <v>1</v>
      </c>
      <c r="E1517" s="7" t="s">
        <v>8345</v>
      </c>
      <c r="F1517" s="10" t="str">
        <f t="shared" si="92"/>
        <v>insert into ins_premium_det (premium_rcv_code,assorted_code, rec_amount,premium_rcv_detail_code,remaining_amt, payrec, mode_code,coinsurance_code,class_cd,it_remarks) values</v>
      </c>
      <c r="G1517" s="11" t="str">
        <f t="shared" si="94"/>
        <v>('28Nov240101','070000161725','1',(select max(to_number(i.premium_rcv_detail_code))+1
from ins_premium_det i),'1','1','02', '11000003','00','Request by Mr. Omair Ali 29-Nov-2024');</v>
      </c>
      <c r="H1517" s="12" t="str">
        <f t="shared" si="95"/>
        <v>insert into ins_premium_det (premium_rcv_code,assorted_code, rec_amount,premium_rcv_detail_code,remaining_amt, payrec, mode_code,coinsurance_code,class_cd,it_remarks) values('28Nov240101','070000161725','1',(select max(to_number(i.premium_rcv_detail_code))+1
from ins_premium_det i),'1','1','02', '11000003','00','Request by Mr. Omair Ali 29-Nov-2024');</v>
      </c>
    </row>
    <row r="1518" spans="1:8" ht="105" x14ac:dyDescent="0.25">
      <c r="A1518" t="s">
        <v>1518</v>
      </c>
      <c r="B1518" s="8" t="str">
        <f>VLOOKUP(A1518,assortedcode!B:C,2,0)</f>
        <v>070000158061</v>
      </c>
      <c r="C1518" s="1">
        <v>1</v>
      </c>
      <c r="D1518" s="9">
        <f t="shared" si="93"/>
        <v>1</v>
      </c>
      <c r="E1518" s="7" t="s">
        <v>8345</v>
      </c>
      <c r="F1518" s="10" t="str">
        <f t="shared" si="92"/>
        <v>insert into ins_premium_det (premium_rcv_code,assorted_code, rec_amount,premium_rcv_detail_code,remaining_amt, payrec, mode_code,coinsurance_code,class_cd,it_remarks) values</v>
      </c>
      <c r="G1518" s="11" t="str">
        <f t="shared" si="94"/>
        <v>('28Nov240101','070000158061','1',(select max(to_number(i.premium_rcv_detail_code))+1
from ins_premium_det i),'1','1','02', '11000003','00','Request by Mr. Omair Ali 29-Nov-2024');</v>
      </c>
      <c r="H1518" s="12" t="str">
        <f t="shared" si="95"/>
        <v>insert into ins_premium_det (premium_rcv_code,assorted_code, rec_amount,premium_rcv_detail_code,remaining_amt, payrec, mode_code,coinsurance_code,class_cd,it_remarks) values('28Nov240101','070000158061','1',(select max(to_number(i.premium_rcv_detail_code))+1
from ins_premium_det i),'1','1','02', '11000003','00','Request by Mr. Omair Ali 29-Nov-2024');</v>
      </c>
    </row>
    <row r="1519" spans="1:8" ht="105" x14ac:dyDescent="0.25">
      <c r="A1519" t="s">
        <v>1519</v>
      </c>
      <c r="B1519" s="8" t="str">
        <f>VLOOKUP(A1519,assortedcode!B:C,2,0)</f>
        <v>070000158238</v>
      </c>
      <c r="C1519" s="1">
        <v>1</v>
      </c>
      <c r="D1519" s="9">
        <f t="shared" si="93"/>
        <v>1</v>
      </c>
      <c r="E1519" s="7" t="s">
        <v>8345</v>
      </c>
      <c r="F1519" s="10" t="str">
        <f t="shared" si="92"/>
        <v>insert into ins_premium_det (premium_rcv_code,assorted_code, rec_amount,premium_rcv_detail_code,remaining_amt, payrec, mode_code,coinsurance_code,class_cd,it_remarks) values</v>
      </c>
      <c r="G1519" s="11" t="str">
        <f t="shared" si="94"/>
        <v>('28Nov240101','070000158238','1',(select max(to_number(i.premium_rcv_detail_code))+1
from ins_premium_det i),'1','1','02', '11000003','00','Request by Mr. Omair Ali 29-Nov-2024');</v>
      </c>
      <c r="H1519" s="12" t="str">
        <f t="shared" si="95"/>
        <v>insert into ins_premium_det (premium_rcv_code,assorted_code, rec_amount,premium_rcv_detail_code,remaining_amt, payrec, mode_code,coinsurance_code,class_cd,it_remarks) values('28Nov240101','070000158238','1',(select max(to_number(i.premium_rcv_detail_code))+1
from ins_premium_det i),'1','1','02', '11000003','00','Request by Mr. Omair Ali 29-Nov-2024');</v>
      </c>
    </row>
    <row r="1520" spans="1:8" ht="105" x14ac:dyDescent="0.25">
      <c r="A1520" t="s">
        <v>1520</v>
      </c>
      <c r="B1520" s="8" t="str">
        <f>VLOOKUP(A1520,assortedcode!B:C,2,0)</f>
        <v>070000157999</v>
      </c>
      <c r="C1520" s="1">
        <v>1</v>
      </c>
      <c r="D1520" s="9">
        <f t="shared" si="93"/>
        <v>1</v>
      </c>
      <c r="E1520" s="7" t="s">
        <v>8345</v>
      </c>
      <c r="F1520" s="10" t="str">
        <f t="shared" si="92"/>
        <v>insert into ins_premium_det (premium_rcv_code,assorted_code, rec_amount,premium_rcv_detail_code,remaining_amt, payrec, mode_code,coinsurance_code,class_cd,it_remarks) values</v>
      </c>
      <c r="G1520" s="11" t="str">
        <f t="shared" si="94"/>
        <v>('28Nov240101','070000157999','1',(select max(to_number(i.premium_rcv_detail_code))+1
from ins_premium_det i),'1','1','02', '11000003','00','Request by Mr. Omair Ali 29-Nov-2024');</v>
      </c>
      <c r="H1520" s="12" t="str">
        <f t="shared" si="95"/>
        <v>insert into ins_premium_det (premium_rcv_code,assorted_code, rec_amount,premium_rcv_detail_code,remaining_amt, payrec, mode_code,coinsurance_code,class_cd,it_remarks) values('28Nov240101','070000157999','1',(select max(to_number(i.premium_rcv_detail_code))+1
from ins_premium_det i),'1','1','02', '11000003','00','Request by Mr. Omair Ali 29-Nov-2024');</v>
      </c>
    </row>
    <row r="1521" spans="1:8" ht="105" x14ac:dyDescent="0.25">
      <c r="A1521" t="s">
        <v>1521</v>
      </c>
      <c r="B1521" s="8" t="str">
        <f>VLOOKUP(A1521,assortedcode!B:C,2,0)</f>
        <v>040000153348</v>
      </c>
      <c r="C1521" s="1">
        <v>1</v>
      </c>
      <c r="D1521" s="9">
        <f t="shared" si="93"/>
        <v>1</v>
      </c>
      <c r="E1521" s="7" t="s">
        <v>8345</v>
      </c>
      <c r="F1521" s="10" t="str">
        <f t="shared" si="92"/>
        <v>insert into ins_premium_det (premium_rcv_code,assorted_code, rec_amount,premium_rcv_detail_code,remaining_amt, payrec, mode_code,coinsurance_code,class_cd,it_remarks) values</v>
      </c>
      <c r="G1521" s="11" t="str">
        <f t="shared" si="94"/>
        <v>('28Nov240101','040000153348','1',(select max(to_number(i.premium_rcv_detail_code))+1
from ins_premium_det i),'1','1','02', '11000003','00','Request by Mr. Omair Ali 29-Nov-2024');</v>
      </c>
      <c r="H1521" s="12" t="str">
        <f t="shared" si="95"/>
        <v>insert into ins_premium_det (premium_rcv_code,assorted_code, rec_amount,premium_rcv_detail_code,remaining_amt, payrec, mode_code,coinsurance_code,class_cd,it_remarks) values('28Nov240101','040000153348','1',(select max(to_number(i.premium_rcv_detail_code))+1
from ins_premium_det i),'1','1','02', '11000003','00','Request by Mr. Omair Ali 29-Nov-2024');</v>
      </c>
    </row>
    <row r="1522" spans="1:8" ht="105" x14ac:dyDescent="0.25">
      <c r="A1522" t="s">
        <v>1522</v>
      </c>
      <c r="B1522" s="8" t="str">
        <f>VLOOKUP(A1522,assortedcode!B:C,2,0)</f>
        <v>070000164112</v>
      </c>
      <c r="C1522" s="1">
        <v>1</v>
      </c>
      <c r="D1522" s="9">
        <f t="shared" si="93"/>
        <v>1</v>
      </c>
      <c r="E1522" s="7" t="s">
        <v>8345</v>
      </c>
      <c r="F1522" s="10" t="str">
        <f t="shared" si="92"/>
        <v>insert into ins_premium_det (premium_rcv_code,assorted_code, rec_amount,premium_rcv_detail_code,remaining_amt, payrec, mode_code,coinsurance_code,class_cd,it_remarks) values</v>
      </c>
      <c r="G1522" s="11" t="str">
        <f t="shared" si="94"/>
        <v>('28Nov240101','070000164112','1',(select max(to_number(i.premium_rcv_detail_code))+1
from ins_premium_det i),'1','1','02', '11000003','00','Request by Mr. Omair Ali 29-Nov-2024');</v>
      </c>
      <c r="H1522" s="12" t="str">
        <f t="shared" si="95"/>
        <v>insert into ins_premium_det (premium_rcv_code,assorted_code, rec_amount,premium_rcv_detail_code,remaining_amt, payrec, mode_code,coinsurance_code,class_cd,it_remarks) values('28Nov240101','070000164112','1',(select max(to_number(i.premium_rcv_detail_code))+1
from ins_premium_det i),'1','1','02', '11000003','00','Request by Mr. Omair Ali 29-Nov-2024');</v>
      </c>
    </row>
    <row r="1523" spans="1:8" ht="105" x14ac:dyDescent="0.25">
      <c r="A1523" t="s">
        <v>1523</v>
      </c>
      <c r="B1523" s="8" t="str">
        <f>VLOOKUP(A1523,assortedcode!B:C,2,0)</f>
        <v>070000157527</v>
      </c>
      <c r="C1523" s="1">
        <v>1</v>
      </c>
      <c r="D1523" s="9">
        <f t="shared" si="93"/>
        <v>1</v>
      </c>
      <c r="E1523" s="7" t="s">
        <v>8345</v>
      </c>
      <c r="F1523" s="10" t="str">
        <f t="shared" si="92"/>
        <v>insert into ins_premium_det (premium_rcv_code,assorted_code, rec_amount,premium_rcv_detail_code,remaining_amt, payrec, mode_code,coinsurance_code,class_cd,it_remarks) values</v>
      </c>
      <c r="G1523" s="11" t="str">
        <f t="shared" si="94"/>
        <v>('28Nov240101','070000157527','1',(select max(to_number(i.premium_rcv_detail_code))+1
from ins_premium_det i),'1','1','02', '11000003','00','Request by Mr. Omair Ali 29-Nov-2024');</v>
      </c>
      <c r="H1523" s="12" t="str">
        <f t="shared" si="95"/>
        <v>insert into ins_premium_det (premium_rcv_code,assorted_code, rec_amount,premium_rcv_detail_code,remaining_amt, payrec, mode_code,coinsurance_code,class_cd,it_remarks) values('28Nov240101','070000157527','1',(select max(to_number(i.premium_rcv_detail_code))+1
from ins_premium_det i),'1','1','02', '11000003','00','Request by Mr. Omair Ali 29-Nov-2024');</v>
      </c>
    </row>
    <row r="1524" spans="1:8" ht="105" x14ac:dyDescent="0.25">
      <c r="A1524" t="s">
        <v>1524</v>
      </c>
      <c r="B1524" s="8" t="str">
        <f>VLOOKUP(A1524,assortedcode!B:C,2,0)</f>
        <v>070000158681</v>
      </c>
      <c r="C1524" s="1">
        <v>1</v>
      </c>
      <c r="D1524" s="9">
        <f t="shared" si="93"/>
        <v>1</v>
      </c>
      <c r="E1524" s="7" t="s">
        <v>8345</v>
      </c>
      <c r="F1524" s="10" t="str">
        <f t="shared" si="92"/>
        <v>insert into ins_premium_det (premium_rcv_code,assorted_code, rec_amount,premium_rcv_detail_code,remaining_amt, payrec, mode_code,coinsurance_code,class_cd,it_remarks) values</v>
      </c>
      <c r="G1524" s="11" t="str">
        <f t="shared" si="94"/>
        <v>('28Nov240101','070000158681','1',(select max(to_number(i.premium_rcv_detail_code))+1
from ins_premium_det i),'1','1','02', '11000003','00','Request by Mr. Omair Ali 29-Nov-2024');</v>
      </c>
      <c r="H1524" s="12" t="str">
        <f t="shared" si="95"/>
        <v>insert into ins_premium_det (premium_rcv_code,assorted_code, rec_amount,premium_rcv_detail_code,remaining_amt, payrec, mode_code,coinsurance_code,class_cd,it_remarks) values('28Nov240101','070000158681','1',(select max(to_number(i.premium_rcv_detail_code))+1
from ins_premium_det i),'1','1','02', '11000003','00','Request by Mr. Omair Ali 29-Nov-2024');</v>
      </c>
    </row>
    <row r="1525" spans="1:8" ht="105" x14ac:dyDescent="0.25">
      <c r="A1525" t="s">
        <v>1525</v>
      </c>
      <c r="B1525" s="8" t="str">
        <f>VLOOKUP(A1525,assortedcode!B:C,2,0)</f>
        <v>070000158242</v>
      </c>
      <c r="C1525" s="1">
        <v>1</v>
      </c>
      <c r="D1525" s="9">
        <f t="shared" si="93"/>
        <v>1</v>
      </c>
      <c r="E1525" s="7" t="s">
        <v>8345</v>
      </c>
      <c r="F1525" s="10" t="str">
        <f t="shared" si="92"/>
        <v>insert into ins_premium_det (premium_rcv_code,assorted_code, rec_amount,premium_rcv_detail_code,remaining_amt, payrec, mode_code,coinsurance_code,class_cd,it_remarks) values</v>
      </c>
      <c r="G1525" s="11" t="str">
        <f t="shared" si="94"/>
        <v>('28Nov240101','070000158242','1',(select max(to_number(i.premium_rcv_detail_code))+1
from ins_premium_det i),'1','1','02', '11000003','00','Request by Mr. Omair Ali 29-Nov-2024');</v>
      </c>
      <c r="H1525" s="12" t="str">
        <f t="shared" si="95"/>
        <v>insert into ins_premium_det (premium_rcv_code,assorted_code, rec_amount,premium_rcv_detail_code,remaining_amt, payrec, mode_code,coinsurance_code,class_cd,it_remarks) values('28Nov240101','070000158242','1',(select max(to_number(i.premium_rcv_detail_code))+1
from ins_premium_det i),'1','1','02', '11000003','00','Request by Mr. Omair Ali 29-Nov-2024');</v>
      </c>
    </row>
    <row r="1526" spans="1:8" ht="105" x14ac:dyDescent="0.25">
      <c r="A1526" t="s">
        <v>1526</v>
      </c>
      <c r="B1526" s="8" t="str">
        <f>VLOOKUP(A1526,assortedcode!B:C,2,0)</f>
        <v>070000157194</v>
      </c>
      <c r="C1526" s="1">
        <v>1</v>
      </c>
      <c r="D1526" s="9">
        <f t="shared" si="93"/>
        <v>1</v>
      </c>
      <c r="E1526" s="7" t="s">
        <v>8345</v>
      </c>
      <c r="F1526" s="10" t="str">
        <f t="shared" si="92"/>
        <v>insert into ins_premium_det (premium_rcv_code,assorted_code, rec_amount,premium_rcv_detail_code,remaining_amt, payrec, mode_code,coinsurance_code,class_cd,it_remarks) values</v>
      </c>
      <c r="G1526" s="11" t="str">
        <f t="shared" si="94"/>
        <v>('28Nov240101','070000157194','1',(select max(to_number(i.premium_rcv_detail_code))+1
from ins_premium_det i),'1','1','02', '11000003','00','Request by Mr. Omair Ali 29-Nov-2024');</v>
      </c>
      <c r="H1526" s="12" t="str">
        <f t="shared" si="95"/>
        <v>insert into ins_premium_det (premium_rcv_code,assorted_code, rec_amount,premium_rcv_detail_code,remaining_amt, payrec, mode_code,coinsurance_code,class_cd,it_remarks) values('28Nov240101','070000157194','1',(select max(to_number(i.premium_rcv_detail_code))+1
from ins_premium_det i),'1','1','02', '11000003','00','Request by Mr. Omair Ali 29-Nov-2024');</v>
      </c>
    </row>
    <row r="1527" spans="1:8" ht="105" x14ac:dyDescent="0.25">
      <c r="A1527" t="s">
        <v>1527</v>
      </c>
      <c r="B1527" s="8" t="str">
        <f>VLOOKUP(A1527,assortedcode!B:C,2,0)</f>
        <v>070000157891</v>
      </c>
      <c r="C1527" s="1">
        <v>1</v>
      </c>
      <c r="D1527" s="9">
        <f t="shared" si="93"/>
        <v>1</v>
      </c>
      <c r="E1527" s="7" t="s">
        <v>8345</v>
      </c>
      <c r="F1527" s="10" t="str">
        <f t="shared" si="92"/>
        <v>insert into ins_premium_det (premium_rcv_code,assorted_code, rec_amount,premium_rcv_detail_code,remaining_amt, payrec, mode_code,coinsurance_code,class_cd,it_remarks) values</v>
      </c>
      <c r="G1527" s="11" t="str">
        <f t="shared" si="94"/>
        <v>('28Nov240101','070000157891','1',(select max(to_number(i.premium_rcv_detail_code))+1
from ins_premium_det i),'1','1','02', '11000003','00','Request by Mr. Omair Ali 29-Nov-2024');</v>
      </c>
      <c r="H1527" s="12" t="str">
        <f t="shared" si="95"/>
        <v>insert into ins_premium_det (premium_rcv_code,assorted_code, rec_amount,premium_rcv_detail_code,remaining_amt, payrec, mode_code,coinsurance_code,class_cd,it_remarks) values('28Nov240101','070000157891','1',(select max(to_number(i.premium_rcv_detail_code))+1
from ins_premium_det i),'1','1','02', '11000003','00','Request by Mr. Omair Ali 29-Nov-2024');</v>
      </c>
    </row>
    <row r="1528" spans="1:8" ht="105" x14ac:dyDescent="0.25">
      <c r="A1528" t="s">
        <v>1528</v>
      </c>
      <c r="B1528" s="8" t="str">
        <f>VLOOKUP(A1528,assortedcode!B:C,2,0)</f>
        <v>070000157192</v>
      </c>
      <c r="C1528" s="1">
        <v>1</v>
      </c>
      <c r="D1528" s="9">
        <f t="shared" si="93"/>
        <v>1</v>
      </c>
      <c r="E1528" s="7" t="s">
        <v>8345</v>
      </c>
      <c r="F1528" s="10" t="str">
        <f t="shared" si="92"/>
        <v>insert into ins_premium_det (premium_rcv_code,assorted_code, rec_amount,premium_rcv_detail_code,remaining_amt, payrec, mode_code,coinsurance_code,class_cd,it_remarks) values</v>
      </c>
      <c r="G1528" s="11" t="str">
        <f t="shared" si="94"/>
        <v>('28Nov240101','070000157192','1',(select max(to_number(i.premium_rcv_detail_code))+1
from ins_premium_det i),'1','1','02', '11000003','00','Request by Mr. Omair Ali 29-Nov-2024');</v>
      </c>
      <c r="H1528" s="12" t="str">
        <f t="shared" si="95"/>
        <v>insert into ins_premium_det (premium_rcv_code,assorted_code, rec_amount,premium_rcv_detail_code,remaining_amt, payrec, mode_code,coinsurance_code,class_cd,it_remarks) values('28Nov240101','070000157192','1',(select max(to_number(i.premium_rcv_detail_code))+1
from ins_premium_det i),'1','1','02', '11000003','00','Request by Mr. Omair Ali 29-Nov-2024');</v>
      </c>
    </row>
    <row r="1529" spans="1:8" ht="105" x14ac:dyDescent="0.25">
      <c r="A1529" t="s">
        <v>1529</v>
      </c>
      <c r="B1529" s="8" t="str">
        <f>VLOOKUP(A1529,assortedcode!B:C,2,0)</f>
        <v>070000162276</v>
      </c>
      <c r="C1529" s="1">
        <v>1</v>
      </c>
      <c r="D1529" s="9">
        <f t="shared" si="93"/>
        <v>1</v>
      </c>
      <c r="E1529" s="7" t="s">
        <v>8345</v>
      </c>
      <c r="F1529" s="10" t="str">
        <f t="shared" si="92"/>
        <v>insert into ins_premium_det (premium_rcv_code,assorted_code, rec_amount,premium_rcv_detail_code,remaining_amt, payrec, mode_code,coinsurance_code,class_cd,it_remarks) values</v>
      </c>
      <c r="G1529" s="11" t="str">
        <f t="shared" si="94"/>
        <v>('28Nov240101','070000162276','1',(select max(to_number(i.premium_rcv_detail_code))+1
from ins_premium_det i),'1','1','02', '11000003','00','Request by Mr. Omair Ali 29-Nov-2024');</v>
      </c>
      <c r="H1529" s="12" t="str">
        <f t="shared" si="95"/>
        <v>insert into ins_premium_det (premium_rcv_code,assorted_code, rec_amount,premium_rcv_detail_code,remaining_amt, payrec, mode_code,coinsurance_code,class_cd,it_remarks) values('28Nov240101','070000162276','1',(select max(to_number(i.premium_rcv_detail_code))+1
from ins_premium_det i),'1','1','02', '11000003','00','Request by Mr. Omair Ali 29-Nov-2024');</v>
      </c>
    </row>
    <row r="1530" spans="1:8" ht="105" x14ac:dyDescent="0.25">
      <c r="A1530" t="s">
        <v>1530</v>
      </c>
      <c r="B1530" s="8" t="str">
        <f>VLOOKUP(A1530,assortedcode!B:C,2,0)</f>
        <v>070000166097</v>
      </c>
      <c r="C1530" s="1">
        <v>1</v>
      </c>
      <c r="D1530" s="9">
        <f t="shared" si="93"/>
        <v>1</v>
      </c>
      <c r="E1530" s="7" t="s">
        <v>8345</v>
      </c>
      <c r="F1530" s="10" t="str">
        <f t="shared" si="92"/>
        <v>insert into ins_premium_det (premium_rcv_code,assorted_code, rec_amount,premium_rcv_detail_code,remaining_amt, payrec, mode_code,coinsurance_code,class_cd,it_remarks) values</v>
      </c>
      <c r="G1530" s="11" t="str">
        <f t="shared" si="94"/>
        <v>('28Nov240101','070000166097','1',(select max(to_number(i.premium_rcv_detail_code))+1
from ins_premium_det i),'1','1','02', '11000003','00','Request by Mr. Omair Ali 29-Nov-2024');</v>
      </c>
      <c r="H1530" s="12" t="str">
        <f t="shared" si="95"/>
        <v>insert into ins_premium_det (premium_rcv_code,assorted_code, rec_amount,premium_rcv_detail_code,remaining_amt, payrec, mode_code,coinsurance_code,class_cd,it_remarks) values('28Nov240101','070000166097','1',(select max(to_number(i.premium_rcv_detail_code))+1
from ins_premium_det i),'1','1','02', '11000003','00','Request by Mr. Omair Ali 29-Nov-2024');</v>
      </c>
    </row>
    <row r="1531" spans="1:8" ht="105" x14ac:dyDescent="0.25">
      <c r="A1531" t="s">
        <v>1531</v>
      </c>
      <c r="B1531" s="8" t="str">
        <f>VLOOKUP(A1531,assortedcode!B:C,2,0)</f>
        <v>070000162284</v>
      </c>
      <c r="C1531" s="1">
        <v>1</v>
      </c>
      <c r="D1531" s="9">
        <f t="shared" si="93"/>
        <v>1</v>
      </c>
      <c r="E1531" s="7" t="s">
        <v>8345</v>
      </c>
      <c r="F1531" s="10" t="str">
        <f t="shared" si="92"/>
        <v>insert into ins_premium_det (premium_rcv_code,assorted_code, rec_amount,premium_rcv_detail_code,remaining_amt, payrec, mode_code,coinsurance_code,class_cd,it_remarks) values</v>
      </c>
      <c r="G1531" s="11" t="str">
        <f t="shared" si="94"/>
        <v>('28Nov240101','070000162284','1',(select max(to_number(i.premium_rcv_detail_code))+1
from ins_premium_det i),'1','1','02', '11000003','00','Request by Mr. Omair Ali 29-Nov-2024');</v>
      </c>
      <c r="H1531" s="12" t="str">
        <f t="shared" si="95"/>
        <v>insert into ins_premium_det (premium_rcv_code,assorted_code, rec_amount,premium_rcv_detail_code,remaining_amt, payrec, mode_code,coinsurance_code,class_cd,it_remarks) values('28Nov240101','070000162284','1',(select max(to_number(i.premium_rcv_detail_code))+1
from ins_premium_det i),'1','1','02', '11000003','00','Request by Mr. Omair Ali 29-Nov-2024');</v>
      </c>
    </row>
    <row r="1532" spans="1:8" ht="105" x14ac:dyDescent="0.25">
      <c r="A1532" t="s">
        <v>1532</v>
      </c>
      <c r="B1532" s="8" t="str">
        <f>VLOOKUP(A1532,assortedcode!B:C,2,0)</f>
        <v>070000166603</v>
      </c>
      <c r="C1532" s="1">
        <v>1</v>
      </c>
      <c r="D1532" s="9">
        <f t="shared" si="93"/>
        <v>1</v>
      </c>
      <c r="E1532" s="7" t="s">
        <v>8345</v>
      </c>
      <c r="F1532" s="10" t="str">
        <f t="shared" si="92"/>
        <v>insert into ins_premium_det (premium_rcv_code,assorted_code, rec_amount,premium_rcv_detail_code,remaining_amt, payrec, mode_code,coinsurance_code,class_cd,it_remarks) values</v>
      </c>
      <c r="G1532" s="11" t="str">
        <f t="shared" si="94"/>
        <v>('28Nov240101','070000166603','1',(select max(to_number(i.premium_rcv_detail_code))+1
from ins_premium_det i),'1','1','02', '11000003','00','Request by Mr. Omair Ali 29-Nov-2024');</v>
      </c>
      <c r="H1532" s="12" t="str">
        <f t="shared" si="95"/>
        <v>insert into ins_premium_det (premium_rcv_code,assorted_code, rec_amount,premium_rcv_detail_code,remaining_amt, payrec, mode_code,coinsurance_code,class_cd,it_remarks) values('28Nov240101','070000166603','1',(select max(to_number(i.premium_rcv_detail_code))+1
from ins_premium_det i),'1','1','02', '11000003','00','Request by Mr. Omair Ali 29-Nov-2024');</v>
      </c>
    </row>
    <row r="1533" spans="1:8" ht="105" x14ac:dyDescent="0.25">
      <c r="A1533" t="s">
        <v>1533</v>
      </c>
      <c r="B1533" s="8" t="str">
        <f>VLOOKUP(A1533,assortedcode!B:C,2,0)</f>
        <v>070000157893</v>
      </c>
      <c r="C1533" s="1">
        <v>1</v>
      </c>
      <c r="D1533" s="9">
        <f t="shared" si="93"/>
        <v>1</v>
      </c>
      <c r="E1533" s="7" t="s">
        <v>8345</v>
      </c>
      <c r="F1533" s="10" t="str">
        <f t="shared" si="92"/>
        <v>insert into ins_premium_det (premium_rcv_code,assorted_code, rec_amount,premium_rcv_detail_code,remaining_amt, payrec, mode_code,coinsurance_code,class_cd,it_remarks) values</v>
      </c>
      <c r="G1533" s="11" t="str">
        <f t="shared" si="94"/>
        <v>('28Nov240101','070000157893','1',(select max(to_number(i.premium_rcv_detail_code))+1
from ins_premium_det i),'1','1','02', '11000003','00','Request by Mr. Omair Ali 29-Nov-2024');</v>
      </c>
      <c r="H1533" s="12" t="str">
        <f t="shared" si="95"/>
        <v>insert into ins_premium_det (premium_rcv_code,assorted_code, rec_amount,premium_rcv_detail_code,remaining_amt, payrec, mode_code,coinsurance_code,class_cd,it_remarks) values('28Nov240101','070000157893','1',(select max(to_number(i.premium_rcv_detail_code))+1
from ins_premium_det i),'1','1','02', '11000003','00','Request by Mr. Omair Ali 29-Nov-2024');</v>
      </c>
    </row>
    <row r="1534" spans="1:8" ht="105" x14ac:dyDescent="0.25">
      <c r="A1534" t="s">
        <v>1534</v>
      </c>
      <c r="B1534" s="8" t="str">
        <f>VLOOKUP(A1534,assortedcode!B:C,2,0)</f>
        <v>070000158713</v>
      </c>
      <c r="C1534" s="1">
        <v>1</v>
      </c>
      <c r="D1534" s="9">
        <f t="shared" si="93"/>
        <v>1</v>
      </c>
      <c r="E1534" s="7" t="s">
        <v>8345</v>
      </c>
      <c r="F1534" s="10" t="str">
        <f t="shared" si="92"/>
        <v>insert into ins_premium_det (premium_rcv_code,assorted_code, rec_amount,premium_rcv_detail_code,remaining_amt, payrec, mode_code,coinsurance_code,class_cd,it_remarks) values</v>
      </c>
      <c r="G1534" s="11" t="str">
        <f t="shared" si="94"/>
        <v>('28Nov240101','070000158713','1',(select max(to_number(i.premium_rcv_detail_code))+1
from ins_premium_det i),'1','1','02', '11000003','00','Request by Mr. Omair Ali 29-Nov-2024');</v>
      </c>
      <c r="H1534" s="12" t="str">
        <f t="shared" si="95"/>
        <v>insert into ins_premium_det (premium_rcv_code,assorted_code, rec_amount,premium_rcv_detail_code,remaining_amt, payrec, mode_code,coinsurance_code,class_cd,it_remarks) values('28Nov240101','070000158713','1',(select max(to_number(i.premium_rcv_detail_code))+1
from ins_premium_det i),'1','1','02', '11000003','00','Request by Mr. Omair Ali 29-Nov-2024');</v>
      </c>
    </row>
    <row r="1535" spans="1:8" ht="105" x14ac:dyDescent="0.25">
      <c r="A1535" t="s">
        <v>1535</v>
      </c>
      <c r="B1535" s="8" t="str">
        <f>VLOOKUP(A1535,assortedcode!B:C,2,0)</f>
        <v>040000137858</v>
      </c>
      <c r="C1535" s="1">
        <v>1</v>
      </c>
      <c r="D1535" s="9">
        <f t="shared" si="93"/>
        <v>1</v>
      </c>
      <c r="E1535" s="7" t="s">
        <v>8345</v>
      </c>
      <c r="F1535" s="10" t="str">
        <f t="shared" si="92"/>
        <v>insert into ins_premium_det (premium_rcv_code,assorted_code, rec_amount,premium_rcv_detail_code,remaining_amt, payrec, mode_code,coinsurance_code,class_cd,it_remarks) values</v>
      </c>
      <c r="G1535" s="11" t="str">
        <f t="shared" si="94"/>
        <v>('28Nov240101','040000137858','1',(select max(to_number(i.premium_rcv_detail_code))+1
from ins_premium_det i),'1','1','02', '11000003','00','Request by Mr. Omair Ali 29-Nov-2024');</v>
      </c>
      <c r="H1535" s="12" t="str">
        <f t="shared" si="95"/>
        <v>insert into ins_premium_det (premium_rcv_code,assorted_code, rec_amount,premium_rcv_detail_code,remaining_amt, payrec, mode_code,coinsurance_code,class_cd,it_remarks) values('28Nov240101','040000137858','1',(select max(to_number(i.premium_rcv_detail_code))+1
from ins_premium_det i),'1','1','02', '11000003','00','Request by Mr. Omair Ali 29-Nov-2024');</v>
      </c>
    </row>
    <row r="1536" spans="1:8" ht="105" x14ac:dyDescent="0.25">
      <c r="A1536" t="s">
        <v>1536</v>
      </c>
      <c r="B1536" s="8" t="str">
        <f>VLOOKUP(A1536,assortedcode!B:C,2,0)</f>
        <v>040000134619</v>
      </c>
      <c r="C1536" s="1">
        <v>1</v>
      </c>
      <c r="D1536" s="9">
        <f t="shared" si="93"/>
        <v>1</v>
      </c>
      <c r="E1536" s="7" t="s">
        <v>8345</v>
      </c>
      <c r="F1536" s="10" t="str">
        <f t="shared" si="92"/>
        <v>insert into ins_premium_det (premium_rcv_code,assorted_code, rec_amount,premium_rcv_detail_code,remaining_amt, payrec, mode_code,coinsurance_code,class_cd,it_remarks) values</v>
      </c>
      <c r="G1536" s="11" t="str">
        <f t="shared" si="94"/>
        <v>('28Nov240101','040000134619','1',(select max(to_number(i.premium_rcv_detail_code))+1
from ins_premium_det i),'1','1','02', '11000003','00','Request by Mr. Omair Ali 29-Nov-2024');</v>
      </c>
      <c r="H1536" s="12" t="str">
        <f t="shared" si="95"/>
        <v>insert into ins_premium_det (premium_rcv_code,assorted_code, rec_amount,premium_rcv_detail_code,remaining_amt, payrec, mode_code,coinsurance_code,class_cd,it_remarks) values('28Nov240101','040000134619','1',(select max(to_number(i.premium_rcv_detail_code))+1
from ins_premium_det i),'1','1','02', '11000003','00','Request by Mr. Omair Ali 29-Nov-2024');</v>
      </c>
    </row>
    <row r="1537" spans="1:8" ht="105" x14ac:dyDescent="0.25">
      <c r="A1537" t="s">
        <v>1537</v>
      </c>
      <c r="B1537" s="8" t="str">
        <f>VLOOKUP(A1537,assortedcode!B:C,2,0)</f>
        <v>070000157387</v>
      </c>
      <c r="C1537" s="1">
        <v>1</v>
      </c>
      <c r="D1537" s="9">
        <f t="shared" si="93"/>
        <v>1</v>
      </c>
      <c r="E1537" s="7" t="s">
        <v>8345</v>
      </c>
      <c r="F1537" s="10" t="str">
        <f t="shared" si="92"/>
        <v>insert into ins_premium_det (premium_rcv_code,assorted_code, rec_amount,premium_rcv_detail_code,remaining_amt, payrec, mode_code,coinsurance_code,class_cd,it_remarks) values</v>
      </c>
      <c r="G1537" s="11" t="str">
        <f t="shared" si="94"/>
        <v>('28Nov240101','070000157387','1',(select max(to_number(i.premium_rcv_detail_code))+1
from ins_premium_det i),'1','1','02', '11000003','00','Request by Mr. Omair Ali 29-Nov-2024');</v>
      </c>
      <c r="H1537" s="12" t="str">
        <f t="shared" si="95"/>
        <v>insert into ins_premium_det (premium_rcv_code,assorted_code, rec_amount,premium_rcv_detail_code,remaining_amt, payrec, mode_code,coinsurance_code,class_cd,it_remarks) values('28Nov240101','070000157387','1',(select max(to_number(i.premium_rcv_detail_code))+1
from ins_premium_det i),'1','1','02', '11000003','00','Request by Mr. Omair Ali 29-Nov-2024');</v>
      </c>
    </row>
    <row r="1538" spans="1:8" ht="105" x14ac:dyDescent="0.25">
      <c r="A1538" t="s">
        <v>1538</v>
      </c>
      <c r="B1538" s="8" t="str">
        <f>VLOOKUP(A1538,assortedcode!B:C,2,0)</f>
        <v>040000157643</v>
      </c>
      <c r="C1538" s="1">
        <v>1</v>
      </c>
      <c r="D1538" s="9">
        <f t="shared" si="93"/>
        <v>1</v>
      </c>
      <c r="E1538" s="7" t="s">
        <v>8345</v>
      </c>
      <c r="F1538" s="10" t="str">
        <f t="shared" ref="F1538:F1601" si="96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1538" s="11" t="str">
        <f t="shared" si="94"/>
        <v>('28Nov240101','040000157643','1',(select max(to_number(i.premium_rcv_detail_code))+1
from ins_premium_det i),'1','1','02', '11000003','00','Request by Mr. Omair Ali 29-Nov-2024');</v>
      </c>
      <c r="H1538" s="12" t="str">
        <f t="shared" si="95"/>
        <v>insert into ins_premium_det (premium_rcv_code,assorted_code, rec_amount,premium_rcv_detail_code,remaining_amt, payrec, mode_code,coinsurance_code,class_cd,it_remarks) values('28Nov240101','040000157643','1',(select max(to_number(i.premium_rcv_detail_code))+1
from ins_premium_det i),'1','1','02', '11000003','00','Request by Mr. Omair Ali 29-Nov-2024');</v>
      </c>
    </row>
    <row r="1539" spans="1:8" ht="105" x14ac:dyDescent="0.25">
      <c r="A1539" t="s">
        <v>1539</v>
      </c>
      <c r="B1539" s="8" t="str">
        <f>VLOOKUP(A1539,assortedcode!B:C,2,0)</f>
        <v>070000158063</v>
      </c>
      <c r="C1539" s="1">
        <v>1</v>
      </c>
      <c r="D1539" s="9">
        <f t="shared" ref="D1539:D1602" si="97">ROUND(C1539,0)</f>
        <v>1</v>
      </c>
      <c r="E1539" s="7" t="s">
        <v>8345</v>
      </c>
      <c r="F1539" s="10" t="str">
        <f t="shared" si="96"/>
        <v>insert into ins_premium_det (premium_rcv_code,assorted_code, rec_amount,premium_rcv_detail_code,remaining_amt, payrec, mode_code,coinsurance_code,class_cd,it_remarks) values</v>
      </c>
      <c r="G1539" s="11" t="str">
        <f t="shared" ref="G1539:G1602" si="98">"('"&amp;E1539&amp;"','"&amp;B1539&amp;"','"&amp;ROUND(D1539,2)&amp;"',(select max(to_number(i.premium_rcv_detail_code))+1
from ins_premium_det i),'"&amp;D1539&amp;"','"&amp;D1539&amp;"','02', '11000003','00','Request by Mr. Omair Ali 29-Nov-2024');"</f>
        <v>('28Nov240101','070000158063','1',(select max(to_number(i.premium_rcv_detail_code))+1
from ins_premium_det i),'1','1','02', '11000003','00','Request by Mr. Omair Ali 29-Nov-2024');</v>
      </c>
      <c r="H1539" s="12" t="str">
        <f t="shared" ref="H1539:H1602" si="99">F1539&amp;G1539</f>
        <v>insert into ins_premium_det (premium_rcv_code,assorted_code, rec_amount,premium_rcv_detail_code,remaining_amt, payrec, mode_code,coinsurance_code,class_cd,it_remarks) values('28Nov240101','070000158063','1',(select max(to_number(i.premium_rcv_detail_code))+1
from ins_premium_det i),'1','1','02', '11000003','00','Request by Mr. Omair Ali 29-Nov-2024');</v>
      </c>
    </row>
    <row r="1540" spans="1:8" ht="105" x14ac:dyDescent="0.25">
      <c r="A1540" t="s">
        <v>1540</v>
      </c>
      <c r="B1540" s="8" t="str">
        <f>VLOOKUP(A1540,assortedcode!B:C,2,0)</f>
        <v>070000162273</v>
      </c>
      <c r="C1540" s="1">
        <v>1</v>
      </c>
      <c r="D1540" s="9">
        <f t="shared" si="97"/>
        <v>1</v>
      </c>
      <c r="E1540" s="7" t="s">
        <v>8345</v>
      </c>
      <c r="F1540" s="10" t="str">
        <f t="shared" si="96"/>
        <v>insert into ins_premium_det (premium_rcv_code,assorted_code, rec_amount,premium_rcv_detail_code,remaining_amt, payrec, mode_code,coinsurance_code,class_cd,it_remarks) values</v>
      </c>
      <c r="G1540" s="11" t="str">
        <f t="shared" si="98"/>
        <v>('28Nov240101','070000162273','1',(select max(to_number(i.premium_rcv_detail_code))+1
from ins_premium_det i),'1','1','02', '11000003','00','Request by Mr. Omair Ali 29-Nov-2024');</v>
      </c>
      <c r="H1540" s="12" t="str">
        <f t="shared" si="99"/>
        <v>insert into ins_premium_det (premium_rcv_code,assorted_code, rec_amount,premium_rcv_detail_code,remaining_amt, payrec, mode_code,coinsurance_code,class_cd,it_remarks) values('28Nov240101','070000162273','1',(select max(to_number(i.premium_rcv_detail_code))+1
from ins_premium_det i),'1','1','02', '11000003','00','Request by Mr. Omair Ali 29-Nov-2024');</v>
      </c>
    </row>
    <row r="1541" spans="1:8" ht="105" x14ac:dyDescent="0.25">
      <c r="A1541" t="s">
        <v>1541</v>
      </c>
      <c r="B1541" s="8" t="str">
        <f>VLOOKUP(A1541,assortedcode!B:C,2,0)</f>
        <v>070000158695</v>
      </c>
      <c r="C1541" s="1">
        <v>1</v>
      </c>
      <c r="D1541" s="9">
        <f t="shared" si="97"/>
        <v>1</v>
      </c>
      <c r="E1541" s="7" t="s">
        <v>8345</v>
      </c>
      <c r="F1541" s="10" t="str">
        <f t="shared" si="96"/>
        <v>insert into ins_premium_det (premium_rcv_code,assorted_code, rec_amount,premium_rcv_detail_code,remaining_amt, payrec, mode_code,coinsurance_code,class_cd,it_remarks) values</v>
      </c>
      <c r="G1541" s="11" t="str">
        <f t="shared" si="98"/>
        <v>('28Nov240101','070000158695','1',(select max(to_number(i.premium_rcv_detail_code))+1
from ins_premium_det i),'1','1','02', '11000003','00','Request by Mr. Omair Ali 29-Nov-2024');</v>
      </c>
      <c r="H1541" s="12" t="str">
        <f t="shared" si="99"/>
        <v>insert into ins_premium_det (premium_rcv_code,assorted_code, rec_amount,premium_rcv_detail_code,remaining_amt, payrec, mode_code,coinsurance_code,class_cd,it_remarks) values('28Nov240101','070000158695','1',(select max(to_number(i.premium_rcv_detail_code))+1
from ins_premium_det i),'1','1','02', '11000003','00','Request by Mr. Omair Ali 29-Nov-2024');</v>
      </c>
    </row>
    <row r="1542" spans="1:8" ht="105" x14ac:dyDescent="0.25">
      <c r="A1542" t="s">
        <v>1542</v>
      </c>
      <c r="B1542" s="8" t="str">
        <f>VLOOKUP(A1542,assortedcode!B:C,2,0)</f>
        <v>040000186999</v>
      </c>
      <c r="C1542" s="1">
        <v>1</v>
      </c>
      <c r="D1542" s="9">
        <f t="shared" si="97"/>
        <v>1</v>
      </c>
      <c r="E1542" s="7" t="s">
        <v>8345</v>
      </c>
      <c r="F1542" s="10" t="str">
        <f t="shared" si="96"/>
        <v>insert into ins_premium_det (premium_rcv_code,assorted_code, rec_amount,premium_rcv_detail_code,remaining_amt, payrec, mode_code,coinsurance_code,class_cd,it_remarks) values</v>
      </c>
      <c r="G1542" s="11" t="str">
        <f t="shared" si="98"/>
        <v>('28Nov240101','040000186999','1',(select max(to_number(i.premium_rcv_detail_code))+1
from ins_premium_det i),'1','1','02', '11000003','00','Request by Mr. Omair Ali 29-Nov-2024');</v>
      </c>
      <c r="H1542" s="12" t="str">
        <f t="shared" si="99"/>
        <v>insert into ins_premium_det (premium_rcv_code,assorted_code, rec_amount,premium_rcv_detail_code,remaining_amt, payrec, mode_code,coinsurance_code,class_cd,it_remarks) values('28Nov240101','040000186999','1',(select max(to_number(i.premium_rcv_detail_code))+1
from ins_premium_det i),'1','1','02', '11000003','00','Request by Mr. Omair Ali 29-Nov-2024');</v>
      </c>
    </row>
    <row r="1543" spans="1:8" ht="105" x14ac:dyDescent="0.25">
      <c r="A1543" t="s">
        <v>1543</v>
      </c>
      <c r="B1543" s="8" t="str">
        <f>VLOOKUP(A1543,assortedcode!B:C,2,0)</f>
        <v>070000166053</v>
      </c>
      <c r="C1543" s="1">
        <v>1</v>
      </c>
      <c r="D1543" s="9">
        <f t="shared" si="97"/>
        <v>1</v>
      </c>
      <c r="E1543" s="7" t="s">
        <v>8345</v>
      </c>
      <c r="F1543" s="10" t="str">
        <f t="shared" si="96"/>
        <v>insert into ins_premium_det (premium_rcv_code,assorted_code, rec_amount,premium_rcv_detail_code,remaining_amt, payrec, mode_code,coinsurance_code,class_cd,it_remarks) values</v>
      </c>
      <c r="G1543" s="11" t="str">
        <f t="shared" si="98"/>
        <v>('28Nov240101','070000166053','1',(select max(to_number(i.premium_rcv_detail_code))+1
from ins_premium_det i),'1','1','02', '11000003','00','Request by Mr. Omair Ali 29-Nov-2024');</v>
      </c>
      <c r="H1543" s="12" t="str">
        <f t="shared" si="99"/>
        <v>insert into ins_premium_det (premium_rcv_code,assorted_code, rec_amount,premium_rcv_detail_code,remaining_amt, payrec, mode_code,coinsurance_code,class_cd,it_remarks) values('28Nov240101','070000166053','1',(select max(to_number(i.premium_rcv_detail_code))+1
from ins_premium_det i),'1','1','02', '11000003','00','Request by Mr. Omair Ali 29-Nov-2024');</v>
      </c>
    </row>
    <row r="1544" spans="1:8" ht="105" x14ac:dyDescent="0.25">
      <c r="A1544" t="s">
        <v>1544</v>
      </c>
      <c r="B1544" s="8" t="str">
        <f>VLOOKUP(A1544,assortedcode!B:C,2,0)</f>
        <v>070000162827</v>
      </c>
      <c r="C1544" s="1">
        <v>1</v>
      </c>
      <c r="D1544" s="9">
        <f t="shared" si="97"/>
        <v>1</v>
      </c>
      <c r="E1544" s="7" t="s">
        <v>8345</v>
      </c>
      <c r="F1544" s="10" t="str">
        <f t="shared" si="96"/>
        <v>insert into ins_premium_det (premium_rcv_code,assorted_code, rec_amount,premium_rcv_detail_code,remaining_amt, payrec, mode_code,coinsurance_code,class_cd,it_remarks) values</v>
      </c>
      <c r="G1544" s="11" t="str">
        <f t="shared" si="98"/>
        <v>('28Nov240101','070000162827','1',(select max(to_number(i.premium_rcv_detail_code))+1
from ins_premium_det i),'1','1','02', '11000003','00','Request by Mr. Omair Ali 29-Nov-2024');</v>
      </c>
      <c r="H1544" s="12" t="str">
        <f t="shared" si="99"/>
        <v>insert into ins_premium_det (premium_rcv_code,assorted_code, rec_amount,premium_rcv_detail_code,remaining_amt, payrec, mode_code,coinsurance_code,class_cd,it_remarks) values('28Nov240101','070000162827','1',(select max(to_number(i.premium_rcv_detail_code))+1
from ins_premium_det i),'1','1','02', '11000003','00','Request by Mr. Omair Ali 29-Nov-2024');</v>
      </c>
    </row>
    <row r="1545" spans="1:8" ht="105" x14ac:dyDescent="0.25">
      <c r="A1545" t="s">
        <v>1545</v>
      </c>
      <c r="B1545" s="8" t="str">
        <f>VLOOKUP(A1545,assortedcode!B:C,2,0)</f>
        <v>070000158201</v>
      </c>
      <c r="C1545" s="1">
        <v>1</v>
      </c>
      <c r="D1545" s="9">
        <f t="shared" si="97"/>
        <v>1</v>
      </c>
      <c r="E1545" s="7" t="s">
        <v>8345</v>
      </c>
      <c r="F1545" s="10" t="str">
        <f t="shared" si="96"/>
        <v>insert into ins_premium_det (premium_rcv_code,assorted_code, rec_amount,premium_rcv_detail_code,remaining_amt, payrec, mode_code,coinsurance_code,class_cd,it_remarks) values</v>
      </c>
      <c r="G1545" s="11" t="str">
        <f t="shared" si="98"/>
        <v>('28Nov240101','070000158201','1',(select max(to_number(i.premium_rcv_detail_code))+1
from ins_premium_det i),'1','1','02', '11000003','00','Request by Mr. Omair Ali 29-Nov-2024');</v>
      </c>
      <c r="H1545" s="12" t="str">
        <f t="shared" si="99"/>
        <v>insert into ins_premium_det (premium_rcv_code,assorted_code, rec_amount,premium_rcv_detail_code,remaining_amt, payrec, mode_code,coinsurance_code,class_cd,it_remarks) values('28Nov240101','070000158201','1',(select max(to_number(i.premium_rcv_detail_code))+1
from ins_premium_det i),'1','1','02', '11000003','00','Request by Mr. Omair Ali 29-Nov-2024');</v>
      </c>
    </row>
    <row r="1546" spans="1:8" ht="105" x14ac:dyDescent="0.25">
      <c r="A1546" t="s">
        <v>1546</v>
      </c>
      <c r="B1546" s="8" t="str">
        <f>VLOOKUP(A1546,assortedcode!B:C,2,0)</f>
        <v>070000157374</v>
      </c>
      <c r="C1546" s="1">
        <v>1</v>
      </c>
      <c r="D1546" s="9">
        <f t="shared" si="97"/>
        <v>1</v>
      </c>
      <c r="E1546" s="7" t="s">
        <v>8345</v>
      </c>
      <c r="F1546" s="10" t="str">
        <f t="shared" si="96"/>
        <v>insert into ins_premium_det (premium_rcv_code,assorted_code, rec_amount,premium_rcv_detail_code,remaining_amt, payrec, mode_code,coinsurance_code,class_cd,it_remarks) values</v>
      </c>
      <c r="G1546" s="11" t="str">
        <f t="shared" si="98"/>
        <v>('28Nov240101','070000157374','1',(select max(to_number(i.premium_rcv_detail_code))+1
from ins_premium_det i),'1','1','02', '11000003','00','Request by Mr. Omair Ali 29-Nov-2024');</v>
      </c>
      <c r="H1546" s="12" t="str">
        <f t="shared" si="99"/>
        <v>insert into ins_premium_det (premium_rcv_code,assorted_code, rec_amount,premium_rcv_detail_code,remaining_amt, payrec, mode_code,coinsurance_code,class_cd,it_remarks) values('28Nov240101','070000157374','1',(select max(to_number(i.premium_rcv_detail_code))+1
from ins_premium_det i),'1','1','02', '11000003','00','Request by Mr. Omair Ali 29-Nov-2024');</v>
      </c>
    </row>
    <row r="1547" spans="1:8" ht="105" x14ac:dyDescent="0.25">
      <c r="A1547" t="s">
        <v>1547</v>
      </c>
      <c r="B1547" s="8" t="str">
        <f>VLOOKUP(A1547,assortedcode!B:C,2,0)</f>
        <v>040000152268</v>
      </c>
      <c r="C1547" s="1">
        <v>1</v>
      </c>
      <c r="D1547" s="9">
        <f t="shared" si="97"/>
        <v>1</v>
      </c>
      <c r="E1547" s="7" t="s">
        <v>8345</v>
      </c>
      <c r="F1547" s="10" t="str">
        <f t="shared" si="96"/>
        <v>insert into ins_premium_det (premium_rcv_code,assorted_code, rec_amount,premium_rcv_detail_code,remaining_amt, payrec, mode_code,coinsurance_code,class_cd,it_remarks) values</v>
      </c>
      <c r="G1547" s="11" t="str">
        <f t="shared" si="98"/>
        <v>('28Nov240101','040000152268','1',(select max(to_number(i.premium_rcv_detail_code))+1
from ins_premium_det i),'1','1','02', '11000003','00','Request by Mr. Omair Ali 29-Nov-2024');</v>
      </c>
      <c r="H1547" s="12" t="str">
        <f t="shared" si="99"/>
        <v>insert into ins_premium_det (premium_rcv_code,assorted_code, rec_amount,premium_rcv_detail_code,remaining_amt, payrec, mode_code,coinsurance_code,class_cd,it_remarks) values('28Nov240101','040000152268','1',(select max(to_number(i.premium_rcv_detail_code))+1
from ins_premium_det i),'1','1','02', '11000003','00','Request by Mr. Omair Ali 29-Nov-2024');</v>
      </c>
    </row>
    <row r="1548" spans="1:8" ht="105" x14ac:dyDescent="0.25">
      <c r="A1548" t="s">
        <v>1548</v>
      </c>
      <c r="B1548" s="8" t="str">
        <f>VLOOKUP(A1548,assortedcode!B:C,2,0)</f>
        <v>070000157397</v>
      </c>
      <c r="C1548" s="1">
        <v>1</v>
      </c>
      <c r="D1548" s="9">
        <f t="shared" si="97"/>
        <v>1</v>
      </c>
      <c r="E1548" s="7" t="s">
        <v>8345</v>
      </c>
      <c r="F1548" s="10" t="str">
        <f t="shared" si="96"/>
        <v>insert into ins_premium_det (premium_rcv_code,assorted_code, rec_amount,premium_rcv_detail_code,remaining_amt, payrec, mode_code,coinsurance_code,class_cd,it_remarks) values</v>
      </c>
      <c r="G1548" s="11" t="str">
        <f t="shared" si="98"/>
        <v>('28Nov240101','070000157397','1',(select max(to_number(i.premium_rcv_detail_code))+1
from ins_premium_det i),'1','1','02', '11000003','00','Request by Mr. Omair Ali 29-Nov-2024');</v>
      </c>
      <c r="H1548" s="12" t="str">
        <f t="shared" si="99"/>
        <v>insert into ins_premium_det (premium_rcv_code,assorted_code, rec_amount,premium_rcv_detail_code,remaining_amt, payrec, mode_code,coinsurance_code,class_cd,it_remarks) values('28Nov240101','070000157397','1',(select max(to_number(i.premium_rcv_detail_code))+1
from ins_premium_det i),'1','1','02', '11000003','00','Request by Mr. Omair Ali 29-Nov-2024');</v>
      </c>
    </row>
    <row r="1549" spans="1:8" ht="105" x14ac:dyDescent="0.25">
      <c r="A1549" t="s">
        <v>1549</v>
      </c>
      <c r="B1549" s="8" t="str">
        <f>VLOOKUP(A1549,assortedcode!B:C,2,0)</f>
        <v>040000147175</v>
      </c>
      <c r="C1549" s="1">
        <v>1</v>
      </c>
      <c r="D1549" s="9">
        <f t="shared" si="97"/>
        <v>1</v>
      </c>
      <c r="E1549" s="7" t="s">
        <v>8345</v>
      </c>
      <c r="F1549" s="10" t="str">
        <f t="shared" si="96"/>
        <v>insert into ins_premium_det (premium_rcv_code,assorted_code, rec_amount,premium_rcv_detail_code,remaining_amt, payrec, mode_code,coinsurance_code,class_cd,it_remarks) values</v>
      </c>
      <c r="G1549" s="11" t="str">
        <f t="shared" si="98"/>
        <v>('28Nov240101','040000147175','1',(select max(to_number(i.premium_rcv_detail_code))+1
from ins_premium_det i),'1','1','02', '11000003','00','Request by Mr. Omair Ali 29-Nov-2024');</v>
      </c>
      <c r="H1549" s="12" t="str">
        <f t="shared" si="99"/>
        <v>insert into ins_premium_det (premium_rcv_code,assorted_code, rec_amount,premium_rcv_detail_code,remaining_amt, payrec, mode_code,coinsurance_code,class_cd,it_remarks) values('28Nov240101','040000147175','1',(select max(to_number(i.premium_rcv_detail_code))+1
from ins_premium_det i),'1','1','02', '11000003','00','Request by Mr. Omair Ali 29-Nov-2024');</v>
      </c>
    </row>
    <row r="1550" spans="1:8" ht="105" x14ac:dyDescent="0.25">
      <c r="A1550" t="s">
        <v>1550</v>
      </c>
      <c r="B1550" s="8" t="str">
        <f>VLOOKUP(A1550,assortedcode!B:C,2,0)</f>
        <v>070000157281</v>
      </c>
      <c r="C1550" s="1">
        <v>1</v>
      </c>
      <c r="D1550" s="9">
        <f t="shared" si="97"/>
        <v>1</v>
      </c>
      <c r="E1550" s="7" t="s">
        <v>8345</v>
      </c>
      <c r="F1550" s="10" t="str">
        <f t="shared" si="96"/>
        <v>insert into ins_premium_det (premium_rcv_code,assorted_code, rec_amount,premium_rcv_detail_code,remaining_amt, payrec, mode_code,coinsurance_code,class_cd,it_remarks) values</v>
      </c>
      <c r="G1550" s="11" t="str">
        <f t="shared" si="98"/>
        <v>('28Nov240101','070000157281','1',(select max(to_number(i.premium_rcv_detail_code))+1
from ins_premium_det i),'1','1','02', '11000003','00','Request by Mr. Omair Ali 29-Nov-2024');</v>
      </c>
      <c r="H1550" s="12" t="str">
        <f t="shared" si="99"/>
        <v>insert into ins_premium_det (premium_rcv_code,assorted_code, rec_amount,premium_rcv_detail_code,remaining_amt, payrec, mode_code,coinsurance_code,class_cd,it_remarks) values('28Nov240101','070000157281','1',(select max(to_number(i.premium_rcv_detail_code))+1
from ins_premium_det i),'1','1','02', '11000003','00','Request by Mr. Omair Ali 29-Nov-2024');</v>
      </c>
    </row>
    <row r="1551" spans="1:8" ht="105" x14ac:dyDescent="0.25">
      <c r="A1551" t="s">
        <v>1551</v>
      </c>
      <c r="B1551" s="8" t="str">
        <f>VLOOKUP(A1551,assortedcode!B:C,2,0)</f>
        <v>040000150361</v>
      </c>
      <c r="C1551" s="1">
        <v>1</v>
      </c>
      <c r="D1551" s="9">
        <f t="shared" si="97"/>
        <v>1</v>
      </c>
      <c r="E1551" s="7" t="s">
        <v>8345</v>
      </c>
      <c r="F1551" s="10" t="str">
        <f t="shared" si="96"/>
        <v>insert into ins_premium_det (premium_rcv_code,assorted_code, rec_amount,premium_rcv_detail_code,remaining_amt, payrec, mode_code,coinsurance_code,class_cd,it_remarks) values</v>
      </c>
      <c r="G1551" s="11" t="str">
        <f t="shared" si="98"/>
        <v>('28Nov240101','040000150361','1',(select max(to_number(i.premium_rcv_detail_code))+1
from ins_premium_det i),'1','1','02', '11000003','00','Request by Mr. Omair Ali 29-Nov-2024');</v>
      </c>
      <c r="H1551" s="12" t="str">
        <f t="shared" si="99"/>
        <v>insert into ins_premium_det (premium_rcv_code,assorted_code, rec_amount,premium_rcv_detail_code,remaining_amt, payrec, mode_code,coinsurance_code,class_cd,it_remarks) values('28Nov240101','040000150361','1',(select max(to_number(i.premium_rcv_detail_code))+1
from ins_premium_det i),'1','1','02', '11000003','00','Request by Mr. Omair Ali 29-Nov-2024');</v>
      </c>
    </row>
    <row r="1552" spans="1:8" ht="105" x14ac:dyDescent="0.25">
      <c r="A1552" t="s">
        <v>1552</v>
      </c>
      <c r="B1552" s="8" t="str">
        <f>VLOOKUP(A1552,assortedcode!B:C,2,0)</f>
        <v>070000101188</v>
      </c>
      <c r="C1552" s="1">
        <v>1</v>
      </c>
      <c r="D1552" s="9">
        <f t="shared" si="97"/>
        <v>1</v>
      </c>
      <c r="E1552" s="7" t="s">
        <v>8345</v>
      </c>
      <c r="F1552" s="10" t="str">
        <f t="shared" si="96"/>
        <v>insert into ins_premium_det (premium_rcv_code,assorted_code, rec_amount,premium_rcv_detail_code,remaining_amt, payrec, mode_code,coinsurance_code,class_cd,it_remarks) values</v>
      </c>
      <c r="G1552" s="11" t="str">
        <f t="shared" si="98"/>
        <v>('28Nov240101','070000101188','1',(select max(to_number(i.premium_rcv_detail_code))+1
from ins_premium_det i),'1','1','02', '11000003','00','Request by Mr. Omair Ali 29-Nov-2024');</v>
      </c>
      <c r="H1552" s="12" t="str">
        <f t="shared" si="99"/>
        <v>insert into ins_premium_det (premium_rcv_code,assorted_code, rec_amount,premium_rcv_detail_code,remaining_amt, payrec, mode_code,coinsurance_code,class_cd,it_remarks) values('28Nov240101','070000101188','1',(select max(to_number(i.premium_rcv_detail_code))+1
from ins_premium_det i),'1','1','02', '11000003','00','Request by Mr. Omair Ali 29-Nov-2024');</v>
      </c>
    </row>
    <row r="1553" spans="1:8" ht="105" x14ac:dyDescent="0.25">
      <c r="A1553" t="s">
        <v>1553</v>
      </c>
      <c r="B1553" s="8" t="str">
        <f>VLOOKUP(A1553,assortedcode!B:C,2,0)</f>
        <v>070000158021</v>
      </c>
      <c r="C1553" s="1">
        <v>1</v>
      </c>
      <c r="D1553" s="9">
        <f t="shared" si="97"/>
        <v>1</v>
      </c>
      <c r="E1553" s="7" t="s">
        <v>8345</v>
      </c>
      <c r="F1553" s="10" t="str">
        <f t="shared" si="96"/>
        <v>insert into ins_premium_det (premium_rcv_code,assorted_code, rec_amount,premium_rcv_detail_code,remaining_amt, payrec, mode_code,coinsurance_code,class_cd,it_remarks) values</v>
      </c>
      <c r="G1553" s="11" t="str">
        <f t="shared" si="98"/>
        <v>('28Nov240101','070000158021','1',(select max(to_number(i.premium_rcv_detail_code))+1
from ins_premium_det i),'1','1','02', '11000003','00','Request by Mr. Omair Ali 29-Nov-2024');</v>
      </c>
      <c r="H1553" s="12" t="str">
        <f t="shared" si="99"/>
        <v>insert into ins_premium_det (premium_rcv_code,assorted_code, rec_amount,premium_rcv_detail_code,remaining_amt, payrec, mode_code,coinsurance_code,class_cd,it_remarks) values('28Nov240101','070000158021','1',(select max(to_number(i.premium_rcv_detail_code))+1
from ins_premium_det i),'1','1','02', '11000003','00','Request by Mr. Omair Ali 29-Nov-2024');</v>
      </c>
    </row>
    <row r="1554" spans="1:8" ht="105" x14ac:dyDescent="0.25">
      <c r="A1554" t="s">
        <v>1554</v>
      </c>
      <c r="B1554" s="8" t="str">
        <f>VLOOKUP(A1554,assortedcode!B:C,2,0)</f>
        <v>070000158354</v>
      </c>
      <c r="C1554" s="1">
        <v>1</v>
      </c>
      <c r="D1554" s="9">
        <f t="shared" si="97"/>
        <v>1</v>
      </c>
      <c r="E1554" s="7" t="s">
        <v>8345</v>
      </c>
      <c r="F1554" s="10" t="str">
        <f t="shared" si="96"/>
        <v>insert into ins_premium_det (premium_rcv_code,assorted_code, rec_amount,premium_rcv_detail_code,remaining_amt, payrec, mode_code,coinsurance_code,class_cd,it_remarks) values</v>
      </c>
      <c r="G1554" s="11" t="str">
        <f t="shared" si="98"/>
        <v>('28Nov240101','070000158354','1',(select max(to_number(i.premium_rcv_detail_code))+1
from ins_premium_det i),'1','1','02', '11000003','00','Request by Mr. Omair Ali 29-Nov-2024');</v>
      </c>
      <c r="H1554" s="12" t="str">
        <f t="shared" si="99"/>
        <v>insert into ins_premium_det (premium_rcv_code,assorted_code, rec_amount,premium_rcv_detail_code,remaining_amt, payrec, mode_code,coinsurance_code,class_cd,it_remarks) values('28Nov240101','070000158354','1',(select max(to_number(i.premium_rcv_detail_code))+1
from ins_premium_det i),'1','1','02', '11000003','00','Request by Mr. Omair Ali 29-Nov-2024');</v>
      </c>
    </row>
    <row r="1555" spans="1:8" ht="105" x14ac:dyDescent="0.25">
      <c r="A1555" t="s">
        <v>1555</v>
      </c>
      <c r="B1555" s="8" t="str">
        <f>VLOOKUP(A1555,assortedcode!B:C,2,0)</f>
        <v>070000165790</v>
      </c>
      <c r="C1555" s="1">
        <v>1</v>
      </c>
      <c r="D1555" s="9">
        <f t="shared" si="97"/>
        <v>1</v>
      </c>
      <c r="E1555" s="7" t="s">
        <v>8345</v>
      </c>
      <c r="F1555" s="10" t="str">
        <f t="shared" si="96"/>
        <v>insert into ins_premium_det (premium_rcv_code,assorted_code, rec_amount,premium_rcv_detail_code,remaining_amt, payrec, mode_code,coinsurance_code,class_cd,it_remarks) values</v>
      </c>
      <c r="G1555" s="11" t="str">
        <f t="shared" si="98"/>
        <v>('28Nov240101','070000165790','1',(select max(to_number(i.premium_rcv_detail_code))+1
from ins_premium_det i),'1','1','02', '11000003','00','Request by Mr. Omair Ali 29-Nov-2024');</v>
      </c>
      <c r="H1555" s="12" t="str">
        <f t="shared" si="99"/>
        <v>insert into ins_premium_det (premium_rcv_code,assorted_code, rec_amount,premium_rcv_detail_code,remaining_amt, payrec, mode_code,coinsurance_code,class_cd,it_remarks) values('28Nov240101','070000165790','1',(select max(to_number(i.premium_rcv_detail_code))+1
from ins_premium_det i),'1','1','02', '11000003','00','Request by Mr. Omair Ali 29-Nov-2024');</v>
      </c>
    </row>
    <row r="1556" spans="1:8" ht="105" x14ac:dyDescent="0.25">
      <c r="A1556" t="s">
        <v>1556</v>
      </c>
      <c r="B1556" s="8" t="str">
        <f>VLOOKUP(A1556,assortedcode!B:C,2,0)</f>
        <v>070000103249</v>
      </c>
      <c r="C1556" s="1">
        <v>1</v>
      </c>
      <c r="D1556" s="9">
        <f t="shared" si="97"/>
        <v>1</v>
      </c>
      <c r="E1556" s="7" t="s">
        <v>8345</v>
      </c>
      <c r="F1556" s="10" t="str">
        <f t="shared" si="96"/>
        <v>insert into ins_premium_det (premium_rcv_code,assorted_code, rec_amount,premium_rcv_detail_code,remaining_amt, payrec, mode_code,coinsurance_code,class_cd,it_remarks) values</v>
      </c>
      <c r="G1556" s="11" t="str">
        <f t="shared" si="98"/>
        <v>('28Nov240101','070000103249','1',(select max(to_number(i.premium_rcv_detail_code))+1
from ins_premium_det i),'1','1','02', '11000003','00','Request by Mr. Omair Ali 29-Nov-2024');</v>
      </c>
      <c r="H1556" s="12" t="str">
        <f t="shared" si="99"/>
        <v>insert into ins_premium_det (premium_rcv_code,assorted_code, rec_amount,premium_rcv_detail_code,remaining_amt, payrec, mode_code,coinsurance_code,class_cd,it_remarks) values('28Nov240101','070000103249','1',(select max(to_number(i.premium_rcv_detail_code))+1
from ins_premium_det i),'1','1','02', '11000003','00','Request by Mr. Omair Ali 29-Nov-2024');</v>
      </c>
    </row>
    <row r="1557" spans="1:8" ht="105" x14ac:dyDescent="0.25">
      <c r="A1557" t="s">
        <v>1557</v>
      </c>
      <c r="B1557" s="8" t="str">
        <f>VLOOKUP(A1557,assortedcode!B:C,2,0)</f>
        <v>040000114030</v>
      </c>
      <c r="C1557" s="1">
        <v>1</v>
      </c>
      <c r="D1557" s="9">
        <f t="shared" si="97"/>
        <v>1</v>
      </c>
      <c r="E1557" s="7" t="s">
        <v>8345</v>
      </c>
      <c r="F1557" s="10" t="str">
        <f t="shared" si="96"/>
        <v>insert into ins_premium_det (premium_rcv_code,assorted_code, rec_amount,premium_rcv_detail_code,remaining_amt, payrec, mode_code,coinsurance_code,class_cd,it_remarks) values</v>
      </c>
      <c r="G1557" s="11" t="str">
        <f t="shared" si="98"/>
        <v>('28Nov240101','040000114030','1',(select max(to_number(i.premium_rcv_detail_code))+1
from ins_premium_det i),'1','1','02', '11000003','00','Request by Mr. Omair Ali 29-Nov-2024');</v>
      </c>
      <c r="H1557" s="12" t="str">
        <f t="shared" si="99"/>
        <v>insert into ins_premium_det (premium_rcv_code,assorted_code, rec_amount,premium_rcv_detail_code,remaining_amt, payrec, mode_code,coinsurance_code,class_cd,it_remarks) values('28Nov240101','040000114030','1',(select max(to_number(i.premium_rcv_detail_code))+1
from ins_premium_det i),'1','1','02', '11000003','00','Request by Mr. Omair Ali 29-Nov-2024');</v>
      </c>
    </row>
    <row r="1558" spans="1:8" ht="105" x14ac:dyDescent="0.25">
      <c r="A1558" t="s">
        <v>1558</v>
      </c>
      <c r="B1558" s="8" t="str">
        <f>VLOOKUP(A1558,assortedcode!B:C,2,0)</f>
        <v>040000165772</v>
      </c>
      <c r="C1558" s="1">
        <v>1</v>
      </c>
      <c r="D1558" s="9">
        <f t="shared" si="97"/>
        <v>1</v>
      </c>
      <c r="E1558" s="7" t="s">
        <v>8345</v>
      </c>
      <c r="F1558" s="10" t="str">
        <f t="shared" si="96"/>
        <v>insert into ins_premium_det (premium_rcv_code,assorted_code, rec_amount,premium_rcv_detail_code,remaining_amt, payrec, mode_code,coinsurance_code,class_cd,it_remarks) values</v>
      </c>
      <c r="G1558" s="11" t="str">
        <f t="shared" si="98"/>
        <v>('28Nov240101','040000165772','1',(select max(to_number(i.premium_rcv_detail_code))+1
from ins_premium_det i),'1','1','02', '11000003','00','Request by Mr. Omair Ali 29-Nov-2024');</v>
      </c>
      <c r="H1558" s="12" t="str">
        <f t="shared" si="99"/>
        <v>insert into ins_premium_det (premium_rcv_code,assorted_code, rec_amount,premium_rcv_detail_code,remaining_amt, payrec, mode_code,coinsurance_code,class_cd,it_remarks) values('28Nov240101','040000165772','1',(select max(to_number(i.premium_rcv_detail_code))+1
from ins_premium_det i),'1','1','02', '11000003','00','Request by Mr. Omair Ali 29-Nov-2024');</v>
      </c>
    </row>
    <row r="1559" spans="1:8" ht="105" x14ac:dyDescent="0.25">
      <c r="A1559" t="s">
        <v>1559</v>
      </c>
      <c r="B1559" s="8" t="str">
        <f>VLOOKUP(A1559,assortedcode!B:C,2,0)</f>
        <v>040000137007</v>
      </c>
      <c r="C1559" s="1">
        <v>1</v>
      </c>
      <c r="D1559" s="9">
        <f t="shared" si="97"/>
        <v>1</v>
      </c>
      <c r="E1559" s="7" t="s">
        <v>8345</v>
      </c>
      <c r="F1559" s="10" t="str">
        <f t="shared" si="96"/>
        <v>insert into ins_premium_det (premium_rcv_code,assorted_code, rec_amount,premium_rcv_detail_code,remaining_amt, payrec, mode_code,coinsurance_code,class_cd,it_remarks) values</v>
      </c>
      <c r="G1559" s="11" t="str">
        <f t="shared" si="98"/>
        <v>('28Nov240101','040000137007','1',(select max(to_number(i.premium_rcv_detail_code))+1
from ins_premium_det i),'1','1','02', '11000003','00','Request by Mr. Omair Ali 29-Nov-2024');</v>
      </c>
      <c r="H1559" s="12" t="str">
        <f t="shared" si="99"/>
        <v>insert into ins_premium_det (premium_rcv_code,assorted_code, rec_amount,premium_rcv_detail_code,remaining_amt, payrec, mode_code,coinsurance_code,class_cd,it_remarks) values('28Nov240101','040000137007','1',(select max(to_number(i.premium_rcv_detail_code))+1
from ins_premium_det i),'1','1','02', '11000003','00','Request by Mr. Omair Ali 29-Nov-2024');</v>
      </c>
    </row>
    <row r="1560" spans="1:8" ht="105" x14ac:dyDescent="0.25">
      <c r="A1560" t="s">
        <v>1560</v>
      </c>
      <c r="B1560" s="8" t="str">
        <f>VLOOKUP(A1560,assortedcode!B:C,2,0)</f>
        <v>040000165697</v>
      </c>
      <c r="C1560" s="1">
        <v>1</v>
      </c>
      <c r="D1560" s="9">
        <f t="shared" si="97"/>
        <v>1</v>
      </c>
      <c r="E1560" s="7" t="s">
        <v>8345</v>
      </c>
      <c r="F1560" s="10" t="str">
        <f t="shared" si="96"/>
        <v>insert into ins_premium_det (premium_rcv_code,assorted_code, rec_amount,premium_rcv_detail_code,remaining_amt, payrec, mode_code,coinsurance_code,class_cd,it_remarks) values</v>
      </c>
      <c r="G1560" s="11" t="str">
        <f t="shared" si="98"/>
        <v>('28Nov240101','040000165697','1',(select max(to_number(i.premium_rcv_detail_code))+1
from ins_premium_det i),'1','1','02', '11000003','00','Request by Mr. Omair Ali 29-Nov-2024');</v>
      </c>
      <c r="H1560" s="12" t="str">
        <f t="shared" si="99"/>
        <v>insert into ins_premium_det (premium_rcv_code,assorted_code, rec_amount,premium_rcv_detail_code,remaining_amt, payrec, mode_code,coinsurance_code,class_cd,it_remarks) values('28Nov240101','040000165697','1',(select max(to_number(i.premium_rcv_detail_code))+1
from ins_premium_det i),'1','1','02', '11000003','00','Request by Mr. Omair Ali 29-Nov-2024');</v>
      </c>
    </row>
    <row r="1561" spans="1:8" ht="105" x14ac:dyDescent="0.25">
      <c r="A1561" t="s">
        <v>1561</v>
      </c>
      <c r="B1561" s="8" t="str">
        <f>VLOOKUP(A1561,assortedcode!B:C,2,0)</f>
        <v>040000165735</v>
      </c>
      <c r="C1561" s="1">
        <v>1</v>
      </c>
      <c r="D1561" s="9">
        <f t="shared" si="97"/>
        <v>1</v>
      </c>
      <c r="E1561" s="7" t="s">
        <v>8345</v>
      </c>
      <c r="F1561" s="10" t="str">
        <f t="shared" si="96"/>
        <v>insert into ins_premium_det (premium_rcv_code,assorted_code, rec_amount,premium_rcv_detail_code,remaining_amt, payrec, mode_code,coinsurance_code,class_cd,it_remarks) values</v>
      </c>
      <c r="G1561" s="11" t="str">
        <f t="shared" si="98"/>
        <v>('28Nov240101','040000165735','1',(select max(to_number(i.premium_rcv_detail_code))+1
from ins_premium_det i),'1','1','02', '11000003','00','Request by Mr. Omair Ali 29-Nov-2024');</v>
      </c>
      <c r="H1561" s="12" t="str">
        <f t="shared" si="99"/>
        <v>insert into ins_premium_det (premium_rcv_code,assorted_code, rec_amount,premium_rcv_detail_code,remaining_amt, payrec, mode_code,coinsurance_code,class_cd,it_remarks) values('28Nov240101','040000165735','1',(select max(to_number(i.premium_rcv_detail_code))+1
from ins_premium_det i),'1','1','02', '11000003','00','Request by Mr. Omair Ali 29-Nov-2024');</v>
      </c>
    </row>
    <row r="1562" spans="1:8" ht="105" x14ac:dyDescent="0.25">
      <c r="A1562" t="s">
        <v>1562</v>
      </c>
      <c r="B1562" s="8" t="str">
        <f>VLOOKUP(A1562,assortedcode!B:C,2,0)</f>
        <v>040000144954</v>
      </c>
      <c r="C1562" s="1">
        <v>1</v>
      </c>
      <c r="D1562" s="9">
        <f t="shared" si="97"/>
        <v>1</v>
      </c>
      <c r="E1562" s="7" t="s">
        <v>8345</v>
      </c>
      <c r="F1562" s="10" t="str">
        <f t="shared" si="96"/>
        <v>insert into ins_premium_det (premium_rcv_code,assorted_code, rec_amount,premium_rcv_detail_code,remaining_amt, payrec, mode_code,coinsurance_code,class_cd,it_remarks) values</v>
      </c>
      <c r="G1562" s="11" t="str">
        <f t="shared" si="98"/>
        <v>('28Nov240101','040000144954','1',(select max(to_number(i.premium_rcv_detail_code))+1
from ins_premium_det i),'1','1','02', '11000003','00','Request by Mr. Omair Ali 29-Nov-2024');</v>
      </c>
      <c r="H1562" s="12" t="str">
        <f t="shared" si="99"/>
        <v>insert into ins_premium_det (premium_rcv_code,assorted_code, rec_amount,premium_rcv_detail_code,remaining_amt, payrec, mode_code,coinsurance_code,class_cd,it_remarks) values('28Nov240101','040000144954','1',(select max(to_number(i.premium_rcv_detail_code))+1
from ins_premium_det i),'1','1','02', '11000003','00','Request by Mr. Omair Ali 29-Nov-2024');</v>
      </c>
    </row>
    <row r="1563" spans="1:8" ht="105" x14ac:dyDescent="0.25">
      <c r="A1563" t="s">
        <v>1563</v>
      </c>
      <c r="B1563" s="8" t="str">
        <f>VLOOKUP(A1563,assortedcode!B:C,2,0)</f>
        <v>040000165762</v>
      </c>
      <c r="C1563" s="1">
        <v>1</v>
      </c>
      <c r="D1563" s="9">
        <f t="shared" si="97"/>
        <v>1</v>
      </c>
      <c r="E1563" s="7" t="s">
        <v>8345</v>
      </c>
      <c r="F1563" s="10" t="str">
        <f t="shared" si="96"/>
        <v>insert into ins_premium_det (premium_rcv_code,assorted_code, rec_amount,premium_rcv_detail_code,remaining_amt, payrec, mode_code,coinsurance_code,class_cd,it_remarks) values</v>
      </c>
      <c r="G1563" s="11" t="str">
        <f t="shared" si="98"/>
        <v>('28Nov240101','040000165762','1',(select max(to_number(i.premium_rcv_detail_code))+1
from ins_premium_det i),'1','1','02', '11000003','00','Request by Mr. Omair Ali 29-Nov-2024');</v>
      </c>
      <c r="H1563" s="12" t="str">
        <f t="shared" si="99"/>
        <v>insert into ins_premium_det (premium_rcv_code,assorted_code, rec_amount,premium_rcv_detail_code,remaining_amt, payrec, mode_code,coinsurance_code,class_cd,it_remarks) values('28Nov240101','040000165762','1',(select max(to_number(i.premium_rcv_detail_code))+1
from ins_premium_det i),'1','1','02', '11000003','00','Request by Mr. Omair Ali 29-Nov-2024');</v>
      </c>
    </row>
    <row r="1564" spans="1:8" ht="105" x14ac:dyDescent="0.25">
      <c r="A1564" t="s">
        <v>1564</v>
      </c>
      <c r="B1564" s="8" t="str">
        <f>VLOOKUP(A1564,assortedcode!B:C,2,0)</f>
        <v>040000181418</v>
      </c>
      <c r="C1564" s="1">
        <v>1</v>
      </c>
      <c r="D1564" s="9">
        <f t="shared" si="97"/>
        <v>1</v>
      </c>
      <c r="E1564" s="7" t="s">
        <v>8345</v>
      </c>
      <c r="F1564" s="10" t="str">
        <f t="shared" si="96"/>
        <v>insert into ins_premium_det (premium_rcv_code,assorted_code, rec_amount,premium_rcv_detail_code,remaining_amt, payrec, mode_code,coinsurance_code,class_cd,it_remarks) values</v>
      </c>
      <c r="G1564" s="11" t="str">
        <f t="shared" si="98"/>
        <v>('28Nov240101','040000181418','1',(select max(to_number(i.premium_rcv_detail_code))+1
from ins_premium_det i),'1','1','02', '11000003','00','Request by Mr. Omair Ali 29-Nov-2024');</v>
      </c>
      <c r="H1564" s="12" t="str">
        <f t="shared" si="99"/>
        <v>insert into ins_premium_det (premium_rcv_code,assorted_code, rec_amount,premium_rcv_detail_code,remaining_amt, payrec, mode_code,coinsurance_code,class_cd,it_remarks) values('28Nov240101','040000181418','1',(select max(to_number(i.premium_rcv_detail_code))+1
from ins_premium_det i),'1','1','02', '11000003','00','Request by Mr. Omair Ali 29-Nov-2024');</v>
      </c>
    </row>
    <row r="1565" spans="1:8" ht="105" x14ac:dyDescent="0.25">
      <c r="A1565" t="s">
        <v>1565</v>
      </c>
      <c r="B1565" s="8" t="str">
        <f>VLOOKUP(A1565,assortedcode!B:C,2,0)</f>
        <v>040000165776</v>
      </c>
      <c r="C1565" s="1">
        <v>1</v>
      </c>
      <c r="D1565" s="9">
        <f t="shared" si="97"/>
        <v>1</v>
      </c>
      <c r="E1565" s="7" t="s">
        <v>8345</v>
      </c>
      <c r="F1565" s="10" t="str">
        <f t="shared" si="96"/>
        <v>insert into ins_premium_det (premium_rcv_code,assorted_code, rec_amount,premium_rcv_detail_code,remaining_amt, payrec, mode_code,coinsurance_code,class_cd,it_remarks) values</v>
      </c>
      <c r="G1565" s="11" t="str">
        <f t="shared" si="98"/>
        <v>('28Nov240101','040000165776','1',(select max(to_number(i.premium_rcv_detail_code))+1
from ins_premium_det i),'1','1','02', '11000003','00','Request by Mr. Omair Ali 29-Nov-2024');</v>
      </c>
      <c r="H1565" s="12" t="str">
        <f t="shared" si="99"/>
        <v>insert into ins_premium_det (premium_rcv_code,assorted_code, rec_amount,premium_rcv_detail_code,remaining_amt, payrec, mode_code,coinsurance_code,class_cd,it_remarks) values('28Nov240101','040000165776','1',(select max(to_number(i.premium_rcv_detail_code))+1
from ins_premium_det i),'1','1','02', '11000003','00','Request by Mr. Omair Ali 29-Nov-2024');</v>
      </c>
    </row>
    <row r="1566" spans="1:8" ht="105" x14ac:dyDescent="0.25">
      <c r="A1566" t="s">
        <v>1566</v>
      </c>
      <c r="B1566" s="8" t="str">
        <f>VLOOKUP(A1566,assortedcode!B:C,2,0)</f>
        <v>040000137052</v>
      </c>
      <c r="C1566" s="1">
        <v>1</v>
      </c>
      <c r="D1566" s="9">
        <f t="shared" si="97"/>
        <v>1</v>
      </c>
      <c r="E1566" s="7" t="s">
        <v>8345</v>
      </c>
      <c r="F1566" s="10" t="str">
        <f t="shared" si="96"/>
        <v>insert into ins_premium_det (premium_rcv_code,assorted_code, rec_amount,premium_rcv_detail_code,remaining_amt, payrec, mode_code,coinsurance_code,class_cd,it_remarks) values</v>
      </c>
      <c r="G1566" s="11" t="str">
        <f t="shared" si="98"/>
        <v>('28Nov240101','040000137052','1',(select max(to_number(i.premium_rcv_detail_code))+1
from ins_premium_det i),'1','1','02', '11000003','00','Request by Mr. Omair Ali 29-Nov-2024');</v>
      </c>
      <c r="H1566" s="12" t="str">
        <f t="shared" si="99"/>
        <v>insert into ins_premium_det (premium_rcv_code,assorted_code, rec_amount,premium_rcv_detail_code,remaining_amt, payrec, mode_code,coinsurance_code,class_cd,it_remarks) values('28Nov240101','040000137052','1',(select max(to_number(i.premium_rcv_detail_code))+1
from ins_premium_det i),'1','1','02', '11000003','00','Request by Mr. Omair Ali 29-Nov-2024');</v>
      </c>
    </row>
    <row r="1567" spans="1:8" ht="105" x14ac:dyDescent="0.25">
      <c r="A1567" t="s">
        <v>1567</v>
      </c>
      <c r="B1567" s="8" t="str">
        <f>VLOOKUP(A1567,assortedcode!B:C,2,0)</f>
        <v>040000166353</v>
      </c>
      <c r="C1567" s="1">
        <v>1</v>
      </c>
      <c r="D1567" s="9">
        <f t="shared" si="97"/>
        <v>1</v>
      </c>
      <c r="E1567" s="7" t="s">
        <v>8345</v>
      </c>
      <c r="F1567" s="10" t="str">
        <f t="shared" si="96"/>
        <v>insert into ins_premium_det (premium_rcv_code,assorted_code, rec_amount,premium_rcv_detail_code,remaining_amt, payrec, mode_code,coinsurance_code,class_cd,it_remarks) values</v>
      </c>
      <c r="G1567" s="11" t="str">
        <f t="shared" si="98"/>
        <v>('28Nov240101','040000166353','1',(select max(to_number(i.premium_rcv_detail_code))+1
from ins_premium_det i),'1','1','02', '11000003','00','Request by Mr. Omair Ali 29-Nov-2024');</v>
      </c>
      <c r="H1567" s="12" t="str">
        <f t="shared" si="99"/>
        <v>insert into ins_premium_det (premium_rcv_code,assorted_code, rec_amount,premium_rcv_detail_code,remaining_amt, payrec, mode_code,coinsurance_code,class_cd,it_remarks) values('28Nov240101','040000166353','1',(select max(to_number(i.premium_rcv_detail_code))+1
from ins_premium_det i),'1','1','02', '11000003','00','Request by Mr. Omair Ali 29-Nov-2024');</v>
      </c>
    </row>
    <row r="1568" spans="1:8" ht="105" x14ac:dyDescent="0.25">
      <c r="A1568" t="s">
        <v>1568</v>
      </c>
      <c r="B1568" s="8" t="str">
        <f>VLOOKUP(A1568,assortedcode!B:C,2,0)</f>
        <v>040000141361</v>
      </c>
      <c r="C1568" s="1">
        <v>1</v>
      </c>
      <c r="D1568" s="9">
        <f t="shared" si="97"/>
        <v>1</v>
      </c>
      <c r="E1568" s="7" t="s">
        <v>8345</v>
      </c>
      <c r="F1568" s="10" t="str">
        <f t="shared" si="96"/>
        <v>insert into ins_premium_det (premium_rcv_code,assorted_code, rec_amount,premium_rcv_detail_code,remaining_amt, payrec, mode_code,coinsurance_code,class_cd,it_remarks) values</v>
      </c>
      <c r="G1568" s="11" t="str">
        <f t="shared" si="98"/>
        <v>('28Nov240101','040000141361','1',(select max(to_number(i.premium_rcv_detail_code))+1
from ins_premium_det i),'1','1','02', '11000003','00','Request by Mr. Omair Ali 29-Nov-2024');</v>
      </c>
      <c r="H1568" s="12" t="str">
        <f t="shared" si="99"/>
        <v>insert into ins_premium_det (premium_rcv_code,assorted_code, rec_amount,premium_rcv_detail_code,remaining_amt, payrec, mode_code,coinsurance_code,class_cd,it_remarks) values('28Nov240101','040000141361','1',(select max(to_number(i.premium_rcv_detail_code))+1
from ins_premium_det i),'1','1','02', '11000003','00','Request by Mr. Omair Ali 29-Nov-2024');</v>
      </c>
    </row>
    <row r="1569" spans="1:8" ht="105" x14ac:dyDescent="0.25">
      <c r="A1569" t="s">
        <v>1569</v>
      </c>
      <c r="B1569" s="8" t="str">
        <f>VLOOKUP(A1569,assortedcode!B:C,2,0)</f>
        <v>040000167025</v>
      </c>
      <c r="C1569" s="1">
        <v>1</v>
      </c>
      <c r="D1569" s="9">
        <f t="shared" si="97"/>
        <v>1</v>
      </c>
      <c r="E1569" s="7" t="s">
        <v>8345</v>
      </c>
      <c r="F1569" s="10" t="str">
        <f t="shared" si="96"/>
        <v>insert into ins_premium_det (premium_rcv_code,assorted_code, rec_amount,premium_rcv_detail_code,remaining_amt, payrec, mode_code,coinsurance_code,class_cd,it_remarks) values</v>
      </c>
      <c r="G1569" s="11" t="str">
        <f t="shared" si="98"/>
        <v>('28Nov240101','040000167025','1',(select max(to_number(i.premium_rcv_detail_code))+1
from ins_premium_det i),'1','1','02', '11000003','00','Request by Mr. Omair Ali 29-Nov-2024');</v>
      </c>
      <c r="H1569" s="12" t="str">
        <f t="shared" si="99"/>
        <v>insert into ins_premium_det (premium_rcv_code,assorted_code, rec_amount,premium_rcv_detail_code,remaining_amt, payrec, mode_code,coinsurance_code,class_cd,it_remarks) values('28Nov240101','040000167025','1',(select max(to_number(i.premium_rcv_detail_code))+1
from ins_premium_det i),'1','1','02', '11000003','00','Request by Mr. Omair Ali 29-Nov-2024');</v>
      </c>
    </row>
    <row r="1570" spans="1:8" ht="105" x14ac:dyDescent="0.25">
      <c r="A1570" t="s">
        <v>1570</v>
      </c>
      <c r="B1570" s="8" t="str">
        <f>VLOOKUP(A1570,assortedcode!B:C,2,0)</f>
        <v>040000137186</v>
      </c>
      <c r="C1570" s="1">
        <v>1</v>
      </c>
      <c r="D1570" s="9">
        <f t="shared" si="97"/>
        <v>1</v>
      </c>
      <c r="E1570" s="7" t="s">
        <v>8345</v>
      </c>
      <c r="F1570" s="10" t="str">
        <f t="shared" si="96"/>
        <v>insert into ins_premium_det (premium_rcv_code,assorted_code, rec_amount,premium_rcv_detail_code,remaining_amt, payrec, mode_code,coinsurance_code,class_cd,it_remarks) values</v>
      </c>
      <c r="G1570" s="11" t="str">
        <f t="shared" si="98"/>
        <v>('28Nov240101','040000137186','1',(select max(to_number(i.premium_rcv_detail_code))+1
from ins_premium_det i),'1','1','02', '11000003','00','Request by Mr. Omair Ali 29-Nov-2024');</v>
      </c>
      <c r="H1570" s="12" t="str">
        <f t="shared" si="99"/>
        <v>insert into ins_premium_det (premium_rcv_code,assorted_code, rec_amount,premium_rcv_detail_code,remaining_amt, payrec, mode_code,coinsurance_code,class_cd,it_remarks) values('28Nov240101','040000137186','1',(select max(to_number(i.premium_rcv_detail_code))+1
from ins_premium_det i),'1','1','02', '11000003','00','Request by Mr. Omair Ali 29-Nov-2024');</v>
      </c>
    </row>
    <row r="1571" spans="1:8" ht="105" x14ac:dyDescent="0.25">
      <c r="A1571" t="s">
        <v>1571</v>
      </c>
      <c r="B1571" s="8" t="str">
        <f>VLOOKUP(A1571,assortedcode!B:C,2,0)</f>
        <v>040000121152</v>
      </c>
      <c r="C1571" s="1">
        <v>1</v>
      </c>
      <c r="D1571" s="9">
        <f t="shared" si="97"/>
        <v>1</v>
      </c>
      <c r="E1571" s="7" t="s">
        <v>8345</v>
      </c>
      <c r="F1571" s="10" t="str">
        <f t="shared" si="96"/>
        <v>insert into ins_premium_det (premium_rcv_code,assorted_code, rec_amount,premium_rcv_detail_code,remaining_amt, payrec, mode_code,coinsurance_code,class_cd,it_remarks) values</v>
      </c>
      <c r="G1571" s="11" t="str">
        <f t="shared" si="98"/>
        <v>('28Nov240101','040000121152','1',(select max(to_number(i.premium_rcv_detail_code))+1
from ins_premium_det i),'1','1','02', '11000003','00','Request by Mr. Omair Ali 29-Nov-2024');</v>
      </c>
      <c r="H1571" s="12" t="str">
        <f t="shared" si="99"/>
        <v>insert into ins_premium_det (premium_rcv_code,assorted_code, rec_amount,premium_rcv_detail_code,remaining_amt, payrec, mode_code,coinsurance_code,class_cd,it_remarks) values('28Nov240101','040000121152','1',(select max(to_number(i.premium_rcv_detail_code))+1
from ins_premium_det i),'1','1','02', '11000003','00','Request by Mr. Omair Ali 29-Nov-2024');</v>
      </c>
    </row>
    <row r="1572" spans="1:8" ht="105" x14ac:dyDescent="0.25">
      <c r="A1572" t="s">
        <v>1572</v>
      </c>
      <c r="B1572" s="8" t="str">
        <f>VLOOKUP(A1572,assortedcode!B:C,2,0)</f>
        <v>040000129097</v>
      </c>
      <c r="C1572" s="1">
        <v>1</v>
      </c>
      <c r="D1572" s="9">
        <f t="shared" si="97"/>
        <v>1</v>
      </c>
      <c r="E1572" s="7" t="s">
        <v>8345</v>
      </c>
      <c r="F1572" s="10" t="str">
        <f t="shared" si="96"/>
        <v>insert into ins_premium_det (premium_rcv_code,assorted_code, rec_amount,premium_rcv_detail_code,remaining_amt, payrec, mode_code,coinsurance_code,class_cd,it_remarks) values</v>
      </c>
      <c r="G1572" s="11" t="str">
        <f t="shared" si="98"/>
        <v>('28Nov240101','040000129097','1',(select max(to_number(i.premium_rcv_detail_code))+1
from ins_premium_det i),'1','1','02', '11000003','00','Request by Mr. Omair Ali 29-Nov-2024');</v>
      </c>
      <c r="H1572" s="12" t="str">
        <f t="shared" si="99"/>
        <v>insert into ins_premium_det (premium_rcv_code,assorted_code, rec_amount,premium_rcv_detail_code,remaining_amt, payrec, mode_code,coinsurance_code,class_cd,it_remarks) values('28Nov240101','040000129097','1',(select max(to_number(i.premium_rcv_detail_code))+1
from ins_premium_det i),'1','1','02', '11000003','00','Request by Mr. Omair Ali 29-Nov-2024');</v>
      </c>
    </row>
    <row r="1573" spans="1:8" ht="105" x14ac:dyDescent="0.25">
      <c r="A1573" t="s">
        <v>1573</v>
      </c>
      <c r="B1573" s="8" t="str">
        <f>VLOOKUP(A1573,assortedcode!B:C,2,0)</f>
        <v>040000148890</v>
      </c>
      <c r="C1573" s="1">
        <v>1</v>
      </c>
      <c r="D1573" s="9">
        <f t="shared" si="97"/>
        <v>1</v>
      </c>
      <c r="E1573" s="7" t="s">
        <v>8345</v>
      </c>
      <c r="F1573" s="10" t="str">
        <f t="shared" si="96"/>
        <v>insert into ins_premium_det (premium_rcv_code,assorted_code, rec_amount,premium_rcv_detail_code,remaining_amt, payrec, mode_code,coinsurance_code,class_cd,it_remarks) values</v>
      </c>
      <c r="G1573" s="11" t="str">
        <f t="shared" si="98"/>
        <v>('28Nov240101','040000148890','1',(select max(to_number(i.premium_rcv_detail_code))+1
from ins_premium_det i),'1','1','02', '11000003','00','Request by Mr. Omair Ali 29-Nov-2024');</v>
      </c>
      <c r="H1573" s="12" t="str">
        <f t="shared" si="99"/>
        <v>insert into ins_premium_det (premium_rcv_code,assorted_code, rec_amount,premium_rcv_detail_code,remaining_amt, payrec, mode_code,coinsurance_code,class_cd,it_remarks) values('28Nov240101','040000148890','1',(select max(to_number(i.premium_rcv_detail_code))+1
from ins_premium_det i),'1','1','02', '11000003','00','Request by Mr. Omair Ali 29-Nov-2024');</v>
      </c>
    </row>
    <row r="1574" spans="1:8" ht="105" x14ac:dyDescent="0.25">
      <c r="A1574" t="s">
        <v>1574</v>
      </c>
      <c r="B1574" s="8" t="str">
        <f>VLOOKUP(A1574,assortedcode!B:C,2,0)</f>
        <v>040000137630</v>
      </c>
      <c r="C1574" s="1">
        <v>1</v>
      </c>
      <c r="D1574" s="9">
        <f t="shared" si="97"/>
        <v>1</v>
      </c>
      <c r="E1574" s="7" t="s">
        <v>8345</v>
      </c>
      <c r="F1574" s="10" t="str">
        <f t="shared" si="96"/>
        <v>insert into ins_premium_det (premium_rcv_code,assorted_code, rec_amount,premium_rcv_detail_code,remaining_amt, payrec, mode_code,coinsurance_code,class_cd,it_remarks) values</v>
      </c>
      <c r="G1574" s="11" t="str">
        <f t="shared" si="98"/>
        <v>('28Nov240101','040000137630','1',(select max(to_number(i.premium_rcv_detail_code))+1
from ins_premium_det i),'1','1','02', '11000003','00','Request by Mr. Omair Ali 29-Nov-2024');</v>
      </c>
      <c r="H1574" s="12" t="str">
        <f t="shared" si="99"/>
        <v>insert into ins_premium_det (premium_rcv_code,assorted_code, rec_amount,premium_rcv_detail_code,remaining_amt, payrec, mode_code,coinsurance_code,class_cd,it_remarks) values('28Nov240101','040000137630','1',(select max(to_number(i.premium_rcv_detail_code))+1
from ins_premium_det i),'1','1','02', '11000003','00','Request by Mr. Omair Ali 29-Nov-2024');</v>
      </c>
    </row>
    <row r="1575" spans="1:8" ht="105" x14ac:dyDescent="0.25">
      <c r="A1575" t="s">
        <v>1575</v>
      </c>
      <c r="B1575" s="8" t="str">
        <f>VLOOKUP(A1575,assortedcode!B:C,2,0)</f>
        <v>040000114139</v>
      </c>
      <c r="C1575" s="1">
        <v>1</v>
      </c>
      <c r="D1575" s="9">
        <f t="shared" si="97"/>
        <v>1</v>
      </c>
      <c r="E1575" s="7" t="s">
        <v>8345</v>
      </c>
      <c r="F1575" s="10" t="str">
        <f t="shared" si="96"/>
        <v>insert into ins_premium_det (premium_rcv_code,assorted_code, rec_amount,premium_rcv_detail_code,remaining_amt, payrec, mode_code,coinsurance_code,class_cd,it_remarks) values</v>
      </c>
      <c r="G1575" s="11" t="str">
        <f t="shared" si="98"/>
        <v>('28Nov240101','040000114139','1',(select max(to_number(i.premium_rcv_detail_code))+1
from ins_premium_det i),'1','1','02', '11000003','00','Request by Mr. Omair Ali 29-Nov-2024');</v>
      </c>
      <c r="H1575" s="12" t="str">
        <f t="shared" si="99"/>
        <v>insert into ins_premium_det (premium_rcv_code,assorted_code, rec_amount,premium_rcv_detail_code,remaining_amt, payrec, mode_code,coinsurance_code,class_cd,it_remarks) values('28Nov240101','040000114139','1',(select max(to_number(i.premium_rcv_detail_code))+1
from ins_premium_det i),'1','1','02', '11000003','00','Request by Mr. Omair Ali 29-Nov-2024');</v>
      </c>
    </row>
    <row r="1576" spans="1:8" ht="105" x14ac:dyDescent="0.25">
      <c r="A1576" t="s">
        <v>1576</v>
      </c>
      <c r="B1576" s="8" t="str">
        <f>VLOOKUP(A1576,assortedcode!B:C,2,0)</f>
        <v>040000155431</v>
      </c>
      <c r="C1576" s="1">
        <v>1</v>
      </c>
      <c r="D1576" s="9">
        <f t="shared" si="97"/>
        <v>1</v>
      </c>
      <c r="E1576" s="7" t="s">
        <v>8345</v>
      </c>
      <c r="F1576" s="10" t="str">
        <f t="shared" si="96"/>
        <v>insert into ins_premium_det (premium_rcv_code,assorted_code, rec_amount,premium_rcv_detail_code,remaining_amt, payrec, mode_code,coinsurance_code,class_cd,it_remarks) values</v>
      </c>
      <c r="G1576" s="11" t="str">
        <f t="shared" si="98"/>
        <v>('28Nov240101','040000155431','1',(select max(to_number(i.premium_rcv_detail_code))+1
from ins_premium_det i),'1','1','02', '11000003','00','Request by Mr. Omair Ali 29-Nov-2024');</v>
      </c>
      <c r="H1576" s="12" t="str">
        <f t="shared" si="99"/>
        <v>insert into ins_premium_det (premium_rcv_code,assorted_code, rec_amount,premium_rcv_detail_code,remaining_amt, payrec, mode_code,coinsurance_code,class_cd,it_remarks) values('28Nov240101','040000155431','1',(select max(to_number(i.premium_rcv_detail_code))+1
from ins_premium_det i),'1','1','02', '11000003','00','Request by Mr. Omair Ali 29-Nov-2024');</v>
      </c>
    </row>
    <row r="1577" spans="1:8" ht="105" x14ac:dyDescent="0.25">
      <c r="A1577" t="s">
        <v>1577</v>
      </c>
      <c r="B1577" s="8" t="str">
        <f>VLOOKUP(A1577,assortedcode!B:C,2,0)</f>
        <v>040000137147</v>
      </c>
      <c r="C1577" s="1">
        <v>1</v>
      </c>
      <c r="D1577" s="9">
        <f t="shared" si="97"/>
        <v>1</v>
      </c>
      <c r="E1577" s="7" t="s">
        <v>8345</v>
      </c>
      <c r="F1577" s="10" t="str">
        <f t="shared" si="96"/>
        <v>insert into ins_premium_det (premium_rcv_code,assorted_code, rec_amount,premium_rcv_detail_code,remaining_amt, payrec, mode_code,coinsurance_code,class_cd,it_remarks) values</v>
      </c>
      <c r="G1577" s="11" t="str">
        <f t="shared" si="98"/>
        <v>('28Nov240101','040000137147','1',(select max(to_number(i.premium_rcv_detail_code))+1
from ins_premium_det i),'1','1','02', '11000003','00','Request by Mr. Omair Ali 29-Nov-2024');</v>
      </c>
      <c r="H1577" s="12" t="str">
        <f t="shared" si="99"/>
        <v>insert into ins_premium_det (premium_rcv_code,assorted_code, rec_amount,premium_rcv_detail_code,remaining_amt, payrec, mode_code,coinsurance_code,class_cd,it_remarks) values('28Nov240101','040000137147','1',(select max(to_number(i.premium_rcv_detail_code))+1
from ins_premium_det i),'1','1','02', '11000003','00','Request by Mr. Omair Ali 29-Nov-2024');</v>
      </c>
    </row>
    <row r="1578" spans="1:8" ht="105" x14ac:dyDescent="0.25">
      <c r="A1578" t="s">
        <v>1578</v>
      </c>
      <c r="B1578" s="8" t="str">
        <f>VLOOKUP(A1578,assortedcode!B:C,2,0)</f>
        <v>040000137978</v>
      </c>
      <c r="C1578" s="1">
        <v>1</v>
      </c>
      <c r="D1578" s="9">
        <f t="shared" si="97"/>
        <v>1</v>
      </c>
      <c r="E1578" s="7" t="s">
        <v>8345</v>
      </c>
      <c r="F1578" s="10" t="str">
        <f t="shared" si="96"/>
        <v>insert into ins_premium_det (premium_rcv_code,assorted_code, rec_amount,premium_rcv_detail_code,remaining_amt, payrec, mode_code,coinsurance_code,class_cd,it_remarks) values</v>
      </c>
      <c r="G1578" s="11" t="str">
        <f t="shared" si="98"/>
        <v>('28Nov240101','040000137978','1',(select max(to_number(i.premium_rcv_detail_code))+1
from ins_premium_det i),'1','1','02', '11000003','00','Request by Mr. Omair Ali 29-Nov-2024');</v>
      </c>
      <c r="H1578" s="12" t="str">
        <f t="shared" si="99"/>
        <v>insert into ins_premium_det (premium_rcv_code,assorted_code, rec_amount,premium_rcv_detail_code,remaining_amt, payrec, mode_code,coinsurance_code,class_cd,it_remarks) values('28Nov240101','040000137978','1',(select max(to_number(i.premium_rcv_detail_code))+1
from ins_premium_det i),'1','1','02', '11000003','00','Request by Mr. Omair Ali 29-Nov-2024');</v>
      </c>
    </row>
    <row r="1579" spans="1:8" ht="105" x14ac:dyDescent="0.25">
      <c r="A1579" t="s">
        <v>1579</v>
      </c>
      <c r="B1579" s="8" t="str">
        <f>VLOOKUP(A1579,assortedcode!B:C,2,0)</f>
        <v>040000137149</v>
      </c>
      <c r="C1579" s="1">
        <v>1</v>
      </c>
      <c r="D1579" s="9">
        <f t="shared" si="97"/>
        <v>1</v>
      </c>
      <c r="E1579" s="7" t="s">
        <v>8345</v>
      </c>
      <c r="F1579" s="10" t="str">
        <f t="shared" si="96"/>
        <v>insert into ins_premium_det (premium_rcv_code,assorted_code, rec_amount,premium_rcv_detail_code,remaining_amt, payrec, mode_code,coinsurance_code,class_cd,it_remarks) values</v>
      </c>
      <c r="G1579" s="11" t="str">
        <f t="shared" si="98"/>
        <v>('28Nov240101','040000137149','1',(select max(to_number(i.premium_rcv_detail_code))+1
from ins_premium_det i),'1','1','02', '11000003','00','Request by Mr. Omair Ali 29-Nov-2024');</v>
      </c>
      <c r="H1579" s="12" t="str">
        <f t="shared" si="99"/>
        <v>insert into ins_premium_det (premium_rcv_code,assorted_code, rec_amount,premium_rcv_detail_code,remaining_amt, payrec, mode_code,coinsurance_code,class_cd,it_remarks) values('28Nov240101','040000137149','1',(select max(to_number(i.premium_rcv_detail_code))+1
from ins_premium_det i),'1','1','02', '11000003','00','Request by Mr. Omair Ali 29-Nov-2024');</v>
      </c>
    </row>
    <row r="1580" spans="1:8" ht="105" x14ac:dyDescent="0.25">
      <c r="A1580" t="s">
        <v>1580</v>
      </c>
      <c r="B1580" s="8" t="str">
        <f>VLOOKUP(A1580,assortedcode!B:C,2,0)</f>
        <v>040000137981</v>
      </c>
      <c r="C1580" s="1">
        <v>1</v>
      </c>
      <c r="D1580" s="9">
        <f t="shared" si="97"/>
        <v>1</v>
      </c>
      <c r="E1580" s="7" t="s">
        <v>8345</v>
      </c>
      <c r="F1580" s="10" t="str">
        <f t="shared" si="96"/>
        <v>insert into ins_premium_det (premium_rcv_code,assorted_code, rec_amount,premium_rcv_detail_code,remaining_amt, payrec, mode_code,coinsurance_code,class_cd,it_remarks) values</v>
      </c>
      <c r="G1580" s="11" t="str">
        <f t="shared" si="98"/>
        <v>('28Nov240101','040000137981','1',(select max(to_number(i.premium_rcv_detail_code))+1
from ins_premium_det i),'1','1','02', '11000003','00','Request by Mr. Omair Ali 29-Nov-2024');</v>
      </c>
      <c r="H1580" s="12" t="str">
        <f t="shared" si="99"/>
        <v>insert into ins_premium_det (premium_rcv_code,assorted_code, rec_amount,premium_rcv_detail_code,remaining_amt, payrec, mode_code,coinsurance_code,class_cd,it_remarks) values('28Nov240101','040000137981','1',(select max(to_number(i.premium_rcv_detail_code))+1
from ins_premium_det i),'1','1','02', '11000003','00','Request by Mr. Omair Ali 29-Nov-2024');</v>
      </c>
    </row>
    <row r="1581" spans="1:8" ht="105" x14ac:dyDescent="0.25">
      <c r="A1581" t="s">
        <v>1581</v>
      </c>
      <c r="B1581" s="8" t="str">
        <f>VLOOKUP(A1581,assortedcode!B:C,2,0)</f>
        <v>040000129096</v>
      </c>
      <c r="C1581" s="1">
        <v>1</v>
      </c>
      <c r="D1581" s="9">
        <f t="shared" si="97"/>
        <v>1</v>
      </c>
      <c r="E1581" s="7" t="s">
        <v>8345</v>
      </c>
      <c r="F1581" s="10" t="str">
        <f t="shared" si="96"/>
        <v>insert into ins_premium_det (premium_rcv_code,assorted_code, rec_amount,premium_rcv_detail_code,remaining_amt, payrec, mode_code,coinsurance_code,class_cd,it_remarks) values</v>
      </c>
      <c r="G1581" s="11" t="str">
        <f t="shared" si="98"/>
        <v>('28Nov240101','040000129096','1',(select max(to_number(i.premium_rcv_detail_code))+1
from ins_premium_det i),'1','1','02', '11000003','00','Request by Mr. Omair Ali 29-Nov-2024');</v>
      </c>
      <c r="H1581" s="12" t="str">
        <f t="shared" si="99"/>
        <v>insert into ins_premium_det (premium_rcv_code,assorted_code, rec_amount,premium_rcv_detail_code,remaining_amt, payrec, mode_code,coinsurance_code,class_cd,it_remarks) values('28Nov240101','040000129096','1',(select max(to_number(i.premium_rcv_detail_code))+1
from ins_premium_det i),'1','1','02', '11000003','00','Request by Mr. Omair Ali 29-Nov-2024');</v>
      </c>
    </row>
    <row r="1582" spans="1:8" ht="105" x14ac:dyDescent="0.25">
      <c r="A1582" t="s">
        <v>1582</v>
      </c>
      <c r="B1582" s="8" t="str">
        <f>VLOOKUP(A1582,assortedcode!B:C,2,0)</f>
        <v>040000156445</v>
      </c>
      <c r="C1582" s="1">
        <v>1</v>
      </c>
      <c r="D1582" s="9">
        <f t="shared" si="97"/>
        <v>1</v>
      </c>
      <c r="E1582" s="7" t="s">
        <v>8345</v>
      </c>
      <c r="F1582" s="10" t="str">
        <f t="shared" si="96"/>
        <v>insert into ins_premium_det (premium_rcv_code,assorted_code, rec_amount,premium_rcv_detail_code,remaining_amt, payrec, mode_code,coinsurance_code,class_cd,it_remarks) values</v>
      </c>
      <c r="G1582" s="11" t="str">
        <f t="shared" si="98"/>
        <v>('28Nov240101','040000156445','1',(select max(to_number(i.premium_rcv_detail_code))+1
from ins_premium_det i),'1','1','02', '11000003','00','Request by Mr. Omair Ali 29-Nov-2024');</v>
      </c>
      <c r="H1582" s="12" t="str">
        <f t="shared" si="99"/>
        <v>insert into ins_premium_det (premium_rcv_code,assorted_code, rec_amount,premium_rcv_detail_code,remaining_amt, payrec, mode_code,coinsurance_code,class_cd,it_remarks) values('28Nov240101','040000156445','1',(select max(to_number(i.premium_rcv_detail_code))+1
from ins_premium_det i),'1','1','02', '11000003','00','Request by Mr. Omair Ali 29-Nov-2024');</v>
      </c>
    </row>
    <row r="1583" spans="1:8" ht="105" x14ac:dyDescent="0.25">
      <c r="A1583" t="s">
        <v>1583</v>
      </c>
      <c r="B1583" s="8" t="str">
        <f>VLOOKUP(A1583,assortedcode!B:C,2,0)</f>
        <v>040000137980</v>
      </c>
      <c r="C1583" s="1">
        <v>1</v>
      </c>
      <c r="D1583" s="9">
        <f t="shared" si="97"/>
        <v>1</v>
      </c>
      <c r="E1583" s="7" t="s">
        <v>8345</v>
      </c>
      <c r="F1583" s="10" t="str">
        <f t="shared" si="96"/>
        <v>insert into ins_premium_det (premium_rcv_code,assorted_code, rec_amount,premium_rcv_detail_code,remaining_amt, payrec, mode_code,coinsurance_code,class_cd,it_remarks) values</v>
      </c>
      <c r="G1583" s="11" t="str">
        <f t="shared" si="98"/>
        <v>('28Nov240101','040000137980','1',(select max(to_number(i.premium_rcv_detail_code))+1
from ins_premium_det i),'1','1','02', '11000003','00','Request by Mr. Omair Ali 29-Nov-2024');</v>
      </c>
      <c r="H1583" s="12" t="str">
        <f t="shared" si="99"/>
        <v>insert into ins_premium_det (premium_rcv_code,assorted_code, rec_amount,premium_rcv_detail_code,remaining_amt, payrec, mode_code,coinsurance_code,class_cd,it_remarks) values('28Nov240101','040000137980','1',(select max(to_number(i.premium_rcv_detail_code))+1
from ins_premium_det i),'1','1','02', '11000003','00','Request by Mr. Omair Ali 29-Nov-2024');</v>
      </c>
    </row>
    <row r="1584" spans="1:8" ht="105" x14ac:dyDescent="0.25">
      <c r="A1584" t="s">
        <v>1584</v>
      </c>
      <c r="B1584" s="8" t="str">
        <f>VLOOKUP(A1584,assortedcode!B:C,2,0)</f>
        <v>040000177718</v>
      </c>
      <c r="C1584" s="1">
        <v>1</v>
      </c>
      <c r="D1584" s="9">
        <f t="shared" si="97"/>
        <v>1</v>
      </c>
      <c r="E1584" s="7" t="s">
        <v>8345</v>
      </c>
      <c r="F1584" s="10" t="str">
        <f t="shared" si="96"/>
        <v>insert into ins_premium_det (premium_rcv_code,assorted_code, rec_amount,premium_rcv_detail_code,remaining_amt, payrec, mode_code,coinsurance_code,class_cd,it_remarks) values</v>
      </c>
      <c r="G1584" s="11" t="str">
        <f t="shared" si="98"/>
        <v>('28Nov240101','040000177718','1',(select max(to_number(i.premium_rcv_detail_code))+1
from ins_premium_det i),'1','1','02', '11000003','00','Request by Mr. Omair Ali 29-Nov-2024');</v>
      </c>
      <c r="H1584" s="12" t="str">
        <f t="shared" si="99"/>
        <v>insert into ins_premium_det (premium_rcv_code,assorted_code, rec_amount,premium_rcv_detail_code,remaining_amt, payrec, mode_code,coinsurance_code,class_cd,it_remarks) values('28Nov240101','040000177718','1',(select max(to_number(i.premium_rcv_detail_code))+1
from ins_premium_det i),'1','1','02', '11000003','00','Request by Mr. Omair Ali 29-Nov-2024');</v>
      </c>
    </row>
    <row r="1585" spans="1:8" ht="105" x14ac:dyDescent="0.25">
      <c r="A1585" t="s">
        <v>1585</v>
      </c>
      <c r="B1585" s="8" t="str">
        <f>VLOOKUP(A1585,assortedcode!B:C,2,0)</f>
        <v>040000176948</v>
      </c>
      <c r="C1585" s="1">
        <v>1</v>
      </c>
      <c r="D1585" s="9">
        <f t="shared" si="97"/>
        <v>1</v>
      </c>
      <c r="E1585" s="7" t="s">
        <v>8345</v>
      </c>
      <c r="F1585" s="10" t="str">
        <f t="shared" si="96"/>
        <v>insert into ins_premium_det (premium_rcv_code,assorted_code, rec_amount,premium_rcv_detail_code,remaining_amt, payrec, mode_code,coinsurance_code,class_cd,it_remarks) values</v>
      </c>
      <c r="G1585" s="11" t="str">
        <f t="shared" si="98"/>
        <v>('28Nov240101','040000176948','1',(select max(to_number(i.premium_rcv_detail_code))+1
from ins_premium_det i),'1','1','02', '11000003','00','Request by Mr. Omair Ali 29-Nov-2024');</v>
      </c>
      <c r="H1585" s="12" t="str">
        <f t="shared" si="99"/>
        <v>insert into ins_premium_det (premium_rcv_code,assorted_code, rec_amount,premium_rcv_detail_code,remaining_amt, payrec, mode_code,coinsurance_code,class_cd,it_remarks) values('28Nov240101','040000176948','1',(select max(to_number(i.premium_rcv_detail_code))+1
from ins_premium_det i),'1','1','02', '11000003','00','Request by Mr. Omair Ali 29-Nov-2024');</v>
      </c>
    </row>
    <row r="1586" spans="1:8" ht="105" x14ac:dyDescent="0.25">
      <c r="A1586" t="s">
        <v>1586</v>
      </c>
      <c r="B1586" s="8" t="str">
        <f>VLOOKUP(A1586,assortedcode!B:C,2,0)</f>
        <v>040000177779</v>
      </c>
      <c r="C1586" s="1">
        <v>1</v>
      </c>
      <c r="D1586" s="9">
        <f t="shared" si="97"/>
        <v>1</v>
      </c>
      <c r="E1586" s="7" t="s">
        <v>8345</v>
      </c>
      <c r="F1586" s="10" t="str">
        <f t="shared" si="96"/>
        <v>insert into ins_premium_det (premium_rcv_code,assorted_code, rec_amount,premium_rcv_detail_code,remaining_amt, payrec, mode_code,coinsurance_code,class_cd,it_remarks) values</v>
      </c>
      <c r="G1586" s="11" t="str">
        <f t="shared" si="98"/>
        <v>('28Nov240101','040000177779','1',(select max(to_number(i.premium_rcv_detail_code))+1
from ins_premium_det i),'1','1','02', '11000003','00','Request by Mr. Omair Ali 29-Nov-2024');</v>
      </c>
      <c r="H1586" s="12" t="str">
        <f t="shared" si="99"/>
        <v>insert into ins_premium_det (premium_rcv_code,assorted_code, rec_amount,premium_rcv_detail_code,remaining_amt, payrec, mode_code,coinsurance_code,class_cd,it_remarks) values('28Nov240101','040000177779','1',(select max(to_number(i.premium_rcv_detail_code))+1
from ins_premium_det i),'1','1','02', '11000003','00','Request by Mr. Omair Ali 29-Nov-2024');</v>
      </c>
    </row>
    <row r="1587" spans="1:8" ht="105" x14ac:dyDescent="0.25">
      <c r="A1587" t="s">
        <v>1587</v>
      </c>
      <c r="B1587" s="8" t="str">
        <f>VLOOKUP(A1587,assortedcode!B:C,2,0)</f>
        <v>040000137628</v>
      </c>
      <c r="C1587" s="1">
        <v>1</v>
      </c>
      <c r="D1587" s="9">
        <f t="shared" si="97"/>
        <v>1</v>
      </c>
      <c r="E1587" s="7" t="s">
        <v>8345</v>
      </c>
      <c r="F1587" s="10" t="str">
        <f t="shared" si="96"/>
        <v>insert into ins_premium_det (premium_rcv_code,assorted_code, rec_amount,premium_rcv_detail_code,remaining_amt, payrec, mode_code,coinsurance_code,class_cd,it_remarks) values</v>
      </c>
      <c r="G1587" s="11" t="str">
        <f t="shared" si="98"/>
        <v>('28Nov240101','040000137628','1',(select max(to_number(i.premium_rcv_detail_code))+1
from ins_premium_det i),'1','1','02', '11000003','00','Request by Mr. Omair Ali 29-Nov-2024');</v>
      </c>
      <c r="H1587" s="12" t="str">
        <f t="shared" si="99"/>
        <v>insert into ins_premium_det (premium_rcv_code,assorted_code, rec_amount,premium_rcv_detail_code,remaining_amt, payrec, mode_code,coinsurance_code,class_cd,it_remarks) values('28Nov240101','040000137628','1',(select max(to_number(i.premium_rcv_detail_code))+1
from ins_premium_det i),'1','1','02', '11000003','00','Request by Mr. Omair Ali 29-Nov-2024');</v>
      </c>
    </row>
    <row r="1588" spans="1:8" ht="105" x14ac:dyDescent="0.25">
      <c r="A1588" t="s">
        <v>1588</v>
      </c>
      <c r="B1588" s="8" t="str">
        <f>VLOOKUP(A1588,assortedcode!B:C,2,0)</f>
        <v>040000177807</v>
      </c>
      <c r="C1588" s="1">
        <v>1</v>
      </c>
      <c r="D1588" s="9">
        <f t="shared" si="97"/>
        <v>1</v>
      </c>
      <c r="E1588" s="7" t="s">
        <v>8345</v>
      </c>
      <c r="F1588" s="10" t="str">
        <f t="shared" si="96"/>
        <v>insert into ins_premium_det (premium_rcv_code,assorted_code, rec_amount,premium_rcv_detail_code,remaining_amt, payrec, mode_code,coinsurance_code,class_cd,it_remarks) values</v>
      </c>
      <c r="G1588" s="11" t="str">
        <f t="shared" si="98"/>
        <v>('28Nov240101','040000177807','1',(select max(to_number(i.premium_rcv_detail_code))+1
from ins_premium_det i),'1','1','02', '11000003','00','Request by Mr. Omair Ali 29-Nov-2024');</v>
      </c>
      <c r="H1588" s="12" t="str">
        <f t="shared" si="99"/>
        <v>insert into ins_premium_det (premium_rcv_code,assorted_code, rec_amount,premium_rcv_detail_code,remaining_amt, payrec, mode_code,coinsurance_code,class_cd,it_remarks) values('28Nov240101','040000177807','1',(select max(to_number(i.premium_rcv_detail_code))+1
from ins_premium_det i),'1','1','02', '11000003','00','Request by Mr. Omair Ali 29-Nov-2024');</v>
      </c>
    </row>
    <row r="1589" spans="1:8" ht="105" x14ac:dyDescent="0.25">
      <c r="A1589" t="s">
        <v>1589</v>
      </c>
      <c r="B1589" s="8" t="str">
        <f>VLOOKUP(A1589,assortedcode!B:C,2,0)</f>
        <v>040000114134</v>
      </c>
      <c r="C1589" s="1">
        <v>1</v>
      </c>
      <c r="D1589" s="9">
        <f t="shared" si="97"/>
        <v>1</v>
      </c>
      <c r="E1589" s="7" t="s">
        <v>8345</v>
      </c>
      <c r="F1589" s="10" t="str">
        <f t="shared" si="96"/>
        <v>insert into ins_premium_det (premium_rcv_code,assorted_code, rec_amount,premium_rcv_detail_code,remaining_amt, payrec, mode_code,coinsurance_code,class_cd,it_remarks) values</v>
      </c>
      <c r="G1589" s="11" t="str">
        <f t="shared" si="98"/>
        <v>('28Nov240101','040000114134','1',(select max(to_number(i.premium_rcv_detail_code))+1
from ins_premium_det i),'1','1','02', '11000003','00','Request by Mr. Omair Ali 29-Nov-2024');</v>
      </c>
      <c r="H1589" s="12" t="str">
        <f t="shared" si="99"/>
        <v>insert into ins_premium_det (premium_rcv_code,assorted_code, rec_amount,premium_rcv_detail_code,remaining_amt, payrec, mode_code,coinsurance_code,class_cd,it_remarks) values('28Nov240101','040000114134','1',(select max(to_number(i.premium_rcv_detail_code))+1
from ins_premium_det i),'1','1','02', '11000003','00','Request by Mr. Omair Ali 29-Nov-2024');</v>
      </c>
    </row>
    <row r="1590" spans="1:8" ht="105" x14ac:dyDescent="0.25">
      <c r="A1590" t="s">
        <v>1590</v>
      </c>
      <c r="B1590" s="8" t="str">
        <f>VLOOKUP(A1590,assortedcode!B:C,2,0)</f>
        <v>040000177862</v>
      </c>
      <c r="C1590" s="1">
        <v>1</v>
      </c>
      <c r="D1590" s="9">
        <f t="shared" si="97"/>
        <v>1</v>
      </c>
      <c r="E1590" s="7" t="s">
        <v>8345</v>
      </c>
      <c r="F1590" s="10" t="str">
        <f t="shared" si="96"/>
        <v>insert into ins_premium_det (premium_rcv_code,assorted_code, rec_amount,premium_rcv_detail_code,remaining_amt, payrec, mode_code,coinsurance_code,class_cd,it_remarks) values</v>
      </c>
      <c r="G1590" s="11" t="str">
        <f t="shared" si="98"/>
        <v>('28Nov240101','040000177862','1',(select max(to_number(i.premium_rcv_detail_code))+1
from ins_premium_det i),'1','1','02', '11000003','00','Request by Mr. Omair Ali 29-Nov-2024');</v>
      </c>
      <c r="H1590" s="12" t="str">
        <f t="shared" si="99"/>
        <v>insert into ins_premium_det (premium_rcv_code,assorted_code, rec_amount,premium_rcv_detail_code,remaining_amt, payrec, mode_code,coinsurance_code,class_cd,it_remarks) values('28Nov240101','040000177862','1',(select max(to_number(i.premium_rcv_detail_code))+1
from ins_premium_det i),'1','1','02', '11000003','00','Request by Mr. Omair Ali 29-Nov-2024');</v>
      </c>
    </row>
    <row r="1591" spans="1:8" ht="105" x14ac:dyDescent="0.25">
      <c r="A1591" t="s">
        <v>1591</v>
      </c>
      <c r="B1591" s="8" t="str">
        <f>VLOOKUP(A1591,assortedcode!B:C,2,0)</f>
        <v>040000166753</v>
      </c>
      <c r="C1591" s="1">
        <v>1</v>
      </c>
      <c r="D1591" s="9">
        <f t="shared" si="97"/>
        <v>1</v>
      </c>
      <c r="E1591" s="7" t="s">
        <v>8345</v>
      </c>
      <c r="F1591" s="10" t="str">
        <f t="shared" si="96"/>
        <v>insert into ins_premium_det (premium_rcv_code,assorted_code, rec_amount,premium_rcv_detail_code,remaining_amt, payrec, mode_code,coinsurance_code,class_cd,it_remarks) values</v>
      </c>
      <c r="G1591" s="11" t="str">
        <f t="shared" si="98"/>
        <v>('28Nov240101','040000166753','1',(select max(to_number(i.premium_rcv_detail_code))+1
from ins_premium_det i),'1','1','02', '11000003','00','Request by Mr. Omair Ali 29-Nov-2024');</v>
      </c>
      <c r="H1591" s="12" t="str">
        <f t="shared" si="99"/>
        <v>insert into ins_premium_det (premium_rcv_code,assorted_code, rec_amount,premium_rcv_detail_code,remaining_amt, payrec, mode_code,coinsurance_code,class_cd,it_remarks) values('28Nov240101','040000166753','1',(select max(to_number(i.premium_rcv_detail_code))+1
from ins_premium_det i),'1','1','02', '11000003','00','Request by Mr. Omair Ali 29-Nov-2024');</v>
      </c>
    </row>
    <row r="1592" spans="1:8" ht="105" x14ac:dyDescent="0.25">
      <c r="A1592" t="s">
        <v>1592</v>
      </c>
      <c r="B1592" s="8" t="str">
        <f>VLOOKUP(A1592,assortedcode!B:C,2,0)</f>
        <v>040000177889</v>
      </c>
      <c r="C1592" s="1">
        <v>1</v>
      </c>
      <c r="D1592" s="9">
        <f t="shared" si="97"/>
        <v>1</v>
      </c>
      <c r="E1592" s="7" t="s">
        <v>8345</v>
      </c>
      <c r="F1592" s="10" t="str">
        <f t="shared" si="96"/>
        <v>insert into ins_premium_det (premium_rcv_code,assorted_code, rec_amount,premium_rcv_detail_code,remaining_amt, payrec, mode_code,coinsurance_code,class_cd,it_remarks) values</v>
      </c>
      <c r="G1592" s="11" t="str">
        <f t="shared" si="98"/>
        <v>('28Nov240101','040000177889','1',(select max(to_number(i.premium_rcv_detail_code))+1
from ins_premium_det i),'1','1','02', '11000003','00','Request by Mr. Omair Ali 29-Nov-2024');</v>
      </c>
      <c r="H1592" s="12" t="str">
        <f t="shared" si="99"/>
        <v>insert into ins_premium_det (premium_rcv_code,assorted_code, rec_amount,premium_rcv_detail_code,remaining_amt, payrec, mode_code,coinsurance_code,class_cd,it_remarks) values('28Nov240101','040000177889','1',(select max(to_number(i.premium_rcv_detail_code))+1
from ins_premium_det i),'1','1','02', '11000003','00','Request by Mr. Omair Ali 29-Nov-2024');</v>
      </c>
    </row>
    <row r="1593" spans="1:8" ht="105" x14ac:dyDescent="0.25">
      <c r="A1593" t="s">
        <v>1593</v>
      </c>
      <c r="B1593" s="8" t="str">
        <f>VLOOKUP(A1593,assortedcode!B:C,2,0)</f>
        <v>040000026470</v>
      </c>
      <c r="C1593" s="1">
        <v>1</v>
      </c>
      <c r="D1593" s="9">
        <f t="shared" si="97"/>
        <v>1</v>
      </c>
      <c r="E1593" s="7" t="s">
        <v>8345</v>
      </c>
      <c r="F1593" s="10" t="str">
        <f t="shared" si="96"/>
        <v>insert into ins_premium_det (premium_rcv_code,assorted_code, rec_amount,premium_rcv_detail_code,remaining_amt, payrec, mode_code,coinsurance_code,class_cd,it_remarks) values</v>
      </c>
      <c r="G1593" s="11" t="str">
        <f t="shared" si="98"/>
        <v>('28Nov240101','040000026470','1',(select max(to_number(i.premium_rcv_detail_code))+1
from ins_premium_det i),'1','1','02', '11000003','00','Request by Mr. Omair Ali 29-Nov-2024');</v>
      </c>
      <c r="H1593" s="12" t="str">
        <f t="shared" si="99"/>
        <v>insert into ins_premium_det (premium_rcv_code,assorted_code, rec_amount,premium_rcv_detail_code,remaining_amt, payrec, mode_code,coinsurance_code,class_cd,it_remarks) values('28Nov240101','040000026470','1',(select max(to_number(i.premium_rcv_detail_code))+1
from ins_premium_det i),'1','1','02', '11000003','00','Request by Mr. Omair Ali 29-Nov-2024');</v>
      </c>
    </row>
    <row r="1594" spans="1:8" ht="105" x14ac:dyDescent="0.25">
      <c r="A1594" t="s">
        <v>1594</v>
      </c>
      <c r="B1594" s="8" t="str">
        <f>VLOOKUP(A1594,assortedcode!B:C,2,0)</f>
        <v>040000126995</v>
      </c>
      <c r="C1594" s="1">
        <v>1</v>
      </c>
      <c r="D1594" s="9">
        <f t="shared" si="97"/>
        <v>1</v>
      </c>
      <c r="E1594" s="7" t="s">
        <v>8345</v>
      </c>
      <c r="F1594" s="10" t="str">
        <f t="shared" si="96"/>
        <v>insert into ins_premium_det (premium_rcv_code,assorted_code, rec_amount,premium_rcv_detail_code,remaining_amt, payrec, mode_code,coinsurance_code,class_cd,it_remarks) values</v>
      </c>
      <c r="G1594" s="11" t="str">
        <f t="shared" si="98"/>
        <v>('28Nov240101','040000126995','1',(select max(to_number(i.premium_rcv_detail_code))+1
from ins_premium_det i),'1','1','02', '11000003','00','Request by Mr. Omair Ali 29-Nov-2024');</v>
      </c>
      <c r="H1594" s="12" t="str">
        <f t="shared" si="99"/>
        <v>insert into ins_premium_det (premium_rcv_code,assorted_code, rec_amount,premium_rcv_detail_code,remaining_amt, payrec, mode_code,coinsurance_code,class_cd,it_remarks) values('28Nov240101','040000126995','1',(select max(to_number(i.premium_rcv_detail_code))+1
from ins_premium_det i),'1','1','02', '11000003','00','Request by Mr. Omair Ali 29-Nov-2024');</v>
      </c>
    </row>
    <row r="1595" spans="1:8" ht="105" x14ac:dyDescent="0.25">
      <c r="A1595" t="s">
        <v>1595</v>
      </c>
      <c r="B1595" s="8" t="str">
        <f>VLOOKUP(A1595,assortedcode!B:C,2,0)</f>
        <v>040000149717</v>
      </c>
      <c r="C1595" s="1">
        <v>1</v>
      </c>
      <c r="D1595" s="9">
        <f t="shared" si="97"/>
        <v>1</v>
      </c>
      <c r="E1595" s="7" t="s">
        <v>8345</v>
      </c>
      <c r="F1595" s="10" t="str">
        <f t="shared" si="96"/>
        <v>insert into ins_premium_det (premium_rcv_code,assorted_code, rec_amount,premium_rcv_detail_code,remaining_amt, payrec, mode_code,coinsurance_code,class_cd,it_remarks) values</v>
      </c>
      <c r="G1595" s="11" t="str">
        <f t="shared" si="98"/>
        <v>('28Nov240101','040000149717','1',(select max(to_number(i.premium_rcv_detail_code))+1
from ins_premium_det i),'1','1','02', '11000003','00','Request by Mr. Omair Ali 29-Nov-2024');</v>
      </c>
      <c r="H1595" s="12" t="str">
        <f t="shared" si="99"/>
        <v>insert into ins_premium_det (premium_rcv_code,assorted_code, rec_amount,premium_rcv_detail_code,remaining_amt, payrec, mode_code,coinsurance_code,class_cd,it_remarks) values('28Nov240101','040000149717','1',(select max(to_number(i.premium_rcv_detail_code))+1
from ins_premium_det i),'1','1','02', '11000003','00','Request by Mr. Omair Ali 29-Nov-2024');</v>
      </c>
    </row>
    <row r="1596" spans="1:8" ht="105" x14ac:dyDescent="0.25">
      <c r="A1596" t="s">
        <v>1596</v>
      </c>
      <c r="B1596" s="8" t="str">
        <f>VLOOKUP(A1596,assortedcode!B:C,2,0)</f>
        <v>040000127416</v>
      </c>
      <c r="C1596" s="1">
        <v>1</v>
      </c>
      <c r="D1596" s="9">
        <f t="shared" si="97"/>
        <v>1</v>
      </c>
      <c r="E1596" s="7" t="s">
        <v>8345</v>
      </c>
      <c r="F1596" s="10" t="str">
        <f t="shared" si="96"/>
        <v>insert into ins_premium_det (premium_rcv_code,assorted_code, rec_amount,premium_rcv_detail_code,remaining_amt, payrec, mode_code,coinsurance_code,class_cd,it_remarks) values</v>
      </c>
      <c r="G1596" s="11" t="str">
        <f t="shared" si="98"/>
        <v>('28Nov240101','040000127416','1',(select max(to_number(i.premium_rcv_detail_code))+1
from ins_premium_det i),'1','1','02', '11000003','00','Request by Mr. Omair Ali 29-Nov-2024');</v>
      </c>
      <c r="H1596" s="12" t="str">
        <f t="shared" si="99"/>
        <v>insert into ins_premium_det (premium_rcv_code,assorted_code, rec_amount,premium_rcv_detail_code,remaining_amt, payrec, mode_code,coinsurance_code,class_cd,it_remarks) values('28Nov240101','040000127416','1',(select max(to_number(i.premium_rcv_detail_code))+1
from ins_premium_det i),'1','1','02', '11000003','00','Request by Mr. Omair Ali 29-Nov-2024');</v>
      </c>
    </row>
    <row r="1597" spans="1:8" ht="105" x14ac:dyDescent="0.25">
      <c r="A1597" t="s">
        <v>1597</v>
      </c>
      <c r="B1597" s="8" t="str">
        <f>VLOOKUP(A1597,assortedcode!B:C,2,0)</f>
        <v>040000111862</v>
      </c>
      <c r="C1597" s="1">
        <v>1</v>
      </c>
      <c r="D1597" s="9">
        <f t="shared" si="97"/>
        <v>1</v>
      </c>
      <c r="E1597" s="7" t="s">
        <v>8345</v>
      </c>
      <c r="F1597" s="10" t="str">
        <f t="shared" si="96"/>
        <v>insert into ins_premium_det (premium_rcv_code,assorted_code, rec_amount,premium_rcv_detail_code,remaining_amt, payrec, mode_code,coinsurance_code,class_cd,it_remarks) values</v>
      </c>
      <c r="G1597" s="11" t="str">
        <f t="shared" si="98"/>
        <v>('28Nov240101','040000111862','1',(select max(to_number(i.premium_rcv_detail_code))+1
from ins_premium_det i),'1','1','02', '11000003','00','Request by Mr. Omair Ali 29-Nov-2024');</v>
      </c>
      <c r="H1597" s="12" t="str">
        <f t="shared" si="99"/>
        <v>insert into ins_premium_det (premium_rcv_code,assorted_code, rec_amount,premium_rcv_detail_code,remaining_amt, payrec, mode_code,coinsurance_code,class_cd,it_remarks) values('28Nov240101','040000111862','1',(select max(to_number(i.premium_rcv_detail_code))+1
from ins_premium_det i),'1','1','02', '11000003','00','Request by Mr. Omair Ali 29-Nov-2024');</v>
      </c>
    </row>
    <row r="1598" spans="1:8" ht="105" x14ac:dyDescent="0.25">
      <c r="A1598" t="s">
        <v>1598</v>
      </c>
      <c r="B1598" s="8" t="str">
        <f>VLOOKUP(A1598,assortedcode!B:C,2,0)</f>
        <v>040000127422</v>
      </c>
      <c r="C1598" s="1">
        <v>1</v>
      </c>
      <c r="D1598" s="9">
        <f t="shared" si="97"/>
        <v>1</v>
      </c>
      <c r="E1598" s="7" t="s">
        <v>8345</v>
      </c>
      <c r="F1598" s="10" t="str">
        <f t="shared" si="96"/>
        <v>insert into ins_premium_det (premium_rcv_code,assorted_code, rec_amount,premium_rcv_detail_code,remaining_amt, payrec, mode_code,coinsurance_code,class_cd,it_remarks) values</v>
      </c>
      <c r="G1598" s="11" t="str">
        <f t="shared" si="98"/>
        <v>('28Nov240101','040000127422','1',(select max(to_number(i.premium_rcv_detail_code))+1
from ins_premium_det i),'1','1','02', '11000003','00','Request by Mr. Omair Ali 29-Nov-2024');</v>
      </c>
      <c r="H1598" s="12" t="str">
        <f t="shared" si="99"/>
        <v>insert into ins_premium_det (premium_rcv_code,assorted_code, rec_amount,premium_rcv_detail_code,remaining_amt, payrec, mode_code,coinsurance_code,class_cd,it_remarks) values('28Nov240101','040000127422','1',(select max(to_number(i.premium_rcv_detail_code))+1
from ins_premium_det i),'1','1','02', '11000003','00','Request by Mr. Omair Ali 29-Nov-2024');</v>
      </c>
    </row>
    <row r="1599" spans="1:8" ht="105" x14ac:dyDescent="0.25">
      <c r="A1599" t="s">
        <v>1599</v>
      </c>
      <c r="B1599" s="8" t="str">
        <f>VLOOKUP(A1599,assortedcode!B:C,2,0)</f>
        <v>040000130050</v>
      </c>
      <c r="C1599" s="1">
        <v>1</v>
      </c>
      <c r="D1599" s="9">
        <f t="shared" si="97"/>
        <v>1</v>
      </c>
      <c r="E1599" s="7" t="s">
        <v>8345</v>
      </c>
      <c r="F1599" s="10" t="str">
        <f t="shared" si="96"/>
        <v>insert into ins_premium_det (premium_rcv_code,assorted_code, rec_amount,premium_rcv_detail_code,remaining_amt, payrec, mode_code,coinsurance_code,class_cd,it_remarks) values</v>
      </c>
      <c r="G1599" s="11" t="str">
        <f t="shared" si="98"/>
        <v>('28Nov240101','040000130050','1',(select max(to_number(i.premium_rcv_detail_code))+1
from ins_premium_det i),'1','1','02', '11000003','00','Request by Mr. Omair Ali 29-Nov-2024');</v>
      </c>
      <c r="H1599" s="12" t="str">
        <f t="shared" si="99"/>
        <v>insert into ins_premium_det (premium_rcv_code,assorted_code, rec_amount,premium_rcv_detail_code,remaining_amt, payrec, mode_code,coinsurance_code,class_cd,it_remarks) values('28Nov240101','040000130050','1',(select max(to_number(i.premium_rcv_detail_code))+1
from ins_premium_det i),'1','1','02', '11000003','00','Request by Mr. Omair Ali 29-Nov-2024');</v>
      </c>
    </row>
    <row r="1600" spans="1:8" ht="105" x14ac:dyDescent="0.25">
      <c r="A1600" t="s">
        <v>1600</v>
      </c>
      <c r="B1600" s="8" t="str">
        <f>VLOOKUP(A1600,assortedcode!B:C,2,0)</f>
        <v>040000140111</v>
      </c>
      <c r="C1600" s="1">
        <v>1</v>
      </c>
      <c r="D1600" s="9">
        <f t="shared" si="97"/>
        <v>1</v>
      </c>
      <c r="E1600" s="7" t="s">
        <v>8345</v>
      </c>
      <c r="F1600" s="10" t="str">
        <f t="shared" si="96"/>
        <v>insert into ins_premium_det (premium_rcv_code,assorted_code, rec_amount,premium_rcv_detail_code,remaining_amt, payrec, mode_code,coinsurance_code,class_cd,it_remarks) values</v>
      </c>
      <c r="G1600" s="11" t="str">
        <f t="shared" si="98"/>
        <v>('28Nov240101','040000140111','1',(select max(to_number(i.premium_rcv_detail_code))+1
from ins_premium_det i),'1','1','02', '11000003','00','Request by Mr. Omair Ali 29-Nov-2024');</v>
      </c>
      <c r="H1600" s="12" t="str">
        <f t="shared" si="99"/>
        <v>insert into ins_premium_det (premium_rcv_code,assorted_code, rec_amount,premium_rcv_detail_code,remaining_amt, payrec, mode_code,coinsurance_code,class_cd,it_remarks) values('28Nov240101','040000140111','1',(select max(to_number(i.premium_rcv_detail_code))+1
from ins_premium_det i),'1','1','02', '11000003','00','Request by Mr. Omair Ali 29-Nov-2024');</v>
      </c>
    </row>
    <row r="1601" spans="1:8" ht="105" x14ac:dyDescent="0.25">
      <c r="A1601" t="s">
        <v>1601</v>
      </c>
      <c r="B1601" s="8" t="str">
        <f>VLOOKUP(A1601,assortedcode!B:C,2,0)</f>
        <v>040000141340</v>
      </c>
      <c r="C1601" s="1">
        <v>1</v>
      </c>
      <c r="D1601" s="9">
        <f t="shared" si="97"/>
        <v>1</v>
      </c>
      <c r="E1601" s="7" t="s">
        <v>8345</v>
      </c>
      <c r="F1601" s="10" t="str">
        <f t="shared" si="96"/>
        <v>insert into ins_premium_det (premium_rcv_code,assorted_code, rec_amount,premium_rcv_detail_code,remaining_amt, payrec, mode_code,coinsurance_code,class_cd,it_remarks) values</v>
      </c>
      <c r="G1601" s="11" t="str">
        <f t="shared" si="98"/>
        <v>('28Nov240101','040000141340','1',(select max(to_number(i.premium_rcv_detail_code))+1
from ins_premium_det i),'1','1','02', '11000003','00','Request by Mr. Omair Ali 29-Nov-2024');</v>
      </c>
      <c r="H1601" s="12" t="str">
        <f t="shared" si="99"/>
        <v>insert into ins_premium_det (premium_rcv_code,assorted_code, rec_amount,premium_rcv_detail_code,remaining_amt, payrec, mode_code,coinsurance_code,class_cd,it_remarks) values('28Nov240101','040000141340','1',(select max(to_number(i.premium_rcv_detail_code))+1
from ins_premium_det i),'1','1','02', '11000003','00','Request by Mr. Omair Ali 29-Nov-2024');</v>
      </c>
    </row>
    <row r="1602" spans="1:8" ht="105" x14ac:dyDescent="0.25">
      <c r="A1602" t="s">
        <v>1602</v>
      </c>
      <c r="B1602" s="8" t="str">
        <f>VLOOKUP(A1602,assortedcode!B:C,2,0)</f>
        <v>040000143182</v>
      </c>
      <c r="C1602" s="1">
        <v>1</v>
      </c>
      <c r="D1602" s="9">
        <f t="shared" si="97"/>
        <v>1</v>
      </c>
      <c r="E1602" s="7" t="s">
        <v>8345</v>
      </c>
      <c r="F1602" s="10" t="str">
        <f t="shared" ref="F1602:F1665" si="100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1602" s="11" t="str">
        <f t="shared" si="98"/>
        <v>('28Nov240101','040000143182','1',(select max(to_number(i.premium_rcv_detail_code))+1
from ins_premium_det i),'1','1','02', '11000003','00','Request by Mr. Omair Ali 29-Nov-2024');</v>
      </c>
      <c r="H1602" s="12" t="str">
        <f t="shared" si="99"/>
        <v>insert into ins_premium_det (premium_rcv_code,assorted_code, rec_amount,premium_rcv_detail_code,remaining_amt, payrec, mode_code,coinsurance_code,class_cd,it_remarks) values('28Nov240101','040000143182','1',(select max(to_number(i.premium_rcv_detail_code))+1
from ins_premium_det i),'1','1','02', '11000003','00','Request by Mr. Omair Ali 29-Nov-2024');</v>
      </c>
    </row>
    <row r="1603" spans="1:8" ht="105" x14ac:dyDescent="0.25">
      <c r="A1603" t="s">
        <v>1603</v>
      </c>
      <c r="B1603" s="8" t="str">
        <f>VLOOKUP(A1603,assortedcode!B:C,2,0)</f>
        <v>040000141475</v>
      </c>
      <c r="C1603" s="1">
        <v>1</v>
      </c>
      <c r="D1603" s="9">
        <f t="shared" ref="D1603:D1666" si="101">ROUND(C1603,0)</f>
        <v>1</v>
      </c>
      <c r="E1603" s="7" t="s">
        <v>8345</v>
      </c>
      <c r="F1603" s="10" t="str">
        <f t="shared" si="100"/>
        <v>insert into ins_premium_det (premium_rcv_code,assorted_code, rec_amount,premium_rcv_detail_code,remaining_amt, payrec, mode_code,coinsurance_code,class_cd,it_remarks) values</v>
      </c>
      <c r="G1603" s="11" t="str">
        <f t="shared" ref="G1603:G1666" si="102">"('"&amp;E1603&amp;"','"&amp;B1603&amp;"','"&amp;ROUND(D1603,2)&amp;"',(select max(to_number(i.premium_rcv_detail_code))+1
from ins_premium_det i),'"&amp;D1603&amp;"','"&amp;D1603&amp;"','02', '11000003','00','Request by Mr. Omair Ali 29-Nov-2024');"</f>
        <v>('28Nov240101','040000141475','1',(select max(to_number(i.premium_rcv_detail_code))+1
from ins_premium_det i),'1','1','02', '11000003','00','Request by Mr. Omair Ali 29-Nov-2024');</v>
      </c>
      <c r="H1603" s="12" t="str">
        <f t="shared" ref="H1603:H1666" si="103">F1603&amp;G1603</f>
        <v>insert into ins_premium_det (premium_rcv_code,assorted_code, rec_amount,premium_rcv_detail_code,remaining_amt, payrec, mode_code,coinsurance_code,class_cd,it_remarks) values('28Nov240101','040000141475','1',(select max(to_number(i.premium_rcv_detail_code))+1
from ins_premium_det i),'1','1','02', '11000003','00','Request by Mr. Omair Ali 29-Nov-2024');</v>
      </c>
    </row>
    <row r="1604" spans="1:8" ht="105" x14ac:dyDescent="0.25">
      <c r="A1604" t="s">
        <v>1604</v>
      </c>
      <c r="B1604" s="8" t="str">
        <f>VLOOKUP(A1604,assortedcode!B:C,2,0)</f>
        <v>040000144224</v>
      </c>
      <c r="C1604" s="1">
        <v>1</v>
      </c>
      <c r="D1604" s="9">
        <f t="shared" si="101"/>
        <v>1</v>
      </c>
      <c r="E1604" s="7" t="s">
        <v>8345</v>
      </c>
      <c r="F1604" s="10" t="str">
        <f t="shared" si="100"/>
        <v>insert into ins_premium_det (premium_rcv_code,assorted_code, rec_amount,premium_rcv_detail_code,remaining_amt, payrec, mode_code,coinsurance_code,class_cd,it_remarks) values</v>
      </c>
      <c r="G1604" s="11" t="str">
        <f t="shared" si="102"/>
        <v>('28Nov240101','040000144224','1',(select max(to_number(i.premium_rcv_detail_code))+1
from ins_premium_det i),'1','1','02', '11000003','00','Request by Mr. Omair Ali 29-Nov-2024');</v>
      </c>
      <c r="H1604" s="12" t="str">
        <f t="shared" si="103"/>
        <v>insert into ins_premium_det (premium_rcv_code,assorted_code, rec_amount,premium_rcv_detail_code,remaining_amt, payrec, mode_code,coinsurance_code,class_cd,it_remarks) values('28Nov240101','040000144224','1',(select max(to_number(i.premium_rcv_detail_code))+1
from ins_premium_det i),'1','1','02', '11000003','00','Request by Mr. Omair Ali 29-Nov-2024');</v>
      </c>
    </row>
    <row r="1605" spans="1:8" ht="105" x14ac:dyDescent="0.25">
      <c r="A1605" t="s">
        <v>1605</v>
      </c>
      <c r="B1605" s="8" t="str">
        <f>VLOOKUP(A1605,assortedcode!B:C,2,0)</f>
        <v>040000149844</v>
      </c>
      <c r="C1605" s="1">
        <v>1</v>
      </c>
      <c r="D1605" s="9">
        <f t="shared" si="101"/>
        <v>1</v>
      </c>
      <c r="E1605" s="7" t="s">
        <v>8345</v>
      </c>
      <c r="F1605" s="10" t="str">
        <f t="shared" si="100"/>
        <v>insert into ins_premium_det (premium_rcv_code,assorted_code, rec_amount,premium_rcv_detail_code,remaining_amt, payrec, mode_code,coinsurance_code,class_cd,it_remarks) values</v>
      </c>
      <c r="G1605" s="11" t="str">
        <f t="shared" si="102"/>
        <v>('28Nov240101','040000149844','1',(select max(to_number(i.premium_rcv_detail_code))+1
from ins_premium_det i),'1','1','02', '11000003','00','Request by Mr. Omair Ali 29-Nov-2024');</v>
      </c>
      <c r="H1605" s="12" t="str">
        <f t="shared" si="103"/>
        <v>insert into ins_premium_det (premium_rcv_code,assorted_code, rec_amount,premium_rcv_detail_code,remaining_amt, payrec, mode_code,coinsurance_code,class_cd,it_remarks) values('28Nov240101','040000149844','1',(select max(to_number(i.premium_rcv_detail_code))+1
from ins_premium_det i),'1','1','02', '11000003','00','Request by Mr. Omair Ali 29-Nov-2024');</v>
      </c>
    </row>
    <row r="1606" spans="1:8" ht="105" x14ac:dyDescent="0.25">
      <c r="A1606" t="s">
        <v>1606</v>
      </c>
      <c r="B1606" s="8" t="str">
        <f>VLOOKUP(A1606,assortedcode!B:C,2,0)</f>
        <v>040000144239</v>
      </c>
      <c r="C1606" s="1">
        <v>1</v>
      </c>
      <c r="D1606" s="9">
        <f t="shared" si="101"/>
        <v>1</v>
      </c>
      <c r="E1606" s="7" t="s">
        <v>8345</v>
      </c>
      <c r="F1606" s="10" t="str">
        <f t="shared" si="100"/>
        <v>insert into ins_premium_det (premium_rcv_code,assorted_code, rec_amount,premium_rcv_detail_code,remaining_amt, payrec, mode_code,coinsurance_code,class_cd,it_remarks) values</v>
      </c>
      <c r="G1606" s="11" t="str">
        <f t="shared" si="102"/>
        <v>('28Nov240101','040000144239','1',(select max(to_number(i.premium_rcv_detail_code))+1
from ins_premium_det i),'1','1','02', '11000003','00','Request by Mr. Omair Ali 29-Nov-2024');</v>
      </c>
      <c r="H1606" s="12" t="str">
        <f t="shared" si="103"/>
        <v>insert into ins_premium_det (premium_rcv_code,assorted_code, rec_amount,premium_rcv_detail_code,remaining_amt, payrec, mode_code,coinsurance_code,class_cd,it_remarks) values('28Nov240101','040000144239','1',(select max(to_number(i.premium_rcv_detail_code))+1
from ins_premium_det i),'1','1','02', '11000003','00','Request by Mr. Omair Ali 29-Nov-2024');</v>
      </c>
    </row>
    <row r="1607" spans="1:8" ht="105" x14ac:dyDescent="0.25">
      <c r="A1607" t="s">
        <v>1607</v>
      </c>
      <c r="B1607" s="8" t="str">
        <f>VLOOKUP(A1607,assortedcode!B:C,2,0)</f>
        <v>070000133427</v>
      </c>
      <c r="C1607" s="1">
        <v>1</v>
      </c>
      <c r="D1607" s="9">
        <f t="shared" si="101"/>
        <v>1</v>
      </c>
      <c r="E1607" s="7" t="s">
        <v>8345</v>
      </c>
      <c r="F1607" s="10" t="str">
        <f t="shared" si="100"/>
        <v>insert into ins_premium_det (premium_rcv_code,assorted_code, rec_amount,premium_rcv_detail_code,remaining_amt, payrec, mode_code,coinsurance_code,class_cd,it_remarks) values</v>
      </c>
      <c r="G1607" s="11" t="str">
        <f t="shared" si="102"/>
        <v>('28Nov240101','070000133427','1',(select max(to_number(i.premium_rcv_detail_code))+1
from ins_premium_det i),'1','1','02', '11000003','00','Request by Mr. Omair Ali 29-Nov-2024');</v>
      </c>
      <c r="H1607" s="12" t="str">
        <f t="shared" si="103"/>
        <v>insert into ins_premium_det (premium_rcv_code,assorted_code, rec_amount,premium_rcv_detail_code,remaining_amt, payrec, mode_code,coinsurance_code,class_cd,it_remarks) values('28Nov240101','070000133427','1',(select max(to_number(i.premium_rcv_detail_code))+1
from ins_premium_det i),'1','1','02', '11000003','00','Request by Mr. Omair Ali 29-Nov-2024');</v>
      </c>
    </row>
    <row r="1608" spans="1:8" ht="105" x14ac:dyDescent="0.25">
      <c r="A1608" t="s">
        <v>1608</v>
      </c>
      <c r="B1608" s="8" t="str">
        <f>VLOOKUP(A1608,assortedcode!B:C,2,0)</f>
        <v>040000144510</v>
      </c>
      <c r="C1608" s="1">
        <v>1</v>
      </c>
      <c r="D1608" s="9">
        <f t="shared" si="101"/>
        <v>1</v>
      </c>
      <c r="E1608" s="7" t="s">
        <v>8345</v>
      </c>
      <c r="F1608" s="10" t="str">
        <f t="shared" si="100"/>
        <v>insert into ins_premium_det (premium_rcv_code,assorted_code, rec_amount,premium_rcv_detail_code,remaining_amt, payrec, mode_code,coinsurance_code,class_cd,it_remarks) values</v>
      </c>
      <c r="G1608" s="11" t="str">
        <f t="shared" si="102"/>
        <v>('28Nov240101','040000144510','1',(select max(to_number(i.premium_rcv_detail_code))+1
from ins_premium_det i),'1','1','02', '11000003','00','Request by Mr. Omair Ali 29-Nov-2024');</v>
      </c>
      <c r="H1608" s="12" t="str">
        <f t="shared" si="103"/>
        <v>insert into ins_premium_det (premium_rcv_code,assorted_code, rec_amount,premium_rcv_detail_code,remaining_amt, payrec, mode_code,coinsurance_code,class_cd,it_remarks) values('28Nov240101','040000144510','1',(select max(to_number(i.premium_rcv_detail_code))+1
from ins_premium_det i),'1','1','02', '11000003','00','Request by Mr. Omair Ali 29-Nov-2024');</v>
      </c>
    </row>
    <row r="1609" spans="1:8" ht="105" x14ac:dyDescent="0.25">
      <c r="A1609" t="s">
        <v>1609</v>
      </c>
      <c r="B1609" s="8" t="str">
        <f>VLOOKUP(A1609,assortedcode!B:C,2,0)</f>
        <v>040000111854</v>
      </c>
      <c r="C1609" s="1">
        <v>1</v>
      </c>
      <c r="D1609" s="9">
        <f t="shared" si="101"/>
        <v>1</v>
      </c>
      <c r="E1609" s="7" t="s">
        <v>8345</v>
      </c>
      <c r="F1609" s="10" t="str">
        <f t="shared" si="100"/>
        <v>insert into ins_premium_det (premium_rcv_code,assorted_code, rec_amount,premium_rcv_detail_code,remaining_amt, payrec, mode_code,coinsurance_code,class_cd,it_remarks) values</v>
      </c>
      <c r="G1609" s="11" t="str">
        <f t="shared" si="102"/>
        <v>('28Nov240101','040000111854','1',(select max(to_number(i.premium_rcv_detail_code))+1
from ins_premium_det i),'1','1','02', '11000003','00','Request by Mr. Omair Ali 29-Nov-2024');</v>
      </c>
      <c r="H1609" s="12" t="str">
        <f t="shared" si="103"/>
        <v>insert into ins_premium_det (premium_rcv_code,assorted_code, rec_amount,premium_rcv_detail_code,remaining_amt, payrec, mode_code,coinsurance_code,class_cd,it_remarks) values('28Nov240101','040000111854','1',(select max(to_number(i.premium_rcv_detail_code))+1
from ins_premium_det i),'1','1','02', '11000003','00','Request by Mr. Omair Ali 29-Nov-2024');</v>
      </c>
    </row>
    <row r="1610" spans="1:8" ht="105" x14ac:dyDescent="0.25">
      <c r="A1610" t="s">
        <v>1610</v>
      </c>
      <c r="B1610" s="8" t="str">
        <f>VLOOKUP(A1610,assortedcode!B:C,2,0)</f>
        <v>040000144553</v>
      </c>
      <c r="C1610" s="1">
        <v>1</v>
      </c>
      <c r="D1610" s="9">
        <f t="shared" si="101"/>
        <v>1</v>
      </c>
      <c r="E1610" s="7" t="s">
        <v>8345</v>
      </c>
      <c r="F1610" s="10" t="str">
        <f t="shared" si="100"/>
        <v>insert into ins_premium_det (premium_rcv_code,assorted_code, rec_amount,premium_rcv_detail_code,remaining_amt, payrec, mode_code,coinsurance_code,class_cd,it_remarks) values</v>
      </c>
      <c r="G1610" s="11" t="str">
        <f t="shared" si="102"/>
        <v>('28Nov240101','040000144553','1',(select max(to_number(i.premium_rcv_detail_code))+1
from ins_premium_det i),'1','1','02', '11000003','00','Request by Mr. Omair Ali 29-Nov-2024');</v>
      </c>
      <c r="H1610" s="12" t="str">
        <f t="shared" si="103"/>
        <v>insert into ins_premium_det (premium_rcv_code,assorted_code, rec_amount,premium_rcv_detail_code,remaining_amt, payrec, mode_code,coinsurance_code,class_cd,it_remarks) values('28Nov240101','040000144553','1',(select max(to_number(i.premium_rcv_detail_code))+1
from ins_premium_det i),'1','1','02', '11000003','00','Request by Mr. Omair Ali 29-Nov-2024');</v>
      </c>
    </row>
    <row r="1611" spans="1:8" ht="105" x14ac:dyDescent="0.25">
      <c r="A1611" t="s">
        <v>1611</v>
      </c>
      <c r="B1611" s="8" t="str">
        <f>VLOOKUP(A1611,assortedcode!B:C,2,0)</f>
        <v>070000133457</v>
      </c>
      <c r="C1611" s="1">
        <v>1</v>
      </c>
      <c r="D1611" s="9">
        <f t="shared" si="101"/>
        <v>1</v>
      </c>
      <c r="E1611" s="7" t="s">
        <v>8345</v>
      </c>
      <c r="F1611" s="10" t="str">
        <f t="shared" si="100"/>
        <v>insert into ins_premium_det (premium_rcv_code,assorted_code, rec_amount,premium_rcv_detail_code,remaining_amt, payrec, mode_code,coinsurance_code,class_cd,it_remarks) values</v>
      </c>
      <c r="G1611" s="11" t="str">
        <f t="shared" si="102"/>
        <v>('28Nov240101','070000133457','1',(select max(to_number(i.premium_rcv_detail_code))+1
from ins_premium_det i),'1','1','02', '11000003','00','Request by Mr. Omair Ali 29-Nov-2024');</v>
      </c>
      <c r="H1611" s="12" t="str">
        <f t="shared" si="103"/>
        <v>insert into ins_premium_det (premium_rcv_code,assorted_code, rec_amount,premium_rcv_detail_code,remaining_amt, payrec, mode_code,coinsurance_code,class_cd,it_remarks) values('28Nov240101','070000133457','1',(select max(to_number(i.premium_rcv_detail_code))+1
from ins_premium_det i),'1','1','02', '11000003','00','Request by Mr. Omair Ali 29-Nov-2024');</v>
      </c>
    </row>
    <row r="1612" spans="1:8" ht="105" x14ac:dyDescent="0.25">
      <c r="A1612" t="s">
        <v>1612</v>
      </c>
      <c r="B1612" s="8" t="str">
        <f>VLOOKUP(A1612,assortedcode!B:C,2,0)</f>
        <v>040000144881</v>
      </c>
      <c r="C1612" s="1">
        <v>1</v>
      </c>
      <c r="D1612" s="9">
        <f t="shared" si="101"/>
        <v>1</v>
      </c>
      <c r="E1612" s="7" t="s">
        <v>8345</v>
      </c>
      <c r="F1612" s="10" t="str">
        <f t="shared" si="100"/>
        <v>insert into ins_premium_det (premium_rcv_code,assorted_code, rec_amount,premium_rcv_detail_code,remaining_amt, payrec, mode_code,coinsurance_code,class_cd,it_remarks) values</v>
      </c>
      <c r="G1612" s="11" t="str">
        <f t="shared" si="102"/>
        <v>('28Nov240101','040000144881','1',(select max(to_number(i.premium_rcv_detail_code))+1
from ins_premium_det i),'1','1','02', '11000003','00','Request by Mr. Omair Ali 29-Nov-2024');</v>
      </c>
      <c r="H1612" s="12" t="str">
        <f t="shared" si="103"/>
        <v>insert into ins_premium_det (premium_rcv_code,assorted_code, rec_amount,premium_rcv_detail_code,remaining_amt, payrec, mode_code,coinsurance_code,class_cd,it_remarks) values('28Nov240101','040000144881','1',(select max(to_number(i.premium_rcv_detail_code))+1
from ins_premium_det i),'1','1','02', '11000003','00','Request by Mr. Omair Ali 29-Nov-2024');</v>
      </c>
    </row>
    <row r="1613" spans="1:8" ht="105" x14ac:dyDescent="0.25">
      <c r="A1613" t="s">
        <v>1613</v>
      </c>
      <c r="B1613" s="8" t="str">
        <f>VLOOKUP(A1613,assortedcode!B:C,2,0)</f>
        <v>070000133458</v>
      </c>
      <c r="C1613" s="1">
        <v>1</v>
      </c>
      <c r="D1613" s="9">
        <f t="shared" si="101"/>
        <v>1</v>
      </c>
      <c r="E1613" s="7" t="s">
        <v>8345</v>
      </c>
      <c r="F1613" s="10" t="str">
        <f t="shared" si="100"/>
        <v>insert into ins_premium_det (premium_rcv_code,assorted_code, rec_amount,premium_rcv_detail_code,remaining_amt, payrec, mode_code,coinsurance_code,class_cd,it_remarks) values</v>
      </c>
      <c r="G1613" s="11" t="str">
        <f t="shared" si="102"/>
        <v>('28Nov240101','070000133458','1',(select max(to_number(i.premium_rcv_detail_code))+1
from ins_premium_det i),'1','1','02', '11000003','00','Request by Mr. Omair Ali 29-Nov-2024');</v>
      </c>
      <c r="H1613" s="12" t="str">
        <f t="shared" si="103"/>
        <v>insert into ins_premium_det (premium_rcv_code,assorted_code, rec_amount,premium_rcv_detail_code,remaining_amt, payrec, mode_code,coinsurance_code,class_cd,it_remarks) values('28Nov240101','070000133458','1',(select max(to_number(i.premium_rcv_detail_code))+1
from ins_premium_det i),'1','1','02', '11000003','00','Request by Mr. Omair Ali 29-Nov-2024');</v>
      </c>
    </row>
    <row r="1614" spans="1:8" ht="105" x14ac:dyDescent="0.25">
      <c r="A1614" t="s">
        <v>1614</v>
      </c>
      <c r="B1614" s="8" t="str">
        <f>VLOOKUP(A1614,assortedcode!B:C,2,0)</f>
        <v>040000145054</v>
      </c>
      <c r="C1614" s="1">
        <v>1</v>
      </c>
      <c r="D1614" s="9">
        <f t="shared" si="101"/>
        <v>1</v>
      </c>
      <c r="E1614" s="7" t="s">
        <v>8345</v>
      </c>
      <c r="F1614" s="10" t="str">
        <f t="shared" si="100"/>
        <v>insert into ins_premium_det (premium_rcv_code,assorted_code, rec_amount,premium_rcv_detail_code,remaining_amt, payrec, mode_code,coinsurance_code,class_cd,it_remarks) values</v>
      </c>
      <c r="G1614" s="11" t="str">
        <f t="shared" si="102"/>
        <v>('28Nov240101','040000145054','1',(select max(to_number(i.premium_rcv_detail_code))+1
from ins_premium_det i),'1','1','02', '11000003','00','Request by Mr. Omair Ali 29-Nov-2024');</v>
      </c>
      <c r="H1614" s="12" t="str">
        <f t="shared" si="103"/>
        <v>insert into ins_premium_det (premium_rcv_code,assorted_code, rec_amount,premium_rcv_detail_code,remaining_amt, payrec, mode_code,coinsurance_code,class_cd,it_remarks) values('28Nov240101','040000145054','1',(select max(to_number(i.premium_rcv_detail_code))+1
from ins_premium_det i),'1','1','02', '11000003','00','Request by Mr. Omair Ali 29-Nov-2024');</v>
      </c>
    </row>
    <row r="1615" spans="1:8" ht="105" x14ac:dyDescent="0.25">
      <c r="A1615" t="s">
        <v>1615</v>
      </c>
      <c r="B1615" s="8" t="str">
        <f>VLOOKUP(A1615,assortedcode!B:C,2,0)</f>
        <v>070000133460</v>
      </c>
      <c r="C1615" s="1">
        <v>1</v>
      </c>
      <c r="D1615" s="9">
        <f t="shared" si="101"/>
        <v>1</v>
      </c>
      <c r="E1615" s="7" t="s">
        <v>8345</v>
      </c>
      <c r="F1615" s="10" t="str">
        <f t="shared" si="100"/>
        <v>insert into ins_premium_det (premium_rcv_code,assorted_code, rec_amount,premium_rcv_detail_code,remaining_amt, payrec, mode_code,coinsurance_code,class_cd,it_remarks) values</v>
      </c>
      <c r="G1615" s="11" t="str">
        <f t="shared" si="102"/>
        <v>('28Nov240101','070000133460','1',(select max(to_number(i.premium_rcv_detail_code))+1
from ins_premium_det i),'1','1','02', '11000003','00','Request by Mr. Omair Ali 29-Nov-2024');</v>
      </c>
      <c r="H1615" s="12" t="str">
        <f t="shared" si="103"/>
        <v>insert into ins_premium_det (premium_rcv_code,assorted_code, rec_amount,premium_rcv_detail_code,remaining_amt, payrec, mode_code,coinsurance_code,class_cd,it_remarks) values('28Nov240101','070000133460','1',(select max(to_number(i.premium_rcv_detail_code))+1
from ins_premium_det i),'1','1','02', '11000003','00','Request by Mr. Omair Ali 29-Nov-2024');</v>
      </c>
    </row>
    <row r="1616" spans="1:8" ht="105" x14ac:dyDescent="0.25">
      <c r="A1616" t="s">
        <v>1616</v>
      </c>
      <c r="B1616" s="8" t="str">
        <f>VLOOKUP(A1616,assortedcode!B:C,2,0)</f>
        <v>040000145056</v>
      </c>
      <c r="C1616" s="1">
        <v>1</v>
      </c>
      <c r="D1616" s="9">
        <f t="shared" si="101"/>
        <v>1</v>
      </c>
      <c r="E1616" s="7" t="s">
        <v>8345</v>
      </c>
      <c r="F1616" s="10" t="str">
        <f t="shared" si="100"/>
        <v>insert into ins_premium_det (premium_rcv_code,assorted_code, rec_amount,premium_rcv_detail_code,remaining_amt, payrec, mode_code,coinsurance_code,class_cd,it_remarks) values</v>
      </c>
      <c r="G1616" s="11" t="str">
        <f t="shared" si="102"/>
        <v>('28Nov240101','040000145056','1',(select max(to_number(i.premium_rcv_detail_code))+1
from ins_premium_det i),'1','1','02', '11000003','00','Request by Mr. Omair Ali 29-Nov-2024');</v>
      </c>
      <c r="H1616" s="12" t="str">
        <f t="shared" si="103"/>
        <v>insert into ins_premium_det (premium_rcv_code,assorted_code, rec_amount,premium_rcv_detail_code,remaining_amt, payrec, mode_code,coinsurance_code,class_cd,it_remarks) values('28Nov240101','040000145056','1',(select max(to_number(i.premium_rcv_detail_code))+1
from ins_premium_det i),'1','1','02', '11000003','00','Request by Mr. Omair Ali 29-Nov-2024');</v>
      </c>
    </row>
    <row r="1617" spans="1:8" ht="105" x14ac:dyDescent="0.25">
      <c r="A1617" t="s">
        <v>1617</v>
      </c>
      <c r="B1617" s="8" t="str">
        <f>VLOOKUP(A1617,assortedcode!B:C,2,0)</f>
        <v>070000133465</v>
      </c>
      <c r="C1617" s="1">
        <v>1</v>
      </c>
      <c r="D1617" s="9">
        <f t="shared" si="101"/>
        <v>1</v>
      </c>
      <c r="E1617" s="7" t="s">
        <v>8345</v>
      </c>
      <c r="F1617" s="10" t="str">
        <f t="shared" si="100"/>
        <v>insert into ins_premium_det (premium_rcv_code,assorted_code, rec_amount,premium_rcv_detail_code,remaining_amt, payrec, mode_code,coinsurance_code,class_cd,it_remarks) values</v>
      </c>
      <c r="G1617" s="11" t="str">
        <f t="shared" si="102"/>
        <v>('28Nov240101','070000133465','1',(select max(to_number(i.premium_rcv_detail_code))+1
from ins_premium_det i),'1','1','02', '11000003','00','Request by Mr. Omair Ali 29-Nov-2024');</v>
      </c>
      <c r="H1617" s="12" t="str">
        <f t="shared" si="103"/>
        <v>insert into ins_premium_det (premium_rcv_code,assorted_code, rec_amount,premium_rcv_detail_code,remaining_amt, payrec, mode_code,coinsurance_code,class_cd,it_remarks) values('28Nov240101','070000133465','1',(select max(to_number(i.premium_rcv_detail_code))+1
from ins_premium_det i),'1','1','02', '11000003','00','Request by Mr. Omair Ali 29-Nov-2024');</v>
      </c>
    </row>
    <row r="1618" spans="1:8" ht="105" x14ac:dyDescent="0.25">
      <c r="A1618" t="s">
        <v>1618</v>
      </c>
      <c r="B1618" s="8" t="str">
        <f>VLOOKUP(A1618,assortedcode!B:C,2,0)</f>
        <v>040000145453</v>
      </c>
      <c r="C1618" s="1">
        <v>1</v>
      </c>
      <c r="D1618" s="9">
        <f t="shared" si="101"/>
        <v>1</v>
      </c>
      <c r="E1618" s="7" t="s">
        <v>8345</v>
      </c>
      <c r="F1618" s="10" t="str">
        <f t="shared" si="100"/>
        <v>insert into ins_premium_det (premium_rcv_code,assorted_code, rec_amount,premium_rcv_detail_code,remaining_amt, payrec, mode_code,coinsurance_code,class_cd,it_remarks) values</v>
      </c>
      <c r="G1618" s="11" t="str">
        <f t="shared" si="102"/>
        <v>('28Nov240101','040000145453','1',(select max(to_number(i.premium_rcv_detail_code))+1
from ins_premium_det i),'1','1','02', '11000003','00','Request by Mr. Omair Ali 29-Nov-2024');</v>
      </c>
      <c r="H1618" s="12" t="str">
        <f t="shared" si="103"/>
        <v>insert into ins_premium_det (premium_rcv_code,assorted_code, rec_amount,premium_rcv_detail_code,remaining_amt, payrec, mode_code,coinsurance_code,class_cd,it_remarks) values('28Nov240101','040000145453','1',(select max(to_number(i.premium_rcv_detail_code))+1
from ins_premium_det i),'1','1','02', '11000003','00','Request by Mr. Omair Ali 29-Nov-2024');</v>
      </c>
    </row>
    <row r="1619" spans="1:8" ht="105" x14ac:dyDescent="0.25">
      <c r="A1619" t="s">
        <v>1619</v>
      </c>
      <c r="B1619" s="8" t="str">
        <f>VLOOKUP(A1619,assortedcode!B:C,2,0)</f>
        <v>040000122929</v>
      </c>
      <c r="C1619" s="1">
        <v>1</v>
      </c>
      <c r="D1619" s="9">
        <f t="shared" si="101"/>
        <v>1</v>
      </c>
      <c r="E1619" s="7" t="s">
        <v>8345</v>
      </c>
      <c r="F1619" s="10" t="str">
        <f t="shared" si="100"/>
        <v>insert into ins_premium_det (premium_rcv_code,assorted_code, rec_amount,premium_rcv_detail_code,remaining_amt, payrec, mode_code,coinsurance_code,class_cd,it_remarks) values</v>
      </c>
      <c r="G1619" s="11" t="str">
        <f t="shared" si="102"/>
        <v>('28Nov240101','040000122929','1',(select max(to_number(i.premium_rcv_detail_code))+1
from ins_premium_det i),'1','1','02', '11000003','00','Request by Mr. Omair Ali 29-Nov-2024');</v>
      </c>
      <c r="H1619" s="12" t="str">
        <f t="shared" si="103"/>
        <v>insert into ins_premium_det (premium_rcv_code,assorted_code, rec_amount,premium_rcv_detail_code,remaining_amt, payrec, mode_code,coinsurance_code,class_cd,it_remarks) values('28Nov240101','040000122929','1',(select max(to_number(i.premium_rcv_detail_code))+1
from ins_premium_det i),'1','1','02', '11000003','00','Request by Mr. Omair Ali 29-Nov-2024');</v>
      </c>
    </row>
    <row r="1620" spans="1:8" ht="105" x14ac:dyDescent="0.25">
      <c r="A1620" t="s">
        <v>1620</v>
      </c>
      <c r="B1620" s="8" t="str">
        <f>VLOOKUP(A1620,assortedcode!B:C,2,0)</f>
        <v>040000145589</v>
      </c>
      <c r="C1620" s="1">
        <v>1</v>
      </c>
      <c r="D1620" s="9">
        <f t="shared" si="101"/>
        <v>1</v>
      </c>
      <c r="E1620" s="7" t="s">
        <v>8345</v>
      </c>
      <c r="F1620" s="10" t="str">
        <f t="shared" si="100"/>
        <v>insert into ins_premium_det (premium_rcv_code,assorted_code, rec_amount,premium_rcv_detail_code,remaining_amt, payrec, mode_code,coinsurance_code,class_cd,it_remarks) values</v>
      </c>
      <c r="G1620" s="11" t="str">
        <f t="shared" si="102"/>
        <v>('28Nov240101','040000145589','1',(select max(to_number(i.premium_rcv_detail_code))+1
from ins_premium_det i),'1','1','02', '11000003','00','Request by Mr. Omair Ali 29-Nov-2024');</v>
      </c>
      <c r="H1620" s="12" t="str">
        <f t="shared" si="103"/>
        <v>insert into ins_premium_det (premium_rcv_code,assorted_code, rec_amount,premium_rcv_detail_code,remaining_amt, payrec, mode_code,coinsurance_code,class_cd,it_remarks) values('28Nov240101','040000145589','1',(select max(to_number(i.premium_rcv_detail_code))+1
from ins_premium_det i),'1','1','02', '11000003','00','Request by Mr. Omair Ali 29-Nov-2024');</v>
      </c>
    </row>
    <row r="1621" spans="1:8" ht="105" x14ac:dyDescent="0.25">
      <c r="A1621" t="s">
        <v>1621</v>
      </c>
      <c r="B1621" s="8" t="str">
        <f>VLOOKUP(A1621,assortedcode!B:C,2,0)</f>
        <v>040000125395</v>
      </c>
      <c r="C1621" s="1">
        <v>1</v>
      </c>
      <c r="D1621" s="9">
        <f t="shared" si="101"/>
        <v>1</v>
      </c>
      <c r="E1621" s="7" t="s">
        <v>8345</v>
      </c>
      <c r="F1621" s="10" t="str">
        <f t="shared" si="100"/>
        <v>insert into ins_premium_det (premium_rcv_code,assorted_code, rec_amount,premium_rcv_detail_code,remaining_amt, payrec, mode_code,coinsurance_code,class_cd,it_remarks) values</v>
      </c>
      <c r="G1621" s="11" t="str">
        <f t="shared" si="102"/>
        <v>('28Nov240101','040000125395','1',(select max(to_number(i.premium_rcv_detail_code))+1
from ins_premium_det i),'1','1','02', '11000003','00','Request by Mr. Omair Ali 29-Nov-2024');</v>
      </c>
      <c r="H1621" s="12" t="str">
        <f t="shared" si="103"/>
        <v>insert into ins_premium_det (premium_rcv_code,assorted_code, rec_amount,premium_rcv_detail_code,remaining_amt, payrec, mode_code,coinsurance_code,class_cd,it_remarks) values('28Nov240101','040000125395','1',(select max(to_number(i.premium_rcv_detail_code))+1
from ins_premium_det i),'1','1','02', '11000003','00','Request by Mr. Omair Ali 29-Nov-2024');</v>
      </c>
    </row>
    <row r="1622" spans="1:8" ht="105" x14ac:dyDescent="0.25">
      <c r="A1622" t="s">
        <v>1622</v>
      </c>
      <c r="B1622" s="8" t="str">
        <f>VLOOKUP(A1622,assortedcode!B:C,2,0)</f>
        <v>040000145965</v>
      </c>
      <c r="C1622" s="1">
        <v>1</v>
      </c>
      <c r="D1622" s="9">
        <f t="shared" si="101"/>
        <v>1</v>
      </c>
      <c r="E1622" s="7" t="s">
        <v>8345</v>
      </c>
      <c r="F1622" s="10" t="str">
        <f t="shared" si="100"/>
        <v>insert into ins_premium_det (premium_rcv_code,assorted_code, rec_amount,premium_rcv_detail_code,remaining_amt, payrec, mode_code,coinsurance_code,class_cd,it_remarks) values</v>
      </c>
      <c r="G1622" s="11" t="str">
        <f t="shared" si="102"/>
        <v>('28Nov240101','040000145965','1',(select max(to_number(i.premium_rcv_detail_code))+1
from ins_premium_det i),'1','1','02', '11000003','00','Request by Mr. Omair Ali 29-Nov-2024');</v>
      </c>
      <c r="H1622" s="12" t="str">
        <f t="shared" si="103"/>
        <v>insert into ins_premium_det (premium_rcv_code,assorted_code, rec_amount,premium_rcv_detail_code,remaining_amt, payrec, mode_code,coinsurance_code,class_cd,it_remarks) values('28Nov240101','040000145965','1',(select max(to_number(i.premium_rcv_detail_code))+1
from ins_premium_det i),'1','1','02', '11000003','00','Request by Mr. Omair Ali 29-Nov-2024');</v>
      </c>
    </row>
    <row r="1623" spans="1:8" ht="105" x14ac:dyDescent="0.25">
      <c r="A1623" t="s">
        <v>1623</v>
      </c>
      <c r="B1623" s="8" t="str">
        <f>VLOOKUP(A1623,assortedcode!B:C,2,0)</f>
        <v>070000133467</v>
      </c>
      <c r="C1623" s="1">
        <v>1</v>
      </c>
      <c r="D1623" s="9">
        <f t="shared" si="101"/>
        <v>1</v>
      </c>
      <c r="E1623" s="7" t="s">
        <v>8345</v>
      </c>
      <c r="F1623" s="10" t="str">
        <f t="shared" si="100"/>
        <v>insert into ins_premium_det (premium_rcv_code,assorted_code, rec_amount,premium_rcv_detail_code,remaining_amt, payrec, mode_code,coinsurance_code,class_cd,it_remarks) values</v>
      </c>
      <c r="G1623" s="11" t="str">
        <f t="shared" si="102"/>
        <v>('28Nov240101','070000133467','1',(select max(to_number(i.premium_rcv_detail_code))+1
from ins_premium_det i),'1','1','02', '11000003','00','Request by Mr. Omair Ali 29-Nov-2024');</v>
      </c>
      <c r="H1623" s="12" t="str">
        <f t="shared" si="103"/>
        <v>insert into ins_premium_det (premium_rcv_code,assorted_code, rec_amount,premium_rcv_detail_code,remaining_amt, payrec, mode_code,coinsurance_code,class_cd,it_remarks) values('28Nov240101','070000133467','1',(select max(to_number(i.premium_rcv_detail_code))+1
from ins_premium_det i),'1','1','02', '11000003','00','Request by Mr. Omair Ali 29-Nov-2024');</v>
      </c>
    </row>
    <row r="1624" spans="1:8" ht="105" x14ac:dyDescent="0.25">
      <c r="A1624" t="s">
        <v>1624</v>
      </c>
      <c r="B1624" s="8" t="str">
        <f>VLOOKUP(A1624,assortedcode!B:C,2,0)</f>
        <v>040000146049</v>
      </c>
      <c r="C1624" s="1">
        <v>1</v>
      </c>
      <c r="D1624" s="9">
        <f t="shared" si="101"/>
        <v>1</v>
      </c>
      <c r="E1624" s="7" t="s">
        <v>8345</v>
      </c>
      <c r="F1624" s="10" t="str">
        <f t="shared" si="100"/>
        <v>insert into ins_premium_det (premium_rcv_code,assorted_code, rec_amount,premium_rcv_detail_code,remaining_amt, payrec, mode_code,coinsurance_code,class_cd,it_remarks) values</v>
      </c>
      <c r="G1624" s="11" t="str">
        <f t="shared" si="102"/>
        <v>('28Nov240101','040000146049','1',(select max(to_number(i.premium_rcv_detail_code))+1
from ins_premium_det i),'1','1','02', '11000003','00','Request by Mr. Omair Ali 29-Nov-2024');</v>
      </c>
      <c r="H1624" s="12" t="str">
        <f t="shared" si="103"/>
        <v>insert into ins_premium_det (premium_rcv_code,assorted_code, rec_amount,premium_rcv_detail_code,remaining_amt, payrec, mode_code,coinsurance_code,class_cd,it_remarks) values('28Nov240101','040000146049','1',(select max(to_number(i.premium_rcv_detail_code))+1
from ins_premium_det i),'1','1','02', '11000003','00','Request by Mr. Omair Ali 29-Nov-2024');</v>
      </c>
    </row>
    <row r="1625" spans="1:8" ht="105" x14ac:dyDescent="0.25">
      <c r="A1625" t="s">
        <v>1625</v>
      </c>
      <c r="B1625" s="8" t="str">
        <f>VLOOKUP(A1625,assortedcode!B:C,2,0)</f>
        <v>040000129994</v>
      </c>
      <c r="C1625" s="1">
        <v>1</v>
      </c>
      <c r="D1625" s="9">
        <f t="shared" si="101"/>
        <v>1</v>
      </c>
      <c r="E1625" s="7" t="s">
        <v>8345</v>
      </c>
      <c r="F1625" s="10" t="str">
        <f t="shared" si="100"/>
        <v>insert into ins_premium_det (premium_rcv_code,assorted_code, rec_amount,premium_rcv_detail_code,remaining_amt, payrec, mode_code,coinsurance_code,class_cd,it_remarks) values</v>
      </c>
      <c r="G1625" s="11" t="str">
        <f t="shared" si="102"/>
        <v>('28Nov240101','040000129994','1',(select max(to_number(i.premium_rcv_detail_code))+1
from ins_premium_det i),'1','1','02', '11000003','00','Request by Mr. Omair Ali 29-Nov-2024');</v>
      </c>
      <c r="H1625" s="12" t="str">
        <f t="shared" si="103"/>
        <v>insert into ins_premium_det (premium_rcv_code,assorted_code, rec_amount,premium_rcv_detail_code,remaining_amt, payrec, mode_code,coinsurance_code,class_cd,it_remarks) values('28Nov240101','040000129994','1',(select max(to_number(i.premium_rcv_detail_code))+1
from ins_premium_det i),'1','1','02', '11000003','00','Request by Mr. Omair Ali 29-Nov-2024');</v>
      </c>
    </row>
    <row r="1626" spans="1:8" ht="105" x14ac:dyDescent="0.25">
      <c r="A1626" t="s">
        <v>1626</v>
      </c>
      <c r="B1626" s="8" t="str">
        <f>VLOOKUP(A1626,assortedcode!B:C,2,0)</f>
        <v>040000146052</v>
      </c>
      <c r="C1626" s="1">
        <v>1</v>
      </c>
      <c r="D1626" s="9">
        <f t="shared" si="101"/>
        <v>1</v>
      </c>
      <c r="E1626" s="7" t="s">
        <v>8345</v>
      </c>
      <c r="F1626" s="10" t="str">
        <f t="shared" si="100"/>
        <v>insert into ins_premium_det (premium_rcv_code,assorted_code, rec_amount,premium_rcv_detail_code,remaining_amt, payrec, mode_code,coinsurance_code,class_cd,it_remarks) values</v>
      </c>
      <c r="G1626" s="11" t="str">
        <f t="shared" si="102"/>
        <v>('28Nov240101','040000146052','1',(select max(to_number(i.premium_rcv_detail_code))+1
from ins_premium_det i),'1','1','02', '11000003','00','Request by Mr. Omair Ali 29-Nov-2024');</v>
      </c>
      <c r="H1626" s="12" t="str">
        <f t="shared" si="103"/>
        <v>insert into ins_premium_det (premium_rcv_code,assorted_code, rec_amount,premium_rcv_detail_code,remaining_amt, payrec, mode_code,coinsurance_code,class_cd,it_remarks) values('28Nov240101','040000146052','1',(select max(to_number(i.premium_rcv_detail_code))+1
from ins_premium_det i),'1','1','02', '11000003','00','Request by Mr. Omair Ali 29-Nov-2024');</v>
      </c>
    </row>
    <row r="1627" spans="1:8" ht="105" x14ac:dyDescent="0.25">
      <c r="A1627" t="s">
        <v>1627</v>
      </c>
      <c r="B1627" s="8" t="str">
        <f>VLOOKUP(A1627,assortedcode!B:C,2,0)</f>
        <v>040000130001</v>
      </c>
      <c r="C1627" s="1">
        <v>1</v>
      </c>
      <c r="D1627" s="9">
        <f t="shared" si="101"/>
        <v>1</v>
      </c>
      <c r="E1627" s="7" t="s">
        <v>8345</v>
      </c>
      <c r="F1627" s="10" t="str">
        <f t="shared" si="100"/>
        <v>insert into ins_premium_det (premium_rcv_code,assorted_code, rec_amount,premium_rcv_detail_code,remaining_amt, payrec, mode_code,coinsurance_code,class_cd,it_remarks) values</v>
      </c>
      <c r="G1627" s="11" t="str">
        <f t="shared" si="102"/>
        <v>('28Nov240101','040000130001','1',(select max(to_number(i.premium_rcv_detail_code))+1
from ins_premium_det i),'1','1','02', '11000003','00','Request by Mr. Omair Ali 29-Nov-2024');</v>
      </c>
      <c r="H1627" s="12" t="str">
        <f t="shared" si="103"/>
        <v>insert into ins_premium_det (premium_rcv_code,assorted_code, rec_amount,premium_rcv_detail_code,remaining_amt, payrec, mode_code,coinsurance_code,class_cd,it_remarks) values('28Nov240101','040000130001','1',(select max(to_number(i.premium_rcv_detail_code))+1
from ins_premium_det i),'1','1','02', '11000003','00','Request by Mr. Omair Ali 29-Nov-2024');</v>
      </c>
    </row>
    <row r="1628" spans="1:8" ht="105" x14ac:dyDescent="0.25">
      <c r="A1628" t="s">
        <v>1628</v>
      </c>
      <c r="B1628" s="8" t="str">
        <f>VLOOKUP(A1628,assortedcode!B:C,2,0)</f>
        <v>040000146774</v>
      </c>
      <c r="C1628" s="1">
        <v>1</v>
      </c>
      <c r="D1628" s="9">
        <f t="shared" si="101"/>
        <v>1</v>
      </c>
      <c r="E1628" s="7" t="s">
        <v>8345</v>
      </c>
      <c r="F1628" s="10" t="str">
        <f t="shared" si="100"/>
        <v>insert into ins_premium_det (premium_rcv_code,assorted_code, rec_amount,premium_rcv_detail_code,remaining_amt, payrec, mode_code,coinsurance_code,class_cd,it_remarks) values</v>
      </c>
      <c r="G1628" s="11" t="str">
        <f t="shared" si="102"/>
        <v>('28Nov240101','040000146774','1',(select max(to_number(i.premium_rcv_detail_code))+1
from ins_premium_det i),'1','1','02', '11000003','00','Request by Mr. Omair Ali 29-Nov-2024');</v>
      </c>
      <c r="H1628" s="12" t="str">
        <f t="shared" si="103"/>
        <v>insert into ins_premium_det (premium_rcv_code,assorted_code, rec_amount,premium_rcv_detail_code,remaining_amt, payrec, mode_code,coinsurance_code,class_cd,it_remarks) values('28Nov240101','040000146774','1',(select max(to_number(i.premium_rcv_detail_code))+1
from ins_premium_det i),'1','1','02', '11000003','00','Request by Mr. Omair Ali 29-Nov-2024');</v>
      </c>
    </row>
    <row r="1629" spans="1:8" ht="105" x14ac:dyDescent="0.25">
      <c r="A1629" t="s">
        <v>1629</v>
      </c>
      <c r="B1629" s="8" t="str">
        <f>VLOOKUP(A1629,assortedcode!B:C,2,0)</f>
        <v>070000133468</v>
      </c>
      <c r="C1629" s="1">
        <v>1</v>
      </c>
      <c r="D1629" s="9">
        <f t="shared" si="101"/>
        <v>1</v>
      </c>
      <c r="E1629" s="7" t="s">
        <v>8345</v>
      </c>
      <c r="F1629" s="10" t="str">
        <f t="shared" si="100"/>
        <v>insert into ins_premium_det (premium_rcv_code,assorted_code, rec_amount,premium_rcv_detail_code,remaining_amt, payrec, mode_code,coinsurance_code,class_cd,it_remarks) values</v>
      </c>
      <c r="G1629" s="11" t="str">
        <f t="shared" si="102"/>
        <v>('28Nov240101','070000133468','1',(select max(to_number(i.premium_rcv_detail_code))+1
from ins_premium_det i),'1','1','02', '11000003','00','Request by Mr. Omair Ali 29-Nov-2024');</v>
      </c>
      <c r="H1629" s="12" t="str">
        <f t="shared" si="103"/>
        <v>insert into ins_premium_det (premium_rcv_code,assorted_code, rec_amount,premium_rcv_detail_code,remaining_amt, payrec, mode_code,coinsurance_code,class_cd,it_remarks) values('28Nov240101','070000133468','1',(select max(to_number(i.premium_rcv_detail_code))+1
from ins_premium_det i),'1','1','02', '11000003','00','Request by Mr. Omair Ali 29-Nov-2024');</v>
      </c>
    </row>
    <row r="1630" spans="1:8" ht="105" x14ac:dyDescent="0.25">
      <c r="A1630" t="s">
        <v>1630</v>
      </c>
      <c r="B1630" s="8" t="str">
        <f>VLOOKUP(A1630,assortedcode!B:C,2,0)</f>
        <v>040000146869</v>
      </c>
      <c r="C1630" s="1">
        <v>1</v>
      </c>
      <c r="D1630" s="9">
        <f t="shared" si="101"/>
        <v>1</v>
      </c>
      <c r="E1630" s="7" t="s">
        <v>8345</v>
      </c>
      <c r="F1630" s="10" t="str">
        <f t="shared" si="100"/>
        <v>insert into ins_premium_det (premium_rcv_code,assorted_code, rec_amount,premium_rcv_detail_code,remaining_amt, payrec, mode_code,coinsurance_code,class_cd,it_remarks) values</v>
      </c>
      <c r="G1630" s="11" t="str">
        <f t="shared" si="102"/>
        <v>('28Nov240101','040000146869','1',(select max(to_number(i.premium_rcv_detail_code))+1
from ins_premium_det i),'1','1','02', '11000003','00','Request by Mr. Omair Ali 29-Nov-2024');</v>
      </c>
      <c r="H1630" s="12" t="str">
        <f t="shared" si="103"/>
        <v>insert into ins_premium_det (premium_rcv_code,assorted_code, rec_amount,premium_rcv_detail_code,remaining_amt, payrec, mode_code,coinsurance_code,class_cd,it_remarks) values('28Nov240101','040000146869','1',(select max(to_number(i.premium_rcv_detail_code))+1
from ins_premium_det i),'1','1','02', '11000003','00','Request by Mr. Omair Ali 29-Nov-2024');</v>
      </c>
    </row>
    <row r="1631" spans="1:8" ht="105" x14ac:dyDescent="0.25">
      <c r="A1631" t="s">
        <v>1631</v>
      </c>
      <c r="B1631" s="8" t="str">
        <f>VLOOKUP(A1631,assortedcode!B:C,2,0)</f>
        <v>040000134087</v>
      </c>
      <c r="C1631" s="1">
        <v>1</v>
      </c>
      <c r="D1631" s="9">
        <f t="shared" si="101"/>
        <v>1</v>
      </c>
      <c r="E1631" s="7" t="s">
        <v>8345</v>
      </c>
      <c r="F1631" s="10" t="str">
        <f t="shared" si="100"/>
        <v>insert into ins_premium_det (premium_rcv_code,assorted_code, rec_amount,premium_rcv_detail_code,remaining_amt, payrec, mode_code,coinsurance_code,class_cd,it_remarks) values</v>
      </c>
      <c r="G1631" s="11" t="str">
        <f t="shared" si="102"/>
        <v>('28Nov240101','040000134087','1',(select max(to_number(i.premium_rcv_detail_code))+1
from ins_premium_det i),'1','1','02', '11000003','00','Request by Mr. Omair Ali 29-Nov-2024');</v>
      </c>
      <c r="H1631" s="12" t="str">
        <f t="shared" si="103"/>
        <v>insert into ins_premium_det (premium_rcv_code,assorted_code, rec_amount,premium_rcv_detail_code,remaining_amt, payrec, mode_code,coinsurance_code,class_cd,it_remarks) values('28Nov240101','040000134087','1',(select max(to_number(i.premium_rcv_detail_code))+1
from ins_premium_det i),'1','1','02', '11000003','00','Request by Mr. Omair Ali 29-Nov-2024');</v>
      </c>
    </row>
    <row r="1632" spans="1:8" ht="105" x14ac:dyDescent="0.25">
      <c r="A1632" t="s">
        <v>1632</v>
      </c>
      <c r="B1632" s="8" t="str">
        <f>VLOOKUP(A1632,assortedcode!B:C,2,0)</f>
        <v>040000147216</v>
      </c>
      <c r="C1632" s="1">
        <v>1</v>
      </c>
      <c r="D1632" s="9">
        <f t="shared" si="101"/>
        <v>1</v>
      </c>
      <c r="E1632" s="7" t="s">
        <v>8345</v>
      </c>
      <c r="F1632" s="10" t="str">
        <f t="shared" si="100"/>
        <v>insert into ins_premium_det (premium_rcv_code,assorted_code, rec_amount,premium_rcv_detail_code,remaining_amt, payrec, mode_code,coinsurance_code,class_cd,it_remarks) values</v>
      </c>
      <c r="G1632" s="11" t="str">
        <f t="shared" si="102"/>
        <v>('28Nov240101','040000147216','1',(select max(to_number(i.premium_rcv_detail_code))+1
from ins_premium_det i),'1','1','02', '11000003','00','Request by Mr. Omair Ali 29-Nov-2024');</v>
      </c>
      <c r="H1632" s="12" t="str">
        <f t="shared" si="103"/>
        <v>insert into ins_premium_det (premium_rcv_code,assorted_code, rec_amount,premium_rcv_detail_code,remaining_amt, payrec, mode_code,coinsurance_code,class_cd,it_remarks) values('28Nov240101','040000147216','1',(select max(to_number(i.premium_rcv_detail_code))+1
from ins_premium_det i),'1','1','02', '11000003','00','Request by Mr. Omair Ali 29-Nov-2024');</v>
      </c>
    </row>
    <row r="1633" spans="1:8" ht="105" x14ac:dyDescent="0.25">
      <c r="A1633" t="s">
        <v>1633</v>
      </c>
      <c r="B1633" s="8" t="str">
        <f>VLOOKUP(A1633,assortedcode!B:C,2,0)</f>
        <v>070000133471</v>
      </c>
      <c r="C1633" s="1">
        <v>1</v>
      </c>
      <c r="D1633" s="9">
        <f t="shared" si="101"/>
        <v>1</v>
      </c>
      <c r="E1633" s="7" t="s">
        <v>8345</v>
      </c>
      <c r="F1633" s="10" t="str">
        <f t="shared" si="100"/>
        <v>insert into ins_premium_det (premium_rcv_code,assorted_code, rec_amount,premium_rcv_detail_code,remaining_amt, payrec, mode_code,coinsurance_code,class_cd,it_remarks) values</v>
      </c>
      <c r="G1633" s="11" t="str">
        <f t="shared" si="102"/>
        <v>('28Nov240101','070000133471','1',(select max(to_number(i.premium_rcv_detail_code))+1
from ins_premium_det i),'1','1','02', '11000003','00','Request by Mr. Omair Ali 29-Nov-2024');</v>
      </c>
      <c r="H1633" s="12" t="str">
        <f t="shared" si="103"/>
        <v>insert into ins_premium_det (premium_rcv_code,assorted_code, rec_amount,premium_rcv_detail_code,remaining_amt, payrec, mode_code,coinsurance_code,class_cd,it_remarks) values('28Nov240101','070000133471','1',(select max(to_number(i.premium_rcv_detail_code))+1
from ins_premium_det i),'1','1','02', '11000003','00','Request by Mr. Omair Ali 29-Nov-2024');</v>
      </c>
    </row>
    <row r="1634" spans="1:8" ht="105" x14ac:dyDescent="0.25">
      <c r="A1634" t="s">
        <v>1634</v>
      </c>
      <c r="B1634" s="8" t="str">
        <f>VLOOKUP(A1634,assortedcode!B:C,2,0)</f>
        <v>040000148847</v>
      </c>
      <c r="C1634" s="1">
        <v>1</v>
      </c>
      <c r="D1634" s="9">
        <f t="shared" si="101"/>
        <v>1</v>
      </c>
      <c r="E1634" s="7" t="s">
        <v>8345</v>
      </c>
      <c r="F1634" s="10" t="str">
        <f t="shared" si="100"/>
        <v>insert into ins_premium_det (premium_rcv_code,assorted_code, rec_amount,premium_rcv_detail_code,remaining_amt, payrec, mode_code,coinsurance_code,class_cd,it_remarks) values</v>
      </c>
      <c r="G1634" s="11" t="str">
        <f t="shared" si="102"/>
        <v>('28Nov240101','040000148847','1',(select max(to_number(i.premium_rcv_detail_code))+1
from ins_premium_det i),'1','1','02', '11000003','00','Request by Mr. Omair Ali 29-Nov-2024');</v>
      </c>
      <c r="H1634" s="12" t="str">
        <f t="shared" si="103"/>
        <v>insert into ins_premium_det (premium_rcv_code,assorted_code, rec_amount,premium_rcv_detail_code,remaining_amt, payrec, mode_code,coinsurance_code,class_cd,it_remarks) values('28Nov240101','040000148847','1',(select max(to_number(i.premium_rcv_detail_code))+1
from ins_premium_det i),'1','1','02', '11000003','00','Request by Mr. Omair Ali 29-Nov-2024');</v>
      </c>
    </row>
    <row r="1635" spans="1:8" ht="105" x14ac:dyDescent="0.25">
      <c r="A1635" t="s">
        <v>1635</v>
      </c>
      <c r="B1635" s="8" t="str">
        <f>VLOOKUP(A1635,assortedcode!B:C,2,0)</f>
        <v>040000141205</v>
      </c>
      <c r="C1635" s="1">
        <v>1</v>
      </c>
      <c r="D1635" s="9">
        <f t="shared" si="101"/>
        <v>1</v>
      </c>
      <c r="E1635" s="7" t="s">
        <v>8345</v>
      </c>
      <c r="F1635" s="10" t="str">
        <f t="shared" si="100"/>
        <v>insert into ins_premium_det (premium_rcv_code,assorted_code, rec_amount,premium_rcv_detail_code,remaining_amt, payrec, mode_code,coinsurance_code,class_cd,it_remarks) values</v>
      </c>
      <c r="G1635" s="11" t="str">
        <f t="shared" si="102"/>
        <v>('28Nov240101','040000141205','1',(select max(to_number(i.premium_rcv_detail_code))+1
from ins_premium_det i),'1','1','02', '11000003','00','Request by Mr. Omair Ali 29-Nov-2024');</v>
      </c>
      <c r="H1635" s="12" t="str">
        <f t="shared" si="103"/>
        <v>insert into ins_premium_det (premium_rcv_code,assorted_code, rec_amount,premium_rcv_detail_code,remaining_amt, payrec, mode_code,coinsurance_code,class_cd,it_remarks) values('28Nov240101','040000141205','1',(select max(to_number(i.premium_rcv_detail_code))+1
from ins_premium_det i),'1','1','02', '11000003','00','Request by Mr. Omair Ali 29-Nov-2024');</v>
      </c>
    </row>
    <row r="1636" spans="1:8" ht="105" x14ac:dyDescent="0.25">
      <c r="A1636" t="s">
        <v>1636</v>
      </c>
      <c r="B1636" s="8" t="str">
        <f>VLOOKUP(A1636,assortedcode!B:C,2,0)</f>
        <v>040000164797</v>
      </c>
      <c r="C1636" s="1">
        <v>1</v>
      </c>
      <c r="D1636" s="9">
        <f t="shared" si="101"/>
        <v>1</v>
      </c>
      <c r="E1636" s="7" t="s">
        <v>8345</v>
      </c>
      <c r="F1636" s="10" t="str">
        <f t="shared" si="100"/>
        <v>insert into ins_premium_det (premium_rcv_code,assorted_code, rec_amount,premium_rcv_detail_code,remaining_amt, payrec, mode_code,coinsurance_code,class_cd,it_remarks) values</v>
      </c>
      <c r="G1636" s="11" t="str">
        <f t="shared" si="102"/>
        <v>('28Nov240101','040000164797','1',(select max(to_number(i.premium_rcv_detail_code))+1
from ins_premium_det i),'1','1','02', '11000003','00','Request by Mr. Omair Ali 29-Nov-2024');</v>
      </c>
      <c r="H1636" s="12" t="str">
        <f t="shared" si="103"/>
        <v>insert into ins_premium_det (premium_rcv_code,assorted_code, rec_amount,premium_rcv_detail_code,remaining_amt, payrec, mode_code,coinsurance_code,class_cd,it_remarks) values('28Nov240101','040000164797','1',(select max(to_number(i.premium_rcv_detail_code))+1
from ins_premium_det i),'1','1','02', '11000003','00','Request by Mr. Omair Ali 29-Nov-2024');</v>
      </c>
    </row>
    <row r="1637" spans="1:8" ht="105" x14ac:dyDescent="0.25">
      <c r="A1637" t="s">
        <v>1637</v>
      </c>
      <c r="B1637" s="8" t="str">
        <f>VLOOKUP(A1637,assortedcode!B:C,2,0)</f>
        <v>040000141216</v>
      </c>
      <c r="C1637" s="1">
        <v>1</v>
      </c>
      <c r="D1637" s="9">
        <f t="shared" si="101"/>
        <v>1</v>
      </c>
      <c r="E1637" s="7" t="s">
        <v>8345</v>
      </c>
      <c r="F1637" s="10" t="str">
        <f t="shared" si="100"/>
        <v>insert into ins_premium_det (premium_rcv_code,assorted_code, rec_amount,premium_rcv_detail_code,remaining_amt, payrec, mode_code,coinsurance_code,class_cd,it_remarks) values</v>
      </c>
      <c r="G1637" s="11" t="str">
        <f t="shared" si="102"/>
        <v>('28Nov240101','040000141216','1',(select max(to_number(i.premium_rcv_detail_code))+1
from ins_premium_det i),'1','1','02', '11000003','00','Request by Mr. Omair Ali 29-Nov-2024');</v>
      </c>
      <c r="H1637" s="12" t="str">
        <f t="shared" si="103"/>
        <v>insert into ins_premium_det (premium_rcv_code,assorted_code, rec_amount,premium_rcv_detail_code,remaining_amt, payrec, mode_code,coinsurance_code,class_cd,it_remarks) values('28Nov240101','040000141216','1',(select max(to_number(i.premium_rcv_detail_code))+1
from ins_premium_det i),'1','1','02', '11000003','00','Request by Mr. Omair Ali 29-Nov-2024');</v>
      </c>
    </row>
    <row r="1638" spans="1:8" ht="105" x14ac:dyDescent="0.25">
      <c r="A1638" t="s">
        <v>1638</v>
      </c>
      <c r="B1638" s="8" t="str">
        <f>VLOOKUP(A1638,assortedcode!B:C,2,0)</f>
        <v>040000165350</v>
      </c>
      <c r="C1638" s="1">
        <v>1</v>
      </c>
      <c r="D1638" s="9">
        <f t="shared" si="101"/>
        <v>1</v>
      </c>
      <c r="E1638" s="7" t="s">
        <v>8345</v>
      </c>
      <c r="F1638" s="10" t="str">
        <f t="shared" si="100"/>
        <v>insert into ins_premium_det (premium_rcv_code,assorted_code, rec_amount,premium_rcv_detail_code,remaining_amt, payrec, mode_code,coinsurance_code,class_cd,it_remarks) values</v>
      </c>
      <c r="G1638" s="11" t="str">
        <f t="shared" si="102"/>
        <v>('28Nov240101','040000165350','1',(select max(to_number(i.premium_rcv_detail_code))+1
from ins_premium_det i),'1','1','02', '11000003','00','Request by Mr. Omair Ali 29-Nov-2024');</v>
      </c>
      <c r="H1638" s="12" t="str">
        <f t="shared" si="103"/>
        <v>insert into ins_premium_det (premium_rcv_code,assorted_code, rec_amount,premium_rcv_detail_code,remaining_amt, payrec, mode_code,coinsurance_code,class_cd,it_remarks) values('28Nov240101','040000165350','1',(select max(to_number(i.premium_rcv_detail_code))+1
from ins_premium_det i),'1','1','02', '11000003','00','Request by Mr. Omair Ali 29-Nov-2024');</v>
      </c>
    </row>
    <row r="1639" spans="1:8" ht="105" x14ac:dyDescent="0.25">
      <c r="A1639" t="s">
        <v>1639</v>
      </c>
      <c r="B1639" s="8" t="str">
        <f>VLOOKUP(A1639,assortedcode!B:C,2,0)</f>
        <v>040000141268</v>
      </c>
      <c r="C1639" s="1">
        <v>1</v>
      </c>
      <c r="D1639" s="9">
        <f t="shared" si="101"/>
        <v>1</v>
      </c>
      <c r="E1639" s="7" t="s">
        <v>8345</v>
      </c>
      <c r="F1639" s="10" t="str">
        <f t="shared" si="100"/>
        <v>insert into ins_premium_det (premium_rcv_code,assorted_code, rec_amount,premium_rcv_detail_code,remaining_amt, payrec, mode_code,coinsurance_code,class_cd,it_remarks) values</v>
      </c>
      <c r="G1639" s="11" t="str">
        <f t="shared" si="102"/>
        <v>('28Nov240101','040000141268','1',(select max(to_number(i.premium_rcv_detail_code))+1
from ins_premium_det i),'1','1','02', '11000003','00','Request by Mr. Omair Ali 29-Nov-2024');</v>
      </c>
      <c r="H1639" s="12" t="str">
        <f t="shared" si="103"/>
        <v>insert into ins_premium_det (premium_rcv_code,assorted_code, rec_amount,premium_rcv_detail_code,remaining_amt, payrec, mode_code,coinsurance_code,class_cd,it_remarks) values('28Nov240101','040000141268','1',(select max(to_number(i.premium_rcv_detail_code))+1
from ins_premium_det i),'1','1','02', '11000003','00','Request by Mr. Omair Ali 29-Nov-2024');</v>
      </c>
    </row>
    <row r="1640" spans="1:8" ht="105" x14ac:dyDescent="0.25">
      <c r="A1640" t="s">
        <v>1640</v>
      </c>
      <c r="B1640" s="8" t="str">
        <f>VLOOKUP(A1640,assortedcode!B:C,2,0)</f>
        <v>040000165607</v>
      </c>
      <c r="C1640" s="1">
        <v>1</v>
      </c>
      <c r="D1640" s="9">
        <f t="shared" si="101"/>
        <v>1</v>
      </c>
      <c r="E1640" s="7" t="s">
        <v>8345</v>
      </c>
      <c r="F1640" s="10" t="str">
        <f t="shared" si="100"/>
        <v>insert into ins_premium_det (premium_rcv_code,assorted_code, rec_amount,premium_rcv_detail_code,remaining_amt, payrec, mode_code,coinsurance_code,class_cd,it_remarks) values</v>
      </c>
      <c r="G1640" s="11" t="str">
        <f t="shared" si="102"/>
        <v>('28Nov240101','040000165607','1',(select max(to_number(i.premium_rcv_detail_code))+1
from ins_premium_det i),'1','1','02', '11000003','00','Request by Mr. Omair Ali 29-Nov-2024');</v>
      </c>
      <c r="H1640" s="12" t="str">
        <f t="shared" si="103"/>
        <v>insert into ins_premium_det (premium_rcv_code,assorted_code, rec_amount,premium_rcv_detail_code,remaining_amt, payrec, mode_code,coinsurance_code,class_cd,it_remarks) values('28Nov240101','040000165607','1',(select max(to_number(i.premium_rcv_detail_code))+1
from ins_premium_det i),'1','1','02', '11000003','00','Request by Mr. Omair Ali 29-Nov-2024');</v>
      </c>
    </row>
    <row r="1641" spans="1:8" ht="105" x14ac:dyDescent="0.25">
      <c r="A1641" t="s">
        <v>1641</v>
      </c>
      <c r="B1641" s="8" t="str">
        <f>VLOOKUP(A1641,assortedcode!B:C,2,0)</f>
        <v>040000141282</v>
      </c>
      <c r="C1641" s="1">
        <v>1</v>
      </c>
      <c r="D1641" s="9">
        <f t="shared" si="101"/>
        <v>1</v>
      </c>
      <c r="E1641" s="7" t="s">
        <v>8345</v>
      </c>
      <c r="F1641" s="10" t="str">
        <f t="shared" si="100"/>
        <v>insert into ins_premium_det (premium_rcv_code,assorted_code, rec_amount,premium_rcv_detail_code,remaining_amt, payrec, mode_code,coinsurance_code,class_cd,it_remarks) values</v>
      </c>
      <c r="G1641" s="11" t="str">
        <f t="shared" si="102"/>
        <v>('28Nov240101','040000141282','1',(select max(to_number(i.premium_rcv_detail_code))+1
from ins_premium_det i),'1','1','02', '11000003','00','Request by Mr. Omair Ali 29-Nov-2024');</v>
      </c>
      <c r="H1641" s="12" t="str">
        <f t="shared" si="103"/>
        <v>insert into ins_premium_det (premium_rcv_code,assorted_code, rec_amount,premium_rcv_detail_code,remaining_amt, payrec, mode_code,coinsurance_code,class_cd,it_remarks) values('28Nov240101','040000141282','1',(select max(to_number(i.premium_rcv_detail_code))+1
from ins_premium_det i),'1','1','02', '11000003','00','Request by Mr. Omair Ali 29-Nov-2024');</v>
      </c>
    </row>
    <row r="1642" spans="1:8" ht="105" x14ac:dyDescent="0.25">
      <c r="A1642" t="s">
        <v>1642</v>
      </c>
      <c r="B1642" s="8" t="str">
        <f>VLOOKUP(A1642,assortedcode!B:C,2,0)</f>
        <v>040000165615</v>
      </c>
      <c r="C1642" s="1">
        <v>1</v>
      </c>
      <c r="D1642" s="9">
        <f t="shared" si="101"/>
        <v>1</v>
      </c>
      <c r="E1642" s="7" t="s">
        <v>8345</v>
      </c>
      <c r="F1642" s="10" t="str">
        <f t="shared" si="100"/>
        <v>insert into ins_premium_det (premium_rcv_code,assorted_code, rec_amount,premium_rcv_detail_code,remaining_amt, payrec, mode_code,coinsurance_code,class_cd,it_remarks) values</v>
      </c>
      <c r="G1642" s="11" t="str">
        <f t="shared" si="102"/>
        <v>('28Nov240101','040000165615','1',(select max(to_number(i.premium_rcv_detail_code))+1
from ins_premium_det i),'1','1','02', '11000003','00','Request by Mr. Omair Ali 29-Nov-2024');</v>
      </c>
      <c r="H1642" s="12" t="str">
        <f t="shared" si="103"/>
        <v>insert into ins_premium_det (premium_rcv_code,assorted_code, rec_amount,premium_rcv_detail_code,remaining_amt, payrec, mode_code,coinsurance_code,class_cd,it_remarks) values('28Nov240101','040000165615','1',(select max(to_number(i.premium_rcv_detail_code))+1
from ins_premium_det i),'1','1','02', '11000003','00','Request by Mr. Omair Ali 29-Nov-2024');</v>
      </c>
    </row>
    <row r="1643" spans="1:8" ht="105" x14ac:dyDescent="0.25">
      <c r="A1643" t="s">
        <v>1643</v>
      </c>
      <c r="B1643" s="8" t="str">
        <f>VLOOKUP(A1643,assortedcode!B:C,2,0)</f>
        <v>040000141358</v>
      </c>
      <c r="C1643" s="1">
        <v>1</v>
      </c>
      <c r="D1643" s="9">
        <f t="shared" si="101"/>
        <v>1</v>
      </c>
      <c r="E1643" s="7" t="s">
        <v>8345</v>
      </c>
      <c r="F1643" s="10" t="str">
        <f t="shared" si="100"/>
        <v>insert into ins_premium_det (premium_rcv_code,assorted_code, rec_amount,premium_rcv_detail_code,remaining_amt, payrec, mode_code,coinsurance_code,class_cd,it_remarks) values</v>
      </c>
      <c r="G1643" s="11" t="str">
        <f t="shared" si="102"/>
        <v>('28Nov240101','040000141358','1',(select max(to_number(i.premium_rcv_detail_code))+1
from ins_premium_det i),'1','1','02', '11000003','00','Request by Mr. Omair Ali 29-Nov-2024');</v>
      </c>
      <c r="H1643" s="12" t="str">
        <f t="shared" si="103"/>
        <v>insert into ins_premium_det (premium_rcv_code,assorted_code, rec_amount,premium_rcv_detail_code,remaining_amt, payrec, mode_code,coinsurance_code,class_cd,it_remarks) values('28Nov240101','040000141358','1',(select max(to_number(i.premium_rcv_detail_code))+1
from ins_premium_det i),'1','1','02', '11000003','00','Request by Mr. Omair Ali 29-Nov-2024');</v>
      </c>
    </row>
    <row r="1644" spans="1:8" ht="105" x14ac:dyDescent="0.25">
      <c r="A1644" t="s">
        <v>1644</v>
      </c>
      <c r="B1644" s="8" t="str">
        <f>VLOOKUP(A1644,assortedcode!B:C,2,0)</f>
        <v>040000165656</v>
      </c>
      <c r="C1644" s="1">
        <v>1</v>
      </c>
      <c r="D1644" s="9">
        <f t="shared" si="101"/>
        <v>1</v>
      </c>
      <c r="E1644" s="7" t="s">
        <v>8345</v>
      </c>
      <c r="F1644" s="10" t="str">
        <f t="shared" si="100"/>
        <v>insert into ins_premium_det (premium_rcv_code,assorted_code, rec_amount,premium_rcv_detail_code,remaining_amt, payrec, mode_code,coinsurance_code,class_cd,it_remarks) values</v>
      </c>
      <c r="G1644" s="11" t="str">
        <f t="shared" si="102"/>
        <v>('28Nov240101','040000165656','1',(select max(to_number(i.premium_rcv_detail_code))+1
from ins_premium_det i),'1','1','02', '11000003','00','Request by Mr. Omair Ali 29-Nov-2024');</v>
      </c>
      <c r="H1644" s="12" t="str">
        <f t="shared" si="103"/>
        <v>insert into ins_premium_det (premium_rcv_code,assorted_code, rec_amount,premium_rcv_detail_code,remaining_amt, payrec, mode_code,coinsurance_code,class_cd,it_remarks) values('28Nov240101','040000165656','1',(select max(to_number(i.premium_rcv_detail_code))+1
from ins_premium_det i),'1','1','02', '11000003','00','Request by Mr. Omair Ali 29-Nov-2024');</v>
      </c>
    </row>
    <row r="1645" spans="1:8" ht="105" x14ac:dyDescent="0.25">
      <c r="A1645" t="s">
        <v>1645</v>
      </c>
      <c r="B1645" s="8" t="str">
        <f>VLOOKUP(A1645,assortedcode!B:C,2,0)</f>
        <v>040000141382</v>
      </c>
      <c r="C1645" s="1">
        <v>1</v>
      </c>
      <c r="D1645" s="9">
        <f t="shared" si="101"/>
        <v>1</v>
      </c>
      <c r="E1645" s="7" t="s">
        <v>8345</v>
      </c>
      <c r="F1645" s="10" t="str">
        <f t="shared" si="100"/>
        <v>insert into ins_premium_det (premium_rcv_code,assorted_code, rec_amount,premium_rcv_detail_code,remaining_amt, payrec, mode_code,coinsurance_code,class_cd,it_remarks) values</v>
      </c>
      <c r="G1645" s="11" t="str">
        <f t="shared" si="102"/>
        <v>('28Nov240101','040000141382','1',(select max(to_number(i.premium_rcv_detail_code))+1
from ins_premium_det i),'1','1','02', '11000003','00','Request by Mr. Omair Ali 29-Nov-2024');</v>
      </c>
      <c r="H1645" s="12" t="str">
        <f t="shared" si="103"/>
        <v>insert into ins_premium_det (premium_rcv_code,assorted_code, rec_amount,premium_rcv_detail_code,remaining_amt, payrec, mode_code,coinsurance_code,class_cd,it_remarks) values('28Nov240101','040000141382','1',(select max(to_number(i.premium_rcv_detail_code))+1
from ins_premium_det i),'1','1','02', '11000003','00','Request by Mr. Omair Ali 29-Nov-2024');</v>
      </c>
    </row>
    <row r="1646" spans="1:8" ht="105" x14ac:dyDescent="0.25">
      <c r="A1646" t="s">
        <v>1646</v>
      </c>
      <c r="B1646" s="8" t="str">
        <f>VLOOKUP(A1646,assortedcode!B:C,2,0)</f>
        <v>040000165659</v>
      </c>
      <c r="C1646" s="1">
        <v>1</v>
      </c>
      <c r="D1646" s="9">
        <f t="shared" si="101"/>
        <v>1</v>
      </c>
      <c r="E1646" s="7" t="s">
        <v>8345</v>
      </c>
      <c r="F1646" s="10" t="str">
        <f t="shared" si="100"/>
        <v>insert into ins_premium_det (premium_rcv_code,assorted_code, rec_amount,premium_rcv_detail_code,remaining_amt, payrec, mode_code,coinsurance_code,class_cd,it_remarks) values</v>
      </c>
      <c r="G1646" s="11" t="str">
        <f t="shared" si="102"/>
        <v>('28Nov240101','040000165659','1',(select max(to_number(i.premium_rcv_detail_code))+1
from ins_premium_det i),'1','1','02', '11000003','00','Request by Mr. Omair Ali 29-Nov-2024');</v>
      </c>
      <c r="H1646" s="12" t="str">
        <f t="shared" si="103"/>
        <v>insert into ins_premium_det (premium_rcv_code,assorted_code, rec_amount,premium_rcv_detail_code,remaining_amt, payrec, mode_code,coinsurance_code,class_cd,it_remarks) values('28Nov240101','040000165659','1',(select max(to_number(i.premium_rcv_detail_code))+1
from ins_premium_det i),'1','1','02', '11000003','00','Request by Mr. Omair Ali 29-Nov-2024');</v>
      </c>
    </row>
    <row r="1647" spans="1:8" ht="105" x14ac:dyDescent="0.25">
      <c r="A1647" t="s">
        <v>1647</v>
      </c>
      <c r="B1647" s="8" t="str">
        <f>VLOOKUP(A1647,assortedcode!B:C,2,0)</f>
        <v>040000141988</v>
      </c>
      <c r="C1647" s="1">
        <v>1</v>
      </c>
      <c r="D1647" s="9">
        <f t="shared" si="101"/>
        <v>1</v>
      </c>
      <c r="E1647" s="7" t="s">
        <v>8345</v>
      </c>
      <c r="F1647" s="10" t="str">
        <f t="shared" si="100"/>
        <v>insert into ins_premium_det (premium_rcv_code,assorted_code, rec_amount,premium_rcv_detail_code,remaining_amt, payrec, mode_code,coinsurance_code,class_cd,it_remarks) values</v>
      </c>
      <c r="G1647" s="11" t="str">
        <f t="shared" si="102"/>
        <v>('28Nov240101','040000141988','1',(select max(to_number(i.premium_rcv_detail_code))+1
from ins_premium_det i),'1','1','02', '11000003','00','Request by Mr. Omair Ali 29-Nov-2024');</v>
      </c>
      <c r="H1647" s="12" t="str">
        <f t="shared" si="103"/>
        <v>insert into ins_premium_det (premium_rcv_code,assorted_code, rec_amount,premium_rcv_detail_code,remaining_amt, payrec, mode_code,coinsurance_code,class_cd,it_remarks) values('28Nov240101','040000141988','1',(select max(to_number(i.premium_rcv_detail_code))+1
from ins_premium_det i),'1','1','02', '11000003','00','Request by Mr. Omair Ali 29-Nov-2024');</v>
      </c>
    </row>
    <row r="1648" spans="1:8" ht="105" x14ac:dyDescent="0.25">
      <c r="A1648" t="s">
        <v>1648</v>
      </c>
      <c r="B1648" s="8" t="str">
        <f>VLOOKUP(A1648,assortedcode!B:C,2,0)</f>
        <v>040000165693</v>
      </c>
      <c r="C1648" s="1">
        <v>1</v>
      </c>
      <c r="D1648" s="9">
        <f t="shared" si="101"/>
        <v>1</v>
      </c>
      <c r="E1648" s="7" t="s">
        <v>8345</v>
      </c>
      <c r="F1648" s="10" t="str">
        <f t="shared" si="100"/>
        <v>insert into ins_premium_det (premium_rcv_code,assorted_code, rec_amount,premium_rcv_detail_code,remaining_amt, payrec, mode_code,coinsurance_code,class_cd,it_remarks) values</v>
      </c>
      <c r="G1648" s="11" t="str">
        <f t="shared" si="102"/>
        <v>('28Nov240101','040000165693','1',(select max(to_number(i.premium_rcv_detail_code))+1
from ins_premium_det i),'1','1','02', '11000003','00','Request by Mr. Omair Ali 29-Nov-2024');</v>
      </c>
      <c r="H1648" s="12" t="str">
        <f t="shared" si="103"/>
        <v>insert into ins_premium_det (premium_rcv_code,assorted_code, rec_amount,premium_rcv_detail_code,remaining_amt, payrec, mode_code,coinsurance_code,class_cd,it_remarks) values('28Nov240101','040000165693','1',(select max(to_number(i.premium_rcv_detail_code))+1
from ins_premium_det i),'1','1','02', '11000003','00','Request by Mr. Omair Ali 29-Nov-2024');</v>
      </c>
    </row>
    <row r="1649" spans="1:8" ht="105" x14ac:dyDescent="0.25">
      <c r="A1649" t="s">
        <v>1649</v>
      </c>
      <c r="B1649" s="8" t="str">
        <f>VLOOKUP(A1649,assortedcode!B:C,2,0)</f>
        <v>040000146529</v>
      </c>
      <c r="C1649" s="1">
        <v>1</v>
      </c>
      <c r="D1649" s="9">
        <f t="shared" si="101"/>
        <v>1</v>
      </c>
      <c r="E1649" s="7" t="s">
        <v>8345</v>
      </c>
      <c r="F1649" s="10" t="str">
        <f t="shared" si="100"/>
        <v>insert into ins_premium_det (premium_rcv_code,assorted_code, rec_amount,premium_rcv_detail_code,remaining_amt, payrec, mode_code,coinsurance_code,class_cd,it_remarks) values</v>
      </c>
      <c r="G1649" s="11" t="str">
        <f t="shared" si="102"/>
        <v>('28Nov240101','040000146529','1',(select max(to_number(i.premium_rcv_detail_code))+1
from ins_premium_det i),'1','1','02', '11000003','00','Request by Mr. Omair Ali 29-Nov-2024');</v>
      </c>
      <c r="H1649" s="12" t="str">
        <f t="shared" si="103"/>
        <v>insert into ins_premium_det (premium_rcv_code,assorted_code, rec_amount,premium_rcv_detail_code,remaining_amt, payrec, mode_code,coinsurance_code,class_cd,it_remarks) values('28Nov240101','040000146529','1',(select max(to_number(i.premium_rcv_detail_code))+1
from ins_premium_det i),'1','1','02', '11000003','00','Request by Mr. Omair Ali 29-Nov-2024');</v>
      </c>
    </row>
    <row r="1650" spans="1:8" ht="105" x14ac:dyDescent="0.25">
      <c r="A1650" t="s">
        <v>1650</v>
      </c>
      <c r="B1650" s="8" t="str">
        <f>VLOOKUP(A1650,assortedcode!B:C,2,0)</f>
        <v>040000136825</v>
      </c>
      <c r="C1650" s="1">
        <v>1</v>
      </c>
      <c r="D1650" s="9">
        <f t="shared" si="101"/>
        <v>1</v>
      </c>
      <c r="E1650" s="7" t="s">
        <v>8345</v>
      </c>
      <c r="F1650" s="10" t="str">
        <f t="shared" si="100"/>
        <v>insert into ins_premium_det (premium_rcv_code,assorted_code, rec_amount,premium_rcv_detail_code,remaining_amt, payrec, mode_code,coinsurance_code,class_cd,it_remarks) values</v>
      </c>
      <c r="G1650" s="11" t="str">
        <f t="shared" si="102"/>
        <v>('28Nov240101','040000136825','1',(select max(to_number(i.premium_rcv_detail_code))+1
from ins_premium_det i),'1','1','02', '11000003','00','Request by Mr. Omair Ali 29-Nov-2024');</v>
      </c>
      <c r="H1650" s="12" t="str">
        <f t="shared" si="103"/>
        <v>insert into ins_premium_det (premium_rcv_code,assorted_code, rec_amount,premium_rcv_detail_code,remaining_amt, payrec, mode_code,coinsurance_code,class_cd,it_remarks) values('28Nov240101','040000136825','1',(select max(to_number(i.premium_rcv_detail_code))+1
from ins_premium_det i),'1','1','02', '11000003','00','Request by Mr. Omair Ali 29-Nov-2024');</v>
      </c>
    </row>
    <row r="1651" spans="1:8" ht="105" x14ac:dyDescent="0.25">
      <c r="A1651" t="s">
        <v>1651</v>
      </c>
      <c r="B1651" s="8" t="str">
        <f>VLOOKUP(A1651,assortedcode!B:C,2,0)</f>
        <v>070000133478</v>
      </c>
      <c r="C1651" s="1">
        <v>1</v>
      </c>
      <c r="D1651" s="9">
        <f t="shared" si="101"/>
        <v>1</v>
      </c>
      <c r="E1651" s="7" t="s">
        <v>8345</v>
      </c>
      <c r="F1651" s="10" t="str">
        <f t="shared" si="100"/>
        <v>insert into ins_premium_det (premium_rcv_code,assorted_code, rec_amount,premium_rcv_detail_code,remaining_amt, payrec, mode_code,coinsurance_code,class_cd,it_remarks) values</v>
      </c>
      <c r="G1651" s="11" t="str">
        <f t="shared" si="102"/>
        <v>('28Nov240101','070000133478','1',(select max(to_number(i.premium_rcv_detail_code))+1
from ins_premium_det i),'1','1','02', '11000003','00','Request by Mr. Omair Ali 29-Nov-2024');</v>
      </c>
      <c r="H1651" s="12" t="str">
        <f t="shared" si="103"/>
        <v>insert into ins_premium_det (premium_rcv_code,assorted_code, rec_amount,premium_rcv_detail_code,remaining_amt, payrec, mode_code,coinsurance_code,class_cd,it_remarks) values('28Nov240101','070000133478','1',(select max(to_number(i.premium_rcv_detail_code))+1
from ins_premium_det i),'1','1','02', '11000003','00','Request by Mr. Omair Ali 29-Nov-2024');</v>
      </c>
    </row>
    <row r="1652" spans="1:8" ht="105" x14ac:dyDescent="0.25">
      <c r="A1652" t="s">
        <v>1652</v>
      </c>
      <c r="B1652" s="8" t="str">
        <f>VLOOKUP(A1652,assortedcode!B:C,2,0)</f>
        <v>040000177782</v>
      </c>
      <c r="C1652" s="1">
        <v>1</v>
      </c>
      <c r="D1652" s="9">
        <f t="shared" si="101"/>
        <v>1</v>
      </c>
      <c r="E1652" s="7" t="s">
        <v>8345</v>
      </c>
      <c r="F1652" s="10" t="str">
        <f t="shared" si="100"/>
        <v>insert into ins_premium_det (premium_rcv_code,assorted_code, rec_amount,premium_rcv_detail_code,remaining_amt, payrec, mode_code,coinsurance_code,class_cd,it_remarks) values</v>
      </c>
      <c r="G1652" s="11" t="str">
        <f t="shared" si="102"/>
        <v>('28Nov240101','040000177782','1',(select max(to_number(i.premium_rcv_detail_code))+1
from ins_premium_det i),'1','1','02', '11000003','00','Request by Mr. Omair Ali 29-Nov-2024');</v>
      </c>
      <c r="H1652" s="12" t="str">
        <f t="shared" si="103"/>
        <v>insert into ins_premium_det (premium_rcv_code,assorted_code, rec_amount,premium_rcv_detail_code,remaining_amt, payrec, mode_code,coinsurance_code,class_cd,it_remarks) values('28Nov240101','040000177782','1',(select max(to_number(i.premium_rcv_detail_code))+1
from ins_premium_det i),'1','1','02', '11000003','00','Request by Mr. Omair Ali 29-Nov-2024');</v>
      </c>
    </row>
    <row r="1653" spans="1:8" ht="105" x14ac:dyDescent="0.25">
      <c r="A1653" t="s">
        <v>1653</v>
      </c>
      <c r="B1653" s="8" t="str">
        <f>VLOOKUP(A1653,assortedcode!B:C,2,0)</f>
        <v>070000133484</v>
      </c>
      <c r="C1653" s="1">
        <v>1</v>
      </c>
      <c r="D1653" s="9">
        <f t="shared" si="101"/>
        <v>1</v>
      </c>
      <c r="E1653" s="7" t="s">
        <v>8345</v>
      </c>
      <c r="F1653" s="10" t="str">
        <f t="shared" si="100"/>
        <v>insert into ins_premium_det (premium_rcv_code,assorted_code, rec_amount,premium_rcv_detail_code,remaining_amt, payrec, mode_code,coinsurance_code,class_cd,it_remarks) values</v>
      </c>
      <c r="G1653" s="11" t="str">
        <f t="shared" si="102"/>
        <v>('28Nov240101','070000133484','1',(select max(to_number(i.premium_rcv_detail_code))+1
from ins_premium_det i),'1','1','02', '11000003','00','Request by Mr. Omair Ali 29-Nov-2024');</v>
      </c>
      <c r="H1653" s="12" t="str">
        <f t="shared" si="103"/>
        <v>insert into ins_premium_det (premium_rcv_code,assorted_code, rec_amount,premium_rcv_detail_code,remaining_amt, payrec, mode_code,coinsurance_code,class_cd,it_remarks) values('28Nov240101','070000133484','1',(select max(to_number(i.premium_rcv_detail_code))+1
from ins_premium_det i),'1','1','02', '11000003','00','Request by Mr. Omair Ali 29-Nov-2024');</v>
      </c>
    </row>
    <row r="1654" spans="1:8" ht="105" x14ac:dyDescent="0.25">
      <c r="A1654" t="s">
        <v>1654</v>
      </c>
      <c r="B1654" s="8" t="str">
        <f>VLOOKUP(A1654,assortedcode!B:C,2,0)</f>
        <v>040000177863</v>
      </c>
      <c r="C1654" s="1">
        <v>1</v>
      </c>
      <c r="D1654" s="9">
        <f t="shared" si="101"/>
        <v>1</v>
      </c>
      <c r="E1654" s="7" t="s">
        <v>8345</v>
      </c>
      <c r="F1654" s="10" t="str">
        <f t="shared" si="100"/>
        <v>insert into ins_premium_det (premium_rcv_code,assorted_code, rec_amount,premium_rcv_detail_code,remaining_amt, payrec, mode_code,coinsurance_code,class_cd,it_remarks) values</v>
      </c>
      <c r="G1654" s="11" t="str">
        <f t="shared" si="102"/>
        <v>('28Nov240101','040000177863','1',(select max(to_number(i.premium_rcv_detail_code))+1
from ins_premium_det i),'1','1','02', '11000003','00','Request by Mr. Omair Ali 29-Nov-2024');</v>
      </c>
      <c r="H1654" s="12" t="str">
        <f t="shared" si="103"/>
        <v>insert into ins_premium_det (premium_rcv_code,assorted_code, rec_amount,premium_rcv_detail_code,remaining_amt, payrec, mode_code,coinsurance_code,class_cd,it_remarks) values('28Nov240101','040000177863','1',(select max(to_number(i.premium_rcv_detail_code))+1
from ins_premium_det i),'1','1','02', '11000003','00','Request by Mr. Omair Ali 29-Nov-2024');</v>
      </c>
    </row>
    <row r="1655" spans="1:8" ht="105" x14ac:dyDescent="0.25">
      <c r="A1655" t="s">
        <v>1655</v>
      </c>
      <c r="B1655" s="8" t="str">
        <f>VLOOKUP(A1655,assortedcode!B:C,2,0)</f>
        <v>070000133493</v>
      </c>
      <c r="C1655" s="1">
        <v>1</v>
      </c>
      <c r="D1655" s="9">
        <f t="shared" si="101"/>
        <v>1</v>
      </c>
      <c r="E1655" s="7" t="s">
        <v>8345</v>
      </c>
      <c r="F1655" s="10" t="str">
        <f t="shared" si="100"/>
        <v>insert into ins_premium_det (premium_rcv_code,assorted_code, rec_amount,premium_rcv_detail_code,remaining_amt, payrec, mode_code,coinsurance_code,class_cd,it_remarks) values</v>
      </c>
      <c r="G1655" s="11" t="str">
        <f t="shared" si="102"/>
        <v>('28Nov240101','070000133493','1',(select max(to_number(i.premium_rcv_detail_code))+1
from ins_premium_det i),'1','1','02', '11000003','00','Request by Mr. Omair Ali 29-Nov-2024');</v>
      </c>
      <c r="H1655" s="12" t="str">
        <f t="shared" si="103"/>
        <v>insert into ins_premium_det (premium_rcv_code,assorted_code, rec_amount,premium_rcv_detail_code,remaining_amt, payrec, mode_code,coinsurance_code,class_cd,it_remarks) values('28Nov240101','070000133493','1',(select max(to_number(i.premium_rcv_detail_code))+1
from ins_premium_det i),'1','1','02', '11000003','00','Request by Mr. Omair Ali 29-Nov-2024');</v>
      </c>
    </row>
    <row r="1656" spans="1:8" ht="105" x14ac:dyDescent="0.25">
      <c r="A1656" t="s">
        <v>1656</v>
      </c>
      <c r="B1656" s="8" t="str">
        <f>VLOOKUP(A1656,assortedcode!B:C,2,0)</f>
        <v>040000177899</v>
      </c>
      <c r="C1656" s="1">
        <v>1</v>
      </c>
      <c r="D1656" s="9">
        <f t="shared" si="101"/>
        <v>1</v>
      </c>
      <c r="E1656" s="7" t="s">
        <v>8345</v>
      </c>
      <c r="F1656" s="10" t="str">
        <f t="shared" si="100"/>
        <v>insert into ins_premium_det (premium_rcv_code,assorted_code, rec_amount,premium_rcv_detail_code,remaining_amt, payrec, mode_code,coinsurance_code,class_cd,it_remarks) values</v>
      </c>
      <c r="G1656" s="11" t="str">
        <f t="shared" si="102"/>
        <v>('28Nov240101','040000177899','1',(select max(to_number(i.premium_rcv_detail_code))+1
from ins_premium_det i),'1','1','02', '11000003','00','Request by Mr. Omair Ali 29-Nov-2024');</v>
      </c>
      <c r="H1656" s="12" t="str">
        <f t="shared" si="103"/>
        <v>insert into ins_premium_det (premium_rcv_code,assorted_code, rec_amount,premium_rcv_detail_code,remaining_amt, payrec, mode_code,coinsurance_code,class_cd,it_remarks) values('28Nov240101','040000177899','1',(select max(to_number(i.premium_rcv_detail_code))+1
from ins_premium_det i),'1','1','02', '11000003','00','Request by Mr. Omair Ali 29-Nov-2024');</v>
      </c>
    </row>
    <row r="1657" spans="1:8" ht="105" x14ac:dyDescent="0.25">
      <c r="A1657" t="s">
        <v>1657</v>
      </c>
      <c r="B1657" s="8" t="str">
        <f>VLOOKUP(A1657,assortedcode!B:C,2,0)</f>
        <v>070000133497</v>
      </c>
      <c r="C1657" s="1">
        <v>1</v>
      </c>
      <c r="D1657" s="9">
        <f t="shared" si="101"/>
        <v>1</v>
      </c>
      <c r="E1657" s="7" t="s">
        <v>8345</v>
      </c>
      <c r="F1657" s="10" t="str">
        <f t="shared" si="100"/>
        <v>insert into ins_premium_det (premium_rcv_code,assorted_code, rec_amount,premium_rcv_detail_code,remaining_amt, payrec, mode_code,coinsurance_code,class_cd,it_remarks) values</v>
      </c>
      <c r="G1657" s="11" t="str">
        <f t="shared" si="102"/>
        <v>('28Nov240101','070000133497','1',(select max(to_number(i.premium_rcv_detail_code))+1
from ins_premium_det i),'1','1','02', '11000003','00','Request by Mr. Omair Ali 29-Nov-2024');</v>
      </c>
      <c r="H1657" s="12" t="str">
        <f t="shared" si="103"/>
        <v>insert into ins_premium_det (premium_rcv_code,assorted_code, rec_amount,premium_rcv_detail_code,remaining_amt, payrec, mode_code,coinsurance_code,class_cd,it_remarks) values('28Nov240101','070000133497','1',(select max(to_number(i.premium_rcv_detail_code))+1
from ins_premium_det i),'1','1','02', '11000003','00','Request by Mr. Omair Ali 29-Nov-2024');</v>
      </c>
    </row>
    <row r="1658" spans="1:8" ht="105" x14ac:dyDescent="0.25">
      <c r="A1658" t="s">
        <v>1658</v>
      </c>
      <c r="B1658" s="8" t="str">
        <f>VLOOKUP(A1658,assortedcode!B:C,2,0)</f>
        <v>040000139297</v>
      </c>
      <c r="C1658" s="1">
        <v>1</v>
      </c>
      <c r="D1658" s="9">
        <f t="shared" si="101"/>
        <v>1</v>
      </c>
      <c r="E1658" s="7" t="s">
        <v>8345</v>
      </c>
      <c r="F1658" s="10" t="str">
        <f t="shared" si="100"/>
        <v>insert into ins_premium_det (premium_rcv_code,assorted_code, rec_amount,premium_rcv_detail_code,remaining_amt, payrec, mode_code,coinsurance_code,class_cd,it_remarks) values</v>
      </c>
      <c r="G1658" s="11" t="str">
        <f t="shared" si="102"/>
        <v>('28Nov240101','040000139297','1',(select max(to_number(i.premium_rcv_detail_code))+1
from ins_premium_det i),'1','1','02', '11000003','00','Request by Mr. Omair Ali 29-Nov-2024');</v>
      </c>
      <c r="H1658" s="12" t="str">
        <f t="shared" si="103"/>
        <v>insert into ins_premium_det (premium_rcv_code,assorted_code, rec_amount,premium_rcv_detail_code,remaining_amt, payrec, mode_code,coinsurance_code,class_cd,it_remarks) values('28Nov240101','040000139297','1',(select max(to_number(i.premium_rcv_detail_code))+1
from ins_premium_det i),'1','1','02', '11000003','00','Request by Mr. Omair Ali 29-Nov-2024');</v>
      </c>
    </row>
    <row r="1659" spans="1:8" ht="105" x14ac:dyDescent="0.25">
      <c r="A1659" t="s">
        <v>1659</v>
      </c>
      <c r="B1659" s="8" t="str">
        <f>VLOOKUP(A1659,assortedcode!B:C,2,0)</f>
        <v>070000133505</v>
      </c>
      <c r="C1659" s="1">
        <v>1</v>
      </c>
      <c r="D1659" s="9">
        <f t="shared" si="101"/>
        <v>1</v>
      </c>
      <c r="E1659" s="7" t="s">
        <v>8345</v>
      </c>
      <c r="F1659" s="10" t="str">
        <f t="shared" si="100"/>
        <v>insert into ins_premium_det (premium_rcv_code,assorted_code, rec_amount,premium_rcv_detail_code,remaining_amt, payrec, mode_code,coinsurance_code,class_cd,it_remarks) values</v>
      </c>
      <c r="G1659" s="11" t="str">
        <f t="shared" si="102"/>
        <v>('28Nov240101','070000133505','1',(select max(to_number(i.premium_rcv_detail_code))+1
from ins_premium_det i),'1','1','02', '11000003','00','Request by Mr. Omair Ali 29-Nov-2024');</v>
      </c>
      <c r="H1659" s="12" t="str">
        <f t="shared" si="103"/>
        <v>insert into ins_premium_det (premium_rcv_code,assorted_code, rec_amount,premium_rcv_detail_code,remaining_amt, payrec, mode_code,coinsurance_code,class_cd,it_remarks) values('28Nov240101','070000133505','1',(select max(to_number(i.premium_rcv_detail_code))+1
from ins_premium_det i),'1','1','02', '11000003','00','Request by Mr. Omair Ali 29-Nov-2024');</v>
      </c>
    </row>
    <row r="1660" spans="1:8" ht="105" x14ac:dyDescent="0.25">
      <c r="A1660" t="s">
        <v>1660</v>
      </c>
      <c r="B1660" s="8" t="str">
        <f>VLOOKUP(A1660,assortedcode!B:C,2,0)</f>
        <v>040000143409</v>
      </c>
      <c r="C1660" s="1">
        <v>1</v>
      </c>
      <c r="D1660" s="9">
        <f t="shared" si="101"/>
        <v>1</v>
      </c>
      <c r="E1660" s="7" t="s">
        <v>8345</v>
      </c>
      <c r="F1660" s="10" t="str">
        <f t="shared" si="100"/>
        <v>insert into ins_premium_det (premium_rcv_code,assorted_code, rec_amount,premium_rcv_detail_code,remaining_amt, payrec, mode_code,coinsurance_code,class_cd,it_remarks) values</v>
      </c>
      <c r="G1660" s="11" t="str">
        <f t="shared" si="102"/>
        <v>('28Nov240101','040000143409','1',(select max(to_number(i.premium_rcv_detail_code))+1
from ins_premium_det i),'1','1','02', '11000003','00','Request by Mr. Omair Ali 29-Nov-2024');</v>
      </c>
      <c r="H1660" s="12" t="str">
        <f t="shared" si="103"/>
        <v>insert into ins_premium_det (premium_rcv_code,assorted_code, rec_amount,premium_rcv_detail_code,remaining_amt, payrec, mode_code,coinsurance_code,class_cd,it_remarks) values('28Nov240101','040000143409','1',(select max(to_number(i.premium_rcv_detail_code))+1
from ins_premium_det i),'1','1','02', '11000003','00','Request by Mr. Omair Ali 29-Nov-2024');</v>
      </c>
    </row>
    <row r="1661" spans="1:8" ht="105" x14ac:dyDescent="0.25">
      <c r="A1661" t="s">
        <v>1661</v>
      </c>
      <c r="B1661" s="8" t="str">
        <f>VLOOKUP(A1661,assortedcode!B:C,2,0)</f>
        <v>070000133509</v>
      </c>
      <c r="C1661" s="1">
        <v>1</v>
      </c>
      <c r="D1661" s="9">
        <f t="shared" si="101"/>
        <v>1</v>
      </c>
      <c r="E1661" s="7" t="s">
        <v>8345</v>
      </c>
      <c r="F1661" s="10" t="str">
        <f t="shared" si="100"/>
        <v>insert into ins_premium_det (premium_rcv_code,assorted_code, rec_amount,premium_rcv_detail_code,remaining_amt, payrec, mode_code,coinsurance_code,class_cd,it_remarks) values</v>
      </c>
      <c r="G1661" s="11" t="str">
        <f t="shared" si="102"/>
        <v>('28Nov240101','070000133509','1',(select max(to_number(i.premium_rcv_detail_code))+1
from ins_premium_det i),'1','1','02', '11000003','00','Request by Mr. Omair Ali 29-Nov-2024');</v>
      </c>
      <c r="H1661" s="12" t="str">
        <f t="shared" si="103"/>
        <v>insert into ins_premium_det (premium_rcv_code,assorted_code, rec_amount,premium_rcv_detail_code,remaining_amt, payrec, mode_code,coinsurance_code,class_cd,it_remarks) values('28Nov240101','070000133509','1',(select max(to_number(i.premium_rcv_detail_code))+1
from ins_premium_det i),'1','1','02', '11000003','00','Request by Mr. Omair Ali 29-Nov-2024');</v>
      </c>
    </row>
    <row r="1662" spans="1:8" ht="105" x14ac:dyDescent="0.25">
      <c r="A1662" t="s">
        <v>1662</v>
      </c>
      <c r="B1662" s="8" t="str">
        <f>VLOOKUP(A1662,assortedcode!B:C,2,0)</f>
        <v>040000144492</v>
      </c>
      <c r="C1662" s="1">
        <v>1</v>
      </c>
      <c r="D1662" s="9">
        <f t="shared" si="101"/>
        <v>1</v>
      </c>
      <c r="E1662" s="7" t="s">
        <v>8345</v>
      </c>
      <c r="F1662" s="10" t="str">
        <f t="shared" si="100"/>
        <v>insert into ins_premium_det (premium_rcv_code,assorted_code, rec_amount,premium_rcv_detail_code,remaining_amt, payrec, mode_code,coinsurance_code,class_cd,it_remarks) values</v>
      </c>
      <c r="G1662" s="11" t="str">
        <f t="shared" si="102"/>
        <v>('28Nov240101','040000144492','1',(select max(to_number(i.premium_rcv_detail_code))+1
from ins_premium_det i),'1','1','02', '11000003','00','Request by Mr. Omair Ali 29-Nov-2024');</v>
      </c>
      <c r="H1662" s="12" t="str">
        <f t="shared" si="103"/>
        <v>insert into ins_premium_det (premium_rcv_code,assorted_code, rec_amount,premium_rcv_detail_code,remaining_amt, payrec, mode_code,coinsurance_code,class_cd,it_remarks) values('28Nov240101','040000144492','1',(select max(to_number(i.premium_rcv_detail_code))+1
from ins_premium_det i),'1','1','02', '11000003','00','Request by Mr. Omair Ali 29-Nov-2024');</v>
      </c>
    </row>
    <row r="1663" spans="1:8" ht="105" x14ac:dyDescent="0.25">
      <c r="A1663" t="s">
        <v>1663</v>
      </c>
      <c r="B1663" s="8" t="str">
        <f>VLOOKUP(A1663,assortedcode!B:C,2,0)</f>
        <v>070000133511</v>
      </c>
      <c r="C1663" s="1">
        <v>1</v>
      </c>
      <c r="D1663" s="9">
        <f t="shared" si="101"/>
        <v>1</v>
      </c>
      <c r="E1663" s="7" t="s">
        <v>8345</v>
      </c>
      <c r="F1663" s="10" t="str">
        <f t="shared" si="100"/>
        <v>insert into ins_premium_det (premium_rcv_code,assorted_code, rec_amount,premium_rcv_detail_code,remaining_amt, payrec, mode_code,coinsurance_code,class_cd,it_remarks) values</v>
      </c>
      <c r="G1663" s="11" t="str">
        <f t="shared" si="102"/>
        <v>('28Nov240101','070000133511','1',(select max(to_number(i.premium_rcv_detail_code))+1
from ins_premium_det i),'1','1','02', '11000003','00','Request by Mr. Omair Ali 29-Nov-2024');</v>
      </c>
      <c r="H1663" s="12" t="str">
        <f t="shared" si="103"/>
        <v>insert into ins_premium_det (premium_rcv_code,assorted_code, rec_amount,premium_rcv_detail_code,remaining_amt, payrec, mode_code,coinsurance_code,class_cd,it_remarks) values('28Nov240101','070000133511','1',(select max(to_number(i.premium_rcv_detail_code))+1
from ins_premium_det i),'1','1','02', '11000003','00','Request by Mr. Omair Ali 29-Nov-2024');</v>
      </c>
    </row>
    <row r="1664" spans="1:8" ht="105" x14ac:dyDescent="0.25">
      <c r="A1664" t="s">
        <v>1664</v>
      </c>
      <c r="B1664" s="8" t="str">
        <f>VLOOKUP(A1664,assortedcode!B:C,2,0)</f>
        <v>040000144879</v>
      </c>
      <c r="C1664" s="1">
        <v>1</v>
      </c>
      <c r="D1664" s="9">
        <f t="shared" si="101"/>
        <v>1</v>
      </c>
      <c r="E1664" s="7" t="s">
        <v>8345</v>
      </c>
      <c r="F1664" s="10" t="str">
        <f t="shared" si="100"/>
        <v>insert into ins_premium_det (premium_rcv_code,assorted_code, rec_amount,premium_rcv_detail_code,remaining_amt, payrec, mode_code,coinsurance_code,class_cd,it_remarks) values</v>
      </c>
      <c r="G1664" s="11" t="str">
        <f t="shared" si="102"/>
        <v>('28Nov240101','040000144879','1',(select max(to_number(i.premium_rcv_detail_code))+1
from ins_premium_det i),'1','1','02', '11000003','00','Request by Mr. Omair Ali 29-Nov-2024');</v>
      </c>
      <c r="H1664" s="12" t="str">
        <f t="shared" si="103"/>
        <v>insert into ins_premium_det (premium_rcv_code,assorted_code, rec_amount,premium_rcv_detail_code,remaining_amt, payrec, mode_code,coinsurance_code,class_cd,it_remarks) values('28Nov240101','040000144879','1',(select max(to_number(i.premium_rcv_detail_code))+1
from ins_premium_det i),'1','1','02', '11000003','00','Request by Mr. Omair Ali 29-Nov-2024');</v>
      </c>
    </row>
    <row r="1665" spans="1:8" ht="105" x14ac:dyDescent="0.25">
      <c r="A1665" t="s">
        <v>1665</v>
      </c>
      <c r="B1665" s="8" t="str">
        <f>VLOOKUP(A1665,assortedcode!B:C,2,0)</f>
        <v>040000115017</v>
      </c>
      <c r="C1665" s="1">
        <v>1</v>
      </c>
      <c r="D1665" s="9">
        <f t="shared" si="101"/>
        <v>1</v>
      </c>
      <c r="E1665" s="7" t="s">
        <v>8345</v>
      </c>
      <c r="F1665" s="10" t="str">
        <f t="shared" si="100"/>
        <v>insert into ins_premium_det (premium_rcv_code,assorted_code, rec_amount,premium_rcv_detail_code,remaining_amt, payrec, mode_code,coinsurance_code,class_cd,it_remarks) values</v>
      </c>
      <c r="G1665" s="11" t="str">
        <f t="shared" si="102"/>
        <v>('28Nov240101','040000115017','1',(select max(to_number(i.premium_rcv_detail_code))+1
from ins_premium_det i),'1','1','02', '11000003','00','Request by Mr. Omair Ali 29-Nov-2024');</v>
      </c>
      <c r="H1665" s="12" t="str">
        <f t="shared" si="103"/>
        <v>insert into ins_premium_det (premium_rcv_code,assorted_code, rec_amount,premium_rcv_detail_code,remaining_amt, payrec, mode_code,coinsurance_code,class_cd,it_remarks) values('28Nov240101','040000115017','1',(select max(to_number(i.premium_rcv_detail_code))+1
from ins_premium_det i),'1','1','02', '11000003','00','Request by Mr. Omair Ali 29-Nov-2024');</v>
      </c>
    </row>
    <row r="1666" spans="1:8" ht="105" x14ac:dyDescent="0.25">
      <c r="A1666" t="s">
        <v>1666</v>
      </c>
      <c r="B1666" s="8" t="str">
        <f>VLOOKUP(A1666,assortedcode!B:C,2,0)</f>
        <v>040000145055</v>
      </c>
      <c r="C1666" s="1">
        <v>1</v>
      </c>
      <c r="D1666" s="9">
        <f t="shared" si="101"/>
        <v>1</v>
      </c>
      <c r="E1666" s="7" t="s">
        <v>8345</v>
      </c>
      <c r="F1666" s="10" t="str">
        <f t="shared" ref="F1666:F1729" si="104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1666" s="11" t="str">
        <f t="shared" si="102"/>
        <v>('28Nov240101','040000145055','1',(select max(to_number(i.premium_rcv_detail_code))+1
from ins_premium_det i),'1','1','02', '11000003','00','Request by Mr. Omair Ali 29-Nov-2024');</v>
      </c>
      <c r="H1666" s="12" t="str">
        <f t="shared" si="103"/>
        <v>insert into ins_premium_det (premium_rcv_code,assorted_code, rec_amount,premium_rcv_detail_code,remaining_amt, payrec, mode_code,coinsurance_code,class_cd,it_remarks) values('28Nov240101','040000145055','1',(select max(to_number(i.premium_rcv_detail_code))+1
from ins_premium_det i),'1','1','02', '11000003','00','Request by Mr. Omair Ali 29-Nov-2024');</v>
      </c>
    </row>
    <row r="1667" spans="1:8" ht="105" x14ac:dyDescent="0.25">
      <c r="A1667" t="s">
        <v>1667</v>
      </c>
      <c r="B1667" s="8" t="str">
        <f>VLOOKUP(A1667,assortedcode!B:C,2,0)</f>
        <v>040000115506</v>
      </c>
      <c r="C1667" s="1">
        <v>1</v>
      </c>
      <c r="D1667" s="9">
        <f t="shared" ref="D1667:D1730" si="105">ROUND(C1667,0)</f>
        <v>1</v>
      </c>
      <c r="E1667" s="7" t="s">
        <v>8345</v>
      </c>
      <c r="F1667" s="10" t="str">
        <f t="shared" si="104"/>
        <v>insert into ins_premium_det (premium_rcv_code,assorted_code, rec_amount,premium_rcv_detail_code,remaining_amt, payrec, mode_code,coinsurance_code,class_cd,it_remarks) values</v>
      </c>
      <c r="G1667" s="11" t="str">
        <f t="shared" ref="G1667:G1730" si="106">"('"&amp;E1667&amp;"','"&amp;B1667&amp;"','"&amp;ROUND(D1667,2)&amp;"',(select max(to_number(i.premium_rcv_detail_code))+1
from ins_premium_det i),'"&amp;D1667&amp;"','"&amp;D1667&amp;"','02', '11000003','00','Request by Mr. Omair Ali 29-Nov-2024');"</f>
        <v>('28Nov240101','040000115506','1',(select max(to_number(i.premium_rcv_detail_code))+1
from ins_premium_det i),'1','1','02', '11000003','00','Request by Mr. Omair Ali 29-Nov-2024');</v>
      </c>
      <c r="H1667" s="12" t="str">
        <f t="shared" ref="H1667:H1730" si="107">F1667&amp;G1667</f>
        <v>insert into ins_premium_det (premium_rcv_code,assorted_code, rec_amount,premium_rcv_detail_code,remaining_amt, payrec, mode_code,coinsurance_code,class_cd,it_remarks) values('28Nov240101','040000115506','1',(select max(to_number(i.premium_rcv_detail_code))+1
from ins_premium_det i),'1','1','02', '11000003','00','Request by Mr. Omair Ali 29-Nov-2024');</v>
      </c>
    </row>
    <row r="1668" spans="1:8" ht="105" x14ac:dyDescent="0.25">
      <c r="A1668" t="s">
        <v>1668</v>
      </c>
      <c r="B1668" s="8" t="str">
        <f>VLOOKUP(A1668,assortedcode!B:C,2,0)</f>
        <v>040000145454</v>
      </c>
      <c r="C1668" s="1">
        <v>1</v>
      </c>
      <c r="D1668" s="9">
        <f t="shared" si="105"/>
        <v>1</v>
      </c>
      <c r="E1668" s="7" t="s">
        <v>8345</v>
      </c>
      <c r="F1668" s="10" t="str">
        <f t="shared" si="104"/>
        <v>insert into ins_premium_det (premium_rcv_code,assorted_code, rec_amount,premium_rcv_detail_code,remaining_amt, payrec, mode_code,coinsurance_code,class_cd,it_remarks) values</v>
      </c>
      <c r="G1668" s="11" t="str">
        <f t="shared" si="106"/>
        <v>('28Nov240101','040000145454','1',(select max(to_number(i.premium_rcv_detail_code))+1
from ins_premium_det i),'1','1','02', '11000003','00','Request by Mr. Omair Ali 29-Nov-2024');</v>
      </c>
      <c r="H1668" s="12" t="str">
        <f t="shared" si="107"/>
        <v>insert into ins_premium_det (premium_rcv_code,assorted_code, rec_amount,premium_rcv_detail_code,remaining_amt, payrec, mode_code,coinsurance_code,class_cd,it_remarks) values('28Nov240101','040000145454','1',(select max(to_number(i.premium_rcv_detail_code))+1
from ins_premium_det i),'1','1','02', '11000003','00','Request by Mr. Omair Ali 29-Nov-2024');</v>
      </c>
    </row>
    <row r="1669" spans="1:8" ht="105" x14ac:dyDescent="0.25">
      <c r="A1669" t="s">
        <v>1669</v>
      </c>
      <c r="B1669" s="8" t="str">
        <f>VLOOKUP(A1669,assortedcode!B:C,2,0)</f>
        <v>070000133515</v>
      </c>
      <c r="C1669" s="1">
        <v>1</v>
      </c>
      <c r="D1669" s="9">
        <f t="shared" si="105"/>
        <v>1</v>
      </c>
      <c r="E1669" s="7" t="s">
        <v>8345</v>
      </c>
      <c r="F1669" s="10" t="str">
        <f t="shared" si="104"/>
        <v>insert into ins_premium_det (premium_rcv_code,assorted_code, rec_amount,premium_rcv_detail_code,remaining_amt, payrec, mode_code,coinsurance_code,class_cd,it_remarks) values</v>
      </c>
      <c r="G1669" s="11" t="str">
        <f t="shared" si="106"/>
        <v>('28Nov240101','070000133515','1',(select max(to_number(i.premium_rcv_detail_code))+1
from ins_premium_det i),'1','1','02', '11000003','00','Request by Mr. Omair Ali 29-Nov-2024');</v>
      </c>
      <c r="H1669" s="12" t="str">
        <f t="shared" si="107"/>
        <v>insert into ins_premium_det (premium_rcv_code,assorted_code, rec_amount,premium_rcv_detail_code,remaining_amt, payrec, mode_code,coinsurance_code,class_cd,it_remarks) values('28Nov240101','070000133515','1',(select max(to_number(i.premium_rcv_detail_code))+1
from ins_premium_det i),'1','1','02', '11000003','00','Request by Mr. Omair Ali 29-Nov-2024');</v>
      </c>
    </row>
    <row r="1670" spans="1:8" ht="105" x14ac:dyDescent="0.25">
      <c r="A1670" t="s">
        <v>1670</v>
      </c>
      <c r="B1670" s="8" t="str">
        <f>VLOOKUP(A1670,assortedcode!B:C,2,0)</f>
        <v>040000146047</v>
      </c>
      <c r="C1670" s="1">
        <v>1</v>
      </c>
      <c r="D1670" s="9">
        <f t="shared" si="105"/>
        <v>1</v>
      </c>
      <c r="E1670" s="7" t="s">
        <v>8345</v>
      </c>
      <c r="F1670" s="10" t="str">
        <f t="shared" si="104"/>
        <v>insert into ins_premium_det (premium_rcv_code,assorted_code, rec_amount,premium_rcv_detail_code,remaining_amt, payrec, mode_code,coinsurance_code,class_cd,it_remarks) values</v>
      </c>
      <c r="G1670" s="11" t="str">
        <f t="shared" si="106"/>
        <v>('28Nov240101','040000146047','1',(select max(to_number(i.premium_rcv_detail_code))+1
from ins_premium_det i),'1','1','02', '11000003','00','Request by Mr. Omair Ali 29-Nov-2024');</v>
      </c>
      <c r="H1670" s="12" t="str">
        <f t="shared" si="107"/>
        <v>insert into ins_premium_det (premium_rcv_code,assorted_code, rec_amount,premium_rcv_detail_code,remaining_amt, payrec, mode_code,coinsurance_code,class_cd,it_remarks) values('28Nov240101','040000146047','1',(select max(to_number(i.premium_rcv_detail_code))+1
from ins_premium_det i),'1','1','02', '11000003','00','Request by Mr. Omair Ali 29-Nov-2024');</v>
      </c>
    </row>
    <row r="1671" spans="1:8" ht="105" x14ac:dyDescent="0.25">
      <c r="A1671" t="s">
        <v>1671</v>
      </c>
      <c r="B1671" s="8" t="str">
        <f>VLOOKUP(A1671,assortedcode!B:C,2,0)</f>
        <v>070000133517</v>
      </c>
      <c r="C1671" s="1">
        <v>1</v>
      </c>
      <c r="D1671" s="9">
        <f t="shared" si="105"/>
        <v>1</v>
      </c>
      <c r="E1671" s="7" t="s">
        <v>8345</v>
      </c>
      <c r="F1671" s="10" t="str">
        <f t="shared" si="104"/>
        <v>insert into ins_premium_det (premium_rcv_code,assorted_code, rec_amount,premium_rcv_detail_code,remaining_amt, payrec, mode_code,coinsurance_code,class_cd,it_remarks) values</v>
      </c>
      <c r="G1671" s="11" t="str">
        <f t="shared" si="106"/>
        <v>('28Nov240101','070000133517','1',(select max(to_number(i.premium_rcv_detail_code))+1
from ins_premium_det i),'1','1','02', '11000003','00','Request by Mr. Omair Ali 29-Nov-2024');</v>
      </c>
      <c r="H1671" s="12" t="str">
        <f t="shared" si="107"/>
        <v>insert into ins_premium_det (premium_rcv_code,assorted_code, rec_amount,premium_rcv_detail_code,remaining_amt, payrec, mode_code,coinsurance_code,class_cd,it_remarks) values('28Nov240101','070000133517','1',(select max(to_number(i.premium_rcv_detail_code))+1
from ins_premium_det i),'1','1','02', '11000003','00','Request by Mr. Omair Ali 29-Nov-2024');</v>
      </c>
    </row>
    <row r="1672" spans="1:8" ht="105" x14ac:dyDescent="0.25">
      <c r="A1672" t="s">
        <v>1672</v>
      </c>
      <c r="B1672" s="8" t="str">
        <f>VLOOKUP(A1672,assortedcode!B:C,2,0)</f>
        <v>040000146083</v>
      </c>
      <c r="C1672" s="1">
        <v>1</v>
      </c>
      <c r="D1672" s="9">
        <f t="shared" si="105"/>
        <v>1</v>
      </c>
      <c r="E1672" s="7" t="s">
        <v>8345</v>
      </c>
      <c r="F1672" s="10" t="str">
        <f t="shared" si="104"/>
        <v>insert into ins_premium_det (premium_rcv_code,assorted_code, rec_amount,premium_rcv_detail_code,remaining_amt, payrec, mode_code,coinsurance_code,class_cd,it_remarks) values</v>
      </c>
      <c r="G1672" s="11" t="str">
        <f t="shared" si="106"/>
        <v>('28Nov240101','040000146083','1',(select max(to_number(i.premium_rcv_detail_code))+1
from ins_premium_det i),'1','1','02', '11000003','00','Request by Mr. Omair Ali 29-Nov-2024');</v>
      </c>
      <c r="H1672" s="12" t="str">
        <f t="shared" si="107"/>
        <v>insert into ins_premium_det (premium_rcv_code,assorted_code, rec_amount,premium_rcv_detail_code,remaining_amt, payrec, mode_code,coinsurance_code,class_cd,it_remarks) values('28Nov240101','040000146083','1',(select max(to_number(i.premium_rcv_detail_code))+1
from ins_premium_det i),'1','1','02', '11000003','00','Request by Mr. Omair Ali 29-Nov-2024');</v>
      </c>
    </row>
    <row r="1673" spans="1:8" ht="105" x14ac:dyDescent="0.25">
      <c r="A1673" t="s">
        <v>1673</v>
      </c>
      <c r="B1673" s="8" t="str">
        <f>VLOOKUP(A1673,assortedcode!B:C,2,0)</f>
        <v>040000118714</v>
      </c>
      <c r="C1673" s="1">
        <v>1</v>
      </c>
      <c r="D1673" s="9">
        <f t="shared" si="105"/>
        <v>1</v>
      </c>
      <c r="E1673" s="7" t="s">
        <v>8345</v>
      </c>
      <c r="F1673" s="10" t="str">
        <f t="shared" si="104"/>
        <v>insert into ins_premium_det (premium_rcv_code,assorted_code, rec_amount,premium_rcv_detail_code,remaining_amt, payrec, mode_code,coinsurance_code,class_cd,it_remarks) values</v>
      </c>
      <c r="G1673" s="11" t="str">
        <f t="shared" si="106"/>
        <v>('28Nov240101','040000118714','1',(select max(to_number(i.premium_rcv_detail_code))+1
from ins_premium_det i),'1','1','02', '11000003','00','Request by Mr. Omair Ali 29-Nov-2024');</v>
      </c>
      <c r="H1673" s="12" t="str">
        <f t="shared" si="107"/>
        <v>insert into ins_premium_det (premium_rcv_code,assorted_code, rec_amount,premium_rcv_detail_code,remaining_amt, payrec, mode_code,coinsurance_code,class_cd,it_remarks) values('28Nov240101','040000118714','1',(select max(to_number(i.premium_rcv_detail_code))+1
from ins_premium_det i),'1','1','02', '11000003','00','Request by Mr. Omair Ali 29-Nov-2024');</v>
      </c>
    </row>
    <row r="1674" spans="1:8" ht="105" x14ac:dyDescent="0.25">
      <c r="A1674" t="s">
        <v>1674</v>
      </c>
      <c r="B1674" s="8" t="str">
        <f>VLOOKUP(A1674,assortedcode!B:C,2,0)</f>
        <v>040000146883</v>
      </c>
      <c r="C1674" s="1">
        <v>1</v>
      </c>
      <c r="D1674" s="9">
        <f t="shared" si="105"/>
        <v>1</v>
      </c>
      <c r="E1674" s="7" t="s">
        <v>8345</v>
      </c>
      <c r="F1674" s="10" t="str">
        <f t="shared" si="104"/>
        <v>insert into ins_premium_det (premium_rcv_code,assorted_code, rec_amount,premium_rcv_detail_code,remaining_amt, payrec, mode_code,coinsurance_code,class_cd,it_remarks) values</v>
      </c>
      <c r="G1674" s="11" t="str">
        <f t="shared" si="106"/>
        <v>('28Nov240101','040000146883','1',(select max(to_number(i.premium_rcv_detail_code))+1
from ins_premium_det i),'1','1','02', '11000003','00','Request by Mr. Omair Ali 29-Nov-2024');</v>
      </c>
      <c r="H1674" s="12" t="str">
        <f t="shared" si="107"/>
        <v>insert into ins_premium_det (premium_rcv_code,assorted_code, rec_amount,premium_rcv_detail_code,remaining_amt, payrec, mode_code,coinsurance_code,class_cd,it_remarks) values('28Nov240101','040000146883','1',(select max(to_number(i.premium_rcv_detail_code))+1
from ins_premium_det i),'1','1','02', '11000003','00','Request by Mr. Omair Ali 29-Nov-2024');</v>
      </c>
    </row>
    <row r="1675" spans="1:8" ht="105" x14ac:dyDescent="0.25">
      <c r="A1675" t="s">
        <v>1675</v>
      </c>
      <c r="B1675" s="8" t="str">
        <f>VLOOKUP(A1675,assortedcode!B:C,2,0)</f>
        <v>070000133520</v>
      </c>
      <c r="C1675" s="1">
        <v>1</v>
      </c>
      <c r="D1675" s="9">
        <f t="shared" si="105"/>
        <v>1</v>
      </c>
      <c r="E1675" s="7" t="s">
        <v>8345</v>
      </c>
      <c r="F1675" s="10" t="str">
        <f t="shared" si="104"/>
        <v>insert into ins_premium_det (premium_rcv_code,assorted_code, rec_amount,premium_rcv_detail_code,remaining_amt, payrec, mode_code,coinsurance_code,class_cd,it_remarks) values</v>
      </c>
      <c r="G1675" s="11" t="str">
        <f t="shared" si="106"/>
        <v>('28Nov240101','070000133520','1',(select max(to_number(i.premium_rcv_detail_code))+1
from ins_premium_det i),'1','1','02', '11000003','00','Request by Mr. Omair Ali 29-Nov-2024');</v>
      </c>
      <c r="H1675" s="12" t="str">
        <f t="shared" si="107"/>
        <v>insert into ins_premium_det (premium_rcv_code,assorted_code, rec_amount,premium_rcv_detail_code,remaining_amt, payrec, mode_code,coinsurance_code,class_cd,it_remarks) values('28Nov240101','070000133520','1',(select max(to_number(i.premium_rcv_detail_code))+1
from ins_premium_det i),'1','1','02', '11000003','00','Request by Mr. Omair Ali 29-Nov-2024');</v>
      </c>
    </row>
    <row r="1676" spans="1:8" ht="105" x14ac:dyDescent="0.25">
      <c r="A1676" t="s">
        <v>1676</v>
      </c>
      <c r="B1676" s="8" t="str">
        <f>VLOOKUP(A1676,assortedcode!B:C,2,0)</f>
        <v>040000164794</v>
      </c>
      <c r="C1676" s="1">
        <v>1</v>
      </c>
      <c r="D1676" s="9">
        <f t="shared" si="105"/>
        <v>1</v>
      </c>
      <c r="E1676" s="7" t="s">
        <v>8345</v>
      </c>
      <c r="F1676" s="10" t="str">
        <f t="shared" si="104"/>
        <v>insert into ins_premium_det (premium_rcv_code,assorted_code, rec_amount,premium_rcv_detail_code,remaining_amt, payrec, mode_code,coinsurance_code,class_cd,it_remarks) values</v>
      </c>
      <c r="G1676" s="11" t="str">
        <f t="shared" si="106"/>
        <v>('28Nov240101','040000164794','1',(select max(to_number(i.premium_rcv_detail_code))+1
from ins_premium_det i),'1','1','02', '11000003','00','Request by Mr. Omair Ali 29-Nov-2024');</v>
      </c>
      <c r="H1676" s="12" t="str">
        <f t="shared" si="107"/>
        <v>insert into ins_premium_det (premium_rcv_code,assorted_code, rec_amount,premium_rcv_detail_code,remaining_amt, payrec, mode_code,coinsurance_code,class_cd,it_remarks) values('28Nov240101','040000164794','1',(select max(to_number(i.premium_rcv_detail_code))+1
from ins_premium_det i),'1','1','02', '11000003','00','Request by Mr. Omair Ali 29-Nov-2024');</v>
      </c>
    </row>
    <row r="1677" spans="1:8" ht="105" x14ac:dyDescent="0.25">
      <c r="A1677" t="s">
        <v>1677</v>
      </c>
      <c r="B1677" s="8" t="str">
        <f>VLOOKUP(A1677,assortedcode!B:C,2,0)</f>
        <v>040000122376</v>
      </c>
      <c r="C1677" s="1">
        <v>1</v>
      </c>
      <c r="D1677" s="9">
        <f t="shared" si="105"/>
        <v>1</v>
      </c>
      <c r="E1677" s="7" t="s">
        <v>8345</v>
      </c>
      <c r="F1677" s="10" t="str">
        <f t="shared" si="104"/>
        <v>insert into ins_premium_det (premium_rcv_code,assorted_code, rec_amount,premium_rcv_detail_code,remaining_amt, payrec, mode_code,coinsurance_code,class_cd,it_remarks) values</v>
      </c>
      <c r="G1677" s="11" t="str">
        <f t="shared" si="106"/>
        <v>('28Nov240101','040000122376','1',(select max(to_number(i.premium_rcv_detail_code))+1
from ins_premium_det i),'1','1','02', '11000003','00','Request by Mr. Omair Ali 29-Nov-2024');</v>
      </c>
      <c r="H1677" s="12" t="str">
        <f t="shared" si="107"/>
        <v>insert into ins_premium_det (premium_rcv_code,assorted_code, rec_amount,premium_rcv_detail_code,remaining_amt, payrec, mode_code,coinsurance_code,class_cd,it_remarks) values('28Nov240101','040000122376','1',(select max(to_number(i.premium_rcv_detail_code))+1
from ins_premium_det i),'1','1','02', '11000003','00','Request by Mr. Omair Ali 29-Nov-2024');</v>
      </c>
    </row>
    <row r="1678" spans="1:8" ht="105" x14ac:dyDescent="0.25">
      <c r="A1678" t="s">
        <v>1678</v>
      </c>
      <c r="B1678" s="8" t="str">
        <f>VLOOKUP(A1678,assortedcode!B:C,2,0)</f>
        <v>040000165604</v>
      </c>
      <c r="C1678" s="1">
        <v>1</v>
      </c>
      <c r="D1678" s="9">
        <f t="shared" si="105"/>
        <v>1</v>
      </c>
      <c r="E1678" s="7" t="s">
        <v>8345</v>
      </c>
      <c r="F1678" s="10" t="str">
        <f t="shared" si="104"/>
        <v>insert into ins_premium_det (premium_rcv_code,assorted_code, rec_amount,premium_rcv_detail_code,remaining_amt, payrec, mode_code,coinsurance_code,class_cd,it_remarks) values</v>
      </c>
      <c r="G1678" s="11" t="str">
        <f t="shared" si="106"/>
        <v>('28Nov240101','040000165604','1',(select max(to_number(i.premium_rcv_detail_code))+1
from ins_premium_det i),'1','1','02', '11000003','00','Request by Mr. Omair Ali 29-Nov-2024');</v>
      </c>
      <c r="H1678" s="12" t="str">
        <f t="shared" si="107"/>
        <v>insert into ins_premium_det (premium_rcv_code,assorted_code, rec_amount,premium_rcv_detail_code,remaining_amt, payrec, mode_code,coinsurance_code,class_cd,it_remarks) values('28Nov240101','040000165604','1',(select max(to_number(i.premium_rcv_detail_code))+1
from ins_premium_det i),'1','1','02', '11000003','00','Request by Mr. Omair Ali 29-Nov-2024');</v>
      </c>
    </row>
    <row r="1679" spans="1:8" ht="105" x14ac:dyDescent="0.25">
      <c r="A1679" t="s">
        <v>1679</v>
      </c>
      <c r="B1679" s="8" t="str">
        <f>VLOOKUP(A1679,assortedcode!B:C,2,0)</f>
        <v>070000133523</v>
      </c>
      <c r="C1679" s="1">
        <v>1</v>
      </c>
      <c r="D1679" s="9">
        <f t="shared" si="105"/>
        <v>1</v>
      </c>
      <c r="E1679" s="7" t="s">
        <v>8345</v>
      </c>
      <c r="F1679" s="10" t="str">
        <f t="shared" si="104"/>
        <v>insert into ins_premium_det (premium_rcv_code,assorted_code, rec_amount,premium_rcv_detail_code,remaining_amt, payrec, mode_code,coinsurance_code,class_cd,it_remarks) values</v>
      </c>
      <c r="G1679" s="11" t="str">
        <f t="shared" si="106"/>
        <v>('28Nov240101','070000133523','1',(select max(to_number(i.premium_rcv_detail_code))+1
from ins_premium_det i),'1','1','02', '11000003','00','Request by Mr. Omair Ali 29-Nov-2024');</v>
      </c>
      <c r="H1679" s="12" t="str">
        <f t="shared" si="107"/>
        <v>insert into ins_premium_det (premium_rcv_code,assorted_code, rec_amount,premium_rcv_detail_code,remaining_amt, payrec, mode_code,coinsurance_code,class_cd,it_remarks) values('28Nov240101','070000133523','1',(select max(to_number(i.premium_rcv_detail_code))+1
from ins_premium_det i),'1','1','02', '11000003','00','Request by Mr. Omair Ali 29-Nov-2024');</v>
      </c>
    </row>
    <row r="1680" spans="1:8" ht="105" x14ac:dyDescent="0.25">
      <c r="A1680" t="s">
        <v>1680</v>
      </c>
      <c r="B1680" s="8" t="str">
        <f>VLOOKUP(A1680,assortedcode!B:C,2,0)</f>
        <v>040000165642</v>
      </c>
      <c r="C1680" s="1">
        <v>1</v>
      </c>
      <c r="D1680" s="9">
        <f t="shared" si="105"/>
        <v>1</v>
      </c>
      <c r="E1680" s="7" t="s">
        <v>8345</v>
      </c>
      <c r="F1680" s="10" t="str">
        <f t="shared" si="104"/>
        <v>insert into ins_premium_det (premium_rcv_code,assorted_code, rec_amount,premium_rcv_detail_code,remaining_amt, payrec, mode_code,coinsurance_code,class_cd,it_remarks) values</v>
      </c>
      <c r="G1680" s="11" t="str">
        <f t="shared" si="106"/>
        <v>('28Nov240101','040000165642','1',(select max(to_number(i.premium_rcv_detail_code))+1
from ins_premium_det i),'1','1','02', '11000003','00','Request by Mr. Omair Ali 29-Nov-2024');</v>
      </c>
      <c r="H1680" s="12" t="str">
        <f t="shared" si="107"/>
        <v>insert into ins_premium_det (premium_rcv_code,assorted_code, rec_amount,premium_rcv_detail_code,remaining_amt, payrec, mode_code,coinsurance_code,class_cd,it_remarks) values('28Nov240101','040000165642','1',(select max(to_number(i.premium_rcv_detail_code))+1
from ins_premium_det i),'1','1','02', '11000003','00','Request by Mr. Omair Ali 29-Nov-2024');</v>
      </c>
    </row>
    <row r="1681" spans="1:8" ht="105" x14ac:dyDescent="0.25">
      <c r="A1681" t="s">
        <v>1681</v>
      </c>
      <c r="B1681" s="8" t="str">
        <f>VLOOKUP(A1681,assortedcode!B:C,2,0)</f>
        <v>070000133524</v>
      </c>
      <c r="C1681" s="1">
        <v>1</v>
      </c>
      <c r="D1681" s="9">
        <f t="shared" si="105"/>
        <v>1</v>
      </c>
      <c r="E1681" s="7" t="s">
        <v>8345</v>
      </c>
      <c r="F1681" s="10" t="str">
        <f t="shared" si="104"/>
        <v>insert into ins_premium_det (premium_rcv_code,assorted_code, rec_amount,premium_rcv_detail_code,remaining_amt, payrec, mode_code,coinsurance_code,class_cd,it_remarks) values</v>
      </c>
      <c r="G1681" s="11" t="str">
        <f t="shared" si="106"/>
        <v>('28Nov240101','070000133524','1',(select max(to_number(i.premium_rcv_detail_code))+1
from ins_premium_det i),'1','1','02', '11000003','00','Request by Mr. Omair Ali 29-Nov-2024');</v>
      </c>
      <c r="H1681" s="12" t="str">
        <f t="shared" si="107"/>
        <v>insert into ins_premium_det (premium_rcv_code,assorted_code, rec_amount,premium_rcv_detail_code,remaining_amt, payrec, mode_code,coinsurance_code,class_cd,it_remarks) values('28Nov240101','070000133524','1',(select max(to_number(i.premium_rcv_detail_code))+1
from ins_premium_det i),'1','1','02', '11000003','00','Request by Mr. Omair Ali 29-Nov-2024');</v>
      </c>
    </row>
    <row r="1682" spans="1:8" ht="105" x14ac:dyDescent="0.25">
      <c r="A1682" t="s">
        <v>1682</v>
      </c>
      <c r="B1682" s="8" t="str">
        <f>VLOOKUP(A1682,assortedcode!B:C,2,0)</f>
        <v>040000165661</v>
      </c>
      <c r="C1682" s="1">
        <v>1</v>
      </c>
      <c r="D1682" s="9">
        <f t="shared" si="105"/>
        <v>1</v>
      </c>
      <c r="E1682" s="7" t="s">
        <v>8345</v>
      </c>
      <c r="F1682" s="10" t="str">
        <f t="shared" si="104"/>
        <v>insert into ins_premium_det (premium_rcv_code,assorted_code, rec_amount,premium_rcv_detail_code,remaining_amt, payrec, mode_code,coinsurance_code,class_cd,it_remarks) values</v>
      </c>
      <c r="G1682" s="11" t="str">
        <f t="shared" si="106"/>
        <v>('28Nov240101','040000165661','1',(select max(to_number(i.premium_rcv_detail_code))+1
from ins_premium_det i),'1','1','02', '11000003','00','Request by Mr. Omair Ali 29-Nov-2024');</v>
      </c>
      <c r="H1682" s="12" t="str">
        <f t="shared" si="107"/>
        <v>insert into ins_premium_det (premium_rcv_code,assorted_code, rec_amount,premium_rcv_detail_code,remaining_amt, payrec, mode_code,coinsurance_code,class_cd,it_remarks) values('28Nov240101','040000165661','1',(select max(to_number(i.premium_rcv_detail_code))+1
from ins_premium_det i),'1','1','02', '11000003','00','Request by Mr. Omair Ali 29-Nov-2024');</v>
      </c>
    </row>
    <row r="1683" spans="1:8" ht="105" x14ac:dyDescent="0.25">
      <c r="A1683" t="s">
        <v>1683</v>
      </c>
      <c r="B1683" s="8" t="str">
        <f>VLOOKUP(A1683,assortedcode!B:C,2,0)</f>
        <v>070000133525</v>
      </c>
      <c r="C1683" s="1">
        <v>1</v>
      </c>
      <c r="D1683" s="9">
        <f t="shared" si="105"/>
        <v>1</v>
      </c>
      <c r="E1683" s="7" t="s">
        <v>8345</v>
      </c>
      <c r="F1683" s="10" t="str">
        <f t="shared" si="104"/>
        <v>insert into ins_premium_det (premium_rcv_code,assorted_code, rec_amount,premium_rcv_detail_code,remaining_amt, payrec, mode_code,coinsurance_code,class_cd,it_remarks) values</v>
      </c>
      <c r="G1683" s="11" t="str">
        <f t="shared" si="106"/>
        <v>('28Nov240101','070000133525','1',(select max(to_number(i.premium_rcv_detail_code))+1
from ins_premium_det i),'1','1','02', '11000003','00','Request by Mr. Omair Ali 29-Nov-2024');</v>
      </c>
      <c r="H1683" s="12" t="str">
        <f t="shared" si="107"/>
        <v>insert into ins_premium_det (premium_rcv_code,assorted_code, rec_amount,premium_rcv_detail_code,remaining_amt, payrec, mode_code,coinsurance_code,class_cd,it_remarks) values('28Nov240101','070000133525','1',(select max(to_number(i.premium_rcv_detail_code))+1
from ins_premium_det i),'1','1','02', '11000003','00','Request by Mr. Omair Ali 29-Nov-2024');</v>
      </c>
    </row>
    <row r="1684" spans="1:8" ht="105" x14ac:dyDescent="0.25">
      <c r="A1684" t="s">
        <v>1684</v>
      </c>
      <c r="B1684" s="8" t="str">
        <f>VLOOKUP(A1684,assortedcode!B:C,2,0)</f>
        <v>040000177765</v>
      </c>
      <c r="C1684" s="1">
        <v>1</v>
      </c>
      <c r="D1684" s="9">
        <f t="shared" si="105"/>
        <v>1</v>
      </c>
      <c r="E1684" s="7" t="s">
        <v>8345</v>
      </c>
      <c r="F1684" s="10" t="str">
        <f t="shared" si="104"/>
        <v>insert into ins_premium_det (premium_rcv_code,assorted_code, rec_amount,premium_rcv_detail_code,remaining_amt, payrec, mode_code,coinsurance_code,class_cd,it_remarks) values</v>
      </c>
      <c r="G1684" s="11" t="str">
        <f t="shared" si="106"/>
        <v>('28Nov240101','040000177765','1',(select max(to_number(i.premium_rcv_detail_code))+1
from ins_premium_det i),'1','1','02', '11000003','00','Request by Mr. Omair Ali 29-Nov-2024');</v>
      </c>
      <c r="H1684" s="12" t="str">
        <f t="shared" si="107"/>
        <v>insert into ins_premium_det (premium_rcv_code,assorted_code, rec_amount,premium_rcv_detail_code,remaining_amt, payrec, mode_code,coinsurance_code,class_cd,it_remarks) values('28Nov240101','040000177765','1',(select max(to_number(i.premium_rcv_detail_code))+1
from ins_premium_det i),'1','1','02', '11000003','00','Request by Mr. Omair Ali 29-Nov-2024');</v>
      </c>
    </row>
    <row r="1685" spans="1:8" ht="105" x14ac:dyDescent="0.25">
      <c r="A1685" t="s">
        <v>1685</v>
      </c>
      <c r="B1685" s="8" t="str">
        <f>VLOOKUP(A1685,assortedcode!B:C,2,0)</f>
        <v>070000133529</v>
      </c>
      <c r="C1685" s="1">
        <v>1</v>
      </c>
      <c r="D1685" s="9">
        <f t="shared" si="105"/>
        <v>1</v>
      </c>
      <c r="E1685" s="7" t="s">
        <v>8345</v>
      </c>
      <c r="F1685" s="10" t="str">
        <f t="shared" si="104"/>
        <v>insert into ins_premium_det (premium_rcv_code,assorted_code, rec_amount,premium_rcv_detail_code,remaining_amt, payrec, mode_code,coinsurance_code,class_cd,it_remarks) values</v>
      </c>
      <c r="G1685" s="11" t="str">
        <f t="shared" si="106"/>
        <v>('28Nov240101','070000133529','1',(select max(to_number(i.premium_rcv_detail_code))+1
from ins_premium_det i),'1','1','02', '11000003','00','Request by Mr. Omair Ali 29-Nov-2024');</v>
      </c>
      <c r="H1685" s="12" t="str">
        <f t="shared" si="107"/>
        <v>insert into ins_premium_det (premium_rcv_code,assorted_code, rec_amount,premium_rcv_detail_code,remaining_amt, payrec, mode_code,coinsurance_code,class_cd,it_remarks) values('28Nov240101','070000133529','1',(select max(to_number(i.premium_rcv_detail_code))+1
from ins_premium_det i),'1','1','02', '11000003','00','Request by Mr. Omair Ali 29-Nov-2024');</v>
      </c>
    </row>
    <row r="1686" spans="1:8" ht="105" x14ac:dyDescent="0.25">
      <c r="A1686" t="s">
        <v>1686</v>
      </c>
      <c r="B1686" s="8" t="str">
        <f>VLOOKUP(A1686,assortedcode!B:C,2,0)</f>
        <v>040000177890</v>
      </c>
      <c r="C1686" s="1">
        <v>1</v>
      </c>
      <c r="D1686" s="9">
        <f t="shared" si="105"/>
        <v>1</v>
      </c>
      <c r="E1686" s="7" t="s">
        <v>8345</v>
      </c>
      <c r="F1686" s="10" t="str">
        <f t="shared" si="104"/>
        <v>insert into ins_premium_det (premium_rcv_code,assorted_code, rec_amount,premium_rcv_detail_code,remaining_amt, payrec, mode_code,coinsurance_code,class_cd,it_remarks) values</v>
      </c>
      <c r="G1686" s="11" t="str">
        <f t="shared" si="106"/>
        <v>('28Nov240101','040000177890','1',(select max(to_number(i.premium_rcv_detail_code))+1
from ins_premium_det i),'1','1','02', '11000003','00','Request by Mr. Omair Ali 29-Nov-2024');</v>
      </c>
      <c r="H1686" s="12" t="str">
        <f t="shared" si="107"/>
        <v>insert into ins_premium_det (premium_rcv_code,assorted_code, rec_amount,premium_rcv_detail_code,remaining_amt, payrec, mode_code,coinsurance_code,class_cd,it_remarks) values('28Nov240101','040000177890','1',(select max(to_number(i.premium_rcv_detail_code))+1
from ins_premium_det i),'1','1','02', '11000003','00','Request by Mr. Omair Ali 29-Nov-2024');</v>
      </c>
    </row>
    <row r="1687" spans="1:8" ht="105" x14ac:dyDescent="0.25">
      <c r="A1687" t="s">
        <v>1687</v>
      </c>
      <c r="B1687" s="8" t="str">
        <f>VLOOKUP(A1687,assortedcode!B:C,2,0)</f>
        <v>070000133530</v>
      </c>
      <c r="C1687" s="1">
        <v>1</v>
      </c>
      <c r="D1687" s="9">
        <f t="shared" si="105"/>
        <v>1</v>
      </c>
      <c r="E1687" s="7" t="s">
        <v>8345</v>
      </c>
      <c r="F1687" s="10" t="str">
        <f t="shared" si="104"/>
        <v>insert into ins_premium_det (premium_rcv_code,assorted_code, rec_amount,premium_rcv_detail_code,remaining_amt, payrec, mode_code,coinsurance_code,class_cd,it_remarks) values</v>
      </c>
      <c r="G1687" s="11" t="str">
        <f t="shared" si="106"/>
        <v>('28Nov240101','070000133530','1',(select max(to_number(i.premium_rcv_detail_code))+1
from ins_premium_det i),'1','1','02', '11000003','00','Request by Mr. Omair Ali 29-Nov-2024');</v>
      </c>
      <c r="H1687" s="12" t="str">
        <f t="shared" si="107"/>
        <v>insert into ins_premium_det (premium_rcv_code,assorted_code, rec_amount,premium_rcv_detail_code,remaining_amt, payrec, mode_code,coinsurance_code,class_cd,it_remarks) values('28Nov240101','070000133530','1',(select max(to_number(i.premium_rcv_detail_code))+1
from ins_premium_det i),'1','1','02', '11000003','00','Request by Mr. Omair Ali 29-Nov-2024');</v>
      </c>
    </row>
    <row r="1688" spans="1:8" ht="105" x14ac:dyDescent="0.25">
      <c r="A1688" t="s">
        <v>1688</v>
      </c>
      <c r="B1688" s="8" t="str">
        <f>VLOOKUP(A1688,assortedcode!B:C,2,0)</f>
        <v>040000143133</v>
      </c>
      <c r="C1688" s="1">
        <v>1</v>
      </c>
      <c r="D1688" s="9">
        <f t="shared" si="105"/>
        <v>1</v>
      </c>
      <c r="E1688" s="7" t="s">
        <v>8345</v>
      </c>
      <c r="F1688" s="10" t="str">
        <f t="shared" si="104"/>
        <v>insert into ins_premium_det (premium_rcv_code,assorted_code, rec_amount,premium_rcv_detail_code,remaining_amt, payrec, mode_code,coinsurance_code,class_cd,it_remarks) values</v>
      </c>
      <c r="G1688" s="11" t="str">
        <f t="shared" si="106"/>
        <v>('28Nov240101','040000143133','1',(select max(to_number(i.premium_rcv_detail_code))+1
from ins_premium_det i),'1','1','02', '11000003','00','Request by Mr. Omair Ali 29-Nov-2024');</v>
      </c>
      <c r="H1688" s="12" t="str">
        <f t="shared" si="107"/>
        <v>insert into ins_premium_det (premium_rcv_code,assorted_code, rec_amount,premium_rcv_detail_code,remaining_amt, payrec, mode_code,coinsurance_code,class_cd,it_remarks) values('28Nov240101','040000143133','1',(select max(to_number(i.premium_rcv_detail_code))+1
from ins_premium_det i),'1','1','02', '11000003','00','Request by Mr. Omair Ali 29-Nov-2024');</v>
      </c>
    </row>
    <row r="1689" spans="1:8" ht="105" x14ac:dyDescent="0.25">
      <c r="A1689" t="s">
        <v>1689</v>
      </c>
      <c r="B1689" s="8" t="str">
        <f>VLOOKUP(A1689,assortedcode!B:C,2,0)</f>
        <v>070000133532</v>
      </c>
      <c r="C1689" s="1">
        <v>1</v>
      </c>
      <c r="D1689" s="9">
        <f t="shared" si="105"/>
        <v>1</v>
      </c>
      <c r="E1689" s="7" t="s">
        <v>8345</v>
      </c>
      <c r="F1689" s="10" t="str">
        <f t="shared" si="104"/>
        <v>insert into ins_premium_det (premium_rcv_code,assorted_code, rec_amount,premium_rcv_detail_code,remaining_amt, payrec, mode_code,coinsurance_code,class_cd,it_remarks) values</v>
      </c>
      <c r="G1689" s="11" t="str">
        <f t="shared" si="106"/>
        <v>('28Nov240101','070000133532','1',(select max(to_number(i.premium_rcv_detail_code))+1
from ins_premium_det i),'1','1','02', '11000003','00','Request by Mr. Omair Ali 29-Nov-2024');</v>
      </c>
      <c r="H1689" s="12" t="str">
        <f t="shared" si="107"/>
        <v>insert into ins_premium_det (premium_rcv_code,assorted_code, rec_amount,premium_rcv_detail_code,remaining_amt, payrec, mode_code,coinsurance_code,class_cd,it_remarks) values('28Nov240101','070000133532','1',(select max(to_number(i.premium_rcv_detail_code))+1
from ins_premium_det i),'1','1','02', '11000003','00','Request by Mr. Omair Ali 29-Nov-2024');</v>
      </c>
    </row>
    <row r="1690" spans="1:8" ht="105" x14ac:dyDescent="0.25">
      <c r="A1690" t="s">
        <v>1690</v>
      </c>
      <c r="B1690" s="8" t="str">
        <f>VLOOKUP(A1690,assortedcode!B:C,2,0)</f>
        <v>040000177911</v>
      </c>
      <c r="C1690" s="1">
        <v>1</v>
      </c>
      <c r="D1690" s="9">
        <f t="shared" si="105"/>
        <v>1</v>
      </c>
      <c r="E1690" s="7" t="s">
        <v>8345</v>
      </c>
      <c r="F1690" s="10" t="str">
        <f t="shared" si="104"/>
        <v>insert into ins_premium_det (premium_rcv_code,assorted_code, rec_amount,premium_rcv_detail_code,remaining_amt, payrec, mode_code,coinsurance_code,class_cd,it_remarks) values</v>
      </c>
      <c r="G1690" s="11" t="str">
        <f t="shared" si="106"/>
        <v>('28Nov240101','040000177911','1',(select max(to_number(i.premium_rcv_detail_code))+1
from ins_premium_det i),'1','1','02', '11000003','00','Request by Mr. Omair Ali 29-Nov-2024');</v>
      </c>
      <c r="H1690" s="12" t="str">
        <f t="shared" si="107"/>
        <v>insert into ins_premium_det (premium_rcv_code,assorted_code, rec_amount,premium_rcv_detail_code,remaining_amt, payrec, mode_code,coinsurance_code,class_cd,it_remarks) values('28Nov240101','040000177911','1',(select max(to_number(i.premium_rcv_detail_code))+1
from ins_premium_det i),'1','1','02', '11000003','00','Request by Mr. Omair Ali 29-Nov-2024');</v>
      </c>
    </row>
    <row r="1691" spans="1:8" ht="105" x14ac:dyDescent="0.25">
      <c r="A1691" t="s">
        <v>1691</v>
      </c>
      <c r="B1691" s="8" t="str">
        <f>VLOOKUP(A1691,assortedcode!B:C,2,0)</f>
        <v>040000134757</v>
      </c>
      <c r="C1691" s="1">
        <v>1</v>
      </c>
      <c r="D1691" s="9">
        <f t="shared" si="105"/>
        <v>1</v>
      </c>
      <c r="E1691" s="7" t="s">
        <v>8345</v>
      </c>
      <c r="F1691" s="10" t="str">
        <f t="shared" si="104"/>
        <v>insert into ins_premium_det (premium_rcv_code,assorted_code, rec_amount,premium_rcv_detail_code,remaining_amt, payrec, mode_code,coinsurance_code,class_cd,it_remarks) values</v>
      </c>
      <c r="G1691" s="11" t="str">
        <f t="shared" si="106"/>
        <v>('28Nov240101','040000134757','1',(select max(to_number(i.premium_rcv_detail_code))+1
from ins_premium_det i),'1','1','02', '11000003','00','Request by Mr. Omair Ali 29-Nov-2024');</v>
      </c>
      <c r="H1691" s="12" t="str">
        <f t="shared" si="107"/>
        <v>insert into ins_premium_det (premium_rcv_code,assorted_code, rec_amount,premium_rcv_detail_code,remaining_amt, payrec, mode_code,coinsurance_code,class_cd,it_remarks) values('28Nov240101','040000134757','1',(select max(to_number(i.premium_rcv_detail_code))+1
from ins_premium_det i),'1','1','02', '11000003','00','Request by Mr. Omair Ali 29-Nov-2024');</v>
      </c>
    </row>
    <row r="1692" spans="1:8" ht="105" x14ac:dyDescent="0.25">
      <c r="A1692" t="s">
        <v>1692</v>
      </c>
      <c r="B1692" s="8" t="str">
        <f>VLOOKUP(A1692,assortedcode!B:C,2,0)</f>
        <v>040000145424</v>
      </c>
      <c r="C1692" s="1">
        <v>1</v>
      </c>
      <c r="D1692" s="9">
        <f t="shared" si="105"/>
        <v>1</v>
      </c>
      <c r="E1692" s="7" t="s">
        <v>8345</v>
      </c>
      <c r="F1692" s="10" t="str">
        <f t="shared" si="104"/>
        <v>insert into ins_premium_det (premium_rcv_code,assorted_code, rec_amount,premium_rcv_detail_code,remaining_amt, payrec, mode_code,coinsurance_code,class_cd,it_remarks) values</v>
      </c>
      <c r="G1692" s="11" t="str">
        <f t="shared" si="106"/>
        <v>('28Nov240101','040000145424','1',(select max(to_number(i.premium_rcv_detail_code))+1
from ins_premium_det i),'1','1','02', '11000003','00','Request by Mr. Omair Ali 29-Nov-2024');</v>
      </c>
      <c r="H1692" s="12" t="str">
        <f t="shared" si="107"/>
        <v>insert into ins_premium_det (premium_rcv_code,assorted_code, rec_amount,premium_rcv_detail_code,remaining_amt, payrec, mode_code,coinsurance_code,class_cd,it_remarks) values('28Nov240101','040000145424','1',(select max(to_number(i.premium_rcv_detail_code))+1
from ins_premium_det i),'1','1','02', '11000003','00','Request by Mr. Omair Ali 29-Nov-2024');</v>
      </c>
    </row>
    <row r="1693" spans="1:8" ht="105" x14ac:dyDescent="0.25">
      <c r="A1693" t="s">
        <v>1693</v>
      </c>
      <c r="B1693" s="8" t="str">
        <f>VLOOKUP(A1693,assortedcode!B:C,2,0)</f>
        <v>040000140738</v>
      </c>
      <c r="C1693" s="1">
        <v>1</v>
      </c>
      <c r="D1693" s="9">
        <f t="shared" si="105"/>
        <v>1</v>
      </c>
      <c r="E1693" s="7" t="s">
        <v>8345</v>
      </c>
      <c r="F1693" s="10" t="str">
        <f t="shared" si="104"/>
        <v>insert into ins_premium_det (premium_rcv_code,assorted_code, rec_amount,premium_rcv_detail_code,remaining_amt, payrec, mode_code,coinsurance_code,class_cd,it_remarks) values</v>
      </c>
      <c r="G1693" s="11" t="str">
        <f t="shared" si="106"/>
        <v>('28Nov240101','040000140738','1',(select max(to_number(i.premium_rcv_detail_code))+1
from ins_premium_det i),'1','1','02', '11000003','00','Request by Mr. Omair Ali 29-Nov-2024');</v>
      </c>
      <c r="H1693" s="12" t="str">
        <f t="shared" si="107"/>
        <v>insert into ins_premium_det (premium_rcv_code,assorted_code, rec_amount,premium_rcv_detail_code,remaining_amt, payrec, mode_code,coinsurance_code,class_cd,it_remarks) values('28Nov240101','040000140738','1',(select max(to_number(i.premium_rcv_detail_code))+1
from ins_premium_det i),'1','1','02', '11000003','00','Request by Mr. Omair Ali 29-Nov-2024');</v>
      </c>
    </row>
    <row r="1694" spans="1:8" ht="105" x14ac:dyDescent="0.25">
      <c r="A1694" t="s">
        <v>1694</v>
      </c>
      <c r="B1694" s="8" t="str">
        <f>VLOOKUP(A1694,assortedcode!B:C,2,0)</f>
        <v>040000146050</v>
      </c>
      <c r="C1694" s="1">
        <v>1</v>
      </c>
      <c r="D1694" s="9">
        <f t="shared" si="105"/>
        <v>1</v>
      </c>
      <c r="E1694" s="7" t="s">
        <v>8345</v>
      </c>
      <c r="F1694" s="10" t="str">
        <f t="shared" si="104"/>
        <v>insert into ins_premium_det (premium_rcv_code,assorted_code, rec_amount,premium_rcv_detail_code,remaining_amt, payrec, mode_code,coinsurance_code,class_cd,it_remarks) values</v>
      </c>
      <c r="G1694" s="11" t="str">
        <f t="shared" si="106"/>
        <v>('28Nov240101','040000146050','1',(select max(to_number(i.premium_rcv_detail_code))+1
from ins_premium_det i),'1','1','02', '11000003','00','Request by Mr. Omair Ali 29-Nov-2024');</v>
      </c>
      <c r="H1694" s="12" t="str">
        <f t="shared" si="107"/>
        <v>insert into ins_premium_det (premium_rcv_code,assorted_code, rec_amount,premium_rcv_detail_code,remaining_amt, payrec, mode_code,coinsurance_code,class_cd,it_remarks) values('28Nov240101','040000146050','1',(select max(to_number(i.premium_rcv_detail_code))+1
from ins_premium_det i),'1','1','02', '11000003','00','Request by Mr. Omair Ali 29-Nov-2024');</v>
      </c>
    </row>
    <row r="1695" spans="1:8" ht="105" x14ac:dyDescent="0.25">
      <c r="A1695" t="s">
        <v>1695</v>
      </c>
      <c r="B1695" s="8" t="str">
        <f>VLOOKUP(A1695,assortedcode!B:C,2,0)</f>
        <v>070000133571</v>
      </c>
      <c r="C1695" s="1">
        <v>1</v>
      </c>
      <c r="D1695" s="9">
        <f t="shared" si="105"/>
        <v>1</v>
      </c>
      <c r="E1695" s="7" t="s">
        <v>8345</v>
      </c>
      <c r="F1695" s="10" t="str">
        <f t="shared" si="104"/>
        <v>insert into ins_premium_det (premium_rcv_code,assorted_code, rec_amount,premium_rcv_detail_code,remaining_amt, payrec, mode_code,coinsurance_code,class_cd,it_remarks) values</v>
      </c>
      <c r="G1695" s="11" t="str">
        <f t="shared" si="106"/>
        <v>('28Nov240101','070000133571','1',(select max(to_number(i.premium_rcv_detail_code))+1
from ins_premium_det i),'1','1','02', '11000003','00','Request by Mr. Omair Ali 29-Nov-2024');</v>
      </c>
      <c r="H1695" s="12" t="str">
        <f t="shared" si="107"/>
        <v>insert into ins_premium_det (premium_rcv_code,assorted_code, rec_amount,premium_rcv_detail_code,remaining_amt, payrec, mode_code,coinsurance_code,class_cd,it_remarks) values('28Nov240101','070000133571','1',(select max(to_number(i.premium_rcv_detail_code))+1
from ins_premium_det i),'1','1','02', '11000003','00','Request by Mr. Omair Ali 29-Nov-2024');</v>
      </c>
    </row>
    <row r="1696" spans="1:8" ht="105" x14ac:dyDescent="0.25">
      <c r="A1696" t="s">
        <v>1696</v>
      </c>
      <c r="B1696" s="8" t="str">
        <f>VLOOKUP(A1696,assortedcode!B:C,2,0)</f>
        <v>040000147323</v>
      </c>
      <c r="C1696" s="1">
        <v>1</v>
      </c>
      <c r="D1696" s="9">
        <f t="shared" si="105"/>
        <v>1</v>
      </c>
      <c r="E1696" s="7" t="s">
        <v>8345</v>
      </c>
      <c r="F1696" s="10" t="str">
        <f t="shared" si="104"/>
        <v>insert into ins_premium_det (premium_rcv_code,assorted_code, rec_amount,premium_rcv_detail_code,remaining_amt, payrec, mode_code,coinsurance_code,class_cd,it_remarks) values</v>
      </c>
      <c r="G1696" s="11" t="str">
        <f t="shared" si="106"/>
        <v>('28Nov240101','040000147323','1',(select max(to_number(i.premium_rcv_detail_code))+1
from ins_premium_det i),'1','1','02', '11000003','00','Request by Mr. Omair Ali 29-Nov-2024');</v>
      </c>
      <c r="H1696" s="12" t="str">
        <f t="shared" si="107"/>
        <v>insert into ins_premium_det (premium_rcv_code,assorted_code, rec_amount,premium_rcv_detail_code,remaining_amt, payrec, mode_code,coinsurance_code,class_cd,it_remarks) values('28Nov240101','040000147323','1',(select max(to_number(i.premium_rcv_detail_code))+1
from ins_premium_det i),'1','1','02', '11000003','00','Request by Mr. Omair Ali 29-Nov-2024');</v>
      </c>
    </row>
    <row r="1697" spans="1:8" ht="105" x14ac:dyDescent="0.25">
      <c r="A1697" t="s">
        <v>1697</v>
      </c>
      <c r="B1697" s="8" t="str">
        <f>VLOOKUP(A1697,assortedcode!B:C,2,0)</f>
        <v>070000133573</v>
      </c>
      <c r="C1697" s="1">
        <v>1</v>
      </c>
      <c r="D1697" s="9">
        <f t="shared" si="105"/>
        <v>1</v>
      </c>
      <c r="E1697" s="7" t="s">
        <v>8345</v>
      </c>
      <c r="F1697" s="10" t="str">
        <f t="shared" si="104"/>
        <v>insert into ins_premium_det (premium_rcv_code,assorted_code, rec_amount,premium_rcv_detail_code,remaining_amt, payrec, mode_code,coinsurance_code,class_cd,it_remarks) values</v>
      </c>
      <c r="G1697" s="11" t="str">
        <f t="shared" si="106"/>
        <v>('28Nov240101','070000133573','1',(select max(to_number(i.premium_rcv_detail_code))+1
from ins_premium_det i),'1','1','02', '11000003','00','Request by Mr. Omair Ali 29-Nov-2024');</v>
      </c>
      <c r="H1697" s="12" t="str">
        <f t="shared" si="107"/>
        <v>insert into ins_premium_det (premium_rcv_code,assorted_code, rec_amount,premium_rcv_detail_code,remaining_amt, payrec, mode_code,coinsurance_code,class_cd,it_remarks) values('28Nov240101','070000133573','1',(select max(to_number(i.premium_rcv_detail_code))+1
from ins_premium_det i),'1','1','02', '11000003','00','Request by Mr. Omair Ali 29-Nov-2024');</v>
      </c>
    </row>
    <row r="1698" spans="1:8" ht="105" x14ac:dyDescent="0.25">
      <c r="A1698" t="s">
        <v>1698</v>
      </c>
      <c r="B1698" s="8" t="str">
        <f>VLOOKUP(A1698,assortedcode!B:C,2,0)</f>
        <v>040000165609</v>
      </c>
      <c r="C1698" s="1">
        <v>1</v>
      </c>
      <c r="D1698" s="9">
        <f t="shared" si="105"/>
        <v>1</v>
      </c>
      <c r="E1698" s="7" t="s">
        <v>8345</v>
      </c>
      <c r="F1698" s="10" t="str">
        <f t="shared" si="104"/>
        <v>insert into ins_premium_det (premium_rcv_code,assorted_code, rec_amount,premium_rcv_detail_code,remaining_amt, payrec, mode_code,coinsurance_code,class_cd,it_remarks) values</v>
      </c>
      <c r="G1698" s="11" t="str">
        <f t="shared" si="106"/>
        <v>('28Nov240101','040000165609','1',(select max(to_number(i.premium_rcv_detail_code))+1
from ins_premium_det i),'1','1','02', '11000003','00','Request by Mr. Omair Ali 29-Nov-2024');</v>
      </c>
      <c r="H1698" s="12" t="str">
        <f t="shared" si="107"/>
        <v>insert into ins_premium_det (premium_rcv_code,assorted_code, rec_amount,premium_rcv_detail_code,remaining_amt, payrec, mode_code,coinsurance_code,class_cd,it_remarks) values('28Nov240101','040000165609','1',(select max(to_number(i.premium_rcv_detail_code))+1
from ins_premium_det i),'1','1','02', '11000003','00','Request by Mr. Omair Ali 29-Nov-2024');</v>
      </c>
    </row>
    <row r="1699" spans="1:8" ht="105" x14ac:dyDescent="0.25">
      <c r="A1699" t="s">
        <v>1699</v>
      </c>
      <c r="B1699" s="8" t="str">
        <f>VLOOKUP(A1699,assortedcode!B:C,2,0)</f>
        <v>040000141577</v>
      </c>
      <c r="C1699" s="1">
        <v>1</v>
      </c>
      <c r="D1699" s="9">
        <f t="shared" si="105"/>
        <v>1</v>
      </c>
      <c r="E1699" s="7" t="s">
        <v>8345</v>
      </c>
      <c r="F1699" s="10" t="str">
        <f t="shared" si="104"/>
        <v>insert into ins_premium_det (premium_rcv_code,assorted_code, rec_amount,premium_rcv_detail_code,remaining_amt, payrec, mode_code,coinsurance_code,class_cd,it_remarks) values</v>
      </c>
      <c r="G1699" s="11" t="str">
        <f t="shared" si="106"/>
        <v>('28Nov240101','040000141577','1',(select max(to_number(i.premium_rcv_detail_code))+1
from ins_premium_det i),'1','1','02', '11000003','00','Request by Mr. Omair Ali 29-Nov-2024');</v>
      </c>
      <c r="H1699" s="12" t="str">
        <f t="shared" si="107"/>
        <v>insert into ins_premium_det (premium_rcv_code,assorted_code, rec_amount,premium_rcv_detail_code,remaining_amt, payrec, mode_code,coinsurance_code,class_cd,it_remarks) values('28Nov240101','040000141577','1',(select max(to_number(i.premium_rcv_detail_code))+1
from ins_premium_det i),'1','1','02', '11000003','00','Request by Mr. Omair Ali 29-Nov-2024');</v>
      </c>
    </row>
    <row r="1700" spans="1:8" ht="105" x14ac:dyDescent="0.25">
      <c r="A1700" t="s">
        <v>1700</v>
      </c>
      <c r="B1700" s="8" t="str">
        <f>VLOOKUP(A1700,assortedcode!B:C,2,0)</f>
        <v>040000144956</v>
      </c>
      <c r="C1700" s="1">
        <v>1</v>
      </c>
      <c r="D1700" s="9">
        <f t="shared" si="105"/>
        <v>1</v>
      </c>
      <c r="E1700" s="7" t="s">
        <v>8345</v>
      </c>
      <c r="F1700" s="10" t="str">
        <f t="shared" si="104"/>
        <v>insert into ins_premium_det (premium_rcv_code,assorted_code, rec_amount,premium_rcv_detail_code,remaining_amt, payrec, mode_code,coinsurance_code,class_cd,it_remarks) values</v>
      </c>
      <c r="G1700" s="11" t="str">
        <f t="shared" si="106"/>
        <v>('28Nov240101','040000144956','1',(select max(to_number(i.premium_rcv_detail_code))+1
from ins_premium_det i),'1','1','02', '11000003','00','Request by Mr. Omair Ali 29-Nov-2024');</v>
      </c>
      <c r="H1700" s="12" t="str">
        <f t="shared" si="107"/>
        <v>insert into ins_premium_det (premium_rcv_code,assorted_code, rec_amount,premium_rcv_detail_code,remaining_amt, payrec, mode_code,coinsurance_code,class_cd,it_remarks) values('28Nov240101','040000144956','1',(select max(to_number(i.premium_rcv_detail_code))+1
from ins_premium_det i),'1','1','02', '11000003','00','Request by Mr. Omair Ali 29-Nov-2024');</v>
      </c>
    </row>
    <row r="1701" spans="1:8" ht="105" x14ac:dyDescent="0.25">
      <c r="A1701" t="s">
        <v>1701</v>
      </c>
      <c r="B1701" s="8" t="str">
        <f>VLOOKUP(A1701,assortedcode!B:C,2,0)</f>
        <v>040000141579</v>
      </c>
      <c r="C1701" s="1">
        <v>1</v>
      </c>
      <c r="D1701" s="9">
        <f t="shared" si="105"/>
        <v>1</v>
      </c>
      <c r="E1701" s="7" t="s">
        <v>8345</v>
      </c>
      <c r="F1701" s="10" t="str">
        <f t="shared" si="104"/>
        <v>insert into ins_premium_det (premium_rcv_code,assorted_code, rec_amount,premium_rcv_detail_code,remaining_amt, payrec, mode_code,coinsurance_code,class_cd,it_remarks) values</v>
      </c>
      <c r="G1701" s="11" t="str">
        <f t="shared" si="106"/>
        <v>('28Nov240101','040000141579','1',(select max(to_number(i.premium_rcv_detail_code))+1
from ins_premium_det i),'1','1','02', '11000003','00','Request by Mr. Omair Ali 29-Nov-2024');</v>
      </c>
      <c r="H1701" s="12" t="str">
        <f t="shared" si="107"/>
        <v>insert into ins_premium_det (premium_rcv_code,assorted_code, rec_amount,premium_rcv_detail_code,remaining_amt, payrec, mode_code,coinsurance_code,class_cd,it_remarks) values('28Nov240101','040000141579','1',(select max(to_number(i.premium_rcv_detail_code))+1
from ins_premium_det i),'1','1','02', '11000003','00','Request by Mr. Omair Ali 29-Nov-2024');</v>
      </c>
    </row>
    <row r="1702" spans="1:8" ht="105" x14ac:dyDescent="0.25">
      <c r="A1702" t="s">
        <v>1702</v>
      </c>
      <c r="B1702" s="8" t="str">
        <f>VLOOKUP(A1702,assortedcode!B:C,2,0)</f>
        <v>040000127418</v>
      </c>
      <c r="C1702" s="1">
        <v>1</v>
      </c>
      <c r="D1702" s="9">
        <f t="shared" si="105"/>
        <v>1</v>
      </c>
      <c r="E1702" s="7" t="s">
        <v>8345</v>
      </c>
      <c r="F1702" s="10" t="str">
        <f t="shared" si="104"/>
        <v>insert into ins_premium_det (premium_rcv_code,assorted_code, rec_amount,premium_rcv_detail_code,remaining_amt, payrec, mode_code,coinsurance_code,class_cd,it_remarks) values</v>
      </c>
      <c r="G1702" s="11" t="str">
        <f t="shared" si="106"/>
        <v>('28Nov240101','040000127418','1',(select max(to_number(i.premium_rcv_detail_code))+1
from ins_premium_det i),'1','1','02', '11000003','00','Request by Mr. Omair Ali 29-Nov-2024');</v>
      </c>
      <c r="H1702" s="12" t="str">
        <f t="shared" si="107"/>
        <v>insert into ins_premium_det (premium_rcv_code,assorted_code, rec_amount,premium_rcv_detail_code,remaining_amt, payrec, mode_code,coinsurance_code,class_cd,it_remarks) values('28Nov240101','040000127418','1',(select max(to_number(i.premium_rcv_detail_code))+1
from ins_premium_det i),'1','1','02', '11000003','00','Request by Mr. Omair Ali 29-Nov-2024');</v>
      </c>
    </row>
    <row r="1703" spans="1:8" ht="105" x14ac:dyDescent="0.25">
      <c r="A1703" t="s">
        <v>1703</v>
      </c>
      <c r="B1703" s="8" t="str">
        <f>VLOOKUP(A1703,assortedcode!B:C,2,0)</f>
        <v>070000133574</v>
      </c>
      <c r="C1703" s="1">
        <v>1</v>
      </c>
      <c r="D1703" s="9">
        <f t="shared" si="105"/>
        <v>1</v>
      </c>
      <c r="E1703" s="7" t="s">
        <v>8345</v>
      </c>
      <c r="F1703" s="10" t="str">
        <f t="shared" si="104"/>
        <v>insert into ins_premium_det (premium_rcv_code,assorted_code, rec_amount,premium_rcv_detail_code,remaining_amt, payrec, mode_code,coinsurance_code,class_cd,it_remarks) values</v>
      </c>
      <c r="G1703" s="11" t="str">
        <f t="shared" si="106"/>
        <v>('28Nov240101','070000133574','1',(select max(to_number(i.premium_rcv_detail_code))+1
from ins_premium_det i),'1','1','02', '11000003','00','Request by Mr. Omair Ali 29-Nov-2024');</v>
      </c>
      <c r="H1703" s="12" t="str">
        <f t="shared" si="107"/>
        <v>insert into ins_premium_det (premium_rcv_code,assorted_code, rec_amount,premium_rcv_detail_code,remaining_amt, payrec, mode_code,coinsurance_code,class_cd,it_remarks) values('28Nov240101','070000133574','1',(select max(to_number(i.premium_rcv_detail_code))+1
from ins_premium_det i),'1','1','02', '11000003','00','Request by Mr. Omair Ali 29-Nov-2024');</v>
      </c>
    </row>
    <row r="1704" spans="1:8" ht="105" x14ac:dyDescent="0.25">
      <c r="A1704" t="s">
        <v>1704</v>
      </c>
      <c r="B1704" s="8" t="str">
        <f>VLOOKUP(A1704,assortedcode!B:C,2,0)</f>
        <v>040000145052</v>
      </c>
      <c r="C1704" s="1">
        <v>1</v>
      </c>
      <c r="D1704" s="9">
        <f t="shared" si="105"/>
        <v>1</v>
      </c>
      <c r="E1704" s="7" t="s">
        <v>8345</v>
      </c>
      <c r="F1704" s="10" t="str">
        <f t="shared" si="104"/>
        <v>insert into ins_premium_det (premium_rcv_code,assorted_code, rec_amount,premium_rcv_detail_code,remaining_amt, payrec, mode_code,coinsurance_code,class_cd,it_remarks) values</v>
      </c>
      <c r="G1704" s="11" t="str">
        <f t="shared" si="106"/>
        <v>('28Nov240101','040000145052','1',(select max(to_number(i.premium_rcv_detail_code))+1
from ins_premium_det i),'1','1','02', '11000003','00','Request by Mr. Omair Ali 29-Nov-2024');</v>
      </c>
      <c r="H1704" s="12" t="str">
        <f t="shared" si="107"/>
        <v>insert into ins_premium_det (premium_rcv_code,assorted_code, rec_amount,premium_rcv_detail_code,remaining_amt, payrec, mode_code,coinsurance_code,class_cd,it_remarks) values('28Nov240101','040000145052','1',(select max(to_number(i.premium_rcv_detail_code))+1
from ins_premium_det i),'1','1','02', '11000003','00','Request by Mr. Omair Ali 29-Nov-2024');</v>
      </c>
    </row>
    <row r="1705" spans="1:8" ht="105" x14ac:dyDescent="0.25">
      <c r="A1705" t="s">
        <v>1705</v>
      </c>
      <c r="B1705" s="8" t="str">
        <f>VLOOKUP(A1705,assortedcode!B:C,2,0)</f>
        <v>070000133583</v>
      </c>
      <c r="C1705" s="1">
        <v>1</v>
      </c>
      <c r="D1705" s="9">
        <f t="shared" si="105"/>
        <v>1</v>
      </c>
      <c r="E1705" s="7" t="s">
        <v>8345</v>
      </c>
      <c r="F1705" s="10" t="str">
        <f t="shared" si="104"/>
        <v>insert into ins_premium_det (premium_rcv_code,assorted_code, rec_amount,premium_rcv_detail_code,remaining_amt, payrec, mode_code,coinsurance_code,class_cd,it_remarks) values</v>
      </c>
      <c r="G1705" s="11" t="str">
        <f t="shared" si="106"/>
        <v>('28Nov240101','070000133583','1',(select max(to_number(i.premium_rcv_detail_code))+1
from ins_premium_det i),'1','1','02', '11000003','00','Request by Mr. Omair Ali 29-Nov-2024');</v>
      </c>
      <c r="H1705" s="12" t="str">
        <f t="shared" si="107"/>
        <v>insert into ins_premium_det (premium_rcv_code,assorted_code, rec_amount,premium_rcv_detail_code,remaining_amt, payrec, mode_code,coinsurance_code,class_cd,it_remarks) values('28Nov240101','070000133583','1',(select max(to_number(i.premium_rcv_detail_code))+1
from ins_premium_det i),'1','1','02', '11000003','00','Request by Mr. Omair Ali 29-Nov-2024');</v>
      </c>
    </row>
    <row r="1706" spans="1:8" ht="105" x14ac:dyDescent="0.25">
      <c r="A1706" t="s">
        <v>1706</v>
      </c>
      <c r="B1706" s="8" t="str">
        <f>VLOOKUP(A1706,assortedcode!B:C,2,0)</f>
        <v>040000146780</v>
      </c>
      <c r="C1706" s="1">
        <v>1</v>
      </c>
      <c r="D1706" s="9">
        <f t="shared" si="105"/>
        <v>1</v>
      </c>
      <c r="E1706" s="7" t="s">
        <v>8345</v>
      </c>
      <c r="F1706" s="10" t="str">
        <f t="shared" si="104"/>
        <v>insert into ins_premium_det (premium_rcv_code,assorted_code, rec_amount,premium_rcv_detail_code,remaining_amt, payrec, mode_code,coinsurance_code,class_cd,it_remarks) values</v>
      </c>
      <c r="G1706" s="11" t="str">
        <f t="shared" si="106"/>
        <v>('28Nov240101','040000146780','1',(select max(to_number(i.premium_rcv_detail_code))+1
from ins_premium_det i),'1','1','02', '11000003','00','Request by Mr. Omair Ali 29-Nov-2024');</v>
      </c>
      <c r="H1706" s="12" t="str">
        <f t="shared" si="107"/>
        <v>insert into ins_premium_det (premium_rcv_code,assorted_code, rec_amount,premium_rcv_detail_code,remaining_amt, payrec, mode_code,coinsurance_code,class_cd,it_remarks) values('28Nov240101','040000146780','1',(select max(to_number(i.premium_rcv_detail_code))+1
from ins_premium_det i),'1','1','02', '11000003','00','Request by Mr. Omair Ali 29-Nov-2024');</v>
      </c>
    </row>
    <row r="1707" spans="1:8" ht="105" x14ac:dyDescent="0.25">
      <c r="A1707" t="s">
        <v>1707</v>
      </c>
      <c r="B1707" s="8" t="str">
        <f>VLOOKUP(A1707,assortedcode!B:C,2,0)</f>
        <v>040000142880</v>
      </c>
      <c r="C1707" s="1">
        <v>1</v>
      </c>
      <c r="D1707" s="9">
        <f t="shared" si="105"/>
        <v>1</v>
      </c>
      <c r="E1707" s="7" t="s">
        <v>8345</v>
      </c>
      <c r="F1707" s="10" t="str">
        <f t="shared" si="104"/>
        <v>insert into ins_premium_det (premium_rcv_code,assorted_code, rec_amount,premium_rcv_detail_code,remaining_amt, payrec, mode_code,coinsurance_code,class_cd,it_remarks) values</v>
      </c>
      <c r="G1707" s="11" t="str">
        <f t="shared" si="106"/>
        <v>('28Nov240101','040000142880','1',(select max(to_number(i.premium_rcv_detail_code))+1
from ins_premium_det i),'1','1','02', '11000003','00','Request by Mr. Omair Ali 29-Nov-2024');</v>
      </c>
      <c r="H1707" s="12" t="str">
        <f t="shared" si="107"/>
        <v>insert into ins_premium_det (premium_rcv_code,assorted_code, rec_amount,premium_rcv_detail_code,remaining_amt, payrec, mode_code,coinsurance_code,class_cd,it_remarks) values('28Nov240101','040000142880','1',(select max(to_number(i.premium_rcv_detail_code))+1
from ins_premium_det i),'1','1','02', '11000003','00','Request by Mr. Omair Ali 29-Nov-2024');</v>
      </c>
    </row>
    <row r="1708" spans="1:8" ht="105" x14ac:dyDescent="0.25">
      <c r="A1708" t="s">
        <v>1708</v>
      </c>
      <c r="B1708" s="8" t="str">
        <f>VLOOKUP(A1708,assortedcode!B:C,2,0)</f>
        <v>040000165658</v>
      </c>
      <c r="C1708" s="1">
        <v>1</v>
      </c>
      <c r="D1708" s="9">
        <f t="shared" si="105"/>
        <v>1</v>
      </c>
      <c r="E1708" s="7" t="s">
        <v>8345</v>
      </c>
      <c r="F1708" s="10" t="str">
        <f t="shared" si="104"/>
        <v>insert into ins_premium_det (premium_rcv_code,assorted_code, rec_amount,premium_rcv_detail_code,remaining_amt, payrec, mode_code,coinsurance_code,class_cd,it_remarks) values</v>
      </c>
      <c r="G1708" s="11" t="str">
        <f t="shared" si="106"/>
        <v>('28Nov240101','040000165658','1',(select max(to_number(i.premium_rcv_detail_code))+1
from ins_premium_det i),'1','1','02', '11000003','00','Request by Mr. Omair Ali 29-Nov-2024');</v>
      </c>
      <c r="H1708" s="12" t="str">
        <f t="shared" si="107"/>
        <v>insert into ins_premium_det (premium_rcv_code,assorted_code, rec_amount,premium_rcv_detail_code,remaining_amt, payrec, mode_code,coinsurance_code,class_cd,it_remarks) values('28Nov240101','040000165658','1',(select max(to_number(i.premium_rcv_detail_code))+1
from ins_premium_det i),'1','1','02', '11000003','00','Request by Mr. Omair Ali 29-Nov-2024');</v>
      </c>
    </row>
    <row r="1709" spans="1:8" ht="105" x14ac:dyDescent="0.25">
      <c r="A1709" t="s">
        <v>1709</v>
      </c>
      <c r="B1709" s="8" t="str">
        <f>VLOOKUP(A1709,assortedcode!B:C,2,0)</f>
        <v>040000146121</v>
      </c>
      <c r="C1709" s="1">
        <v>1</v>
      </c>
      <c r="D1709" s="9">
        <f t="shared" si="105"/>
        <v>1</v>
      </c>
      <c r="E1709" s="7" t="s">
        <v>8345</v>
      </c>
      <c r="F1709" s="10" t="str">
        <f t="shared" si="104"/>
        <v>insert into ins_premium_det (premium_rcv_code,assorted_code, rec_amount,premium_rcv_detail_code,remaining_amt, payrec, mode_code,coinsurance_code,class_cd,it_remarks) values</v>
      </c>
      <c r="G1709" s="11" t="str">
        <f t="shared" si="106"/>
        <v>('28Nov240101','040000146121','1',(select max(to_number(i.premium_rcv_detail_code))+1
from ins_premium_det i),'1','1','02', '11000003','00','Request by Mr. Omair Ali 29-Nov-2024');</v>
      </c>
      <c r="H1709" s="12" t="str">
        <f t="shared" si="107"/>
        <v>insert into ins_premium_det (premium_rcv_code,assorted_code, rec_amount,premium_rcv_detail_code,remaining_amt, payrec, mode_code,coinsurance_code,class_cd,it_remarks) values('28Nov240101','040000146121','1',(select max(to_number(i.premium_rcv_detail_code))+1
from ins_premium_det i),'1','1','02', '11000003','00','Request by Mr. Omair Ali 29-Nov-2024');</v>
      </c>
    </row>
    <row r="1710" spans="1:8" ht="105" x14ac:dyDescent="0.25">
      <c r="A1710" t="s">
        <v>1710</v>
      </c>
      <c r="B1710" s="8" t="str">
        <f>VLOOKUP(A1710,assortedcode!B:C,2,0)</f>
        <v>040000144233</v>
      </c>
      <c r="C1710" s="1">
        <v>1</v>
      </c>
      <c r="D1710" s="9">
        <f t="shared" si="105"/>
        <v>1</v>
      </c>
      <c r="E1710" s="7" t="s">
        <v>8345</v>
      </c>
      <c r="F1710" s="10" t="str">
        <f t="shared" si="104"/>
        <v>insert into ins_premium_det (premium_rcv_code,assorted_code, rec_amount,premium_rcv_detail_code,remaining_amt, payrec, mode_code,coinsurance_code,class_cd,it_remarks) values</v>
      </c>
      <c r="G1710" s="11" t="str">
        <f t="shared" si="106"/>
        <v>('28Nov240101','040000144233','1',(select max(to_number(i.premium_rcv_detail_code))+1
from ins_premium_det i),'1','1','02', '11000003','00','Request by Mr. Omair Ali 29-Nov-2024');</v>
      </c>
      <c r="H1710" s="12" t="str">
        <f t="shared" si="107"/>
        <v>insert into ins_premium_det (premium_rcv_code,assorted_code, rec_amount,premium_rcv_detail_code,remaining_amt, payrec, mode_code,coinsurance_code,class_cd,it_remarks) values('28Nov240101','040000144233','1',(select max(to_number(i.premium_rcv_detail_code))+1
from ins_premium_det i),'1','1','02', '11000003','00','Request by Mr. Omair Ali 29-Nov-2024');</v>
      </c>
    </row>
    <row r="1711" spans="1:8" ht="105" x14ac:dyDescent="0.25">
      <c r="A1711" t="s">
        <v>1711</v>
      </c>
      <c r="B1711" s="8" t="str">
        <f>VLOOKUP(A1711,assortedcode!B:C,2,0)</f>
        <v>070000133587</v>
      </c>
      <c r="C1711" s="1">
        <v>1</v>
      </c>
      <c r="D1711" s="9">
        <f t="shared" si="105"/>
        <v>1</v>
      </c>
      <c r="E1711" s="7" t="s">
        <v>8345</v>
      </c>
      <c r="F1711" s="10" t="str">
        <f t="shared" si="104"/>
        <v>insert into ins_premium_det (premium_rcv_code,assorted_code, rec_amount,premium_rcv_detail_code,remaining_amt, payrec, mode_code,coinsurance_code,class_cd,it_remarks) values</v>
      </c>
      <c r="G1711" s="11" t="str">
        <f t="shared" si="106"/>
        <v>('28Nov240101','070000133587','1',(select max(to_number(i.premium_rcv_detail_code))+1
from ins_premium_det i),'1','1','02', '11000003','00','Request by Mr. Omair Ali 29-Nov-2024');</v>
      </c>
      <c r="H1711" s="12" t="str">
        <f t="shared" si="107"/>
        <v>insert into ins_premium_det (premium_rcv_code,assorted_code, rec_amount,premium_rcv_detail_code,remaining_amt, payrec, mode_code,coinsurance_code,class_cd,it_remarks) values('28Nov240101','070000133587','1',(select max(to_number(i.premium_rcv_detail_code))+1
from ins_premium_det i),'1','1','02', '11000003','00','Request by Mr. Omair Ali 29-Nov-2024');</v>
      </c>
    </row>
    <row r="1712" spans="1:8" ht="105" x14ac:dyDescent="0.25">
      <c r="A1712" t="s">
        <v>1712</v>
      </c>
      <c r="B1712" s="8" t="str">
        <f>VLOOKUP(A1712,assortedcode!B:C,2,0)</f>
        <v>040000164800</v>
      </c>
      <c r="C1712" s="1">
        <v>1</v>
      </c>
      <c r="D1712" s="9">
        <f t="shared" si="105"/>
        <v>1</v>
      </c>
      <c r="E1712" s="7" t="s">
        <v>8345</v>
      </c>
      <c r="F1712" s="10" t="str">
        <f t="shared" si="104"/>
        <v>insert into ins_premium_det (premium_rcv_code,assorted_code, rec_amount,premium_rcv_detail_code,remaining_amt, payrec, mode_code,coinsurance_code,class_cd,it_remarks) values</v>
      </c>
      <c r="G1712" s="11" t="str">
        <f t="shared" si="106"/>
        <v>('28Nov240101','040000164800','1',(select max(to_number(i.premium_rcv_detail_code))+1
from ins_premium_det i),'1','1','02', '11000003','00','Request by Mr. Omair Ali 29-Nov-2024');</v>
      </c>
      <c r="H1712" s="12" t="str">
        <f t="shared" si="107"/>
        <v>insert into ins_premium_det (premium_rcv_code,assorted_code, rec_amount,premium_rcv_detail_code,remaining_amt, payrec, mode_code,coinsurance_code,class_cd,it_remarks) values('28Nov240101','040000164800','1',(select max(to_number(i.premium_rcv_detail_code))+1
from ins_premium_det i),'1','1','02', '11000003','00','Request by Mr. Omair Ali 29-Nov-2024');</v>
      </c>
    </row>
    <row r="1713" spans="1:8" ht="105" x14ac:dyDescent="0.25">
      <c r="A1713" t="s">
        <v>1713</v>
      </c>
      <c r="B1713" s="8" t="str">
        <f>VLOOKUP(A1713,assortedcode!B:C,2,0)</f>
        <v>040000145964</v>
      </c>
      <c r="C1713" s="1">
        <v>1</v>
      </c>
      <c r="D1713" s="9">
        <f t="shared" si="105"/>
        <v>1</v>
      </c>
      <c r="E1713" s="7" t="s">
        <v>8345</v>
      </c>
      <c r="F1713" s="10" t="str">
        <f t="shared" si="104"/>
        <v>insert into ins_premium_det (premium_rcv_code,assorted_code, rec_amount,premium_rcv_detail_code,remaining_amt, payrec, mode_code,coinsurance_code,class_cd,it_remarks) values</v>
      </c>
      <c r="G1713" s="11" t="str">
        <f t="shared" si="106"/>
        <v>('28Nov240101','040000145964','1',(select max(to_number(i.premium_rcv_detail_code))+1
from ins_premium_det i),'1','1','02', '11000003','00','Request by Mr. Omair Ali 29-Nov-2024');</v>
      </c>
      <c r="H1713" s="12" t="str">
        <f t="shared" si="107"/>
        <v>insert into ins_premium_det (premium_rcv_code,assorted_code, rec_amount,premium_rcv_detail_code,remaining_amt, payrec, mode_code,coinsurance_code,class_cd,it_remarks) values('28Nov240101','040000145964','1',(select max(to_number(i.premium_rcv_detail_code))+1
from ins_premium_det i),'1','1','02', '11000003','00','Request by Mr. Omair Ali 29-Nov-2024');</v>
      </c>
    </row>
    <row r="1714" spans="1:8" ht="105" x14ac:dyDescent="0.25">
      <c r="A1714" t="s">
        <v>1714</v>
      </c>
      <c r="B1714" s="8" t="str">
        <f>VLOOKUP(A1714,assortedcode!B:C,2,0)</f>
        <v>040000121216</v>
      </c>
      <c r="C1714" s="1">
        <v>1</v>
      </c>
      <c r="D1714" s="9">
        <f t="shared" si="105"/>
        <v>1</v>
      </c>
      <c r="E1714" s="7" t="s">
        <v>8345</v>
      </c>
      <c r="F1714" s="10" t="str">
        <f t="shared" si="104"/>
        <v>insert into ins_premium_det (premium_rcv_code,assorted_code, rec_amount,premium_rcv_detail_code,remaining_amt, payrec, mode_code,coinsurance_code,class_cd,it_remarks) values</v>
      </c>
      <c r="G1714" s="11" t="str">
        <f t="shared" si="106"/>
        <v>('28Nov240101','040000121216','1',(select max(to_number(i.premium_rcv_detail_code))+1
from ins_premium_det i),'1','1','02', '11000003','00','Request by Mr. Omair Ali 29-Nov-2024');</v>
      </c>
      <c r="H1714" s="12" t="str">
        <f t="shared" si="107"/>
        <v>insert into ins_premium_det (premium_rcv_code,assorted_code, rec_amount,premium_rcv_detail_code,remaining_amt, payrec, mode_code,coinsurance_code,class_cd,it_remarks) values('28Nov240101','040000121216','1',(select max(to_number(i.premium_rcv_detail_code))+1
from ins_premium_det i),'1','1','02', '11000003','00','Request by Mr. Omair Ali 29-Nov-2024');</v>
      </c>
    </row>
    <row r="1715" spans="1:8" ht="105" x14ac:dyDescent="0.25">
      <c r="A1715" t="s">
        <v>1715</v>
      </c>
      <c r="B1715" s="8" t="str">
        <f>VLOOKUP(A1715,assortedcode!B:C,2,0)</f>
        <v>040000127944</v>
      </c>
      <c r="C1715" s="1">
        <v>1</v>
      </c>
      <c r="D1715" s="9">
        <f t="shared" si="105"/>
        <v>1</v>
      </c>
      <c r="E1715" s="7" t="s">
        <v>8345</v>
      </c>
      <c r="F1715" s="10" t="str">
        <f t="shared" si="104"/>
        <v>insert into ins_premium_det (premium_rcv_code,assorted_code, rec_amount,premium_rcv_detail_code,remaining_amt, payrec, mode_code,coinsurance_code,class_cd,it_remarks) values</v>
      </c>
      <c r="G1715" s="11" t="str">
        <f t="shared" si="106"/>
        <v>('28Nov240101','040000127944','1',(select max(to_number(i.premium_rcv_detail_code))+1
from ins_premium_det i),'1','1','02', '11000003','00','Request by Mr. Omair Ali 29-Nov-2024');</v>
      </c>
      <c r="H1715" s="12" t="str">
        <f t="shared" si="107"/>
        <v>insert into ins_premium_det (premium_rcv_code,assorted_code, rec_amount,premium_rcv_detail_code,remaining_amt, payrec, mode_code,coinsurance_code,class_cd,it_remarks) values('28Nov240101','040000127944','1',(select max(to_number(i.premium_rcv_detail_code))+1
from ins_premium_det i),'1','1','02', '11000003','00','Request by Mr. Omair Ali 29-Nov-2024');</v>
      </c>
    </row>
    <row r="1716" spans="1:8" ht="105" x14ac:dyDescent="0.25">
      <c r="A1716" t="s">
        <v>1716</v>
      </c>
      <c r="B1716" s="8" t="str">
        <f>VLOOKUP(A1716,assortedcode!B:C,2,0)</f>
        <v>040000134551</v>
      </c>
      <c r="C1716" s="1">
        <v>1</v>
      </c>
      <c r="D1716" s="9">
        <f t="shared" si="105"/>
        <v>1</v>
      </c>
      <c r="E1716" s="7" t="s">
        <v>8345</v>
      </c>
      <c r="F1716" s="10" t="str">
        <f t="shared" si="104"/>
        <v>insert into ins_premium_det (premium_rcv_code,assorted_code, rec_amount,premium_rcv_detail_code,remaining_amt, payrec, mode_code,coinsurance_code,class_cd,it_remarks) values</v>
      </c>
      <c r="G1716" s="11" t="str">
        <f t="shared" si="106"/>
        <v>('28Nov240101','040000134551','1',(select max(to_number(i.premium_rcv_detail_code))+1
from ins_premium_det i),'1','1','02', '11000003','00','Request by Mr. Omair Ali 29-Nov-2024');</v>
      </c>
      <c r="H1716" s="12" t="str">
        <f t="shared" si="107"/>
        <v>insert into ins_premium_det (premium_rcv_code,assorted_code, rec_amount,premium_rcv_detail_code,remaining_amt, payrec, mode_code,coinsurance_code,class_cd,it_remarks) values('28Nov240101','040000134551','1',(select max(to_number(i.premium_rcv_detail_code))+1
from ins_premium_det i),'1','1','02', '11000003','00','Request by Mr. Omair Ali 29-Nov-2024');</v>
      </c>
    </row>
    <row r="1717" spans="1:8" ht="105" x14ac:dyDescent="0.25">
      <c r="A1717" t="s">
        <v>1717</v>
      </c>
      <c r="B1717" s="8" t="str">
        <f>VLOOKUP(A1717,assortedcode!B:C,2,0)</f>
        <v>040000131006</v>
      </c>
      <c r="C1717" s="1">
        <v>1</v>
      </c>
      <c r="D1717" s="9">
        <f t="shared" si="105"/>
        <v>1</v>
      </c>
      <c r="E1717" s="7" t="s">
        <v>8345</v>
      </c>
      <c r="F1717" s="10" t="str">
        <f t="shared" si="104"/>
        <v>insert into ins_premium_det (premium_rcv_code,assorted_code, rec_amount,premium_rcv_detail_code,remaining_amt, payrec, mode_code,coinsurance_code,class_cd,it_remarks) values</v>
      </c>
      <c r="G1717" s="11" t="str">
        <f t="shared" si="106"/>
        <v>('28Nov240101','040000131006','1',(select max(to_number(i.premium_rcv_detail_code))+1
from ins_premium_det i),'1','1','02', '11000003','00','Request by Mr. Omair Ali 29-Nov-2024');</v>
      </c>
      <c r="H1717" s="12" t="str">
        <f t="shared" si="107"/>
        <v>insert into ins_premium_det (premium_rcv_code,assorted_code, rec_amount,premium_rcv_detail_code,remaining_amt, payrec, mode_code,coinsurance_code,class_cd,it_remarks) values('28Nov240101','040000131006','1',(select max(to_number(i.premium_rcv_detail_code))+1
from ins_premium_det i),'1','1','02', '11000003','00','Request by Mr. Omair Ali 29-Nov-2024');</v>
      </c>
    </row>
    <row r="1718" spans="1:8" ht="105" x14ac:dyDescent="0.25">
      <c r="A1718" t="s">
        <v>1718</v>
      </c>
      <c r="B1718" s="8" t="str">
        <f>VLOOKUP(A1718,assortedcode!B:C,2,0)</f>
        <v>040000127269</v>
      </c>
      <c r="C1718" s="1">
        <v>1</v>
      </c>
      <c r="D1718" s="9">
        <f t="shared" si="105"/>
        <v>1</v>
      </c>
      <c r="E1718" s="7" t="s">
        <v>8345</v>
      </c>
      <c r="F1718" s="10" t="str">
        <f t="shared" si="104"/>
        <v>insert into ins_premium_det (premium_rcv_code,assorted_code, rec_amount,premium_rcv_detail_code,remaining_amt, payrec, mode_code,coinsurance_code,class_cd,it_remarks) values</v>
      </c>
      <c r="G1718" s="11" t="str">
        <f t="shared" si="106"/>
        <v>('28Nov240101','040000127269','1',(select max(to_number(i.premium_rcv_detail_code))+1
from ins_premium_det i),'1','1','02', '11000003','00','Request by Mr. Omair Ali 29-Nov-2024');</v>
      </c>
      <c r="H1718" s="12" t="str">
        <f t="shared" si="107"/>
        <v>insert into ins_premium_det (premium_rcv_code,assorted_code, rec_amount,premium_rcv_detail_code,remaining_amt, payrec, mode_code,coinsurance_code,class_cd,it_remarks) values('28Nov240101','040000127269','1',(select max(to_number(i.premium_rcv_detail_code))+1
from ins_premium_det i),'1','1','02', '11000003','00','Request by Mr. Omair Ali 29-Nov-2024');</v>
      </c>
    </row>
    <row r="1719" spans="1:8" ht="105" x14ac:dyDescent="0.25">
      <c r="A1719" t="s">
        <v>1719</v>
      </c>
      <c r="B1719" s="8" t="str">
        <f>VLOOKUP(A1719,assortedcode!B:C,2,0)</f>
        <v>040000122558</v>
      </c>
      <c r="C1719" s="1">
        <v>1</v>
      </c>
      <c r="D1719" s="9">
        <f t="shared" si="105"/>
        <v>1</v>
      </c>
      <c r="E1719" s="7" t="s">
        <v>8345</v>
      </c>
      <c r="F1719" s="10" t="str">
        <f t="shared" si="104"/>
        <v>insert into ins_premium_det (premium_rcv_code,assorted_code, rec_amount,premium_rcv_detail_code,remaining_amt, payrec, mode_code,coinsurance_code,class_cd,it_remarks) values</v>
      </c>
      <c r="G1719" s="11" t="str">
        <f t="shared" si="106"/>
        <v>('28Nov240101','040000122558','1',(select max(to_number(i.premium_rcv_detail_code))+1
from ins_premium_det i),'1','1','02', '11000003','00','Request by Mr. Omair Ali 29-Nov-2024');</v>
      </c>
      <c r="H1719" s="12" t="str">
        <f t="shared" si="107"/>
        <v>insert into ins_premium_det (premium_rcv_code,assorted_code, rec_amount,premium_rcv_detail_code,remaining_amt, payrec, mode_code,coinsurance_code,class_cd,it_remarks) values('28Nov240101','040000122558','1',(select max(to_number(i.premium_rcv_detail_code))+1
from ins_premium_det i),'1','1','02', '11000003','00','Request by Mr. Omair Ali 29-Nov-2024');</v>
      </c>
    </row>
    <row r="1720" spans="1:8" ht="105" x14ac:dyDescent="0.25">
      <c r="A1720" t="s">
        <v>1720</v>
      </c>
      <c r="B1720" s="8" t="str">
        <f>VLOOKUP(A1720,assortedcode!B:C,2,0)</f>
        <v>040000144267</v>
      </c>
      <c r="C1720" s="1">
        <v>1</v>
      </c>
      <c r="D1720" s="9">
        <f t="shared" si="105"/>
        <v>1</v>
      </c>
      <c r="E1720" s="7" t="s">
        <v>8345</v>
      </c>
      <c r="F1720" s="10" t="str">
        <f t="shared" si="104"/>
        <v>insert into ins_premium_det (premium_rcv_code,assorted_code, rec_amount,premium_rcv_detail_code,remaining_amt, payrec, mode_code,coinsurance_code,class_cd,it_remarks) values</v>
      </c>
      <c r="G1720" s="11" t="str">
        <f t="shared" si="106"/>
        <v>('28Nov240101','040000144267','1',(select max(to_number(i.premium_rcv_detail_code))+1
from ins_premium_det i),'1','1','02', '11000003','00','Request by Mr. Omair Ali 29-Nov-2024');</v>
      </c>
      <c r="H1720" s="12" t="str">
        <f t="shared" si="107"/>
        <v>insert into ins_premium_det (premium_rcv_code,assorted_code, rec_amount,premium_rcv_detail_code,remaining_amt, payrec, mode_code,coinsurance_code,class_cd,it_remarks) values('28Nov240101','040000144267','1',(select max(to_number(i.premium_rcv_detail_code))+1
from ins_premium_det i),'1','1','02', '11000003','00','Request by Mr. Omair Ali 29-Nov-2024');</v>
      </c>
    </row>
    <row r="1721" spans="1:8" ht="105" x14ac:dyDescent="0.25">
      <c r="A1721" t="s">
        <v>1721</v>
      </c>
      <c r="B1721" s="8" t="str">
        <f>VLOOKUP(A1721,assortedcode!B:C,2,0)</f>
        <v>040000144485</v>
      </c>
      <c r="C1721" s="1">
        <v>1</v>
      </c>
      <c r="D1721" s="9">
        <f t="shared" si="105"/>
        <v>1</v>
      </c>
      <c r="E1721" s="7" t="s">
        <v>8345</v>
      </c>
      <c r="F1721" s="10" t="str">
        <f t="shared" si="104"/>
        <v>insert into ins_premium_det (premium_rcv_code,assorted_code, rec_amount,premium_rcv_detail_code,remaining_amt, payrec, mode_code,coinsurance_code,class_cd,it_remarks) values</v>
      </c>
      <c r="G1721" s="11" t="str">
        <f t="shared" si="106"/>
        <v>('28Nov240101','040000144485','1',(select max(to_number(i.premium_rcv_detail_code))+1
from ins_premium_det i),'1','1','02', '11000003','00','Request by Mr. Omair Ali 29-Nov-2024');</v>
      </c>
      <c r="H1721" s="12" t="str">
        <f t="shared" si="107"/>
        <v>insert into ins_premium_det (premium_rcv_code,assorted_code, rec_amount,premium_rcv_detail_code,remaining_amt, payrec, mode_code,coinsurance_code,class_cd,it_remarks) values('28Nov240101','040000144485','1',(select max(to_number(i.premium_rcv_detail_code))+1
from ins_premium_det i),'1','1','02', '11000003','00','Request by Mr. Omair Ali 29-Nov-2024');</v>
      </c>
    </row>
    <row r="1722" spans="1:8" ht="105" x14ac:dyDescent="0.25">
      <c r="A1722" t="s">
        <v>1722</v>
      </c>
      <c r="B1722" s="8" t="str">
        <f>VLOOKUP(A1722,assortedcode!B:C,2,0)</f>
        <v>040000131563</v>
      </c>
      <c r="C1722" s="1">
        <v>1</v>
      </c>
      <c r="D1722" s="9">
        <f t="shared" si="105"/>
        <v>1</v>
      </c>
      <c r="E1722" s="7" t="s">
        <v>8345</v>
      </c>
      <c r="F1722" s="10" t="str">
        <f t="shared" si="104"/>
        <v>insert into ins_premium_det (premium_rcv_code,assorted_code, rec_amount,premium_rcv_detail_code,remaining_amt, payrec, mode_code,coinsurance_code,class_cd,it_remarks) values</v>
      </c>
      <c r="G1722" s="11" t="str">
        <f t="shared" si="106"/>
        <v>('28Nov240101','040000131563','1',(select max(to_number(i.premium_rcv_detail_code))+1
from ins_premium_det i),'1','1','02', '11000003','00','Request by Mr. Omair Ali 29-Nov-2024');</v>
      </c>
      <c r="H1722" s="12" t="str">
        <f t="shared" si="107"/>
        <v>insert into ins_premium_det (premium_rcv_code,assorted_code, rec_amount,premium_rcv_detail_code,remaining_amt, payrec, mode_code,coinsurance_code,class_cd,it_remarks) values('28Nov240101','040000131563','1',(select max(to_number(i.premium_rcv_detail_code))+1
from ins_premium_det i),'1','1','02', '11000003','00','Request by Mr. Omair Ali 29-Nov-2024');</v>
      </c>
    </row>
    <row r="1723" spans="1:8" ht="105" x14ac:dyDescent="0.25">
      <c r="A1723" t="s">
        <v>1723</v>
      </c>
      <c r="B1723" s="8" t="str">
        <f>VLOOKUP(A1723,assortedcode!B:C,2,0)</f>
        <v>040000115936</v>
      </c>
      <c r="C1723" s="1">
        <v>1</v>
      </c>
      <c r="D1723" s="9">
        <f t="shared" si="105"/>
        <v>1</v>
      </c>
      <c r="E1723" s="7" t="s">
        <v>8345</v>
      </c>
      <c r="F1723" s="10" t="str">
        <f t="shared" si="104"/>
        <v>insert into ins_premium_det (premium_rcv_code,assorted_code, rec_amount,premium_rcv_detail_code,remaining_amt, payrec, mode_code,coinsurance_code,class_cd,it_remarks) values</v>
      </c>
      <c r="G1723" s="11" t="str">
        <f t="shared" si="106"/>
        <v>('28Nov240101','040000115936','1',(select max(to_number(i.premium_rcv_detail_code))+1
from ins_premium_det i),'1','1','02', '11000003','00','Request by Mr. Omair Ali 29-Nov-2024');</v>
      </c>
      <c r="H1723" s="12" t="str">
        <f t="shared" si="107"/>
        <v>insert into ins_premium_det (premium_rcv_code,assorted_code, rec_amount,premium_rcv_detail_code,remaining_amt, payrec, mode_code,coinsurance_code,class_cd,it_remarks) values('28Nov240101','040000115936','1',(select max(to_number(i.premium_rcv_detail_code))+1
from ins_premium_det i),'1','1','02', '11000003','00','Request by Mr. Omair Ali 29-Nov-2024');</v>
      </c>
    </row>
    <row r="1724" spans="1:8" ht="105" x14ac:dyDescent="0.25">
      <c r="A1724" t="s">
        <v>1724</v>
      </c>
      <c r="B1724" s="8" t="str">
        <f>VLOOKUP(A1724,assortedcode!B:C,2,0)</f>
        <v>040000123046</v>
      </c>
      <c r="C1724" s="1">
        <v>1</v>
      </c>
      <c r="D1724" s="9">
        <f t="shared" si="105"/>
        <v>1</v>
      </c>
      <c r="E1724" s="7" t="s">
        <v>8345</v>
      </c>
      <c r="F1724" s="10" t="str">
        <f t="shared" si="104"/>
        <v>insert into ins_premium_det (premium_rcv_code,assorted_code, rec_amount,premium_rcv_detail_code,remaining_amt, payrec, mode_code,coinsurance_code,class_cd,it_remarks) values</v>
      </c>
      <c r="G1724" s="11" t="str">
        <f t="shared" si="106"/>
        <v>('28Nov240101','040000123046','1',(select max(to_number(i.premium_rcv_detail_code))+1
from ins_premium_det i),'1','1','02', '11000003','00','Request by Mr. Omair Ali 29-Nov-2024');</v>
      </c>
      <c r="H1724" s="12" t="str">
        <f t="shared" si="107"/>
        <v>insert into ins_premium_det (premium_rcv_code,assorted_code, rec_amount,premium_rcv_detail_code,remaining_amt, payrec, mode_code,coinsurance_code,class_cd,it_remarks) values('28Nov240101','040000123046','1',(select max(to_number(i.premium_rcv_detail_code))+1
from ins_premium_det i),'1','1','02', '11000003','00','Request by Mr. Omair Ali 29-Nov-2024');</v>
      </c>
    </row>
    <row r="1725" spans="1:8" ht="105" x14ac:dyDescent="0.25">
      <c r="A1725" t="s">
        <v>1725</v>
      </c>
      <c r="B1725" s="8" t="str">
        <f>VLOOKUP(A1725,assortedcode!B:C,2,0)</f>
        <v>040000116022</v>
      </c>
      <c r="C1725" s="1">
        <v>1</v>
      </c>
      <c r="D1725" s="9">
        <f t="shared" si="105"/>
        <v>1</v>
      </c>
      <c r="E1725" s="7" t="s">
        <v>8345</v>
      </c>
      <c r="F1725" s="10" t="str">
        <f t="shared" si="104"/>
        <v>insert into ins_premium_det (premium_rcv_code,assorted_code, rec_amount,premium_rcv_detail_code,remaining_amt, payrec, mode_code,coinsurance_code,class_cd,it_remarks) values</v>
      </c>
      <c r="G1725" s="11" t="str">
        <f t="shared" si="106"/>
        <v>('28Nov240101','040000116022','1',(select max(to_number(i.premium_rcv_detail_code))+1
from ins_premium_det i),'1','1','02', '11000003','00','Request by Mr. Omair Ali 29-Nov-2024');</v>
      </c>
      <c r="H1725" s="12" t="str">
        <f t="shared" si="107"/>
        <v>insert into ins_premium_det (premium_rcv_code,assorted_code, rec_amount,premium_rcv_detail_code,remaining_amt, payrec, mode_code,coinsurance_code,class_cd,it_remarks) values('28Nov240101','040000116022','1',(select max(to_number(i.premium_rcv_detail_code))+1
from ins_premium_det i),'1','1','02', '11000003','00','Request by Mr. Omair Ali 29-Nov-2024');</v>
      </c>
    </row>
    <row r="1726" spans="1:8" ht="105" x14ac:dyDescent="0.25">
      <c r="A1726" t="s">
        <v>1726</v>
      </c>
      <c r="B1726" s="8" t="str">
        <f>VLOOKUP(A1726,assortedcode!B:C,2,0)</f>
        <v>040000145656</v>
      </c>
      <c r="C1726" s="1">
        <v>1</v>
      </c>
      <c r="D1726" s="9">
        <f t="shared" si="105"/>
        <v>1</v>
      </c>
      <c r="E1726" s="7" t="s">
        <v>8345</v>
      </c>
      <c r="F1726" s="10" t="str">
        <f t="shared" si="104"/>
        <v>insert into ins_premium_det (premium_rcv_code,assorted_code, rec_amount,premium_rcv_detail_code,remaining_amt, payrec, mode_code,coinsurance_code,class_cd,it_remarks) values</v>
      </c>
      <c r="G1726" s="11" t="str">
        <f t="shared" si="106"/>
        <v>('28Nov240101','040000145656','1',(select max(to_number(i.premium_rcv_detail_code))+1
from ins_premium_det i),'1','1','02', '11000003','00','Request by Mr. Omair Ali 29-Nov-2024');</v>
      </c>
      <c r="H1726" s="12" t="str">
        <f t="shared" si="107"/>
        <v>insert into ins_premium_det (premium_rcv_code,assorted_code, rec_amount,premium_rcv_detail_code,remaining_amt, payrec, mode_code,coinsurance_code,class_cd,it_remarks) values('28Nov240101','040000145656','1',(select max(to_number(i.premium_rcv_detail_code))+1
from ins_premium_det i),'1','1','02', '11000003','00','Request by Mr. Omair Ali 29-Nov-2024');</v>
      </c>
    </row>
    <row r="1727" spans="1:8" ht="105" x14ac:dyDescent="0.25">
      <c r="A1727" t="s">
        <v>1727</v>
      </c>
      <c r="B1727" s="8" t="str">
        <f>VLOOKUP(A1727,assortedcode!B:C,2,0)</f>
        <v>040000131631</v>
      </c>
      <c r="C1727" s="1">
        <v>1</v>
      </c>
      <c r="D1727" s="9">
        <f t="shared" si="105"/>
        <v>1</v>
      </c>
      <c r="E1727" s="7" t="s">
        <v>8345</v>
      </c>
      <c r="F1727" s="10" t="str">
        <f t="shared" si="104"/>
        <v>insert into ins_premium_det (premium_rcv_code,assorted_code, rec_amount,premium_rcv_detail_code,remaining_amt, payrec, mode_code,coinsurance_code,class_cd,it_remarks) values</v>
      </c>
      <c r="G1727" s="11" t="str">
        <f t="shared" si="106"/>
        <v>('28Nov240101','040000131631','1',(select max(to_number(i.premium_rcv_detail_code))+1
from ins_premium_det i),'1','1','02', '11000003','00','Request by Mr. Omair Ali 29-Nov-2024');</v>
      </c>
      <c r="H1727" s="12" t="str">
        <f t="shared" si="107"/>
        <v>insert into ins_premium_det (premium_rcv_code,assorted_code, rec_amount,premium_rcv_detail_code,remaining_amt, payrec, mode_code,coinsurance_code,class_cd,it_remarks) values('28Nov240101','040000131631','1',(select max(to_number(i.premium_rcv_detail_code))+1
from ins_premium_det i),'1','1','02', '11000003','00','Request by Mr. Omair Ali 29-Nov-2024');</v>
      </c>
    </row>
    <row r="1728" spans="1:8" ht="105" x14ac:dyDescent="0.25">
      <c r="A1728" t="s">
        <v>1728</v>
      </c>
      <c r="B1728" s="8" t="str">
        <f>VLOOKUP(A1728,assortedcode!B:C,2,0)</f>
        <v>040000123180</v>
      </c>
      <c r="C1728" s="1">
        <v>1</v>
      </c>
      <c r="D1728" s="9">
        <f t="shared" si="105"/>
        <v>1</v>
      </c>
      <c r="E1728" s="7" t="s">
        <v>8345</v>
      </c>
      <c r="F1728" s="10" t="str">
        <f t="shared" si="104"/>
        <v>insert into ins_premium_det (premium_rcv_code,assorted_code, rec_amount,premium_rcv_detail_code,remaining_amt, payrec, mode_code,coinsurance_code,class_cd,it_remarks) values</v>
      </c>
      <c r="G1728" s="11" t="str">
        <f t="shared" si="106"/>
        <v>('28Nov240101','040000123180','1',(select max(to_number(i.premium_rcv_detail_code))+1
from ins_premium_det i),'1','1','02', '11000003','00','Request by Mr. Omair Ali 29-Nov-2024');</v>
      </c>
      <c r="H1728" s="12" t="str">
        <f t="shared" si="107"/>
        <v>insert into ins_premium_det (premium_rcv_code,assorted_code, rec_amount,premium_rcv_detail_code,remaining_amt, payrec, mode_code,coinsurance_code,class_cd,it_remarks) values('28Nov240101','040000123180','1',(select max(to_number(i.premium_rcv_detail_code))+1
from ins_premium_det i),'1','1','02', '11000003','00','Request by Mr. Omair Ali 29-Nov-2024');</v>
      </c>
    </row>
    <row r="1729" spans="1:8" ht="105" x14ac:dyDescent="0.25">
      <c r="A1729" t="s">
        <v>1729</v>
      </c>
      <c r="B1729" s="8" t="str">
        <f>VLOOKUP(A1729,assortedcode!B:C,2,0)</f>
        <v>040000135472</v>
      </c>
      <c r="C1729" s="1">
        <v>1</v>
      </c>
      <c r="D1729" s="9">
        <f t="shared" si="105"/>
        <v>1</v>
      </c>
      <c r="E1729" s="7" t="s">
        <v>8345</v>
      </c>
      <c r="F1729" s="10" t="str">
        <f t="shared" si="104"/>
        <v>insert into ins_premium_det (premium_rcv_code,assorted_code, rec_amount,premium_rcv_detail_code,remaining_amt, payrec, mode_code,coinsurance_code,class_cd,it_remarks) values</v>
      </c>
      <c r="G1729" s="11" t="str">
        <f t="shared" si="106"/>
        <v>('28Nov240101','040000135472','1',(select max(to_number(i.premium_rcv_detail_code))+1
from ins_premium_det i),'1','1','02', '11000003','00','Request by Mr. Omair Ali 29-Nov-2024');</v>
      </c>
      <c r="H1729" s="12" t="str">
        <f t="shared" si="107"/>
        <v>insert into ins_premium_det (premium_rcv_code,assorted_code, rec_amount,premium_rcv_detail_code,remaining_amt, payrec, mode_code,coinsurance_code,class_cd,it_remarks) values('28Nov240101','040000135472','1',(select max(to_number(i.premium_rcv_detail_code))+1
from ins_premium_det i),'1','1','02', '11000003','00','Request by Mr. Omair Ali 29-Nov-2024');</v>
      </c>
    </row>
    <row r="1730" spans="1:8" ht="105" x14ac:dyDescent="0.25">
      <c r="A1730" t="s">
        <v>1730</v>
      </c>
      <c r="B1730" s="8" t="str">
        <f>VLOOKUP(A1730,assortedcode!B:C,2,0)</f>
        <v>040000123326</v>
      </c>
      <c r="C1730" s="1">
        <v>1</v>
      </c>
      <c r="D1730" s="9">
        <f t="shared" si="105"/>
        <v>1</v>
      </c>
      <c r="E1730" s="7" t="s">
        <v>8345</v>
      </c>
      <c r="F1730" s="10" t="str">
        <f t="shared" ref="F1730:F1793" si="108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1730" s="11" t="str">
        <f t="shared" si="106"/>
        <v>('28Nov240101','040000123326','1',(select max(to_number(i.premium_rcv_detail_code))+1
from ins_premium_det i),'1','1','02', '11000003','00','Request by Mr. Omair Ali 29-Nov-2024');</v>
      </c>
      <c r="H1730" s="12" t="str">
        <f t="shared" si="107"/>
        <v>insert into ins_premium_det (premium_rcv_code,assorted_code, rec_amount,premium_rcv_detail_code,remaining_amt, payrec, mode_code,coinsurance_code,class_cd,it_remarks) values('28Nov240101','040000123326','1',(select max(to_number(i.premium_rcv_detail_code))+1
from ins_premium_det i),'1','1','02', '11000003','00','Request by Mr. Omair Ali 29-Nov-2024');</v>
      </c>
    </row>
    <row r="1731" spans="1:8" ht="105" x14ac:dyDescent="0.25">
      <c r="A1731" t="s">
        <v>1731</v>
      </c>
      <c r="B1731" s="8" t="str">
        <f>VLOOKUP(A1731,assortedcode!B:C,2,0)</f>
        <v>040000116127</v>
      </c>
      <c r="C1731" s="1">
        <v>1</v>
      </c>
      <c r="D1731" s="9">
        <f t="shared" ref="D1731:D1794" si="109">ROUND(C1731,0)</f>
        <v>1</v>
      </c>
      <c r="E1731" s="7" t="s">
        <v>8345</v>
      </c>
      <c r="F1731" s="10" t="str">
        <f t="shared" si="108"/>
        <v>insert into ins_premium_det (premium_rcv_code,assorted_code, rec_amount,premium_rcv_detail_code,remaining_amt, payrec, mode_code,coinsurance_code,class_cd,it_remarks) values</v>
      </c>
      <c r="G1731" s="11" t="str">
        <f t="shared" ref="G1731:G1794" si="110">"('"&amp;E1731&amp;"','"&amp;B1731&amp;"','"&amp;ROUND(D1731,2)&amp;"',(select max(to_number(i.premium_rcv_detail_code))+1
from ins_premium_det i),'"&amp;D1731&amp;"','"&amp;D1731&amp;"','02', '11000003','00','Request by Mr. Omair Ali 29-Nov-2024');"</f>
        <v>('28Nov240101','040000116127','1',(select max(to_number(i.premium_rcv_detail_code))+1
from ins_premium_det i),'1','1','02', '11000003','00','Request by Mr. Omair Ali 29-Nov-2024');</v>
      </c>
      <c r="H1731" s="12" t="str">
        <f t="shared" ref="H1731:H1794" si="111">F1731&amp;G1731</f>
        <v>insert into ins_premium_det (premium_rcv_code,assorted_code, rec_amount,premium_rcv_detail_code,remaining_amt, payrec, mode_code,coinsurance_code,class_cd,it_remarks) values('28Nov240101','040000116127','1',(select max(to_number(i.premium_rcv_detail_code))+1
from ins_premium_det i),'1','1','02', '11000003','00','Request by Mr. Omair Ali 29-Nov-2024');</v>
      </c>
    </row>
    <row r="1732" spans="1:8" ht="105" x14ac:dyDescent="0.25">
      <c r="A1732" t="s">
        <v>1732</v>
      </c>
      <c r="B1732" s="8" t="str">
        <f>VLOOKUP(A1732,assortedcode!B:C,2,0)</f>
        <v>040000149656</v>
      </c>
      <c r="C1732" s="1">
        <v>1</v>
      </c>
      <c r="D1732" s="9">
        <f t="shared" si="109"/>
        <v>1</v>
      </c>
      <c r="E1732" s="7" t="s">
        <v>8345</v>
      </c>
      <c r="F1732" s="10" t="str">
        <f t="shared" si="108"/>
        <v>insert into ins_premium_det (premium_rcv_code,assorted_code, rec_amount,premium_rcv_detail_code,remaining_amt, payrec, mode_code,coinsurance_code,class_cd,it_remarks) values</v>
      </c>
      <c r="G1732" s="11" t="str">
        <f t="shared" si="110"/>
        <v>('28Nov240101','040000149656','1',(select max(to_number(i.premium_rcv_detail_code))+1
from ins_premium_det i),'1','1','02', '11000003','00','Request by Mr. Omair Ali 29-Nov-2024');</v>
      </c>
      <c r="H1732" s="12" t="str">
        <f t="shared" si="111"/>
        <v>insert into ins_premium_det (premium_rcv_code,assorted_code, rec_amount,premium_rcv_detail_code,remaining_amt, payrec, mode_code,coinsurance_code,class_cd,it_remarks) values('28Nov240101','040000149656','1',(select max(to_number(i.premium_rcv_detail_code))+1
from ins_premium_det i),'1','1','02', '11000003','00','Request by Mr. Omair Ali 29-Nov-2024');</v>
      </c>
    </row>
    <row r="1733" spans="1:8" ht="105" x14ac:dyDescent="0.25">
      <c r="A1733" t="s">
        <v>1733</v>
      </c>
      <c r="B1733" s="8" t="str">
        <f>VLOOKUP(A1733,assortedcode!B:C,2,0)</f>
        <v>040000143161</v>
      </c>
      <c r="C1733" s="1">
        <v>1</v>
      </c>
      <c r="D1733" s="9">
        <f t="shared" si="109"/>
        <v>1</v>
      </c>
      <c r="E1733" s="7" t="s">
        <v>8345</v>
      </c>
      <c r="F1733" s="10" t="str">
        <f t="shared" si="108"/>
        <v>insert into ins_premium_det (premium_rcv_code,assorted_code, rec_amount,premium_rcv_detail_code,remaining_amt, payrec, mode_code,coinsurance_code,class_cd,it_remarks) values</v>
      </c>
      <c r="G1733" s="11" t="str">
        <f t="shared" si="110"/>
        <v>('28Nov240101','040000143161','1',(select max(to_number(i.premium_rcv_detail_code))+1
from ins_premium_det i),'1','1','02', '11000003','00','Request by Mr. Omair Ali 29-Nov-2024');</v>
      </c>
      <c r="H1733" s="12" t="str">
        <f t="shared" si="111"/>
        <v>insert into ins_premium_det (premium_rcv_code,assorted_code, rec_amount,premium_rcv_detail_code,remaining_amt, payrec, mode_code,coinsurance_code,class_cd,it_remarks) values('28Nov240101','040000143161','1',(select max(to_number(i.premium_rcv_detail_code))+1
from ins_premium_det i),'1','1','02', '11000003','00','Request by Mr. Omair Ali 29-Nov-2024');</v>
      </c>
    </row>
    <row r="1734" spans="1:8" ht="105" x14ac:dyDescent="0.25">
      <c r="A1734" t="s">
        <v>1734</v>
      </c>
      <c r="B1734" s="8" t="str">
        <f>VLOOKUP(A1734,assortedcode!B:C,2,0)</f>
        <v>040000123419</v>
      </c>
      <c r="C1734" s="1">
        <v>1</v>
      </c>
      <c r="D1734" s="9">
        <f t="shared" si="109"/>
        <v>1</v>
      </c>
      <c r="E1734" s="7" t="s">
        <v>8345</v>
      </c>
      <c r="F1734" s="10" t="str">
        <f t="shared" si="108"/>
        <v>insert into ins_premium_det (premium_rcv_code,assorted_code, rec_amount,premium_rcv_detail_code,remaining_amt, payrec, mode_code,coinsurance_code,class_cd,it_remarks) values</v>
      </c>
      <c r="G1734" s="11" t="str">
        <f t="shared" si="110"/>
        <v>('28Nov240101','040000123419','1',(select max(to_number(i.premium_rcv_detail_code))+1
from ins_premium_det i),'1','1','02', '11000003','00','Request by Mr. Omair Ali 29-Nov-2024');</v>
      </c>
      <c r="H1734" s="12" t="str">
        <f t="shared" si="111"/>
        <v>insert into ins_premium_det (premium_rcv_code,assorted_code, rec_amount,premium_rcv_detail_code,remaining_amt, payrec, mode_code,coinsurance_code,class_cd,it_remarks) values('28Nov240101','040000123419','1',(select max(to_number(i.premium_rcv_detail_code))+1
from ins_premium_det i),'1','1','02', '11000003','00','Request by Mr. Omair Ali 29-Nov-2024');</v>
      </c>
    </row>
    <row r="1735" spans="1:8" ht="105" x14ac:dyDescent="0.25">
      <c r="A1735" t="s">
        <v>1735</v>
      </c>
      <c r="B1735" s="8" t="str">
        <f>VLOOKUP(A1735,assortedcode!B:C,2,0)</f>
        <v>040000130072</v>
      </c>
      <c r="C1735" s="1">
        <v>1</v>
      </c>
      <c r="D1735" s="9">
        <f t="shared" si="109"/>
        <v>1</v>
      </c>
      <c r="E1735" s="7" t="s">
        <v>8345</v>
      </c>
      <c r="F1735" s="10" t="str">
        <f t="shared" si="108"/>
        <v>insert into ins_premium_det (premium_rcv_code,assorted_code, rec_amount,premium_rcv_detail_code,remaining_amt, payrec, mode_code,coinsurance_code,class_cd,it_remarks) values</v>
      </c>
      <c r="G1735" s="11" t="str">
        <f t="shared" si="110"/>
        <v>('28Nov240101','040000130072','1',(select max(to_number(i.premium_rcv_detail_code))+1
from ins_premium_det i),'1','1','02', '11000003','00','Request by Mr. Omair Ali 29-Nov-2024');</v>
      </c>
      <c r="H1735" s="12" t="str">
        <f t="shared" si="111"/>
        <v>insert into ins_premium_det (premium_rcv_code,assorted_code, rec_amount,premium_rcv_detail_code,remaining_amt, payrec, mode_code,coinsurance_code,class_cd,it_remarks) values('28Nov240101','040000130072','1',(select max(to_number(i.premium_rcv_detail_code))+1
from ins_premium_det i),'1','1','02', '11000003','00','Request by Mr. Omair Ali 29-Nov-2024');</v>
      </c>
    </row>
    <row r="1736" spans="1:8" ht="105" x14ac:dyDescent="0.25">
      <c r="A1736" t="s">
        <v>1736</v>
      </c>
      <c r="B1736" s="8" t="str">
        <f>VLOOKUP(A1736,assortedcode!B:C,2,0)</f>
        <v>040000123504</v>
      </c>
      <c r="C1736" s="1">
        <v>1</v>
      </c>
      <c r="D1736" s="9">
        <f t="shared" si="109"/>
        <v>1</v>
      </c>
      <c r="E1736" s="7" t="s">
        <v>8345</v>
      </c>
      <c r="F1736" s="10" t="str">
        <f t="shared" si="108"/>
        <v>insert into ins_premium_det (premium_rcv_code,assorted_code, rec_amount,premium_rcv_detail_code,remaining_amt, payrec, mode_code,coinsurance_code,class_cd,it_remarks) values</v>
      </c>
      <c r="G1736" s="11" t="str">
        <f t="shared" si="110"/>
        <v>('28Nov240101','040000123504','1',(select max(to_number(i.premium_rcv_detail_code))+1
from ins_premium_det i),'1','1','02', '11000003','00','Request by Mr. Omair Ali 29-Nov-2024');</v>
      </c>
      <c r="H1736" s="12" t="str">
        <f t="shared" si="111"/>
        <v>insert into ins_premium_det (premium_rcv_code,assorted_code, rec_amount,premium_rcv_detail_code,remaining_amt, payrec, mode_code,coinsurance_code,class_cd,it_remarks) values('28Nov240101','040000123504','1',(select max(to_number(i.premium_rcv_detail_code))+1
from ins_premium_det i),'1','1','02', '11000003','00','Request by Mr. Omair Ali 29-Nov-2024');</v>
      </c>
    </row>
    <row r="1737" spans="1:8" ht="105" x14ac:dyDescent="0.25">
      <c r="A1737" t="s">
        <v>1737</v>
      </c>
      <c r="B1737" s="8" t="str">
        <f>VLOOKUP(A1737,assortedcode!B:C,2,0)</f>
        <v>040000141622</v>
      </c>
      <c r="C1737" s="1">
        <v>1</v>
      </c>
      <c r="D1737" s="9">
        <f t="shared" si="109"/>
        <v>1</v>
      </c>
      <c r="E1737" s="7" t="s">
        <v>8345</v>
      </c>
      <c r="F1737" s="10" t="str">
        <f t="shared" si="108"/>
        <v>insert into ins_premium_det (premium_rcv_code,assorted_code, rec_amount,premium_rcv_detail_code,remaining_amt, payrec, mode_code,coinsurance_code,class_cd,it_remarks) values</v>
      </c>
      <c r="G1737" s="11" t="str">
        <f t="shared" si="110"/>
        <v>('28Nov240101','040000141622','1',(select max(to_number(i.premium_rcv_detail_code))+1
from ins_premium_det i),'1','1','02', '11000003','00','Request by Mr. Omair Ali 29-Nov-2024');</v>
      </c>
      <c r="H1737" s="12" t="str">
        <f t="shared" si="111"/>
        <v>insert into ins_premium_det (premium_rcv_code,assorted_code, rec_amount,premium_rcv_detail_code,remaining_amt, payrec, mode_code,coinsurance_code,class_cd,it_remarks) values('28Nov240101','040000141622','1',(select max(to_number(i.premium_rcv_detail_code))+1
from ins_premium_det i),'1','1','02', '11000003','00','Request by Mr. Omair Ali 29-Nov-2024');</v>
      </c>
    </row>
    <row r="1738" spans="1:8" ht="105" x14ac:dyDescent="0.25">
      <c r="A1738" t="s">
        <v>1738</v>
      </c>
      <c r="B1738" s="8" t="str">
        <f>VLOOKUP(A1738,assortedcode!B:C,2,0)</f>
        <v>040000150026</v>
      </c>
      <c r="C1738" s="1">
        <v>1</v>
      </c>
      <c r="D1738" s="9">
        <f t="shared" si="109"/>
        <v>1</v>
      </c>
      <c r="E1738" s="7" t="s">
        <v>8345</v>
      </c>
      <c r="F1738" s="10" t="str">
        <f t="shared" si="108"/>
        <v>insert into ins_premium_det (premium_rcv_code,assorted_code, rec_amount,premium_rcv_detail_code,remaining_amt, payrec, mode_code,coinsurance_code,class_cd,it_remarks) values</v>
      </c>
      <c r="G1738" s="11" t="str">
        <f t="shared" si="110"/>
        <v>('28Nov240101','040000150026','1',(select max(to_number(i.premium_rcv_detail_code))+1
from ins_premium_det i),'1','1','02', '11000003','00','Request by Mr. Omair Ali 29-Nov-2024');</v>
      </c>
      <c r="H1738" s="12" t="str">
        <f t="shared" si="111"/>
        <v>insert into ins_premium_det (premium_rcv_code,assorted_code, rec_amount,premium_rcv_detail_code,remaining_amt, payrec, mode_code,coinsurance_code,class_cd,it_remarks) values('28Nov240101','040000150026','1',(select max(to_number(i.premium_rcv_detail_code))+1
from ins_premium_det i),'1','1','02', '11000003','00','Request by Mr. Omair Ali 29-Nov-2024');</v>
      </c>
    </row>
    <row r="1739" spans="1:8" ht="105" x14ac:dyDescent="0.25">
      <c r="A1739" t="s">
        <v>1739</v>
      </c>
      <c r="B1739" s="8" t="str">
        <f>VLOOKUP(A1739,assortedcode!B:C,2,0)</f>
        <v>040000116396</v>
      </c>
      <c r="C1739" s="1">
        <v>1</v>
      </c>
      <c r="D1739" s="9">
        <f t="shared" si="109"/>
        <v>1</v>
      </c>
      <c r="E1739" s="7" t="s">
        <v>8345</v>
      </c>
      <c r="F1739" s="10" t="str">
        <f t="shared" si="108"/>
        <v>insert into ins_premium_det (premium_rcv_code,assorted_code, rec_amount,premium_rcv_detail_code,remaining_amt, payrec, mode_code,coinsurance_code,class_cd,it_remarks) values</v>
      </c>
      <c r="G1739" s="11" t="str">
        <f t="shared" si="110"/>
        <v>('28Nov240101','040000116396','1',(select max(to_number(i.premium_rcv_detail_code))+1
from ins_premium_det i),'1','1','02', '11000003','00','Request by Mr. Omair Ali 29-Nov-2024');</v>
      </c>
      <c r="H1739" s="12" t="str">
        <f t="shared" si="111"/>
        <v>insert into ins_premium_det (premium_rcv_code,assorted_code, rec_amount,premium_rcv_detail_code,remaining_amt, payrec, mode_code,coinsurance_code,class_cd,it_remarks) values('28Nov240101','040000116396','1',(select max(to_number(i.premium_rcv_detail_code))+1
from ins_premium_det i),'1','1','02', '11000003','00','Request by Mr. Omair Ali 29-Nov-2024');</v>
      </c>
    </row>
    <row r="1740" spans="1:8" ht="105" x14ac:dyDescent="0.25">
      <c r="A1740" t="s">
        <v>1740</v>
      </c>
      <c r="B1740" s="8" t="str">
        <f>VLOOKUP(A1740,assortedcode!B:C,2,0)</f>
        <v>040000111618</v>
      </c>
      <c r="C1740" s="1">
        <v>1</v>
      </c>
      <c r="D1740" s="9">
        <f t="shared" si="109"/>
        <v>1</v>
      </c>
      <c r="E1740" s="7" t="s">
        <v>8345</v>
      </c>
      <c r="F1740" s="10" t="str">
        <f t="shared" si="108"/>
        <v>insert into ins_premium_det (premium_rcv_code,assorted_code, rec_amount,premium_rcv_detail_code,remaining_amt, payrec, mode_code,coinsurance_code,class_cd,it_remarks) values</v>
      </c>
      <c r="G1740" s="11" t="str">
        <f t="shared" si="110"/>
        <v>('28Nov240101','040000111618','1',(select max(to_number(i.premium_rcv_detail_code))+1
from ins_premium_det i),'1','1','02', '11000003','00','Request by Mr. Omair Ali 29-Nov-2024');</v>
      </c>
      <c r="H1740" s="12" t="str">
        <f t="shared" si="111"/>
        <v>insert into ins_premium_det (premium_rcv_code,assorted_code, rec_amount,premium_rcv_detail_code,remaining_amt, payrec, mode_code,coinsurance_code,class_cd,it_remarks) values('28Nov240101','040000111618','1',(select max(to_number(i.premium_rcv_detail_code))+1
from ins_premium_det i),'1','1','02', '11000003','00','Request by Mr. Omair Ali 29-Nov-2024');</v>
      </c>
    </row>
    <row r="1741" spans="1:8" ht="105" x14ac:dyDescent="0.25">
      <c r="A1741" t="s">
        <v>1741</v>
      </c>
      <c r="B1741" s="8" t="str">
        <f>VLOOKUP(A1741,assortedcode!B:C,2,0)</f>
        <v>040000132989</v>
      </c>
      <c r="C1741" s="1">
        <v>1</v>
      </c>
      <c r="D1741" s="9">
        <f t="shared" si="109"/>
        <v>1</v>
      </c>
      <c r="E1741" s="7" t="s">
        <v>8345</v>
      </c>
      <c r="F1741" s="10" t="str">
        <f t="shared" si="108"/>
        <v>insert into ins_premium_det (premium_rcv_code,assorted_code, rec_amount,premium_rcv_detail_code,remaining_amt, payrec, mode_code,coinsurance_code,class_cd,it_remarks) values</v>
      </c>
      <c r="G1741" s="11" t="str">
        <f t="shared" si="110"/>
        <v>('28Nov240101','040000132989','1',(select max(to_number(i.premium_rcv_detail_code))+1
from ins_premium_det i),'1','1','02', '11000003','00','Request by Mr. Omair Ali 29-Nov-2024');</v>
      </c>
      <c r="H1741" s="12" t="str">
        <f t="shared" si="111"/>
        <v>insert into ins_premium_det (premium_rcv_code,assorted_code, rec_amount,premium_rcv_detail_code,remaining_amt, payrec, mode_code,coinsurance_code,class_cd,it_remarks) values('28Nov240101','040000132989','1',(select max(to_number(i.premium_rcv_detail_code))+1
from ins_premium_det i),'1','1','02', '11000003','00','Request by Mr. Omair Ali 29-Nov-2024');</v>
      </c>
    </row>
    <row r="1742" spans="1:8" ht="105" x14ac:dyDescent="0.25">
      <c r="A1742" t="s">
        <v>1742</v>
      </c>
      <c r="B1742" s="8" t="str">
        <f>VLOOKUP(A1742,assortedcode!B:C,2,0)</f>
        <v>040000109621</v>
      </c>
      <c r="C1742" s="1">
        <v>1</v>
      </c>
      <c r="D1742" s="9">
        <f t="shared" si="109"/>
        <v>1</v>
      </c>
      <c r="E1742" s="7" t="s">
        <v>8345</v>
      </c>
      <c r="F1742" s="10" t="str">
        <f t="shared" si="108"/>
        <v>insert into ins_premium_det (premium_rcv_code,assorted_code, rec_amount,premium_rcv_detail_code,remaining_amt, payrec, mode_code,coinsurance_code,class_cd,it_remarks) values</v>
      </c>
      <c r="G1742" s="11" t="str">
        <f t="shared" si="110"/>
        <v>('28Nov240101','040000109621','1',(select max(to_number(i.premium_rcv_detail_code))+1
from ins_premium_det i),'1','1','02', '11000003','00','Request by Mr. Omair Ali 29-Nov-2024');</v>
      </c>
      <c r="H1742" s="12" t="str">
        <f t="shared" si="111"/>
        <v>insert into ins_premium_det (premium_rcv_code,assorted_code, rec_amount,premium_rcv_detail_code,remaining_amt, payrec, mode_code,coinsurance_code,class_cd,it_remarks) values('28Nov240101','040000109621','1',(select max(to_number(i.premium_rcv_detail_code))+1
from ins_premium_det i),'1','1','02', '11000003','00','Request by Mr. Omair Ali 29-Nov-2024');</v>
      </c>
    </row>
    <row r="1743" spans="1:8" ht="105" x14ac:dyDescent="0.25">
      <c r="A1743" t="s">
        <v>1743</v>
      </c>
      <c r="B1743" s="8" t="str">
        <f>VLOOKUP(A1743,assortedcode!B:C,2,0)</f>
        <v>040000116433</v>
      </c>
      <c r="C1743" s="1">
        <v>1</v>
      </c>
      <c r="D1743" s="9">
        <f t="shared" si="109"/>
        <v>1</v>
      </c>
      <c r="E1743" s="7" t="s">
        <v>8345</v>
      </c>
      <c r="F1743" s="10" t="str">
        <f t="shared" si="108"/>
        <v>insert into ins_premium_det (premium_rcv_code,assorted_code, rec_amount,premium_rcv_detail_code,remaining_amt, payrec, mode_code,coinsurance_code,class_cd,it_remarks) values</v>
      </c>
      <c r="G1743" s="11" t="str">
        <f t="shared" si="110"/>
        <v>('28Nov240101','040000116433','1',(select max(to_number(i.premium_rcv_detail_code))+1
from ins_premium_det i),'1','1','02', '11000003','00','Request by Mr. Omair Ali 29-Nov-2024');</v>
      </c>
      <c r="H1743" s="12" t="str">
        <f t="shared" si="111"/>
        <v>insert into ins_premium_det (premium_rcv_code,assorted_code, rec_amount,premium_rcv_detail_code,remaining_amt, payrec, mode_code,coinsurance_code,class_cd,it_remarks) values('28Nov240101','040000116433','1',(select max(to_number(i.premium_rcv_detail_code))+1
from ins_premium_det i),'1','1','02', '11000003','00','Request by Mr. Omair Ali 29-Nov-2024');</v>
      </c>
    </row>
    <row r="1744" spans="1:8" ht="105" x14ac:dyDescent="0.25">
      <c r="A1744" t="s">
        <v>1744</v>
      </c>
      <c r="B1744" s="8" t="str">
        <f>VLOOKUP(A1744,assortedcode!B:C,2,0)</f>
        <v>040000108687</v>
      </c>
      <c r="C1744" s="1">
        <v>1</v>
      </c>
      <c r="D1744" s="9">
        <f t="shared" si="109"/>
        <v>1</v>
      </c>
      <c r="E1744" s="7" t="s">
        <v>8345</v>
      </c>
      <c r="F1744" s="10" t="str">
        <f t="shared" si="108"/>
        <v>insert into ins_premium_det (premium_rcv_code,assorted_code, rec_amount,premium_rcv_detail_code,remaining_amt, payrec, mode_code,coinsurance_code,class_cd,it_remarks) values</v>
      </c>
      <c r="G1744" s="11" t="str">
        <f t="shared" si="110"/>
        <v>('28Nov240101','040000108687','1',(select max(to_number(i.premium_rcv_detail_code))+1
from ins_premium_det i),'1','1','02', '11000003','00','Request by Mr. Omair Ali 29-Nov-2024');</v>
      </c>
      <c r="H1744" s="12" t="str">
        <f t="shared" si="111"/>
        <v>insert into ins_premium_det (premium_rcv_code,assorted_code, rec_amount,premium_rcv_detail_code,remaining_amt, payrec, mode_code,coinsurance_code,class_cd,it_remarks) values('28Nov240101','040000108687','1',(select max(to_number(i.premium_rcv_detail_code))+1
from ins_premium_det i),'1','1','02', '11000003','00','Request by Mr. Omair Ali 29-Nov-2024');</v>
      </c>
    </row>
    <row r="1745" spans="1:8" ht="105" x14ac:dyDescent="0.25">
      <c r="A1745" t="s">
        <v>1745</v>
      </c>
      <c r="B1745" s="8" t="str">
        <f>VLOOKUP(A1745,assortedcode!B:C,2,0)</f>
        <v>040000133944</v>
      </c>
      <c r="C1745" s="1">
        <v>1</v>
      </c>
      <c r="D1745" s="9">
        <f t="shared" si="109"/>
        <v>1</v>
      </c>
      <c r="E1745" s="7" t="s">
        <v>8345</v>
      </c>
      <c r="F1745" s="10" t="str">
        <f t="shared" si="108"/>
        <v>insert into ins_premium_det (premium_rcv_code,assorted_code, rec_amount,premium_rcv_detail_code,remaining_amt, payrec, mode_code,coinsurance_code,class_cd,it_remarks) values</v>
      </c>
      <c r="G1745" s="11" t="str">
        <f t="shared" si="110"/>
        <v>('28Nov240101','040000133944','1',(select max(to_number(i.premium_rcv_detail_code))+1
from ins_premium_det i),'1','1','02', '11000003','00','Request by Mr. Omair Ali 29-Nov-2024');</v>
      </c>
      <c r="H1745" s="12" t="str">
        <f t="shared" si="111"/>
        <v>insert into ins_premium_det (premium_rcv_code,assorted_code, rec_amount,premium_rcv_detail_code,remaining_amt, payrec, mode_code,coinsurance_code,class_cd,it_remarks) values('28Nov240101','040000133944','1',(select max(to_number(i.premium_rcv_detail_code))+1
from ins_premium_det i),'1','1','02', '11000003','00','Request by Mr. Omair Ali 29-Nov-2024');</v>
      </c>
    </row>
    <row r="1746" spans="1:8" ht="105" x14ac:dyDescent="0.25">
      <c r="A1746" t="s">
        <v>1746</v>
      </c>
      <c r="B1746" s="8" t="str">
        <f>VLOOKUP(A1746,assortedcode!B:C,2,0)</f>
        <v>040000159239</v>
      </c>
      <c r="C1746" s="1">
        <v>1</v>
      </c>
      <c r="D1746" s="9">
        <f t="shared" si="109"/>
        <v>1</v>
      </c>
      <c r="E1746" s="7" t="s">
        <v>8345</v>
      </c>
      <c r="F1746" s="10" t="str">
        <f t="shared" si="108"/>
        <v>insert into ins_premium_det (premium_rcv_code,assorted_code, rec_amount,premium_rcv_detail_code,remaining_amt, payrec, mode_code,coinsurance_code,class_cd,it_remarks) values</v>
      </c>
      <c r="G1746" s="11" t="str">
        <f t="shared" si="110"/>
        <v>('28Nov240101','040000159239','1',(select max(to_number(i.premium_rcv_detail_code))+1
from ins_premium_det i),'1','1','02', '11000003','00','Request by Mr. Omair Ali 29-Nov-2024');</v>
      </c>
      <c r="H1746" s="12" t="str">
        <f t="shared" si="111"/>
        <v>insert into ins_premium_det (premium_rcv_code,assorted_code, rec_amount,premium_rcv_detail_code,remaining_amt, payrec, mode_code,coinsurance_code,class_cd,it_remarks) values('28Nov240101','040000159239','1',(select max(to_number(i.premium_rcv_detail_code))+1
from ins_premium_det i),'1','1','02', '11000003','00','Request by Mr. Omair Ali 29-Nov-2024');</v>
      </c>
    </row>
    <row r="1747" spans="1:8" ht="105" x14ac:dyDescent="0.25">
      <c r="A1747" t="s">
        <v>1747</v>
      </c>
      <c r="B1747" s="8" t="str">
        <f>VLOOKUP(A1747,assortedcode!B:C,2,0)</f>
        <v>040000117920</v>
      </c>
      <c r="C1747" s="1">
        <v>1</v>
      </c>
      <c r="D1747" s="9">
        <f t="shared" si="109"/>
        <v>1</v>
      </c>
      <c r="E1747" s="7" t="s">
        <v>8345</v>
      </c>
      <c r="F1747" s="10" t="str">
        <f t="shared" si="108"/>
        <v>insert into ins_premium_det (premium_rcv_code,assorted_code, rec_amount,premium_rcv_detail_code,remaining_amt, payrec, mode_code,coinsurance_code,class_cd,it_remarks) values</v>
      </c>
      <c r="G1747" s="11" t="str">
        <f t="shared" si="110"/>
        <v>('28Nov240101','040000117920','1',(select max(to_number(i.premium_rcv_detail_code))+1
from ins_premium_det i),'1','1','02', '11000003','00','Request by Mr. Omair Ali 29-Nov-2024');</v>
      </c>
      <c r="H1747" s="12" t="str">
        <f t="shared" si="111"/>
        <v>insert into ins_premium_det (premium_rcv_code,assorted_code, rec_amount,premium_rcv_detail_code,remaining_amt, payrec, mode_code,coinsurance_code,class_cd,it_remarks) values('28Nov240101','040000117920','1',(select max(to_number(i.premium_rcv_detail_code))+1
from ins_premium_det i),'1','1','02', '11000003','00','Request by Mr. Omair Ali 29-Nov-2024');</v>
      </c>
    </row>
    <row r="1748" spans="1:8" ht="105" x14ac:dyDescent="0.25">
      <c r="A1748" t="s">
        <v>1748</v>
      </c>
      <c r="B1748" s="8" t="str">
        <f>VLOOKUP(A1748,assortedcode!B:C,2,0)</f>
        <v>040000125714</v>
      </c>
      <c r="C1748" s="1">
        <v>1</v>
      </c>
      <c r="D1748" s="9">
        <f t="shared" si="109"/>
        <v>1</v>
      </c>
      <c r="E1748" s="7" t="s">
        <v>8345</v>
      </c>
      <c r="F1748" s="10" t="str">
        <f t="shared" si="108"/>
        <v>insert into ins_premium_det (premium_rcv_code,assorted_code, rec_amount,premium_rcv_detail_code,remaining_amt, payrec, mode_code,coinsurance_code,class_cd,it_remarks) values</v>
      </c>
      <c r="G1748" s="11" t="str">
        <f t="shared" si="110"/>
        <v>('28Nov240101','040000125714','1',(select max(to_number(i.premium_rcv_detail_code))+1
from ins_premium_det i),'1','1','02', '11000003','00','Request by Mr. Omair Ali 29-Nov-2024');</v>
      </c>
      <c r="H1748" s="12" t="str">
        <f t="shared" si="111"/>
        <v>insert into ins_premium_det (premium_rcv_code,assorted_code, rec_amount,premium_rcv_detail_code,remaining_amt, payrec, mode_code,coinsurance_code,class_cd,it_remarks) values('28Nov240101','040000125714','1',(select max(to_number(i.premium_rcv_detail_code))+1
from ins_premium_det i),'1','1','02', '11000003','00','Request by Mr. Omair Ali 29-Nov-2024');</v>
      </c>
    </row>
    <row r="1749" spans="1:8" ht="105" x14ac:dyDescent="0.25">
      <c r="A1749" t="s">
        <v>1749</v>
      </c>
      <c r="B1749" s="8" t="str">
        <f>VLOOKUP(A1749,assortedcode!B:C,2,0)</f>
        <v>040000118632</v>
      </c>
      <c r="C1749" s="1">
        <v>1</v>
      </c>
      <c r="D1749" s="9">
        <f t="shared" si="109"/>
        <v>1</v>
      </c>
      <c r="E1749" s="7" t="s">
        <v>8345</v>
      </c>
      <c r="F1749" s="10" t="str">
        <f t="shared" si="108"/>
        <v>insert into ins_premium_det (premium_rcv_code,assorted_code, rec_amount,premium_rcv_detail_code,remaining_amt, payrec, mode_code,coinsurance_code,class_cd,it_remarks) values</v>
      </c>
      <c r="G1749" s="11" t="str">
        <f t="shared" si="110"/>
        <v>('28Nov240101','040000118632','1',(select max(to_number(i.premium_rcv_detail_code))+1
from ins_premium_det i),'1','1','02', '11000003','00','Request by Mr. Omair Ali 29-Nov-2024');</v>
      </c>
      <c r="H1749" s="12" t="str">
        <f t="shared" si="111"/>
        <v>insert into ins_premium_det (premium_rcv_code,assorted_code, rec_amount,premium_rcv_detail_code,remaining_amt, payrec, mode_code,coinsurance_code,class_cd,it_remarks) values('28Nov240101','040000118632','1',(select max(to_number(i.premium_rcv_detail_code))+1
from ins_premium_det i),'1','1','02', '11000003','00','Request by Mr. Omair Ali 29-Nov-2024');</v>
      </c>
    </row>
    <row r="1750" spans="1:8" ht="105" x14ac:dyDescent="0.25">
      <c r="A1750" t="s">
        <v>1750</v>
      </c>
      <c r="B1750" s="8" t="str">
        <f>VLOOKUP(A1750,assortedcode!B:C,2,0)</f>
        <v>040000125821</v>
      </c>
      <c r="C1750" s="1">
        <v>1</v>
      </c>
      <c r="D1750" s="9">
        <f t="shared" si="109"/>
        <v>1</v>
      </c>
      <c r="E1750" s="7" t="s">
        <v>8345</v>
      </c>
      <c r="F1750" s="10" t="str">
        <f t="shared" si="108"/>
        <v>insert into ins_premium_det (premium_rcv_code,assorted_code, rec_amount,premium_rcv_detail_code,remaining_amt, payrec, mode_code,coinsurance_code,class_cd,it_remarks) values</v>
      </c>
      <c r="G1750" s="11" t="str">
        <f t="shared" si="110"/>
        <v>('28Nov240101','040000125821','1',(select max(to_number(i.premium_rcv_detail_code))+1
from ins_premium_det i),'1','1','02', '11000003','00','Request by Mr. Omair Ali 29-Nov-2024');</v>
      </c>
      <c r="H1750" s="12" t="str">
        <f t="shared" si="111"/>
        <v>insert into ins_premium_det (premium_rcv_code,assorted_code, rec_amount,premium_rcv_detail_code,remaining_amt, payrec, mode_code,coinsurance_code,class_cd,it_remarks) values('28Nov240101','040000125821','1',(select max(to_number(i.premium_rcv_detail_code))+1
from ins_premium_det i),'1','1','02', '11000003','00','Request by Mr. Omair Ali 29-Nov-2024');</v>
      </c>
    </row>
    <row r="1751" spans="1:8" ht="105" x14ac:dyDescent="0.25">
      <c r="A1751" t="s">
        <v>1751</v>
      </c>
      <c r="B1751" s="8" t="str">
        <f>VLOOKUP(A1751,assortedcode!B:C,2,0)</f>
        <v>040000123501</v>
      </c>
      <c r="C1751" s="1">
        <v>1</v>
      </c>
      <c r="D1751" s="9">
        <f t="shared" si="109"/>
        <v>1</v>
      </c>
      <c r="E1751" s="7" t="s">
        <v>8345</v>
      </c>
      <c r="F1751" s="10" t="str">
        <f t="shared" si="108"/>
        <v>insert into ins_premium_det (premium_rcv_code,assorted_code, rec_amount,premium_rcv_detail_code,remaining_amt, payrec, mode_code,coinsurance_code,class_cd,it_remarks) values</v>
      </c>
      <c r="G1751" s="11" t="str">
        <f t="shared" si="110"/>
        <v>('28Nov240101','040000123501','1',(select max(to_number(i.premium_rcv_detail_code))+1
from ins_premium_det i),'1','1','02', '11000003','00','Request by Mr. Omair Ali 29-Nov-2024');</v>
      </c>
      <c r="H1751" s="12" t="str">
        <f t="shared" si="111"/>
        <v>insert into ins_premium_det (premium_rcv_code,assorted_code, rec_amount,premium_rcv_detail_code,remaining_amt, payrec, mode_code,coinsurance_code,class_cd,it_remarks) values('28Nov240101','040000123501','1',(select max(to_number(i.premium_rcv_detail_code))+1
from ins_premium_det i),'1','1','02', '11000003','00','Request by Mr. Omair Ali 29-Nov-2024');</v>
      </c>
    </row>
    <row r="1752" spans="1:8" ht="105" x14ac:dyDescent="0.25">
      <c r="A1752" t="s">
        <v>1752</v>
      </c>
      <c r="B1752" s="8" t="str">
        <f>VLOOKUP(A1752,assortedcode!B:C,2,0)</f>
        <v>040000108626</v>
      </c>
      <c r="C1752" s="1">
        <v>1</v>
      </c>
      <c r="D1752" s="9">
        <f t="shared" si="109"/>
        <v>1</v>
      </c>
      <c r="E1752" s="7" t="s">
        <v>8345</v>
      </c>
      <c r="F1752" s="10" t="str">
        <f t="shared" si="108"/>
        <v>insert into ins_premium_det (premium_rcv_code,assorted_code, rec_amount,premium_rcv_detail_code,remaining_amt, payrec, mode_code,coinsurance_code,class_cd,it_remarks) values</v>
      </c>
      <c r="G1752" s="11" t="str">
        <f t="shared" si="110"/>
        <v>('28Nov240101','040000108626','1',(select max(to_number(i.premium_rcv_detail_code))+1
from ins_premium_det i),'1','1','02', '11000003','00','Request by Mr. Omair Ali 29-Nov-2024');</v>
      </c>
      <c r="H1752" s="12" t="str">
        <f t="shared" si="111"/>
        <v>insert into ins_premium_det (premium_rcv_code,assorted_code, rec_amount,premium_rcv_detail_code,remaining_amt, payrec, mode_code,coinsurance_code,class_cd,it_remarks) values('28Nov240101','040000108626','1',(select max(to_number(i.premium_rcv_detail_code))+1
from ins_premium_det i),'1','1','02', '11000003','00','Request by Mr. Omair Ali 29-Nov-2024');</v>
      </c>
    </row>
    <row r="1753" spans="1:8" ht="105" x14ac:dyDescent="0.25">
      <c r="A1753" t="s">
        <v>1753</v>
      </c>
      <c r="B1753" s="8" t="str">
        <f>VLOOKUP(A1753,assortedcode!B:C,2,0)</f>
        <v>040000126087</v>
      </c>
      <c r="C1753" s="1">
        <v>1</v>
      </c>
      <c r="D1753" s="9">
        <f t="shared" si="109"/>
        <v>1</v>
      </c>
      <c r="E1753" s="7" t="s">
        <v>8345</v>
      </c>
      <c r="F1753" s="10" t="str">
        <f t="shared" si="108"/>
        <v>insert into ins_premium_det (premium_rcv_code,assorted_code, rec_amount,premium_rcv_detail_code,remaining_amt, payrec, mode_code,coinsurance_code,class_cd,it_remarks) values</v>
      </c>
      <c r="G1753" s="11" t="str">
        <f t="shared" si="110"/>
        <v>('28Nov240101','040000126087','1',(select max(to_number(i.premium_rcv_detail_code))+1
from ins_premium_det i),'1','1','02', '11000003','00','Request by Mr. Omair Ali 29-Nov-2024');</v>
      </c>
      <c r="H1753" s="12" t="str">
        <f t="shared" si="111"/>
        <v>insert into ins_premium_det (premium_rcv_code,assorted_code, rec_amount,premium_rcv_detail_code,remaining_amt, payrec, mode_code,coinsurance_code,class_cd,it_remarks) values('28Nov240101','040000126087','1',(select max(to_number(i.premium_rcv_detail_code))+1
from ins_premium_det i),'1','1','02', '11000003','00','Request by Mr. Omair Ali 29-Nov-2024');</v>
      </c>
    </row>
    <row r="1754" spans="1:8" ht="105" x14ac:dyDescent="0.25">
      <c r="A1754" t="s">
        <v>1754</v>
      </c>
      <c r="B1754" s="8" t="str">
        <f>VLOOKUP(A1754,assortedcode!B:C,2,0)</f>
        <v>040000111785</v>
      </c>
      <c r="C1754" s="1">
        <v>1</v>
      </c>
      <c r="D1754" s="9">
        <f t="shared" si="109"/>
        <v>1</v>
      </c>
      <c r="E1754" s="7" t="s">
        <v>8345</v>
      </c>
      <c r="F1754" s="10" t="str">
        <f t="shared" si="108"/>
        <v>insert into ins_premium_det (premium_rcv_code,assorted_code, rec_amount,premium_rcv_detail_code,remaining_amt, payrec, mode_code,coinsurance_code,class_cd,it_remarks) values</v>
      </c>
      <c r="G1754" s="11" t="str">
        <f t="shared" si="110"/>
        <v>('28Nov240101','040000111785','1',(select max(to_number(i.premium_rcv_detail_code))+1
from ins_premium_det i),'1','1','02', '11000003','00','Request by Mr. Omair Ali 29-Nov-2024');</v>
      </c>
      <c r="H1754" s="12" t="str">
        <f t="shared" si="111"/>
        <v>insert into ins_premium_det (premium_rcv_code,assorted_code, rec_amount,premium_rcv_detail_code,remaining_amt, payrec, mode_code,coinsurance_code,class_cd,it_remarks) values('28Nov240101','040000111785','1',(select max(to_number(i.premium_rcv_detail_code))+1
from ins_premium_det i),'1','1','02', '11000003','00','Request by Mr. Omair Ali 29-Nov-2024');</v>
      </c>
    </row>
    <row r="1755" spans="1:8" ht="105" x14ac:dyDescent="0.25">
      <c r="A1755" t="s">
        <v>1755</v>
      </c>
      <c r="B1755" s="8" t="str">
        <f>VLOOKUP(A1755,assortedcode!B:C,2,0)</f>
        <v>040000134344</v>
      </c>
      <c r="C1755" s="1">
        <v>1</v>
      </c>
      <c r="D1755" s="9">
        <f t="shared" si="109"/>
        <v>1</v>
      </c>
      <c r="E1755" s="7" t="s">
        <v>8345</v>
      </c>
      <c r="F1755" s="10" t="str">
        <f t="shared" si="108"/>
        <v>insert into ins_premium_det (premium_rcv_code,assorted_code, rec_amount,premium_rcv_detail_code,remaining_amt, payrec, mode_code,coinsurance_code,class_cd,it_remarks) values</v>
      </c>
      <c r="G1755" s="11" t="str">
        <f t="shared" si="110"/>
        <v>('28Nov240101','040000134344','1',(select max(to_number(i.premium_rcv_detail_code))+1
from ins_premium_det i),'1','1','02', '11000003','00','Request by Mr. Omair Ali 29-Nov-2024');</v>
      </c>
      <c r="H1755" s="12" t="str">
        <f t="shared" si="111"/>
        <v>insert into ins_premium_det (premium_rcv_code,assorted_code, rec_amount,premium_rcv_detail_code,remaining_amt, payrec, mode_code,coinsurance_code,class_cd,it_remarks) values('28Nov240101','040000134344','1',(select max(to_number(i.premium_rcv_detail_code))+1
from ins_premium_det i),'1','1','02', '11000003','00','Request by Mr. Omair Ali 29-Nov-2024');</v>
      </c>
    </row>
    <row r="1756" spans="1:8" ht="105" x14ac:dyDescent="0.25">
      <c r="A1756" t="s">
        <v>1756</v>
      </c>
      <c r="B1756" s="8" t="str">
        <f>VLOOKUP(A1756,assortedcode!B:C,2,0)</f>
        <v>040000122405</v>
      </c>
      <c r="C1756" s="1">
        <v>1</v>
      </c>
      <c r="D1756" s="9">
        <f t="shared" si="109"/>
        <v>1</v>
      </c>
      <c r="E1756" s="7" t="s">
        <v>8345</v>
      </c>
      <c r="F1756" s="10" t="str">
        <f t="shared" si="108"/>
        <v>insert into ins_premium_det (premium_rcv_code,assorted_code, rec_amount,premium_rcv_detail_code,remaining_amt, payrec, mode_code,coinsurance_code,class_cd,it_remarks) values</v>
      </c>
      <c r="G1756" s="11" t="str">
        <f t="shared" si="110"/>
        <v>('28Nov240101','040000122405','1',(select max(to_number(i.premium_rcv_detail_code))+1
from ins_premium_det i),'1','1','02', '11000003','00','Request by Mr. Omair Ali 29-Nov-2024');</v>
      </c>
      <c r="H1756" s="12" t="str">
        <f t="shared" si="111"/>
        <v>insert into ins_premium_det (premium_rcv_code,assorted_code, rec_amount,premium_rcv_detail_code,remaining_amt, payrec, mode_code,coinsurance_code,class_cd,it_remarks) values('28Nov240101','040000122405','1',(select max(to_number(i.premium_rcv_detail_code))+1
from ins_premium_det i),'1','1','02', '11000003','00','Request by Mr. Omair Ali 29-Nov-2024');</v>
      </c>
    </row>
    <row r="1757" spans="1:8" ht="105" x14ac:dyDescent="0.25">
      <c r="A1757" t="s">
        <v>1757</v>
      </c>
      <c r="B1757" s="8" t="str">
        <f>VLOOKUP(A1757,assortedcode!B:C,2,0)</f>
        <v>040000127366</v>
      </c>
      <c r="C1757" s="1">
        <v>1</v>
      </c>
      <c r="D1757" s="9">
        <f t="shared" si="109"/>
        <v>1</v>
      </c>
      <c r="E1757" s="7" t="s">
        <v>8345</v>
      </c>
      <c r="F1757" s="10" t="str">
        <f t="shared" si="108"/>
        <v>insert into ins_premium_det (premium_rcv_code,assorted_code, rec_amount,premium_rcv_detail_code,remaining_amt, payrec, mode_code,coinsurance_code,class_cd,it_remarks) values</v>
      </c>
      <c r="G1757" s="11" t="str">
        <f t="shared" si="110"/>
        <v>('28Nov240101','040000127366','1',(select max(to_number(i.premium_rcv_detail_code))+1
from ins_premium_det i),'1','1','02', '11000003','00','Request by Mr. Omair Ali 29-Nov-2024');</v>
      </c>
      <c r="H1757" s="12" t="str">
        <f t="shared" si="111"/>
        <v>insert into ins_premium_det (premium_rcv_code,assorted_code, rec_amount,premium_rcv_detail_code,remaining_amt, payrec, mode_code,coinsurance_code,class_cd,it_remarks) values('28Nov240101','040000127366','1',(select max(to_number(i.premium_rcv_detail_code))+1
from ins_premium_det i),'1','1','02', '11000003','00','Request by Mr. Omair Ali 29-Nov-2024');</v>
      </c>
    </row>
    <row r="1758" spans="1:8" ht="105" x14ac:dyDescent="0.25">
      <c r="A1758" t="s">
        <v>1758</v>
      </c>
      <c r="B1758" s="8" t="str">
        <f>VLOOKUP(A1758,assortedcode!B:C,2,0)</f>
        <v>040000130095</v>
      </c>
      <c r="C1758" s="1">
        <v>1</v>
      </c>
      <c r="D1758" s="9">
        <f t="shared" si="109"/>
        <v>1</v>
      </c>
      <c r="E1758" s="7" t="s">
        <v>8345</v>
      </c>
      <c r="F1758" s="10" t="str">
        <f t="shared" si="108"/>
        <v>insert into ins_premium_det (premium_rcv_code,assorted_code, rec_amount,premium_rcv_detail_code,remaining_amt, payrec, mode_code,coinsurance_code,class_cd,it_remarks) values</v>
      </c>
      <c r="G1758" s="11" t="str">
        <f t="shared" si="110"/>
        <v>('28Nov240101','040000130095','1',(select max(to_number(i.premium_rcv_detail_code))+1
from ins_premium_det i),'1','1','02', '11000003','00','Request by Mr. Omair Ali 29-Nov-2024');</v>
      </c>
      <c r="H1758" s="12" t="str">
        <f t="shared" si="111"/>
        <v>insert into ins_premium_det (premium_rcv_code,assorted_code, rec_amount,premium_rcv_detail_code,remaining_amt, payrec, mode_code,coinsurance_code,class_cd,it_remarks) values('28Nov240101','040000130095','1',(select max(to_number(i.premium_rcv_detail_code))+1
from ins_premium_det i),'1','1','02', '11000003','00','Request by Mr. Omair Ali 29-Nov-2024');</v>
      </c>
    </row>
    <row r="1759" spans="1:8" ht="105" x14ac:dyDescent="0.25">
      <c r="A1759" t="s">
        <v>1759</v>
      </c>
      <c r="B1759" s="8" t="str">
        <f>VLOOKUP(A1759,assortedcode!B:C,2,0)</f>
        <v>040000128019</v>
      </c>
      <c r="C1759" s="1">
        <v>1</v>
      </c>
      <c r="D1759" s="9">
        <f t="shared" si="109"/>
        <v>1</v>
      </c>
      <c r="E1759" s="7" t="s">
        <v>8345</v>
      </c>
      <c r="F1759" s="10" t="str">
        <f t="shared" si="108"/>
        <v>insert into ins_premium_det (premium_rcv_code,assorted_code, rec_amount,premium_rcv_detail_code,remaining_amt, payrec, mode_code,coinsurance_code,class_cd,it_remarks) values</v>
      </c>
      <c r="G1759" s="11" t="str">
        <f t="shared" si="110"/>
        <v>('28Nov240101','040000128019','1',(select max(to_number(i.premium_rcv_detail_code))+1
from ins_premium_det i),'1','1','02', '11000003','00','Request by Mr. Omair Ali 29-Nov-2024');</v>
      </c>
      <c r="H1759" s="12" t="str">
        <f t="shared" si="111"/>
        <v>insert into ins_premium_det (premium_rcv_code,assorted_code, rec_amount,premium_rcv_detail_code,remaining_amt, payrec, mode_code,coinsurance_code,class_cd,it_remarks) values('28Nov240101','040000128019','1',(select max(to_number(i.premium_rcv_detail_code))+1
from ins_premium_det i),'1','1','02', '11000003','00','Request by Mr. Omair Ali 29-Nov-2024');</v>
      </c>
    </row>
    <row r="1760" spans="1:8" ht="105" x14ac:dyDescent="0.25">
      <c r="A1760" t="s">
        <v>1760</v>
      </c>
      <c r="B1760" s="8" t="str">
        <f>VLOOKUP(A1760,assortedcode!B:C,2,0)</f>
        <v>040000141077</v>
      </c>
      <c r="C1760" s="1">
        <v>1</v>
      </c>
      <c r="D1760" s="9">
        <f t="shared" si="109"/>
        <v>1</v>
      </c>
      <c r="E1760" s="7" t="s">
        <v>8345</v>
      </c>
      <c r="F1760" s="10" t="str">
        <f t="shared" si="108"/>
        <v>insert into ins_premium_det (premium_rcv_code,assorted_code, rec_amount,premium_rcv_detail_code,remaining_amt, payrec, mode_code,coinsurance_code,class_cd,it_remarks) values</v>
      </c>
      <c r="G1760" s="11" t="str">
        <f t="shared" si="110"/>
        <v>('28Nov240101','040000141077','1',(select max(to_number(i.premium_rcv_detail_code))+1
from ins_premium_det i),'1','1','02', '11000003','00','Request by Mr. Omair Ali 29-Nov-2024');</v>
      </c>
      <c r="H1760" s="12" t="str">
        <f t="shared" si="111"/>
        <v>insert into ins_premium_det (premium_rcv_code,assorted_code, rec_amount,premium_rcv_detail_code,remaining_amt, payrec, mode_code,coinsurance_code,class_cd,it_remarks) values('28Nov240101','040000141077','1',(select max(to_number(i.premium_rcv_detail_code))+1
from ins_premium_det i),'1','1','02', '11000003','00','Request by Mr. Omair Ali 29-Nov-2024');</v>
      </c>
    </row>
    <row r="1761" spans="1:8" ht="105" x14ac:dyDescent="0.25">
      <c r="A1761" t="s">
        <v>1761</v>
      </c>
      <c r="B1761" s="8" t="str">
        <f>VLOOKUP(A1761,assortedcode!B:C,2,0)</f>
        <v>040000128092</v>
      </c>
      <c r="C1761" s="1">
        <v>1</v>
      </c>
      <c r="D1761" s="9">
        <f t="shared" si="109"/>
        <v>1</v>
      </c>
      <c r="E1761" s="7" t="s">
        <v>8345</v>
      </c>
      <c r="F1761" s="10" t="str">
        <f t="shared" si="108"/>
        <v>insert into ins_premium_det (premium_rcv_code,assorted_code, rec_amount,premium_rcv_detail_code,remaining_amt, payrec, mode_code,coinsurance_code,class_cd,it_remarks) values</v>
      </c>
      <c r="G1761" s="11" t="str">
        <f t="shared" si="110"/>
        <v>('28Nov240101','040000128092','1',(select max(to_number(i.premium_rcv_detail_code))+1
from ins_premium_det i),'1','1','02', '11000003','00','Request by Mr. Omair Ali 29-Nov-2024');</v>
      </c>
      <c r="H1761" s="12" t="str">
        <f t="shared" si="111"/>
        <v>insert into ins_premium_det (premium_rcv_code,assorted_code, rec_amount,premium_rcv_detail_code,remaining_amt, payrec, mode_code,coinsurance_code,class_cd,it_remarks) values('28Nov240101','040000128092','1',(select max(to_number(i.premium_rcv_detail_code))+1
from ins_premium_det i),'1','1','02', '11000003','00','Request by Mr. Omair Ali 29-Nov-2024');</v>
      </c>
    </row>
    <row r="1762" spans="1:8" ht="105" x14ac:dyDescent="0.25">
      <c r="A1762" t="s">
        <v>1762</v>
      </c>
      <c r="B1762" s="8" t="str">
        <f>VLOOKUP(A1762,assortedcode!B:C,2,0)</f>
        <v>040000141649</v>
      </c>
      <c r="C1762" s="1">
        <v>1</v>
      </c>
      <c r="D1762" s="9">
        <f t="shared" si="109"/>
        <v>1</v>
      </c>
      <c r="E1762" s="7" t="s">
        <v>8345</v>
      </c>
      <c r="F1762" s="10" t="str">
        <f t="shared" si="108"/>
        <v>insert into ins_premium_det (premium_rcv_code,assorted_code, rec_amount,premium_rcv_detail_code,remaining_amt, payrec, mode_code,coinsurance_code,class_cd,it_remarks) values</v>
      </c>
      <c r="G1762" s="11" t="str">
        <f t="shared" si="110"/>
        <v>('28Nov240101','040000141649','1',(select max(to_number(i.premium_rcv_detail_code))+1
from ins_premium_det i),'1','1','02', '11000003','00','Request by Mr. Omair Ali 29-Nov-2024');</v>
      </c>
      <c r="H1762" s="12" t="str">
        <f t="shared" si="111"/>
        <v>insert into ins_premium_det (premium_rcv_code,assorted_code, rec_amount,premium_rcv_detail_code,remaining_amt, payrec, mode_code,coinsurance_code,class_cd,it_remarks) values('28Nov240101','040000141649','1',(select max(to_number(i.premium_rcv_detail_code))+1
from ins_premium_det i),'1','1','02', '11000003','00','Request by Mr. Omair Ali 29-Nov-2024');</v>
      </c>
    </row>
    <row r="1763" spans="1:8" ht="105" x14ac:dyDescent="0.25">
      <c r="A1763" t="s">
        <v>1763</v>
      </c>
      <c r="B1763" s="8" t="str">
        <f>VLOOKUP(A1763,assortedcode!B:C,2,0)</f>
        <v>040000118234</v>
      </c>
      <c r="C1763" s="1">
        <v>1</v>
      </c>
      <c r="D1763" s="9">
        <f t="shared" si="109"/>
        <v>1</v>
      </c>
      <c r="E1763" s="7" t="s">
        <v>8345</v>
      </c>
      <c r="F1763" s="10" t="str">
        <f t="shared" si="108"/>
        <v>insert into ins_premium_det (premium_rcv_code,assorted_code, rec_amount,premium_rcv_detail_code,remaining_amt, payrec, mode_code,coinsurance_code,class_cd,it_remarks) values</v>
      </c>
      <c r="G1763" s="11" t="str">
        <f t="shared" si="110"/>
        <v>('28Nov240101','040000118234','1',(select max(to_number(i.premium_rcv_detail_code))+1
from ins_premium_det i),'1','1','02', '11000003','00','Request by Mr. Omair Ali 29-Nov-2024');</v>
      </c>
      <c r="H1763" s="12" t="str">
        <f t="shared" si="111"/>
        <v>insert into ins_premium_det (premium_rcv_code,assorted_code, rec_amount,premium_rcv_detail_code,remaining_amt, payrec, mode_code,coinsurance_code,class_cd,it_remarks) values('28Nov240101','040000118234','1',(select max(to_number(i.premium_rcv_detail_code))+1
from ins_premium_det i),'1','1','02', '11000003','00','Request by Mr. Omair Ali 29-Nov-2024');</v>
      </c>
    </row>
    <row r="1764" spans="1:8" ht="105" x14ac:dyDescent="0.25">
      <c r="A1764" t="s">
        <v>1764</v>
      </c>
      <c r="B1764" s="8" t="str">
        <f>VLOOKUP(A1764,assortedcode!B:C,2,0)</f>
        <v>040000115319</v>
      </c>
      <c r="C1764" s="1">
        <v>1</v>
      </c>
      <c r="D1764" s="9">
        <f t="shared" si="109"/>
        <v>1</v>
      </c>
      <c r="E1764" s="7" t="s">
        <v>8345</v>
      </c>
      <c r="F1764" s="10" t="str">
        <f t="shared" si="108"/>
        <v>insert into ins_premium_det (premium_rcv_code,assorted_code, rec_amount,premium_rcv_detail_code,remaining_amt, payrec, mode_code,coinsurance_code,class_cd,it_remarks) values</v>
      </c>
      <c r="G1764" s="11" t="str">
        <f t="shared" si="110"/>
        <v>('28Nov240101','040000115319','1',(select max(to_number(i.premium_rcv_detail_code))+1
from ins_premium_det i),'1','1','02', '11000003','00','Request by Mr. Omair Ali 29-Nov-2024');</v>
      </c>
      <c r="H1764" s="12" t="str">
        <f t="shared" si="111"/>
        <v>insert into ins_premium_det (premium_rcv_code,assorted_code, rec_amount,premium_rcv_detail_code,remaining_amt, payrec, mode_code,coinsurance_code,class_cd,it_remarks) values('28Nov240101','040000115319','1',(select max(to_number(i.premium_rcv_detail_code))+1
from ins_premium_det i),'1','1','02', '11000003','00','Request by Mr. Omair Ali 29-Nov-2024');</v>
      </c>
    </row>
    <row r="1765" spans="1:8" ht="105" x14ac:dyDescent="0.25">
      <c r="A1765" t="s">
        <v>1765</v>
      </c>
      <c r="B1765" s="8" t="str">
        <f>VLOOKUP(A1765,assortedcode!B:C,2,0)</f>
        <v>040000129472</v>
      </c>
      <c r="C1765" s="1">
        <v>1</v>
      </c>
      <c r="D1765" s="9">
        <f t="shared" si="109"/>
        <v>1</v>
      </c>
      <c r="E1765" s="7" t="s">
        <v>8345</v>
      </c>
      <c r="F1765" s="10" t="str">
        <f t="shared" si="108"/>
        <v>insert into ins_premium_det (premium_rcv_code,assorted_code, rec_amount,premium_rcv_detail_code,remaining_amt, payrec, mode_code,coinsurance_code,class_cd,it_remarks) values</v>
      </c>
      <c r="G1765" s="11" t="str">
        <f t="shared" si="110"/>
        <v>('28Nov240101','040000129472','1',(select max(to_number(i.premium_rcv_detail_code))+1
from ins_premium_det i),'1','1','02', '11000003','00','Request by Mr. Omair Ali 29-Nov-2024');</v>
      </c>
      <c r="H1765" s="12" t="str">
        <f t="shared" si="111"/>
        <v>insert into ins_premium_det (premium_rcv_code,assorted_code, rec_amount,premium_rcv_detail_code,remaining_amt, payrec, mode_code,coinsurance_code,class_cd,it_remarks) values('28Nov240101','040000129472','1',(select max(to_number(i.premium_rcv_detail_code))+1
from ins_premium_det i),'1','1','02', '11000003','00','Request by Mr. Omair Ali 29-Nov-2024');</v>
      </c>
    </row>
    <row r="1766" spans="1:8" ht="105" x14ac:dyDescent="0.25">
      <c r="A1766" t="s">
        <v>1766</v>
      </c>
      <c r="B1766" s="8" t="str">
        <f>VLOOKUP(A1766,assortedcode!B:C,2,0)</f>
        <v>040000149689</v>
      </c>
      <c r="C1766" s="1">
        <v>1</v>
      </c>
      <c r="D1766" s="9">
        <f t="shared" si="109"/>
        <v>1</v>
      </c>
      <c r="E1766" s="7" t="s">
        <v>8345</v>
      </c>
      <c r="F1766" s="10" t="str">
        <f t="shared" si="108"/>
        <v>insert into ins_premium_det (premium_rcv_code,assorted_code, rec_amount,premium_rcv_detail_code,remaining_amt, payrec, mode_code,coinsurance_code,class_cd,it_remarks) values</v>
      </c>
      <c r="G1766" s="11" t="str">
        <f t="shared" si="110"/>
        <v>('28Nov240101','040000149689','1',(select max(to_number(i.premium_rcv_detail_code))+1
from ins_premium_det i),'1','1','02', '11000003','00','Request by Mr. Omair Ali 29-Nov-2024');</v>
      </c>
      <c r="H1766" s="12" t="str">
        <f t="shared" si="111"/>
        <v>insert into ins_premium_det (premium_rcv_code,assorted_code, rec_amount,premium_rcv_detail_code,remaining_amt, payrec, mode_code,coinsurance_code,class_cd,it_remarks) values('28Nov240101','040000149689','1',(select max(to_number(i.premium_rcv_detail_code))+1
from ins_premium_det i),'1','1','02', '11000003','00','Request by Mr. Omair Ali 29-Nov-2024');</v>
      </c>
    </row>
    <row r="1767" spans="1:8" ht="105" x14ac:dyDescent="0.25">
      <c r="A1767" t="s">
        <v>1767</v>
      </c>
      <c r="B1767" s="8" t="str">
        <f>VLOOKUP(A1767,assortedcode!B:C,2,0)</f>
        <v>040000129505</v>
      </c>
      <c r="C1767" s="1">
        <v>1</v>
      </c>
      <c r="D1767" s="9">
        <f t="shared" si="109"/>
        <v>1</v>
      </c>
      <c r="E1767" s="7" t="s">
        <v>8345</v>
      </c>
      <c r="F1767" s="10" t="str">
        <f t="shared" si="108"/>
        <v>insert into ins_premium_det (premium_rcv_code,assorted_code, rec_amount,premium_rcv_detail_code,remaining_amt, payrec, mode_code,coinsurance_code,class_cd,it_remarks) values</v>
      </c>
      <c r="G1767" s="11" t="str">
        <f t="shared" si="110"/>
        <v>('28Nov240101','040000129505','1',(select max(to_number(i.premium_rcv_detail_code))+1
from ins_premium_det i),'1','1','02', '11000003','00','Request by Mr. Omair Ali 29-Nov-2024');</v>
      </c>
      <c r="H1767" s="12" t="str">
        <f t="shared" si="111"/>
        <v>insert into ins_premium_det (premium_rcv_code,assorted_code, rec_amount,premium_rcv_detail_code,remaining_amt, payrec, mode_code,coinsurance_code,class_cd,it_remarks) values('28Nov240101','040000129505','1',(select max(to_number(i.premium_rcv_detail_code))+1
from ins_premium_det i),'1','1','02', '11000003','00','Request by Mr. Omair Ali 29-Nov-2024');</v>
      </c>
    </row>
    <row r="1768" spans="1:8" ht="105" x14ac:dyDescent="0.25">
      <c r="A1768" t="s">
        <v>1768</v>
      </c>
      <c r="B1768" s="8" t="str">
        <f>VLOOKUP(A1768,assortedcode!B:C,2,0)</f>
        <v>040000115515</v>
      </c>
      <c r="C1768" s="1">
        <v>1</v>
      </c>
      <c r="D1768" s="9">
        <f t="shared" si="109"/>
        <v>1</v>
      </c>
      <c r="E1768" s="7" t="s">
        <v>8345</v>
      </c>
      <c r="F1768" s="10" t="str">
        <f t="shared" si="108"/>
        <v>insert into ins_premium_det (premium_rcv_code,assorted_code, rec_amount,premium_rcv_detail_code,remaining_amt, payrec, mode_code,coinsurance_code,class_cd,it_remarks) values</v>
      </c>
      <c r="G1768" s="11" t="str">
        <f t="shared" si="110"/>
        <v>('28Nov240101','040000115515','1',(select max(to_number(i.premium_rcv_detail_code))+1
from ins_premium_det i),'1','1','02', '11000003','00','Request by Mr. Omair Ali 29-Nov-2024');</v>
      </c>
      <c r="H1768" s="12" t="str">
        <f t="shared" si="111"/>
        <v>insert into ins_premium_det (premium_rcv_code,assorted_code, rec_amount,premium_rcv_detail_code,remaining_amt, payrec, mode_code,coinsurance_code,class_cd,it_remarks) values('28Nov240101','040000115515','1',(select max(to_number(i.premium_rcv_detail_code))+1
from ins_premium_det i),'1','1','02', '11000003','00','Request by Mr. Omair Ali 29-Nov-2024');</v>
      </c>
    </row>
    <row r="1769" spans="1:8" ht="105" x14ac:dyDescent="0.25">
      <c r="A1769" t="s">
        <v>1769</v>
      </c>
      <c r="B1769" s="8" t="str">
        <f>VLOOKUP(A1769,assortedcode!B:C,2,0)</f>
        <v>040000129527</v>
      </c>
      <c r="C1769" s="1">
        <v>1</v>
      </c>
      <c r="D1769" s="9">
        <f t="shared" si="109"/>
        <v>1</v>
      </c>
      <c r="E1769" s="7" t="s">
        <v>8345</v>
      </c>
      <c r="F1769" s="10" t="str">
        <f t="shared" si="108"/>
        <v>insert into ins_premium_det (premium_rcv_code,assorted_code, rec_amount,premium_rcv_detail_code,remaining_amt, payrec, mode_code,coinsurance_code,class_cd,it_remarks) values</v>
      </c>
      <c r="G1769" s="11" t="str">
        <f t="shared" si="110"/>
        <v>('28Nov240101','040000129527','1',(select max(to_number(i.premium_rcv_detail_code))+1
from ins_premium_det i),'1','1','02', '11000003','00','Request by Mr. Omair Ali 29-Nov-2024');</v>
      </c>
      <c r="H1769" s="12" t="str">
        <f t="shared" si="111"/>
        <v>insert into ins_premium_det (premium_rcv_code,assorted_code, rec_amount,premium_rcv_detail_code,remaining_amt, payrec, mode_code,coinsurance_code,class_cd,it_remarks) values('28Nov240101','040000129527','1',(select max(to_number(i.premium_rcv_detail_code))+1
from ins_premium_det i),'1','1','02', '11000003','00','Request by Mr. Omair Ali 29-Nov-2024');</v>
      </c>
    </row>
    <row r="1770" spans="1:8" ht="105" x14ac:dyDescent="0.25">
      <c r="A1770" t="s">
        <v>1770</v>
      </c>
      <c r="B1770" s="8" t="str">
        <f>VLOOKUP(A1770,assortedcode!B:C,2,0)</f>
        <v>040000108624</v>
      </c>
      <c r="C1770" s="1">
        <v>1</v>
      </c>
      <c r="D1770" s="9">
        <f t="shared" si="109"/>
        <v>1</v>
      </c>
      <c r="E1770" s="7" t="s">
        <v>8345</v>
      </c>
      <c r="F1770" s="10" t="str">
        <f t="shared" si="108"/>
        <v>insert into ins_premium_det (premium_rcv_code,assorted_code, rec_amount,premium_rcv_detail_code,remaining_amt, payrec, mode_code,coinsurance_code,class_cd,it_remarks) values</v>
      </c>
      <c r="G1770" s="11" t="str">
        <f t="shared" si="110"/>
        <v>('28Nov240101','040000108624','1',(select max(to_number(i.premium_rcv_detail_code))+1
from ins_premium_det i),'1','1','02', '11000003','00','Request by Mr. Omair Ali 29-Nov-2024');</v>
      </c>
      <c r="H1770" s="12" t="str">
        <f t="shared" si="111"/>
        <v>insert into ins_premium_det (premium_rcv_code,assorted_code, rec_amount,premium_rcv_detail_code,remaining_amt, payrec, mode_code,coinsurance_code,class_cd,it_remarks) values('28Nov240101','040000108624','1',(select max(to_number(i.premium_rcv_detail_code))+1
from ins_premium_det i),'1','1','02', '11000003','00','Request by Mr. Omair Ali 29-Nov-2024');</v>
      </c>
    </row>
    <row r="1771" spans="1:8" ht="105" x14ac:dyDescent="0.25">
      <c r="A1771" t="s">
        <v>1771</v>
      </c>
      <c r="B1771" s="8" t="str">
        <f>VLOOKUP(A1771,assortedcode!B:C,2,0)</f>
        <v>040000130454</v>
      </c>
      <c r="C1771" s="1">
        <v>1</v>
      </c>
      <c r="D1771" s="9">
        <f t="shared" si="109"/>
        <v>1</v>
      </c>
      <c r="E1771" s="7" t="s">
        <v>8345</v>
      </c>
      <c r="F1771" s="10" t="str">
        <f t="shared" si="108"/>
        <v>insert into ins_premium_det (premium_rcv_code,assorted_code, rec_amount,premium_rcv_detail_code,remaining_amt, payrec, mode_code,coinsurance_code,class_cd,it_remarks) values</v>
      </c>
      <c r="G1771" s="11" t="str">
        <f t="shared" si="110"/>
        <v>('28Nov240101','040000130454','1',(select max(to_number(i.premium_rcv_detail_code))+1
from ins_premium_det i),'1','1','02', '11000003','00','Request by Mr. Omair Ali 29-Nov-2024');</v>
      </c>
      <c r="H1771" s="12" t="str">
        <f t="shared" si="111"/>
        <v>insert into ins_premium_det (premium_rcv_code,assorted_code, rec_amount,premium_rcv_detail_code,remaining_amt, payrec, mode_code,coinsurance_code,class_cd,it_remarks) values('28Nov240101','040000130454','1',(select max(to_number(i.premium_rcv_detail_code))+1
from ins_premium_det i),'1','1','02', '11000003','00','Request by Mr. Omair Ali 29-Nov-2024');</v>
      </c>
    </row>
    <row r="1772" spans="1:8" ht="105" x14ac:dyDescent="0.25">
      <c r="A1772" t="s">
        <v>1772</v>
      </c>
      <c r="B1772" s="8" t="str">
        <f>VLOOKUP(A1772,assortedcode!B:C,2,0)</f>
        <v>040000109966</v>
      </c>
      <c r="C1772" s="1">
        <v>1</v>
      </c>
      <c r="D1772" s="9">
        <f t="shared" si="109"/>
        <v>1</v>
      </c>
      <c r="E1772" s="7" t="s">
        <v>8345</v>
      </c>
      <c r="F1772" s="10" t="str">
        <f t="shared" si="108"/>
        <v>insert into ins_premium_det (premium_rcv_code,assorted_code, rec_amount,premium_rcv_detail_code,remaining_amt, payrec, mode_code,coinsurance_code,class_cd,it_remarks) values</v>
      </c>
      <c r="G1772" s="11" t="str">
        <f t="shared" si="110"/>
        <v>('28Nov240101','040000109966','1',(select max(to_number(i.premium_rcv_detail_code))+1
from ins_premium_det i),'1','1','02', '11000003','00','Request by Mr. Omair Ali 29-Nov-2024');</v>
      </c>
      <c r="H1772" s="12" t="str">
        <f t="shared" si="111"/>
        <v>insert into ins_premium_det (premium_rcv_code,assorted_code, rec_amount,premium_rcv_detail_code,remaining_amt, payrec, mode_code,coinsurance_code,class_cd,it_remarks) values('28Nov240101','040000109966','1',(select max(to_number(i.premium_rcv_detail_code))+1
from ins_premium_det i),'1','1','02', '11000003','00','Request by Mr. Omair Ali 29-Nov-2024');</v>
      </c>
    </row>
    <row r="1773" spans="1:8" ht="105" x14ac:dyDescent="0.25">
      <c r="A1773" t="s">
        <v>1773</v>
      </c>
      <c r="B1773" s="8" t="str">
        <f>VLOOKUP(A1773,assortedcode!B:C,2,0)</f>
        <v>040000132007</v>
      </c>
      <c r="C1773" s="1">
        <v>1</v>
      </c>
      <c r="D1773" s="9">
        <f t="shared" si="109"/>
        <v>1</v>
      </c>
      <c r="E1773" s="7" t="s">
        <v>8345</v>
      </c>
      <c r="F1773" s="10" t="str">
        <f t="shared" si="108"/>
        <v>insert into ins_premium_det (premium_rcv_code,assorted_code, rec_amount,premium_rcv_detail_code,remaining_amt, payrec, mode_code,coinsurance_code,class_cd,it_remarks) values</v>
      </c>
      <c r="G1773" s="11" t="str">
        <f t="shared" si="110"/>
        <v>('28Nov240101','040000132007','1',(select max(to_number(i.premium_rcv_detail_code))+1
from ins_premium_det i),'1','1','02', '11000003','00','Request by Mr. Omair Ali 29-Nov-2024');</v>
      </c>
      <c r="H1773" s="12" t="str">
        <f t="shared" si="111"/>
        <v>insert into ins_premium_det (premium_rcv_code,assorted_code, rec_amount,premium_rcv_detail_code,remaining_amt, payrec, mode_code,coinsurance_code,class_cd,it_remarks) values('28Nov240101','040000132007','1',(select max(to_number(i.premium_rcv_detail_code))+1
from ins_premium_det i),'1','1','02', '11000003','00','Request by Mr. Omair Ali 29-Nov-2024');</v>
      </c>
    </row>
    <row r="1774" spans="1:8" ht="105" x14ac:dyDescent="0.25">
      <c r="A1774" t="s">
        <v>1774</v>
      </c>
      <c r="B1774" s="8" t="str">
        <f>VLOOKUP(A1774,assortedcode!B:C,2,0)</f>
        <v>040000109981</v>
      </c>
      <c r="C1774" s="1">
        <v>1</v>
      </c>
      <c r="D1774" s="9">
        <f t="shared" si="109"/>
        <v>1</v>
      </c>
      <c r="E1774" s="7" t="s">
        <v>8345</v>
      </c>
      <c r="F1774" s="10" t="str">
        <f t="shared" si="108"/>
        <v>insert into ins_premium_det (premium_rcv_code,assorted_code, rec_amount,premium_rcv_detail_code,remaining_amt, payrec, mode_code,coinsurance_code,class_cd,it_remarks) values</v>
      </c>
      <c r="G1774" s="11" t="str">
        <f t="shared" si="110"/>
        <v>('28Nov240101','040000109981','1',(select max(to_number(i.premium_rcv_detail_code))+1
from ins_premium_det i),'1','1','02', '11000003','00','Request by Mr. Omair Ali 29-Nov-2024');</v>
      </c>
      <c r="H1774" s="12" t="str">
        <f t="shared" si="111"/>
        <v>insert into ins_premium_det (premium_rcv_code,assorted_code, rec_amount,premium_rcv_detail_code,remaining_amt, payrec, mode_code,coinsurance_code,class_cd,it_remarks) values('28Nov240101','040000109981','1',(select max(to_number(i.premium_rcv_detail_code))+1
from ins_premium_det i),'1','1','02', '11000003','00','Request by Mr. Omair Ali 29-Nov-2024');</v>
      </c>
    </row>
    <row r="1775" spans="1:8" ht="105" x14ac:dyDescent="0.25">
      <c r="A1775" t="s">
        <v>1775</v>
      </c>
      <c r="B1775" s="8" t="str">
        <f>VLOOKUP(A1775,assortedcode!B:C,2,0)</f>
        <v>040000134444</v>
      </c>
      <c r="C1775" s="1">
        <v>1</v>
      </c>
      <c r="D1775" s="9">
        <f t="shared" si="109"/>
        <v>1</v>
      </c>
      <c r="E1775" s="7" t="s">
        <v>8345</v>
      </c>
      <c r="F1775" s="10" t="str">
        <f t="shared" si="108"/>
        <v>insert into ins_premium_det (premium_rcv_code,assorted_code, rec_amount,premium_rcv_detail_code,remaining_amt, payrec, mode_code,coinsurance_code,class_cd,it_remarks) values</v>
      </c>
      <c r="G1775" s="11" t="str">
        <f t="shared" si="110"/>
        <v>('28Nov240101','040000134444','1',(select max(to_number(i.premium_rcv_detail_code))+1
from ins_premium_det i),'1','1','02', '11000003','00','Request by Mr. Omair Ali 29-Nov-2024');</v>
      </c>
      <c r="H1775" s="12" t="str">
        <f t="shared" si="111"/>
        <v>insert into ins_premium_det (premium_rcv_code,assorted_code, rec_amount,premium_rcv_detail_code,remaining_amt, payrec, mode_code,coinsurance_code,class_cd,it_remarks) values('28Nov240101','040000134444','1',(select max(to_number(i.premium_rcv_detail_code))+1
from ins_premium_det i),'1','1','02', '11000003','00','Request by Mr. Omair Ali 29-Nov-2024');</v>
      </c>
    </row>
    <row r="1776" spans="1:8" ht="105" x14ac:dyDescent="0.25">
      <c r="A1776" t="s">
        <v>1776</v>
      </c>
      <c r="B1776" s="8" t="str">
        <f>VLOOKUP(A1776,assortedcode!B:C,2,0)</f>
        <v>040000110029</v>
      </c>
      <c r="C1776" s="1">
        <v>1</v>
      </c>
      <c r="D1776" s="9">
        <f t="shared" si="109"/>
        <v>1</v>
      </c>
      <c r="E1776" s="7" t="s">
        <v>8345</v>
      </c>
      <c r="F1776" s="10" t="str">
        <f t="shared" si="108"/>
        <v>insert into ins_premium_det (premium_rcv_code,assorted_code, rec_amount,premium_rcv_detail_code,remaining_amt, payrec, mode_code,coinsurance_code,class_cd,it_remarks) values</v>
      </c>
      <c r="G1776" s="11" t="str">
        <f t="shared" si="110"/>
        <v>('28Nov240101','040000110029','1',(select max(to_number(i.premium_rcv_detail_code))+1
from ins_premium_det i),'1','1','02', '11000003','00','Request by Mr. Omair Ali 29-Nov-2024');</v>
      </c>
      <c r="H1776" s="12" t="str">
        <f t="shared" si="111"/>
        <v>insert into ins_premium_det (premium_rcv_code,assorted_code, rec_amount,premium_rcv_detail_code,remaining_amt, payrec, mode_code,coinsurance_code,class_cd,it_remarks) values('28Nov240101','040000110029','1',(select max(to_number(i.premium_rcv_detail_code))+1
from ins_premium_det i),'1','1','02', '11000003','00','Request by Mr. Omair Ali 29-Nov-2024');</v>
      </c>
    </row>
    <row r="1777" spans="1:8" ht="105" x14ac:dyDescent="0.25">
      <c r="A1777" t="s">
        <v>1777</v>
      </c>
      <c r="B1777" s="8" t="str">
        <f>VLOOKUP(A1777,assortedcode!B:C,2,0)</f>
        <v>040000132558</v>
      </c>
      <c r="C1777" s="1">
        <v>1</v>
      </c>
      <c r="D1777" s="9">
        <f t="shared" si="109"/>
        <v>1</v>
      </c>
      <c r="E1777" s="7" t="s">
        <v>8345</v>
      </c>
      <c r="F1777" s="10" t="str">
        <f t="shared" si="108"/>
        <v>insert into ins_premium_det (premium_rcv_code,assorted_code, rec_amount,premium_rcv_detail_code,remaining_amt, payrec, mode_code,coinsurance_code,class_cd,it_remarks) values</v>
      </c>
      <c r="G1777" s="11" t="str">
        <f t="shared" si="110"/>
        <v>('28Nov240101','040000132558','1',(select max(to_number(i.premium_rcv_detail_code))+1
from ins_premium_det i),'1','1','02', '11000003','00','Request by Mr. Omair Ali 29-Nov-2024');</v>
      </c>
      <c r="H1777" s="12" t="str">
        <f t="shared" si="111"/>
        <v>insert into ins_premium_det (premium_rcv_code,assorted_code, rec_amount,premium_rcv_detail_code,remaining_amt, payrec, mode_code,coinsurance_code,class_cd,it_remarks) values('28Nov240101','040000132558','1',(select max(to_number(i.premium_rcv_detail_code))+1
from ins_premium_det i),'1','1','02', '11000003','00','Request by Mr. Omair Ali 29-Nov-2024');</v>
      </c>
    </row>
    <row r="1778" spans="1:8" ht="105" x14ac:dyDescent="0.25">
      <c r="A1778" t="s">
        <v>1778</v>
      </c>
      <c r="B1778" s="8" t="str">
        <f>VLOOKUP(A1778,assortedcode!B:C,2,0)</f>
        <v>040000108327</v>
      </c>
      <c r="C1778" s="1">
        <v>1</v>
      </c>
      <c r="D1778" s="9">
        <f t="shared" si="109"/>
        <v>1</v>
      </c>
      <c r="E1778" s="7" t="s">
        <v>8345</v>
      </c>
      <c r="F1778" s="10" t="str">
        <f t="shared" si="108"/>
        <v>insert into ins_premium_det (premium_rcv_code,assorted_code, rec_amount,premium_rcv_detail_code,remaining_amt, payrec, mode_code,coinsurance_code,class_cd,it_remarks) values</v>
      </c>
      <c r="G1778" s="11" t="str">
        <f t="shared" si="110"/>
        <v>('28Nov240101','040000108327','1',(select max(to_number(i.premium_rcv_detail_code))+1
from ins_premium_det i),'1','1','02', '11000003','00','Request by Mr. Omair Ali 29-Nov-2024');</v>
      </c>
      <c r="H1778" s="12" t="str">
        <f t="shared" si="111"/>
        <v>insert into ins_premium_det (premium_rcv_code,assorted_code, rec_amount,premium_rcv_detail_code,remaining_amt, payrec, mode_code,coinsurance_code,class_cd,it_remarks) values('28Nov240101','040000108327','1',(select max(to_number(i.premium_rcv_detail_code))+1
from ins_premium_det i),'1','1','02', '11000003','00','Request by Mr. Omair Ali 29-Nov-2024');</v>
      </c>
    </row>
    <row r="1779" spans="1:8" ht="105" x14ac:dyDescent="0.25">
      <c r="A1779" t="s">
        <v>1779</v>
      </c>
      <c r="B1779" s="8" t="str">
        <f>VLOOKUP(A1779,assortedcode!B:C,2,0)</f>
        <v>040000132570</v>
      </c>
      <c r="C1779" s="1">
        <v>1</v>
      </c>
      <c r="D1779" s="9">
        <f t="shared" si="109"/>
        <v>1</v>
      </c>
      <c r="E1779" s="7" t="s">
        <v>8345</v>
      </c>
      <c r="F1779" s="10" t="str">
        <f t="shared" si="108"/>
        <v>insert into ins_premium_det (premium_rcv_code,assorted_code, rec_amount,premium_rcv_detail_code,remaining_amt, payrec, mode_code,coinsurance_code,class_cd,it_remarks) values</v>
      </c>
      <c r="G1779" s="11" t="str">
        <f t="shared" si="110"/>
        <v>('28Nov240101','040000132570','1',(select max(to_number(i.premium_rcv_detail_code))+1
from ins_premium_det i),'1','1','02', '11000003','00','Request by Mr. Omair Ali 29-Nov-2024');</v>
      </c>
      <c r="H1779" s="12" t="str">
        <f t="shared" si="111"/>
        <v>insert into ins_premium_det (premium_rcv_code,assorted_code, rec_amount,premium_rcv_detail_code,remaining_amt, payrec, mode_code,coinsurance_code,class_cd,it_remarks) values('28Nov240101','040000132570','1',(select max(to_number(i.premium_rcv_detail_code))+1
from ins_premium_det i),'1','1','02', '11000003','00','Request by Mr. Omair Ali 29-Nov-2024');</v>
      </c>
    </row>
    <row r="1780" spans="1:8" ht="105" x14ac:dyDescent="0.25">
      <c r="A1780" t="s">
        <v>1780</v>
      </c>
      <c r="B1780" s="8" t="str">
        <f>VLOOKUP(A1780,assortedcode!B:C,2,0)</f>
        <v>040000144367</v>
      </c>
      <c r="C1780" s="1">
        <v>1</v>
      </c>
      <c r="D1780" s="9">
        <f t="shared" si="109"/>
        <v>1</v>
      </c>
      <c r="E1780" s="7" t="s">
        <v>8345</v>
      </c>
      <c r="F1780" s="10" t="str">
        <f t="shared" si="108"/>
        <v>insert into ins_premium_det (premium_rcv_code,assorted_code, rec_amount,premium_rcv_detail_code,remaining_amt, payrec, mode_code,coinsurance_code,class_cd,it_remarks) values</v>
      </c>
      <c r="G1780" s="11" t="str">
        <f t="shared" si="110"/>
        <v>('28Nov240101','040000144367','1',(select max(to_number(i.premium_rcv_detail_code))+1
from ins_premium_det i),'1','1','02', '11000003','00','Request by Mr. Omair Ali 29-Nov-2024');</v>
      </c>
      <c r="H1780" s="12" t="str">
        <f t="shared" si="111"/>
        <v>insert into ins_premium_det (premium_rcv_code,assorted_code, rec_amount,premium_rcv_detail_code,remaining_amt, payrec, mode_code,coinsurance_code,class_cd,it_remarks) values('28Nov240101','040000144367','1',(select max(to_number(i.premium_rcv_detail_code))+1
from ins_premium_det i),'1','1','02', '11000003','00','Request by Mr. Omair Ali 29-Nov-2024');</v>
      </c>
    </row>
    <row r="1781" spans="1:8" ht="105" x14ac:dyDescent="0.25">
      <c r="A1781" t="s">
        <v>1781</v>
      </c>
      <c r="B1781" s="8" t="str">
        <f>VLOOKUP(A1781,assortedcode!B:C,2,0)</f>
        <v>040000132599</v>
      </c>
      <c r="C1781" s="1">
        <v>1</v>
      </c>
      <c r="D1781" s="9">
        <f t="shared" si="109"/>
        <v>1</v>
      </c>
      <c r="E1781" s="7" t="s">
        <v>8345</v>
      </c>
      <c r="F1781" s="10" t="str">
        <f t="shared" si="108"/>
        <v>insert into ins_premium_det (premium_rcv_code,assorted_code, rec_amount,premium_rcv_detail_code,remaining_amt, payrec, mode_code,coinsurance_code,class_cd,it_remarks) values</v>
      </c>
      <c r="G1781" s="11" t="str">
        <f t="shared" si="110"/>
        <v>('28Nov240101','040000132599','1',(select max(to_number(i.premium_rcv_detail_code))+1
from ins_premium_det i),'1','1','02', '11000003','00','Request by Mr. Omair Ali 29-Nov-2024');</v>
      </c>
      <c r="H1781" s="12" t="str">
        <f t="shared" si="111"/>
        <v>insert into ins_premium_det (premium_rcv_code,assorted_code, rec_amount,premium_rcv_detail_code,remaining_amt, payrec, mode_code,coinsurance_code,class_cd,it_remarks) values('28Nov240101','040000132599','1',(select max(to_number(i.premium_rcv_detail_code))+1
from ins_premium_det i),'1','1','02', '11000003','00','Request by Mr. Omair Ali 29-Nov-2024');</v>
      </c>
    </row>
    <row r="1782" spans="1:8" ht="105" x14ac:dyDescent="0.25">
      <c r="A1782" t="s">
        <v>1782</v>
      </c>
      <c r="B1782" s="8" t="str">
        <f>VLOOKUP(A1782,assortedcode!B:C,2,0)</f>
        <v>040000110677</v>
      </c>
      <c r="C1782" s="1">
        <v>1</v>
      </c>
      <c r="D1782" s="9">
        <f t="shared" si="109"/>
        <v>1</v>
      </c>
      <c r="E1782" s="7" t="s">
        <v>8345</v>
      </c>
      <c r="F1782" s="10" t="str">
        <f t="shared" si="108"/>
        <v>insert into ins_premium_det (premium_rcv_code,assorted_code, rec_amount,premium_rcv_detail_code,remaining_amt, payrec, mode_code,coinsurance_code,class_cd,it_remarks) values</v>
      </c>
      <c r="G1782" s="11" t="str">
        <f t="shared" si="110"/>
        <v>('28Nov240101','040000110677','1',(select max(to_number(i.premium_rcv_detail_code))+1
from ins_premium_det i),'1','1','02', '11000003','00','Request by Mr. Omair Ali 29-Nov-2024');</v>
      </c>
      <c r="H1782" s="12" t="str">
        <f t="shared" si="111"/>
        <v>insert into ins_premium_det (premium_rcv_code,assorted_code, rec_amount,premium_rcv_detail_code,remaining_amt, payrec, mode_code,coinsurance_code,class_cd,it_remarks) values('28Nov240101','040000110677','1',(select max(to_number(i.premium_rcv_detail_code))+1
from ins_premium_det i),'1','1','02', '11000003','00','Request by Mr. Omair Ali 29-Nov-2024');</v>
      </c>
    </row>
    <row r="1783" spans="1:8" ht="105" x14ac:dyDescent="0.25">
      <c r="A1783" t="s">
        <v>1783</v>
      </c>
      <c r="B1783" s="8" t="str">
        <f>VLOOKUP(A1783,assortedcode!B:C,2,0)</f>
        <v>040000118537</v>
      </c>
      <c r="C1783" s="1">
        <v>1</v>
      </c>
      <c r="D1783" s="9">
        <f t="shared" si="109"/>
        <v>1</v>
      </c>
      <c r="E1783" s="7" t="s">
        <v>8345</v>
      </c>
      <c r="F1783" s="10" t="str">
        <f t="shared" si="108"/>
        <v>insert into ins_premium_det (premium_rcv_code,assorted_code, rec_amount,premium_rcv_detail_code,remaining_amt, payrec, mode_code,coinsurance_code,class_cd,it_remarks) values</v>
      </c>
      <c r="G1783" s="11" t="str">
        <f t="shared" si="110"/>
        <v>('28Nov240101','040000118537','1',(select max(to_number(i.premium_rcv_detail_code))+1
from ins_premium_det i),'1','1','02', '11000003','00','Request by Mr. Omair Ali 29-Nov-2024');</v>
      </c>
      <c r="H1783" s="12" t="str">
        <f t="shared" si="111"/>
        <v>insert into ins_premium_det (premium_rcv_code,assorted_code, rec_amount,premium_rcv_detail_code,remaining_amt, payrec, mode_code,coinsurance_code,class_cd,it_remarks) values('28Nov240101','040000118537','1',(select max(to_number(i.premium_rcv_detail_code))+1
from ins_premium_det i),'1','1','02', '11000003','00','Request by Mr. Omair Ali 29-Nov-2024');</v>
      </c>
    </row>
    <row r="1784" spans="1:8" ht="105" x14ac:dyDescent="0.25">
      <c r="A1784" t="s">
        <v>1784</v>
      </c>
      <c r="B1784" s="8" t="str">
        <f>VLOOKUP(A1784,assortedcode!B:C,2,0)</f>
        <v>040000122551</v>
      </c>
      <c r="C1784" s="1">
        <v>1</v>
      </c>
      <c r="D1784" s="9">
        <f t="shared" si="109"/>
        <v>1</v>
      </c>
      <c r="E1784" s="7" t="s">
        <v>8345</v>
      </c>
      <c r="F1784" s="10" t="str">
        <f t="shared" si="108"/>
        <v>insert into ins_premium_det (premium_rcv_code,assorted_code, rec_amount,premium_rcv_detail_code,remaining_amt, payrec, mode_code,coinsurance_code,class_cd,it_remarks) values</v>
      </c>
      <c r="G1784" s="11" t="str">
        <f t="shared" si="110"/>
        <v>('28Nov240101','040000122551','1',(select max(to_number(i.premium_rcv_detail_code))+1
from ins_premium_det i),'1','1','02', '11000003','00','Request by Mr. Omair Ali 29-Nov-2024');</v>
      </c>
      <c r="H1784" s="12" t="str">
        <f t="shared" si="111"/>
        <v>insert into ins_premium_det (premium_rcv_code,assorted_code, rec_amount,premium_rcv_detail_code,remaining_amt, payrec, mode_code,coinsurance_code,class_cd,it_remarks) values('28Nov240101','040000122551','1',(select max(to_number(i.premium_rcv_detail_code))+1
from ins_premium_det i),'1','1','02', '11000003','00','Request by Mr. Omair Ali 29-Nov-2024');</v>
      </c>
    </row>
    <row r="1785" spans="1:8" ht="105" x14ac:dyDescent="0.25">
      <c r="A1785" t="s">
        <v>1785</v>
      </c>
      <c r="B1785" s="8" t="str">
        <f>VLOOKUP(A1785,assortedcode!B:C,2,0)</f>
        <v>040000132744</v>
      </c>
      <c r="C1785" s="1">
        <v>1</v>
      </c>
      <c r="D1785" s="9">
        <f t="shared" si="109"/>
        <v>1</v>
      </c>
      <c r="E1785" s="7" t="s">
        <v>8345</v>
      </c>
      <c r="F1785" s="10" t="str">
        <f t="shared" si="108"/>
        <v>insert into ins_premium_det (premium_rcv_code,assorted_code, rec_amount,premium_rcv_detail_code,remaining_amt, payrec, mode_code,coinsurance_code,class_cd,it_remarks) values</v>
      </c>
      <c r="G1785" s="11" t="str">
        <f t="shared" si="110"/>
        <v>('28Nov240101','040000132744','1',(select max(to_number(i.premium_rcv_detail_code))+1
from ins_premium_det i),'1','1','02', '11000003','00','Request by Mr. Omair Ali 29-Nov-2024');</v>
      </c>
      <c r="H1785" s="12" t="str">
        <f t="shared" si="111"/>
        <v>insert into ins_premium_det (premium_rcv_code,assorted_code, rec_amount,premium_rcv_detail_code,remaining_amt, payrec, mode_code,coinsurance_code,class_cd,it_remarks) values('28Nov240101','040000132744','1',(select max(to_number(i.premium_rcv_detail_code))+1
from ins_premium_det i),'1','1','02', '11000003','00','Request by Mr. Omair Ali 29-Nov-2024');</v>
      </c>
    </row>
    <row r="1786" spans="1:8" ht="105" x14ac:dyDescent="0.25">
      <c r="A1786" t="s">
        <v>1786</v>
      </c>
      <c r="B1786" s="8" t="str">
        <f>VLOOKUP(A1786,assortedcode!B:C,2,0)</f>
        <v>040000146368</v>
      </c>
      <c r="C1786" s="1">
        <v>1</v>
      </c>
      <c r="D1786" s="9">
        <f t="shared" si="109"/>
        <v>1</v>
      </c>
      <c r="E1786" s="7" t="s">
        <v>8345</v>
      </c>
      <c r="F1786" s="10" t="str">
        <f t="shared" si="108"/>
        <v>insert into ins_premium_det (premium_rcv_code,assorted_code, rec_amount,premium_rcv_detail_code,remaining_amt, payrec, mode_code,coinsurance_code,class_cd,it_remarks) values</v>
      </c>
      <c r="G1786" s="11" t="str">
        <f t="shared" si="110"/>
        <v>('28Nov240101','040000146368','1',(select max(to_number(i.premium_rcv_detail_code))+1
from ins_premium_det i),'1','1','02', '11000003','00','Request by Mr. Omair Ali 29-Nov-2024');</v>
      </c>
      <c r="H1786" s="12" t="str">
        <f t="shared" si="111"/>
        <v>insert into ins_premium_det (premium_rcv_code,assorted_code, rec_amount,premium_rcv_detail_code,remaining_amt, payrec, mode_code,coinsurance_code,class_cd,it_remarks) values('28Nov240101','040000146368','1',(select max(to_number(i.premium_rcv_detail_code))+1
from ins_premium_det i),'1','1','02', '11000003','00','Request by Mr. Omair Ali 29-Nov-2024');</v>
      </c>
    </row>
    <row r="1787" spans="1:8" ht="105" x14ac:dyDescent="0.25">
      <c r="A1787" t="s">
        <v>1787</v>
      </c>
      <c r="B1787" s="8" t="str">
        <f>VLOOKUP(A1787,assortedcode!B:C,2,0)</f>
        <v>040000132746</v>
      </c>
      <c r="C1787" s="1">
        <v>1</v>
      </c>
      <c r="D1787" s="9">
        <f t="shared" si="109"/>
        <v>1</v>
      </c>
      <c r="E1787" s="7" t="s">
        <v>8345</v>
      </c>
      <c r="F1787" s="10" t="str">
        <f t="shared" si="108"/>
        <v>insert into ins_premium_det (premium_rcv_code,assorted_code, rec_amount,premium_rcv_detail_code,remaining_amt, payrec, mode_code,coinsurance_code,class_cd,it_remarks) values</v>
      </c>
      <c r="G1787" s="11" t="str">
        <f t="shared" si="110"/>
        <v>('28Nov240101','040000132746','1',(select max(to_number(i.premium_rcv_detail_code))+1
from ins_premium_det i),'1','1','02', '11000003','00','Request by Mr. Omair Ali 29-Nov-2024');</v>
      </c>
      <c r="H1787" s="12" t="str">
        <f t="shared" si="111"/>
        <v>insert into ins_premium_det (premium_rcv_code,assorted_code, rec_amount,premium_rcv_detail_code,remaining_amt, payrec, mode_code,coinsurance_code,class_cd,it_remarks) values('28Nov240101','040000132746','1',(select max(to_number(i.premium_rcv_detail_code))+1
from ins_premium_det i),'1','1','02', '11000003','00','Request by Mr. Omair Ali 29-Nov-2024');</v>
      </c>
    </row>
    <row r="1788" spans="1:8" ht="105" x14ac:dyDescent="0.25">
      <c r="A1788" t="s">
        <v>1788</v>
      </c>
      <c r="B1788" s="8" t="str">
        <f>VLOOKUP(A1788,assortedcode!B:C,2,0)</f>
        <v>040000148671</v>
      </c>
      <c r="C1788" s="1">
        <v>1</v>
      </c>
      <c r="D1788" s="9">
        <f t="shared" si="109"/>
        <v>1</v>
      </c>
      <c r="E1788" s="7" t="s">
        <v>8345</v>
      </c>
      <c r="F1788" s="10" t="str">
        <f t="shared" si="108"/>
        <v>insert into ins_premium_det (premium_rcv_code,assorted_code, rec_amount,premium_rcv_detail_code,remaining_amt, payrec, mode_code,coinsurance_code,class_cd,it_remarks) values</v>
      </c>
      <c r="G1788" s="11" t="str">
        <f t="shared" si="110"/>
        <v>('28Nov240101','040000148671','1',(select max(to_number(i.premium_rcv_detail_code))+1
from ins_premium_det i),'1','1','02', '11000003','00','Request by Mr. Omair Ali 29-Nov-2024');</v>
      </c>
      <c r="H1788" s="12" t="str">
        <f t="shared" si="111"/>
        <v>insert into ins_premium_det (premium_rcv_code,assorted_code, rec_amount,premium_rcv_detail_code,remaining_amt, payrec, mode_code,coinsurance_code,class_cd,it_remarks) values('28Nov240101','040000148671','1',(select max(to_number(i.premium_rcv_detail_code))+1
from ins_premium_det i),'1','1','02', '11000003','00','Request by Mr. Omair Ali 29-Nov-2024');</v>
      </c>
    </row>
    <row r="1789" spans="1:8" ht="105" x14ac:dyDescent="0.25">
      <c r="A1789" t="s">
        <v>1789</v>
      </c>
      <c r="B1789" s="8" t="str">
        <f>VLOOKUP(A1789,assortedcode!B:C,2,0)</f>
        <v>040000134493</v>
      </c>
      <c r="C1789" s="1">
        <v>1</v>
      </c>
      <c r="D1789" s="9">
        <f t="shared" si="109"/>
        <v>1</v>
      </c>
      <c r="E1789" s="7" t="s">
        <v>8345</v>
      </c>
      <c r="F1789" s="10" t="str">
        <f t="shared" si="108"/>
        <v>insert into ins_premium_det (premium_rcv_code,assorted_code, rec_amount,premium_rcv_detail_code,remaining_amt, payrec, mode_code,coinsurance_code,class_cd,it_remarks) values</v>
      </c>
      <c r="G1789" s="11" t="str">
        <f t="shared" si="110"/>
        <v>('28Nov240101','040000134493','1',(select max(to_number(i.premium_rcv_detail_code))+1
from ins_premium_det i),'1','1','02', '11000003','00','Request by Mr. Omair Ali 29-Nov-2024');</v>
      </c>
      <c r="H1789" s="12" t="str">
        <f t="shared" si="111"/>
        <v>insert into ins_premium_det (premium_rcv_code,assorted_code, rec_amount,premium_rcv_detail_code,remaining_amt, payrec, mode_code,coinsurance_code,class_cd,it_remarks) values('28Nov240101','040000134493','1',(select max(to_number(i.premium_rcv_detail_code))+1
from ins_premium_det i),'1','1','02', '11000003','00','Request by Mr. Omair Ali 29-Nov-2024');</v>
      </c>
    </row>
    <row r="1790" spans="1:8" ht="105" x14ac:dyDescent="0.25">
      <c r="A1790" t="s">
        <v>1790</v>
      </c>
      <c r="B1790" s="8" t="str">
        <f>VLOOKUP(A1790,assortedcode!B:C,2,0)</f>
        <v>040000123502</v>
      </c>
      <c r="C1790" s="1">
        <v>1</v>
      </c>
      <c r="D1790" s="9">
        <f t="shared" si="109"/>
        <v>1</v>
      </c>
      <c r="E1790" s="7" t="s">
        <v>8345</v>
      </c>
      <c r="F1790" s="10" t="str">
        <f t="shared" si="108"/>
        <v>insert into ins_premium_det (premium_rcv_code,assorted_code, rec_amount,premium_rcv_detail_code,remaining_amt, payrec, mode_code,coinsurance_code,class_cd,it_remarks) values</v>
      </c>
      <c r="G1790" s="11" t="str">
        <f t="shared" si="110"/>
        <v>('28Nov240101','040000123502','1',(select max(to_number(i.premium_rcv_detail_code))+1
from ins_premium_det i),'1','1','02', '11000003','00','Request by Mr. Omair Ali 29-Nov-2024');</v>
      </c>
      <c r="H1790" s="12" t="str">
        <f t="shared" si="111"/>
        <v>insert into ins_premium_det (premium_rcv_code,assorted_code, rec_amount,premium_rcv_detail_code,remaining_amt, payrec, mode_code,coinsurance_code,class_cd,it_remarks) values('28Nov240101','040000123502','1',(select max(to_number(i.premium_rcv_detail_code))+1
from ins_premium_det i),'1','1','02', '11000003','00','Request by Mr. Omair Ali 29-Nov-2024');</v>
      </c>
    </row>
    <row r="1791" spans="1:8" ht="105" x14ac:dyDescent="0.25">
      <c r="A1791" t="s">
        <v>1791</v>
      </c>
      <c r="B1791" s="8" t="str">
        <f>VLOOKUP(A1791,assortedcode!B:C,2,0)</f>
        <v>040000132805</v>
      </c>
      <c r="C1791" s="1">
        <v>1</v>
      </c>
      <c r="D1791" s="9">
        <f t="shared" si="109"/>
        <v>1</v>
      </c>
      <c r="E1791" s="7" t="s">
        <v>8345</v>
      </c>
      <c r="F1791" s="10" t="str">
        <f t="shared" si="108"/>
        <v>insert into ins_premium_det (premium_rcv_code,assorted_code, rec_amount,premium_rcv_detail_code,remaining_amt, payrec, mode_code,coinsurance_code,class_cd,it_remarks) values</v>
      </c>
      <c r="G1791" s="11" t="str">
        <f t="shared" si="110"/>
        <v>('28Nov240101','040000132805','1',(select max(to_number(i.premium_rcv_detail_code))+1
from ins_premium_det i),'1','1','02', '11000003','00','Request by Mr. Omair Ali 29-Nov-2024');</v>
      </c>
      <c r="H1791" s="12" t="str">
        <f t="shared" si="111"/>
        <v>insert into ins_premium_det (premium_rcv_code,assorted_code, rec_amount,premium_rcv_detail_code,remaining_amt, payrec, mode_code,coinsurance_code,class_cd,it_remarks) values('28Nov240101','040000132805','1',(select max(to_number(i.premium_rcv_detail_code))+1
from ins_premium_det i),'1','1','02', '11000003','00','Request by Mr. Omair Ali 29-Nov-2024');</v>
      </c>
    </row>
    <row r="1792" spans="1:8" ht="105" x14ac:dyDescent="0.25">
      <c r="A1792" t="s">
        <v>1792</v>
      </c>
      <c r="B1792" s="8" t="str">
        <f>VLOOKUP(A1792,assortedcode!B:C,2,0)</f>
        <v>040000108992</v>
      </c>
      <c r="C1792" s="1">
        <v>1</v>
      </c>
      <c r="D1792" s="9">
        <f t="shared" si="109"/>
        <v>1</v>
      </c>
      <c r="E1792" s="7" t="s">
        <v>8345</v>
      </c>
      <c r="F1792" s="10" t="str">
        <f t="shared" si="108"/>
        <v>insert into ins_premium_det (premium_rcv_code,assorted_code, rec_amount,premium_rcv_detail_code,remaining_amt, payrec, mode_code,coinsurance_code,class_cd,it_remarks) values</v>
      </c>
      <c r="G1792" s="11" t="str">
        <f t="shared" si="110"/>
        <v>('28Nov240101','040000108992','1',(select max(to_number(i.premium_rcv_detail_code))+1
from ins_premium_det i),'1','1','02', '11000003','00','Request by Mr. Omair Ali 29-Nov-2024');</v>
      </c>
      <c r="H1792" s="12" t="str">
        <f t="shared" si="111"/>
        <v>insert into ins_premium_det (premium_rcv_code,assorted_code, rec_amount,premium_rcv_detail_code,remaining_amt, payrec, mode_code,coinsurance_code,class_cd,it_remarks) values('28Nov240101','040000108992','1',(select max(to_number(i.premium_rcv_detail_code))+1
from ins_premium_det i),'1','1','02', '11000003','00','Request by Mr. Omair Ali 29-Nov-2024');</v>
      </c>
    </row>
    <row r="1793" spans="1:8" ht="105" x14ac:dyDescent="0.25">
      <c r="A1793" t="s">
        <v>1793</v>
      </c>
      <c r="B1793" s="8" t="str">
        <f>VLOOKUP(A1793,assortedcode!B:C,2,0)</f>
        <v>040000118711</v>
      </c>
      <c r="C1793" s="1">
        <v>1</v>
      </c>
      <c r="D1793" s="9">
        <f t="shared" si="109"/>
        <v>1</v>
      </c>
      <c r="E1793" s="7" t="s">
        <v>8345</v>
      </c>
      <c r="F1793" s="10" t="str">
        <f t="shared" si="108"/>
        <v>insert into ins_premium_det (premium_rcv_code,assorted_code, rec_amount,premium_rcv_detail_code,remaining_amt, payrec, mode_code,coinsurance_code,class_cd,it_remarks) values</v>
      </c>
      <c r="G1793" s="11" t="str">
        <f t="shared" si="110"/>
        <v>('28Nov240101','040000118711','1',(select max(to_number(i.premium_rcv_detail_code))+1
from ins_premium_det i),'1','1','02', '11000003','00','Request by Mr. Omair Ali 29-Nov-2024');</v>
      </c>
      <c r="H1793" s="12" t="str">
        <f t="shared" si="111"/>
        <v>insert into ins_premium_det (premium_rcv_code,assorted_code, rec_amount,premium_rcv_detail_code,remaining_amt, payrec, mode_code,coinsurance_code,class_cd,it_remarks) values('28Nov240101','040000118711','1',(select max(to_number(i.premium_rcv_detail_code))+1
from ins_premium_det i),'1','1','02', '11000003','00','Request by Mr. Omair Ali 29-Nov-2024');</v>
      </c>
    </row>
    <row r="1794" spans="1:8" ht="105" x14ac:dyDescent="0.25">
      <c r="A1794" t="s">
        <v>1794</v>
      </c>
      <c r="B1794" s="8" t="str">
        <f>VLOOKUP(A1794,assortedcode!B:C,2,0)</f>
        <v>040000111692</v>
      </c>
      <c r="C1794" s="1">
        <v>1</v>
      </c>
      <c r="D1794" s="9">
        <f t="shared" si="109"/>
        <v>1</v>
      </c>
      <c r="E1794" s="7" t="s">
        <v>8345</v>
      </c>
      <c r="F1794" s="10" t="str">
        <f t="shared" ref="F1794:F1857" si="112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1794" s="11" t="str">
        <f t="shared" si="110"/>
        <v>('28Nov240101','040000111692','1',(select max(to_number(i.premium_rcv_detail_code))+1
from ins_premium_det i),'1','1','02', '11000003','00','Request by Mr. Omair Ali 29-Nov-2024');</v>
      </c>
      <c r="H1794" s="12" t="str">
        <f t="shared" si="111"/>
        <v>insert into ins_premium_det (premium_rcv_code,assorted_code, rec_amount,premium_rcv_detail_code,remaining_amt, payrec, mode_code,coinsurance_code,class_cd,it_remarks) values('28Nov240101','040000111692','1',(select max(to_number(i.premium_rcv_detail_code))+1
from ins_premium_det i),'1','1','02', '11000003','00','Request by Mr. Omair Ali 29-Nov-2024');</v>
      </c>
    </row>
    <row r="1795" spans="1:8" ht="105" x14ac:dyDescent="0.25">
      <c r="A1795" t="s">
        <v>1795</v>
      </c>
      <c r="B1795" s="8" t="str">
        <f>VLOOKUP(A1795,assortedcode!B:C,2,0)</f>
        <v>040000134594</v>
      </c>
      <c r="C1795" s="1">
        <v>1</v>
      </c>
      <c r="D1795" s="9">
        <f t="shared" ref="D1795:D1858" si="113">ROUND(C1795,0)</f>
        <v>1</v>
      </c>
      <c r="E1795" s="7" t="s">
        <v>8345</v>
      </c>
      <c r="F1795" s="10" t="str">
        <f t="shared" si="112"/>
        <v>insert into ins_premium_det (premium_rcv_code,assorted_code, rec_amount,premium_rcv_detail_code,remaining_amt, payrec, mode_code,coinsurance_code,class_cd,it_remarks) values</v>
      </c>
      <c r="G1795" s="11" t="str">
        <f t="shared" ref="G1795:G1858" si="114">"('"&amp;E1795&amp;"','"&amp;B1795&amp;"','"&amp;ROUND(D1795,2)&amp;"',(select max(to_number(i.premium_rcv_detail_code))+1
from ins_premium_det i),'"&amp;D1795&amp;"','"&amp;D1795&amp;"','02', '11000003','00','Request by Mr. Omair Ali 29-Nov-2024');"</f>
        <v>('28Nov240101','040000134594','1',(select max(to_number(i.premium_rcv_detail_code))+1
from ins_premium_det i),'1','1','02', '11000003','00','Request by Mr. Omair Ali 29-Nov-2024');</v>
      </c>
      <c r="H1795" s="12" t="str">
        <f t="shared" ref="H1795:H1858" si="115">F1795&amp;G1795</f>
        <v>insert into ins_premium_det (premium_rcv_code,assorted_code, rec_amount,premium_rcv_detail_code,remaining_amt, payrec, mode_code,coinsurance_code,class_cd,it_remarks) values('28Nov240101','040000134594','1',(select max(to_number(i.premium_rcv_detail_code))+1
from ins_premium_det i),'1','1','02', '11000003','00','Request by Mr. Omair Ali 29-Nov-2024');</v>
      </c>
    </row>
    <row r="1796" spans="1:8" ht="105" x14ac:dyDescent="0.25">
      <c r="A1796" t="s">
        <v>1796</v>
      </c>
      <c r="B1796" s="8" t="str">
        <f>VLOOKUP(A1796,assortedcode!B:C,2,0)</f>
        <v>040000125605</v>
      </c>
      <c r="C1796" s="1">
        <v>1</v>
      </c>
      <c r="D1796" s="9">
        <f t="shared" si="113"/>
        <v>1</v>
      </c>
      <c r="E1796" s="7" t="s">
        <v>8345</v>
      </c>
      <c r="F1796" s="10" t="str">
        <f t="shared" si="112"/>
        <v>insert into ins_premium_det (premium_rcv_code,assorted_code, rec_amount,premium_rcv_detail_code,remaining_amt, payrec, mode_code,coinsurance_code,class_cd,it_remarks) values</v>
      </c>
      <c r="G1796" s="11" t="str">
        <f t="shared" si="114"/>
        <v>('28Nov240101','040000125605','1',(select max(to_number(i.premium_rcv_detail_code))+1
from ins_premium_det i),'1','1','02', '11000003','00','Request by Mr. Omair Ali 29-Nov-2024');</v>
      </c>
      <c r="H1796" s="12" t="str">
        <f t="shared" si="115"/>
        <v>insert into ins_premium_det (premium_rcv_code,assorted_code, rec_amount,premium_rcv_detail_code,remaining_amt, payrec, mode_code,coinsurance_code,class_cd,it_remarks) values('28Nov240101','040000125605','1',(select max(to_number(i.premium_rcv_detail_code))+1
from ins_premium_det i),'1','1','02', '11000003','00','Request by Mr. Omair Ali 29-Nov-2024');</v>
      </c>
    </row>
    <row r="1797" spans="1:8" ht="105" x14ac:dyDescent="0.25">
      <c r="A1797" t="s">
        <v>1797</v>
      </c>
      <c r="B1797" s="8" t="str">
        <f>VLOOKUP(A1797,assortedcode!B:C,2,0)</f>
        <v>040000120751</v>
      </c>
      <c r="C1797" s="1">
        <v>1</v>
      </c>
      <c r="D1797" s="9">
        <f t="shared" si="113"/>
        <v>1</v>
      </c>
      <c r="E1797" s="7" t="s">
        <v>8345</v>
      </c>
      <c r="F1797" s="10" t="str">
        <f t="shared" si="112"/>
        <v>insert into ins_premium_det (premium_rcv_code,assorted_code, rec_amount,premium_rcv_detail_code,remaining_amt, payrec, mode_code,coinsurance_code,class_cd,it_remarks) values</v>
      </c>
      <c r="G1797" s="11" t="str">
        <f t="shared" si="114"/>
        <v>('28Nov240101','040000120751','1',(select max(to_number(i.premium_rcv_detail_code))+1
from ins_premium_det i),'1','1','02', '11000003','00','Request by Mr. Omair Ali 29-Nov-2024');</v>
      </c>
      <c r="H1797" s="12" t="str">
        <f t="shared" si="115"/>
        <v>insert into ins_premium_det (premium_rcv_code,assorted_code, rec_amount,premium_rcv_detail_code,remaining_amt, payrec, mode_code,coinsurance_code,class_cd,it_remarks) values('28Nov240101','040000120751','1',(select max(to_number(i.premium_rcv_detail_code))+1
from ins_premium_det i),'1','1','02', '11000003','00','Request by Mr. Omair Ali 29-Nov-2024');</v>
      </c>
    </row>
    <row r="1798" spans="1:8" ht="105" x14ac:dyDescent="0.25">
      <c r="A1798" t="s">
        <v>1798</v>
      </c>
      <c r="B1798" s="8" t="str">
        <f>VLOOKUP(A1798,assortedcode!B:C,2,0)</f>
        <v>040000125966</v>
      </c>
      <c r="C1798" s="1">
        <v>1</v>
      </c>
      <c r="D1798" s="9">
        <f t="shared" si="113"/>
        <v>1</v>
      </c>
      <c r="E1798" s="7" t="s">
        <v>8345</v>
      </c>
      <c r="F1798" s="10" t="str">
        <f t="shared" si="112"/>
        <v>insert into ins_premium_det (premium_rcv_code,assorted_code, rec_amount,premium_rcv_detail_code,remaining_amt, payrec, mode_code,coinsurance_code,class_cd,it_remarks) values</v>
      </c>
      <c r="G1798" s="11" t="str">
        <f t="shared" si="114"/>
        <v>('28Nov240101','040000125966','1',(select max(to_number(i.premium_rcv_detail_code))+1
from ins_premium_det i),'1','1','02', '11000003','00','Request by Mr. Omair Ali 29-Nov-2024');</v>
      </c>
      <c r="H1798" s="12" t="str">
        <f t="shared" si="115"/>
        <v>insert into ins_premium_det (premium_rcv_code,assorted_code, rec_amount,premium_rcv_detail_code,remaining_amt, payrec, mode_code,coinsurance_code,class_cd,it_remarks) values('28Nov240101','040000125966','1',(select max(to_number(i.premium_rcv_detail_code))+1
from ins_premium_det i),'1','1','02', '11000003','00','Request by Mr. Omair Ali 29-Nov-2024');</v>
      </c>
    </row>
    <row r="1799" spans="1:8" ht="105" x14ac:dyDescent="0.25">
      <c r="A1799" t="s">
        <v>1799</v>
      </c>
      <c r="B1799" s="8" t="str">
        <f>VLOOKUP(A1799,assortedcode!B:C,2,0)</f>
        <v>040000134662</v>
      </c>
      <c r="C1799" s="1">
        <v>1</v>
      </c>
      <c r="D1799" s="9">
        <f t="shared" si="113"/>
        <v>1</v>
      </c>
      <c r="E1799" s="7" t="s">
        <v>8345</v>
      </c>
      <c r="F1799" s="10" t="str">
        <f t="shared" si="112"/>
        <v>insert into ins_premium_det (premium_rcv_code,assorted_code, rec_amount,premium_rcv_detail_code,remaining_amt, payrec, mode_code,coinsurance_code,class_cd,it_remarks) values</v>
      </c>
      <c r="G1799" s="11" t="str">
        <f t="shared" si="114"/>
        <v>('28Nov240101','040000134662','1',(select max(to_number(i.premium_rcv_detail_code))+1
from ins_premium_det i),'1','1','02', '11000003','00','Request by Mr. Omair Ali 29-Nov-2024');</v>
      </c>
      <c r="H1799" s="12" t="str">
        <f t="shared" si="115"/>
        <v>insert into ins_premium_det (premium_rcv_code,assorted_code, rec_amount,premium_rcv_detail_code,remaining_amt, payrec, mode_code,coinsurance_code,class_cd,it_remarks) values('28Nov240101','040000134662','1',(select max(to_number(i.premium_rcv_detail_code))+1
from ins_premium_det i),'1','1','02', '11000003','00','Request by Mr. Omair Ali 29-Nov-2024');</v>
      </c>
    </row>
    <row r="1800" spans="1:8" ht="105" x14ac:dyDescent="0.25">
      <c r="A1800" t="s">
        <v>1800</v>
      </c>
      <c r="B1800" s="8" t="str">
        <f>VLOOKUP(A1800,assortedcode!B:C,2,0)</f>
        <v>040000113859</v>
      </c>
      <c r="C1800" s="1">
        <v>1</v>
      </c>
      <c r="D1800" s="9">
        <f t="shared" si="113"/>
        <v>1</v>
      </c>
      <c r="E1800" s="7" t="s">
        <v>8345</v>
      </c>
      <c r="F1800" s="10" t="str">
        <f t="shared" si="112"/>
        <v>insert into ins_premium_det (premium_rcv_code,assorted_code, rec_amount,premium_rcv_detail_code,remaining_amt, payrec, mode_code,coinsurance_code,class_cd,it_remarks) values</v>
      </c>
      <c r="G1800" s="11" t="str">
        <f t="shared" si="114"/>
        <v>('28Nov240101','040000113859','1',(select max(to_number(i.premium_rcv_detail_code))+1
from ins_premium_det i),'1','1','02', '11000003','00','Request by Mr. Omair Ali 29-Nov-2024');</v>
      </c>
      <c r="H1800" s="12" t="str">
        <f t="shared" si="115"/>
        <v>insert into ins_premium_det (premium_rcv_code,assorted_code, rec_amount,premium_rcv_detail_code,remaining_amt, payrec, mode_code,coinsurance_code,class_cd,it_remarks) values('28Nov240101','040000113859','1',(select max(to_number(i.premium_rcv_detail_code))+1
from ins_premium_det i),'1','1','02', '11000003','00','Request by Mr. Omair Ali 29-Nov-2024');</v>
      </c>
    </row>
    <row r="1801" spans="1:8" ht="105" x14ac:dyDescent="0.25">
      <c r="A1801" t="s">
        <v>1801</v>
      </c>
      <c r="B1801" s="8" t="str">
        <f>VLOOKUP(A1801,assortedcode!B:C,2,0)</f>
        <v>040000134805</v>
      </c>
      <c r="C1801" s="1">
        <v>1</v>
      </c>
      <c r="D1801" s="9">
        <f t="shared" si="113"/>
        <v>1</v>
      </c>
      <c r="E1801" s="7" t="s">
        <v>8345</v>
      </c>
      <c r="F1801" s="10" t="str">
        <f t="shared" si="112"/>
        <v>insert into ins_premium_det (premium_rcv_code,assorted_code, rec_amount,premium_rcv_detail_code,remaining_amt, payrec, mode_code,coinsurance_code,class_cd,it_remarks) values</v>
      </c>
      <c r="G1801" s="11" t="str">
        <f t="shared" si="114"/>
        <v>('28Nov240101','040000134805','1',(select max(to_number(i.premium_rcv_detail_code))+1
from ins_premium_det i),'1','1','02', '11000003','00','Request by Mr. Omair Ali 29-Nov-2024');</v>
      </c>
      <c r="H1801" s="12" t="str">
        <f t="shared" si="115"/>
        <v>insert into ins_premium_det (premium_rcv_code,assorted_code, rec_amount,premium_rcv_detail_code,remaining_amt, payrec, mode_code,coinsurance_code,class_cd,it_remarks) values('28Nov240101','040000134805','1',(select max(to_number(i.premium_rcv_detail_code))+1
from ins_premium_det i),'1','1','02', '11000003','00','Request by Mr. Omair Ali 29-Nov-2024');</v>
      </c>
    </row>
    <row r="1802" spans="1:8" ht="105" x14ac:dyDescent="0.25">
      <c r="A1802" t="s">
        <v>1802</v>
      </c>
      <c r="B1802" s="8" t="str">
        <f>VLOOKUP(A1802,assortedcode!B:C,2,0)</f>
        <v>040000114898</v>
      </c>
      <c r="C1802" s="1">
        <v>1</v>
      </c>
      <c r="D1802" s="9">
        <f t="shared" si="113"/>
        <v>1</v>
      </c>
      <c r="E1802" s="7" t="s">
        <v>8345</v>
      </c>
      <c r="F1802" s="10" t="str">
        <f t="shared" si="112"/>
        <v>insert into ins_premium_det (premium_rcv_code,assorted_code, rec_amount,premium_rcv_detail_code,remaining_amt, payrec, mode_code,coinsurance_code,class_cd,it_remarks) values</v>
      </c>
      <c r="G1802" s="11" t="str">
        <f t="shared" si="114"/>
        <v>('28Nov240101','040000114898','1',(select max(to_number(i.premium_rcv_detail_code))+1
from ins_premium_det i),'1','1','02', '11000003','00','Request by Mr. Omair Ali 29-Nov-2024');</v>
      </c>
      <c r="H1802" s="12" t="str">
        <f t="shared" si="115"/>
        <v>insert into ins_premium_det (premium_rcv_code,assorted_code, rec_amount,premium_rcv_detail_code,remaining_amt, payrec, mode_code,coinsurance_code,class_cd,it_remarks) values('28Nov240101','040000114898','1',(select max(to_number(i.premium_rcv_detail_code))+1
from ins_premium_det i),'1','1','02', '11000003','00','Request by Mr. Omair Ali 29-Nov-2024');</v>
      </c>
    </row>
    <row r="1803" spans="1:8" ht="105" x14ac:dyDescent="0.25">
      <c r="A1803" t="s">
        <v>1803</v>
      </c>
      <c r="B1803" s="8" t="str">
        <f>VLOOKUP(A1803,assortedcode!B:C,2,0)</f>
        <v>040000140773</v>
      </c>
      <c r="C1803" s="1">
        <v>1</v>
      </c>
      <c r="D1803" s="9">
        <f t="shared" si="113"/>
        <v>1</v>
      </c>
      <c r="E1803" s="7" t="s">
        <v>8345</v>
      </c>
      <c r="F1803" s="10" t="str">
        <f t="shared" si="112"/>
        <v>insert into ins_premium_det (premium_rcv_code,assorted_code, rec_amount,premium_rcv_detail_code,remaining_amt, payrec, mode_code,coinsurance_code,class_cd,it_remarks) values</v>
      </c>
      <c r="G1803" s="11" t="str">
        <f t="shared" si="114"/>
        <v>('28Nov240101','040000140773','1',(select max(to_number(i.premium_rcv_detail_code))+1
from ins_premium_det i),'1','1','02', '11000003','00','Request by Mr. Omair Ali 29-Nov-2024');</v>
      </c>
      <c r="H1803" s="12" t="str">
        <f t="shared" si="115"/>
        <v>insert into ins_premium_det (premium_rcv_code,assorted_code, rec_amount,premium_rcv_detail_code,remaining_amt, payrec, mode_code,coinsurance_code,class_cd,it_remarks) values('28Nov240101','040000140773','1',(select max(to_number(i.premium_rcv_detail_code))+1
from ins_premium_det i),'1','1','02', '11000003','00','Request by Mr. Omair Ali 29-Nov-2024');</v>
      </c>
    </row>
    <row r="1804" spans="1:8" ht="105" x14ac:dyDescent="0.25">
      <c r="A1804" t="s">
        <v>1804</v>
      </c>
      <c r="B1804" s="8" t="str">
        <f>VLOOKUP(A1804,assortedcode!B:C,2,0)</f>
        <v>040000141664</v>
      </c>
      <c r="C1804" s="1">
        <v>1</v>
      </c>
      <c r="D1804" s="9">
        <f t="shared" si="113"/>
        <v>1</v>
      </c>
      <c r="E1804" s="7" t="s">
        <v>8345</v>
      </c>
      <c r="F1804" s="10" t="str">
        <f t="shared" si="112"/>
        <v>insert into ins_premium_det (premium_rcv_code,assorted_code, rec_amount,premium_rcv_detail_code,remaining_amt, payrec, mode_code,coinsurance_code,class_cd,it_remarks) values</v>
      </c>
      <c r="G1804" s="11" t="str">
        <f t="shared" si="114"/>
        <v>('28Nov240101','040000141664','1',(select max(to_number(i.premium_rcv_detail_code))+1
from ins_premium_det i),'1','1','02', '11000003','00','Request by Mr. Omair Ali 29-Nov-2024');</v>
      </c>
      <c r="H1804" s="12" t="str">
        <f t="shared" si="115"/>
        <v>insert into ins_premium_det (premium_rcv_code,assorted_code, rec_amount,premium_rcv_detail_code,remaining_amt, payrec, mode_code,coinsurance_code,class_cd,it_remarks) values('28Nov240101','040000141664','1',(select max(to_number(i.premium_rcv_detail_code))+1
from ins_premium_det i),'1','1','02', '11000003','00','Request by Mr. Omair Ali 29-Nov-2024');</v>
      </c>
    </row>
    <row r="1805" spans="1:8" ht="105" x14ac:dyDescent="0.25">
      <c r="A1805" t="s">
        <v>1805</v>
      </c>
      <c r="B1805" s="8" t="str">
        <f>VLOOKUP(A1805,assortedcode!B:C,2,0)</f>
        <v>040000134880</v>
      </c>
      <c r="C1805" s="1">
        <v>1</v>
      </c>
      <c r="D1805" s="9">
        <f t="shared" si="113"/>
        <v>1</v>
      </c>
      <c r="E1805" s="7" t="s">
        <v>8345</v>
      </c>
      <c r="F1805" s="10" t="str">
        <f t="shared" si="112"/>
        <v>insert into ins_premium_det (premium_rcv_code,assorted_code, rec_amount,premium_rcv_detail_code,remaining_amt, payrec, mode_code,coinsurance_code,class_cd,it_remarks) values</v>
      </c>
      <c r="G1805" s="11" t="str">
        <f t="shared" si="114"/>
        <v>('28Nov240101','040000134880','1',(select max(to_number(i.premium_rcv_detail_code))+1
from ins_premium_det i),'1','1','02', '11000003','00','Request by Mr. Omair Ali 29-Nov-2024');</v>
      </c>
      <c r="H1805" s="12" t="str">
        <f t="shared" si="115"/>
        <v>insert into ins_premium_det (premium_rcv_code,assorted_code, rec_amount,premium_rcv_detail_code,remaining_amt, payrec, mode_code,coinsurance_code,class_cd,it_remarks) values('28Nov240101','040000134880','1',(select max(to_number(i.premium_rcv_detail_code))+1
from ins_premium_det i),'1','1','02', '11000003','00','Request by Mr. Omair Ali 29-Nov-2024');</v>
      </c>
    </row>
    <row r="1806" spans="1:8" ht="105" x14ac:dyDescent="0.25">
      <c r="A1806" t="s">
        <v>1806</v>
      </c>
      <c r="B1806" s="8" t="str">
        <f>VLOOKUP(A1806,assortedcode!B:C,2,0)</f>
        <v>040000149884</v>
      </c>
      <c r="C1806" s="1">
        <v>1</v>
      </c>
      <c r="D1806" s="9">
        <f t="shared" si="113"/>
        <v>1</v>
      </c>
      <c r="E1806" s="7" t="s">
        <v>8345</v>
      </c>
      <c r="F1806" s="10" t="str">
        <f t="shared" si="112"/>
        <v>insert into ins_premium_det (premium_rcv_code,assorted_code, rec_amount,premium_rcv_detail_code,remaining_amt, payrec, mode_code,coinsurance_code,class_cd,it_remarks) values</v>
      </c>
      <c r="G1806" s="11" t="str">
        <f t="shared" si="114"/>
        <v>('28Nov240101','040000149884','1',(select max(to_number(i.premium_rcv_detail_code))+1
from ins_premium_det i),'1','1','02', '11000003','00','Request by Mr. Omair Ali 29-Nov-2024');</v>
      </c>
      <c r="H1806" s="12" t="str">
        <f t="shared" si="115"/>
        <v>insert into ins_premium_det (premium_rcv_code,assorted_code, rec_amount,premium_rcv_detail_code,remaining_amt, payrec, mode_code,coinsurance_code,class_cd,it_remarks) values('28Nov240101','040000149884','1',(select max(to_number(i.premium_rcv_detail_code))+1
from ins_premium_det i),'1','1','02', '11000003','00','Request by Mr. Omair Ali 29-Nov-2024');</v>
      </c>
    </row>
    <row r="1807" spans="1:8" ht="105" x14ac:dyDescent="0.25">
      <c r="A1807" t="s">
        <v>1807</v>
      </c>
      <c r="B1807" s="8" t="str">
        <f>VLOOKUP(A1807,assortedcode!B:C,2,0)</f>
        <v>040000121039</v>
      </c>
      <c r="C1807" s="1">
        <v>1</v>
      </c>
      <c r="D1807" s="9">
        <f t="shared" si="113"/>
        <v>1</v>
      </c>
      <c r="E1807" s="7" t="s">
        <v>8345</v>
      </c>
      <c r="F1807" s="10" t="str">
        <f t="shared" si="112"/>
        <v>insert into ins_premium_det (premium_rcv_code,assorted_code, rec_amount,premium_rcv_detail_code,remaining_amt, payrec, mode_code,coinsurance_code,class_cd,it_remarks) values</v>
      </c>
      <c r="G1807" s="11" t="str">
        <f t="shared" si="114"/>
        <v>('28Nov240101','040000121039','1',(select max(to_number(i.premium_rcv_detail_code))+1
from ins_premium_det i),'1','1','02', '11000003','00','Request by Mr. Omair Ali 29-Nov-2024');</v>
      </c>
      <c r="H1807" s="12" t="str">
        <f t="shared" si="115"/>
        <v>insert into ins_premium_det (premium_rcv_code,assorted_code, rec_amount,premium_rcv_detail_code,remaining_amt, payrec, mode_code,coinsurance_code,class_cd,it_remarks) values('28Nov240101','040000121039','1',(select max(to_number(i.premium_rcv_detail_code))+1
from ins_premium_det i),'1','1','02', '11000003','00','Request by Mr. Omair Ali 29-Nov-2024');</v>
      </c>
    </row>
    <row r="1808" spans="1:8" ht="105" x14ac:dyDescent="0.25">
      <c r="A1808" t="s">
        <v>1808</v>
      </c>
      <c r="B1808" s="8" t="str">
        <f>VLOOKUP(A1808,assortedcode!B:C,2,0)</f>
        <v>040000130702</v>
      </c>
      <c r="C1808" s="1">
        <v>1</v>
      </c>
      <c r="D1808" s="9">
        <f t="shared" si="113"/>
        <v>1</v>
      </c>
      <c r="E1808" s="7" t="s">
        <v>8345</v>
      </c>
      <c r="F1808" s="10" t="str">
        <f t="shared" si="112"/>
        <v>insert into ins_premium_det (premium_rcv_code,assorted_code, rec_amount,premium_rcv_detail_code,remaining_amt, payrec, mode_code,coinsurance_code,class_cd,it_remarks) values</v>
      </c>
      <c r="G1808" s="11" t="str">
        <f t="shared" si="114"/>
        <v>('28Nov240101','040000130702','1',(select max(to_number(i.premium_rcv_detail_code))+1
from ins_premium_det i),'1','1','02', '11000003','00','Request by Mr. Omair Ali 29-Nov-2024');</v>
      </c>
      <c r="H1808" s="12" t="str">
        <f t="shared" si="115"/>
        <v>insert into ins_premium_det (premium_rcv_code,assorted_code, rec_amount,premium_rcv_detail_code,remaining_amt, payrec, mode_code,coinsurance_code,class_cd,it_remarks) values('28Nov240101','040000130702','1',(select max(to_number(i.premium_rcv_detail_code))+1
from ins_premium_det i),'1','1','02', '11000003','00','Request by Mr. Omair Ali 29-Nov-2024');</v>
      </c>
    </row>
    <row r="1809" spans="1:8" ht="105" x14ac:dyDescent="0.25">
      <c r="A1809" t="s">
        <v>1809</v>
      </c>
      <c r="B1809" s="8" t="str">
        <f>VLOOKUP(A1809,assortedcode!B:C,2,0)</f>
        <v>040000143982</v>
      </c>
      <c r="C1809" s="1">
        <v>1</v>
      </c>
      <c r="D1809" s="9">
        <f t="shared" si="113"/>
        <v>1</v>
      </c>
      <c r="E1809" s="7" t="s">
        <v>8345</v>
      </c>
      <c r="F1809" s="10" t="str">
        <f t="shared" si="112"/>
        <v>insert into ins_premium_det (premium_rcv_code,assorted_code, rec_amount,premium_rcv_detail_code,remaining_amt, payrec, mode_code,coinsurance_code,class_cd,it_remarks) values</v>
      </c>
      <c r="G1809" s="11" t="str">
        <f t="shared" si="114"/>
        <v>('28Nov240101','040000143982','1',(select max(to_number(i.premium_rcv_detail_code))+1
from ins_premium_det i),'1','1','02', '11000003','00','Request by Mr. Omair Ali 29-Nov-2024');</v>
      </c>
      <c r="H1809" s="12" t="str">
        <f t="shared" si="115"/>
        <v>insert into ins_premium_det (premium_rcv_code,assorted_code, rec_amount,premium_rcv_detail_code,remaining_amt, payrec, mode_code,coinsurance_code,class_cd,it_remarks) values('28Nov240101','040000143982','1',(select max(to_number(i.premium_rcv_detail_code))+1
from ins_premium_det i),'1','1','02', '11000003','00','Request by Mr. Omair Ali 29-Nov-2024');</v>
      </c>
    </row>
    <row r="1810" spans="1:8" ht="105" x14ac:dyDescent="0.25">
      <c r="A1810" t="s">
        <v>1810</v>
      </c>
      <c r="B1810" s="8" t="str">
        <f>VLOOKUP(A1810,assortedcode!B:C,2,0)</f>
        <v>040000110020</v>
      </c>
      <c r="C1810" s="1">
        <v>1</v>
      </c>
      <c r="D1810" s="9">
        <f t="shared" si="113"/>
        <v>1</v>
      </c>
      <c r="E1810" s="7" t="s">
        <v>8345</v>
      </c>
      <c r="F1810" s="10" t="str">
        <f t="shared" si="112"/>
        <v>insert into ins_premium_det (premium_rcv_code,assorted_code, rec_amount,premium_rcv_detail_code,remaining_amt, payrec, mode_code,coinsurance_code,class_cd,it_remarks) values</v>
      </c>
      <c r="G1810" s="11" t="str">
        <f t="shared" si="114"/>
        <v>('28Nov240101','040000110020','1',(select max(to_number(i.premium_rcv_detail_code))+1
from ins_premium_det i),'1','1','02', '11000003','00','Request by Mr. Omair Ali 29-Nov-2024');</v>
      </c>
      <c r="H1810" s="12" t="str">
        <f t="shared" si="115"/>
        <v>insert into ins_premium_det (premium_rcv_code,assorted_code, rec_amount,premium_rcv_detail_code,remaining_amt, payrec, mode_code,coinsurance_code,class_cd,it_remarks) values('28Nov240101','040000110020','1',(select max(to_number(i.premium_rcv_detail_code))+1
from ins_premium_det i),'1','1','02', '11000003','00','Request by Mr. Omair Ali 29-Nov-2024');</v>
      </c>
    </row>
    <row r="1811" spans="1:8" ht="105" x14ac:dyDescent="0.25">
      <c r="A1811" t="s">
        <v>1811</v>
      </c>
      <c r="B1811" s="8" t="str">
        <f>VLOOKUP(A1811,assortedcode!B:C,2,0)</f>
        <v>040000145460</v>
      </c>
      <c r="C1811" s="1">
        <v>1</v>
      </c>
      <c r="D1811" s="9">
        <f t="shared" si="113"/>
        <v>1</v>
      </c>
      <c r="E1811" s="7" t="s">
        <v>8345</v>
      </c>
      <c r="F1811" s="10" t="str">
        <f t="shared" si="112"/>
        <v>insert into ins_premium_det (premium_rcv_code,assorted_code, rec_amount,premium_rcv_detail_code,remaining_amt, payrec, mode_code,coinsurance_code,class_cd,it_remarks) values</v>
      </c>
      <c r="G1811" s="11" t="str">
        <f t="shared" si="114"/>
        <v>('28Nov240101','040000145460','1',(select max(to_number(i.premium_rcv_detail_code))+1
from ins_premium_det i),'1','1','02', '11000003','00','Request by Mr. Omair Ali 29-Nov-2024');</v>
      </c>
      <c r="H1811" s="12" t="str">
        <f t="shared" si="115"/>
        <v>insert into ins_premium_det (premium_rcv_code,assorted_code, rec_amount,premium_rcv_detail_code,remaining_amt, payrec, mode_code,coinsurance_code,class_cd,it_remarks) values('28Nov240101','040000145460','1',(select max(to_number(i.premium_rcv_detail_code))+1
from ins_premium_det i),'1','1','02', '11000003','00','Request by Mr. Omair Ali 29-Nov-2024');</v>
      </c>
    </row>
    <row r="1812" spans="1:8" ht="105" x14ac:dyDescent="0.25">
      <c r="A1812" t="s">
        <v>1812</v>
      </c>
      <c r="B1812" s="8" t="str">
        <f>VLOOKUP(A1812,assortedcode!B:C,2,0)</f>
        <v>040000125249</v>
      </c>
      <c r="C1812" s="1">
        <v>1</v>
      </c>
      <c r="D1812" s="9">
        <f t="shared" si="113"/>
        <v>1</v>
      </c>
      <c r="E1812" s="7" t="s">
        <v>8345</v>
      </c>
      <c r="F1812" s="10" t="str">
        <f t="shared" si="112"/>
        <v>insert into ins_premium_det (premium_rcv_code,assorted_code, rec_amount,premium_rcv_detail_code,remaining_amt, payrec, mode_code,coinsurance_code,class_cd,it_remarks) values</v>
      </c>
      <c r="G1812" s="11" t="str">
        <f t="shared" si="114"/>
        <v>('28Nov240101','040000125249','1',(select max(to_number(i.premium_rcv_detail_code))+1
from ins_premium_det i),'1','1','02', '11000003','00','Request by Mr. Omair Ali 29-Nov-2024');</v>
      </c>
      <c r="H1812" s="12" t="str">
        <f t="shared" si="115"/>
        <v>insert into ins_premium_det (premium_rcv_code,assorted_code, rec_amount,premium_rcv_detail_code,remaining_amt, payrec, mode_code,coinsurance_code,class_cd,it_remarks) values('28Nov240101','040000125249','1',(select max(to_number(i.premium_rcv_detail_code))+1
from ins_premium_det i),'1','1','02', '11000003','00','Request by Mr. Omair Ali 29-Nov-2024');</v>
      </c>
    </row>
    <row r="1813" spans="1:8" ht="105" x14ac:dyDescent="0.25">
      <c r="A1813" t="s">
        <v>1813</v>
      </c>
      <c r="B1813" s="8" t="str">
        <f>VLOOKUP(A1813,assortedcode!B:C,2,0)</f>
        <v>040000145528</v>
      </c>
      <c r="C1813" s="1">
        <v>1</v>
      </c>
      <c r="D1813" s="9">
        <f t="shared" si="113"/>
        <v>1</v>
      </c>
      <c r="E1813" s="7" t="s">
        <v>8345</v>
      </c>
      <c r="F1813" s="10" t="str">
        <f t="shared" si="112"/>
        <v>insert into ins_premium_det (premium_rcv_code,assorted_code, rec_amount,premium_rcv_detail_code,remaining_amt, payrec, mode_code,coinsurance_code,class_cd,it_remarks) values</v>
      </c>
      <c r="G1813" s="11" t="str">
        <f t="shared" si="114"/>
        <v>('28Nov240101','040000145528','1',(select max(to_number(i.premium_rcv_detail_code))+1
from ins_premium_det i),'1','1','02', '11000003','00','Request by Mr. Omair Ali 29-Nov-2024');</v>
      </c>
      <c r="H1813" s="12" t="str">
        <f t="shared" si="115"/>
        <v>insert into ins_premium_det (premium_rcv_code,assorted_code, rec_amount,premium_rcv_detail_code,remaining_amt, payrec, mode_code,coinsurance_code,class_cd,it_remarks) values('28Nov240101','040000145528','1',(select max(to_number(i.premium_rcv_detail_code))+1
from ins_premium_det i),'1','1','02', '11000003','00','Request by Mr. Omair Ali 29-Nov-2024');</v>
      </c>
    </row>
    <row r="1814" spans="1:8" ht="105" x14ac:dyDescent="0.25">
      <c r="A1814" t="s">
        <v>1814</v>
      </c>
      <c r="B1814" s="8" t="str">
        <f>VLOOKUP(A1814,assortedcode!B:C,2,0)</f>
        <v>040000131508</v>
      </c>
      <c r="C1814" s="1">
        <v>1</v>
      </c>
      <c r="D1814" s="9">
        <f t="shared" si="113"/>
        <v>1</v>
      </c>
      <c r="E1814" s="7" t="s">
        <v>8345</v>
      </c>
      <c r="F1814" s="10" t="str">
        <f t="shared" si="112"/>
        <v>insert into ins_premium_det (premium_rcv_code,assorted_code, rec_amount,premium_rcv_detail_code,remaining_amt, payrec, mode_code,coinsurance_code,class_cd,it_remarks) values</v>
      </c>
      <c r="G1814" s="11" t="str">
        <f t="shared" si="114"/>
        <v>('28Nov240101','040000131508','1',(select max(to_number(i.premium_rcv_detail_code))+1
from ins_premium_det i),'1','1','02', '11000003','00','Request by Mr. Omair Ali 29-Nov-2024');</v>
      </c>
      <c r="H1814" s="12" t="str">
        <f t="shared" si="115"/>
        <v>insert into ins_premium_det (premium_rcv_code,assorted_code, rec_amount,premium_rcv_detail_code,remaining_amt, payrec, mode_code,coinsurance_code,class_cd,it_remarks) values('28Nov240101','040000131508','1',(select max(to_number(i.premium_rcv_detail_code))+1
from ins_premium_det i),'1','1','02', '11000003','00','Request by Mr. Omair Ali 29-Nov-2024');</v>
      </c>
    </row>
    <row r="1815" spans="1:8" ht="105" x14ac:dyDescent="0.25">
      <c r="A1815" t="s">
        <v>1815</v>
      </c>
      <c r="B1815" s="8" t="str">
        <f>VLOOKUP(A1815,assortedcode!B:C,2,0)</f>
        <v>040000136237</v>
      </c>
      <c r="C1815" s="1">
        <v>1</v>
      </c>
      <c r="D1815" s="9">
        <f t="shared" si="113"/>
        <v>1</v>
      </c>
      <c r="E1815" s="7" t="s">
        <v>8345</v>
      </c>
      <c r="F1815" s="10" t="str">
        <f t="shared" si="112"/>
        <v>insert into ins_premium_det (premium_rcv_code,assorted_code, rec_amount,premium_rcv_detail_code,remaining_amt, payrec, mode_code,coinsurance_code,class_cd,it_remarks) values</v>
      </c>
      <c r="G1815" s="11" t="str">
        <f t="shared" si="114"/>
        <v>('28Nov240101','040000136237','1',(select max(to_number(i.premium_rcv_detail_code))+1
from ins_premium_det i),'1','1','02', '11000003','00','Request by Mr. Omair Ali 29-Nov-2024');</v>
      </c>
      <c r="H1815" s="12" t="str">
        <f t="shared" si="115"/>
        <v>insert into ins_premium_det (premium_rcv_code,assorted_code, rec_amount,premium_rcv_detail_code,remaining_amt, payrec, mode_code,coinsurance_code,class_cd,it_remarks) values('28Nov240101','040000136237','1',(select max(to_number(i.premium_rcv_detail_code))+1
from ins_premium_det i),'1','1','02', '11000003','00','Request by Mr. Omair Ali 29-Nov-2024');</v>
      </c>
    </row>
    <row r="1816" spans="1:8" ht="105" x14ac:dyDescent="0.25">
      <c r="A1816" t="s">
        <v>1816</v>
      </c>
      <c r="B1816" s="8" t="str">
        <f>VLOOKUP(A1816,assortedcode!B:C,2,0)</f>
        <v>040000123304</v>
      </c>
      <c r="C1816" s="1">
        <v>1</v>
      </c>
      <c r="D1816" s="9">
        <f t="shared" si="113"/>
        <v>1</v>
      </c>
      <c r="E1816" s="7" t="s">
        <v>8345</v>
      </c>
      <c r="F1816" s="10" t="str">
        <f t="shared" si="112"/>
        <v>insert into ins_premium_det (premium_rcv_code,assorted_code, rec_amount,premium_rcv_detail_code,remaining_amt, payrec, mode_code,coinsurance_code,class_cd,it_remarks) values</v>
      </c>
      <c r="G1816" s="11" t="str">
        <f t="shared" si="114"/>
        <v>('28Nov240101','040000123304','1',(select max(to_number(i.premium_rcv_detail_code))+1
from ins_premium_det i),'1','1','02', '11000003','00','Request by Mr. Omair Ali 29-Nov-2024');</v>
      </c>
      <c r="H1816" s="12" t="str">
        <f t="shared" si="115"/>
        <v>insert into ins_premium_det (premium_rcv_code,assorted_code, rec_amount,premium_rcv_detail_code,remaining_amt, payrec, mode_code,coinsurance_code,class_cd,it_remarks) values('28Nov240101','040000123304','1',(select max(to_number(i.premium_rcv_detail_code))+1
from ins_premium_det i),'1','1','02', '11000003','00','Request by Mr. Omair Ali 29-Nov-2024');</v>
      </c>
    </row>
    <row r="1817" spans="1:8" ht="105" x14ac:dyDescent="0.25">
      <c r="A1817" t="s">
        <v>1817</v>
      </c>
      <c r="B1817" s="8" t="str">
        <f>VLOOKUP(A1817,assortedcode!B:C,2,0)</f>
        <v>040000121228</v>
      </c>
      <c r="C1817" s="1">
        <v>1</v>
      </c>
      <c r="D1817" s="9">
        <f t="shared" si="113"/>
        <v>1</v>
      </c>
      <c r="E1817" s="7" t="s">
        <v>8345</v>
      </c>
      <c r="F1817" s="10" t="str">
        <f t="shared" si="112"/>
        <v>insert into ins_premium_det (premium_rcv_code,assorted_code, rec_amount,premium_rcv_detail_code,remaining_amt, payrec, mode_code,coinsurance_code,class_cd,it_remarks) values</v>
      </c>
      <c r="G1817" s="11" t="str">
        <f t="shared" si="114"/>
        <v>('28Nov240101','040000121228','1',(select max(to_number(i.premium_rcv_detail_code))+1
from ins_premium_det i),'1','1','02', '11000003','00','Request by Mr. Omair Ali 29-Nov-2024');</v>
      </c>
      <c r="H1817" s="12" t="str">
        <f t="shared" si="115"/>
        <v>insert into ins_premium_det (premium_rcv_code,assorted_code, rec_amount,premium_rcv_detail_code,remaining_amt, payrec, mode_code,coinsurance_code,class_cd,it_remarks) values('28Nov240101','040000121228','1',(select max(to_number(i.premium_rcv_detail_code))+1
from ins_premium_det i),'1','1','02', '11000003','00','Request by Mr. Omair Ali 29-Nov-2024');</v>
      </c>
    </row>
    <row r="1818" spans="1:8" ht="105" x14ac:dyDescent="0.25">
      <c r="A1818" t="s">
        <v>1818</v>
      </c>
      <c r="B1818" s="8" t="str">
        <f>VLOOKUP(A1818,assortedcode!B:C,2,0)</f>
        <v>040000110701</v>
      </c>
      <c r="C1818" s="1">
        <v>1</v>
      </c>
      <c r="D1818" s="9">
        <f t="shared" si="113"/>
        <v>1</v>
      </c>
      <c r="E1818" s="7" t="s">
        <v>8345</v>
      </c>
      <c r="F1818" s="10" t="str">
        <f t="shared" si="112"/>
        <v>insert into ins_premium_det (premium_rcv_code,assorted_code, rec_amount,premium_rcv_detail_code,remaining_amt, payrec, mode_code,coinsurance_code,class_cd,it_remarks) values</v>
      </c>
      <c r="G1818" s="11" t="str">
        <f t="shared" si="114"/>
        <v>('28Nov240101','040000110701','1',(select max(to_number(i.premium_rcv_detail_code))+1
from ins_premium_det i),'1','1','02', '11000003','00','Request by Mr. Omair Ali 29-Nov-2024');</v>
      </c>
      <c r="H1818" s="12" t="str">
        <f t="shared" si="115"/>
        <v>insert into ins_premium_det (premium_rcv_code,assorted_code, rec_amount,premium_rcv_detail_code,remaining_amt, payrec, mode_code,coinsurance_code,class_cd,it_remarks) values('28Nov240101','040000110701','1',(select max(to_number(i.premium_rcv_detail_code))+1
from ins_premium_det i),'1','1','02', '11000003','00','Request by Mr. Omair Ali 29-Nov-2024');</v>
      </c>
    </row>
    <row r="1819" spans="1:8" ht="105" x14ac:dyDescent="0.25">
      <c r="A1819" t="s">
        <v>1819</v>
      </c>
      <c r="B1819" s="8" t="str">
        <f>VLOOKUP(A1819,assortedcode!B:C,2,0)</f>
        <v>040000140218</v>
      </c>
      <c r="C1819" s="1">
        <v>1</v>
      </c>
      <c r="D1819" s="9">
        <f t="shared" si="113"/>
        <v>1</v>
      </c>
      <c r="E1819" s="7" t="s">
        <v>8345</v>
      </c>
      <c r="F1819" s="10" t="str">
        <f t="shared" si="112"/>
        <v>insert into ins_premium_det (premium_rcv_code,assorted_code, rec_amount,premium_rcv_detail_code,remaining_amt, payrec, mode_code,coinsurance_code,class_cd,it_remarks) values</v>
      </c>
      <c r="G1819" s="11" t="str">
        <f t="shared" si="114"/>
        <v>('28Nov240101','040000140218','1',(select max(to_number(i.premium_rcv_detail_code))+1
from ins_premium_det i),'1','1','02', '11000003','00','Request by Mr. Omair Ali 29-Nov-2024');</v>
      </c>
      <c r="H1819" s="12" t="str">
        <f t="shared" si="115"/>
        <v>insert into ins_premium_det (premium_rcv_code,assorted_code, rec_amount,premium_rcv_detail_code,remaining_amt, payrec, mode_code,coinsurance_code,class_cd,it_remarks) values('28Nov240101','040000140218','1',(select max(to_number(i.premium_rcv_detail_code))+1
from ins_premium_det i),'1','1','02', '11000003','00','Request by Mr. Omair Ali 29-Nov-2024');</v>
      </c>
    </row>
    <row r="1820" spans="1:8" ht="105" x14ac:dyDescent="0.25">
      <c r="A1820" t="s">
        <v>1820</v>
      </c>
      <c r="B1820" s="8" t="str">
        <f>VLOOKUP(A1820,assortedcode!B:C,2,0)</f>
        <v>040000109775</v>
      </c>
      <c r="C1820" s="1">
        <v>1</v>
      </c>
      <c r="D1820" s="9">
        <f t="shared" si="113"/>
        <v>1</v>
      </c>
      <c r="E1820" s="7" t="s">
        <v>8345</v>
      </c>
      <c r="F1820" s="10" t="str">
        <f t="shared" si="112"/>
        <v>insert into ins_premium_det (premium_rcv_code,assorted_code, rec_amount,premium_rcv_detail_code,remaining_amt, payrec, mode_code,coinsurance_code,class_cd,it_remarks) values</v>
      </c>
      <c r="G1820" s="11" t="str">
        <f t="shared" si="114"/>
        <v>('28Nov240101','040000109775','1',(select max(to_number(i.premium_rcv_detail_code))+1
from ins_premium_det i),'1','1','02', '11000003','00','Request by Mr. Omair Ali 29-Nov-2024');</v>
      </c>
      <c r="H1820" s="12" t="str">
        <f t="shared" si="115"/>
        <v>insert into ins_premium_det (premium_rcv_code,assorted_code, rec_amount,premium_rcv_detail_code,remaining_amt, payrec, mode_code,coinsurance_code,class_cd,it_remarks) values('28Nov240101','040000109775','1',(select max(to_number(i.premium_rcv_detail_code))+1
from ins_premium_det i),'1','1','02', '11000003','00','Request by Mr. Omair Ali 29-Nov-2024');</v>
      </c>
    </row>
    <row r="1821" spans="1:8" ht="105" x14ac:dyDescent="0.25">
      <c r="A1821" t="s">
        <v>1821</v>
      </c>
      <c r="B1821" s="8" t="str">
        <f>VLOOKUP(A1821,assortedcode!B:C,2,0)</f>
        <v>040000140851</v>
      </c>
      <c r="C1821" s="1">
        <v>1</v>
      </c>
      <c r="D1821" s="9">
        <f t="shared" si="113"/>
        <v>1</v>
      </c>
      <c r="E1821" s="7" t="s">
        <v>8345</v>
      </c>
      <c r="F1821" s="10" t="str">
        <f t="shared" si="112"/>
        <v>insert into ins_premium_det (premium_rcv_code,assorted_code, rec_amount,premium_rcv_detail_code,remaining_amt, payrec, mode_code,coinsurance_code,class_cd,it_remarks) values</v>
      </c>
      <c r="G1821" s="11" t="str">
        <f t="shared" si="114"/>
        <v>('28Nov240101','040000140851','1',(select max(to_number(i.premium_rcv_detail_code))+1
from ins_premium_det i),'1','1','02', '11000003','00','Request by Mr. Omair Ali 29-Nov-2024');</v>
      </c>
      <c r="H1821" s="12" t="str">
        <f t="shared" si="115"/>
        <v>insert into ins_premium_det (premium_rcv_code,assorted_code, rec_amount,premium_rcv_detail_code,remaining_amt, payrec, mode_code,coinsurance_code,class_cd,it_remarks) values('28Nov240101','040000140851','1',(select max(to_number(i.premium_rcv_detail_code))+1
from ins_premium_det i),'1','1','02', '11000003','00','Request by Mr. Omair Ali 29-Nov-2024');</v>
      </c>
    </row>
    <row r="1822" spans="1:8" ht="105" x14ac:dyDescent="0.25">
      <c r="A1822" t="s">
        <v>1822</v>
      </c>
      <c r="B1822" s="8" t="str">
        <f>VLOOKUP(A1822,assortedcode!B:C,2,0)</f>
        <v>040000113469</v>
      </c>
      <c r="C1822" s="1">
        <v>1</v>
      </c>
      <c r="D1822" s="9">
        <f t="shared" si="113"/>
        <v>1</v>
      </c>
      <c r="E1822" s="7" t="s">
        <v>8345</v>
      </c>
      <c r="F1822" s="10" t="str">
        <f t="shared" si="112"/>
        <v>insert into ins_premium_det (premium_rcv_code,assorted_code, rec_amount,premium_rcv_detail_code,remaining_amt, payrec, mode_code,coinsurance_code,class_cd,it_remarks) values</v>
      </c>
      <c r="G1822" s="11" t="str">
        <f t="shared" si="114"/>
        <v>('28Nov240101','040000113469','1',(select max(to_number(i.premium_rcv_detail_code))+1
from ins_premium_det i),'1','1','02', '11000003','00','Request by Mr. Omair Ali 29-Nov-2024');</v>
      </c>
      <c r="H1822" s="12" t="str">
        <f t="shared" si="115"/>
        <v>insert into ins_premium_det (premium_rcv_code,assorted_code, rec_amount,premium_rcv_detail_code,remaining_amt, payrec, mode_code,coinsurance_code,class_cd,it_remarks) values('28Nov240101','040000113469','1',(select max(to_number(i.premium_rcv_detail_code))+1
from ins_premium_det i),'1','1','02', '11000003','00','Request by Mr. Omair Ali 29-Nov-2024');</v>
      </c>
    </row>
    <row r="1823" spans="1:8" ht="105" x14ac:dyDescent="0.25">
      <c r="A1823" t="s">
        <v>1823</v>
      </c>
      <c r="B1823" s="8" t="str">
        <f>VLOOKUP(A1823,assortedcode!B:C,2,0)</f>
        <v>040000140942</v>
      </c>
      <c r="C1823" s="1">
        <v>1</v>
      </c>
      <c r="D1823" s="9">
        <f t="shared" si="113"/>
        <v>1</v>
      </c>
      <c r="E1823" s="7" t="s">
        <v>8345</v>
      </c>
      <c r="F1823" s="10" t="str">
        <f t="shared" si="112"/>
        <v>insert into ins_premium_det (premium_rcv_code,assorted_code, rec_amount,premium_rcv_detail_code,remaining_amt, payrec, mode_code,coinsurance_code,class_cd,it_remarks) values</v>
      </c>
      <c r="G1823" s="11" t="str">
        <f t="shared" si="114"/>
        <v>('28Nov240101','040000140942','1',(select max(to_number(i.premium_rcv_detail_code))+1
from ins_premium_det i),'1','1','02', '11000003','00','Request by Mr. Omair Ali 29-Nov-2024');</v>
      </c>
      <c r="H1823" s="12" t="str">
        <f t="shared" si="115"/>
        <v>insert into ins_premium_det (premium_rcv_code,assorted_code, rec_amount,premium_rcv_detail_code,remaining_amt, payrec, mode_code,coinsurance_code,class_cd,it_remarks) values('28Nov240101','040000140942','1',(select max(to_number(i.premium_rcv_detail_code))+1
from ins_premium_det i),'1','1','02', '11000003','00','Request by Mr. Omair Ali 29-Nov-2024');</v>
      </c>
    </row>
    <row r="1824" spans="1:8" ht="105" x14ac:dyDescent="0.25">
      <c r="A1824" t="s">
        <v>1824</v>
      </c>
      <c r="B1824" s="8" t="str">
        <f>VLOOKUP(A1824,assortedcode!B:C,2,0)</f>
        <v>040000141642</v>
      </c>
      <c r="C1824" s="1">
        <v>1</v>
      </c>
      <c r="D1824" s="9">
        <f t="shared" si="113"/>
        <v>1</v>
      </c>
      <c r="E1824" s="7" t="s">
        <v>8345</v>
      </c>
      <c r="F1824" s="10" t="str">
        <f t="shared" si="112"/>
        <v>insert into ins_premium_det (premium_rcv_code,assorted_code, rec_amount,premium_rcv_detail_code,remaining_amt, payrec, mode_code,coinsurance_code,class_cd,it_remarks) values</v>
      </c>
      <c r="G1824" s="11" t="str">
        <f t="shared" si="114"/>
        <v>('28Nov240101','040000141642','1',(select max(to_number(i.premium_rcv_detail_code))+1
from ins_premium_det i),'1','1','02', '11000003','00','Request by Mr. Omair Ali 29-Nov-2024');</v>
      </c>
      <c r="H1824" s="12" t="str">
        <f t="shared" si="115"/>
        <v>insert into ins_premium_det (premium_rcv_code,assorted_code, rec_amount,premium_rcv_detail_code,remaining_amt, payrec, mode_code,coinsurance_code,class_cd,it_remarks) values('28Nov240101','040000141642','1',(select max(to_number(i.premium_rcv_detail_code))+1
from ins_premium_det i),'1','1','02', '11000003','00','Request by Mr. Omair Ali 29-Nov-2024');</v>
      </c>
    </row>
    <row r="1825" spans="1:8" ht="105" x14ac:dyDescent="0.25">
      <c r="A1825" t="s">
        <v>1825</v>
      </c>
      <c r="B1825" s="8" t="str">
        <f>VLOOKUP(A1825,assortedcode!B:C,2,0)</f>
        <v>040000140944</v>
      </c>
      <c r="C1825" s="1">
        <v>1</v>
      </c>
      <c r="D1825" s="9">
        <f t="shared" si="113"/>
        <v>1</v>
      </c>
      <c r="E1825" s="7" t="s">
        <v>8345</v>
      </c>
      <c r="F1825" s="10" t="str">
        <f t="shared" si="112"/>
        <v>insert into ins_premium_det (premium_rcv_code,assorted_code, rec_amount,premium_rcv_detail_code,remaining_amt, payrec, mode_code,coinsurance_code,class_cd,it_remarks) values</v>
      </c>
      <c r="G1825" s="11" t="str">
        <f t="shared" si="114"/>
        <v>('28Nov240101','040000140944','1',(select max(to_number(i.premium_rcv_detail_code))+1
from ins_premium_det i),'1','1','02', '11000003','00','Request by Mr. Omair Ali 29-Nov-2024');</v>
      </c>
      <c r="H1825" s="12" t="str">
        <f t="shared" si="115"/>
        <v>insert into ins_premium_det (premium_rcv_code,assorted_code, rec_amount,premium_rcv_detail_code,remaining_amt, payrec, mode_code,coinsurance_code,class_cd,it_remarks) values('28Nov240101','040000140944','1',(select max(to_number(i.premium_rcv_detail_code))+1
from ins_premium_det i),'1','1','02', '11000003','00','Request by Mr. Omair Ali 29-Nov-2024');</v>
      </c>
    </row>
    <row r="1826" spans="1:8" ht="105" x14ac:dyDescent="0.25">
      <c r="A1826" t="s">
        <v>1826</v>
      </c>
      <c r="B1826" s="8" t="str">
        <f>VLOOKUP(A1826,assortedcode!B:C,2,0)</f>
        <v>040000115520</v>
      </c>
      <c r="C1826" s="1">
        <v>1</v>
      </c>
      <c r="D1826" s="9">
        <f t="shared" si="113"/>
        <v>1</v>
      </c>
      <c r="E1826" s="7" t="s">
        <v>8345</v>
      </c>
      <c r="F1826" s="10" t="str">
        <f t="shared" si="112"/>
        <v>insert into ins_premium_det (premium_rcv_code,assorted_code, rec_amount,premium_rcv_detail_code,remaining_amt, payrec, mode_code,coinsurance_code,class_cd,it_remarks) values</v>
      </c>
      <c r="G1826" s="11" t="str">
        <f t="shared" si="114"/>
        <v>('28Nov240101','040000115520','1',(select max(to_number(i.premium_rcv_detail_code))+1
from ins_premium_det i),'1','1','02', '11000003','00','Request by Mr. Omair Ali 29-Nov-2024');</v>
      </c>
      <c r="H1826" s="12" t="str">
        <f t="shared" si="115"/>
        <v>insert into ins_premium_det (premium_rcv_code,assorted_code, rec_amount,premium_rcv_detail_code,remaining_amt, payrec, mode_code,coinsurance_code,class_cd,it_remarks) values('28Nov240101','040000115520','1',(select max(to_number(i.premium_rcv_detail_code))+1
from ins_premium_det i),'1','1','02', '11000003','00','Request by Mr. Omair Ali 29-Nov-2024');</v>
      </c>
    </row>
    <row r="1827" spans="1:8" ht="105" x14ac:dyDescent="0.25">
      <c r="A1827" t="s">
        <v>1827</v>
      </c>
      <c r="B1827" s="8" t="str">
        <f>VLOOKUP(A1827,assortedcode!B:C,2,0)</f>
        <v>040000121491</v>
      </c>
      <c r="C1827" s="1">
        <v>1</v>
      </c>
      <c r="D1827" s="9">
        <f t="shared" si="113"/>
        <v>1</v>
      </c>
      <c r="E1827" s="7" t="s">
        <v>8345</v>
      </c>
      <c r="F1827" s="10" t="str">
        <f t="shared" si="112"/>
        <v>insert into ins_premium_det (premium_rcv_code,assorted_code, rec_amount,premium_rcv_detail_code,remaining_amt, payrec, mode_code,coinsurance_code,class_cd,it_remarks) values</v>
      </c>
      <c r="G1827" s="11" t="str">
        <f t="shared" si="114"/>
        <v>('28Nov240101','040000121491','1',(select max(to_number(i.premium_rcv_detail_code))+1
from ins_premium_det i),'1','1','02', '11000003','00','Request by Mr. Omair Ali 29-Nov-2024');</v>
      </c>
      <c r="H1827" s="12" t="str">
        <f t="shared" si="115"/>
        <v>insert into ins_premium_det (premium_rcv_code,assorted_code, rec_amount,premium_rcv_detail_code,remaining_amt, payrec, mode_code,coinsurance_code,class_cd,it_remarks) values('28Nov240101','040000121491','1',(select max(to_number(i.premium_rcv_detail_code))+1
from ins_premium_det i),'1','1','02', '11000003','00','Request by Mr. Omair Ali 29-Nov-2024');</v>
      </c>
    </row>
    <row r="1828" spans="1:8" ht="105" x14ac:dyDescent="0.25">
      <c r="A1828" t="s">
        <v>1828</v>
      </c>
      <c r="B1828" s="8" t="str">
        <f>VLOOKUP(A1828,assortedcode!B:C,2,0)</f>
        <v>040000124713</v>
      </c>
      <c r="C1828" s="1">
        <v>1</v>
      </c>
      <c r="D1828" s="9">
        <f t="shared" si="113"/>
        <v>1</v>
      </c>
      <c r="E1828" s="7" t="s">
        <v>8345</v>
      </c>
      <c r="F1828" s="10" t="str">
        <f t="shared" si="112"/>
        <v>insert into ins_premium_det (premium_rcv_code,assorted_code, rec_amount,premium_rcv_detail_code,remaining_amt, payrec, mode_code,coinsurance_code,class_cd,it_remarks) values</v>
      </c>
      <c r="G1828" s="11" t="str">
        <f t="shared" si="114"/>
        <v>('28Nov240101','040000124713','1',(select max(to_number(i.premium_rcv_detail_code))+1
from ins_premium_det i),'1','1','02', '11000003','00','Request by Mr. Omair Ali 29-Nov-2024');</v>
      </c>
      <c r="H1828" s="12" t="str">
        <f t="shared" si="115"/>
        <v>insert into ins_premium_det (premium_rcv_code,assorted_code, rec_amount,premium_rcv_detail_code,remaining_amt, payrec, mode_code,coinsurance_code,class_cd,it_remarks) values('28Nov240101','040000124713','1',(select max(to_number(i.premium_rcv_detail_code))+1
from ins_premium_det i),'1','1','02', '11000003','00','Request by Mr. Omair Ali 29-Nov-2024');</v>
      </c>
    </row>
    <row r="1829" spans="1:8" ht="105" x14ac:dyDescent="0.25">
      <c r="A1829" t="s">
        <v>1829</v>
      </c>
      <c r="B1829" s="8" t="str">
        <f>VLOOKUP(A1829,assortedcode!B:C,2,0)</f>
        <v>040000141584</v>
      </c>
      <c r="C1829" s="1">
        <v>1</v>
      </c>
      <c r="D1829" s="9">
        <f t="shared" si="113"/>
        <v>1</v>
      </c>
      <c r="E1829" s="7" t="s">
        <v>8345</v>
      </c>
      <c r="F1829" s="10" t="str">
        <f t="shared" si="112"/>
        <v>insert into ins_premium_det (premium_rcv_code,assorted_code, rec_amount,premium_rcv_detail_code,remaining_amt, payrec, mode_code,coinsurance_code,class_cd,it_remarks) values</v>
      </c>
      <c r="G1829" s="11" t="str">
        <f t="shared" si="114"/>
        <v>('28Nov240101','040000141584','1',(select max(to_number(i.premium_rcv_detail_code))+1
from ins_premium_det i),'1','1','02', '11000003','00','Request by Mr. Omair Ali 29-Nov-2024');</v>
      </c>
      <c r="H1829" s="12" t="str">
        <f t="shared" si="115"/>
        <v>insert into ins_premium_det (premium_rcv_code,assorted_code, rec_amount,premium_rcv_detail_code,remaining_amt, payrec, mode_code,coinsurance_code,class_cd,it_remarks) values('28Nov240101','040000141584','1',(select max(to_number(i.premium_rcv_detail_code))+1
from ins_premium_det i),'1','1','02', '11000003','00','Request by Mr. Omair Ali 29-Nov-2024');</v>
      </c>
    </row>
    <row r="1830" spans="1:8" ht="105" x14ac:dyDescent="0.25">
      <c r="A1830" t="s">
        <v>1830</v>
      </c>
      <c r="B1830" s="8" t="str">
        <f>VLOOKUP(A1830,assortedcode!B:C,2,0)</f>
        <v>040000123047</v>
      </c>
      <c r="C1830" s="1">
        <v>1</v>
      </c>
      <c r="D1830" s="9">
        <f t="shared" si="113"/>
        <v>1</v>
      </c>
      <c r="E1830" s="7" t="s">
        <v>8345</v>
      </c>
      <c r="F1830" s="10" t="str">
        <f t="shared" si="112"/>
        <v>insert into ins_premium_det (premium_rcv_code,assorted_code, rec_amount,premium_rcv_detail_code,remaining_amt, payrec, mode_code,coinsurance_code,class_cd,it_remarks) values</v>
      </c>
      <c r="G1830" s="11" t="str">
        <f t="shared" si="114"/>
        <v>('28Nov240101','040000123047','1',(select max(to_number(i.premium_rcv_detail_code))+1
from ins_premium_det i),'1','1','02', '11000003','00','Request by Mr. Omair Ali 29-Nov-2024');</v>
      </c>
      <c r="H1830" s="12" t="str">
        <f t="shared" si="115"/>
        <v>insert into ins_premium_det (premium_rcv_code,assorted_code, rec_amount,premium_rcv_detail_code,remaining_amt, payrec, mode_code,coinsurance_code,class_cd,it_remarks) values('28Nov240101','040000123047','1',(select max(to_number(i.premium_rcv_detail_code))+1
from ins_premium_det i),'1','1','02', '11000003','00','Request by Mr. Omair Ali 29-Nov-2024');</v>
      </c>
    </row>
    <row r="1831" spans="1:8" ht="105" x14ac:dyDescent="0.25">
      <c r="A1831" t="s">
        <v>1831</v>
      </c>
      <c r="B1831" s="8" t="str">
        <f>VLOOKUP(A1831,assortedcode!B:C,2,0)</f>
        <v>040000121680</v>
      </c>
      <c r="C1831" s="1">
        <v>1</v>
      </c>
      <c r="D1831" s="9">
        <f t="shared" si="113"/>
        <v>1</v>
      </c>
      <c r="E1831" s="7" t="s">
        <v>8345</v>
      </c>
      <c r="F1831" s="10" t="str">
        <f t="shared" si="112"/>
        <v>insert into ins_premium_det (premium_rcv_code,assorted_code, rec_amount,premium_rcv_detail_code,remaining_amt, payrec, mode_code,coinsurance_code,class_cd,it_remarks) values</v>
      </c>
      <c r="G1831" s="11" t="str">
        <f t="shared" si="114"/>
        <v>('28Nov240101','040000121680','1',(select max(to_number(i.premium_rcv_detail_code))+1
from ins_premium_det i),'1','1','02', '11000003','00','Request by Mr. Omair Ali 29-Nov-2024');</v>
      </c>
      <c r="H1831" s="12" t="str">
        <f t="shared" si="115"/>
        <v>insert into ins_premium_det (premium_rcv_code,assorted_code, rec_amount,premium_rcv_detail_code,remaining_amt, payrec, mode_code,coinsurance_code,class_cd,it_remarks) values('28Nov240101','040000121680','1',(select max(to_number(i.premium_rcv_detail_code))+1
from ins_premium_det i),'1','1','02', '11000003','00','Request by Mr. Omair Ali 29-Nov-2024');</v>
      </c>
    </row>
    <row r="1832" spans="1:8" ht="105" x14ac:dyDescent="0.25">
      <c r="A1832" t="s">
        <v>1832</v>
      </c>
      <c r="B1832" s="8" t="str">
        <f>VLOOKUP(A1832,assortedcode!B:C,2,0)</f>
        <v>040000123716</v>
      </c>
      <c r="C1832" s="1">
        <v>1</v>
      </c>
      <c r="D1832" s="9">
        <f t="shared" si="113"/>
        <v>1</v>
      </c>
      <c r="E1832" s="7" t="s">
        <v>8345</v>
      </c>
      <c r="F1832" s="10" t="str">
        <f t="shared" si="112"/>
        <v>insert into ins_premium_det (premium_rcv_code,assorted_code, rec_amount,premium_rcv_detail_code,remaining_amt, payrec, mode_code,coinsurance_code,class_cd,it_remarks) values</v>
      </c>
      <c r="G1832" s="11" t="str">
        <f t="shared" si="114"/>
        <v>('28Nov240101','040000123716','1',(select max(to_number(i.premium_rcv_detail_code))+1
from ins_premium_det i),'1','1','02', '11000003','00','Request by Mr. Omair Ali 29-Nov-2024');</v>
      </c>
      <c r="H1832" s="12" t="str">
        <f t="shared" si="115"/>
        <v>insert into ins_premium_det (premium_rcv_code,assorted_code, rec_amount,premium_rcv_detail_code,remaining_amt, payrec, mode_code,coinsurance_code,class_cd,it_remarks) values('28Nov240101','040000123716','1',(select max(to_number(i.premium_rcv_detail_code))+1
from ins_premium_det i),'1','1','02', '11000003','00','Request by Mr. Omair Ali 29-Nov-2024');</v>
      </c>
    </row>
    <row r="1833" spans="1:8" ht="105" x14ac:dyDescent="0.25">
      <c r="A1833" t="s">
        <v>1833</v>
      </c>
      <c r="B1833" s="8" t="str">
        <f>VLOOKUP(A1833,assortedcode!B:C,2,0)</f>
        <v>040000124392</v>
      </c>
      <c r="C1833" s="1">
        <v>1</v>
      </c>
      <c r="D1833" s="9">
        <f t="shared" si="113"/>
        <v>1</v>
      </c>
      <c r="E1833" s="7" t="s">
        <v>8345</v>
      </c>
      <c r="F1833" s="10" t="str">
        <f t="shared" si="112"/>
        <v>insert into ins_premium_det (premium_rcv_code,assorted_code, rec_amount,premium_rcv_detail_code,remaining_amt, payrec, mode_code,coinsurance_code,class_cd,it_remarks) values</v>
      </c>
      <c r="G1833" s="11" t="str">
        <f t="shared" si="114"/>
        <v>('28Nov240101','040000124392','1',(select max(to_number(i.premium_rcv_detail_code))+1
from ins_premium_det i),'1','1','02', '11000003','00','Request by Mr. Omair Ali 29-Nov-2024');</v>
      </c>
      <c r="H1833" s="12" t="str">
        <f t="shared" si="115"/>
        <v>insert into ins_premium_det (premium_rcv_code,assorted_code, rec_amount,premium_rcv_detail_code,remaining_amt, payrec, mode_code,coinsurance_code,class_cd,it_remarks) values('28Nov240101','040000124392','1',(select max(to_number(i.premium_rcv_detail_code))+1
from ins_premium_det i),'1','1','02', '11000003','00','Request by Mr. Omair Ali 29-Nov-2024');</v>
      </c>
    </row>
    <row r="1834" spans="1:8" ht="105" x14ac:dyDescent="0.25">
      <c r="A1834" t="s">
        <v>1834</v>
      </c>
      <c r="B1834" s="8" t="str">
        <f>VLOOKUP(A1834,assortedcode!B:C,2,0)</f>
        <v>040000114261</v>
      </c>
      <c r="C1834" s="1">
        <v>1</v>
      </c>
      <c r="D1834" s="9">
        <f t="shared" si="113"/>
        <v>1</v>
      </c>
      <c r="E1834" s="7" t="s">
        <v>8345</v>
      </c>
      <c r="F1834" s="10" t="str">
        <f t="shared" si="112"/>
        <v>insert into ins_premium_det (premium_rcv_code,assorted_code, rec_amount,premium_rcv_detail_code,remaining_amt, payrec, mode_code,coinsurance_code,class_cd,it_remarks) values</v>
      </c>
      <c r="G1834" s="11" t="str">
        <f t="shared" si="114"/>
        <v>('28Nov240101','040000114261','1',(select max(to_number(i.premium_rcv_detail_code))+1
from ins_premium_det i),'1','1','02', '11000003','00','Request by Mr. Omair Ali 29-Nov-2024');</v>
      </c>
      <c r="H1834" s="12" t="str">
        <f t="shared" si="115"/>
        <v>insert into ins_premium_det (premium_rcv_code,assorted_code, rec_amount,premium_rcv_detail_code,remaining_amt, payrec, mode_code,coinsurance_code,class_cd,it_remarks) values('28Nov240101','040000114261','1',(select max(to_number(i.premium_rcv_detail_code))+1
from ins_premium_det i),'1','1','02', '11000003','00','Request by Mr. Omair Ali 29-Nov-2024');</v>
      </c>
    </row>
    <row r="1835" spans="1:8" ht="105" x14ac:dyDescent="0.25">
      <c r="A1835" t="s">
        <v>1835</v>
      </c>
      <c r="B1835" s="8" t="str">
        <f>VLOOKUP(A1835,assortedcode!B:C,2,0)</f>
        <v>040000126010</v>
      </c>
      <c r="C1835" s="1">
        <v>1</v>
      </c>
      <c r="D1835" s="9">
        <f t="shared" si="113"/>
        <v>1</v>
      </c>
      <c r="E1835" s="7" t="s">
        <v>8345</v>
      </c>
      <c r="F1835" s="10" t="str">
        <f t="shared" si="112"/>
        <v>insert into ins_premium_det (premium_rcv_code,assorted_code, rec_amount,premium_rcv_detail_code,remaining_amt, payrec, mode_code,coinsurance_code,class_cd,it_remarks) values</v>
      </c>
      <c r="G1835" s="11" t="str">
        <f t="shared" si="114"/>
        <v>('28Nov240101','040000126010','1',(select max(to_number(i.premium_rcv_detail_code))+1
from ins_premium_det i),'1','1','02', '11000003','00','Request by Mr. Omair Ali 29-Nov-2024');</v>
      </c>
      <c r="H1835" s="12" t="str">
        <f t="shared" si="115"/>
        <v>insert into ins_premium_det (premium_rcv_code,assorted_code, rec_amount,premium_rcv_detail_code,remaining_amt, payrec, mode_code,coinsurance_code,class_cd,it_remarks) values('28Nov240101','040000126010','1',(select max(to_number(i.premium_rcv_detail_code))+1
from ins_premium_det i),'1','1','02', '11000003','00','Request by Mr. Omair Ali 29-Nov-2024');</v>
      </c>
    </row>
    <row r="1836" spans="1:8" ht="105" x14ac:dyDescent="0.25">
      <c r="A1836" t="s">
        <v>1836</v>
      </c>
      <c r="B1836" s="8" t="str">
        <f>VLOOKUP(A1836,assortedcode!B:C,2,0)</f>
        <v>040000130709</v>
      </c>
      <c r="C1836" s="1">
        <v>1</v>
      </c>
      <c r="D1836" s="9">
        <f t="shared" si="113"/>
        <v>1</v>
      </c>
      <c r="E1836" s="7" t="s">
        <v>8345</v>
      </c>
      <c r="F1836" s="10" t="str">
        <f t="shared" si="112"/>
        <v>insert into ins_premium_det (premium_rcv_code,assorted_code, rec_amount,premium_rcv_detail_code,remaining_amt, payrec, mode_code,coinsurance_code,class_cd,it_remarks) values</v>
      </c>
      <c r="G1836" s="11" t="str">
        <f t="shared" si="114"/>
        <v>('28Nov240101','040000130709','1',(select max(to_number(i.premium_rcv_detail_code))+1
from ins_premium_det i),'1','1','02', '11000003','00','Request by Mr. Omair Ali 29-Nov-2024');</v>
      </c>
      <c r="H1836" s="12" t="str">
        <f t="shared" si="115"/>
        <v>insert into ins_premium_det (premium_rcv_code,assorted_code, rec_amount,premium_rcv_detail_code,remaining_amt, payrec, mode_code,coinsurance_code,class_cd,it_remarks) values('28Nov240101','040000130709','1',(select max(to_number(i.premium_rcv_detail_code))+1
from ins_premium_det i),'1','1','02', '11000003','00','Request by Mr. Omair Ali 29-Nov-2024');</v>
      </c>
    </row>
    <row r="1837" spans="1:8" ht="105" x14ac:dyDescent="0.25">
      <c r="A1837" t="s">
        <v>1837</v>
      </c>
      <c r="B1837" s="8" t="str">
        <f>VLOOKUP(A1837,assortedcode!B:C,2,0)</f>
        <v>040000142040</v>
      </c>
      <c r="C1837" s="1">
        <v>1</v>
      </c>
      <c r="D1837" s="9">
        <f t="shared" si="113"/>
        <v>1</v>
      </c>
      <c r="E1837" s="7" t="s">
        <v>8345</v>
      </c>
      <c r="F1837" s="10" t="str">
        <f t="shared" si="112"/>
        <v>insert into ins_premium_det (premium_rcv_code,assorted_code, rec_amount,premium_rcv_detail_code,remaining_amt, payrec, mode_code,coinsurance_code,class_cd,it_remarks) values</v>
      </c>
      <c r="G1837" s="11" t="str">
        <f t="shared" si="114"/>
        <v>('28Nov240101','040000142040','1',(select max(to_number(i.premium_rcv_detail_code))+1
from ins_premium_det i),'1','1','02', '11000003','00','Request by Mr. Omair Ali 29-Nov-2024');</v>
      </c>
      <c r="H1837" s="12" t="str">
        <f t="shared" si="115"/>
        <v>insert into ins_premium_det (premium_rcv_code,assorted_code, rec_amount,premium_rcv_detail_code,remaining_amt, payrec, mode_code,coinsurance_code,class_cd,it_remarks) values('28Nov240101','040000142040','1',(select max(to_number(i.premium_rcv_detail_code))+1
from ins_premium_det i),'1','1','02', '11000003','00','Request by Mr. Omair Ali 29-Nov-2024');</v>
      </c>
    </row>
    <row r="1838" spans="1:8" ht="105" x14ac:dyDescent="0.25">
      <c r="A1838" t="s">
        <v>1838</v>
      </c>
      <c r="B1838" s="8" t="str">
        <f>VLOOKUP(A1838,assortedcode!B:C,2,0)</f>
        <v>040000123343</v>
      </c>
      <c r="C1838" s="1">
        <v>1</v>
      </c>
      <c r="D1838" s="9">
        <f t="shared" si="113"/>
        <v>1</v>
      </c>
      <c r="E1838" s="7" t="s">
        <v>8345</v>
      </c>
      <c r="F1838" s="10" t="str">
        <f t="shared" si="112"/>
        <v>insert into ins_premium_det (premium_rcv_code,assorted_code, rec_amount,premium_rcv_detail_code,remaining_amt, payrec, mode_code,coinsurance_code,class_cd,it_remarks) values</v>
      </c>
      <c r="G1838" s="11" t="str">
        <f t="shared" si="114"/>
        <v>('28Nov240101','040000123343','1',(select max(to_number(i.premium_rcv_detail_code))+1
from ins_premium_det i),'1','1','02', '11000003','00','Request by Mr. Omair Ali 29-Nov-2024');</v>
      </c>
      <c r="H1838" s="12" t="str">
        <f t="shared" si="115"/>
        <v>insert into ins_premium_det (premium_rcv_code,assorted_code, rec_amount,premium_rcv_detail_code,remaining_amt, payrec, mode_code,coinsurance_code,class_cd,it_remarks) values('28Nov240101','040000123343','1',(select max(to_number(i.premium_rcv_detail_code))+1
from ins_premium_det i),'1','1','02', '11000003','00','Request by Mr. Omair Ali 29-Nov-2024');</v>
      </c>
    </row>
    <row r="1839" spans="1:8" ht="105" x14ac:dyDescent="0.25">
      <c r="A1839" t="s">
        <v>1839</v>
      </c>
      <c r="B1839" s="8" t="str">
        <f>VLOOKUP(A1839,assortedcode!B:C,2,0)</f>
        <v>040000140857</v>
      </c>
      <c r="C1839" s="1">
        <v>1</v>
      </c>
      <c r="D1839" s="9">
        <f t="shared" si="113"/>
        <v>1</v>
      </c>
      <c r="E1839" s="7" t="s">
        <v>8345</v>
      </c>
      <c r="F1839" s="10" t="str">
        <f t="shared" si="112"/>
        <v>insert into ins_premium_det (premium_rcv_code,assorted_code, rec_amount,premium_rcv_detail_code,remaining_amt, payrec, mode_code,coinsurance_code,class_cd,it_remarks) values</v>
      </c>
      <c r="G1839" s="11" t="str">
        <f t="shared" si="114"/>
        <v>('28Nov240101','040000140857','1',(select max(to_number(i.premium_rcv_detail_code))+1
from ins_premium_det i),'1','1','02', '11000003','00','Request by Mr. Omair Ali 29-Nov-2024');</v>
      </c>
      <c r="H1839" s="12" t="str">
        <f t="shared" si="115"/>
        <v>insert into ins_premium_det (premium_rcv_code,assorted_code, rec_amount,premium_rcv_detail_code,remaining_amt, payrec, mode_code,coinsurance_code,class_cd,it_remarks) values('28Nov240101','040000140857','1',(select max(to_number(i.premium_rcv_detail_code))+1
from ins_premium_det i),'1','1','02', '11000003','00','Request by Mr. Omair Ali 29-Nov-2024');</v>
      </c>
    </row>
    <row r="1840" spans="1:8" ht="105" x14ac:dyDescent="0.25">
      <c r="A1840" t="s">
        <v>1840</v>
      </c>
      <c r="B1840" s="8" t="str">
        <f>VLOOKUP(A1840,assortedcode!B:C,2,0)</f>
        <v>040000115507</v>
      </c>
      <c r="C1840" s="1">
        <v>1</v>
      </c>
      <c r="D1840" s="9">
        <f t="shared" si="113"/>
        <v>1</v>
      </c>
      <c r="E1840" s="7" t="s">
        <v>8345</v>
      </c>
      <c r="F1840" s="10" t="str">
        <f t="shared" si="112"/>
        <v>insert into ins_premium_det (premium_rcv_code,assorted_code, rec_amount,premium_rcv_detail_code,remaining_amt, payrec, mode_code,coinsurance_code,class_cd,it_remarks) values</v>
      </c>
      <c r="G1840" s="11" t="str">
        <f t="shared" si="114"/>
        <v>('28Nov240101','040000115507','1',(select max(to_number(i.premium_rcv_detail_code))+1
from ins_premium_det i),'1','1','02', '11000003','00','Request by Mr. Omair Ali 29-Nov-2024');</v>
      </c>
      <c r="H1840" s="12" t="str">
        <f t="shared" si="115"/>
        <v>insert into ins_premium_det (premium_rcv_code,assorted_code, rec_amount,premium_rcv_detail_code,remaining_amt, payrec, mode_code,coinsurance_code,class_cd,it_remarks) values('28Nov240101','040000115507','1',(select max(to_number(i.premium_rcv_detail_code))+1
from ins_premium_det i),'1','1','02', '11000003','00','Request by Mr. Omair Ali 29-Nov-2024');</v>
      </c>
    </row>
    <row r="1841" spans="1:8" ht="105" x14ac:dyDescent="0.25">
      <c r="A1841" t="s">
        <v>1841</v>
      </c>
      <c r="B1841" s="8" t="str">
        <f>VLOOKUP(A1841,assortedcode!B:C,2,0)</f>
        <v>040000142727</v>
      </c>
      <c r="C1841" s="1">
        <v>1</v>
      </c>
      <c r="D1841" s="9">
        <f t="shared" si="113"/>
        <v>1</v>
      </c>
      <c r="E1841" s="7" t="s">
        <v>8345</v>
      </c>
      <c r="F1841" s="10" t="str">
        <f t="shared" si="112"/>
        <v>insert into ins_premium_det (premium_rcv_code,assorted_code, rec_amount,premium_rcv_detail_code,remaining_amt, payrec, mode_code,coinsurance_code,class_cd,it_remarks) values</v>
      </c>
      <c r="G1841" s="11" t="str">
        <f t="shared" si="114"/>
        <v>('28Nov240101','040000142727','1',(select max(to_number(i.premium_rcv_detail_code))+1
from ins_premium_det i),'1','1','02', '11000003','00','Request by Mr. Omair Ali 29-Nov-2024');</v>
      </c>
      <c r="H1841" s="12" t="str">
        <f t="shared" si="115"/>
        <v>insert into ins_premium_det (premium_rcv_code,assorted_code, rec_amount,premium_rcv_detail_code,remaining_amt, payrec, mode_code,coinsurance_code,class_cd,it_remarks) values('28Nov240101','040000142727','1',(select max(to_number(i.premium_rcv_detail_code))+1
from ins_premium_det i),'1','1','02', '11000003','00','Request by Mr. Omair Ali 29-Nov-2024');</v>
      </c>
    </row>
    <row r="1842" spans="1:8" ht="105" x14ac:dyDescent="0.25">
      <c r="A1842" t="s">
        <v>1842</v>
      </c>
      <c r="B1842" s="8" t="str">
        <f>VLOOKUP(A1842,assortedcode!B:C,2,0)</f>
        <v>040000125792</v>
      </c>
      <c r="C1842" s="1">
        <v>1</v>
      </c>
      <c r="D1842" s="9">
        <f t="shared" si="113"/>
        <v>1</v>
      </c>
      <c r="E1842" s="7" t="s">
        <v>8345</v>
      </c>
      <c r="F1842" s="10" t="str">
        <f t="shared" si="112"/>
        <v>insert into ins_premium_det (premium_rcv_code,assorted_code, rec_amount,premium_rcv_detail_code,remaining_amt, payrec, mode_code,coinsurance_code,class_cd,it_remarks) values</v>
      </c>
      <c r="G1842" s="11" t="str">
        <f t="shared" si="114"/>
        <v>('28Nov240101','040000125792','1',(select max(to_number(i.premium_rcv_detail_code))+1
from ins_premium_det i),'1','1','02', '11000003','00','Request by Mr. Omair Ali 29-Nov-2024');</v>
      </c>
      <c r="H1842" s="12" t="str">
        <f t="shared" si="115"/>
        <v>insert into ins_premium_det (premium_rcv_code,assorted_code, rec_amount,premium_rcv_detail_code,remaining_amt, payrec, mode_code,coinsurance_code,class_cd,it_remarks) values('28Nov240101','040000125792','1',(select max(to_number(i.premium_rcv_detail_code))+1
from ins_premium_det i),'1','1','02', '11000003','00','Request by Mr. Omair Ali 29-Nov-2024');</v>
      </c>
    </row>
    <row r="1843" spans="1:8" ht="105" x14ac:dyDescent="0.25">
      <c r="A1843" t="s">
        <v>1843</v>
      </c>
      <c r="B1843" s="8" t="str">
        <f>VLOOKUP(A1843,assortedcode!B:C,2,0)</f>
        <v>040000122436</v>
      </c>
      <c r="C1843" s="1">
        <v>1</v>
      </c>
      <c r="D1843" s="9">
        <f t="shared" si="113"/>
        <v>1</v>
      </c>
      <c r="E1843" s="7" t="s">
        <v>8345</v>
      </c>
      <c r="F1843" s="10" t="str">
        <f t="shared" si="112"/>
        <v>insert into ins_premium_det (premium_rcv_code,assorted_code, rec_amount,premium_rcv_detail_code,remaining_amt, payrec, mode_code,coinsurance_code,class_cd,it_remarks) values</v>
      </c>
      <c r="G1843" s="11" t="str">
        <f t="shared" si="114"/>
        <v>('28Nov240101','040000122436','1',(select max(to_number(i.premium_rcv_detail_code))+1
from ins_premium_det i),'1','1','02', '11000003','00','Request by Mr. Omair Ali 29-Nov-2024');</v>
      </c>
      <c r="H1843" s="12" t="str">
        <f t="shared" si="115"/>
        <v>insert into ins_premium_det (premium_rcv_code,assorted_code, rec_amount,premium_rcv_detail_code,remaining_amt, payrec, mode_code,coinsurance_code,class_cd,it_remarks) values('28Nov240101','040000122436','1',(select max(to_number(i.premium_rcv_detail_code))+1
from ins_premium_det i),'1','1','02', '11000003','00','Request by Mr. Omair Ali 29-Nov-2024');</v>
      </c>
    </row>
    <row r="1844" spans="1:8" ht="105" x14ac:dyDescent="0.25">
      <c r="A1844" t="s">
        <v>1844</v>
      </c>
      <c r="B1844" s="8" t="str">
        <f>VLOOKUP(A1844,assortedcode!B:C,2,0)</f>
        <v>040000122943</v>
      </c>
      <c r="C1844" s="1">
        <v>1</v>
      </c>
      <c r="D1844" s="9">
        <f t="shared" si="113"/>
        <v>1</v>
      </c>
      <c r="E1844" s="7" t="s">
        <v>8345</v>
      </c>
      <c r="F1844" s="10" t="str">
        <f t="shared" si="112"/>
        <v>insert into ins_premium_det (premium_rcv_code,assorted_code, rec_amount,premium_rcv_detail_code,remaining_amt, payrec, mode_code,coinsurance_code,class_cd,it_remarks) values</v>
      </c>
      <c r="G1844" s="11" t="str">
        <f t="shared" si="114"/>
        <v>('28Nov240101','040000122943','1',(select max(to_number(i.premium_rcv_detail_code))+1
from ins_premium_det i),'1','1','02', '11000003','00','Request by Mr. Omair Ali 29-Nov-2024');</v>
      </c>
      <c r="H1844" s="12" t="str">
        <f t="shared" si="115"/>
        <v>insert into ins_premium_det (premium_rcv_code,assorted_code, rec_amount,premium_rcv_detail_code,remaining_amt, payrec, mode_code,coinsurance_code,class_cd,it_remarks) values('28Nov240101','040000122943','1',(select max(to_number(i.premium_rcv_detail_code))+1
from ins_premium_det i),'1','1','02', '11000003','00','Request by Mr. Omair Ali 29-Nov-2024');</v>
      </c>
    </row>
    <row r="1845" spans="1:8" ht="105" x14ac:dyDescent="0.25">
      <c r="A1845" t="s">
        <v>1845</v>
      </c>
      <c r="B1845" s="8" t="str">
        <f>VLOOKUP(A1845,assortedcode!B:C,2,0)</f>
        <v>040000122545</v>
      </c>
      <c r="C1845" s="1">
        <v>1</v>
      </c>
      <c r="D1845" s="9">
        <f t="shared" si="113"/>
        <v>1</v>
      </c>
      <c r="E1845" s="7" t="s">
        <v>8345</v>
      </c>
      <c r="F1845" s="10" t="str">
        <f t="shared" si="112"/>
        <v>insert into ins_premium_det (premium_rcv_code,assorted_code, rec_amount,premium_rcv_detail_code,remaining_amt, payrec, mode_code,coinsurance_code,class_cd,it_remarks) values</v>
      </c>
      <c r="G1845" s="11" t="str">
        <f t="shared" si="114"/>
        <v>('28Nov240101','040000122545','1',(select max(to_number(i.premium_rcv_detail_code))+1
from ins_premium_det i),'1','1','02', '11000003','00','Request by Mr. Omair Ali 29-Nov-2024');</v>
      </c>
      <c r="H1845" s="12" t="str">
        <f t="shared" si="115"/>
        <v>insert into ins_premium_det (premium_rcv_code,assorted_code, rec_amount,premium_rcv_detail_code,remaining_amt, payrec, mode_code,coinsurance_code,class_cd,it_remarks) values('28Nov240101','040000122545','1',(select max(to_number(i.premium_rcv_detail_code))+1
from ins_premium_det i),'1','1','02', '11000003','00','Request by Mr. Omair Ali 29-Nov-2024');</v>
      </c>
    </row>
    <row r="1846" spans="1:8" ht="105" x14ac:dyDescent="0.25">
      <c r="A1846" t="s">
        <v>1846</v>
      </c>
      <c r="B1846" s="8" t="str">
        <f>VLOOKUP(A1846,assortedcode!B:C,2,0)</f>
        <v>070000169402</v>
      </c>
      <c r="C1846" s="1">
        <v>1.1100000000000001</v>
      </c>
      <c r="D1846" s="9">
        <f t="shared" si="113"/>
        <v>1</v>
      </c>
      <c r="E1846" s="7" t="s">
        <v>8345</v>
      </c>
      <c r="F1846" s="10" t="str">
        <f t="shared" si="112"/>
        <v>insert into ins_premium_det (premium_rcv_code,assorted_code, rec_amount,premium_rcv_detail_code,remaining_amt, payrec, mode_code,coinsurance_code,class_cd,it_remarks) values</v>
      </c>
      <c r="G1846" s="11" t="str">
        <f t="shared" si="114"/>
        <v>('28Nov240101','070000169402','1',(select max(to_number(i.premium_rcv_detail_code))+1
from ins_premium_det i),'1','1','02', '11000003','00','Request by Mr. Omair Ali 29-Nov-2024');</v>
      </c>
      <c r="H1846" s="12" t="str">
        <f t="shared" si="115"/>
        <v>insert into ins_premium_det (premium_rcv_code,assorted_code, rec_amount,premium_rcv_detail_code,remaining_amt, payrec, mode_code,coinsurance_code,class_cd,it_remarks) values('28Nov240101','070000169402','1',(select max(to_number(i.premium_rcv_detail_code))+1
from ins_premium_det i),'1','1','02', '11000003','00','Request by Mr. Omair Ali 29-Nov-2024');</v>
      </c>
    </row>
    <row r="1847" spans="1:8" ht="105" x14ac:dyDescent="0.25">
      <c r="A1847" t="s">
        <v>1847</v>
      </c>
      <c r="B1847" s="8" t="str">
        <f>VLOOKUP(A1847,assortedcode!B:C,2,0)</f>
        <v>070000162975</v>
      </c>
      <c r="C1847" s="1">
        <v>1.28</v>
      </c>
      <c r="D1847" s="9">
        <f t="shared" si="113"/>
        <v>1</v>
      </c>
      <c r="E1847" s="7" t="s">
        <v>8345</v>
      </c>
      <c r="F1847" s="10" t="str">
        <f t="shared" si="112"/>
        <v>insert into ins_premium_det (premium_rcv_code,assorted_code, rec_amount,premium_rcv_detail_code,remaining_amt, payrec, mode_code,coinsurance_code,class_cd,it_remarks) values</v>
      </c>
      <c r="G1847" s="11" t="str">
        <f t="shared" si="114"/>
        <v>('28Nov240101','070000162975','1',(select max(to_number(i.premium_rcv_detail_code))+1
from ins_premium_det i),'1','1','02', '11000003','00','Request by Mr. Omair Ali 29-Nov-2024');</v>
      </c>
      <c r="H1847" s="12" t="str">
        <f t="shared" si="115"/>
        <v>insert into ins_premium_det (premium_rcv_code,assorted_code, rec_amount,premium_rcv_detail_code,remaining_amt, payrec, mode_code,coinsurance_code,class_cd,it_remarks) values('28Nov240101','070000162975','1',(select max(to_number(i.premium_rcv_detail_code))+1
from ins_premium_det i),'1','1','02', '11000003','00','Request by Mr. Omair Ali 29-Nov-2024');</v>
      </c>
    </row>
    <row r="1848" spans="1:8" ht="105" x14ac:dyDescent="0.25">
      <c r="A1848" t="s">
        <v>1848</v>
      </c>
      <c r="B1848" s="8" t="str">
        <f>VLOOKUP(A1848,assortedcode!B:C,2,0)</f>
        <v>040000146994</v>
      </c>
      <c r="C1848" s="1">
        <v>1.5</v>
      </c>
      <c r="D1848" s="9">
        <f t="shared" si="113"/>
        <v>2</v>
      </c>
      <c r="E1848" s="7" t="s">
        <v>8345</v>
      </c>
      <c r="F1848" s="10" t="str">
        <f t="shared" si="112"/>
        <v>insert into ins_premium_det (premium_rcv_code,assorted_code, rec_amount,premium_rcv_detail_code,remaining_amt, payrec, mode_code,coinsurance_code,class_cd,it_remarks) values</v>
      </c>
      <c r="G1848" s="11" t="str">
        <f t="shared" si="114"/>
        <v>('28Nov240101','040000146994','2',(select max(to_number(i.premium_rcv_detail_code))+1
from ins_premium_det i),'2','2','02', '11000003','00','Request by Mr. Omair Ali 29-Nov-2024');</v>
      </c>
      <c r="H1848" s="12" t="str">
        <f t="shared" si="115"/>
        <v>insert into ins_premium_det (premium_rcv_code,assorted_code, rec_amount,premium_rcv_detail_code,remaining_amt, payrec, mode_code,coinsurance_code,class_cd,it_remarks) values('28Nov240101','040000146994','2',(select max(to_number(i.premium_rcv_detail_code))+1
from ins_premium_det i),'2','2','02', '11000003','00','Request by Mr. Omair Ali 29-Nov-2024');</v>
      </c>
    </row>
    <row r="1849" spans="1:8" ht="105" x14ac:dyDescent="0.25">
      <c r="A1849" t="s">
        <v>1849</v>
      </c>
      <c r="B1849" s="8" t="str">
        <f>VLOOKUP(A1849,assortedcode!B:C,2,0)</f>
        <v>070000164884</v>
      </c>
      <c r="C1849" s="1">
        <v>1.65</v>
      </c>
      <c r="D1849" s="9">
        <f t="shared" si="113"/>
        <v>2</v>
      </c>
      <c r="E1849" s="7" t="s">
        <v>8345</v>
      </c>
      <c r="F1849" s="10" t="str">
        <f t="shared" si="112"/>
        <v>insert into ins_premium_det (premium_rcv_code,assorted_code, rec_amount,premium_rcv_detail_code,remaining_amt, payrec, mode_code,coinsurance_code,class_cd,it_remarks) values</v>
      </c>
      <c r="G1849" s="11" t="str">
        <f t="shared" si="114"/>
        <v>('28Nov240101','070000164884','2',(select max(to_number(i.premium_rcv_detail_code))+1
from ins_premium_det i),'2','2','02', '11000003','00','Request by Mr. Omair Ali 29-Nov-2024');</v>
      </c>
      <c r="H1849" s="12" t="str">
        <f t="shared" si="115"/>
        <v>insert into ins_premium_det (premium_rcv_code,assorted_code, rec_amount,premium_rcv_detail_code,remaining_amt, payrec, mode_code,coinsurance_code,class_cd,it_remarks) values('28Nov240101','070000164884','2',(select max(to_number(i.premium_rcv_detail_code))+1
from ins_premium_det i),'2','2','02', '11000003','00','Request by Mr. Omair Ali 29-Nov-2024');</v>
      </c>
    </row>
    <row r="1850" spans="1:8" ht="105" x14ac:dyDescent="0.25">
      <c r="A1850" t="s">
        <v>1850</v>
      </c>
      <c r="B1850" s="8" t="str">
        <f>VLOOKUP(A1850,assortedcode!B:C,2,0)</f>
        <v>040000155034</v>
      </c>
      <c r="C1850" s="1">
        <v>2</v>
      </c>
      <c r="D1850" s="9">
        <f t="shared" si="113"/>
        <v>2</v>
      </c>
      <c r="E1850" s="7" t="s">
        <v>8345</v>
      </c>
      <c r="F1850" s="10" t="str">
        <f t="shared" si="112"/>
        <v>insert into ins_premium_det (premium_rcv_code,assorted_code, rec_amount,premium_rcv_detail_code,remaining_amt, payrec, mode_code,coinsurance_code,class_cd,it_remarks) values</v>
      </c>
      <c r="G1850" s="11" t="str">
        <f t="shared" si="114"/>
        <v>('28Nov240101','040000155034','2',(select max(to_number(i.premium_rcv_detail_code))+1
from ins_premium_det i),'2','2','02', '11000003','00','Request by Mr. Omair Ali 29-Nov-2024');</v>
      </c>
      <c r="H1850" s="12" t="str">
        <f t="shared" si="115"/>
        <v>insert into ins_premium_det (premium_rcv_code,assorted_code, rec_amount,premium_rcv_detail_code,remaining_amt, payrec, mode_code,coinsurance_code,class_cd,it_remarks) values('28Nov240101','040000155034','2',(select max(to_number(i.premium_rcv_detail_code))+1
from ins_premium_det i),'2','2','02', '11000003','00','Request by Mr. Omair Ali 29-Nov-2024');</v>
      </c>
    </row>
    <row r="1851" spans="1:8" ht="105" x14ac:dyDescent="0.25">
      <c r="A1851" t="s">
        <v>1851</v>
      </c>
      <c r="B1851" s="8" t="str">
        <f>VLOOKUP(A1851,assortedcode!B:C,2,0)</f>
        <v>040000130357</v>
      </c>
      <c r="C1851" s="1">
        <v>2</v>
      </c>
      <c r="D1851" s="9">
        <f t="shared" si="113"/>
        <v>2</v>
      </c>
      <c r="E1851" s="7" t="s">
        <v>8345</v>
      </c>
      <c r="F1851" s="10" t="str">
        <f t="shared" si="112"/>
        <v>insert into ins_premium_det (premium_rcv_code,assorted_code, rec_amount,premium_rcv_detail_code,remaining_amt, payrec, mode_code,coinsurance_code,class_cd,it_remarks) values</v>
      </c>
      <c r="G1851" s="11" t="str">
        <f t="shared" si="114"/>
        <v>('28Nov240101','040000130357','2',(select max(to_number(i.premium_rcv_detail_code))+1
from ins_premium_det i),'2','2','02', '11000003','00','Request by Mr. Omair Ali 29-Nov-2024');</v>
      </c>
      <c r="H1851" s="12" t="str">
        <f t="shared" si="115"/>
        <v>insert into ins_premium_det (premium_rcv_code,assorted_code, rec_amount,premium_rcv_detail_code,remaining_amt, payrec, mode_code,coinsurance_code,class_cd,it_remarks) values('28Nov240101','040000130357','2',(select max(to_number(i.premium_rcv_detail_code))+1
from ins_premium_det i),'2','2','02', '11000003','00','Request by Mr. Omair Ali 29-Nov-2024');</v>
      </c>
    </row>
    <row r="1852" spans="1:8" ht="105" x14ac:dyDescent="0.25">
      <c r="A1852" t="s">
        <v>1852</v>
      </c>
      <c r="B1852" s="8" t="str">
        <f>VLOOKUP(A1852,assortedcode!B:C,2,0)</f>
        <v>070000166166</v>
      </c>
      <c r="C1852" s="1">
        <v>2</v>
      </c>
      <c r="D1852" s="9">
        <f t="shared" si="113"/>
        <v>2</v>
      </c>
      <c r="E1852" s="7" t="s">
        <v>8345</v>
      </c>
      <c r="F1852" s="10" t="str">
        <f t="shared" si="112"/>
        <v>insert into ins_premium_det (premium_rcv_code,assorted_code, rec_amount,premium_rcv_detail_code,remaining_amt, payrec, mode_code,coinsurance_code,class_cd,it_remarks) values</v>
      </c>
      <c r="G1852" s="11" t="str">
        <f t="shared" si="114"/>
        <v>('28Nov240101','070000166166','2',(select max(to_number(i.premium_rcv_detail_code))+1
from ins_premium_det i),'2','2','02', '11000003','00','Request by Mr. Omair Ali 29-Nov-2024');</v>
      </c>
      <c r="H1852" s="12" t="str">
        <f t="shared" si="115"/>
        <v>insert into ins_premium_det (premium_rcv_code,assorted_code, rec_amount,premium_rcv_detail_code,remaining_amt, payrec, mode_code,coinsurance_code,class_cd,it_remarks) values('28Nov240101','070000166166','2',(select max(to_number(i.premium_rcv_detail_code))+1
from ins_premium_det i),'2','2','02', '11000003','00','Request by Mr. Omair Ali 29-Nov-2024');</v>
      </c>
    </row>
    <row r="1853" spans="1:8" ht="105" x14ac:dyDescent="0.25">
      <c r="A1853" t="s">
        <v>1853</v>
      </c>
      <c r="B1853" s="8" t="str">
        <f>VLOOKUP(A1853,assortedcode!B:C,2,0)</f>
        <v>070000139176</v>
      </c>
      <c r="C1853" s="1">
        <v>2</v>
      </c>
      <c r="D1853" s="9">
        <f t="shared" si="113"/>
        <v>2</v>
      </c>
      <c r="E1853" s="7" t="s">
        <v>8345</v>
      </c>
      <c r="F1853" s="10" t="str">
        <f t="shared" si="112"/>
        <v>insert into ins_premium_det (premium_rcv_code,assorted_code, rec_amount,premium_rcv_detail_code,remaining_amt, payrec, mode_code,coinsurance_code,class_cd,it_remarks) values</v>
      </c>
      <c r="G1853" s="11" t="str">
        <f t="shared" si="114"/>
        <v>('28Nov240101','070000139176','2',(select max(to_number(i.premium_rcv_detail_code))+1
from ins_premium_det i),'2','2','02', '11000003','00','Request by Mr. Omair Ali 29-Nov-2024');</v>
      </c>
      <c r="H1853" s="12" t="str">
        <f t="shared" si="115"/>
        <v>insert into ins_premium_det (premium_rcv_code,assorted_code, rec_amount,premium_rcv_detail_code,remaining_amt, payrec, mode_code,coinsurance_code,class_cd,it_remarks) values('28Nov240101','070000139176','2',(select max(to_number(i.premium_rcv_detail_code))+1
from ins_premium_det i),'2','2','02', '11000003','00','Request by Mr. Omair Ali 29-Nov-2024');</v>
      </c>
    </row>
    <row r="1854" spans="1:8" ht="105" x14ac:dyDescent="0.25">
      <c r="A1854" t="s">
        <v>1854</v>
      </c>
      <c r="B1854" s="8" t="str">
        <f>VLOOKUP(A1854,assortedcode!B:C,2,0)</f>
        <v>040000162174</v>
      </c>
      <c r="C1854" s="1">
        <v>2</v>
      </c>
      <c r="D1854" s="9">
        <f t="shared" si="113"/>
        <v>2</v>
      </c>
      <c r="E1854" s="7" t="s">
        <v>8345</v>
      </c>
      <c r="F1854" s="10" t="str">
        <f t="shared" si="112"/>
        <v>insert into ins_premium_det (premium_rcv_code,assorted_code, rec_amount,premium_rcv_detail_code,remaining_amt, payrec, mode_code,coinsurance_code,class_cd,it_remarks) values</v>
      </c>
      <c r="G1854" s="11" t="str">
        <f t="shared" si="114"/>
        <v>('28Nov240101','040000162174','2',(select max(to_number(i.premium_rcv_detail_code))+1
from ins_premium_det i),'2','2','02', '11000003','00','Request by Mr. Omair Ali 29-Nov-2024');</v>
      </c>
      <c r="H1854" s="12" t="str">
        <f t="shared" si="115"/>
        <v>insert into ins_premium_det (premium_rcv_code,assorted_code, rec_amount,premium_rcv_detail_code,remaining_amt, payrec, mode_code,coinsurance_code,class_cd,it_remarks) values('28Nov240101','040000162174','2',(select max(to_number(i.premium_rcv_detail_code))+1
from ins_premium_det i),'2','2','02', '11000003','00','Request by Mr. Omair Ali 29-Nov-2024');</v>
      </c>
    </row>
    <row r="1855" spans="1:8" ht="105" x14ac:dyDescent="0.25">
      <c r="A1855" t="s">
        <v>1855</v>
      </c>
      <c r="B1855" s="8" t="str">
        <f>VLOOKUP(A1855,assortedcode!B:C,2,0)</f>
        <v>070000124104</v>
      </c>
      <c r="C1855" s="1">
        <v>2</v>
      </c>
      <c r="D1855" s="9">
        <f t="shared" si="113"/>
        <v>2</v>
      </c>
      <c r="E1855" s="7" t="s">
        <v>8345</v>
      </c>
      <c r="F1855" s="10" t="str">
        <f t="shared" si="112"/>
        <v>insert into ins_premium_det (premium_rcv_code,assorted_code, rec_amount,premium_rcv_detail_code,remaining_amt, payrec, mode_code,coinsurance_code,class_cd,it_remarks) values</v>
      </c>
      <c r="G1855" s="11" t="str">
        <f t="shared" si="114"/>
        <v>('28Nov240101','070000124104','2',(select max(to_number(i.premium_rcv_detail_code))+1
from ins_premium_det i),'2','2','02', '11000003','00','Request by Mr. Omair Ali 29-Nov-2024');</v>
      </c>
      <c r="H1855" s="12" t="str">
        <f t="shared" si="115"/>
        <v>insert into ins_premium_det (premium_rcv_code,assorted_code, rec_amount,premium_rcv_detail_code,remaining_amt, payrec, mode_code,coinsurance_code,class_cd,it_remarks) values('28Nov240101','070000124104','2',(select max(to_number(i.premium_rcv_detail_code))+1
from ins_premium_det i),'2','2','02', '11000003','00','Request by Mr. Omair Ali 29-Nov-2024');</v>
      </c>
    </row>
    <row r="1856" spans="1:8" ht="105" x14ac:dyDescent="0.25">
      <c r="A1856" t="s">
        <v>1856</v>
      </c>
      <c r="B1856" s="8" t="str">
        <f>VLOOKUP(A1856,assortedcode!B:C,2,0)</f>
        <v>040000137323</v>
      </c>
      <c r="C1856" s="1">
        <v>2</v>
      </c>
      <c r="D1856" s="9">
        <f t="shared" si="113"/>
        <v>2</v>
      </c>
      <c r="E1856" s="7" t="s">
        <v>8345</v>
      </c>
      <c r="F1856" s="10" t="str">
        <f t="shared" si="112"/>
        <v>insert into ins_premium_det (premium_rcv_code,assorted_code, rec_amount,premium_rcv_detail_code,remaining_amt, payrec, mode_code,coinsurance_code,class_cd,it_remarks) values</v>
      </c>
      <c r="G1856" s="11" t="str">
        <f t="shared" si="114"/>
        <v>('28Nov240101','040000137323','2',(select max(to_number(i.premium_rcv_detail_code))+1
from ins_premium_det i),'2','2','02', '11000003','00','Request by Mr. Omair Ali 29-Nov-2024');</v>
      </c>
      <c r="H1856" s="12" t="str">
        <f t="shared" si="115"/>
        <v>insert into ins_premium_det (premium_rcv_code,assorted_code, rec_amount,premium_rcv_detail_code,remaining_amt, payrec, mode_code,coinsurance_code,class_cd,it_remarks) values('28Nov240101','040000137323','2',(select max(to_number(i.premium_rcv_detail_code))+1
from ins_premium_det i),'2','2','02', '11000003','00','Request by Mr. Omair Ali 29-Nov-2024');</v>
      </c>
    </row>
    <row r="1857" spans="1:8" ht="105" x14ac:dyDescent="0.25">
      <c r="A1857" t="s">
        <v>1857</v>
      </c>
      <c r="B1857" s="8" t="str">
        <f>VLOOKUP(A1857,assortedcode!B:C,2,0)</f>
        <v>070000164118</v>
      </c>
      <c r="C1857" s="1">
        <v>2</v>
      </c>
      <c r="D1857" s="9">
        <f t="shared" si="113"/>
        <v>2</v>
      </c>
      <c r="E1857" s="7" t="s">
        <v>8345</v>
      </c>
      <c r="F1857" s="10" t="str">
        <f t="shared" si="112"/>
        <v>insert into ins_premium_det (premium_rcv_code,assorted_code, rec_amount,premium_rcv_detail_code,remaining_amt, payrec, mode_code,coinsurance_code,class_cd,it_remarks) values</v>
      </c>
      <c r="G1857" s="11" t="str">
        <f t="shared" si="114"/>
        <v>('28Nov240101','070000164118','2',(select max(to_number(i.premium_rcv_detail_code))+1
from ins_premium_det i),'2','2','02', '11000003','00','Request by Mr. Omair Ali 29-Nov-2024');</v>
      </c>
      <c r="H1857" s="12" t="str">
        <f t="shared" si="115"/>
        <v>insert into ins_premium_det (premium_rcv_code,assorted_code, rec_amount,premium_rcv_detail_code,remaining_amt, payrec, mode_code,coinsurance_code,class_cd,it_remarks) values('28Nov240101','070000164118','2',(select max(to_number(i.premium_rcv_detail_code))+1
from ins_premium_det i),'2','2','02', '11000003','00','Request by Mr. Omair Ali 29-Nov-2024');</v>
      </c>
    </row>
    <row r="1858" spans="1:8" ht="105" x14ac:dyDescent="0.25">
      <c r="A1858" t="s">
        <v>1858</v>
      </c>
      <c r="B1858" s="8" t="str">
        <f>VLOOKUP(A1858,assortedcode!B:C,2,0)</f>
        <v>040000145594</v>
      </c>
      <c r="C1858" s="1">
        <v>2</v>
      </c>
      <c r="D1858" s="9">
        <f t="shared" si="113"/>
        <v>2</v>
      </c>
      <c r="E1858" s="7" t="s">
        <v>8345</v>
      </c>
      <c r="F1858" s="10" t="str">
        <f t="shared" ref="F1858:F1921" si="116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1858" s="11" t="str">
        <f t="shared" si="114"/>
        <v>('28Nov240101','040000145594','2',(select max(to_number(i.premium_rcv_detail_code))+1
from ins_premium_det i),'2','2','02', '11000003','00','Request by Mr. Omair Ali 29-Nov-2024');</v>
      </c>
      <c r="H1858" s="12" t="str">
        <f t="shared" si="115"/>
        <v>insert into ins_premium_det (premium_rcv_code,assorted_code, rec_amount,premium_rcv_detail_code,remaining_amt, payrec, mode_code,coinsurance_code,class_cd,it_remarks) values('28Nov240101','040000145594','2',(select max(to_number(i.premium_rcv_detail_code))+1
from ins_premium_det i),'2','2','02', '11000003','00','Request by Mr. Omair Ali 29-Nov-2024');</v>
      </c>
    </row>
    <row r="1859" spans="1:8" ht="105" x14ac:dyDescent="0.25">
      <c r="A1859" t="s">
        <v>1859</v>
      </c>
      <c r="B1859" s="8" t="str">
        <f>VLOOKUP(A1859,assortedcode!B:C,2,0)</f>
        <v>070000164125</v>
      </c>
      <c r="C1859" s="1">
        <v>2</v>
      </c>
      <c r="D1859" s="9">
        <f t="shared" ref="D1859:D1922" si="117">ROUND(C1859,0)</f>
        <v>2</v>
      </c>
      <c r="E1859" s="7" t="s">
        <v>8345</v>
      </c>
      <c r="F1859" s="10" t="str">
        <f t="shared" si="116"/>
        <v>insert into ins_premium_det (premium_rcv_code,assorted_code, rec_amount,premium_rcv_detail_code,remaining_amt, payrec, mode_code,coinsurance_code,class_cd,it_remarks) values</v>
      </c>
      <c r="G1859" s="11" t="str">
        <f t="shared" ref="G1859:G1922" si="118">"('"&amp;E1859&amp;"','"&amp;B1859&amp;"','"&amp;ROUND(D1859,2)&amp;"',(select max(to_number(i.premium_rcv_detail_code))+1
from ins_premium_det i),'"&amp;D1859&amp;"','"&amp;D1859&amp;"','02', '11000003','00','Request by Mr. Omair Ali 29-Nov-2024');"</f>
        <v>('28Nov240101','070000164125','2',(select max(to_number(i.premium_rcv_detail_code))+1
from ins_premium_det i),'2','2','02', '11000003','00','Request by Mr. Omair Ali 29-Nov-2024');</v>
      </c>
      <c r="H1859" s="12" t="str">
        <f t="shared" ref="H1859:H1922" si="119">F1859&amp;G1859</f>
        <v>insert into ins_premium_det (premium_rcv_code,assorted_code, rec_amount,premium_rcv_detail_code,remaining_amt, payrec, mode_code,coinsurance_code,class_cd,it_remarks) values('28Nov240101','070000164125','2',(select max(to_number(i.premium_rcv_detail_code))+1
from ins_premium_det i),'2','2','02', '11000003','00','Request by Mr. Omair Ali 29-Nov-2024');</v>
      </c>
    </row>
    <row r="1860" spans="1:8" ht="105" x14ac:dyDescent="0.25">
      <c r="A1860" t="s">
        <v>1860</v>
      </c>
      <c r="B1860" s="8" t="str">
        <f>VLOOKUP(A1860,assortedcode!B:C,2,0)</f>
        <v>040000113059</v>
      </c>
      <c r="C1860" s="1">
        <v>2</v>
      </c>
      <c r="D1860" s="9">
        <f t="shared" si="117"/>
        <v>2</v>
      </c>
      <c r="E1860" s="7" t="s">
        <v>8345</v>
      </c>
      <c r="F1860" s="10" t="str">
        <f t="shared" si="116"/>
        <v>insert into ins_premium_det (premium_rcv_code,assorted_code, rec_amount,premium_rcv_detail_code,remaining_amt, payrec, mode_code,coinsurance_code,class_cd,it_remarks) values</v>
      </c>
      <c r="G1860" s="11" t="str">
        <f t="shared" si="118"/>
        <v>('28Nov240101','040000113059','2',(select max(to_number(i.premium_rcv_detail_code))+1
from ins_premium_det i),'2','2','02', '11000003','00','Request by Mr. Omair Ali 29-Nov-2024');</v>
      </c>
      <c r="H1860" s="12" t="str">
        <f t="shared" si="119"/>
        <v>insert into ins_premium_det (premium_rcv_code,assorted_code, rec_amount,premium_rcv_detail_code,remaining_amt, payrec, mode_code,coinsurance_code,class_cd,it_remarks) values('28Nov240101','040000113059','2',(select max(to_number(i.premium_rcv_detail_code))+1
from ins_premium_det i),'2','2','02', '11000003','00','Request by Mr. Omair Ali 29-Nov-2024');</v>
      </c>
    </row>
    <row r="1861" spans="1:8" ht="105" x14ac:dyDescent="0.25">
      <c r="A1861" t="s">
        <v>1861</v>
      </c>
      <c r="B1861" s="8" t="str">
        <f>VLOOKUP(A1861,assortedcode!B:C,2,0)</f>
        <v>040000116077</v>
      </c>
      <c r="C1861" s="1">
        <v>2</v>
      </c>
      <c r="D1861" s="9">
        <f t="shared" si="117"/>
        <v>2</v>
      </c>
      <c r="E1861" s="7" t="s">
        <v>8345</v>
      </c>
      <c r="F1861" s="10" t="str">
        <f t="shared" si="116"/>
        <v>insert into ins_premium_det (premium_rcv_code,assorted_code, rec_amount,premium_rcv_detail_code,remaining_amt, payrec, mode_code,coinsurance_code,class_cd,it_remarks) values</v>
      </c>
      <c r="G1861" s="11" t="str">
        <f t="shared" si="118"/>
        <v>('28Nov240101','040000116077','2',(select max(to_number(i.premium_rcv_detail_code))+1
from ins_premium_det i),'2','2','02', '11000003','00','Request by Mr. Omair Ali 29-Nov-2024');</v>
      </c>
      <c r="H1861" s="12" t="str">
        <f t="shared" si="119"/>
        <v>insert into ins_premium_det (premium_rcv_code,assorted_code, rec_amount,premium_rcv_detail_code,remaining_amt, payrec, mode_code,coinsurance_code,class_cd,it_remarks) values('28Nov240101','040000116077','2',(select max(to_number(i.premium_rcv_detail_code))+1
from ins_premium_det i),'2','2','02', '11000003','00','Request by Mr. Omair Ali 29-Nov-2024');</v>
      </c>
    </row>
    <row r="1862" spans="1:8" ht="105" x14ac:dyDescent="0.25">
      <c r="A1862" t="s">
        <v>1862</v>
      </c>
      <c r="B1862" s="8" t="str">
        <f>VLOOKUP(A1862,assortedcode!B:C,2,0)</f>
        <v>040000111718</v>
      </c>
      <c r="C1862" s="1">
        <v>2</v>
      </c>
      <c r="D1862" s="9">
        <f t="shared" si="117"/>
        <v>2</v>
      </c>
      <c r="E1862" s="7" t="s">
        <v>8345</v>
      </c>
      <c r="F1862" s="10" t="str">
        <f t="shared" si="116"/>
        <v>insert into ins_premium_det (premium_rcv_code,assorted_code, rec_amount,premium_rcv_detail_code,remaining_amt, payrec, mode_code,coinsurance_code,class_cd,it_remarks) values</v>
      </c>
      <c r="G1862" s="11" t="str">
        <f t="shared" si="118"/>
        <v>('28Nov240101','040000111718','2',(select max(to_number(i.premium_rcv_detail_code))+1
from ins_premium_det i),'2','2','02', '11000003','00','Request by Mr. Omair Ali 29-Nov-2024');</v>
      </c>
      <c r="H1862" s="12" t="str">
        <f t="shared" si="119"/>
        <v>insert into ins_premium_det (premium_rcv_code,assorted_code, rec_amount,premium_rcv_detail_code,remaining_amt, payrec, mode_code,coinsurance_code,class_cd,it_remarks) values('28Nov240101','040000111718','2',(select max(to_number(i.premium_rcv_detail_code))+1
from ins_premium_det i),'2','2','02', '11000003','00','Request by Mr. Omair Ali 29-Nov-2024');</v>
      </c>
    </row>
    <row r="1863" spans="1:8" ht="105" x14ac:dyDescent="0.25">
      <c r="A1863" t="s">
        <v>1863</v>
      </c>
      <c r="B1863" s="8" t="str">
        <f>VLOOKUP(A1863,assortedcode!B:C,2,0)</f>
        <v>040000122980</v>
      </c>
      <c r="C1863" s="1">
        <v>2</v>
      </c>
      <c r="D1863" s="9">
        <f t="shared" si="117"/>
        <v>2</v>
      </c>
      <c r="E1863" s="7" t="s">
        <v>8345</v>
      </c>
      <c r="F1863" s="10" t="str">
        <f t="shared" si="116"/>
        <v>insert into ins_premium_det (premium_rcv_code,assorted_code, rec_amount,premium_rcv_detail_code,remaining_amt, payrec, mode_code,coinsurance_code,class_cd,it_remarks) values</v>
      </c>
      <c r="G1863" s="11" t="str">
        <f t="shared" si="118"/>
        <v>('28Nov240101','040000122980','2',(select max(to_number(i.premium_rcv_detail_code))+1
from ins_premium_det i),'2','2','02', '11000003','00','Request by Mr. Omair Ali 29-Nov-2024');</v>
      </c>
      <c r="H1863" s="12" t="str">
        <f t="shared" si="119"/>
        <v>insert into ins_premium_det (premium_rcv_code,assorted_code, rec_amount,premium_rcv_detail_code,remaining_amt, payrec, mode_code,coinsurance_code,class_cd,it_remarks) values('28Nov240101','040000122980','2',(select max(to_number(i.premium_rcv_detail_code))+1
from ins_premium_det i),'2','2','02', '11000003','00','Request by Mr. Omair Ali 29-Nov-2024');</v>
      </c>
    </row>
    <row r="1864" spans="1:8" ht="105" x14ac:dyDescent="0.25">
      <c r="A1864" t="s">
        <v>1864</v>
      </c>
      <c r="B1864" s="8" t="str">
        <f>VLOOKUP(A1864,assortedcode!B:C,2,0)</f>
        <v>040000118104</v>
      </c>
      <c r="C1864" s="1">
        <v>2</v>
      </c>
      <c r="D1864" s="9">
        <f t="shared" si="117"/>
        <v>2</v>
      </c>
      <c r="E1864" s="7" t="s">
        <v>8345</v>
      </c>
      <c r="F1864" s="10" t="str">
        <f t="shared" si="116"/>
        <v>insert into ins_premium_det (premium_rcv_code,assorted_code, rec_amount,premium_rcv_detail_code,remaining_amt, payrec, mode_code,coinsurance_code,class_cd,it_remarks) values</v>
      </c>
      <c r="G1864" s="11" t="str">
        <f t="shared" si="118"/>
        <v>('28Nov240101','040000118104','2',(select max(to_number(i.premium_rcv_detail_code))+1
from ins_premium_det i),'2','2','02', '11000003','00','Request by Mr. Omair Ali 29-Nov-2024');</v>
      </c>
      <c r="H1864" s="12" t="str">
        <f t="shared" si="119"/>
        <v>insert into ins_premium_det (premium_rcv_code,assorted_code, rec_amount,premium_rcv_detail_code,remaining_amt, payrec, mode_code,coinsurance_code,class_cd,it_remarks) values('28Nov240101','040000118104','2',(select max(to_number(i.premium_rcv_detail_code))+1
from ins_premium_det i),'2','2','02', '11000003','00','Request by Mr. Omair Ali 29-Nov-2024');</v>
      </c>
    </row>
    <row r="1865" spans="1:8" ht="105" x14ac:dyDescent="0.25">
      <c r="A1865" t="s">
        <v>1865</v>
      </c>
      <c r="B1865" s="8" t="str">
        <f>VLOOKUP(A1865,assortedcode!B:C,2,0)</f>
        <v>040000124753</v>
      </c>
      <c r="C1865" s="1">
        <v>2</v>
      </c>
      <c r="D1865" s="9">
        <f t="shared" si="117"/>
        <v>2</v>
      </c>
      <c r="E1865" s="7" t="s">
        <v>8345</v>
      </c>
      <c r="F1865" s="10" t="str">
        <f t="shared" si="116"/>
        <v>insert into ins_premium_det (premium_rcv_code,assorted_code, rec_amount,premium_rcv_detail_code,remaining_amt, payrec, mode_code,coinsurance_code,class_cd,it_remarks) values</v>
      </c>
      <c r="G1865" s="11" t="str">
        <f t="shared" si="118"/>
        <v>('28Nov240101','040000124753','2',(select max(to_number(i.premium_rcv_detail_code))+1
from ins_premium_det i),'2','2','02', '11000003','00','Request by Mr. Omair Ali 29-Nov-2024');</v>
      </c>
      <c r="H1865" s="12" t="str">
        <f t="shared" si="119"/>
        <v>insert into ins_premium_det (premium_rcv_code,assorted_code, rec_amount,premium_rcv_detail_code,remaining_amt, payrec, mode_code,coinsurance_code,class_cd,it_remarks) values('28Nov240101','040000124753','2',(select max(to_number(i.premium_rcv_detail_code))+1
from ins_premium_det i),'2','2','02', '11000003','00','Request by Mr. Omair Ali 29-Nov-2024');</v>
      </c>
    </row>
    <row r="1866" spans="1:8" ht="105" x14ac:dyDescent="0.25">
      <c r="A1866" t="s">
        <v>1866</v>
      </c>
      <c r="B1866" s="8" t="str">
        <f>VLOOKUP(A1866,assortedcode!B:C,2,0)</f>
        <v>040000123106</v>
      </c>
      <c r="C1866" s="1">
        <v>2</v>
      </c>
      <c r="D1866" s="9">
        <f t="shared" si="117"/>
        <v>2</v>
      </c>
      <c r="E1866" s="7" t="s">
        <v>8345</v>
      </c>
      <c r="F1866" s="10" t="str">
        <f t="shared" si="116"/>
        <v>insert into ins_premium_det (premium_rcv_code,assorted_code, rec_amount,premium_rcv_detail_code,remaining_amt, payrec, mode_code,coinsurance_code,class_cd,it_remarks) values</v>
      </c>
      <c r="G1866" s="11" t="str">
        <f t="shared" si="118"/>
        <v>('28Nov240101','040000123106','2',(select max(to_number(i.premium_rcv_detail_code))+1
from ins_premium_det i),'2','2','02', '11000003','00','Request by Mr. Omair Ali 29-Nov-2024');</v>
      </c>
      <c r="H1866" s="12" t="str">
        <f t="shared" si="119"/>
        <v>insert into ins_premium_det (premium_rcv_code,assorted_code, rec_amount,premium_rcv_detail_code,remaining_amt, payrec, mode_code,coinsurance_code,class_cd,it_remarks) values('28Nov240101','040000123106','2',(select max(to_number(i.premium_rcv_detail_code))+1
from ins_premium_det i),'2','2','02', '11000003','00','Request by Mr. Omair Ali 29-Nov-2024');</v>
      </c>
    </row>
    <row r="1867" spans="1:8" ht="105" x14ac:dyDescent="0.25">
      <c r="A1867" t="s">
        <v>1867</v>
      </c>
      <c r="B1867" s="8" t="str">
        <f>VLOOKUP(A1867,assortedcode!B:C,2,0)</f>
        <v>040000115687</v>
      </c>
      <c r="C1867" s="1">
        <v>2</v>
      </c>
      <c r="D1867" s="9">
        <f t="shared" si="117"/>
        <v>2</v>
      </c>
      <c r="E1867" s="7" t="s">
        <v>8345</v>
      </c>
      <c r="F1867" s="10" t="str">
        <f t="shared" si="116"/>
        <v>insert into ins_premium_det (premium_rcv_code,assorted_code, rec_amount,premium_rcv_detail_code,remaining_amt, payrec, mode_code,coinsurance_code,class_cd,it_remarks) values</v>
      </c>
      <c r="G1867" s="11" t="str">
        <f t="shared" si="118"/>
        <v>('28Nov240101','040000115687','2',(select max(to_number(i.premium_rcv_detail_code))+1
from ins_premium_det i),'2','2','02', '11000003','00','Request by Mr. Omair Ali 29-Nov-2024');</v>
      </c>
      <c r="H1867" s="12" t="str">
        <f t="shared" si="119"/>
        <v>insert into ins_premium_det (premium_rcv_code,assorted_code, rec_amount,premium_rcv_detail_code,remaining_amt, payrec, mode_code,coinsurance_code,class_cd,it_remarks) values('28Nov240101','040000115687','2',(select max(to_number(i.premium_rcv_detail_code))+1
from ins_premium_det i),'2','2','02', '11000003','00','Request by Mr. Omair Ali 29-Nov-2024');</v>
      </c>
    </row>
    <row r="1868" spans="1:8" ht="105" x14ac:dyDescent="0.25">
      <c r="A1868" t="s">
        <v>1868</v>
      </c>
      <c r="B1868" s="8" t="str">
        <f>VLOOKUP(A1868,assortedcode!B:C,2,0)</f>
        <v>040000123785</v>
      </c>
      <c r="C1868" s="1">
        <v>2</v>
      </c>
      <c r="D1868" s="9">
        <f t="shared" si="117"/>
        <v>2</v>
      </c>
      <c r="E1868" s="7" t="s">
        <v>8345</v>
      </c>
      <c r="F1868" s="10" t="str">
        <f t="shared" si="116"/>
        <v>insert into ins_premium_det (premium_rcv_code,assorted_code, rec_amount,premium_rcv_detail_code,remaining_amt, payrec, mode_code,coinsurance_code,class_cd,it_remarks) values</v>
      </c>
      <c r="G1868" s="11" t="str">
        <f t="shared" si="118"/>
        <v>('28Nov240101','040000123785','2',(select max(to_number(i.premium_rcv_detail_code))+1
from ins_premium_det i),'2','2','02', '11000003','00','Request by Mr. Omair Ali 29-Nov-2024');</v>
      </c>
      <c r="H1868" s="12" t="str">
        <f t="shared" si="119"/>
        <v>insert into ins_premium_det (premium_rcv_code,assorted_code, rec_amount,premium_rcv_detail_code,remaining_amt, payrec, mode_code,coinsurance_code,class_cd,it_remarks) values('28Nov240101','040000123785','2',(select max(to_number(i.premium_rcv_detail_code))+1
from ins_premium_det i),'2','2','02', '11000003','00','Request by Mr. Omair Ali 29-Nov-2024');</v>
      </c>
    </row>
    <row r="1869" spans="1:8" ht="105" x14ac:dyDescent="0.25">
      <c r="A1869" t="s">
        <v>1869</v>
      </c>
      <c r="B1869" s="8" t="str">
        <f>VLOOKUP(A1869,assortedcode!B:C,2,0)</f>
        <v>040000116075</v>
      </c>
      <c r="C1869" s="1">
        <v>2</v>
      </c>
      <c r="D1869" s="9">
        <f t="shared" si="117"/>
        <v>2</v>
      </c>
      <c r="E1869" s="7" t="s">
        <v>8345</v>
      </c>
      <c r="F1869" s="10" t="str">
        <f t="shared" si="116"/>
        <v>insert into ins_premium_det (premium_rcv_code,assorted_code, rec_amount,premium_rcv_detail_code,remaining_amt, payrec, mode_code,coinsurance_code,class_cd,it_remarks) values</v>
      </c>
      <c r="G1869" s="11" t="str">
        <f t="shared" si="118"/>
        <v>('28Nov240101','040000116075','2',(select max(to_number(i.premium_rcv_detail_code))+1
from ins_premium_det i),'2','2','02', '11000003','00','Request by Mr. Omair Ali 29-Nov-2024');</v>
      </c>
      <c r="H1869" s="12" t="str">
        <f t="shared" si="119"/>
        <v>insert into ins_premium_det (premium_rcv_code,assorted_code, rec_amount,premium_rcv_detail_code,remaining_amt, payrec, mode_code,coinsurance_code,class_cd,it_remarks) values('28Nov240101','040000116075','2',(select max(to_number(i.premium_rcv_detail_code))+1
from ins_premium_det i),'2','2','02', '11000003','00','Request by Mr. Omair Ali 29-Nov-2024');</v>
      </c>
    </row>
    <row r="1870" spans="1:8" ht="105" x14ac:dyDescent="0.25">
      <c r="A1870" t="s">
        <v>1870</v>
      </c>
      <c r="B1870" s="8" t="str">
        <f>VLOOKUP(A1870,assortedcode!B:C,2,0)</f>
        <v>040000126983</v>
      </c>
      <c r="C1870" s="1">
        <v>2</v>
      </c>
      <c r="D1870" s="9">
        <f t="shared" si="117"/>
        <v>2</v>
      </c>
      <c r="E1870" s="7" t="s">
        <v>8345</v>
      </c>
      <c r="F1870" s="10" t="str">
        <f t="shared" si="116"/>
        <v>insert into ins_premium_det (premium_rcv_code,assorted_code, rec_amount,premium_rcv_detail_code,remaining_amt, payrec, mode_code,coinsurance_code,class_cd,it_remarks) values</v>
      </c>
      <c r="G1870" s="11" t="str">
        <f t="shared" si="118"/>
        <v>('28Nov240101','040000126983','2',(select max(to_number(i.premium_rcv_detail_code))+1
from ins_premium_det i),'2','2','02', '11000003','00','Request by Mr. Omair Ali 29-Nov-2024');</v>
      </c>
      <c r="H1870" s="12" t="str">
        <f t="shared" si="119"/>
        <v>insert into ins_premium_det (premium_rcv_code,assorted_code, rec_amount,premium_rcv_detail_code,remaining_amt, payrec, mode_code,coinsurance_code,class_cd,it_remarks) values('28Nov240101','040000126983','2',(select max(to_number(i.premium_rcv_detail_code))+1
from ins_premium_det i),'2','2','02', '11000003','00','Request by Mr. Omair Ali 29-Nov-2024');</v>
      </c>
    </row>
    <row r="1871" spans="1:8" ht="105" x14ac:dyDescent="0.25">
      <c r="A1871" t="s">
        <v>1871</v>
      </c>
      <c r="B1871" s="8" t="str">
        <f>VLOOKUP(A1871,assortedcode!B:C,2,0)</f>
        <v>040000125612</v>
      </c>
      <c r="C1871" s="1">
        <v>2</v>
      </c>
      <c r="D1871" s="9">
        <f t="shared" si="117"/>
        <v>2</v>
      </c>
      <c r="E1871" s="7" t="s">
        <v>8345</v>
      </c>
      <c r="F1871" s="10" t="str">
        <f t="shared" si="116"/>
        <v>insert into ins_premium_det (premium_rcv_code,assorted_code, rec_amount,premium_rcv_detail_code,remaining_amt, payrec, mode_code,coinsurance_code,class_cd,it_remarks) values</v>
      </c>
      <c r="G1871" s="11" t="str">
        <f t="shared" si="118"/>
        <v>('28Nov240101','040000125612','2',(select max(to_number(i.premium_rcv_detail_code))+1
from ins_premium_det i),'2','2','02', '11000003','00','Request by Mr. Omair Ali 29-Nov-2024');</v>
      </c>
      <c r="H1871" s="12" t="str">
        <f t="shared" si="119"/>
        <v>insert into ins_premium_det (premium_rcv_code,assorted_code, rec_amount,premium_rcv_detail_code,remaining_amt, payrec, mode_code,coinsurance_code,class_cd,it_remarks) values('28Nov240101','040000125612','2',(select max(to_number(i.premium_rcv_detail_code))+1
from ins_premium_det i),'2','2','02', '11000003','00','Request by Mr. Omair Ali 29-Nov-2024');</v>
      </c>
    </row>
    <row r="1872" spans="1:8" ht="105" x14ac:dyDescent="0.25">
      <c r="A1872" t="s">
        <v>1872</v>
      </c>
      <c r="B1872" s="8" t="str">
        <f>VLOOKUP(A1872,assortedcode!B:C,2,0)</f>
        <v>040000111645</v>
      </c>
      <c r="C1872" s="1">
        <v>2</v>
      </c>
      <c r="D1872" s="9">
        <f t="shared" si="117"/>
        <v>2</v>
      </c>
      <c r="E1872" s="7" t="s">
        <v>8345</v>
      </c>
      <c r="F1872" s="10" t="str">
        <f t="shared" si="116"/>
        <v>insert into ins_premium_det (premium_rcv_code,assorted_code, rec_amount,premium_rcv_detail_code,remaining_amt, payrec, mode_code,coinsurance_code,class_cd,it_remarks) values</v>
      </c>
      <c r="G1872" s="11" t="str">
        <f t="shared" si="118"/>
        <v>('28Nov240101','040000111645','2',(select max(to_number(i.premium_rcv_detail_code))+1
from ins_premium_det i),'2','2','02', '11000003','00','Request by Mr. Omair Ali 29-Nov-2024');</v>
      </c>
      <c r="H1872" s="12" t="str">
        <f t="shared" si="119"/>
        <v>insert into ins_premium_det (premium_rcv_code,assorted_code, rec_amount,premium_rcv_detail_code,remaining_amt, payrec, mode_code,coinsurance_code,class_cd,it_remarks) values('28Nov240101','040000111645','2',(select max(to_number(i.premium_rcv_detail_code))+1
from ins_premium_det i),'2','2','02', '11000003','00','Request by Mr. Omair Ali 29-Nov-2024');</v>
      </c>
    </row>
    <row r="1873" spans="1:8" ht="105" x14ac:dyDescent="0.25">
      <c r="A1873" t="s">
        <v>1873</v>
      </c>
      <c r="B1873" s="8" t="str">
        <f>VLOOKUP(A1873,assortedcode!B:C,2,0)</f>
        <v>040000126187</v>
      </c>
      <c r="C1873" s="1">
        <v>2</v>
      </c>
      <c r="D1873" s="9">
        <f t="shared" si="117"/>
        <v>2</v>
      </c>
      <c r="E1873" s="7" t="s">
        <v>8345</v>
      </c>
      <c r="F1873" s="10" t="str">
        <f t="shared" si="116"/>
        <v>insert into ins_premium_det (premium_rcv_code,assorted_code, rec_amount,premium_rcv_detail_code,remaining_amt, payrec, mode_code,coinsurance_code,class_cd,it_remarks) values</v>
      </c>
      <c r="G1873" s="11" t="str">
        <f t="shared" si="118"/>
        <v>('28Nov240101','040000126187','2',(select max(to_number(i.premium_rcv_detail_code))+1
from ins_premium_det i),'2','2','02', '11000003','00','Request by Mr. Omair Ali 29-Nov-2024');</v>
      </c>
      <c r="H1873" s="12" t="str">
        <f t="shared" si="119"/>
        <v>insert into ins_premium_det (premium_rcv_code,assorted_code, rec_amount,premium_rcv_detail_code,remaining_amt, payrec, mode_code,coinsurance_code,class_cd,it_remarks) values('28Nov240101','040000126187','2',(select max(to_number(i.premium_rcv_detail_code))+1
from ins_premium_det i),'2','2','02', '11000003','00','Request by Mr. Omair Ali 29-Nov-2024');</v>
      </c>
    </row>
    <row r="1874" spans="1:8" ht="105" x14ac:dyDescent="0.25">
      <c r="A1874" t="s">
        <v>1874</v>
      </c>
      <c r="B1874" s="8" t="str">
        <f>VLOOKUP(A1874,assortedcode!B:C,2,0)</f>
        <v>040000119047</v>
      </c>
      <c r="C1874" s="1">
        <v>2</v>
      </c>
      <c r="D1874" s="9">
        <f t="shared" si="117"/>
        <v>2</v>
      </c>
      <c r="E1874" s="7" t="s">
        <v>8345</v>
      </c>
      <c r="F1874" s="10" t="str">
        <f t="shared" si="116"/>
        <v>insert into ins_premium_det (premium_rcv_code,assorted_code, rec_amount,premium_rcv_detail_code,remaining_amt, payrec, mode_code,coinsurance_code,class_cd,it_remarks) values</v>
      </c>
      <c r="G1874" s="11" t="str">
        <f t="shared" si="118"/>
        <v>('28Nov240101','040000119047','2',(select max(to_number(i.premium_rcv_detail_code))+1
from ins_premium_det i),'2','2','02', '11000003','00','Request by Mr. Omair Ali 29-Nov-2024');</v>
      </c>
      <c r="H1874" s="12" t="str">
        <f t="shared" si="119"/>
        <v>insert into ins_premium_det (premium_rcv_code,assorted_code, rec_amount,premium_rcv_detail_code,remaining_amt, payrec, mode_code,coinsurance_code,class_cd,it_remarks) values('28Nov240101','040000119047','2',(select max(to_number(i.premium_rcv_detail_code))+1
from ins_premium_det i),'2','2','02', '11000003','00','Request by Mr. Omair Ali 29-Nov-2024');</v>
      </c>
    </row>
    <row r="1875" spans="1:8" ht="105" x14ac:dyDescent="0.25">
      <c r="A1875" t="s">
        <v>1875</v>
      </c>
      <c r="B1875" s="8" t="str">
        <f>VLOOKUP(A1875,assortedcode!B:C,2,0)</f>
        <v>040000116633</v>
      </c>
      <c r="C1875" s="1">
        <v>2</v>
      </c>
      <c r="D1875" s="9">
        <f t="shared" si="117"/>
        <v>2</v>
      </c>
      <c r="E1875" s="7" t="s">
        <v>8345</v>
      </c>
      <c r="F1875" s="10" t="str">
        <f t="shared" si="116"/>
        <v>insert into ins_premium_det (premium_rcv_code,assorted_code, rec_amount,premium_rcv_detail_code,remaining_amt, payrec, mode_code,coinsurance_code,class_cd,it_remarks) values</v>
      </c>
      <c r="G1875" s="11" t="str">
        <f t="shared" si="118"/>
        <v>('28Nov240101','040000116633','2',(select max(to_number(i.premium_rcv_detail_code))+1
from ins_premium_det i),'2','2','02', '11000003','00','Request by Mr. Omair Ali 29-Nov-2024');</v>
      </c>
      <c r="H1875" s="12" t="str">
        <f t="shared" si="119"/>
        <v>insert into ins_premium_det (premium_rcv_code,assorted_code, rec_amount,premium_rcv_detail_code,remaining_amt, payrec, mode_code,coinsurance_code,class_cd,it_remarks) values('28Nov240101','040000116633','2',(select max(to_number(i.premium_rcv_detail_code))+1
from ins_premium_det i),'2','2','02', '11000003','00','Request by Mr. Omair Ali 29-Nov-2024');</v>
      </c>
    </row>
    <row r="1876" spans="1:8" ht="105" x14ac:dyDescent="0.25">
      <c r="A1876" t="s">
        <v>1876</v>
      </c>
      <c r="B1876" s="8" t="str">
        <f>VLOOKUP(A1876,assortedcode!B:C,2,0)</f>
        <v>040000110026</v>
      </c>
      <c r="C1876" s="1">
        <v>2</v>
      </c>
      <c r="D1876" s="9">
        <f t="shared" si="117"/>
        <v>2</v>
      </c>
      <c r="E1876" s="7" t="s">
        <v>8345</v>
      </c>
      <c r="F1876" s="10" t="str">
        <f t="shared" si="116"/>
        <v>insert into ins_premium_det (premium_rcv_code,assorted_code, rec_amount,premium_rcv_detail_code,remaining_amt, payrec, mode_code,coinsurance_code,class_cd,it_remarks) values</v>
      </c>
      <c r="G1876" s="11" t="str">
        <f t="shared" si="118"/>
        <v>('28Nov240101','040000110026','2',(select max(to_number(i.premium_rcv_detail_code))+1
from ins_premium_det i),'2','2','02', '11000003','00','Request by Mr. Omair Ali 29-Nov-2024');</v>
      </c>
      <c r="H1876" s="12" t="str">
        <f t="shared" si="119"/>
        <v>insert into ins_premium_det (premium_rcv_code,assorted_code, rec_amount,premium_rcv_detail_code,remaining_amt, payrec, mode_code,coinsurance_code,class_cd,it_remarks) values('28Nov240101','040000110026','2',(select max(to_number(i.premium_rcv_detail_code))+1
from ins_premium_det i),'2','2','02', '11000003','00','Request by Mr. Omair Ali 29-Nov-2024');</v>
      </c>
    </row>
    <row r="1877" spans="1:8" ht="105" x14ac:dyDescent="0.25">
      <c r="A1877" t="s">
        <v>1877</v>
      </c>
      <c r="B1877" s="8" t="str">
        <f>VLOOKUP(A1877,assortedcode!B:C,2,0)</f>
        <v>040000124401</v>
      </c>
      <c r="C1877" s="1">
        <v>2</v>
      </c>
      <c r="D1877" s="9">
        <f t="shared" si="117"/>
        <v>2</v>
      </c>
      <c r="E1877" s="7" t="s">
        <v>8345</v>
      </c>
      <c r="F1877" s="10" t="str">
        <f t="shared" si="116"/>
        <v>insert into ins_premium_det (premium_rcv_code,assorted_code, rec_amount,premium_rcv_detail_code,remaining_amt, payrec, mode_code,coinsurance_code,class_cd,it_remarks) values</v>
      </c>
      <c r="G1877" s="11" t="str">
        <f t="shared" si="118"/>
        <v>('28Nov240101','040000124401','2',(select max(to_number(i.premium_rcv_detail_code))+1
from ins_premium_det i),'2','2','02', '11000003','00','Request by Mr. Omair Ali 29-Nov-2024');</v>
      </c>
      <c r="H1877" s="12" t="str">
        <f t="shared" si="119"/>
        <v>insert into ins_premium_det (premium_rcv_code,assorted_code, rec_amount,premium_rcv_detail_code,remaining_amt, payrec, mode_code,coinsurance_code,class_cd,it_remarks) values('28Nov240101','040000124401','2',(select max(to_number(i.premium_rcv_detail_code))+1
from ins_premium_det i),'2','2','02', '11000003','00','Request by Mr. Omair Ali 29-Nov-2024');</v>
      </c>
    </row>
    <row r="1878" spans="1:8" ht="105" x14ac:dyDescent="0.25">
      <c r="A1878" t="s">
        <v>1878</v>
      </c>
      <c r="B1878" s="8" t="str">
        <f>VLOOKUP(A1878,assortedcode!B:C,2,0)</f>
        <v>040000115689</v>
      </c>
      <c r="C1878" s="1">
        <v>2</v>
      </c>
      <c r="D1878" s="9">
        <f t="shared" si="117"/>
        <v>2</v>
      </c>
      <c r="E1878" s="7" t="s">
        <v>8345</v>
      </c>
      <c r="F1878" s="10" t="str">
        <f t="shared" si="116"/>
        <v>insert into ins_premium_det (premium_rcv_code,assorted_code, rec_amount,premium_rcv_detail_code,remaining_amt, payrec, mode_code,coinsurance_code,class_cd,it_remarks) values</v>
      </c>
      <c r="G1878" s="11" t="str">
        <f t="shared" si="118"/>
        <v>('28Nov240101','040000115689','2',(select max(to_number(i.premium_rcv_detail_code))+1
from ins_premium_det i),'2','2','02', '11000003','00','Request by Mr. Omair Ali 29-Nov-2024');</v>
      </c>
      <c r="H1878" s="12" t="str">
        <f t="shared" si="119"/>
        <v>insert into ins_premium_det (premium_rcv_code,assorted_code, rec_amount,premium_rcv_detail_code,remaining_amt, payrec, mode_code,coinsurance_code,class_cd,it_remarks) values('28Nov240101','040000115689','2',(select max(to_number(i.premium_rcv_detail_code))+1
from ins_premium_det i),'2','2','02', '11000003','00','Request by Mr. Omair Ali 29-Nov-2024');</v>
      </c>
    </row>
    <row r="1879" spans="1:8" ht="105" x14ac:dyDescent="0.25">
      <c r="A1879" t="s">
        <v>1879</v>
      </c>
      <c r="B1879" s="8" t="str">
        <f>VLOOKUP(A1879,assortedcode!B:C,2,0)</f>
        <v>040000109984</v>
      </c>
      <c r="C1879" s="1">
        <v>2</v>
      </c>
      <c r="D1879" s="9">
        <f t="shared" si="117"/>
        <v>2</v>
      </c>
      <c r="E1879" s="7" t="s">
        <v>8345</v>
      </c>
      <c r="F1879" s="10" t="str">
        <f t="shared" si="116"/>
        <v>insert into ins_premium_det (premium_rcv_code,assorted_code, rec_amount,premium_rcv_detail_code,remaining_amt, payrec, mode_code,coinsurance_code,class_cd,it_remarks) values</v>
      </c>
      <c r="G1879" s="11" t="str">
        <f t="shared" si="118"/>
        <v>('28Nov240101','040000109984','2',(select max(to_number(i.premium_rcv_detail_code))+1
from ins_premium_det i),'2','2','02', '11000003','00','Request by Mr. Omair Ali 29-Nov-2024');</v>
      </c>
      <c r="H1879" s="12" t="str">
        <f t="shared" si="119"/>
        <v>insert into ins_premium_det (premium_rcv_code,assorted_code, rec_amount,premium_rcv_detail_code,remaining_amt, payrec, mode_code,coinsurance_code,class_cd,it_remarks) values('28Nov240101','040000109984','2',(select max(to_number(i.premium_rcv_detail_code))+1
from ins_premium_det i),'2','2','02', '11000003','00','Request by Mr. Omair Ali 29-Nov-2024');</v>
      </c>
    </row>
    <row r="1880" spans="1:8" ht="105" x14ac:dyDescent="0.25">
      <c r="A1880" t="s">
        <v>1880</v>
      </c>
      <c r="B1880" s="8" t="str">
        <f>VLOOKUP(A1880,assortedcode!B:C,2,0)</f>
        <v>040000139241</v>
      </c>
      <c r="C1880" s="1">
        <v>2</v>
      </c>
      <c r="D1880" s="9">
        <f t="shared" si="117"/>
        <v>2</v>
      </c>
      <c r="E1880" s="7" t="s">
        <v>8345</v>
      </c>
      <c r="F1880" s="10" t="str">
        <f t="shared" si="116"/>
        <v>insert into ins_premium_det (premium_rcv_code,assorted_code, rec_amount,premium_rcv_detail_code,remaining_amt, payrec, mode_code,coinsurance_code,class_cd,it_remarks) values</v>
      </c>
      <c r="G1880" s="11" t="str">
        <f t="shared" si="118"/>
        <v>('28Nov240101','040000139241','2',(select max(to_number(i.premium_rcv_detail_code))+1
from ins_premium_det i),'2','2','02', '11000003','00','Request by Mr. Omair Ali 29-Nov-2024');</v>
      </c>
      <c r="H1880" s="12" t="str">
        <f t="shared" si="119"/>
        <v>insert into ins_premium_det (premium_rcv_code,assorted_code, rec_amount,premium_rcv_detail_code,remaining_amt, payrec, mode_code,coinsurance_code,class_cd,it_remarks) values('28Nov240101','040000139241','2',(select max(to_number(i.premium_rcv_detail_code))+1
from ins_premium_det i),'2','2','02', '11000003','00','Request by Mr. Omair Ali 29-Nov-2024');</v>
      </c>
    </row>
    <row r="1881" spans="1:8" ht="105" x14ac:dyDescent="0.25">
      <c r="A1881" t="s">
        <v>1881</v>
      </c>
      <c r="B1881" s="8" t="str">
        <f>VLOOKUP(A1881,assortedcode!B:C,2,0)</f>
        <v>040000111883</v>
      </c>
      <c r="C1881" s="1">
        <v>2</v>
      </c>
      <c r="D1881" s="9">
        <f t="shared" si="117"/>
        <v>2</v>
      </c>
      <c r="E1881" s="7" t="s">
        <v>8345</v>
      </c>
      <c r="F1881" s="10" t="str">
        <f t="shared" si="116"/>
        <v>insert into ins_premium_det (premium_rcv_code,assorted_code, rec_amount,premium_rcv_detail_code,remaining_amt, payrec, mode_code,coinsurance_code,class_cd,it_remarks) values</v>
      </c>
      <c r="G1881" s="11" t="str">
        <f t="shared" si="118"/>
        <v>('28Nov240101','040000111883','2',(select max(to_number(i.premium_rcv_detail_code))+1
from ins_premium_det i),'2','2','02', '11000003','00','Request by Mr. Omair Ali 29-Nov-2024');</v>
      </c>
      <c r="H1881" s="12" t="str">
        <f t="shared" si="119"/>
        <v>insert into ins_premium_det (premium_rcv_code,assorted_code, rec_amount,premium_rcv_detail_code,remaining_amt, payrec, mode_code,coinsurance_code,class_cd,it_remarks) values('28Nov240101','040000111883','2',(select max(to_number(i.premium_rcv_detail_code))+1
from ins_premium_det i),'2','2','02', '11000003','00','Request by Mr. Omair Ali 29-Nov-2024');</v>
      </c>
    </row>
    <row r="1882" spans="1:8" ht="105" x14ac:dyDescent="0.25">
      <c r="A1882" t="s">
        <v>1882</v>
      </c>
      <c r="B1882" s="8" t="str">
        <f>VLOOKUP(A1882,assortedcode!B:C,2,0)</f>
        <v>040000134275</v>
      </c>
      <c r="C1882" s="1">
        <v>2</v>
      </c>
      <c r="D1882" s="9">
        <f t="shared" si="117"/>
        <v>2</v>
      </c>
      <c r="E1882" s="7" t="s">
        <v>8345</v>
      </c>
      <c r="F1882" s="10" t="str">
        <f t="shared" si="116"/>
        <v>insert into ins_premium_det (premium_rcv_code,assorted_code, rec_amount,premium_rcv_detail_code,remaining_amt, payrec, mode_code,coinsurance_code,class_cd,it_remarks) values</v>
      </c>
      <c r="G1882" s="11" t="str">
        <f t="shared" si="118"/>
        <v>('28Nov240101','040000134275','2',(select max(to_number(i.premium_rcv_detail_code))+1
from ins_premium_det i),'2','2','02', '11000003','00','Request by Mr. Omair Ali 29-Nov-2024');</v>
      </c>
      <c r="H1882" s="12" t="str">
        <f t="shared" si="119"/>
        <v>insert into ins_premium_det (premium_rcv_code,assorted_code, rec_amount,premium_rcv_detail_code,remaining_amt, payrec, mode_code,coinsurance_code,class_cd,it_remarks) values('28Nov240101','040000134275','2',(select max(to_number(i.premium_rcv_detail_code))+1
from ins_premium_det i),'2','2','02', '11000003','00','Request by Mr. Omair Ali 29-Nov-2024');</v>
      </c>
    </row>
    <row r="1883" spans="1:8" ht="105" x14ac:dyDescent="0.25">
      <c r="A1883" t="s">
        <v>1883</v>
      </c>
      <c r="B1883" s="8" t="str">
        <f>VLOOKUP(A1883,assortedcode!B:C,2,0)</f>
        <v>040000115209</v>
      </c>
      <c r="C1883" s="1">
        <v>2</v>
      </c>
      <c r="D1883" s="9">
        <f t="shared" si="117"/>
        <v>2</v>
      </c>
      <c r="E1883" s="7" t="s">
        <v>8345</v>
      </c>
      <c r="F1883" s="10" t="str">
        <f t="shared" si="116"/>
        <v>insert into ins_premium_det (premium_rcv_code,assorted_code, rec_amount,premium_rcv_detail_code,remaining_amt, payrec, mode_code,coinsurance_code,class_cd,it_remarks) values</v>
      </c>
      <c r="G1883" s="11" t="str">
        <f t="shared" si="118"/>
        <v>('28Nov240101','040000115209','2',(select max(to_number(i.premium_rcv_detail_code))+1
from ins_premium_det i),'2','2','02', '11000003','00','Request by Mr. Omair Ali 29-Nov-2024');</v>
      </c>
      <c r="H1883" s="12" t="str">
        <f t="shared" si="119"/>
        <v>insert into ins_premium_det (premium_rcv_code,assorted_code, rec_amount,premium_rcv_detail_code,remaining_amt, payrec, mode_code,coinsurance_code,class_cd,it_remarks) values('28Nov240101','040000115209','2',(select max(to_number(i.premium_rcv_detail_code))+1
from ins_premium_det i),'2','2','02', '11000003','00','Request by Mr. Omair Ali 29-Nov-2024');</v>
      </c>
    </row>
    <row r="1884" spans="1:8" ht="105" x14ac:dyDescent="0.25">
      <c r="A1884" t="s">
        <v>1884</v>
      </c>
      <c r="B1884" s="8" t="str">
        <f>VLOOKUP(A1884,assortedcode!B:C,2,0)</f>
        <v>040000110035</v>
      </c>
      <c r="C1884" s="1">
        <v>2</v>
      </c>
      <c r="D1884" s="9">
        <f t="shared" si="117"/>
        <v>2</v>
      </c>
      <c r="E1884" s="7" t="s">
        <v>8345</v>
      </c>
      <c r="F1884" s="10" t="str">
        <f t="shared" si="116"/>
        <v>insert into ins_premium_det (premium_rcv_code,assorted_code, rec_amount,premium_rcv_detail_code,remaining_amt, payrec, mode_code,coinsurance_code,class_cd,it_remarks) values</v>
      </c>
      <c r="G1884" s="11" t="str">
        <f t="shared" si="118"/>
        <v>('28Nov240101','040000110035','2',(select max(to_number(i.premium_rcv_detail_code))+1
from ins_premium_det i),'2','2','02', '11000003','00','Request by Mr. Omair Ali 29-Nov-2024');</v>
      </c>
      <c r="H1884" s="12" t="str">
        <f t="shared" si="119"/>
        <v>insert into ins_premium_det (premium_rcv_code,assorted_code, rec_amount,premium_rcv_detail_code,remaining_amt, payrec, mode_code,coinsurance_code,class_cd,it_remarks) values('28Nov240101','040000110035','2',(select max(to_number(i.premium_rcv_detail_code))+1
from ins_premium_det i),'2','2','02', '11000003','00','Request by Mr. Omair Ali 29-Nov-2024');</v>
      </c>
    </row>
    <row r="1885" spans="1:8" ht="105" x14ac:dyDescent="0.25">
      <c r="A1885" t="s">
        <v>1885</v>
      </c>
      <c r="B1885" s="8" t="str">
        <f>VLOOKUP(A1885,assortedcode!B:C,2,0)</f>
        <v>040000110024</v>
      </c>
      <c r="C1885" s="1">
        <v>2</v>
      </c>
      <c r="D1885" s="9">
        <f t="shared" si="117"/>
        <v>2</v>
      </c>
      <c r="E1885" s="7" t="s">
        <v>8345</v>
      </c>
      <c r="F1885" s="10" t="str">
        <f t="shared" si="116"/>
        <v>insert into ins_premium_det (premium_rcv_code,assorted_code, rec_amount,premium_rcv_detail_code,remaining_amt, payrec, mode_code,coinsurance_code,class_cd,it_remarks) values</v>
      </c>
      <c r="G1885" s="11" t="str">
        <f t="shared" si="118"/>
        <v>('28Nov240101','040000110024','2',(select max(to_number(i.premium_rcv_detail_code))+1
from ins_premium_det i),'2','2','02', '11000003','00','Request by Mr. Omair Ali 29-Nov-2024');</v>
      </c>
      <c r="H1885" s="12" t="str">
        <f t="shared" si="119"/>
        <v>insert into ins_premium_det (premium_rcv_code,assorted_code, rec_amount,premium_rcv_detail_code,remaining_amt, payrec, mode_code,coinsurance_code,class_cd,it_remarks) values('28Nov240101','040000110024','2',(select max(to_number(i.premium_rcv_detail_code))+1
from ins_premium_det i),'2','2','02', '11000003','00','Request by Mr. Omair Ali 29-Nov-2024');</v>
      </c>
    </row>
    <row r="1886" spans="1:8" ht="105" x14ac:dyDescent="0.25">
      <c r="A1886" t="s">
        <v>1886</v>
      </c>
      <c r="B1886" s="8" t="str">
        <f>VLOOKUP(A1886,assortedcode!B:C,2,0)</f>
        <v>040000116636</v>
      </c>
      <c r="C1886" s="1">
        <v>2</v>
      </c>
      <c r="D1886" s="9">
        <f t="shared" si="117"/>
        <v>2</v>
      </c>
      <c r="E1886" s="7" t="s">
        <v>8345</v>
      </c>
      <c r="F1886" s="10" t="str">
        <f t="shared" si="116"/>
        <v>insert into ins_premium_det (premium_rcv_code,assorted_code, rec_amount,premium_rcv_detail_code,remaining_amt, payrec, mode_code,coinsurance_code,class_cd,it_remarks) values</v>
      </c>
      <c r="G1886" s="11" t="str">
        <f t="shared" si="118"/>
        <v>('28Nov240101','040000116636','2',(select max(to_number(i.premium_rcv_detail_code))+1
from ins_premium_det i),'2','2','02', '11000003','00','Request by Mr. Omair Ali 29-Nov-2024');</v>
      </c>
      <c r="H1886" s="12" t="str">
        <f t="shared" si="119"/>
        <v>insert into ins_premium_det (premium_rcv_code,assorted_code, rec_amount,premium_rcv_detail_code,remaining_amt, payrec, mode_code,coinsurance_code,class_cd,it_remarks) values('28Nov240101','040000116636','2',(select max(to_number(i.premium_rcv_detail_code))+1
from ins_premium_det i),'2','2','02', '11000003','00','Request by Mr. Omair Ali 29-Nov-2024');</v>
      </c>
    </row>
    <row r="1887" spans="1:8" ht="105" x14ac:dyDescent="0.25">
      <c r="A1887" t="s">
        <v>1887</v>
      </c>
      <c r="B1887" s="8" t="str">
        <f>VLOOKUP(A1887,assortedcode!B:C,2,0)</f>
        <v>040000110038</v>
      </c>
      <c r="C1887" s="1">
        <v>2</v>
      </c>
      <c r="D1887" s="9">
        <f t="shared" si="117"/>
        <v>2</v>
      </c>
      <c r="E1887" s="7" t="s">
        <v>8345</v>
      </c>
      <c r="F1887" s="10" t="str">
        <f t="shared" si="116"/>
        <v>insert into ins_premium_det (premium_rcv_code,assorted_code, rec_amount,premium_rcv_detail_code,remaining_amt, payrec, mode_code,coinsurance_code,class_cd,it_remarks) values</v>
      </c>
      <c r="G1887" s="11" t="str">
        <f t="shared" si="118"/>
        <v>('28Nov240101','040000110038','2',(select max(to_number(i.premium_rcv_detail_code))+1
from ins_premium_det i),'2','2','02', '11000003','00','Request by Mr. Omair Ali 29-Nov-2024');</v>
      </c>
      <c r="H1887" s="12" t="str">
        <f t="shared" si="119"/>
        <v>insert into ins_premium_det (premium_rcv_code,assorted_code, rec_amount,premium_rcv_detail_code,remaining_amt, payrec, mode_code,coinsurance_code,class_cd,it_remarks) values('28Nov240101','040000110038','2',(select max(to_number(i.premium_rcv_detail_code))+1
from ins_premium_det i),'2','2','02', '11000003','00','Request by Mr. Omair Ali 29-Nov-2024');</v>
      </c>
    </row>
    <row r="1888" spans="1:8" ht="105" x14ac:dyDescent="0.25">
      <c r="A1888" t="s">
        <v>1888</v>
      </c>
      <c r="B1888" s="8" t="str">
        <f>VLOOKUP(A1888,assortedcode!B:C,2,0)</f>
        <v>040000124739</v>
      </c>
      <c r="C1888" s="1">
        <v>2</v>
      </c>
      <c r="D1888" s="9">
        <f t="shared" si="117"/>
        <v>2</v>
      </c>
      <c r="E1888" s="7" t="s">
        <v>8345</v>
      </c>
      <c r="F1888" s="10" t="str">
        <f t="shared" si="116"/>
        <v>insert into ins_premium_det (premium_rcv_code,assorted_code, rec_amount,premium_rcv_detail_code,remaining_amt, payrec, mode_code,coinsurance_code,class_cd,it_remarks) values</v>
      </c>
      <c r="G1888" s="11" t="str">
        <f t="shared" si="118"/>
        <v>('28Nov240101','040000124739','2',(select max(to_number(i.premium_rcv_detail_code))+1
from ins_premium_det i),'2','2','02', '11000003','00','Request by Mr. Omair Ali 29-Nov-2024');</v>
      </c>
      <c r="H1888" s="12" t="str">
        <f t="shared" si="119"/>
        <v>insert into ins_premium_det (premium_rcv_code,assorted_code, rec_amount,premium_rcv_detail_code,remaining_amt, payrec, mode_code,coinsurance_code,class_cd,it_remarks) values('28Nov240101','040000124739','2',(select max(to_number(i.premium_rcv_detail_code))+1
from ins_premium_det i),'2','2','02', '11000003','00','Request by Mr. Omair Ali 29-Nov-2024');</v>
      </c>
    </row>
    <row r="1889" spans="1:8" ht="105" x14ac:dyDescent="0.25">
      <c r="A1889" t="s">
        <v>1889</v>
      </c>
      <c r="B1889" s="8" t="str">
        <f>VLOOKUP(A1889,assortedcode!B:C,2,0)</f>
        <v>040000109618</v>
      </c>
      <c r="C1889" s="1">
        <v>2</v>
      </c>
      <c r="D1889" s="9">
        <f t="shared" si="117"/>
        <v>2</v>
      </c>
      <c r="E1889" s="7" t="s">
        <v>8345</v>
      </c>
      <c r="F1889" s="10" t="str">
        <f t="shared" si="116"/>
        <v>insert into ins_premium_det (premium_rcv_code,assorted_code, rec_amount,premium_rcv_detail_code,remaining_amt, payrec, mode_code,coinsurance_code,class_cd,it_remarks) values</v>
      </c>
      <c r="G1889" s="11" t="str">
        <f t="shared" si="118"/>
        <v>('28Nov240101','040000109618','2',(select max(to_number(i.premium_rcv_detail_code))+1
from ins_premium_det i),'2','2','02', '11000003','00','Request by Mr. Omair Ali 29-Nov-2024');</v>
      </c>
      <c r="H1889" s="12" t="str">
        <f t="shared" si="119"/>
        <v>insert into ins_premium_det (premium_rcv_code,assorted_code, rec_amount,premium_rcv_detail_code,remaining_amt, payrec, mode_code,coinsurance_code,class_cd,it_remarks) values('28Nov240101','040000109618','2',(select max(to_number(i.premium_rcv_detail_code))+1
from ins_premium_det i),'2','2','02', '11000003','00','Request by Mr. Omair Ali 29-Nov-2024');</v>
      </c>
    </row>
    <row r="1890" spans="1:8" ht="105" x14ac:dyDescent="0.25">
      <c r="A1890" t="s">
        <v>1890</v>
      </c>
      <c r="B1890" s="8" t="str">
        <f>VLOOKUP(A1890,assortedcode!B:C,2,0)</f>
        <v>040000116995</v>
      </c>
      <c r="C1890" s="1">
        <v>2</v>
      </c>
      <c r="D1890" s="9">
        <f t="shared" si="117"/>
        <v>2</v>
      </c>
      <c r="E1890" s="7" t="s">
        <v>8345</v>
      </c>
      <c r="F1890" s="10" t="str">
        <f t="shared" si="116"/>
        <v>insert into ins_premium_det (premium_rcv_code,assorted_code, rec_amount,premium_rcv_detail_code,remaining_amt, payrec, mode_code,coinsurance_code,class_cd,it_remarks) values</v>
      </c>
      <c r="G1890" s="11" t="str">
        <f t="shared" si="118"/>
        <v>('28Nov240101','040000116995','2',(select max(to_number(i.premium_rcv_detail_code))+1
from ins_premium_det i),'2','2','02', '11000003','00','Request by Mr. Omair Ali 29-Nov-2024');</v>
      </c>
      <c r="H1890" s="12" t="str">
        <f t="shared" si="119"/>
        <v>insert into ins_premium_det (premium_rcv_code,assorted_code, rec_amount,premium_rcv_detail_code,remaining_amt, payrec, mode_code,coinsurance_code,class_cd,it_remarks) values('28Nov240101','040000116995','2',(select max(to_number(i.premium_rcv_detail_code))+1
from ins_premium_det i),'2','2','02', '11000003','00','Request by Mr. Omair Ali 29-Nov-2024');</v>
      </c>
    </row>
    <row r="1891" spans="1:8" ht="105" x14ac:dyDescent="0.25">
      <c r="A1891" t="s">
        <v>1891</v>
      </c>
      <c r="B1891" s="8" t="str">
        <f>VLOOKUP(A1891,assortedcode!B:C,2,0)</f>
        <v>040000109992</v>
      </c>
      <c r="C1891" s="1">
        <v>2</v>
      </c>
      <c r="D1891" s="9">
        <f t="shared" si="117"/>
        <v>2</v>
      </c>
      <c r="E1891" s="7" t="s">
        <v>8345</v>
      </c>
      <c r="F1891" s="10" t="str">
        <f t="shared" si="116"/>
        <v>insert into ins_premium_det (premium_rcv_code,assorted_code, rec_amount,premium_rcv_detail_code,remaining_amt, payrec, mode_code,coinsurance_code,class_cd,it_remarks) values</v>
      </c>
      <c r="G1891" s="11" t="str">
        <f t="shared" si="118"/>
        <v>('28Nov240101','040000109992','2',(select max(to_number(i.premium_rcv_detail_code))+1
from ins_premium_det i),'2','2','02', '11000003','00','Request by Mr. Omair Ali 29-Nov-2024');</v>
      </c>
      <c r="H1891" s="12" t="str">
        <f t="shared" si="119"/>
        <v>insert into ins_premium_det (premium_rcv_code,assorted_code, rec_amount,premium_rcv_detail_code,remaining_amt, payrec, mode_code,coinsurance_code,class_cd,it_remarks) values('28Nov240101','040000109992','2',(select max(to_number(i.premium_rcv_detail_code))+1
from ins_premium_det i),'2','2','02', '11000003','00','Request by Mr. Omair Ali 29-Nov-2024');</v>
      </c>
    </row>
    <row r="1892" spans="1:8" ht="105" x14ac:dyDescent="0.25">
      <c r="A1892" t="s">
        <v>1892</v>
      </c>
      <c r="B1892" s="8" t="str">
        <f>VLOOKUP(A1892,assortedcode!B:C,2,0)</f>
        <v>040000110022</v>
      </c>
      <c r="C1892" s="1">
        <v>2</v>
      </c>
      <c r="D1892" s="9">
        <f t="shared" si="117"/>
        <v>2</v>
      </c>
      <c r="E1892" s="7" t="s">
        <v>8345</v>
      </c>
      <c r="F1892" s="10" t="str">
        <f t="shared" si="116"/>
        <v>insert into ins_premium_det (premium_rcv_code,assorted_code, rec_amount,premium_rcv_detail_code,remaining_amt, payrec, mode_code,coinsurance_code,class_cd,it_remarks) values</v>
      </c>
      <c r="G1892" s="11" t="str">
        <f t="shared" si="118"/>
        <v>('28Nov240101','040000110022','2',(select max(to_number(i.premium_rcv_detail_code))+1
from ins_premium_det i),'2','2','02', '11000003','00','Request by Mr. Omair Ali 29-Nov-2024');</v>
      </c>
      <c r="H1892" s="12" t="str">
        <f t="shared" si="119"/>
        <v>insert into ins_premium_det (premium_rcv_code,assorted_code, rec_amount,premium_rcv_detail_code,remaining_amt, payrec, mode_code,coinsurance_code,class_cd,it_remarks) values('28Nov240101','040000110022','2',(select max(to_number(i.premium_rcv_detail_code))+1
from ins_premium_det i),'2','2','02', '11000003','00','Request by Mr. Omair Ali 29-Nov-2024');</v>
      </c>
    </row>
    <row r="1893" spans="1:8" ht="105" x14ac:dyDescent="0.25">
      <c r="A1893" t="s">
        <v>1893</v>
      </c>
      <c r="B1893" s="8" t="str">
        <f>VLOOKUP(A1893,assortedcode!B:C,2,0)</f>
        <v>040000123710</v>
      </c>
      <c r="C1893" s="1">
        <v>2</v>
      </c>
      <c r="D1893" s="9">
        <f t="shared" si="117"/>
        <v>2</v>
      </c>
      <c r="E1893" s="7" t="s">
        <v>8345</v>
      </c>
      <c r="F1893" s="10" t="str">
        <f t="shared" si="116"/>
        <v>insert into ins_premium_det (premium_rcv_code,assorted_code, rec_amount,premium_rcv_detail_code,remaining_amt, payrec, mode_code,coinsurance_code,class_cd,it_remarks) values</v>
      </c>
      <c r="G1893" s="11" t="str">
        <f t="shared" si="118"/>
        <v>('28Nov240101','040000123710','2',(select max(to_number(i.premium_rcv_detail_code))+1
from ins_premium_det i),'2','2','02', '11000003','00','Request by Mr. Omair Ali 29-Nov-2024');</v>
      </c>
      <c r="H1893" s="12" t="str">
        <f t="shared" si="119"/>
        <v>insert into ins_premium_det (premium_rcv_code,assorted_code, rec_amount,premium_rcv_detail_code,remaining_amt, payrec, mode_code,coinsurance_code,class_cd,it_remarks) values('28Nov240101','040000123710','2',(select max(to_number(i.premium_rcv_detail_code))+1
from ins_premium_det i),'2','2','02', '11000003','00','Request by Mr. Omair Ali 29-Nov-2024');</v>
      </c>
    </row>
    <row r="1894" spans="1:8" ht="105" x14ac:dyDescent="0.25">
      <c r="A1894" t="s">
        <v>1894</v>
      </c>
      <c r="B1894" s="8" t="str">
        <f>VLOOKUP(A1894,assortedcode!B:C,2,0)</f>
        <v>040000109989</v>
      </c>
      <c r="C1894" s="1">
        <v>2</v>
      </c>
      <c r="D1894" s="9">
        <f t="shared" si="117"/>
        <v>2</v>
      </c>
      <c r="E1894" s="7" t="s">
        <v>8345</v>
      </c>
      <c r="F1894" s="10" t="str">
        <f t="shared" si="116"/>
        <v>insert into ins_premium_det (premium_rcv_code,assorted_code, rec_amount,premium_rcv_detail_code,remaining_amt, payrec, mode_code,coinsurance_code,class_cd,it_remarks) values</v>
      </c>
      <c r="G1894" s="11" t="str">
        <f t="shared" si="118"/>
        <v>('28Nov240101','040000109989','2',(select max(to_number(i.premium_rcv_detail_code))+1
from ins_premium_det i),'2','2','02', '11000003','00','Request by Mr. Omair Ali 29-Nov-2024');</v>
      </c>
      <c r="H1894" s="12" t="str">
        <f t="shared" si="119"/>
        <v>insert into ins_premium_det (premium_rcv_code,assorted_code, rec_amount,premium_rcv_detail_code,remaining_amt, payrec, mode_code,coinsurance_code,class_cd,it_remarks) values('28Nov240101','040000109989','2',(select max(to_number(i.premium_rcv_detail_code))+1
from ins_premium_det i),'2','2','02', '11000003','00','Request by Mr. Omair Ali 29-Nov-2024');</v>
      </c>
    </row>
    <row r="1895" spans="1:8" ht="105" x14ac:dyDescent="0.25">
      <c r="A1895" t="s">
        <v>1895</v>
      </c>
      <c r="B1895" s="8" t="str">
        <f>VLOOKUP(A1895,assortedcode!B:C,2,0)</f>
        <v>040000123357</v>
      </c>
      <c r="C1895" s="1">
        <v>2</v>
      </c>
      <c r="D1895" s="9">
        <f t="shared" si="117"/>
        <v>2</v>
      </c>
      <c r="E1895" s="7" t="s">
        <v>8345</v>
      </c>
      <c r="F1895" s="10" t="str">
        <f t="shared" si="116"/>
        <v>insert into ins_premium_det (premium_rcv_code,assorted_code, rec_amount,premium_rcv_detail_code,remaining_amt, payrec, mode_code,coinsurance_code,class_cd,it_remarks) values</v>
      </c>
      <c r="G1895" s="11" t="str">
        <f t="shared" si="118"/>
        <v>('28Nov240101','040000123357','2',(select max(to_number(i.premium_rcv_detail_code))+1
from ins_premium_det i),'2','2','02', '11000003','00','Request by Mr. Omair Ali 29-Nov-2024');</v>
      </c>
      <c r="H1895" s="12" t="str">
        <f t="shared" si="119"/>
        <v>insert into ins_premium_det (premium_rcv_code,assorted_code, rec_amount,premium_rcv_detail_code,remaining_amt, payrec, mode_code,coinsurance_code,class_cd,it_remarks) values('28Nov240101','040000123357','2',(select max(to_number(i.premium_rcv_detail_code))+1
from ins_premium_det i),'2','2','02', '11000003','00','Request by Mr. Omair Ali 29-Nov-2024');</v>
      </c>
    </row>
    <row r="1896" spans="1:8" ht="105" x14ac:dyDescent="0.25">
      <c r="A1896" t="s">
        <v>1896</v>
      </c>
      <c r="B1896" s="8" t="str">
        <f>VLOOKUP(A1896,assortedcode!B:C,2,0)</f>
        <v>040000121598</v>
      </c>
      <c r="C1896" s="1">
        <v>2</v>
      </c>
      <c r="D1896" s="9">
        <f t="shared" si="117"/>
        <v>2</v>
      </c>
      <c r="E1896" s="7" t="s">
        <v>8345</v>
      </c>
      <c r="F1896" s="10" t="str">
        <f t="shared" si="116"/>
        <v>insert into ins_premium_det (premium_rcv_code,assorted_code, rec_amount,premium_rcv_detail_code,remaining_amt, payrec, mode_code,coinsurance_code,class_cd,it_remarks) values</v>
      </c>
      <c r="G1896" s="11" t="str">
        <f t="shared" si="118"/>
        <v>('28Nov240101','040000121598','2',(select max(to_number(i.premium_rcv_detail_code))+1
from ins_premium_det i),'2','2','02', '11000003','00','Request by Mr. Omair Ali 29-Nov-2024');</v>
      </c>
      <c r="H1896" s="12" t="str">
        <f t="shared" si="119"/>
        <v>insert into ins_premium_det (premium_rcv_code,assorted_code, rec_amount,premium_rcv_detail_code,remaining_amt, payrec, mode_code,coinsurance_code,class_cd,it_remarks) values('28Nov240101','040000121598','2',(select max(to_number(i.premium_rcv_detail_code))+1
from ins_premium_det i),'2','2','02', '11000003','00','Request by Mr. Omair Ali 29-Nov-2024');</v>
      </c>
    </row>
    <row r="1897" spans="1:8" ht="105" x14ac:dyDescent="0.25">
      <c r="A1897" t="s">
        <v>1897</v>
      </c>
      <c r="B1897" s="8" t="str">
        <f>VLOOKUP(A1897,assortedcode!B:C,2,0)</f>
        <v>040000126549</v>
      </c>
      <c r="C1897" s="1">
        <v>2</v>
      </c>
      <c r="D1897" s="9">
        <f t="shared" si="117"/>
        <v>2</v>
      </c>
      <c r="E1897" s="7" t="s">
        <v>8345</v>
      </c>
      <c r="F1897" s="10" t="str">
        <f t="shared" si="116"/>
        <v>insert into ins_premium_det (premium_rcv_code,assorted_code, rec_amount,premium_rcv_detail_code,remaining_amt, payrec, mode_code,coinsurance_code,class_cd,it_remarks) values</v>
      </c>
      <c r="G1897" s="11" t="str">
        <f t="shared" si="118"/>
        <v>('28Nov240101','040000126549','2',(select max(to_number(i.premium_rcv_detail_code))+1
from ins_premium_det i),'2','2','02', '11000003','00','Request by Mr. Omair Ali 29-Nov-2024');</v>
      </c>
      <c r="H1897" s="12" t="str">
        <f t="shared" si="119"/>
        <v>insert into ins_premium_det (premium_rcv_code,assorted_code, rec_amount,premium_rcv_detail_code,remaining_amt, payrec, mode_code,coinsurance_code,class_cd,it_remarks) values('28Nov240101','040000126549','2',(select max(to_number(i.premium_rcv_detail_code))+1
from ins_premium_det i),'2','2','02', '11000003','00','Request by Mr. Omair Ali 29-Nov-2024');</v>
      </c>
    </row>
    <row r="1898" spans="1:8" ht="105" x14ac:dyDescent="0.25">
      <c r="A1898" t="s">
        <v>1898</v>
      </c>
      <c r="B1898" s="8" t="str">
        <f>VLOOKUP(A1898,assortedcode!B:C,2,0)</f>
        <v>040000109933</v>
      </c>
      <c r="C1898" s="1">
        <v>2</v>
      </c>
      <c r="D1898" s="9">
        <f t="shared" si="117"/>
        <v>2</v>
      </c>
      <c r="E1898" s="7" t="s">
        <v>8345</v>
      </c>
      <c r="F1898" s="10" t="str">
        <f t="shared" si="116"/>
        <v>insert into ins_premium_det (premium_rcv_code,assorted_code, rec_amount,premium_rcv_detail_code,remaining_amt, payrec, mode_code,coinsurance_code,class_cd,it_remarks) values</v>
      </c>
      <c r="G1898" s="11" t="str">
        <f t="shared" si="118"/>
        <v>('28Nov240101','040000109933','2',(select max(to_number(i.premium_rcv_detail_code))+1
from ins_premium_det i),'2','2','02', '11000003','00','Request by Mr. Omair Ali 29-Nov-2024');</v>
      </c>
      <c r="H1898" s="12" t="str">
        <f t="shared" si="119"/>
        <v>insert into ins_premium_det (premium_rcv_code,assorted_code, rec_amount,premium_rcv_detail_code,remaining_amt, payrec, mode_code,coinsurance_code,class_cd,it_remarks) values('28Nov240101','040000109933','2',(select max(to_number(i.premium_rcv_detail_code))+1
from ins_premium_det i),'2','2','02', '11000003','00','Request by Mr. Omair Ali 29-Nov-2024');</v>
      </c>
    </row>
    <row r="1899" spans="1:8" ht="105" x14ac:dyDescent="0.25">
      <c r="A1899" t="s">
        <v>1899</v>
      </c>
      <c r="B1899" s="8" t="str">
        <f>VLOOKUP(A1899,assortedcode!B:C,2,0)</f>
        <v>040000124264</v>
      </c>
      <c r="C1899" s="1">
        <v>2</v>
      </c>
      <c r="D1899" s="9">
        <f t="shared" si="117"/>
        <v>2</v>
      </c>
      <c r="E1899" s="7" t="s">
        <v>8345</v>
      </c>
      <c r="F1899" s="10" t="str">
        <f t="shared" si="116"/>
        <v>insert into ins_premium_det (premium_rcv_code,assorted_code, rec_amount,premium_rcv_detail_code,remaining_amt, payrec, mode_code,coinsurance_code,class_cd,it_remarks) values</v>
      </c>
      <c r="G1899" s="11" t="str">
        <f t="shared" si="118"/>
        <v>('28Nov240101','040000124264','2',(select max(to_number(i.premium_rcv_detail_code))+1
from ins_premium_det i),'2','2','02', '11000003','00','Request by Mr. Omair Ali 29-Nov-2024');</v>
      </c>
      <c r="H1899" s="12" t="str">
        <f t="shared" si="119"/>
        <v>insert into ins_premium_det (premium_rcv_code,assorted_code, rec_amount,premium_rcv_detail_code,remaining_amt, payrec, mode_code,coinsurance_code,class_cd,it_remarks) values('28Nov240101','040000124264','2',(select max(to_number(i.premium_rcv_detail_code))+1
from ins_premium_det i),'2','2','02', '11000003','00','Request by Mr. Omair Ali 29-Nov-2024');</v>
      </c>
    </row>
    <row r="1900" spans="1:8" ht="105" x14ac:dyDescent="0.25">
      <c r="A1900" t="s">
        <v>1900</v>
      </c>
      <c r="B1900" s="8" t="str">
        <f>VLOOKUP(A1900,assortedcode!B:C,2,0)</f>
        <v>040000121813</v>
      </c>
      <c r="C1900" s="1">
        <v>2</v>
      </c>
      <c r="D1900" s="9">
        <f t="shared" si="117"/>
        <v>2</v>
      </c>
      <c r="E1900" s="7" t="s">
        <v>8345</v>
      </c>
      <c r="F1900" s="10" t="str">
        <f t="shared" si="116"/>
        <v>insert into ins_premium_det (premium_rcv_code,assorted_code, rec_amount,premium_rcv_detail_code,remaining_amt, payrec, mode_code,coinsurance_code,class_cd,it_remarks) values</v>
      </c>
      <c r="G1900" s="11" t="str">
        <f t="shared" si="118"/>
        <v>('28Nov240101','040000121813','2',(select max(to_number(i.premium_rcv_detail_code))+1
from ins_premium_det i),'2','2','02', '11000003','00','Request by Mr. Omair Ali 29-Nov-2024');</v>
      </c>
      <c r="H1900" s="12" t="str">
        <f t="shared" si="119"/>
        <v>insert into ins_premium_det (premium_rcv_code,assorted_code, rec_amount,premium_rcv_detail_code,remaining_amt, payrec, mode_code,coinsurance_code,class_cd,it_remarks) values('28Nov240101','040000121813','2',(select max(to_number(i.premium_rcv_detail_code))+1
from ins_premium_det i),'2','2','02', '11000003','00','Request by Mr. Omair Ali 29-Nov-2024');</v>
      </c>
    </row>
    <row r="1901" spans="1:8" ht="105" x14ac:dyDescent="0.25">
      <c r="A1901" t="s">
        <v>1901</v>
      </c>
      <c r="B1901" s="8" t="str">
        <f>VLOOKUP(A1901,assortedcode!B:C,2,0)</f>
        <v>040000116481</v>
      </c>
      <c r="C1901" s="1">
        <v>2</v>
      </c>
      <c r="D1901" s="9">
        <f t="shared" si="117"/>
        <v>2</v>
      </c>
      <c r="E1901" s="7" t="s">
        <v>8345</v>
      </c>
      <c r="F1901" s="10" t="str">
        <f t="shared" si="116"/>
        <v>insert into ins_premium_det (premium_rcv_code,assorted_code, rec_amount,premium_rcv_detail_code,remaining_amt, payrec, mode_code,coinsurance_code,class_cd,it_remarks) values</v>
      </c>
      <c r="G1901" s="11" t="str">
        <f t="shared" si="118"/>
        <v>('28Nov240101','040000116481','2',(select max(to_number(i.premium_rcv_detail_code))+1
from ins_premium_det i),'2','2','02', '11000003','00','Request by Mr. Omair Ali 29-Nov-2024');</v>
      </c>
      <c r="H1901" s="12" t="str">
        <f t="shared" si="119"/>
        <v>insert into ins_premium_det (premium_rcv_code,assorted_code, rec_amount,premium_rcv_detail_code,remaining_amt, payrec, mode_code,coinsurance_code,class_cd,it_remarks) values('28Nov240101','040000116481','2',(select max(to_number(i.premium_rcv_detail_code))+1
from ins_premium_det i),'2','2','02', '11000003','00','Request by Mr. Omair Ali 29-Nov-2024');</v>
      </c>
    </row>
    <row r="1902" spans="1:8" ht="105" x14ac:dyDescent="0.25">
      <c r="A1902" t="s">
        <v>1902</v>
      </c>
      <c r="B1902" s="8" t="str">
        <f>VLOOKUP(A1902,assortedcode!B:C,2,0)</f>
        <v>040000141786</v>
      </c>
      <c r="C1902" s="1">
        <v>2</v>
      </c>
      <c r="D1902" s="9">
        <f t="shared" si="117"/>
        <v>2</v>
      </c>
      <c r="E1902" s="7" t="s">
        <v>8345</v>
      </c>
      <c r="F1902" s="10" t="str">
        <f t="shared" si="116"/>
        <v>insert into ins_premium_det (premium_rcv_code,assorted_code, rec_amount,premium_rcv_detail_code,remaining_amt, payrec, mode_code,coinsurance_code,class_cd,it_remarks) values</v>
      </c>
      <c r="G1902" s="11" t="str">
        <f t="shared" si="118"/>
        <v>('28Nov240101','040000141786','2',(select max(to_number(i.premium_rcv_detail_code))+1
from ins_premium_det i),'2','2','02', '11000003','00','Request by Mr. Omair Ali 29-Nov-2024');</v>
      </c>
      <c r="H1902" s="12" t="str">
        <f t="shared" si="119"/>
        <v>insert into ins_premium_det (premium_rcv_code,assorted_code, rec_amount,premium_rcv_detail_code,remaining_amt, payrec, mode_code,coinsurance_code,class_cd,it_remarks) values('28Nov240101','040000141786','2',(select max(to_number(i.premium_rcv_detail_code))+1
from ins_premium_det i),'2','2','02', '11000003','00','Request by Mr. Omair Ali 29-Nov-2024');</v>
      </c>
    </row>
    <row r="1903" spans="1:8" ht="105" x14ac:dyDescent="0.25">
      <c r="A1903" t="s">
        <v>1903</v>
      </c>
      <c r="B1903" s="8" t="str">
        <f>VLOOKUP(A1903,assortedcode!B:C,2,0)</f>
        <v>040000111699</v>
      </c>
      <c r="C1903" s="1">
        <v>2</v>
      </c>
      <c r="D1903" s="9">
        <f t="shared" si="117"/>
        <v>2</v>
      </c>
      <c r="E1903" s="7" t="s">
        <v>8345</v>
      </c>
      <c r="F1903" s="10" t="str">
        <f t="shared" si="116"/>
        <v>insert into ins_premium_det (premium_rcv_code,assorted_code, rec_amount,premium_rcv_detail_code,remaining_amt, payrec, mode_code,coinsurance_code,class_cd,it_remarks) values</v>
      </c>
      <c r="G1903" s="11" t="str">
        <f t="shared" si="118"/>
        <v>('28Nov240101','040000111699','2',(select max(to_number(i.premium_rcv_detail_code))+1
from ins_premium_det i),'2','2','02', '11000003','00','Request by Mr. Omair Ali 29-Nov-2024');</v>
      </c>
      <c r="H1903" s="12" t="str">
        <f t="shared" si="119"/>
        <v>insert into ins_premium_det (premium_rcv_code,assorted_code, rec_amount,premium_rcv_detail_code,remaining_amt, payrec, mode_code,coinsurance_code,class_cd,it_remarks) values('28Nov240101','040000111699','2',(select max(to_number(i.premium_rcv_detail_code))+1
from ins_premium_det i),'2','2','02', '11000003','00','Request by Mr. Omair Ali 29-Nov-2024');</v>
      </c>
    </row>
    <row r="1904" spans="1:8" ht="105" x14ac:dyDescent="0.25">
      <c r="A1904" t="s">
        <v>1904</v>
      </c>
      <c r="B1904" s="8" t="str">
        <f>VLOOKUP(A1904,assortedcode!B:C,2,0)</f>
        <v>040000141919</v>
      </c>
      <c r="C1904" s="1">
        <v>2</v>
      </c>
      <c r="D1904" s="9">
        <f t="shared" si="117"/>
        <v>2</v>
      </c>
      <c r="E1904" s="7" t="s">
        <v>8345</v>
      </c>
      <c r="F1904" s="10" t="str">
        <f t="shared" si="116"/>
        <v>insert into ins_premium_det (premium_rcv_code,assorted_code, rec_amount,premium_rcv_detail_code,remaining_amt, payrec, mode_code,coinsurance_code,class_cd,it_remarks) values</v>
      </c>
      <c r="G1904" s="11" t="str">
        <f t="shared" si="118"/>
        <v>('28Nov240101','040000141919','2',(select max(to_number(i.premium_rcv_detail_code))+1
from ins_premium_det i),'2','2','02', '11000003','00','Request by Mr. Omair Ali 29-Nov-2024');</v>
      </c>
      <c r="H1904" s="12" t="str">
        <f t="shared" si="119"/>
        <v>insert into ins_premium_det (premium_rcv_code,assorted_code, rec_amount,premium_rcv_detail_code,remaining_amt, payrec, mode_code,coinsurance_code,class_cd,it_remarks) values('28Nov240101','040000141919','2',(select max(to_number(i.premium_rcv_detail_code))+1
from ins_premium_det i),'2','2','02', '11000003','00','Request by Mr. Omair Ali 29-Nov-2024');</v>
      </c>
    </row>
    <row r="1905" spans="1:8" ht="105" x14ac:dyDescent="0.25">
      <c r="A1905" t="s">
        <v>1905</v>
      </c>
      <c r="B1905" s="8" t="str">
        <f>VLOOKUP(A1905,assortedcode!B:C,2,0)</f>
        <v>040000134053</v>
      </c>
      <c r="C1905" s="1">
        <v>2</v>
      </c>
      <c r="D1905" s="9">
        <f t="shared" si="117"/>
        <v>2</v>
      </c>
      <c r="E1905" s="7" t="s">
        <v>8345</v>
      </c>
      <c r="F1905" s="10" t="str">
        <f t="shared" si="116"/>
        <v>insert into ins_premium_det (premium_rcv_code,assorted_code, rec_amount,premium_rcv_detail_code,remaining_amt, payrec, mode_code,coinsurance_code,class_cd,it_remarks) values</v>
      </c>
      <c r="G1905" s="11" t="str">
        <f t="shared" si="118"/>
        <v>('28Nov240101','040000134053','2',(select max(to_number(i.premium_rcv_detail_code))+1
from ins_premium_det i),'2','2','02', '11000003','00','Request by Mr. Omair Ali 29-Nov-2024');</v>
      </c>
      <c r="H1905" s="12" t="str">
        <f t="shared" si="119"/>
        <v>insert into ins_premium_det (premium_rcv_code,assorted_code, rec_amount,premium_rcv_detail_code,remaining_amt, payrec, mode_code,coinsurance_code,class_cd,it_remarks) values('28Nov240101','040000134053','2',(select max(to_number(i.premium_rcv_detail_code))+1
from ins_premium_det i),'2','2','02', '11000003','00','Request by Mr. Omair Ali 29-Nov-2024');</v>
      </c>
    </row>
    <row r="1906" spans="1:8" ht="105" x14ac:dyDescent="0.25">
      <c r="A1906" t="s">
        <v>1906</v>
      </c>
      <c r="B1906" s="8" t="str">
        <f>VLOOKUP(A1906,assortedcode!B:C,2,0)</f>
        <v>040000134414</v>
      </c>
      <c r="C1906" s="1">
        <v>2</v>
      </c>
      <c r="D1906" s="9">
        <f t="shared" si="117"/>
        <v>2</v>
      </c>
      <c r="E1906" s="7" t="s">
        <v>8345</v>
      </c>
      <c r="F1906" s="10" t="str">
        <f t="shared" si="116"/>
        <v>insert into ins_premium_det (premium_rcv_code,assorted_code, rec_amount,premium_rcv_detail_code,remaining_amt, payrec, mode_code,coinsurance_code,class_cd,it_remarks) values</v>
      </c>
      <c r="G1906" s="11" t="str">
        <f t="shared" si="118"/>
        <v>('28Nov240101','040000134414','2',(select max(to_number(i.premium_rcv_detail_code))+1
from ins_premium_det i),'2','2','02', '11000003','00','Request by Mr. Omair Ali 29-Nov-2024');</v>
      </c>
      <c r="H1906" s="12" t="str">
        <f t="shared" si="119"/>
        <v>insert into ins_premium_det (premium_rcv_code,assorted_code, rec_amount,premium_rcv_detail_code,remaining_amt, payrec, mode_code,coinsurance_code,class_cd,it_remarks) values('28Nov240101','040000134414','2',(select max(to_number(i.premium_rcv_detail_code))+1
from ins_premium_det i),'2','2','02', '11000003','00','Request by Mr. Omair Ali 29-Nov-2024');</v>
      </c>
    </row>
    <row r="1907" spans="1:8" ht="105" x14ac:dyDescent="0.25">
      <c r="A1907" t="s">
        <v>1907</v>
      </c>
      <c r="B1907" s="8" t="str">
        <f>VLOOKUP(A1907,assortedcode!B:C,2,0)</f>
        <v>040000131721</v>
      </c>
      <c r="C1907" s="1">
        <v>2</v>
      </c>
      <c r="D1907" s="9">
        <f t="shared" si="117"/>
        <v>2</v>
      </c>
      <c r="E1907" s="7" t="s">
        <v>8345</v>
      </c>
      <c r="F1907" s="10" t="str">
        <f t="shared" si="116"/>
        <v>insert into ins_premium_det (premium_rcv_code,assorted_code, rec_amount,premium_rcv_detail_code,remaining_amt, payrec, mode_code,coinsurance_code,class_cd,it_remarks) values</v>
      </c>
      <c r="G1907" s="11" t="str">
        <f t="shared" si="118"/>
        <v>('28Nov240101','040000131721','2',(select max(to_number(i.premium_rcv_detail_code))+1
from ins_premium_det i),'2','2','02', '11000003','00','Request by Mr. Omair Ali 29-Nov-2024');</v>
      </c>
      <c r="H1907" s="12" t="str">
        <f t="shared" si="119"/>
        <v>insert into ins_premium_det (premium_rcv_code,assorted_code, rec_amount,premium_rcv_detail_code,remaining_amt, payrec, mode_code,coinsurance_code,class_cd,it_remarks) values('28Nov240101','040000131721','2',(select max(to_number(i.premium_rcv_detail_code))+1
from ins_premium_det i),'2','2','02', '11000003','00','Request by Mr. Omair Ali 29-Nov-2024');</v>
      </c>
    </row>
    <row r="1908" spans="1:8" ht="105" x14ac:dyDescent="0.25">
      <c r="A1908" t="s">
        <v>1908</v>
      </c>
      <c r="B1908" s="8" t="str">
        <f>VLOOKUP(A1908,assortedcode!B:C,2,0)</f>
        <v>040000124871</v>
      </c>
      <c r="C1908" s="1">
        <v>2</v>
      </c>
      <c r="D1908" s="9">
        <f t="shared" si="117"/>
        <v>2</v>
      </c>
      <c r="E1908" s="7" t="s">
        <v>8345</v>
      </c>
      <c r="F1908" s="10" t="str">
        <f t="shared" si="116"/>
        <v>insert into ins_premium_det (premium_rcv_code,assorted_code, rec_amount,premium_rcv_detail_code,remaining_amt, payrec, mode_code,coinsurance_code,class_cd,it_remarks) values</v>
      </c>
      <c r="G1908" s="11" t="str">
        <f t="shared" si="118"/>
        <v>('28Nov240101','040000124871','2',(select max(to_number(i.premium_rcv_detail_code))+1
from ins_premium_det i),'2','2','02', '11000003','00','Request by Mr. Omair Ali 29-Nov-2024');</v>
      </c>
      <c r="H1908" s="12" t="str">
        <f t="shared" si="119"/>
        <v>insert into ins_premium_det (premium_rcv_code,assorted_code, rec_amount,premium_rcv_detail_code,remaining_amt, payrec, mode_code,coinsurance_code,class_cd,it_remarks) values('28Nov240101','040000124871','2',(select max(to_number(i.premium_rcv_detail_code))+1
from ins_premium_det i),'2','2','02', '11000003','00','Request by Mr. Omair Ali 29-Nov-2024');</v>
      </c>
    </row>
    <row r="1909" spans="1:8" ht="105" x14ac:dyDescent="0.25">
      <c r="A1909" t="s">
        <v>1909</v>
      </c>
      <c r="B1909" s="8" t="str">
        <f>VLOOKUP(A1909,assortedcode!B:C,2,0)</f>
        <v>040000110000</v>
      </c>
      <c r="C1909" s="1">
        <v>2</v>
      </c>
      <c r="D1909" s="9">
        <f t="shared" si="117"/>
        <v>2</v>
      </c>
      <c r="E1909" s="7" t="s">
        <v>8345</v>
      </c>
      <c r="F1909" s="10" t="str">
        <f t="shared" si="116"/>
        <v>insert into ins_premium_det (premium_rcv_code,assorted_code, rec_amount,premium_rcv_detail_code,remaining_amt, payrec, mode_code,coinsurance_code,class_cd,it_remarks) values</v>
      </c>
      <c r="G1909" s="11" t="str">
        <f t="shared" si="118"/>
        <v>('28Nov240101','040000110000','2',(select max(to_number(i.premium_rcv_detail_code))+1
from ins_premium_det i),'2','2','02', '11000003','00','Request by Mr. Omair Ali 29-Nov-2024');</v>
      </c>
      <c r="H1909" s="12" t="str">
        <f t="shared" si="119"/>
        <v>insert into ins_premium_det (premium_rcv_code,assorted_code, rec_amount,premium_rcv_detail_code,remaining_amt, payrec, mode_code,coinsurance_code,class_cd,it_remarks) values('28Nov240101','040000110000','2',(select max(to_number(i.premium_rcv_detail_code))+1
from ins_premium_det i),'2','2','02', '11000003','00','Request by Mr. Omair Ali 29-Nov-2024');</v>
      </c>
    </row>
    <row r="1910" spans="1:8" ht="105" x14ac:dyDescent="0.25">
      <c r="A1910" t="s">
        <v>1910</v>
      </c>
      <c r="B1910" s="8" t="str">
        <f>VLOOKUP(A1910,assortedcode!B:C,2,0)</f>
        <v>040000122077</v>
      </c>
      <c r="C1910" s="1">
        <v>2</v>
      </c>
      <c r="D1910" s="9">
        <f t="shared" si="117"/>
        <v>2</v>
      </c>
      <c r="E1910" s="7" t="s">
        <v>8345</v>
      </c>
      <c r="F1910" s="10" t="str">
        <f t="shared" si="116"/>
        <v>insert into ins_premium_det (premium_rcv_code,assorted_code, rec_amount,premium_rcv_detail_code,remaining_amt, payrec, mode_code,coinsurance_code,class_cd,it_remarks) values</v>
      </c>
      <c r="G1910" s="11" t="str">
        <f t="shared" si="118"/>
        <v>('28Nov240101','040000122077','2',(select max(to_number(i.premium_rcv_detail_code))+1
from ins_premium_det i),'2','2','02', '11000003','00','Request by Mr. Omair Ali 29-Nov-2024');</v>
      </c>
      <c r="H1910" s="12" t="str">
        <f t="shared" si="119"/>
        <v>insert into ins_premium_det (premium_rcv_code,assorted_code, rec_amount,premium_rcv_detail_code,remaining_amt, payrec, mode_code,coinsurance_code,class_cd,it_remarks) values('28Nov240101','040000122077','2',(select max(to_number(i.premium_rcv_detail_code))+1
from ins_premium_det i),'2','2','02', '11000003','00','Request by Mr. Omair Ali 29-Nov-2024');</v>
      </c>
    </row>
    <row r="1911" spans="1:8" ht="105" x14ac:dyDescent="0.25">
      <c r="A1911" t="s">
        <v>1911</v>
      </c>
      <c r="B1911" s="8" t="str">
        <f>VLOOKUP(A1911,assortedcode!B:C,2,0)</f>
        <v>040000110033</v>
      </c>
      <c r="C1911" s="1">
        <v>2</v>
      </c>
      <c r="D1911" s="9">
        <f t="shared" si="117"/>
        <v>2</v>
      </c>
      <c r="E1911" s="7" t="s">
        <v>8345</v>
      </c>
      <c r="F1911" s="10" t="str">
        <f t="shared" si="116"/>
        <v>insert into ins_premium_det (premium_rcv_code,assorted_code, rec_amount,premium_rcv_detail_code,remaining_amt, payrec, mode_code,coinsurance_code,class_cd,it_remarks) values</v>
      </c>
      <c r="G1911" s="11" t="str">
        <f t="shared" si="118"/>
        <v>('28Nov240101','040000110033','2',(select max(to_number(i.premium_rcv_detail_code))+1
from ins_premium_det i),'2','2','02', '11000003','00','Request by Mr. Omair Ali 29-Nov-2024');</v>
      </c>
      <c r="H1911" s="12" t="str">
        <f t="shared" si="119"/>
        <v>insert into ins_premium_det (premium_rcv_code,assorted_code, rec_amount,premium_rcv_detail_code,remaining_amt, payrec, mode_code,coinsurance_code,class_cd,it_remarks) values('28Nov240101','040000110033','2',(select max(to_number(i.premium_rcv_detail_code))+1
from ins_premium_det i),'2','2','02', '11000003','00','Request by Mr. Omair Ali 29-Nov-2024');</v>
      </c>
    </row>
    <row r="1912" spans="1:8" ht="105" x14ac:dyDescent="0.25">
      <c r="A1912" t="s">
        <v>1912</v>
      </c>
      <c r="B1912" s="8" t="str">
        <f>VLOOKUP(A1912,assortedcode!B:C,2,0)</f>
        <v>040000115771</v>
      </c>
      <c r="C1912" s="1">
        <v>2</v>
      </c>
      <c r="D1912" s="9">
        <f t="shared" si="117"/>
        <v>2</v>
      </c>
      <c r="E1912" s="7" t="s">
        <v>8345</v>
      </c>
      <c r="F1912" s="10" t="str">
        <f t="shared" si="116"/>
        <v>insert into ins_premium_det (premium_rcv_code,assorted_code, rec_amount,premium_rcv_detail_code,remaining_amt, payrec, mode_code,coinsurance_code,class_cd,it_remarks) values</v>
      </c>
      <c r="G1912" s="11" t="str">
        <f t="shared" si="118"/>
        <v>('28Nov240101','040000115771','2',(select max(to_number(i.premium_rcv_detail_code))+1
from ins_premium_det i),'2','2','02', '11000003','00','Request by Mr. Omair Ali 29-Nov-2024');</v>
      </c>
      <c r="H1912" s="12" t="str">
        <f t="shared" si="119"/>
        <v>insert into ins_premium_det (premium_rcv_code,assorted_code, rec_amount,premium_rcv_detail_code,remaining_amt, payrec, mode_code,coinsurance_code,class_cd,it_remarks) values('28Nov240101','040000115771','2',(select max(to_number(i.premium_rcv_detail_code))+1
from ins_premium_det i),'2','2','02', '11000003','00','Request by Mr. Omair Ali 29-Nov-2024');</v>
      </c>
    </row>
    <row r="1913" spans="1:8" ht="105" x14ac:dyDescent="0.25">
      <c r="A1913" t="s">
        <v>1913</v>
      </c>
      <c r="B1913" s="8" t="str">
        <f>VLOOKUP(A1913,assortedcode!B:C,2,0)</f>
        <v>040000121219</v>
      </c>
      <c r="C1913" s="1">
        <v>2</v>
      </c>
      <c r="D1913" s="9">
        <f t="shared" si="117"/>
        <v>2</v>
      </c>
      <c r="E1913" s="7" t="s">
        <v>8345</v>
      </c>
      <c r="F1913" s="10" t="str">
        <f t="shared" si="116"/>
        <v>insert into ins_premium_det (premium_rcv_code,assorted_code, rec_amount,premium_rcv_detail_code,remaining_amt, payrec, mode_code,coinsurance_code,class_cd,it_remarks) values</v>
      </c>
      <c r="G1913" s="11" t="str">
        <f t="shared" si="118"/>
        <v>('28Nov240101','040000121219','2',(select max(to_number(i.premium_rcv_detail_code))+1
from ins_premium_det i),'2','2','02', '11000003','00','Request by Mr. Omair Ali 29-Nov-2024');</v>
      </c>
      <c r="H1913" s="12" t="str">
        <f t="shared" si="119"/>
        <v>insert into ins_premium_det (premium_rcv_code,assorted_code, rec_amount,premium_rcv_detail_code,remaining_amt, payrec, mode_code,coinsurance_code,class_cd,it_remarks) values('28Nov240101','040000121219','2',(select max(to_number(i.premium_rcv_detail_code))+1
from ins_premium_det i),'2','2','02', '11000003','00','Request by Mr. Omair Ali 29-Nov-2024');</v>
      </c>
    </row>
    <row r="1914" spans="1:8" ht="105" x14ac:dyDescent="0.25">
      <c r="A1914" t="s">
        <v>1914</v>
      </c>
      <c r="B1914" s="8" t="str">
        <f>VLOOKUP(A1914,assortedcode!B:C,2,0)</f>
        <v>040000122380</v>
      </c>
      <c r="C1914" s="1">
        <v>2</v>
      </c>
      <c r="D1914" s="9">
        <f t="shared" si="117"/>
        <v>2</v>
      </c>
      <c r="E1914" s="7" t="s">
        <v>8345</v>
      </c>
      <c r="F1914" s="10" t="str">
        <f t="shared" si="116"/>
        <v>insert into ins_premium_det (premium_rcv_code,assorted_code, rec_amount,premium_rcv_detail_code,remaining_amt, payrec, mode_code,coinsurance_code,class_cd,it_remarks) values</v>
      </c>
      <c r="G1914" s="11" t="str">
        <f t="shared" si="118"/>
        <v>('28Nov240101','040000122380','2',(select max(to_number(i.premium_rcv_detail_code))+1
from ins_premium_det i),'2','2','02', '11000003','00','Request by Mr. Omair Ali 29-Nov-2024');</v>
      </c>
      <c r="H1914" s="12" t="str">
        <f t="shared" si="119"/>
        <v>insert into ins_premium_det (premium_rcv_code,assorted_code, rec_amount,premium_rcv_detail_code,remaining_amt, payrec, mode_code,coinsurance_code,class_cd,it_remarks) values('28Nov240101','040000122380','2',(select max(to_number(i.premium_rcv_detail_code))+1
from ins_premium_det i),'2','2','02', '11000003','00','Request by Mr. Omair Ali 29-Nov-2024');</v>
      </c>
    </row>
    <row r="1915" spans="1:8" ht="105" x14ac:dyDescent="0.25">
      <c r="A1915" t="s">
        <v>1915</v>
      </c>
      <c r="B1915" s="8" t="str">
        <f>VLOOKUP(A1915,assortedcode!B:C,2,0)</f>
        <v>040000111898</v>
      </c>
      <c r="C1915" s="1">
        <v>2</v>
      </c>
      <c r="D1915" s="9">
        <f t="shared" si="117"/>
        <v>2</v>
      </c>
      <c r="E1915" s="7" t="s">
        <v>8345</v>
      </c>
      <c r="F1915" s="10" t="str">
        <f t="shared" si="116"/>
        <v>insert into ins_premium_det (premium_rcv_code,assorted_code, rec_amount,premium_rcv_detail_code,remaining_amt, payrec, mode_code,coinsurance_code,class_cd,it_remarks) values</v>
      </c>
      <c r="G1915" s="11" t="str">
        <f t="shared" si="118"/>
        <v>('28Nov240101','040000111898','2',(select max(to_number(i.premium_rcv_detail_code))+1
from ins_premium_det i),'2','2','02', '11000003','00','Request by Mr. Omair Ali 29-Nov-2024');</v>
      </c>
      <c r="H1915" s="12" t="str">
        <f t="shared" si="119"/>
        <v>insert into ins_premium_det (premium_rcv_code,assorted_code, rec_amount,premium_rcv_detail_code,remaining_amt, payrec, mode_code,coinsurance_code,class_cd,it_remarks) values('28Nov240101','040000111898','2',(select max(to_number(i.premium_rcv_detail_code))+1
from ins_premium_det i),'2','2','02', '11000003','00','Request by Mr. Omair Ali 29-Nov-2024');</v>
      </c>
    </row>
    <row r="1916" spans="1:8" ht="105" x14ac:dyDescent="0.25">
      <c r="A1916" t="s">
        <v>1916</v>
      </c>
      <c r="B1916" s="8" t="str">
        <f>VLOOKUP(A1916,assortedcode!B:C,2,0)</f>
        <v>040000126944</v>
      </c>
      <c r="C1916" s="1">
        <v>2</v>
      </c>
      <c r="D1916" s="9">
        <f t="shared" si="117"/>
        <v>2</v>
      </c>
      <c r="E1916" s="7" t="s">
        <v>8345</v>
      </c>
      <c r="F1916" s="10" t="str">
        <f t="shared" si="116"/>
        <v>insert into ins_premium_det (premium_rcv_code,assorted_code, rec_amount,premium_rcv_detail_code,remaining_amt, payrec, mode_code,coinsurance_code,class_cd,it_remarks) values</v>
      </c>
      <c r="G1916" s="11" t="str">
        <f t="shared" si="118"/>
        <v>('28Nov240101','040000126944','2',(select max(to_number(i.premium_rcv_detail_code))+1
from ins_premium_det i),'2','2','02', '11000003','00','Request by Mr. Omair Ali 29-Nov-2024');</v>
      </c>
      <c r="H1916" s="12" t="str">
        <f t="shared" si="119"/>
        <v>insert into ins_premium_det (premium_rcv_code,assorted_code, rec_amount,premium_rcv_detail_code,remaining_amt, payrec, mode_code,coinsurance_code,class_cd,it_remarks) values('28Nov240101','040000126944','2',(select max(to_number(i.premium_rcv_detail_code))+1
from ins_premium_det i),'2','2','02', '11000003','00','Request by Mr. Omair Ali 29-Nov-2024');</v>
      </c>
    </row>
    <row r="1917" spans="1:8" ht="105" x14ac:dyDescent="0.25">
      <c r="A1917" t="s">
        <v>1917</v>
      </c>
      <c r="B1917" s="8" t="str">
        <f>VLOOKUP(A1917,assortedcode!B:C,2,0)</f>
        <v>040000116280</v>
      </c>
      <c r="C1917" s="1">
        <v>2</v>
      </c>
      <c r="D1917" s="9">
        <f t="shared" si="117"/>
        <v>2</v>
      </c>
      <c r="E1917" s="7" t="s">
        <v>8345</v>
      </c>
      <c r="F1917" s="10" t="str">
        <f t="shared" si="116"/>
        <v>insert into ins_premium_det (premium_rcv_code,assorted_code, rec_amount,premium_rcv_detail_code,remaining_amt, payrec, mode_code,coinsurance_code,class_cd,it_remarks) values</v>
      </c>
      <c r="G1917" s="11" t="str">
        <f t="shared" si="118"/>
        <v>('28Nov240101','040000116280','2',(select max(to_number(i.premium_rcv_detail_code))+1
from ins_premium_det i),'2','2','02', '11000003','00','Request by Mr. Omair Ali 29-Nov-2024');</v>
      </c>
      <c r="H1917" s="12" t="str">
        <f t="shared" si="119"/>
        <v>insert into ins_premium_det (premium_rcv_code,assorted_code, rec_amount,premium_rcv_detail_code,remaining_amt, payrec, mode_code,coinsurance_code,class_cd,it_remarks) values('28Nov240101','040000116280','2',(select max(to_number(i.premium_rcv_detail_code))+1
from ins_premium_det i),'2','2','02', '11000003','00','Request by Mr. Omair Ali 29-Nov-2024');</v>
      </c>
    </row>
    <row r="1918" spans="1:8" ht="105" x14ac:dyDescent="0.25">
      <c r="A1918" t="s">
        <v>1918</v>
      </c>
      <c r="B1918" s="8" t="str">
        <f>VLOOKUP(A1918,assortedcode!B:C,2,0)</f>
        <v>040000127264</v>
      </c>
      <c r="C1918" s="1">
        <v>2</v>
      </c>
      <c r="D1918" s="9">
        <f t="shared" si="117"/>
        <v>2</v>
      </c>
      <c r="E1918" s="7" t="s">
        <v>8345</v>
      </c>
      <c r="F1918" s="10" t="str">
        <f t="shared" si="116"/>
        <v>insert into ins_premium_det (premium_rcv_code,assorted_code, rec_amount,premium_rcv_detail_code,remaining_amt, payrec, mode_code,coinsurance_code,class_cd,it_remarks) values</v>
      </c>
      <c r="G1918" s="11" t="str">
        <f t="shared" si="118"/>
        <v>('28Nov240101','040000127264','2',(select max(to_number(i.premium_rcv_detail_code))+1
from ins_premium_det i),'2','2','02', '11000003','00','Request by Mr. Omair Ali 29-Nov-2024');</v>
      </c>
      <c r="H1918" s="12" t="str">
        <f t="shared" si="119"/>
        <v>insert into ins_premium_det (premium_rcv_code,assorted_code, rec_amount,premium_rcv_detail_code,remaining_amt, payrec, mode_code,coinsurance_code,class_cd,it_remarks) values('28Nov240101','040000127264','2',(select max(to_number(i.premium_rcv_detail_code))+1
from ins_premium_det i),'2','2','02', '11000003','00','Request by Mr. Omair Ali 29-Nov-2024');</v>
      </c>
    </row>
    <row r="1919" spans="1:8" ht="105" x14ac:dyDescent="0.25">
      <c r="A1919" t="s">
        <v>1919</v>
      </c>
      <c r="B1919" s="8" t="str">
        <f>VLOOKUP(A1919,assortedcode!B:C,2,0)</f>
        <v>040000121197</v>
      </c>
      <c r="C1919" s="1">
        <v>2</v>
      </c>
      <c r="D1919" s="9">
        <f t="shared" si="117"/>
        <v>2</v>
      </c>
      <c r="E1919" s="7" t="s">
        <v>8345</v>
      </c>
      <c r="F1919" s="10" t="str">
        <f t="shared" si="116"/>
        <v>insert into ins_premium_det (premium_rcv_code,assorted_code, rec_amount,premium_rcv_detail_code,remaining_amt, payrec, mode_code,coinsurance_code,class_cd,it_remarks) values</v>
      </c>
      <c r="G1919" s="11" t="str">
        <f t="shared" si="118"/>
        <v>('28Nov240101','040000121197','2',(select max(to_number(i.premium_rcv_detail_code))+1
from ins_premium_det i),'2','2','02', '11000003','00','Request by Mr. Omair Ali 29-Nov-2024');</v>
      </c>
      <c r="H1919" s="12" t="str">
        <f t="shared" si="119"/>
        <v>insert into ins_premium_det (premium_rcv_code,assorted_code, rec_amount,premium_rcv_detail_code,remaining_amt, payrec, mode_code,coinsurance_code,class_cd,it_remarks) values('28Nov240101','040000121197','2',(select max(to_number(i.premium_rcv_detail_code))+1
from ins_premium_det i),'2','2','02', '11000003','00','Request by Mr. Omair Ali 29-Nov-2024');</v>
      </c>
    </row>
    <row r="1920" spans="1:8" ht="105" x14ac:dyDescent="0.25">
      <c r="A1920" t="s">
        <v>1920</v>
      </c>
      <c r="B1920" s="8" t="str">
        <f>VLOOKUP(A1920,assortedcode!B:C,2,0)</f>
        <v>040000110007</v>
      </c>
      <c r="C1920" s="1">
        <v>2</v>
      </c>
      <c r="D1920" s="9">
        <f t="shared" si="117"/>
        <v>2</v>
      </c>
      <c r="E1920" s="7" t="s">
        <v>8345</v>
      </c>
      <c r="F1920" s="10" t="str">
        <f t="shared" si="116"/>
        <v>insert into ins_premium_det (premium_rcv_code,assorted_code, rec_amount,premium_rcv_detail_code,remaining_amt, payrec, mode_code,coinsurance_code,class_cd,it_remarks) values</v>
      </c>
      <c r="G1920" s="11" t="str">
        <f t="shared" si="118"/>
        <v>('28Nov240101','040000110007','2',(select max(to_number(i.premium_rcv_detail_code))+1
from ins_premium_det i),'2','2','02', '11000003','00','Request by Mr. Omair Ali 29-Nov-2024');</v>
      </c>
      <c r="H1920" s="12" t="str">
        <f t="shared" si="119"/>
        <v>insert into ins_premium_det (premium_rcv_code,assorted_code, rec_amount,premium_rcv_detail_code,remaining_amt, payrec, mode_code,coinsurance_code,class_cd,it_remarks) values('28Nov240101','040000110007','2',(select max(to_number(i.premium_rcv_detail_code))+1
from ins_premium_det i),'2','2','02', '11000003','00','Request by Mr. Omair Ali 29-Nov-2024');</v>
      </c>
    </row>
    <row r="1921" spans="1:8" ht="105" x14ac:dyDescent="0.25">
      <c r="A1921" t="s">
        <v>1921</v>
      </c>
      <c r="B1921" s="8" t="str">
        <f>VLOOKUP(A1921,assortedcode!B:C,2,0)</f>
        <v>040000131641</v>
      </c>
      <c r="C1921" s="1">
        <v>2</v>
      </c>
      <c r="D1921" s="9">
        <f t="shared" si="117"/>
        <v>2</v>
      </c>
      <c r="E1921" s="7" t="s">
        <v>8345</v>
      </c>
      <c r="F1921" s="10" t="str">
        <f t="shared" si="116"/>
        <v>insert into ins_premium_det (premium_rcv_code,assorted_code, rec_amount,premium_rcv_detail_code,remaining_amt, payrec, mode_code,coinsurance_code,class_cd,it_remarks) values</v>
      </c>
      <c r="G1921" s="11" t="str">
        <f t="shared" si="118"/>
        <v>('28Nov240101','040000131641','2',(select max(to_number(i.premium_rcv_detail_code))+1
from ins_premium_det i),'2','2','02', '11000003','00','Request by Mr. Omair Ali 29-Nov-2024');</v>
      </c>
      <c r="H1921" s="12" t="str">
        <f t="shared" si="119"/>
        <v>insert into ins_premium_det (premium_rcv_code,assorted_code, rec_amount,premium_rcv_detail_code,remaining_amt, payrec, mode_code,coinsurance_code,class_cd,it_remarks) values('28Nov240101','040000131641','2',(select max(to_number(i.premium_rcv_detail_code))+1
from ins_premium_det i),'2','2','02', '11000003','00','Request by Mr. Omair Ali 29-Nov-2024');</v>
      </c>
    </row>
    <row r="1922" spans="1:8" ht="105" x14ac:dyDescent="0.25">
      <c r="A1922" t="s">
        <v>1922</v>
      </c>
      <c r="B1922" s="8" t="str">
        <f>VLOOKUP(A1922,assortedcode!B:C,2,0)</f>
        <v>040000122494</v>
      </c>
      <c r="C1922" s="1">
        <v>2</v>
      </c>
      <c r="D1922" s="9">
        <f t="shared" si="117"/>
        <v>2</v>
      </c>
      <c r="E1922" s="7" t="s">
        <v>8345</v>
      </c>
      <c r="F1922" s="10" t="str">
        <f t="shared" ref="F1922:F1985" si="120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1922" s="11" t="str">
        <f t="shared" si="118"/>
        <v>('28Nov240101','040000122494','2',(select max(to_number(i.premium_rcv_detail_code))+1
from ins_premium_det i),'2','2','02', '11000003','00','Request by Mr. Omair Ali 29-Nov-2024');</v>
      </c>
      <c r="H1922" s="12" t="str">
        <f t="shared" si="119"/>
        <v>insert into ins_premium_det (premium_rcv_code,assorted_code, rec_amount,premium_rcv_detail_code,remaining_amt, payrec, mode_code,coinsurance_code,class_cd,it_remarks) values('28Nov240101','040000122494','2',(select max(to_number(i.premium_rcv_detail_code))+1
from ins_premium_det i),'2','2','02', '11000003','00','Request by Mr. Omair Ali 29-Nov-2024');</v>
      </c>
    </row>
    <row r="1923" spans="1:8" ht="105" x14ac:dyDescent="0.25">
      <c r="A1923" t="s">
        <v>1923</v>
      </c>
      <c r="B1923" s="8" t="str">
        <f>VLOOKUP(A1923,assortedcode!B:C,2,0)</f>
        <v>040000109978</v>
      </c>
      <c r="C1923" s="1">
        <v>2</v>
      </c>
      <c r="D1923" s="9">
        <f t="shared" ref="D1923:D1986" si="121">ROUND(C1923,0)</f>
        <v>2</v>
      </c>
      <c r="E1923" s="7" t="s">
        <v>8345</v>
      </c>
      <c r="F1923" s="10" t="str">
        <f t="shared" si="120"/>
        <v>insert into ins_premium_det (premium_rcv_code,assorted_code, rec_amount,premium_rcv_detail_code,remaining_amt, payrec, mode_code,coinsurance_code,class_cd,it_remarks) values</v>
      </c>
      <c r="G1923" s="11" t="str">
        <f t="shared" ref="G1923:G1986" si="122">"('"&amp;E1923&amp;"','"&amp;B1923&amp;"','"&amp;ROUND(D1923,2)&amp;"',(select max(to_number(i.premium_rcv_detail_code))+1
from ins_premium_det i),'"&amp;D1923&amp;"','"&amp;D1923&amp;"','02', '11000003','00','Request by Mr. Omair Ali 29-Nov-2024');"</f>
        <v>('28Nov240101','040000109978','2',(select max(to_number(i.premium_rcv_detail_code))+1
from ins_premium_det i),'2','2','02', '11000003','00','Request by Mr. Omair Ali 29-Nov-2024');</v>
      </c>
      <c r="H1923" s="12" t="str">
        <f t="shared" ref="H1923:H1986" si="123">F1923&amp;G1923</f>
        <v>insert into ins_premium_det (premium_rcv_code,assorted_code, rec_amount,premium_rcv_detail_code,remaining_amt, payrec, mode_code,coinsurance_code,class_cd,it_remarks) values('28Nov240101','040000109978','2',(select max(to_number(i.premium_rcv_detail_code))+1
from ins_premium_det i),'2','2','02', '11000003','00','Request by Mr. Omair Ali 29-Nov-2024');</v>
      </c>
    </row>
    <row r="1924" spans="1:8" ht="105" x14ac:dyDescent="0.25">
      <c r="A1924" t="s">
        <v>1924</v>
      </c>
      <c r="B1924" s="8" t="str">
        <f>VLOOKUP(A1924,assortedcode!B:C,2,0)</f>
        <v>040000109958</v>
      </c>
      <c r="C1924" s="1">
        <v>2</v>
      </c>
      <c r="D1924" s="9">
        <f t="shared" si="121"/>
        <v>2</v>
      </c>
      <c r="E1924" s="7" t="s">
        <v>8345</v>
      </c>
      <c r="F1924" s="10" t="str">
        <f t="shared" si="120"/>
        <v>insert into ins_premium_det (premium_rcv_code,assorted_code, rec_amount,premium_rcv_detail_code,remaining_amt, payrec, mode_code,coinsurance_code,class_cd,it_remarks) values</v>
      </c>
      <c r="G1924" s="11" t="str">
        <f t="shared" si="122"/>
        <v>('28Nov240101','040000109958','2',(select max(to_number(i.premium_rcv_detail_code))+1
from ins_premium_det i),'2','2','02', '11000003','00','Request by Mr. Omair Ali 29-Nov-2024');</v>
      </c>
      <c r="H1924" s="12" t="str">
        <f t="shared" si="123"/>
        <v>insert into ins_premium_det (premium_rcv_code,assorted_code, rec_amount,premium_rcv_detail_code,remaining_amt, payrec, mode_code,coinsurance_code,class_cd,it_remarks) values('28Nov240101','040000109958','2',(select max(to_number(i.premium_rcv_detail_code))+1
from ins_premium_det i),'2','2','02', '11000003','00','Request by Mr. Omair Ali 29-Nov-2024');</v>
      </c>
    </row>
    <row r="1925" spans="1:8" ht="105" x14ac:dyDescent="0.25">
      <c r="A1925" t="s">
        <v>1925</v>
      </c>
      <c r="B1925" s="8" t="str">
        <f>VLOOKUP(A1925,assortedcode!B:C,2,0)</f>
        <v>040000116412</v>
      </c>
      <c r="C1925" s="1">
        <v>2</v>
      </c>
      <c r="D1925" s="9">
        <f t="shared" si="121"/>
        <v>2</v>
      </c>
      <c r="E1925" s="7" t="s">
        <v>8345</v>
      </c>
      <c r="F1925" s="10" t="str">
        <f t="shared" si="120"/>
        <v>insert into ins_premium_det (premium_rcv_code,assorted_code, rec_amount,premium_rcv_detail_code,remaining_amt, payrec, mode_code,coinsurance_code,class_cd,it_remarks) values</v>
      </c>
      <c r="G1925" s="11" t="str">
        <f t="shared" si="122"/>
        <v>('28Nov240101','040000116412','2',(select max(to_number(i.premium_rcv_detail_code))+1
from ins_premium_det i),'2','2','02', '11000003','00','Request by Mr. Omair Ali 29-Nov-2024');</v>
      </c>
      <c r="H1925" s="12" t="str">
        <f t="shared" si="123"/>
        <v>insert into ins_premium_det (premium_rcv_code,assorted_code, rec_amount,premium_rcv_detail_code,remaining_amt, payrec, mode_code,coinsurance_code,class_cd,it_remarks) values('28Nov240101','040000116412','2',(select max(to_number(i.premium_rcv_detail_code))+1
from ins_premium_det i),'2','2','02', '11000003','00','Request by Mr. Omair Ali 29-Nov-2024');</v>
      </c>
    </row>
    <row r="1926" spans="1:8" ht="105" x14ac:dyDescent="0.25">
      <c r="A1926" t="s">
        <v>1926</v>
      </c>
      <c r="B1926" s="8" t="str">
        <f>VLOOKUP(A1926,assortedcode!B:C,2,0)</f>
        <v>040000114491</v>
      </c>
      <c r="C1926" s="1">
        <v>2</v>
      </c>
      <c r="D1926" s="9">
        <f t="shared" si="121"/>
        <v>2</v>
      </c>
      <c r="E1926" s="7" t="s">
        <v>8345</v>
      </c>
      <c r="F1926" s="10" t="str">
        <f t="shared" si="120"/>
        <v>insert into ins_premium_det (premium_rcv_code,assorted_code, rec_amount,premium_rcv_detail_code,remaining_amt, payrec, mode_code,coinsurance_code,class_cd,it_remarks) values</v>
      </c>
      <c r="G1926" s="11" t="str">
        <f t="shared" si="122"/>
        <v>('28Nov240101','040000114491','2',(select max(to_number(i.premium_rcv_detail_code))+1
from ins_premium_det i),'2','2','02', '11000003','00','Request by Mr. Omair Ali 29-Nov-2024');</v>
      </c>
      <c r="H1926" s="12" t="str">
        <f t="shared" si="123"/>
        <v>insert into ins_premium_det (premium_rcv_code,assorted_code, rec_amount,premium_rcv_detail_code,remaining_amt, payrec, mode_code,coinsurance_code,class_cd,it_remarks) values('28Nov240101','040000114491','2',(select max(to_number(i.premium_rcv_detail_code))+1
from ins_premium_det i),'2','2','02', '11000003','00','Request by Mr. Omair Ali 29-Nov-2024');</v>
      </c>
    </row>
    <row r="1927" spans="1:8" ht="105" x14ac:dyDescent="0.25">
      <c r="A1927" t="s">
        <v>1927</v>
      </c>
      <c r="B1927" s="8" t="str">
        <f>VLOOKUP(A1927,assortedcode!B:C,2,0)</f>
        <v>070000162153</v>
      </c>
      <c r="C1927" s="1">
        <v>2.02</v>
      </c>
      <c r="D1927" s="9">
        <f t="shared" si="121"/>
        <v>2</v>
      </c>
      <c r="E1927" s="7" t="s">
        <v>8345</v>
      </c>
      <c r="F1927" s="10" t="str">
        <f t="shared" si="120"/>
        <v>insert into ins_premium_det (premium_rcv_code,assorted_code, rec_amount,premium_rcv_detail_code,remaining_amt, payrec, mode_code,coinsurance_code,class_cd,it_remarks) values</v>
      </c>
      <c r="G1927" s="11" t="str">
        <f t="shared" si="122"/>
        <v>('28Nov240101','070000162153','2',(select max(to_number(i.premium_rcv_detail_code))+1
from ins_premium_det i),'2','2','02', '11000003','00','Request by Mr. Omair Ali 29-Nov-2024');</v>
      </c>
      <c r="H1927" s="12" t="str">
        <f t="shared" si="123"/>
        <v>insert into ins_premium_det (premium_rcv_code,assorted_code, rec_amount,premium_rcv_detail_code,remaining_amt, payrec, mode_code,coinsurance_code,class_cd,it_remarks) values('28Nov240101','070000162153','2',(select max(to_number(i.premium_rcv_detail_code))+1
from ins_premium_det i),'2','2','02', '11000003','00','Request by Mr. Omair Ali 29-Nov-2024');</v>
      </c>
    </row>
    <row r="1928" spans="1:8" ht="105" x14ac:dyDescent="0.25">
      <c r="A1928" t="s">
        <v>1928</v>
      </c>
      <c r="B1928" s="8" t="str">
        <f>VLOOKUP(A1928,assortedcode!B:C,2,0)</f>
        <v>070000166660</v>
      </c>
      <c r="C1928" s="1">
        <v>2.0499999999999998</v>
      </c>
      <c r="D1928" s="9">
        <f t="shared" si="121"/>
        <v>2</v>
      </c>
      <c r="E1928" s="7" t="s">
        <v>8345</v>
      </c>
      <c r="F1928" s="10" t="str">
        <f t="shared" si="120"/>
        <v>insert into ins_premium_det (premium_rcv_code,assorted_code, rec_amount,premium_rcv_detail_code,remaining_amt, payrec, mode_code,coinsurance_code,class_cd,it_remarks) values</v>
      </c>
      <c r="G1928" s="11" t="str">
        <f t="shared" si="122"/>
        <v>('28Nov240101','070000166660','2',(select max(to_number(i.premium_rcv_detail_code))+1
from ins_premium_det i),'2','2','02', '11000003','00','Request by Mr. Omair Ali 29-Nov-2024');</v>
      </c>
      <c r="H1928" s="12" t="str">
        <f t="shared" si="123"/>
        <v>insert into ins_premium_det (premium_rcv_code,assorted_code, rec_amount,premium_rcv_detail_code,remaining_amt, payrec, mode_code,coinsurance_code,class_cd,it_remarks) values('28Nov240101','070000166660','2',(select max(to_number(i.premium_rcv_detail_code))+1
from ins_premium_det i),'2','2','02', '11000003','00','Request by Mr. Omair Ali 29-Nov-2024');</v>
      </c>
    </row>
    <row r="1929" spans="1:8" ht="105" x14ac:dyDescent="0.25">
      <c r="A1929" t="s">
        <v>1929</v>
      </c>
      <c r="B1929" s="8" t="str">
        <f>VLOOKUP(A1929,assortedcode!B:C,2,0)</f>
        <v>070000155088</v>
      </c>
      <c r="C1929" s="1">
        <v>2.14</v>
      </c>
      <c r="D1929" s="9">
        <f t="shared" si="121"/>
        <v>2</v>
      </c>
      <c r="E1929" s="7" t="s">
        <v>8345</v>
      </c>
      <c r="F1929" s="10" t="str">
        <f t="shared" si="120"/>
        <v>insert into ins_premium_det (premium_rcv_code,assorted_code, rec_amount,premium_rcv_detail_code,remaining_amt, payrec, mode_code,coinsurance_code,class_cd,it_remarks) values</v>
      </c>
      <c r="G1929" s="11" t="str">
        <f t="shared" si="122"/>
        <v>('28Nov240101','070000155088','2',(select max(to_number(i.premium_rcv_detail_code))+1
from ins_premium_det i),'2','2','02', '11000003','00','Request by Mr. Omair Ali 29-Nov-2024');</v>
      </c>
      <c r="H1929" s="12" t="str">
        <f t="shared" si="123"/>
        <v>insert into ins_premium_det (premium_rcv_code,assorted_code, rec_amount,premium_rcv_detail_code,remaining_amt, payrec, mode_code,coinsurance_code,class_cd,it_remarks) values('28Nov240101','070000155088','2',(select max(to_number(i.premium_rcv_detail_code))+1
from ins_premium_det i),'2','2','02', '11000003','00','Request by Mr. Omair Ali 29-Nov-2024');</v>
      </c>
    </row>
    <row r="1930" spans="1:8" ht="105" x14ac:dyDescent="0.25">
      <c r="A1930" t="s">
        <v>1930</v>
      </c>
      <c r="B1930" s="8" t="str">
        <f>VLOOKUP(A1930,assortedcode!B:C,2,0)</f>
        <v>070000142799</v>
      </c>
      <c r="C1930" s="1">
        <v>3</v>
      </c>
      <c r="D1930" s="9">
        <f t="shared" si="121"/>
        <v>3</v>
      </c>
      <c r="E1930" s="7" t="s">
        <v>8345</v>
      </c>
      <c r="F1930" s="10" t="str">
        <f t="shared" si="120"/>
        <v>insert into ins_premium_det (premium_rcv_code,assorted_code, rec_amount,premium_rcv_detail_code,remaining_amt, payrec, mode_code,coinsurance_code,class_cd,it_remarks) values</v>
      </c>
      <c r="G1930" s="11" t="str">
        <f t="shared" si="122"/>
        <v>('28Nov240101','070000142799','3',(select max(to_number(i.premium_rcv_detail_code))+1
from ins_premium_det i),'3','3','02', '11000003','00','Request by Mr. Omair Ali 29-Nov-2024');</v>
      </c>
      <c r="H1930" s="12" t="str">
        <f t="shared" si="123"/>
        <v>insert into ins_premium_det (premium_rcv_code,assorted_code, rec_amount,premium_rcv_detail_code,remaining_amt, payrec, mode_code,coinsurance_code,class_cd,it_remarks) values('28Nov240101','070000142799','3',(select max(to_number(i.premium_rcv_detail_code))+1
from ins_premium_det i),'3','3','02', '11000003','00','Request by Mr. Omair Ali 29-Nov-2024');</v>
      </c>
    </row>
    <row r="1931" spans="1:8" ht="105" x14ac:dyDescent="0.25">
      <c r="A1931" t="s">
        <v>1931</v>
      </c>
      <c r="B1931" s="8" t="str">
        <f>VLOOKUP(A1931,assortedcode!B:C,2,0)</f>
        <v>040000128005</v>
      </c>
      <c r="C1931" s="1">
        <v>3</v>
      </c>
      <c r="D1931" s="9">
        <f t="shared" si="121"/>
        <v>3</v>
      </c>
      <c r="E1931" s="7" t="s">
        <v>8345</v>
      </c>
      <c r="F1931" s="10" t="str">
        <f t="shared" si="120"/>
        <v>insert into ins_premium_det (premium_rcv_code,assorted_code, rec_amount,premium_rcv_detail_code,remaining_amt, payrec, mode_code,coinsurance_code,class_cd,it_remarks) values</v>
      </c>
      <c r="G1931" s="11" t="str">
        <f t="shared" si="122"/>
        <v>('28Nov240101','040000128005','3',(select max(to_number(i.premium_rcv_detail_code))+1
from ins_premium_det i),'3','3','02', '11000003','00','Request by Mr. Omair Ali 29-Nov-2024');</v>
      </c>
      <c r="H1931" s="12" t="str">
        <f t="shared" si="123"/>
        <v>insert into ins_premium_det (premium_rcv_code,assorted_code, rec_amount,premium_rcv_detail_code,remaining_amt, payrec, mode_code,coinsurance_code,class_cd,it_remarks) values('28Nov240101','040000128005','3',(select max(to_number(i.premium_rcv_detail_code))+1
from ins_premium_det i),'3','3','02', '11000003','00','Request by Mr. Omair Ali 29-Nov-2024');</v>
      </c>
    </row>
    <row r="1932" spans="1:8" ht="105" x14ac:dyDescent="0.25">
      <c r="A1932" t="s">
        <v>1932</v>
      </c>
      <c r="B1932" s="8" t="str">
        <f>VLOOKUP(A1932,assortedcode!B:C,2,0)</f>
        <v>040000105901</v>
      </c>
      <c r="C1932" s="1">
        <v>3</v>
      </c>
      <c r="D1932" s="9">
        <f t="shared" si="121"/>
        <v>3</v>
      </c>
      <c r="E1932" s="7" t="s">
        <v>8345</v>
      </c>
      <c r="F1932" s="10" t="str">
        <f t="shared" si="120"/>
        <v>insert into ins_premium_det (premium_rcv_code,assorted_code, rec_amount,premium_rcv_detail_code,remaining_amt, payrec, mode_code,coinsurance_code,class_cd,it_remarks) values</v>
      </c>
      <c r="G1932" s="11" t="str">
        <f t="shared" si="122"/>
        <v>('28Nov240101','040000105901','3',(select max(to_number(i.premium_rcv_detail_code))+1
from ins_premium_det i),'3','3','02', '11000003','00','Request by Mr. Omair Ali 29-Nov-2024');</v>
      </c>
      <c r="H1932" s="12" t="str">
        <f t="shared" si="123"/>
        <v>insert into ins_premium_det (premium_rcv_code,assorted_code, rec_amount,premium_rcv_detail_code,remaining_amt, payrec, mode_code,coinsurance_code,class_cd,it_remarks) values('28Nov240101','040000105901','3',(select max(to_number(i.premium_rcv_detail_code))+1
from ins_premium_det i),'3','3','02', '11000003','00','Request by Mr. Omair Ali 29-Nov-2024');</v>
      </c>
    </row>
    <row r="1933" spans="1:8" ht="105" x14ac:dyDescent="0.25">
      <c r="A1933" t="s">
        <v>1933</v>
      </c>
      <c r="B1933" s="8" t="str">
        <f>VLOOKUP(A1933,assortedcode!B:C,2,0)</f>
        <v>070000162063</v>
      </c>
      <c r="C1933" s="1">
        <v>3</v>
      </c>
      <c r="D1933" s="9">
        <f t="shared" si="121"/>
        <v>3</v>
      </c>
      <c r="E1933" s="7" t="s">
        <v>8345</v>
      </c>
      <c r="F1933" s="10" t="str">
        <f t="shared" si="120"/>
        <v>insert into ins_premium_det (premium_rcv_code,assorted_code, rec_amount,premium_rcv_detail_code,remaining_amt, payrec, mode_code,coinsurance_code,class_cd,it_remarks) values</v>
      </c>
      <c r="G1933" s="11" t="str">
        <f t="shared" si="122"/>
        <v>('28Nov240101','070000162063','3',(select max(to_number(i.premium_rcv_detail_code))+1
from ins_premium_det i),'3','3','02', '11000003','00','Request by Mr. Omair Ali 29-Nov-2024');</v>
      </c>
      <c r="H1933" s="12" t="str">
        <f t="shared" si="123"/>
        <v>insert into ins_premium_det (premium_rcv_code,assorted_code, rec_amount,premium_rcv_detail_code,remaining_amt, payrec, mode_code,coinsurance_code,class_cd,it_remarks) values('28Nov240101','070000162063','3',(select max(to_number(i.premium_rcv_detail_code))+1
from ins_premium_det i),'3','3','02', '11000003','00','Request by Mr. Omair Ali 29-Nov-2024');</v>
      </c>
    </row>
    <row r="1934" spans="1:8" ht="105" x14ac:dyDescent="0.25">
      <c r="A1934" t="s">
        <v>1934</v>
      </c>
      <c r="B1934" s="8" t="str">
        <f>VLOOKUP(A1934,assortedcode!B:C,2,0)</f>
        <v>070000148992</v>
      </c>
      <c r="C1934" s="1">
        <v>3</v>
      </c>
      <c r="D1934" s="9">
        <f t="shared" si="121"/>
        <v>3</v>
      </c>
      <c r="E1934" s="7" t="s">
        <v>8345</v>
      </c>
      <c r="F1934" s="10" t="str">
        <f t="shared" si="120"/>
        <v>insert into ins_premium_det (premium_rcv_code,assorted_code, rec_amount,premium_rcv_detail_code,remaining_amt, payrec, mode_code,coinsurance_code,class_cd,it_remarks) values</v>
      </c>
      <c r="G1934" s="11" t="str">
        <f t="shared" si="122"/>
        <v>('28Nov240101','070000148992','3',(select max(to_number(i.premium_rcv_detail_code))+1
from ins_premium_det i),'3','3','02', '11000003','00','Request by Mr. Omair Ali 29-Nov-2024');</v>
      </c>
      <c r="H1934" s="12" t="str">
        <f t="shared" si="123"/>
        <v>insert into ins_premium_det (premium_rcv_code,assorted_code, rec_amount,premium_rcv_detail_code,remaining_amt, payrec, mode_code,coinsurance_code,class_cd,it_remarks) values('28Nov240101','070000148992','3',(select max(to_number(i.premium_rcv_detail_code))+1
from ins_premium_det i),'3','3','02', '11000003','00','Request by Mr. Omair Ali 29-Nov-2024');</v>
      </c>
    </row>
    <row r="1935" spans="1:8" ht="105" x14ac:dyDescent="0.25">
      <c r="A1935" t="s">
        <v>1935</v>
      </c>
      <c r="B1935" s="8" t="str">
        <f>VLOOKUP(A1935,assortedcode!B:C,2,0)</f>
        <v>040000121369</v>
      </c>
      <c r="C1935" s="1">
        <v>3</v>
      </c>
      <c r="D1935" s="9">
        <f t="shared" si="121"/>
        <v>3</v>
      </c>
      <c r="E1935" s="7" t="s">
        <v>8345</v>
      </c>
      <c r="F1935" s="10" t="str">
        <f t="shared" si="120"/>
        <v>insert into ins_premium_det (premium_rcv_code,assorted_code, rec_amount,premium_rcv_detail_code,remaining_amt, payrec, mode_code,coinsurance_code,class_cd,it_remarks) values</v>
      </c>
      <c r="G1935" s="11" t="str">
        <f t="shared" si="122"/>
        <v>('28Nov240101','040000121369','3',(select max(to_number(i.premium_rcv_detail_code))+1
from ins_premium_det i),'3','3','02', '11000003','00','Request by Mr. Omair Ali 29-Nov-2024');</v>
      </c>
      <c r="H1935" s="12" t="str">
        <f t="shared" si="123"/>
        <v>insert into ins_premium_det (premium_rcv_code,assorted_code, rec_amount,premium_rcv_detail_code,remaining_amt, payrec, mode_code,coinsurance_code,class_cd,it_remarks) values('28Nov240101','040000121369','3',(select max(to_number(i.premium_rcv_detail_code))+1
from ins_premium_det i),'3','3','02', '11000003','00','Request by Mr. Omair Ali 29-Nov-2024');</v>
      </c>
    </row>
    <row r="1936" spans="1:8" ht="105" x14ac:dyDescent="0.25">
      <c r="A1936" t="s">
        <v>1936</v>
      </c>
      <c r="B1936" s="8" t="str">
        <f>VLOOKUP(A1936,assortedcode!B:C,2,0)</f>
        <v>040000125816</v>
      </c>
      <c r="C1936" s="1">
        <v>3</v>
      </c>
      <c r="D1936" s="9">
        <f t="shared" si="121"/>
        <v>3</v>
      </c>
      <c r="E1936" s="7" t="s">
        <v>8345</v>
      </c>
      <c r="F1936" s="10" t="str">
        <f t="shared" si="120"/>
        <v>insert into ins_premium_det (premium_rcv_code,assorted_code, rec_amount,premium_rcv_detail_code,remaining_amt, payrec, mode_code,coinsurance_code,class_cd,it_remarks) values</v>
      </c>
      <c r="G1936" s="11" t="str">
        <f t="shared" si="122"/>
        <v>('28Nov240101','040000125816','3',(select max(to_number(i.premium_rcv_detail_code))+1
from ins_premium_det i),'3','3','02', '11000003','00','Request by Mr. Omair Ali 29-Nov-2024');</v>
      </c>
      <c r="H1936" s="12" t="str">
        <f t="shared" si="123"/>
        <v>insert into ins_premium_det (premium_rcv_code,assorted_code, rec_amount,premium_rcv_detail_code,remaining_amt, payrec, mode_code,coinsurance_code,class_cd,it_remarks) values('28Nov240101','040000125816','3',(select max(to_number(i.premium_rcv_detail_code))+1
from ins_premium_det i),'3','3','02', '11000003','00','Request by Mr. Omair Ali 29-Nov-2024');</v>
      </c>
    </row>
    <row r="1937" spans="1:8" ht="105" x14ac:dyDescent="0.25">
      <c r="A1937" t="s">
        <v>1937</v>
      </c>
      <c r="B1937" s="8" t="str">
        <f>VLOOKUP(A1937,assortedcode!B:C,2,0)</f>
        <v>040000111797</v>
      </c>
      <c r="C1937" s="1">
        <v>3</v>
      </c>
      <c r="D1937" s="9">
        <f t="shared" si="121"/>
        <v>3</v>
      </c>
      <c r="E1937" s="7" t="s">
        <v>8345</v>
      </c>
      <c r="F1937" s="10" t="str">
        <f t="shared" si="120"/>
        <v>insert into ins_premium_det (premium_rcv_code,assorted_code, rec_amount,premium_rcv_detail_code,remaining_amt, payrec, mode_code,coinsurance_code,class_cd,it_remarks) values</v>
      </c>
      <c r="G1937" s="11" t="str">
        <f t="shared" si="122"/>
        <v>('28Nov240101','040000111797','3',(select max(to_number(i.premium_rcv_detail_code))+1
from ins_premium_det i),'3','3','02', '11000003','00','Request by Mr. Omair Ali 29-Nov-2024');</v>
      </c>
      <c r="H1937" s="12" t="str">
        <f t="shared" si="123"/>
        <v>insert into ins_premium_det (premium_rcv_code,assorted_code, rec_amount,premium_rcv_detail_code,remaining_amt, payrec, mode_code,coinsurance_code,class_cd,it_remarks) values('28Nov240101','040000111797','3',(select max(to_number(i.premium_rcv_detail_code))+1
from ins_premium_det i),'3','3','02', '11000003','00','Request by Mr. Omair Ali 29-Nov-2024');</v>
      </c>
    </row>
    <row r="1938" spans="1:8" ht="105" x14ac:dyDescent="0.25">
      <c r="A1938" t="s">
        <v>1938</v>
      </c>
      <c r="B1938" s="8" t="str">
        <f>VLOOKUP(A1938,assortedcode!B:C,2,0)</f>
        <v>040000121454</v>
      </c>
      <c r="C1938" s="1">
        <v>3</v>
      </c>
      <c r="D1938" s="9">
        <f t="shared" si="121"/>
        <v>3</v>
      </c>
      <c r="E1938" s="7" t="s">
        <v>8345</v>
      </c>
      <c r="F1938" s="10" t="str">
        <f t="shared" si="120"/>
        <v>insert into ins_premium_det (premium_rcv_code,assorted_code, rec_amount,premium_rcv_detail_code,remaining_amt, payrec, mode_code,coinsurance_code,class_cd,it_remarks) values</v>
      </c>
      <c r="G1938" s="11" t="str">
        <f t="shared" si="122"/>
        <v>('28Nov240101','040000121454','3',(select max(to_number(i.premium_rcv_detail_code))+1
from ins_premium_det i),'3','3','02', '11000003','00','Request by Mr. Omair Ali 29-Nov-2024');</v>
      </c>
      <c r="H1938" s="12" t="str">
        <f t="shared" si="123"/>
        <v>insert into ins_premium_det (premium_rcv_code,assorted_code, rec_amount,premium_rcv_detail_code,remaining_amt, payrec, mode_code,coinsurance_code,class_cd,it_remarks) values('28Nov240101','040000121454','3',(select max(to_number(i.premium_rcv_detail_code))+1
from ins_premium_det i),'3','3','02', '11000003','00','Request by Mr. Omair Ali 29-Nov-2024');</v>
      </c>
    </row>
    <row r="1939" spans="1:8" ht="105" x14ac:dyDescent="0.25">
      <c r="A1939" t="s">
        <v>1939</v>
      </c>
      <c r="B1939" s="8" t="str">
        <f>VLOOKUP(A1939,assortedcode!B:C,2,0)</f>
        <v>040000118030</v>
      </c>
      <c r="C1939" s="1">
        <v>3</v>
      </c>
      <c r="D1939" s="9">
        <f t="shared" si="121"/>
        <v>3</v>
      </c>
      <c r="E1939" s="7" t="s">
        <v>8345</v>
      </c>
      <c r="F1939" s="10" t="str">
        <f t="shared" si="120"/>
        <v>insert into ins_premium_det (premium_rcv_code,assorted_code, rec_amount,premium_rcv_detail_code,remaining_amt, payrec, mode_code,coinsurance_code,class_cd,it_remarks) values</v>
      </c>
      <c r="G1939" s="11" t="str">
        <f t="shared" si="122"/>
        <v>('28Nov240101','040000118030','3',(select max(to_number(i.premium_rcv_detail_code))+1
from ins_premium_det i),'3','3','02', '11000003','00','Request by Mr. Omair Ali 29-Nov-2024');</v>
      </c>
      <c r="H1939" s="12" t="str">
        <f t="shared" si="123"/>
        <v>insert into ins_premium_det (premium_rcv_code,assorted_code, rec_amount,premium_rcv_detail_code,remaining_amt, payrec, mode_code,coinsurance_code,class_cd,it_remarks) values('28Nov240101','040000118030','3',(select max(to_number(i.premium_rcv_detail_code))+1
from ins_premium_det i),'3','3','02', '11000003','00','Request by Mr. Omair Ali 29-Nov-2024');</v>
      </c>
    </row>
    <row r="1940" spans="1:8" ht="105" x14ac:dyDescent="0.25">
      <c r="A1940" t="s">
        <v>1940</v>
      </c>
      <c r="B1940" s="8" t="str">
        <f>VLOOKUP(A1940,assortedcode!B:C,2,0)</f>
        <v>040000115606</v>
      </c>
      <c r="C1940" s="1">
        <v>3</v>
      </c>
      <c r="D1940" s="9">
        <f t="shared" si="121"/>
        <v>3</v>
      </c>
      <c r="E1940" s="7" t="s">
        <v>8345</v>
      </c>
      <c r="F1940" s="10" t="str">
        <f t="shared" si="120"/>
        <v>insert into ins_premium_det (premium_rcv_code,assorted_code, rec_amount,premium_rcv_detail_code,remaining_amt, payrec, mode_code,coinsurance_code,class_cd,it_remarks) values</v>
      </c>
      <c r="G1940" s="11" t="str">
        <f t="shared" si="122"/>
        <v>('28Nov240101','040000115606','3',(select max(to_number(i.premium_rcv_detail_code))+1
from ins_premium_det i),'3','3','02', '11000003','00','Request by Mr. Omair Ali 29-Nov-2024');</v>
      </c>
      <c r="H1940" s="12" t="str">
        <f t="shared" si="123"/>
        <v>insert into ins_premium_det (premium_rcv_code,assorted_code, rec_amount,premium_rcv_detail_code,remaining_amt, payrec, mode_code,coinsurance_code,class_cd,it_remarks) values('28Nov240101','040000115606','3',(select max(to_number(i.premium_rcv_detail_code))+1
from ins_premium_det i),'3','3','02', '11000003','00','Request by Mr. Omair Ali 29-Nov-2024');</v>
      </c>
    </row>
    <row r="1941" spans="1:8" ht="105" x14ac:dyDescent="0.25">
      <c r="A1941" t="s">
        <v>1941</v>
      </c>
      <c r="B1941" s="8" t="str">
        <f>VLOOKUP(A1941,assortedcode!B:C,2,0)</f>
        <v>040000115603</v>
      </c>
      <c r="C1941" s="1">
        <v>3</v>
      </c>
      <c r="D1941" s="9">
        <f t="shared" si="121"/>
        <v>3</v>
      </c>
      <c r="E1941" s="7" t="s">
        <v>8345</v>
      </c>
      <c r="F1941" s="10" t="str">
        <f t="shared" si="120"/>
        <v>insert into ins_premium_det (premium_rcv_code,assorted_code, rec_amount,premium_rcv_detail_code,remaining_amt, payrec, mode_code,coinsurance_code,class_cd,it_remarks) values</v>
      </c>
      <c r="G1941" s="11" t="str">
        <f t="shared" si="122"/>
        <v>('28Nov240101','040000115603','3',(select max(to_number(i.premium_rcv_detail_code))+1
from ins_premium_det i),'3','3','02', '11000003','00','Request by Mr. Omair Ali 29-Nov-2024');</v>
      </c>
      <c r="H1941" s="12" t="str">
        <f t="shared" si="123"/>
        <v>insert into ins_premium_det (premium_rcv_code,assorted_code, rec_amount,premium_rcv_detail_code,remaining_amt, payrec, mode_code,coinsurance_code,class_cd,it_remarks) values('28Nov240101','040000115603','3',(select max(to_number(i.premium_rcv_detail_code))+1
from ins_premium_det i),'3','3','02', '11000003','00','Request by Mr. Omair Ali 29-Nov-2024');</v>
      </c>
    </row>
    <row r="1942" spans="1:8" ht="105" x14ac:dyDescent="0.25">
      <c r="A1942" t="s">
        <v>1942</v>
      </c>
      <c r="B1942" s="8" t="str">
        <f>VLOOKUP(A1942,assortedcode!B:C,2,0)</f>
        <v>040000127915</v>
      </c>
      <c r="C1942" s="1">
        <v>3</v>
      </c>
      <c r="D1942" s="9">
        <f t="shared" si="121"/>
        <v>3</v>
      </c>
      <c r="E1942" s="7" t="s">
        <v>8345</v>
      </c>
      <c r="F1942" s="10" t="str">
        <f t="shared" si="120"/>
        <v>insert into ins_premium_det (premium_rcv_code,assorted_code, rec_amount,premium_rcv_detail_code,remaining_amt, payrec, mode_code,coinsurance_code,class_cd,it_remarks) values</v>
      </c>
      <c r="G1942" s="11" t="str">
        <f t="shared" si="122"/>
        <v>('28Nov240101','040000127915','3',(select max(to_number(i.premium_rcv_detail_code))+1
from ins_premium_det i),'3','3','02', '11000003','00','Request by Mr. Omair Ali 29-Nov-2024');</v>
      </c>
      <c r="H1942" s="12" t="str">
        <f t="shared" si="123"/>
        <v>insert into ins_premium_det (premium_rcv_code,assorted_code, rec_amount,premium_rcv_detail_code,remaining_amt, payrec, mode_code,coinsurance_code,class_cd,it_remarks) values('28Nov240101','040000127915','3',(select max(to_number(i.premium_rcv_detail_code))+1
from ins_premium_det i),'3','3','02', '11000003','00','Request by Mr. Omair Ali 29-Nov-2024');</v>
      </c>
    </row>
    <row r="1943" spans="1:8" ht="105" x14ac:dyDescent="0.25">
      <c r="A1943" t="s">
        <v>1943</v>
      </c>
      <c r="B1943" s="8" t="str">
        <f>VLOOKUP(A1943,assortedcode!B:C,2,0)</f>
        <v>040000115522</v>
      </c>
      <c r="C1943" s="1">
        <v>3</v>
      </c>
      <c r="D1943" s="9">
        <f t="shared" si="121"/>
        <v>3</v>
      </c>
      <c r="E1943" s="7" t="s">
        <v>8345</v>
      </c>
      <c r="F1943" s="10" t="str">
        <f t="shared" si="120"/>
        <v>insert into ins_premium_det (premium_rcv_code,assorted_code, rec_amount,premium_rcv_detail_code,remaining_amt, payrec, mode_code,coinsurance_code,class_cd,it_remarks) values</v>
      </c>
      <c r="G1943" s="11" t="str">
        <f t="shared" si="122"/>
        <v>('28Nov240101','040000115522','3',(select max(to_number(i.premium_rcv_detail_code))+1
from ins_premium_det i),'3','3','02', '11000003','00','Request by Mr. Omair Ali 29-Nov-2024');</v>
      </c>
      <c r="H1943" s="12" t="str">
        <f t="shared" si="123"/>
        <v>insert into ins_premium_det (premium_rcv_code,assorted_code, rec_amount,premium_rcv_detail_code,remaining_amt, payrec, mode_code,coinsurance_code,class_cd,it_remarks) values('28Nov240101','040000115522','3',(select max(to_number(i.premium_rcv_detail_code))+1
from ins_premium_det i),'3','3','02', '11000003','00','Request by Mr. Omair Ali 29-Nov-2024');</v>
      </c>
    </row>
    <row r="1944" spans="1:8" ht="105" x14ac:dyDescent="0.25">
      <c r="A1944" t="s">
        <v>1944</v>
      </c>
      <c r="B1944" s="8" t="str">
        <f>VLOOKUP(A1944,assortedcode!B:C,2,0)</f>
        <v>040000118033</v>
      </c>
      <c r="C1944" s="1">
        <v>3</v>
      </c>
      <c r="D1944" s="9">
        <f t="shared" si="121"/>
        <v>3</v>
      </c>
      <c r="E1944" s="7" t="s">
        <v>8345</v>
      </c>
      <c r="F1944" s="10" t="str">
        <f t="shared" si="120"/>
        <v>insert into ins_premium_det (premium_rcv_code,assorted_code, rec_amount,premium_rcv_detail_code,remaining_amt, payrec, mode_code,coinsurance_code,class_cd,it_remarks) values</v>
      </c>
      <c r="G1944" s="11" t="str">
        <f t="shared" si="122"/>
        <v>('28Nov240101','040000118033','3',(select max(to_number(i.premium_rcv_detail_code))+1
from ins_premium_det i),'3','3','02', '11000003','00','Request by Mr. Omair Ali 29-Nov-2024');</v>
      </c>
      <c r="H1944" s="12" t="str">
        <f t="shared" si="123"/>
        <v>insert into ins_premium_det (premium_rcv_code,assorted_code, rec_amount,premium_rcv_detail_code,remaining_amt, payrec, mode_code,coinsurance_code,class_cd,it_remarks) values('28Nov240101','040000118033','3',(select max(to_number(i.premium_rcv_detail_code))+1
from ins_premium_det i),'3','3','02', '11000003','00','Request by Mr. Omair Ali 29-Nov-2024');</v>
      </c>
    </row>
    <row r="1945" spans="1:8" ht="105" x14ac:dyDescent="0.25">
      <c r="A1945" t="s">
        <v>1945</v>
      </c>
      <c r="B1945" s="8" t="str">
        <f>VLOOKUP(A1945,assortedcode!B:C,2,0)</f>
        <v>040000115773</v>
      </c>
      <c r="C1945" s="1">
        <v>3</v>
      </c>
      <c r="D1945" s="9">
        <f t="shared" si="121"/>
        <v>3</v>
      </c>
      <c r="E1945" s="7" t="s">
        <v>8345</v>
      </c>
      <c r="F1945" s="10" t="str">
        <f t="shared" si="120"/>
        <v>insert into ins_premium_det (premium_rcv_code,assorted_code, rec_amount,premium_rcv_detail_code,remaining_amt, payrec, mode_code,coinsurance_code,class_cd,it_remarks) values</v>
      </c>
      <c r="G1945" s="11" t="str">
        <f t="shared" si="122"/>
        <v>('28Nov240101','040000115773','3',(select max(to_number(i.premium_rcv_detail_code))+1
from ins_premium_det i),'3','3','02', '11000003','00','Request by Mr. Omair Ali 29-Nov-2024');</v>
      </c>
      <c r="H1945" s="12" t="str">
        <f t="shared" si="123"/>
        <v>insert into ins_premium_det (premium_rcv_code,assorted_code, rec_amount,premium_rcv_detail_code,remaining_amt, payrec, mode_code,coinsurance_code,class_cd,it_remarks) values('28Nov240101','040000115773','3',(select max(to_number(i.premium_rcv_detail_code))+1
from ins_premium_det i),'3','3','02', '11000003','00','Request by Mr. Omair Ali 29-Nov-2024');</v>
      </c>
    </row>
    <row r="1946" spans="1:8" ht="105" x14ac:dyDescent="0.25">
      <c r="A1946" t="s">
        <v>1946</v>
      </c>
      <c r="B1946" s="8" t="str">
        <f>VLOOKUP(A1946,assortedcode!B:C,2,0)</f>
        <v>040000119567</v>
      </c>
      <c r="C1946" s="1">
        <v>3</v>
      </c>
      <c r="D1946" s="9">
        <f t="shared" si="121"/>
        <v>3</v>
      </c>
      <c r="E1946" s="7" t="s">
        <v>8345</v>
      </c>
      <c r="F1946" s="10" t="str">
        <f t="shared" si="120"/>
        <v>insert into ins_premium_det (premium_rcv_code,assorted_code, rec_amount,premium_rcv_detail_code,remaining_amt, payrec, mode_code,coinsurance_code,class_cd,it_remarks) values</v>
      </c>
      <c r="G1946" s="11" t="str">
        <f t="shared" si="122"/>
        <v>('28Nov240101','040000119567','3',(select max(to_number(i.premium_rcv_detail_code))+1
from ins_premium_det i),'3','3','02', '11000003','00','Request by Mr. Omair Ali 29-Nov-2024');</v>
      </c>
      <c r="H1946" s="12" t="str">
        <f t="shared" si="123"/>
        <v>insert into ins_premium_det (premium_rcv_code,assorted_code, rec_amount,premium_rcv_detail_code,remaining_amt, payrec, mode_code,coinsurance_code,class_cd,it_remarks) values('28Nov240101','040000119567','3',(select max(to_number(i.premium_rcv_detail_code))+1
from ins_premium_det i),'3','3','02', '11000003','00','Request by Mr. Omair Ali 29-Nov-2024');</v>
      </c>
    </row>
    <row r="1947" spans="1:8" ht="105" x14ac:dyDescent="0.25">
      <c r="A1947" t="s">
        <v>1947</v>
      </c>
      <c r="B1947" s="8" t="str">
        <f>VLOOKUP(A1947,assortedcode!B:C,2,0)</f>
        <v>040000124922</v>
      </c>
      <c r="C1947" s="1">
        <v>3</v>
      </c>
      <c r="D1947" s="9">
        <f t="shared" si="121"/>
        <v>3</v>
      </c>
      <c r="E1947" s="7" t="s">
        <v>8345</v>
      </c>
      <c r="F1947" s="10" t="str">
        <f t="shared" si="120"/>
        <v>insert into ins_premium_det (premium_rcv_code,assorted_code, rec_amount,premium_rcv_detail_code,remaining_amt, payrec, mode_code,coinsurance_code,class_cd,it_remarks) values</v>
      </c>
      <c r="G1947" s="11" t="str">
        <f t="shared" si="122"/>
        <v>('28Nov240101','040000124922','3',(select max(to_number(i.premium_rcv_detail_code))+1
from ins_premium_det i),'3','3','02', '11000003','00','Request by Mr. Omair Ali 29-Nov-2024');</v>
      </c>
      <c r="H1947" s="12" t="str">
        <f t="shared" si="123"/>
        <v>insert into ins_premium_det (premium_rcv_code,assorted_code, rec_amount,premium_rcv_detail_code,remaining_amt, payrec, mode_code,coinsurance_code,class_cd,it_remarks) values('28Nov240101','040000124922','3',(select max(to_number(i.premium_rcv_detail_code))+1
from ins_premium_det i),'3','3','02', '11000003','00','Request by Mr. Omair Ali 29-Nov-2024');</v>
      </c>
    </row>
    <row r="1948" spans="1:8" ht="105" x14ac:dyDescent="0.25">
      <c r="A1948" t="s">
        <v>1948</v>
      </c>
      <c r="B1948" s="8" t="str">
        <f>VLOOKUP(A1948,assortedcode!B:C,2,0)</f>
        <v>040000110012</v>
      </c>
      <c r="C1948" s="1">
        <v>3</v>
      </c>
      <c r="D1948" s="9">
        <f t="shared" si="121"/>
        <v>3</v>
      </c>
      <c r="E1948" s="7" t="s">
        <v>8345</v>
      </c>
      <c r="F1948" s="10" t="str">
        <f t="shared" si="120"/>
        <v>insert into ins_premium_det (premium_rcv_code,assorted_code, rec_amount,premium_rcv_detail_code,remaining_amt, payrec, mode_code,coinsurance_code,class_cd,it_remarks) values</v>
      </c>
      <c r="G1948" s="11" t="str">
        <f t="shared" si="122"/>
        <v>('28Nov240101','040000110012','3',(select max(to_number(i.premium_rcv_detail_code))+1
from ins_premium_det i),'3','3','02', '11000003','00','Request by Mr. Omair Ali 29-Nov-2024');</v>
      </c>
      <c r="H1948" s="12" t="str">
        <f t="shared" si="123"/>
        <v>insert into ins_premium_det (premium_rcv_code,assorted_code, rec_amount,premium_rcv_detail_code,remaining_amt, payrec, mode_code,coinsurance_code,class_cd,it_remarks) values('28Nov240101','040000110012','3',(select max(to_number(i.premium_rcv_detail_code))+1
from ins_premium_det i),'3','3','02', '11000003','00','Request by Mr. Omair Ali 29-Nov-2024');</v>
      </c>
    </row>
    <row r="1949" spans="1:8" ht="105" x14ac:dyDescent="0.25">
      <c r="A1949" t="s">
        <v>1949</v>
      </c>
      <c r="B1949" s="8" t="str">
        <f>VLOOKUP(A1949,assortedcode!B:C,2,0)</f>
        <v>040000124273</v>
      </c>
      <c r="C1949" s="1">
        <v>3</v>
      </c>
      <c r="D1949" s="9">
        <f t="shared" si="121"/>
        <v>3</v>
      </c>
      <c r="E1949" s="7" t="s">
        <v>8345</v>
      </c>
      <c r="F1949" s="10" t="str">
        <f t="shared" si="120"/>
        <v>insert into ins_premium_det (premium_rcv_code,assorted_code, rec_amount,premium_rcv_detail_code,remaining_amt, payrec, mode_code,coinsurance_code,class_cd,it_remarks) values</v>
      </c>
      <c r="G1949" s="11" t="str">
        <f t="shared" si="122"/>
        <v>('28Nov240101','040000124273','3',(select max(to_number(i.premium_rcv_detail_code))+1
from ins_premium_det i),'3','3','02', '11000003','00','Request by Mr. Omair Ali 29-Nov-2024');</v>
      </c>
      <c r="H1949" s="12" t="str">
        <f t="shared" si="123"/>
        <v>insert into ins_premium_det (premium_rcv_code,assorted_code, rec_amount,premium_rcv_detail_code,remaining_amt, payrec, mode_code,coinsurance_code,class_cd,it_remarks) values('28Nov240101','040000124273','3',(select max(to_number(i.premium_rcv_detail_code))+1
from ins_premium_det i),'3','3','02', '11000003','00','Request by Mr. Omair Ali 29-Nov-2024');</v>
      </c>
    </row>
    <row r="1950" spans="1:8" ht="105" x14ac:dyDescent="0.25">
      <c r="A1950" t="s">
        <v>1950</v>
      </c>
      <c r="B1950" s="8" t="str">
        <f>VLOOKUP(A1950,assortedcode!B:C,2,0)</f>
        <v>040000108669</v>
      </c>
      <c r="C1950" s="1">
        <v>3</v>
      </c>
      <c r="D1950" s="9">
        <f t="shared" si="121"/>
        <v>3</v>
      </c>
      <c r="E1950" s="7" t="s">
        <v>8345</v>
      </c>
      <c r="F1950" s="10" t="str">
        <f t="shared" si="120"/>
        <v>insert into ins_premium_det (premium_rcv_code,assorted_code, rec_amount,premium_rcv_detail_code,remaining_amt, payrec, mode_code,coinsurance_code,class_cd,it_remarks) values</v>
      </c>
      <c r="G1950" s="11" t="str">
        <f t="shared" si="122"/>
        <v>('28Nov240101','040000108669','3',(select max(to_number(i.premium_rcv_detail_code))+1
from ins_premium_det i),'3','3','02', '11000003','00','Request by Mr. Omair Ali 29-Nov-2024');</v>
      </c>
      <c r="H1950" s="12" t="str">
        <f t="shared" si="123"/>
        <v>insert into ins_premium_det (premium_rcv_code,assorted_code, rec_amount,premium_rcv_detail_code,remaining_amt, payrec, mode_code,coinsurance_code,class_cd,it_remarks) values('28Nov240101','040000108669','3',(select max(to_number(i.premium_rcv_detail_code))+1
from ins_premium_det i),'3','3','02', '11000003','00','Request by Mr. Omair Ali 29-Nov-2024');</v>
      </c>
    </row>
    <row r="1951" spans="1:8" ht="105" x14ac:dyDescent="0.25">
      <c r="A1951" t="s">
        <v>1951</v>
      </c>
      <c r="B1951" s="8" t="str">
        <f>VLOOKUP(A1951,assortedcode!B:C,2,0)</f>
        <v>040000111290</v>
      </c>
      <c r="C1951" s="1">
        <v>3</v>
      </c>
      <c r="D1951" s="9">
        <f t="shared" si="121"/>
        <v>3</v>
      </c>
      <c r="E1951" s="7" t="s">
        <v>8345</v>
      </c>
      <c r="F1951" s="10" t="str">
        <f t="shared" si="120"/>
        <v>insert into ins_premium_det (premium_rcv_code,assorted_code, rec_amount,premium_rcv_detail_code,remaining_amt, payrec, mode_code,coinsurance_code,class_cd,it_remarks) values</v>
      </c>
      <c r="G1951" s="11" t="str">
        <f t="shared" si="122"/>
        <v>('28Nov240101','040000111290','3',(select max(to_number(i.premium_rcv_detail_code))+1
from ins_premium_det i),'3','3','02', '11000003','00','Request by Mr. Omair Ali 29-Nov-2024');</v>
      </c>
      <c r="H1951" s="12" t="str">
        <f t="shared" si="123"/>
        <v>insert into ins_premium_det (premium_rcv_code,assorted_code, rec_amount,premium_rcv_detail_code,remaining_amt, payrec, mode_code,coinsurance_code,class_cd,it_remarks) values('28Nov240101','040000111290','3',(select max(to_number(i.premium_rcv_detail_code))+1
from ins_premium_det i),'3','3','02', '11000003','00','Request by Mr. Omair Ali 29-Nov-2024');</v>
      </c>
    </row>
    <row r="1952" spans="1:8" ht="105" x14ac:dyDescent="0.25">
      <c r="A1952" t="s">
        <v>1952</v>
      </c>
      <c r="B1952" s="8" t="str">
        <f>VLOOKUP(A1952,assortedcode!B:C,2,0)</f>
        <v>040000123725</v>
      </c>
      <c r="C1952" s="1">
        <v>3</v>
      </c>
      <c r="D1952" s="9">
        <f t="shared" si="121"/>
        <v>3</v>
      </c>
      <c r="E1952" s="7" t="s">
        <v>8345</v>
      </c>
      <c r="F1952" s="10" t="str">
        <f t="shared" si="120"/>
        <v>insert into ins_premium_det (premium_rcv_code,assorted_code, rec_amount,premium_rcv_detail_code,remaining_amt, payrec, mode_code,coinsurance_code,class_cd,it_remarks) values</v>
      </c>
      <c r="G1952" s="11" t="str">
        <f t="shared" si="122"/>
        <v>('28Nov240101','040000123725','3',(select max(to_number(i.premium_rcv_detail_code))+1
from ins_premium_det i),'3','3','02', '11000003','00','Request by Mr. Omair Ali 29-Nov-2024');</v>
      </c>
      <c r="H1952" s="12" t="str">
        <f t="shared" si="123"/>
        <v>insert into ins_premium_det (premium_rcv_code,assorted_code, rec_amount,premium_rcv_detail_code,remaining_amt, payrec, mode_code,coinsurance_code,class_cd,it_remarks) values('28Nov240101','040000123725','3',(select max(to_number(i.premium_rcv_detail_code))+1
from ins_premium_det i),'3','3','02', '11000003','00','Request by Mr. Omair Ali 29-Nov-2024');</v>
      </c>
    </row>
    <row r="1953" spans="1:8" ht="105" x14ac:dyDescent="0.25">
      <c r="A1953" t="s">
        <v>1953</v>
      </c>
      <c r="B1953" s="8" t="str">
        <f>VLOOKUP(A1953,assortedcode!B:C,2,0)</f>
        <v>040000110016</v>
      </c>
      <c r="C1953" s="1">
        <v>3</v>
      </c>
      <c r="D1953" s="9">
        <f t="shared" si="121"/>
        <v>3</v>
      </c>
      <c r="E1953" s="7" t="s">
        <v>8345</v>
      </c>
      <c r="F1953" s="10" t="str">
        <f t="shared" si="120"/>
        <v>insert into ins_premium_det (premium_rcv_code,assorted_code, rec_amount,premium_rcv_detail_code,remaining_amt, payrec, mode_code,coinsurance_code,class_cd,it_remarks) values</v>
      </c>
      <c r="G1953" s="11" t="str">
        <f t="shared" si="122"/>
        <v>('28Nov240101','040000110016','3',(select max(to_number(i.premium_rcv_detail_code))+1
from ins_premium_det i),'3','3','02', '11000003','00','Request by Mr. Omair Ali 29-Nov-2024');</v>
      </c>
      <c r="H1953" s="12" t="str">
        <f t="shared" si="123"/>
        <v>insert into ins_premium_det (premium_rcv_code,assorted_code, rec_amount,premium_rcv_detail_code,remaining_amt, payrec, mode_code,coinsurance_code,class_cd,it_remarks) values('28Nov240101','040000110016','3',(select max(to_number(i.premium_rcv_detail_code))+1
from ins_premium_det i),'3','3','02', '11000003','00','Request by Mr. Omair Ali 29-Nov-2024');</v>
      </c>
    </row>
    <row r="1954" spans="1:8" ht="105" x14ac:dyDescent="0.25">
      <c r="A1954" t="s">
        <v>1954</v>
      </c>
      <c r="B1954" s="8" t="str">
        <f>VLOOKUP(A1954,assortedcode!B:C,2,0)</f>
        <v>040000110043</v>
      </c>
      <c r="C1954" s="1">
        <v>3</v>
      </c>
      <c r="D1954" s="9">
        <f t="shared" si="121"/>
        <v>3</v>
      </c>
      <c r="E1954" s="7" t="s">
        <v>8345</v>
      </c>
      <c r="F1954" s="10" t="str">
        <f t="shared" si="120"/>
        <v>insert into ins_premium_det (premium_rcv_code,assorted_code, rec_amount,premium_rcv_detail_code,remaining_amt, payrec, mode_code,coinsurance_code,class_cd,it_remarks) values</v>
      </c>
      <c r="G1954" s="11" t="str">
        <f t="shared" si="122"/>
        <v>('28Nov240101','040000110043','3',(select max(to_number(i.premium_rcv_detail_code))+1
from ins_premium_det i),'3','3','02', '11000003','00','Request by Mr. Omair Ali 29-Nov-2024');</v>
      </c>
      <c r="H1954" s="12" t="str">
        <f t="shared" si="123"/>
        <v>insert into ins_premium_det (premium_rcv_code,assorted_code, rec_amount,premium_rcv_detail_code,remaining_amt, payrec, mode_code,coinsurance_code,class_cd,it_remarks) values('28Nov240101','040000110043','3',(select max(to_number(i.premium_rcv_detail_code))+1
from ins_premium_det i),'3','3','02', '11000003','00','Request by Mr. Omair Ali 29-Nov-2024');</v>
      </c>
    </row>
    <row r="1955" spans="1:8" ht="105" x14ac:dyDescent="0.25">
      <c r="A1955" t="s">
        <v>1955</v>
      </c>
      <c r="B1955" s="8" t="str">
        <f>VLOOKUP(A1955,assortedcode!B:C,2,0)</f>
        <v>040000124164</v>
      </c>
      <c r="C1955" s="1">
        <v>3</v>
      </c>
      <c r="D1955" s="9">
        <f t="shared" si="121"/>
        <v>3</v>
      </c>
      <c r="E1955" s="7" t="s">
        <v>8345</v>
      </c>
      <c r="F1955" s="10" t="str">
        <f t="shared" si="120"/>
        <v>insert into ins_premium_det (premium_rcv_code,assorted_code, rec_amount,premium_rcv_detail_code,remaining_amt, payrec, mode_code,coinsurance_code,class_cd,it_remarks) values</v>
      </c>
      <c r="G1955" s="11" t="str">
        <f t="shared" si="122"/>
        <v>('28Nov240101','040000124164','3',(select max(to_number(i.premium_rcv_detail_code))+1
from ins_premium_det i),'3','3','02', '11000003','00','Request by Mr. Omair Ali 29-Nov-2024');</v>
      </c>
      <c r="H1955" s="12" t="str">
        <f t="shared" si="123"/>
        <v>insert into ins_premium_det (premium_rcv_code,assorted_code, rec_amount,premium_rcv_detail_code,remaining_amt, payrec, mode_code,coinsurance_code,class_cd,it_remarks) values('28Nov240101','040000124164','3',(select max(to_number(i.premium_rcv_detail_code))+1
from ins_premium_det i),'3','3','02', '11000003','00','Request by Mr. Omair Ali 29-Nov-2024');</v>
      </c>
    </row>
    <row r="1956" spans="1:8" ht="105" x14ac:dyDescent="0.25">
      <c r="A1956" t="s">
        <v>1956</v>
      </c>
      <c r="B1956" s="8" t="str">
        <f>VLOOKUP(A1956,assortedcode!B:C,2,0)</f>
        <v>040000111961</v>
      </c>
      <c r="C1956" s="1">
        <v>3</v>
      </c>
      <c r="D1956" s="9">
        <f t="shared" si="121"/>
        <v>3</v>
      </c>
      <c r="E1956" s="7" t="s">
        <v>8345</v>
      </c>
      <c r="F1956" s="10" t="str">
        <f t="shared" si="120"/>
        <v>insert into ins_premium_det (premium_rcv_code,assorted_code, rec_amount,premium_rcv_detail_code,remaining_amt, payrec, mode_code,coinsurance_code,class_cd,it_remarks) values</v>
      </c>
      <c r="G1956" s="11" t="str">
        <f t="shared" si="122"/>
        <v>('28Nov240101','040000111961','3',(select max(to_number(i.premium_rcv_detail_code))+1
from ins_premium_det i),'3','3','02', '11000003','00','Request by Mr. Omair Ali 29-Nov-2024');</v>
      </c>
      <c r="H1956" s="12" t="str">
        <f t="shared" si="123"/>
        <v>insert into ins_premium_det (premium_rcv_code,assorted_code, rec_amount,premium_rcv_detail_code,remaining_amt, payrec, mode_code,coinsurance_code,class_cd,it_remarks) values('28Nov240101','040000111961','3',(select max(to_number(i.premium_rcv_detail_code))+1
from ins_premium_det i),'3','3','02', '11000003','00','Request by Mr. Omair Ali 29-Nov-2024');</v>
      </c>
    </row>
    <row r="1957" spans="1:8" ht="105" x14ac:dyDescent="0.25">
      <c r="A1957" t="s">
        <v>1957</v>
      </c>
      <c r="B1957" s="8" t="str">
        <f>VLOOKUP(A1957,assortedcode!B:C,2,0)</f>
        <v>040000124319</v>
      </c>
      <c r="C1957" s="1">
        <v>3</v>
      </c>
      <c r="D1957" s="9">
        <f t="shared" si="121"/>
        <v>3</v>
      </c>
      <c r="E1957" s="7" t="s">
        <v>8345</v>
      </c>
      <c r="F1957" s="10" t="str">
        <f t="shared" si="120"/>
        <v>insert into ins_premium_det (premium_rcv_code,assorted_code, rec_amount,premium_rcv_detail_code,remaining_amt, payrec, mode_code,coinsurance_code,class_cd,it_remarks) values</v>
      </c>
      <c r="G1957" s="11" t="str">
        <f t="shared" si="122"/>
        <v>('28Nov240101','040000124319','3',(select max(to_number(i.premium_rcv_detail_code))+1
from ins_premium_det i),'3','3','02', '11000003','00','Request by Mr. Omair Ali 29-Nov-2024');</v>
      </c>
      <c r="H1957" s="12" t="str">
        <f t="shared" si="123"/>
        <v>insert into ins_premium_det (premium_rcv_code,assorted_code, rec_amount,premium_rcv_detail_code,remaining_amt, payrec, mode_code,coinsurance_code,class_cd,it_remarks) values('28Nov240101','040000124319','3',(select max(to_number(i.premium_rcv_detail_code))+1
from ins_premium_det i),'3','3','02', '11000003','00','Request by Mr. Omair Ali 29-Nov-2024');</v>
      </c>
    </row>
    <row r="1958" spans="1:8" ht="105" x14ac:dyDescent="0.25">
      <c r="A1958" t="s">
        <v>1958</v>
      </c>
      <c r="B1958" s="8" t="str">
        <f>VLOOKUP(A1958,assortedcode!B:C,2,0)</f>
        <v>040000116011</v>
      </c>
      <c r="C1958" s="1">
        <v>3</v>
      </c>
      <c r="D1958" s="9">
        <f t="shared" si="121"/>
        <v>3</v>
      </c>
      <c r="E1958" s="7" t="s">
        <v>8345</v>
      </c>
      <c r="F1958" s="10" t="str">
        <f t="shared" si="120"/>
        <v>insert into ins_premium_det (premium_rcv_code,assorted_code, rec_amount,premium_rcv_detail_code,remaining_amt, payrec, mode_code,coinsurance_code,class_cd,it_remarks) values</v>
      </c>
      <c r="G1958" s="11" t="str">
        <f t="shared" si="122"/>
        <v>('28Nov240101','040000116011','3',(select max(to_number(i.premium_rcv_detail_code))+1
from ins_premium_det i),'3','3','02', '11000003','00','Request by Mr. Omair Ali 29-Nov-2024');</v>
      </c>
      <c r="H1958" s="12" t="str">
        <f t="shared" si="123"/>
        <v>insert into ins_premium_det (premium_rcv_code,assorted_code, rec_amount,premium_rcv_detail_code,remaining_amt, payrec, mode_code,coinsurance_code,class_cd,it_remarks) values('28Nov240101','040000116011','3',(select max(to_number(i.premium_rcv_detail_code))+1
from ins_premium_det i),'3','3','02', '11000003','00','Request by Mr. Omair Ali 29-Nov-2024');</v>
      </c>
    </row>
    <row r="1959" spans="1:8" ht="105" x14ac:dyDescent="0.25">
      <c r="A1959" t="s">
        <v>1959</v>
      </c>
      <c r="B1959" s="8" t="str">
        <f>VLOOKUP(A1959,assortedcode!B:C,2,0)</f>
        <v>040000121233</v>
      </c>
      <c r="C1959" s="1">
        <v>3</v>
      </c>
      <c r="D1959" s="9">
        <f t="shared" si="121"/>
        <v>3</v>
      </c>
      <c r="E1959" s="7" t="s">
        <v>8345</v>
      </c>
      <c r="F1959" s="10" t="str">
        <f t="shared" si="120"/>
        <v>insert into ins_premium_det (premium_rcv_code,assorted_code, rec_amount,premium_rcv_detail_code,remaining_amt, payrec, mode_code,coinsurance_code,class_cd,it_remarks) values</v>
      </c>
      <c r="G1959" s="11" t="str">
        <f t="shared" si="122"/>
        <v>('28Nov240101','040000121233','3',(select max(to_number(i.premium_rcv_detail_code))+1
from ins_premium_det i),'3','3','02', '11000003','00','Request by Mr. Omair Ali 29-Nov-2024');</v>
      </c>
      <c r="H1959" s="12" t="str">
        <f t="shared" si="123"/>
        <v>insert into ins_premium_det (premium_rcv_code,assorted_code, rec_amount,premium_rcv_detail_code,remaining_amt, payrec, mode_code,coinsurance_code,class_cd,it_remarks) values('28Nov240101','040000121233','3',(select max(to_number(i.premium_rcv_detail_code))+1
from ins_premium_det i),'3','3','02', '11000003','00','Request by Mr. Omair Ali 29-Nov-2024');</v>
      </c>
    </row>
    <row r="1960" spans="1:8" ht="105" x14ac:dyDescent="0.25">
      <c r="A1960" t="s">
        <v>1960</v>
      </c>
      <c r="B1960" s="8" t="str">
        <f>VLOOKUP(A1960,assortedcode!B:C,2,0)</f>
        <v>040000126597</v>
      </c>
      <c r="C1960" s="1">
        <v>3</v>
      </c>
      <c r="D1960" s="9">
        <f t="shared" si="121"/>
        <v>3</v>
      </c>
      <c r="E1960" s="7" t="s">
        <v>8345</v>
      </c>
      <c r="F1960" s="10" t="str">
        <f t="shared" si="120"/>
        <v>insert into ins_premium_det (premium_rcv_code,assorted_code, rec_amount,premium_rcv_detail_code,remaining_amt, payrec, mode_code,coinsurance_code,class_cd,it_remarks) values</v>
      </c>
      <c r="G1960" s="11" t="str">
        <f t="shared" si="122"/>
        <v>('28Nov240101','040000126597','3',(select max(to_number(i.premium_rcv_detail_code))+1
from ins_premium_det i),'3','3','02', '11000003','00','Request by Mr. Omair Ali 29-Nov-2024');</v>
      </c>
      <c r="H1960" s="12" t="str">
        <f t="shared" si="123"/>
        <v>insert into ins_premium_det (premium_rcv_code,assorted_code, rec_amount,premium_rcv_detail_code,remaining_amt, payrec, mode_code,coinsurance_code,class_cd,it_remarks) values('28Nov240101','040000126597','3',(select max(to_number(i.premium_rcv_detail_code))+1
from ins_premium_det i),'3','3','02', '11000003','00','Request by Mr. Omair Ali 29-Nov-2024');</v>
      </c>
    </row>
    <row r="1961" spans="1:8" ht="105" x14ac:dyDescent="0.25">
      <c r="A1961" t="s">
        <v>1961</v>
      </c>
      <c r="B1961" s="8" t="str">
        <f>VLOOKUP(A1961,assortedcode!B:C,2,0)</f>
        <v>040000117660</v>
      </c>
      <c r="C1961" s="1">
        <v>3</v>
      </c>
      <c r="D1961" s="9">
        <f t="shared" si="121"/>
        <v>3</v>
      </c>
      <c r="E1961" s="7" t="s">
        <v>8345</v>
      </c>
      <c r="F1961" s="10" t="str">
        <f t="shared" si="120"/>
        <v>insert into ins_premium_det (premium_rcv_code,assorted_code, rec_amount,premium_rcv_detail_code,remaining_amt, payrec, mode_code,coinsurance_code,class_cd,it_remarks) values</v>
      </c>
      <c r="G1961" s="11" t="str">
        <f t="shared" si="122"/>
        <v>('28Nov240101','040000117660','3',(select max(to_number(i.premium_rcv_detail_code))+1
from ins_premium_det i),'3','3','02', '11000003','00','Request by Mr. Omair Ali 29-Nov-2024');</v>
      </c>
      <c r="H1961" s="12" t="str">
        <f t="shared" si="123"/>
        <v>insert into ins_premium_det (premium_rcv_code,assorted_code, rec_amount,premium_rcv_detail_code,remaining_amt, payrec, mode_code,coinsurance_code,class_cd,it_remarks) values('28Nov240101','040000117660','3',(select max(to_number(i.premium_rcv_detail_code))+1
from ins_premium_det i),'3','3','02', '11000003','00','Request by Mr. Omair Ali 29-Nov-2024');</v>
      </c>
    </row>
    <row r="1962" spans="1:8" ht="105" x14ac:dyDescent="0.25">
      <c r="A1962" t="s">
        <v>1962</v>
      </c>
      <c r="B1962" s="8" t="str">
        <f>VLOOKUP(A1962,assortedcode!B:C,2,0)</f>
        <v>040000122020</v>
      </c>
      <c r="C1962" s="1">
        <v>3</v>
      </c>
      <c r="D1962" s="9">
        <f t="shared" si="121"/>
        <v>3</v>
      </c>
      <c r="E1962" s="7" t="s">
        <v>8345</v>
      </c>
      <c r="F1962" s="10" t="str">
        <f t="shared" si="120"/>
        <v>insert into ins_premium_det (premium_rcv_code,assorted_code, rec_amount,premium_rcv_detail_code,remaining_amt, payrec, mode_code,coinsurance_code,class_cd,it_remarks) values</v>
      </c>
      <c r="G1962" s="11" t="str">
        <f t="shared" si="122"/>
        <v>('28Nov240101','040000122020','3',(select max(to_number(i.premium_rcv_detail_code))+1
from ins_premium_det i),'3','3','02', '11000003','00','Request by Mr. Omair Ali 29-Nov-2024');</v>
      </c>
      <c r="H1962" s="12" t="str">
        <f t="shared" si="123"/>
        <v>insert into ins_premium_det (premium_rcv_code,assorted_code, rec_amount,premium_rcv_detail_code,remaining_amt, payrec, mode_code,coinsurance_code,class_cd,it_remarks) values('28Nov240101','040000122020','3',(select max(to_number(i.premium_rcv_detail_code))+1
from ins_premium_det i),'3','3','02', '11000003','00','Request by Mr. Omair Ali 29-Nov-2024');</v>
      </c>
    </row>
    <row r="1963" spans="1:8" ht="105" x14ac:dyDescent="0.25">
      <c r="A1963" t="s">
        <v>1963</v>
      </c>
      <c r="B1963" s="8" t="str">
        <f>VLOOKUP(A1963,assortedcode!B:C,2,0)</f>
        <v>040000115228</v>
      </c>
      <c r="C1963" s="1">
        <v>3</v>
      </c>
      <c r="D1963" s="9">
        <f t="shared" si="121"/>
        <v>3</v>
      </c>
      <c r="E1963" s="7" t="s">
        <v>8345</v>
      </c>
      <c r="F1963" s="10" t="str">
        <f t="shared" si="120"/>
        <v>insert into ins_premium_det (premium_rcv_code,assorted_code, rec_amount,premium_rcv_detail_code,remaining_amt, payrec, mode_code,coinsurance_code,class_cd,it_remarks) values</v>
      </c>
      <c r="G1963" s="11" t="str">
        <f t="shared" si="122"/>
        <v>('28Nov240101','040000115228','3',(select max(to_number(i.premium_rcv_detail_code))+1
from ins_premium_det i),'3','3','02', '11000003','00','Request by Mr. Omair Ali 29-Nov-2024');</v>
      </c>
      <c r="H1963" s="12" t="str">
        <f t="shared" si="123"/>
        <v>insert into ins_premium_det (premium_rcv_code,assorted_code, rec_amount,premium_rcv_detail_code,remaining_amt, payrec, mode_code,coinsurance_code,class_cd,it_remarks) values('28Nov240101','040000115228','3',(select max(to_number(i.premium_rcv_detail_code))+1
from ins_premium_det i),'3','3','02', '11000003','00','Request by Mr. Omair Ali 29-Nov-2024');</v>
      </c>
    </row>
    <row r="1964" spans="1:8" ht="105" x14ac:dyDescent="0.25">
      <c r="A1964" t="s">
        <v>1964</v>
      </c>
      <c r="B1964" s="8" t="str">
        <f>VLOOKUP(A1964,assortedcode!B:C,2,0)</f>
        <v>040000123625</v>
      </c>
      <c r="C1964" s="1">
        <v>3</v>
      </c>
      <c r="D1964" s="9">
        <f t="shared" si="121"/>
        <v>3</v>
      </c>
      <c r="E1964" s="7" t="s">
        <v>8345</v>
      </c>
      <c r="F1964" s="10" t="str">
        <f t="shared" si="120"/>
        <v>insert into ins_premium_det (premium_rcv_code,assorted_code, rec_amount,premium_rcv_detail_code,remaining_amt, payrec, mode_code,coinsurance_code,class_cd,it_remarks) values</v>
      </c>
      <c r="G1964" s="11" t="str">
        <f t="shared" si="122"/>
        <v>('28Nov240101','040000123625','3',(select max(to_number(i.premium_rcv_detail_code))+1
from ins_premium_det i),'3','3','02', '11000003','00','Request by Mr. Omair Ali 29-Nov-2024');</v>
      </c>
      <c r="H1964" s="12" t="str">
        <f t="shared" si="123"/>
        <v>insert into ins_premium_det (premium_rcv_code,assorted_code, rec_amount,premium_rcv_detail_code,remaining_amt, payrec, mode_code,coinsurance_code,class_cd,it_remarks) values('28Nov240101','040000123625','3',(select max(to_number(i.premium_rcv_detail_code))+1
from ins_premium_det i),'3','3','02', '11000003','00','Request by Mr. Omair Ali 29-Nov-2024');</v>
      </c>
    </row>
    <row r="1965" spans="1:8" ht="105" x14ac:dyDescent="0.25">
      <c r="A1965" t="s">
        <v>1965</v>
      </c>
      <c r="B1965" s="8" t="str">
        <f>VLOOKUP(A1965,assortedcode!B:C,2,0)</f>
        <v>040000110036</v>
      </c>
      <c r="C1965" s="1">
        <v>3</v>
      </c>
      <c r="D1965" s="9">
        <f t="shared" si="121"/>
        <v>3</v>
      </c>
      <c r="E1965" s="7" t="s">
        <v>8345</v>
      </c>
      <c r="F1965" s="10" t="str">
        <f t="shared" si="120"/>
        <v>insert into ins_premium_det (premium_rcv_code,assorted_code, rec_amount,premium_rcv_detail_code,remaining_amt, payrec, mode_code,coinsurance_code,class_cd,it_remarks) values</v>
      </c>
      <c r="G1965" s="11" t="str">
        <f t="shared" si="122"/>
        <v>('28Nov240101','040000110036','3',(select max(to_number(i.premium_rcv_detail_code))+1
from ins_premium_det i),'3','3','02', '11000003','00','Request by Mr. Omair Ali 29-Nov-2024');</v>
      </c>
      <c r="H1965" s="12" t="str">
        <f t="shared" si="123"/>
        <v>insert into ins_premium_det (premium_rcv_code,assorted_code, rec_amount,premium_rcv_detail_code,remaining_amt, payrec, mode_code,coinsurance_code,class_cd,it_remarks) values('28Nov240101','040000110036','3',(select max(to_number(i.premium_rcv_detail_code))+1
from ins_premium_det i),'3','3','02', '11000003','00','Request by Mr. Omair Ali 29-Nov-2024');</v>
      </c>
    </row>
    <row r="1966" spans="1:8" ht="105" x14ac:dyDescent="0.25">
      <c r="A1966" t="s">
        <v>1966</v>
      </c>
      <c r="B1966" s="8" t="str">
        <f>VLOOKUP(A1966,assortedcode!B:C,2,0)</f>
        <v>040000123629</v>
      </c>
      <c r="C1966" s="1">
        <v>3</v>
      </c>
      <c r="D1966" s="9">
        <f t="shared" si="121"/>
        <v>3</v>
      </c>
      <c r="E1966" s="7" t="s">
        <v>8345</v>
      </c>
      <c r="F1966" s="10" t="str">
        <f t="shared" si="120"/>
        <v>insert into ins_premium_det (premium_rcv_code,assorted_code, rec_amount,premium_rcv_detail_code,remaining_amt, payrec, mode_code,coinsurance_code,class_cd,it_remarks) values</v>
      </c>
      <c r="G1966" s="11" t="str">
        <f t="shared" si="122"/>
        <v>('28Nov240101','040000123629','3',(select max(to_number(i.premium_rcv_detail_code))+1
from ins_premium_det i),'3','3','02', '11000003','00','Request by Mr. Omair Ali 29-Nov-2024');</v>
      </c>
      <c r="H1966" s="12" t="str">
        <f t="shared" si="123"/>
        <v>insert into ins_premium_det (premium_rcv_code,assorted_code, rec_amount,premium_rcv_detail_code,remaining_amt, payrec, mode_code,coinsurance_code,class_cd,it_remarks) values('28Nov240101','040000123629','3',(select max(to_number(i.premium_rcv_detail_code))+1
from ins_premium_det i),'3','3','02', '11000003','00','Request by Mr. Omair Ali 29-Nov-2024');</v>
      </c>
    </row>
    <row r="1967" spans="1:8" ht="105" x14ac:dyDescent="0.25">
      <c r="A1967" t="s">
        <v>1967</v>
      </c>
      <c r="B1967" s="8" t="str">
        <f>VLOOKUP(A1967,assortedcode!B:C,2,0)</f>
        <v>040000111749</v>
      </c>
      <c r="C1967" s="1">
        <v>3</v>
      </c>
      <c r="D1967" s="9">
        <f t="shared" si="121"/>
        <v>3</v>
      </c>
      <c r="E1967" s="7" t="s">
        <v>8345</v>
      </c>
      <c r="F1967" s="10" t="str">
        <f t="shared" si="120"/>
        <v>insert into ins_premium_det (premium_rcv_code,assorted_code, rec_amount,premium_rcv_detail_code,remaining_amt, payrec, mode_code,coinsurance_code,class_cd,it_remarks) values</v>
      </c>
      <c r="G1967" s="11" t="str">
        <f t="shared" si="122"/>
        <v>('28Nov240101','040000111749','3',(select max(to_number(i.premium_rcv_detail_code))+1
from ins_premium_det i),'3','3','02', '11000003','00','Request by Mr. Omair Ali 29-Nov-2024');</v>
      </c>
      <c r="H1967" s="12" t="str">
        <f t="shared" si="123"/>
        <v>insert into ins_premium_det (premium_rcv_code,assorted_code, rec_amount,premium_rcv_detail_code,remaining_amt, payrec, mode_code,coinsurance_code,class_cd,it_remarks) values('28Nov240101','040000111749','3',(select max(to_number(i.premium_rcv_detail_code))+1
from ins_premium_det i),'3','3','02', '11000003','00','Request by Mr. Omair Ali 29-Nov-2024');</v>
      </c>
    </row>
    <row r="1968" spans="1:8" ht="105" x14ac:dyDescent="0.25">
      <c r="A1968" t="s">
        <v>1968</v>
      </c>
      <c r="B1968" s="8" t="str">
        <f>VLOOKUP(A1968,assortedcode!B:C,2,0)</f>
        <v>040000116030</v>
      </c>
      <c r="C1968" s="1">
        <v>3</v>
      </c>
      <c r="D1968" s="9">
        <f t="shared" si="121"/>
        <v>3</v>
      </c>
      <c r="E1968" s="7" t="s">
        <v>8345</v>
      </c>
      <c r="F1968" s="10" t="str">
        <f t="shared" si="120"/>
        <v>insert into ins_premium_det (premium_rcv_code,assorted_code, rec_amount,premium_rcv_detail_code,remaining_amt, payrec, mode_code,coinsurance_code,class_cd,it_remarks) values</v>
      </c>
      <c r="G1968" s="11" t="str">
        <f t="shared" si="122"/>
        <v>('28Nov240101','040000116030','3',(select max(to_number(i.premium_rcv_detail_code))+1
from ins_premium_det i),'3','3','02', '11000003','00','Request by Mr. Omair Ali 29-Nov-2024');</v>
      </c>
      <c r="H1968" s="12" t="str">
        <f t="shared" si="123"/>
        <v>insert into ins_premium_det (premium_rcv_code,assorted_code, rec_amount,premium_rcv_detail_code,remaining_amt, payrec, mode_code,coinsurance_code,class_cd,it_remarks) values('28Nov240101','040000116030','3',(select max(to_number(i.premium_rcv_detail_code))+1
from ins_premium_det i),'3','3','02', '11000003','00','Request by Mr. Omair Ali 29-Nov-2024');</v>
      </c>
    </row>
    <row r="1969" spans="1:8" ht="105" x14ac:dyDescent="0.25">
      <c r="A1969" t="s">
        <v>1969</v>
      </c>
      <c r="B1969" s="8" t="str">
        <f>VLOOKUP(A1969,assortedcode!B:C,2,0)</f>
        <v>040000111840</v>
      </c>
      <c r="C1969" s="1">
        <v>3</v>
      </c>
      <c r="D1969" s="9">
        <f t="shared" si="121"/>
        <v>3</v>
      </c>
      <c r="E1969" s="7" t="s">
        <v>8345</v>
      </c>
      <c r="F1969" s="10" t="str">
        <f t="shared" si="120"/>
        <v>insert into ins_premium_det (premium_rcv_code,assorted_code, rec_amount,premium_rcv_detail_code,remaining_amt, payrec, mode_code,coinsurance_code,class_cd,it_remarks) values</v>
      </c>
      <c r="G1969" s="11" t="str">
        <f t="shared" si="122"/>
        <v>('28Nov240101','040000111840','3',(select max(to_number(i.premium_rcv_detail_code))+1
from ins_premium_det i),'3','3','02', '11000003','00','Request by Mr. Omair Ali 29-Nov-2024');</v>
      </c>
      <c r="H1969" s="12" t="str">
        <f t="shared" si="123"/>
        <v>insert into ins_premium_det (premium_rcv_code,assorted_code, rec_amount,premium_rcv_detail_code,remaining_amt, payrec, mode_code,coinsurance_code,class_cd,it_remarks) values('28Nov240101','040000111840','3',(select max(to_number(i.premium_rcv_detail_code))+1
from ins_premium_det i),'3','3','02', '11000003','00','Request by Mr. Omair Ali 29-Nov-2024');</v>
      </c>
    </row>
    <row r="1970" spans="1:8" ht="105" x14ac:dyDescent="0.25">
      <c r="A1970" t="s">
        <v>1970</v>
      </c>
      <c r="B1970" s="8" t="str">
        <f>VLOOKUP(A1970,assortedcode!B:C,2,0)</f>
        <v>040000124408</v>
      </c>
      <c r="C1970" s="1">
        <v>3</v>
      </c>
      <c r="D1970" s="9">
        <f t="shared" si="121"/>
        <v>3</v>
      </c>
      <c r="E1970" s="7" t="s">
        <v>8345</v>
      </c>
      <c r="F1970" s="10" t="str">
        <f t="shared" si="120"/>
        <v>insert into ins_premium_det (premium_rcv_code,assorted_code, rec_amount,premium_rcv_detail_code,remaining_amt, payrec, mode_code,coinsurance_code,class_cd,it_remarks) values</v>
      </c>
      <c r="G1970" s="11" t="str">
        <f t="shared" si="122"/>
        <v>('28Nov240101','040000124408','3',(select max(to_number(i.premium_rcv_detail_code))+1
from ins_premium_det i),'3','3','02', '11000003','00','Request by Mr. Omair Ali 29-Nov-2024');</v>
      </c>
      <c r="H1970" s="12" t="str">
        <f t="shared" si="123"/>
        <v>insert into ins_premium_det (premium_rcv_code,assorted_code, rec_amount,premium_rcv_detail_code,remaining_amt, payrec, mode_code,coinsurance_code,class_cd,it_remarks) values('28Nov240101','040000124408','3',(select max(to_number(i.premium_rcv_detail_code))+1
from ins_premium_det i),'3','3','02', '11000003','00','Request by Mr. Omair Ali 29-Nov-2024');</v>
      </c>
    </row>
    <row r="1971" spans="1:8" ht="105" x14ac:dyDescent="0.25">
      <c r="A1971" t="s">
        <v>1971</v>
      </c>
      <c r="B1971" s="8" t="str">
        <f>VLOOKUP(A1971,assortedcode!B:C,2,0)</f>
        <v>040000121277</v>
      </c>
      <c r="C1971" s="1">
        <v>3</v>
      </c>
      <c r="D1971" s="9">
        <f t="shared" si="121"/>
        <v>3</v>
      </c>
      <c r="E1971" s="7" t="s">
        <v>8345</v>
      </c>
      <c r="F1971" s="10" t="str">
        <f t="shared" si="120"/>
        <v>insert into ins_premium_det (premium_rcv_code,assorted_code, rec_amount,premium_rcv_detail_code,remaining_amt, payrec, mode_code,coinsurance_code,class_cd,it_remarks) values</v>
      </c>
      <c r="G1971" s="11" t="str">
        <f t="shared" si="122"/>
        <v>('28Nov240101','040000121277','3',(select max(to_number(i.premium_rcv_detail_code))+1
from ins_premium_det i),'3','3','02', '11000003','00','Request by Mr. Omair Ali 29-Nov-2024');</v>
      </c>
      <c r="H1971" s="12" t="str">
        <f t="shared" si="123"/>
        <v>insert into ins_premium_det (premium_rcv_code,assorted_code, rec_amount,premium_rcv_detail_code,remaining_amt, payrec, mode_code,coinsurance_code,class_cd,it_remarks) values('28Nov240101','040000121277','3',(select max(to_number(i.premium_rcv_detail_code))+1
from ins_premium_det i),'3','3','02', '11000003','00','Request by Mr. Omair Ali 29-Nov-2024');</v>
      </c>
    </row>
    <row r="1972" spans="1:8" ht="105" x14ac:dyDescent="0.25">
      <c r="A1972" t="s">
        <v>1972</v>
      </c>
      <c r="B1972" s="8" t="str">
        <f>VLOOKUP(A1972,assortedcode!B:C,2,0)</f>
        <v>040000122112</v>
      </c>
      <c r="C1972" s="1">
        <v>3</v>
      </c>
      <c r="D1972" s="9">
        <f t="shared" si="121"/>
        <v>3</v>
      </c>
      <c r="E1972" s="7" t="s">
        <v>8345</v>
      </c>
      <c r="F1972" s="10" t="str">
        <f t="shared" si="120"/>
        <v>insert into ins_premium_det (premium_rcv_code,assorted_code, rec_amount,premium_rcv_detail_code,remaining_amt, payrec, mode_code,coinsurance_code,class_cd,it_remarks) values</v>
      </c>
      <c r="G1972" s="11" t="str">
        <f t="shared" si="122"/>
        <v>('28Nov240101','040000122112','3',(select max(to_number(i.premium_rcv_detail_code))+1
from ins_premium_det i),'3','3','02', '11000003','00','Request by Mr. Omair Ali 29-Nov-2024');</v>
      </c>
      <c r="H1972" s="12" t="str">
        <f t="shared" si="123"/>
        <v>insert into ins_premium_det (premium_rcv_code,assorted_code, rec_amount,premium_rcv_detail_code,remaining_amt, payrec, mode_code,coinsurance_code,class_cd,it_remarks) values('28Nov240101','040000122112','3',(select max(to_number(i.premium_rcv_detail_code))+1
from ins_premium_det i),'3','3','02', '11000003','00','Request by Mr. Omair Ali 29-Nov-2024');</v>
      </c>
    </row>
    <row r="1973" spans="1:8" ht="105" x14ac:dyDescent="0.25">
      <c r="A1973" t="s">
        <v>1973</v>
      </c>
      <c r="B1973" s="8" t="str">
        <f>VLOOKUP(A1973,assortedcode!B:C,2,0)</f>
        <v>040000121582</v>
      </c>
      <c r="C1973" s="1">
        <v>3</v>
      </c>
      <c r="D1973" s="9">
        <f t="shared" si="121"/>
        <v>3</v>
      </c>
      <c r="E1973" s="7" t="s">
        <v>8345</v>
      </c>
      <c r="F1973" s="10" t="str">
        <f t="shared" si="120"/>
        <v>insert into ins_premium_det (premium_rcv_code,assorted_code, rec_amount,premium_rcv_detail_code,remaining_amt, payrec, mode_code,coinsurance_code,class_cd,it_remarks) values</v>
      </c>
      <c r="G1973" s="11" t="str">
        <f t="shared" si="122"/>
        <v>('28Nov240101','040000121582','3',(select max(to_number(i.premium_rcv_detail_code))+1
from ins_premium_det i),'3','3','02', '11000003','00','Request by Mr. Omair Ali 29-Nov-2024');</v>
      </c>
      <c r="H1973" s="12" t="str">
        <f t="shared" si="123"/>
        <v>insert into ins_premium_det (premium_rcv_code,assorted_code, rec_amount,premium_rcv_detail_code,remaining_amt, payrec, mode_code,coinsurance_code,class_cd,it_remarks) values('28Nov240101','040000121582','3',(select max(to_number(i.premium_rcv_detail_code))+1
from ins_premium_det i),'3','3','02', '11000003','00','Request by Mr. Omair Ali 29-Nov-2024');</v>
      </c>
    </row>
    <row r="1974" spans="1:8" ht="105" x14ac:dyDescent="0.25">
      <c r="A1974" t="s">
        <v>1974</v>
      </c>
      <c r="B1974" s="8" t="str">
        <f>VLOOKUP(A1974,assortedcode!B:C,2,0)</f>
        <v>040000108293</v>
      </c>
      <c r="C1974" s="1">
        <v>3</v>
      </c>
      <c r="D1974" s="9">
        <f t="shared" si="121"/>
        <v>3</v>
      </c>
      <c r="E1974" s="7" t="s">
        <v>8345</v>
      </c>
      <c r="F1974" s="10" t="str">
        <f t="shared" si="120"/>
        <v>insert into ins_premium_det (premium_rcv_code,assorted_code, rec_amount,premium_rcv_detail_code,remaining_amt, payrec, mode_code,coinsurance_code,class_cd,it_remarks) values</v>
      </c>
      <c r="G1974" s="11" t="str">
        <f t="shared" si="122"/>
        <v>('28Nov240101','040000108293','3',(select max(to_number(i.premium_rcv_detail_code))+1
from ins_premium_det i),'3','3','02', '11000003','00','Request by Mr. Omair Ali 29-Nov-2024');</v>
      </c>
      <c r="H1974" s="12" t="str">
        <f t="shared" si="123"/>
        <v>insert into ins_premium_det (premium_rcv_code,assorted_code, rec_amount,premium_rcv_detail_code,remaining_amt, payrec, mode_code,coinsurance_code,class_cd,it_remarks) values('28Nov240101','040000108293','3',(select max(to_number(i.premium_rcv_detail_code))+1
from ins_premium_det i),'3','3','02', '11000003','00','Request by Mr. Omair Ali 29-Nov-2024');</v>
      </c>
    </row>
    <row r="1975" spans="1:8" ht="105" x14ac:dyDescent="0.25">
      <c r="A1975" t="s">
        <v>1975</v>
      </c>
      <c r="B1975" s="8" t="str">
        <f>VLOOKUP(A1975,assortedcode!B:C,2,0)</f>
        <v>040000126989</v>
      </c>
      <c r="C1975" s="1">
        <v>3</v>
      </c>
      <c r="D1975" s="9">
        <f t="shared" si="121"/>
        <v>3</v>
      </c>
      <c r="E1975" s="7" t="s">
        <v>8345</v>
      </c>
      <c r="F1975" s="10" t="str">
        <f t="shared" si="120"/>
        <v>insert into ins_premium_det (premium_rcv_code,assorted_code, rec_amount,premium_rcv_detail_code,remaining_amt, payrec, mode_code,coinsurance_code,class_cd,it_remarks) values</v>
      </c>
      <c r="G1975" s="11" t="str">
        <f t="shared" si="122"/>
        <v>('28Nov240101','040000126989','3',(select max(to_number(i.premium_rcv_detail_code))+1
from ins_premium_det i),'3','3','02', '11000003','00','Request by Mr. Omair Ali 29-Nov-2024');</v>
      </c>
      <c r="H1975" s="12" t="str">
        <f t="shared" si="123"/>
        <v>insert into ins_premium_det (premium_rcv_code,assorted_code, rec_amount,premium_rcv_detail_code,remaining_amt, payrec, mode_code,coinsurance_code,class_cd,it_remarks) values('28Nov240101','040000126989','3',(select max(to_number(i.premium_rcv_detail_code))+1
from ins_premium_det i),'3','3','02', '11000003','00','Request by Mr. Omair Ali 29-Nov-2024');</v>
      </c>
    </row>
    <row r="1976" spans="1:8" ht="105" x14ac:dyDescent="0.25">
      <c r="A1976" t="s">
        <v>1976</v>
      </c>
      <c r="B1976" s="8" t="str">
        <f>VLOOKUP(A1976,assortedcode!B:C,2,0)</f>
        <v>040000111881</v>
      </c>
      <c r="C1976" s="1">
        <v>3</v>
      </c>
      <c r="D1976" s="9">
        <f t="shared" si="121"/>
        <v>3</v>
      </c>
      <c r="E1976" s="7" t="s">
        <v>8345</v>
      </c>
      <c r="F1976" s="10" t="str">
        <f t="shared" si="120"/>
        <v>insert into ins_premium_det (premium_rcv_code,assorted_code, rec_amount,premium_rcv_detail_code,remaining_amt, payrec, mode_code,coinsurance_code,class_cd,it_remarks) values</v>
      </c>
      <c r="G1976" s="11" t="str">
        <f t="shared" si="122"/>
        <v>('28Nov240101','040000111881','3',(select max(to_number(i.premium_rcv_detail_code))+1
from ins_premium_det i),'3','3','02', '11000003','00','Request by Mr. Omair Ali 29-Nov-2024');</v>
      </c>
      <c r="H1976" s="12" t="str">
        <f t="shared" si="123"/>
        <v>insert into ins_premium_det (premium_rcv_code,assorted_code, rec_amount,premium_rcv_detail_code,remaining_amt, payrec, mode_code,coinsurance_code,class_cd,it_remarks) values('28Nov240101','040000111881','3',(select max(to_number(i.premium_rcv_detail_code))+1
from ins_premium_det i),'3','3','02', '11000003','00','Request by Mr. Omair Ali 29-Nov-2024');</v>
      </c>
    </row>
    <row r="1977" spans="1:8" ht="105" x14ac:dyDescent="0.25">
      <c r="A1977" t="s">
        <v>1977</v>
      </c>
      <c r="B1977" s="8" t="str">
        <f>VLOOKUP(A1977,assortedcode!B:C,2,0)</f>
        <v>040000125904</v>
      </c>
      <c r="C1977" s="1">
        <v>3</v>
      </c>
      <c r="D1977" s="9">
        <f t="shared" si="121"/>
        <v>3</v>
      </c>
      <c r="E1977" s="7" t="s">
        <v>8345</v>
      </c>
      <c r="F1977" s="10" t="str">
        <f t="shared" si="120"/>
        <v>insert into ins_premium_det (premium_rcv_code,assorted_code, rec_amount,premium_rcv_detail_code,remaining_amt, payrec, mode_code,coinsurance_code,class_cd,it_remarks) values</v>
      </c>
      <c r="G1977" s="11" t="str">
        <f t="shared" si="122"/>
        <v>('28Nov240101','040000125904','3',(select max(to_number(i.premium_rcv_detail_code))+1
from ins_premium_det i),'3','3','02', '11000003','00','Request by Mr. Omair Ali 29-Nov-2024');</v>
      </c>
      <c r="H1977" s="12" t="str">
        <f t="shared" si="123"/>
        <v>insert into ins_premium_det (premium_rcv_code,assorted_code, rec_amount,premium_rcv_detail_code,remaining_amt, payrec, mode_code,coinsurance_code,class_cd,it_remarks) values('28Nov240101','040000125904','3',(select max(to_number(i.premium_rcv_detail_code))+1
from ins_premium_det i),'3','3','02', '11000003','00','Request by Mr. Omair Ali 29-Nov-2024');</v>
      </c>
    </row>
    <row r="1978" spans="1:8" ht="105" x14ac:dyDescent="0.25">
      <c r="A1978" t="s">
        <v>1978</v>
      </c>
      <c r="B1978" s="8" t="str">
        <f>VLOOKUP(A1978,assortedcode!B:C,2,0)</f>
        <v>040000110003</v>
      </c>
      <c r="C1978" s="1">
        <v>3</v>
      </c>
      <c r="D1978" s="9">
        <f t="shared" si="121"/>
        <v>3</v>
      </c>
      <c r="E1978" s="7" t="s">
        <v>8345</v>
      </c>
      <c r="F1978" s="10" t="str">
        <f t="shared" si="120"/>
        <v>insert into ins_premium_det (premium_rcv_code,assorted_code, rec_amount,premium_rcv_detail_code,remaining_amt, payrec, mode_code,coinsurance_code,class_cd,it_remarks) values</v>
      </c>
      <c r="G1978" s="11" t="str">
        <f t="shared" si="122"/>
        <v>('28Nov240101','040000110003','3',(select max(to_number(i.premium_rcv_detail_code))+1
from ins_premium_det i),'3','3','02', '11000003','00','Request by Mr. Omair Ali 29-Nov-2024');</v>
      </c>
      <c r="H1978" s="12" t="str">
        <f t="shared" si="123"/>
        <v>insert into ins_premium_det (premium_rcv_code,assorted_code, rec_amount,premium_rcv_detail_code,remaining_amt, payrec, mode_code,coinsurance_code,class_cd,it_remarks) values('28Nov240101','040000110003','3',(select max(to_number(i.premium_rcv_detail_code))+1
from ins_premium_det i),'3','3','02', '11000003','00','Request by Mr. Omair Ali 29-Nov-2024');</v>
      </c>
    </row>
    <row r="1979" spans="1:8" ht="105" x14ac:dyDescent="0.25">
      <c r="A1979" t="s">
        <v>1979</v>
      </c>
      <c r="B1979" s="8" t="str">
        <f>VLOOKUP(A1979,assortedcode!B:C,2,0)</f>
        <v>040000124325</v>
      </c>
      <c r="C1979" s="1">
        <v>3</v>
      </c>
      <c r="D1979" s="9">
        <f t="shared" si="121"/>
        <v>3</v>
      </c>
      <c r="E1979" s="7" t="s">
        <v>8345</v>
      </c>
      <c r="F1979" s="10" t="str">
        <f t="shared" si="120"/>
        <v>insert into ins_premium_det (premium_rcv_code,assorted_code, rec_amount,premium_rcv_detail_code,remaining_amt, payrec, mode_code,coinsurance_code,class_cd,it_remarks) values</v>
      </c>
      <c r="G1979" s="11" t="str">
        <f t="shared" si="122"/>
        <v>('28Nov240101','040000124325','3',(select max(to_number(i.premium_rcv_detail_code))+1
from ins_premium_det i),'3','3','02', '11000003','00','Request by Mr. Omair Ali 29-Nov-2024');</v>
      </c>
      <c r="H1979" s="12" t="str">
        <f t="shared" si="123"/>
        <v>insert into ins_premium_det (premium_rcv_code,assorted_code, rec_amount,premium_rcv_detail_code,remaining_amt, payrec, mode_code,coinsurance_code,class_cd,it_remarks) values('28Nov240101','040000124325','3',(select max(to_number(i.premium_rcv_detail_code))+1
from ins_premium_det i),'3','3','02', '11000003','00','Request by Mr. Omair Ali 29-Nov-2024');</v>
      </c>
    </row>
    <row r="1980" spans="1:8" ht="105" x14ac:dyDescent="0.25">
      <c r="A1980" t="s">
        <v>1980</v>
      </c>
      <c r="B1980" s="8" t="str">
        <f>VLOOKUP(A1980,assortedcode!B:C,2,0)</f>
        <v>040000116268</v>
      </c>
      <c r="C1980" s="1">
        <v>3</v>
      </c>
      <c r="D1980" s="9">
        <f t="shared" si="121"/>
        <v>3</v>
      </c>
      <c r="E1980" s="7" t="s">
        <v>8345</v>
      </c>
      <c r="F1980" s="10" t="str">
        <f t="shared" si="120"/>
        <v>insert into ins_premium_det (premium_rcv_code,assorted_code, rec_amount,premium_rcv_detail_code,remaining_amt, payrec, mode_code,coinsurance_code,class_cd,it_remarks) values</v>
      </c>
      <c r="G1980" s="11" t="str">
        <f t="shared" si="122"/>
        <v>('28Nov240101','040000116268','3',(select max(to_number(i.premium_rcv_detail_code))+1
from ins_premium_det i),'3','3','02', '11000003','00','Request by Mr. Omair Ali 29-Nov-2024');</v>
      </c>
      <c r="H1980" s="12" t="str">
        <f t="shared" si="123"/>
        <v>insert into ins_premium_det (premium_rcv_code,assorted_code, rec_amount,premium_rcv_detail_code,remaining_amt, payrec, mode_code,coinsurance_code,class_cd,it_remarks) values('28Nov240101','040000116268','3',(select max(to_number(i.premium_rcv_detail_code))+1
from ins_premium_det i),'3','3','02', '11000003','00','Request by Mr. Omair Ali 29-Nov-2024');</v>
      </c>
    </row>
    <row r="1981" spans="1:8" ht="105" x14ac:dyDescent="0.25">
      <c r="A1981" t="s">
        <v>1981</v>
      </c>
      <c r="B1981" s="8" t="str">
        <f>VLOOKUP(A1981,assortedcode!B:C,2,0)</f>
        <v>040000126172</v>
      </c>
      <c r="C1981" s="1">
        <v>3</v>
      </c>
      <c r="D1981" s="9">
        <f t="shared" si="121"/>
        <v>3</v>
      </c>
      <c r="E1981" s="7" t="s">
        <v>8345</v>
      </c>
      <c r="F1981" s="10" t="str">
        <f t="shared" si="120"/>
        <v>insert into ins_premium_det (premium_rcv_code,assorted_code, rec_amount,premium_rcv_detail_code,remaining_amt, payrec, mode_code,coinsurance_code,class_cd,it_remarks) values</v>
      </c>
      <c r="G1981" s="11" t="str">
        <f t="shared" si="122"/>
        <v>('28Nov240101','040000126172','3',(select max(to_number(i.premium_rcv_detail_code))+1
from ins_premium_det i),'3','3','02', '11000003','00','Request by Mr. Omair Ali 29-Nov-2024');</v>
      </c>
      <c r="H1981" s="12" t="str">
        <f t="shared" si="123"/>
        <v>insert into ins_premium_det (premium_rcv_code,assorted_code, rec_amount,premium_rcv_detail_code,remaining_amt, payrec, mode_code,coinsurance_code,class_cd,it_remarks) values('28Nov240101','040000126172','3',(select max(to_number(i.premium_rcv_detail_code))+1
from ins_premium_det i),'3','3','02', '11000003','00','Request by Mr. Omair Ali 29-Nov-2024');</v>
      </c>
    </row>
    <row r="1982" spans="1:8" ht="105" x14ac:dyDescent="0.25">
      <c r="A1982" t="s">
        <v>1982</v>
      </c>
      <c r="B1982" s="8" t="str">
        <f>VLOOKUP(A1982,assortedcode!B:C,2,0)</f>
        <v>040000108362</v>
      </c>
      <c r="C1982" s="1">
        <v>3</v>
      </c>
      <c r="D1982" s="9">
        <f t="shared" si="121"/>
        <v>3</v>
      </c>
      <c r="E1982" s="7" t="s">
        <v>8345</v>
      </c>
      <c r="F1982" s="10" t="str">
        <f t="shared" si="120"/>
        <v>insert into ins_premium_det (premium_rcv_code,assorted_code, rec_amount,premium_rcv_detail_code,remaining_amt, payrec, mode_code,coinsurance_code,class_cd,it_remarks) values</v>
      </c>
      <c r="G1982" s="11" t="str">
        <f t="shared" si="122"/>
        <v>('28Nov240101','040000108362','3',(select max(to_number(i.premium_rcv_detail_code))+1
from ins_premium_det i),'3','3','02', '11000003','00','Request by Mr. Omair Ali 29-Nov-2024');</v>
      </c>
      <c r="H1982" s="12" t="str">
        <f t="shared" si="123"/>
        <v>insert into ins_premium_det (premium_rcv_code,assorted_code, rec_amount,premium_rcv_detail_code,remaining_amt, payrec, mode_code,coinsurance_code,class_cd,it_remarks) values('28Nov240101','040000108362','3',(select max(to_number(i.premium_rcv_detail_code))+1
from ins_premium_det i),'3','3','02', '11000003','00','Request by Mr. Omair Ali 29-Nov-2024');</v>
      </c>
    </row>
    <row r="1983" spans="1:8" ht="105" x14ac:dyDescent="0.25">
      <c r="A1983" t="s">
        <v>1983</v>
      </c>
      <c r="B1983" s="8" t="str">
        <f>VLOOKUP(A1983,assortedcode!B:C,2,0)</f>
        <v>070000165283</v>
      </c>
      <c r="C1983" s="1">
        <v>4</v>
      </c>
      <c r="D1983" s="9">
        <f t="shared" si="121"/>
        <v>4</v>
      </c>
      <c r="E1983" s="7" t="s">
        <v>8345</v>
      </c>
      <c r="F1983" s="10" t="str">
        <f t="shared" si="120"/>
        <v>insert into ins_premium_det (premium_rcv_code,assorted_code, rec_amount,premium_rcv_detail_code,remaining_amt, payrec, mode_code,coinsurance_code,class_cd,it_remarks) values</v>
      </c>
      <c r="G1983" s="11" t="str">
        <f t="shared" si="122"/>
        <v>('28Nov240101','070000165283','4',(select max(to_number(i.premium_rcv_detail_code))+1
from ins_premium_det i),'4','4','02', '11000003','00','Request by Mr. Omair Ali 29-Nov-2024');</v>
      </c>
      <c r="H1983" s="12" t="str">
        <f t="shared" si="123"/>
        <v>insert into ins_premium_det (premium_rcv_code,assorted_code, rec_amount,premium_rcv_detail_code,remaining_amt, payrec, mode_code,coinsurance_code,class_cd,it_remarks) values('28Nov240101','070000165283','4',(select max(to_number(i.premium_rcv_detail_code))+1
from ins_premium_det i),'4','4','02', '11000003','00','Request by Mr. Omair Ali 29-Nov-2024');</v>
      </c>
    </row>
    <row r="1984" spans="1:8" ht="105" x14ac:dyDescent="0.25">
      <c r="A1984" t="s">
        <v>1984</v>
      </c>
      <c r="B1984" s="8" t="str">
        <f>VLOOKUP(A1984,assortedcode!B:C,2,0)</f>
        <v>070000163185</v>
      </c>
      <c r="C1984" s="1">
        <v>4</v>
      </c>
      <c r="D1984" s="9">
        <f t="shared" si="121"/>
        <v>4</v>
      </c>
      <c r="E1984" s="7" t="s">
        <v>8345</v>
      </c>
      <c r="F1984" s="10" t="str">
        <f t="shared" si="120"/>
        <v>insert into ins_premium_det (premium_rcv_code,assorted_code, rec_amount,premium_rcv_detail_code,remaining_amt, payrec, mode_code,coinsurance_code,class_cd,it_remarks) values</v>
      </c>
      <c r="G1984" s="11" t="str">
        <f t="shared" si="122"/>
        <v>('28Nov240101','070000163185','4',(select max(to_number(i.premium_rcv_detail_code))+1
from ins_premium_det i),'4','4','02', '11000003','00','Request by Mr. Omair Ali 29-Nov-2024');</v>
      </c>
      <c r="H1984" s="12" t="str">
        <f t="shared" si="123"/>
        <v>insert into ins_premium_det (premium_rcv_code,assorted_code, rec_amount,premium_rcv_detail_code,remaining_amt, payrec, mode_code,coinsurance_code,class_cd,it_remarks) values('28Nov240101','070000163185','4',(select max(to_number(i.premium_rcv_detail_code))+1
from ins_premium_det i),'4','4','02', '11000003','00','Request by Mr. Omair Ali 29-Nov-2024');</v>
      </c>
    </row>
    <row r="1985" spans="1:8" ht="105" x14ac:dyDescent="0.25">
      <c r="A1985" t="s">
        <v>1985</v>
      </c>
      <c r="B1985" s="8" t="str">
        <f>VLOOKUP(A1985,assortedcode!B:C,2,0)</f>
        <v>040000121668</v>
      </c>
      <c r="C1985" s="1">
        <v>4</v>
      </c>
      <c r="D1985" s="9">
        <f t="shared" si="121"/>
        <v>4</v>
      </c>
      <c r="E1985" s="7" t="s">
        <v>8345</v>
      </c>
      <c r="F1985" s="10" t="str">
        <f t="shared" si="120"/>
        <v>insert into ins_premium_det (premium_rcv_code,assorted_code, rec_amount,premium_rcv_detail_code,remaining_amt, payrec, mode_code,coinsurance_code,class_cd,it_remarks) values</v>
      </c>
      <c r="G1985" s="11" t="str">
        <f t="shared" si="122"/>
        <v>('28Nov240101','040000121668','4',(select max(to_number(i.premium_rcv_detail_code))+1
from ins_premium_det i),'4','4','02', '11000003','00','Request by Mr. Omair Ali 29-Nov-2024');</v>
      </c>
      <c r="H1985" s="12" t="str">
        <f t="shared" si="123"/>
        <v>insert into ins_premium_det (premium_rcv_code,assorted_code, rec_amount,premium_rcv_detail_code,remaining_amt, payrec, mode_code,coinsurance_code,class_cd,it_remarks) values('28Nov240101','040000121668','4',(select max(to_number(i.premium_rcv_detail_code))+1
from ins_premium_det i),'4','4','02', '11000003','00','Request by Mr. Omair Ali 29-Nov-2024');</v>
      </c>
    </row>
    <row r="1986" spans="1:8" ht="105" x14ac:dyDescent="0.25">
      <c r="A1986" t="s">
        <v>1986</v>
      </c>
      <c r="B1986" s="8" t="str">
        <f>VLOOKUP(A1986,assortedcode!B:C,2,0)</f>
        <v>040000111799</v>
      </c>
      <c r="C1986" s="1">
        <v>4</v>
      </c>
      <c r="D1986" s="9">
        <f t="shared" si="121"/>
        <v>4</v>
      </c>
      <c r="E1986" s="7" t="s">
        <v>8345</v>
      </c>
      <c r="F1986" s="10" t="str">
        <f t="shared" ref="F1986:F2049" si="124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1986" s="11" t="str">
        <f t="shared" si="122"/>
        <v>('28Nov240101','040000111799','4',(select max(to_number(i.premium_rcv_detail_code))+1
from ins_premium_det i),'4','4','02', '11000003','00','Request by Mr. Omair Ali 29-Nov-2024');</v>
      </c>
      <c r="H1986" s="12" t="str">
        <f t="shared" si="123"/>
        <v>insert into ins_premium_det (premium_rcv_code,assorted_code, rec_amount,premium_rcv_detail_code,remaining_amt, payrec, mode_code,coinsurance_code,class_cd,it_remarks) values('28Nov240101','040000111799','4',(select max(to_number(i.premium_rcv_detail_code))+1
from ins_premium_det i),'4','4','02', '11000003','00','Request by Mr. Omair Ali 29-Nov-2024');</v>
      </c>
    </row>
    <row r="1987" spans="1:8" ht="105" x14ac:dyDescent="0.25">
      <c r="A1987" t="s">
        <v>1987</v>
      </c>
      <c r="B1987" s="8" t="str">
        <f>VLOOKUP(A1987,assortedcode!B:C,2,0)</f>
        <v>040000126052</v>
      </c>
      <c r="C1987" s="1">
        <v>4</v>
      </c>
      <c r="D1987" s="9">
        <f t="shared" ref="D1987:D2050" si="125">ROUND(C1987,0)</f>
        <v>4</v>
      </c>
      <c r="E1987" s="7" t="s">
        <v>8345</v>
      </c>
      <c r="F1987" s="10" t="str">
        <f t="shared" si="124"/>
        <v>insert into ins_premium_det (premium_rcv_code,assorted_code, rec_amount,premium_rcv_detail_code,remaining_amt, payrec, mode_code,coinsurance_code,class_cd,it_remarks) values</v>
      </c>
      <c r="G1987" s="11" t="str">
        <f t="shared" ref="G1987:G2050" si="126">"('"&amp;E1987&amp;"','"&amp;B1987&amp;"','"&amp;ROUND(D1987,2)&amp;"',(select max(to_number(i.premium_rcv_detail_code))+1
from ins_premium_det i),'"&amp;D1987&amp;"','"&amp;D1987&amp;"','02', '11000003','00','Request by Mr. Omair Ali 29-Nov-2024');"</f>
        <v>('28Nov240101','040000126052','4',(select max(to_number(i.premium_rcv_detail_code))+1
from ins_premium_det i),'4','4','02', '11000003','00','Request by Mr. Omair Ali 29-Nov-2024');</v>
      </c>
      <c r="H1987" s="12" t="str">
        <f t="shared" ref="H1987:H2050" si="127">F1987&amp;G1987</f>
        <v>insert into ins_premium_det (premium_rcv_code,assorted_code, rec_amount,premium_rcv_detail_code,remaining_amt, payrec, mode_code,coinsurance_code,class_cd,it_remarks) values('28Nov240101','040000126052','4',(select max(to_number(i.premium_rcv_detail_code))+1
from ins_premium_det i),'4','4','02', '11000003','00','Request by Mr. Omair Ali 29-Nov-2024');</v>
      </c>
    </row>
    <row r="1988" spans="1:8" ht="105" x14ac:dyDescent="0.25">
      <c r="A1988" t="s">
        <v>1988</v>
      </c>
      <c r="B1988" s="8" t="str">
        <f>VLOOKUP(A1988,assortedcode!B:C,2,0)</f>
        <v>040000124765</v>
      </c>
      <c r="C1988" s="1">
        <v>4</v>
      </c>
      <c r="D1988" s="9">
        <f t="shared" si="125"/>
        <v>4</v>
      </c>
      <c r="E1988" s="7" t="s">
        <v>8345</v>
      </c>
      <c r="F1988" s="10" t="str">
        <f t="shared" si="124"/>
        <v>insert into ins_premium_det (premium_rcv_code,assorted_code, rec_amount,premium_rcv_detail_code,remaining_amt, payrec, mode_code,coinsurance_code,class_cd,it_remarks) values</v>
      </c>
      <c r="G1988" s="11" t="str">
        <f t="shared" si="126"/>
        <v>('28Nov240101','040000124765','4',(select max(to_number(i.premium_rcv_detail_code))+1
from ins_premium_det i),'4','4','02', '11000003','00','Request by Mr. Omair Ali 29-Nov-2024');</v>
      </c>
      <c r="H1988" s="12" t="str">
        <f t="shared" si="127"/>
        <v>insert into ins_premium_det (premium_rcv_code,assorted_code, rec_amount,premium_rcv_detail_code,remaining_amt, payrec, mode_code,coinsurance_code,class_cd,it_remarks) values('28Nov240101','040000124765','4',(select max(to_number(i.premium_rcv_detail_code))+1
from ins_premium_det i),'4','4','02', '11000003','00','Request by Mr. Omair Ali 29-Nov-2024');</v>
      </c>
    </row>
    <row r="1989" spans="1:8" ht="105" x14ac:dyDescent="0.25">
      <c r="A1989" t="s">
        <v>1989</v>
      </c>
      <c r="B1989" s="8" t="str">
        <f>VLOOKUP(A1989,assortedcode!B:C,2,0)</f>
        <v>040000130719</v>
      </c>
      <c r="C1989" s="1">
        <v>4</v>
      </c>
      <c r="D1989" s="9">
        <f t="shared" si="125"/>
        <v>4</v>
      </c>
      <c r="E1989" s="7" t="s">
        <v>8345</v>
      </c>
      <c r="F1989" s="10" t="str">
        <f t="shared" si="124"/>
        <v>insert into ins_premium_det (premium_rcv_code,assorted_code, rec_amount,premium_rcv_detail_code,remaining_amt, payrec, mode_code,coinsurance_code,class_cd,it_remarks) values</v>
      </c>
      <c r="G1989" s="11" t="str">
        <f t="shared" si="126"/>
        <v>('28Nov240101','040000130719','4',(select max(to_number(i.premium_rcv_detail_code))+1
from ins_premium_det i),'4','4','02', '11000003','00','Request by Mr. Omair Ali 29-Nov-2024');</v>
      </c>
      <c r="H1989" s="12" t="str">
        <f t="shared" si="127"/>
        <v>insert into ins_premium_det (premium_rcv_code,assorted_code, rec_amount,premium_rcv_detail_code,remaining_amt, payrec, mode_code,coinsurance_code,class_cd,it_remarks) values('28Nov240101','040000130719','4',(select max(to_number(i.premium_rcv_detail_code))+1
from ins_premium_det i),'4','4','02', '11000003','00','Request by Mr. Omair Ali 29-Nov-2024');</v>
      </c>
    </row>
    <row r="1990" spans="1:8" ht="105" x14ac:dyDescent="0.25">
      <c r="A1990" t="s">
        <v>1990</v>
      </c>
      <c r="B1990" s="8" t="str">
        <f>VLOOKUP(A1990,assortedcode!B:C,2,0)</f>
        <v>040000130729</v>
      </c>
      <c r="C1990" s="1">
        <v>4</v>
      </c>
      <c r="D1990" s="9">
        <f t="shared" si="125"/>
        <v>4</v>
      </c>
      <c r="E1990" s="7" t="s">
        <v>8345</v>
      </c>
      <c r="F1990" s="10" t="str">
        <f t="shared" si="124"/>
        <v>insert into ins_premium_det (premium_rcv_code,assorted_code, rec_amount,premium_rcv_detail_code,remaining_amt, payrec, mode_code,coinsurance_code,class_cd,it_remarks) values</v>
      </c>
      <c r="G1990" s="11" t="str">
        <f t="shared" si="126"/>
        <v>('28Nov240101','040000130729','4',(select max(to_number(i.premium_rcv_detail_code))+1
from ins_premium_det i),'4','4','02', '11000003','00','Request by Mr. Omair Ali 29-Nov-2024');</v>
      </c>
      <c r="H1990" s="12" t="str">
        <f t="shared" si="127"/>
        <v>insert into ins_premium_det (premium_rcv_code,assorted_code, rec_amount,premium_rcv_detail_code,remaining_amt, payrec, mode_code,coinsurance_code,class_cd,it_remarks) values('28Nov240101','040000130729','4',(select max(to_number(i.premium_rcv_detail_code))+1
from ins_premium_det i),'4','4','02', '11000003','00','Request by Mr. Omair Ali 29-Nov-2024');</v>
      </c>
    </row>
    <row r="1991" spans="1:8" ht="105" x14ac:dyDescent="0.25">
      <c r="A1991" t="s">
        <v>1991</v>
      </c>
      <c r="B1991" s="8" t="str">
        <f>VLOOKUP(A1991,assortedcode!B:C,2,0)</f>
        <v>040000122074</v>
      </c>
      <c r="C1991" s="1">
        <v>4</v>
      </c>
      <c r="D1991" s="9">
        <f t="shared" si="125"/>
        <v>4</v>
      </c>
      <c r="E1991" s="7" t="s">
        <v>8345</v>
      </c>
      <c r="F1991" s="10" t="str">
        <f t="shared" si="124"/>
        <v>insert into ins_premium_det (premium_rcv_code,assorted_code, rec_amount,premium_rcv_detail_code,remaining_amt, payrec, mode_code,coinsurance_code,class_cd,it_remarks) values</v>
      </c>
      <c r="G1991" s="11" t="str">
        <f t="shared" si="126"/>
        <v>('28Nov240101','040000122074','4',(select max(to_number(i.premium_rcv_detail_code))+1
from ins_premium_det i),'4','4','02', '11000003','00','Request by Mr. Omair Ali 29-Nov-2024');</v>
      </c>
      <c r="H1991" s="12" t="str">
        <f t="shared" si="127"/>
        <v>insert into ins_premium_det (premium_rcv_code,assorted_code, rec_amount,premium_rcv_detail_code,remaining_amt, payrec, mode_code,coinsurance_code,class_cd,it_remarks) values('28Nov240101','040000122074','4',(select max(to_number(i.premium_rcv_detail_code))+1
from ins_premium_det i),'4','4','02', '11000003','00','Request by Mr. Omair Ali 29-Nov-2024');</v>
      </c>
    </row>
    <row r="1992" spans="1:8" ht="105" x14ac:dyDescent="0.25">
      <c r="A1992" t="s">
        <v>1992</v>
      </c>
      <c r="B1992" s="8" t="str">
        <f>VLOOKUP(A1992,assortedcode!B:C,2,0)</f>
        <v>040000123104</v>
      </c>
      <c r="C1992" s="1">
        <v>4</v>
      </c>
      <c r="D1992" s="9">
        <f t="shared" si="125"/>
        <v>4</v>
      </c>
      <c r="E1992" s="7" t="s">
        <v>8345</v>
      </c>
      <c r="F1992" s="10" t="str">
        <f t="shared" si="124"/>
        <v>insert into ins_premium_det (premium_rcv_code,assorted_code, rec_amount,premium_rcv_detail_code,remaining_amt, payrec, mode_code,coinsurance_code,class_cd,it_remarks) values</v>
      </c>
      <c r="G1992" s="11" t="str">
        <f t="shared" si="126"/>
        <v>('28Nov240101','040000123104','4',(select max(to_number(i.premium_rcv_detail_code))+1
from ins_premium_det i),'4','4','02', '11000003','00','Request by Mr. Omair Ali 29-Nov-2024');</v>
      </c>
      <c r="H1992" s="12" t="str">
        <f t="shared" si="127"/>
        <v>insert into ins_premium_det (premium_rcv_code,assorted_code, rec_amount,premium_rcv_detail_code,remaining_amt, payrec, mode_code,coinsurance_code,class_cd,it_remarks) values('28Nov240101','040000123104','4',(select max(to_number(i.premium_rcv_detail_code))+1
from ins_premium_det i),'4','4','02', '11000003','00','Request by Mr. Omair Ali 29-Nov-2024');</v>
      </c>
    </row>
    <row r="1993" spans="1:8" ht="105" x14ac:dyDescent="0.25">
      <c r="A1993" t="s">
        <v>1993</v>
      </c>
      <c r="B1993" s="8" t="str">
        <f>VLOOKUP(A1993,assortedcode!B:C,2,0)</f>
        <v>040000137800</v>
      </c>
      <c r="C1993" s="1">
        <v>4</v>
      </c>
      <c r="D1993" s="9">
        <f t="shared" si="125"/>
        <v>4</v>
      </c>
      <c r="E1993" s="7" t="s">
        <v>8345</v>
      </c>
      <c r="F1993" s="10" t="str">
        <f t="shared" si="124"/>
        <v>insert into ins_premium_det (premium_rcv_code,assorted_code, rec_amount,premium_rcv_detail_code,remaining_amt, payrec, mode_code,coinsurance_code,class_cd,it_remarks) values</v>
      </c>
      <c r="G1993" s="11" t="str">
        <f t="shared" si="126"/>
        <v>('28Nov240101','040000137800','4',(select max(to_number(i.premium_rcv_detail_code))+1
from ins_premium_det i),'4','4','02', '11000003','00','Request by Mr. Omair Ali 29-Nov-2024');</v>
      </c>
      <c r="H1993" s="12" t="str">
        <f t="shared" si="127"/>
        <v>insert into ins_premium_det (premium_rcv_code,assorted_code, rec_amount,premium_rcv_detail_code,remaining_amt, payrec, mode_code,coinsurance_code,class_cd,it_remarks) values('28Nov240101','040000137800','4',(select max(to_number(i.premium_rcv_detail_code))+1
from ins_premium_det i),'4','4','02', '11000003','00','Request by Mr. Omair Ali 29-Nov-2024');</v>
      </c>
    </row>
    <row r="1994" spans="1:8" ht="105" x14ac:dyDescent="0.25">
      <c r="A1994" t="s">
        <v>1994</v>
      </c>
      <c r="B1994" s="8" t="str">
        <f>VLOOKUP(A1994,assortedcode!B:C,2,0)</f>
        <v>040000121478</v>
      </c>
      <c r="C1994" s="1">
        <v>4</v>
      </c>
      <c r="D1994" s="9">
        <f t="shared" si="125"/>
        <v>4</v>
      </c>
      <c r="E1994" s="7" t="s">
        <v>8345</v>
      </c>
      <c r="F1994" s="10" t="str">
        <f t="shared" si="124"/>
        <v>insert into ins_premium_det (premium_rcv_code,assorted_code, rec_amount,premium_rcv_detail_code,remaining_amt, payrec, mode_code,coinsurance_code,class_cd,it_remarks) values</v>
      </c>
      <c r="G1994" s="11" t="str">
        <f t="shared" si="126"/>
        <v>('28Nov240101','040000121478','4',(select max(to_number(i.premium_rcv_detail_code))+1
from ins_premium_det i),'4','4','02', '11000003','00','Request by Mr. Omair Ali 29-Nov-2024');</v>
      </c>
      <c r="H1994" s="12" t="str">
        <f t="shared" si="127"/>
        <v>insert into ins_premium_det (premium_rcv_code,assorted_code, rec_amount,premium_rcv_detail_code,remaining_amt, payrec, mode_code,coinsurance_code,class_cd,it_remarks) values('28Nov240101','040000121478','4',(select max(to_number(i.premium_rcv_detail_code))+1
from ins_premium_det i),'4','4','02', '11000003','00','Request by Mr. Omair Ali 29-Nov-2024');</v>
      </c>
    </row>
    <row r="1995" spans="1:8" ht="105" x14ac:dyDescent="0.25">
      <c r="A1995" t="s">
        <v>1995</v>
      </c>
      <c r="B1995" s="8" t="str">
        <f>VLOOKUP(A1995,assortedcode!B:C,2,0)</f>
        <v>070000131763</v>
      </c>
      <c r="C1995" s="1">
        <v>5</v>
      </c>
      <c r="D1995" s="9">
        <f t="shared" si="125"/>
        <v>5</v>
      </c>
      <c r="E1995" s="7" t="s">
        <v>8345</v>
      </c>
      <c r="F1995" s="10" t="str">
        <f t="shared" si="124"/>
        <v>insert into ins_premium_det (premium_rcv_code,assorted_code, rec_amount,premium_rcv_detail_code,remaining_amt, payrec, mode_code,coinsurance_code,class_cd,it_remarks) values</v>
      </c>
      <c r="G1995" s="11" t="str">
        <f t="shared" si="126"/>
        <v>('28Nov240101','070000131763','5',(select max(to_number(i.premium_rcv_detail_code))+1
from ins_premium_det i),'5','5','02', '11000003','00','Request by Mr. Omair Ali 29-Nov-2024');</v>
      </c>
      <c r="H1995" s="12" t="str">
        <f t="shared" si="127"/>
        <v>insert into ins_premium_det (premium_rcv_code,assorted_code, rec_amount,premium_rcv_detail_code,remaining_amt, payrec, mode_code,coinsurance_code,class_cd,it_remarks) values('28Nov240101','070000131763','5',(select max(to_number(i.premium_rcv_detail_code))+1
from ins_premium_det i),'5','5','02', '11000003','00','Request by Mr. Omair Ali 29-Nov-2024');</v>
      </c>
    </row>
    <row r="1996" spans="1:8" ht="105" x14ac:dyDescent="0.25">
      <c r="A1996" t="s">
        <v>1996</v>
      </c>
      <c r="B1996" s="8" t="str">
        <f>VLOOKUP(A1996,assortedcode!B:C,2,0)</f>
        <v>040000148819</v>
      </c>
      <c r="C1996" s="1">
        <v>5</v>
      </c>
      <c r="D1996" s="9">
        <f t="shared" si="125"/>
        <v>5</v>
      </c>
      <c r="E1996" s="7" t="s">
        <v>8345</v>
      </c>
      <c r="F1996" s="10" t="str">
        <f t="shared" si="124"/>
        <v>insert into ins_premium_det (premium_rcv_code,assorted_code, rec_amount,premium_rcv_detail_code,remaining_amt, payrec, mode_code,coinsurance_code,class_cd,it_remarks) values</v>
      </c>
      <c r="G1996" s="11" t="str">
        <f t="shared" si="126"/>
        <v>('28Nov240101','040000148819','5',(select max(to_number(i.premium_rcv_detail_code))+1
from ins_premium_det i),'5','5','02', '11000003','00','Request by Mr. Omair Ali 29-Nov-2024');</v>
      </c>
      <c r="H1996" s="12" t="str">
        <f t="shared" si="127"/>
        <v>insert into ins_premium_det (premium_rcv_code,assorted_code, rec_amount,premium_rcv_detail_code,remaining_amt, payrec, mode_code,coinsurance_code,class_cd,it_remarks) values('28Nov240101','040000148819','5',(select max(to_number(i.premium_rcv_detail_code))+1
from ins_premium_det i),'5','5','02', '11000003','00','Request by Mr. Omair Ali 29-Nov-2024');</v>
      </c>
    </row>
    <row r="1997" spans="1:8" ht="105" x14ac:dyDescent="0.25">
      <c r="A1997" t="s">
        <v>1997</v>
      </c>
      <c r="B1997" s="8" t="str">
        <f>VLOOKUP(A1997,assortedcode!B:C,2,0)</f>
        <v>040000150498</v>
      </c>
      <c r="C1997" s="1">
        <v>5</v>
      </c>
      <c r="D1997" s="9">
        <f t="shared" si="125"/>
        <v>5</v>
      </c>
      <c r="E1997" s="7" t="s">
        <v>8345</v>
      </c>
      <c r="F1997" s="10" t="str">
        <f t="shared" si="124"/>
        <v>insert into ins_premium_det (premium_rcv_code,assorted_code, rec_amount,premium_rcv_detail_code,remaining_amt, payrec, mode_code,coinsurance_code,class_cd,it_remarks) values</v>
      </c>
      <c r="G1997" s="11" t="str">
        <f t="shared" si="126"/>
        <v>('28Nov240101','040000150498','5',(select max(to_number(i.premium_rcv_detail_code))+1
from ins_premium_det i),'5','5','02', '11000003','00','Request by Mr. Omair Ali 29-Nov-2024');</v>
      </c>
      <c r="H1997" s="12" t="str">
        <f t="shared" si="127"/>
        <v>insert into ins_premium_det (premium_rcv_code,assorted_code, rec_amount,premium_rcv_detail_code,remaining_amt, payrec, mode_code,coinsurance_code,class_cd,it_remarks) values('28Nov240101','040000150498','5',(select max(to_number(i.premium_rcv_detail_code))+1
from ins_premium_det i),'5','5','02', '11000003','00','Request by Mr. Omair Ali 29-Nov-2024');</v>
      </c>
    </row>
    <row r="1998" spans="1:8" ht="105" x14ac:dyDescent="0.25">
      <c r="A1998" t="s">
        <v>1998</v>
      </c>
      <c r="B1998" s="8" t="str">
        <f>VLOOKUP(A1998,assortedcode!B:C,2,0)</f>
        <v>040000145750</v>
      </c>
      <c r="C1998" s="1">
        <v>5</v>
      </c>
      <c r="D1998" s="9">
        <f t="shared" si="125"/>
        <v>5</v>
      </c>
      <c r="E1998" s="7" t="s">
        <v>8345</v>
      </c>
      <c r="F1998" s="10" t="str">
        <f t="shared" si="124"/>
        <v>insert into ins_premium_det (premium_rcv_code,assorted_code, rec_amount,premium_rcv_detail_code,remaining_amt, payrec, mode_code,coinsurance_code,class_cd,it_remarks) values</v>
      </c>
      <c r="G1998" s="11" t="str">
        <f t="shared" si="126"/>
        <v>('28Nov240101','040000145750','5',(select max(to_number(i.premium_rcv_detail_code))+1
from ins_premium_det i),'5','5','02', '11000003','00','Request by Mr. Omair Ali 29-Nov-2024');</v>
      </c>
      <c r="H1998" s="12" t="str">
        <f t="shared" si="127"/>
        <v>insert into ins_premium_det (premium_rcv_code,assorted_code, rec_amount,premium_rcv_detail_code,remaining_amt, payrec, mode_code,coinsurance_code,class_cd,it_remarks) values('28Nov240101','040000145750','5',(select max(to_number(i.premium_rcv_detail_code))+1
from ins_premium_det i),'5','5','02', '11000003','00','Request by Mr. Omair Ali 29-Nov-2024');</v>
      </c>
    </row>
    <row r="1999" spans="1:8" ht="105" x14ac:dyDescent="0.25">
      <c r="A1999" t="s">
        <v>1999</v>
      </c>
      <c r="B1999" s="8" t="str">
        <f>VLOOKUP(A1999,assortedcode!B:C,2,0)</f>
        <v>040000180057</v>
      </c>
      <c r="C1999" s="1">
        <v>5</v>
      </c>
      <c r="D1999" s="9">
        <f t="shared" si="125"/>
        <v>5</v>
      </c>
      <c r="E1999" s="7" t="s">
        <v>8345</v>
      </c>
      <c r="F1999" s="10" t="str">
        <f t="shared" si="124"/>
        <v>insert into ins_premium_det (premium_rcv_code,assorted_code, rec_amount,premium_rcv_detail_code,remaining_amt, payrec, mode_code,coinsurance_code,class_cd,it_remarks) values</v>
      </c>
      <c r="G1999" s="11" t="str">
        <f t="shared" si="126"/>
        <v>('28Nov240101','040000180057','5',(select max(to_number(i.premium_rcv_detail_code))+1
from ins_premium_det i),'5','5','02', '11000003','00','Request by Mr. Omair Ali 29-Nov-2024');</v>
      </c>
      <c r="H1999" s="12" t="str">
        <f t="shared" si="127"/>
        <v>insert into ins_premium_det (premium_rcv_code,assorted_code, rec_amount,premium_rcv_detail_code,remaining_amt, payrec, mode_code,coinsurance_code,class_cd,it_remarks) values('28Nov240101','040000180057','5',(select max(to_number(i.premium_rcv_detail_code))+1
from ins_premium_det i),'5','5','02', '11000003','00','Request by Mr. Omair Ali 29-Nov-2024');</v>
      </c>
    </row>
    <row r="2000" spans="1:8" ht="105" x14ac:dyDescent="0.25">
      <c r="A2000" t="s">
        <v>2000</v>
      </c>
      <c r="B2000" s="8" t="str">
        <f>VLOOKUP(A2000,assortedcode!B:C,2,0)</f>
        <v>070000161530</v>
      </c>
      <c r="C2000" s="1">
        <v>5</v>
      </c>
      <c r="D2000" s="9">
        <f t="shared" si="125"/>
        <v>5</v>
      </c>
      <c r="E2000" s="7" t="s">
        <v>8345</v>
      </c>
      <c r="F2000" s="10" t="str">
        <f t="shared" si="124"/>
        <v>insert into ins_premium_det (premium_rcv_code,assorted_code, rec_amount,premium_rcv_detail_code,remaining_amt, payrec, mode_code,coinsurance_code,class_cd,it_remarks) values</v>
      </c>
      <c r="G2000" s="11" t="str">
        <f t="shared" si="126"/>
        <v>('28Nov240101','070000161530','5',(select max(to_number(i.premium_rcv_detail_code))+1
from ins_premium_det i),'5','5','02', '11000003','00','Request by Mr. Omair Ali 29-Nov-2024');</v>
      </c>
      <c r="H2000" s="12" t="str">
        <f t="shared" si="127"/>
        <v>insert into ins_premium_det (premium_rcv_code,assorted_code, rec_amount,premium_rcv_detail_code,remaining_amt, payrec, mode_code,coinsurance_code,class_cd,it_remarks) values('28Nov240101','070000161530','5',(select max(to_number(i.premium_rcv_detail_code))+1
from ins_premium_det i),'5','5','02', '11000003','00','Request by Mr. Omair Ali 29-Nov-2024');</v>
      </c>
    </row>
    <row r="2001" spans="1:8" ht="105" x14ac:dyDescent="0.25">
      <c r="A2001" t="s">
        <v>2001</v>
      </c>
      <c r="B2001" s="8" t="str">
        <f>VLOOKUP(A2001,assortedcode!B:C,2,0)</f>
        <v>040000120596</v>
      </c>
      <c r="C2001" s="1">
        <v>5.79</v>
      </c>
      <c r="D2001" s="9">
        <f t="shared" si="125"/>
        <v>6</v>
      </c>
      <c r="E2001" s="7" t="s">
        <v>8345</v>
      </c>
      <c r="F2001" s="10" t="str">
        <f t="shared" si="124"/>
        <v>insert into ins_premium_det (premium_rcv_code,assorted_code, rec_amount,premium_rcv_detail_code,remaining_amt, payrec, mode_code,coinsurance_code,class_cd,it_remarks) values</v>
      </c>
      <c r="G2001" s="11" t="str">
        <f t="shared" si="126"/>
        <v>('28Nov240101','040000120596','6',(select max(to_number(i.premium_rcv_detail_code))+1
from ins_premium_det i),'6','6','02', '11000003','00','Request by Mr. Omair Ali 29-Nov-2024');</v>
      </c>
      <c r="H2001" s="12" t="str">
        <f t="shared" si="127"/>
        <v>insert into ins_premium_det (premium_rcv_code,assorted_code, rec_amount,premium_rcv_detail_code,remaining_amt, payrec, mode_code,coinsurance_code,class_cd,it_remarks) values('28Nov240101','040000120596','6',(select max(to_number(i.premium_rcv_detail_code))+1
from ins_premium_det i),'6','6','02', '11000003','00','Request by Mr. Omair Ali 29-Nov-2024');</v>
      </c>
    </row>
    <row r="2002" spans="1:8" ht="105" x14ac:dyDescent="0.25">
      <c r="A2002" t="s">
        <v>2002</v>
      </c>
      <c r="B2002" s="8" t="str">
        <f>VLOOKUP(A2002,assortedcode!B:C,2,0)</f>
        <v>070000136946</v>
      </c>
      <c r="C2002" s="1">
        <v>6</v>
      </c>
      <c r="D2002" s="9">
        <f t="shared" si="125"/>
        <v>6</v>
      </c>
      <c r="E2002" s="7" t="s">
        <v>8345</v>
      </c>
      <c r="F2002" s="10" t="str">
        <f t="shared" si="124"/>
        <v>insert into ins_premium_det (premium_rcv_code,assorted_code, rec_amount,premium_rcv_detail_code,remaining_amt, payrec, mode_code,coinsurance_code,class_cd,it_remarks) values</v>
      </c>
      <c r="G2002" s="11" t="str">
        <f t="shared" si="126"/>
        <v>('28Nov240101','070000136946','6',(select max(to_number(i.premium_rcv_detail_code))+1
from ins_premium_det i),'6','6','02', '11000003','00','Request by Mr. Omair Ali 29-Nov-2024');</v>
      </c>
      <c r="H2002" s="12" t="str">
        <f t="shared" si="127"/>
        <v>insert into ins_premium_det (premium_rcv_code,assorted_code, rec_amount,premium_rcv_detail_code,remaining_amt, payrec, mode_code,coinsurance_code,class_cd,it_remarks) values('28Nov240101','070000136946','6',(select max(to_number(i.premium_rcv_detail_code))+1
from ins_premium_det i),'6','6','02', '11000003','00','Request by Mr. Omair Ali 29-Nov-2024');</v>
      </c>
    </row>
    <row r="2003" spans="1:8" ht="105" x14ac:dyDescent="0.25">
      <c r="A2003" t="s">
        <v>2003</v>
      </c>
      <c r="B2003" s="8" t="str">
        <f>VLOOKUP(A2003,assortedcode!B:C,2,0)</f>
        <v>040000164629</v>
      </c>
      <c r="C2003" s="1">
        <v>6</v>
      </c>
      <c r="D2003" s="9">
        <f t="shared" si="125"/>
        <v>6</v>
      </c>
      <c r="E2003" s="7" t="s">
        <v>8345</v>
      </c>
      <c r="F2003" s="10" t="str">
        <f t="shared" si="124"/>
        <v>insert into ins_premium_det (premium_rcv_code,assorted_code, rec_amount,premium_rcv_detail_code,remaining_amt, payrec, mode_code,coinsurance_code,class_cd,it_remarks) values</v>
      </c>
      <c r="G2003" s="11" t="str">
        <f t="shared" si="126"/>
        <v>('28Nov240101','040000164629','6',(select max(to_number(i.premium_rcv_detail_code))+1
from ins_premium_det i),'6','6','02', '11000003','00','Request by Mr. Omair Ali 29-Nov-2024');</v>
      </c>
      <c r="H2003" s="12" t="str">
        <f t="shared" si="127"/>
        <v>insert into ins_premium_det (premium_rcv_code,assorted_code, rec_amount,premium_rcv_detail_code,remaining_amt, payrec, mode_code,coinsurance_code,class_cd,it_remarks) values('28Nov240101','040000164629','6',(select max(to_number(i.premium_rcv_detail_code))+1
from ins_premium_det i),'6','6','02', '11000003','00','Request by Mr. Omair Ali 29-Nov-2024');</v>
      </c>
    </row>
    <row r="2004" spans="1:8" ht="105" x14ac:dyDescent="0.25">
      <c r="A2004" t="s">
        <v>2004</v>
      </c>
      <c r="B2004" s="8" t="str">
        <f>VLOOKUP(A2004,assortedcode!B:C,2,0)</f>
        <v>070000165558</v>
      </c>
      <c r="C2004" s="1">
        <v>6</v>
      </c>
      <c r="D2004" s="9">
        <f t="shared" si="125"/>
        <v>6</v>
      </c>
      <c r="E2004" s="7" t="s">
        <v>8345</v>
      </c>
      <c r="F2004" s="10" t="str">
        <f t="shared" si="124"/>
        <v>insert into ins_premium_det (premium_rcv_code,assorted_code, rec_amount,premium_rcv_detail_code,remaining_amt, payrec, mode_code,coinsurance_code,class_cd,it_remarks) values</v>
      </c>
      <c r="G2004" s="11" t="str">
        <f t="shared" si="126"/>
        <v>('28Nov240101','070000165558','6',(select max(to_number(i.premium_rcv_detail_code))+1
from ins_premium_det i),'6','6','02', '11000003','00','Request by Mr. Omair Ali 29-Nov-2024');</v>
      </c>
      <c r="H2004" s="12" t="str">
        <f t="shared" si="127"/>
        <v>insert into ins_premium_det (premium_rcv_code,assorted_code, rec_amount,premium_rcv_detail_code,remaining_amt, payrec, mode_code,coinsurance_code,class_cd,it_remarks) values('28Nov240101','070000165558','6',(select max(to_number(i.premium_rcv_detail_code))+1
from ins_premium_det i),'6','6','02', '11000003','00','Request by Mr. Omair Ali 29-Nov-2024');</v>
      </c>
    </row>
    <row r="2005" spans="1:8" ht="105" x14ac:dyDescent="0.25">
      <c r="A2005" t="s">
        <v>2005</v>
      </c>
      <c r="B2005" s="8" t="str">
        <f>VLOOKUP(A2005,assortedcode!B:C,2,0)</f>
        <v>040000136254</v>
      </c>
      <c r="C2005" s="1">
        <v>6</v>
      </c>
      <c r="D2005" s="9">
        <f t="shared" si="125"/>
        <v>6</v>
      </c>
      <c r="E2005" s="7" t="s">
        <v>8345</v>
      </c>
      <c r="F2005" s="10" t="str">
        <f t="shared" si="124"/>
        <v>insert into ins_premium_det (premium_rcv_code,assorted_code, rec_amount,premium_rcv_detail_code,remaining_amt, payrec, mode_code,coinsurance_code,class_cd,it_remarks) values</v>
      </c>
      <c r="G2005" s="11" t="str">
        <f t="shared" si="126"/>
        <v>('28Nov240101','040000136254','6',(select max(to_number(i.premium_rcv_detail_code))+1
from ins_premium_det i),'6','6','02', '11000003','00','Request by Mr. Omair Ali 29-Nov-2024');</v>
      </c>
      <c r="H2005" s="12" t="str">
        <f t="shared" si="127"/>
        <v>insert into ins_premium_det (premium_rcv_code,assorted_code, rec_amount,premium_rcv_detail_code,remaining_amt, payrec, mode_code,coinsurance_code,class_cd,it_remarks) values('28Nov240101','040000136254','6',(select max(to_number(i.premium_rcv_detail_code))+1
from ins_premium_det i),'6','6','02', '11000003','00','Request by Mr. Omair Ali 29-Nov-2024');</v>
      </c>
    </row>
    <row r="2006" spans="1:8" ht="105" x14ac:dyDescent="0.25">
      <c r="A2006" t="s">
        <v>2006</v>
      </c>
      <c r="B2006" s="8" t="str">
        <f>VLOOKUP(A2006,assortedcode!B:C,2,0)</f>
        <v>040000108315</v>
      </c>
      <c r="C2006" s="1">
        <v>6</v>
      </c>
      <c r="D2006" s="9">
        <f t="shared" si="125"/>
        <v>6</v>
      </c>
      <c r="E2006" s="7" t="s">
        <v>8345</v>
      </c>
      <c r="F2006" s="10" t="str">
        <f t="shared" si="124"/>
        <v>insert into ins_premium_det (premium_rcv_code,assorted_code, rec_amount,premium_rcv_detail_code,remaining_amt, payrec, mode_code,coinsurance_code,class_cd,it_remarks) values</v>
      </c>
      <c r="G2006" s="11" t="str">
        <f t="shared" si="126"/>
        <v>('28Nov240101','040000108315','6',(select max(to_number(i.premium_rcv_detail_code))+1
from ins_premium_det i),'6','6','02', '11000003','00','Request by Mr. Omair Ali 29-Nov-2024');</v>
      </c>
      <c r="H2006" s="12" t="str">
        <f t="shared" si="127"/>
        <v>insert into ins_premium_det (premium_rcv_code,assorted_code, rec_amount,premium_rcv_detail_code,remaining_amt, payrec, mode_code,coinsurance_code,class_cd,it_remarks) values('28Nov240101','040000108315','6',(select max(to_number(i.premium_rcv_detail_code))+1
from ins_premium_det i),'6','6','02', '11000003','00','Request by Mr. Omair Ali 29-Nov-2024');</v>
      </c>
    </row>
    <row r="2007" spans="1:8" ht="105" x14ac:dyDescent="0.25">
      <c r="A2007" t="s">
        <v>2007</v>
      </c>
      <c r="B2007" s="8" t="str">
        <f>VLOOKUP(A2007,assortedcode!B:C,2,0)</f>
        <v>040000119371</v>
      </c>
      <c r="C2007" s="1">
        <v>6</v>
      </c>
      <c r="D2007" s="9">
        <f t="shared" si="125"/>
        <v>6</v>
      </c>
      <c r="E2007" s="7" t="s">
        <v>8345</v>
      </c>
      <c r="F2007" s="10" t="str">
        <f t="shared" si="124"/>
        <v>insert into ins_premium_det (premium_rcv_code,assorted_code, rec_amount,premium_rcv_detail_code,remaining_amt, payrec, mode_code,coinsurance_code,class_cd,it_remarks) values</v>
      </c>
      <c r="G2007" s="11" t="str">
        <f t="shared" si="126"/>
        <v>('28Nov240101','040000119371','6',(select max(to_number(i.premium_rcv_detail_code))+1
from ins_premium_det i),'6','6','02', '11000003','00','Request by Mr. Omair Ali 29-Nov-2024');</v>
      </c>
      <c r="H2007" s="12" t="str">
        <f t="shared" si="127"/>
        <v>insert into ins_premium_det (premium_rcv_code,assorted_code, rec_amount,premium_rcv_detail_code,remaining_amt, payrec, mode_code,coinsurance_code,class_cd,it_remarks) values('28Nov240101','040000119371','6',(select max(to_number(i.premium_rcv_detail_code))+1
from ins_premium_det i),'6','6','02', '11000003','00','Request by Mr. Omair Ali 29-Nov-2024');</v>
      </c>
    </row>
    <row r="2008" spans="1:8" ht="105" x14ac:dyDescent="0.25">
      <c r="A2008" t="s">
        <v>2008</v>
      </c>
      <c r="B2008" s="8" t="str">
        <f>VLOOKUP(A2008,assortedcode!B:C,2,0)</f>
        <v>040000127419</v>
      </c>
      <c r="C2008" s="1">
        <v>6</v>
      </c>
      <c r="D2008" s="9">
        <f t="shared" si="125"/>
        <v>6</v>
      </c>
      <c r="E2008" s="7" t="s">
        <v>8345</v>
      </c>
      <c r="F2008" s="10" t="str">
        <f t="shared" si="124"/>
        <v>insert into ins_premium_det (premium_rcv_code,assorted_code, rec_amount,premium_rcv_detail_code,remaining_amt, payrec, mode_code,coinsurance_code,class_cd,it_remarks) values</v>
      </c>
      <c r="G2008" s="11" t="str">
        <f t="shared" si="126"/>
        <v>('28Nov240101','040000127419','6',(select max(to_number(i.premium_rcv_detail_code))+1
from ins_premium_det i),'6','6','02', '11000003','00','Request by Mr. Omair Ali 29-Nov-2024');</v>
      </c>
      <c r="H2008" s="12" t="str">
        <f t="shared" si="127"/>
        <v>insert into ins_premium_det (premium_rcv_code,assorted_code, rec_amount,premium_rcv_detail_code,remaining_amt, payrec, mode_code,coinsurance_code,class_cd,it_remarks) values('28Nov240101','040000127419','6',(select max(to_number(i.premium_rcv_detail_code))+1
from ins_premium_det i),'6','6','02', '11000003','00','Request by Mr. Omair Ali 29-Nov-2024');</v>
      </c>
    </row>
    <row r="2009" spans="1:8" ht="105" x14ac:dyDescent="0.25">
      <c r="A2009" t="s">
        <v>2009</v>
      </c>
      <c r="B2009" s="8" t="str">
        <f>VLOOKUP(A2009,assortedcode!B:C,2,0)</f>
        <v>040000166495</v>
      </c>
      <c r="C2009" s="1">
        <v>6.01</v>
      </c>
      <c r="D2009" s="9">
        <f t="shared" si="125"/>
        <v>6</v>
      </c>
      <c r="E2009" s="7" t="s">
        <v>8345</v>
      </c>
      <c r="F2009" s="10" t="str">
        <f t="shared" si="124"/>
        <v>insert into ins_premium_det (premium_rcv_code,assorted_code, rec_amount,premium_rcv_detail_code,remaining_amt, payrec, mode_code,coinsurance_code,class_cd,it_remarks) values</v>
      </c>
      <c r="G2009" s="11" t="str">
        <f t="shared" si="126"/>
        <v>('28Nov240101','040000166495','6',(select max(to_number(i.premium_rcv_detail_code))+1
from ins_premium_det i),'6','6','02', '11000003','00','Request by Mr. Omair Ali 29-Nov-2024');</v>
      </c>
      <c r="H2009" s="12" t="str">
        <f t="shared" si="127"/>
        <v>insert into ins_premium_det (premium_rcv_code,assorted_code, rec_amount,premium_rcv_detail_code,remaining_amt, payrec, mode_code,coinsurance_code,class_cd,it_remarks) values('28Nov240101','040000166495','6',(select max(to_number(i.premium_rcv_detail_code))+1
from ins_premium_det i),'6','6','02', '11000003','00','Request by Mr. Omair Ali 29-Nov-2024');</v>
      </c>
    </row>
    <row r="2010" spans="1:8" ht="105" x14ac:dyDescent="0.25">
      <c r="A2010" t="s">
        <v>2010</v>
      </c>
      <c r="B2010" s="8" t="str">
        <f>VLOOKUP(A2010,assortedcode!B:C,2,0)</f>
        <v>040000124463</v>
      </c>
      <c r="C2010" s="1">
        <v>7</v>
      </c>
      <c r="D2010" s="9">
        <f t="shared" si="125"/>
        <v>7</v>
      </c>
      <c r="E2010" s="7" t="s">
        <v>8345</v>
      </c>
      <c r="F2010" s="10" t="str">
        <f t="shared" si="124"/>
        <v>insert into ins_premium_det (premium_rcv_code,assorted_code, rec_amount,premium_rcv_detail_code,remaining_amt, payrec, mode_code,coinsurance_code,class_cd,it_remarks) values</v>
      </c>
      <c r="G2010" s="11" t="str">
        <f t="shared" si="126"/>
        <v>('28Nov240101','040000124463','7',(select max(to_number(i.premium_rcv_detail_code))+1
from ins_premium_det i),'7','7','02', '11000003','00','Request by Mr. Omair Ali 29-Nov-2024');</v>
      </c>
      <c r="H2010" s="12" t="str">
        <f t="shared" si="127"/>
        <v>insert into ins_premium_det (premium_rcv_code,assorted_code, rec_amount,premium_rcv_detail_code,remaining_amt, payrec, mode_code,coinsurance_code,class_cd,it_remarks) values('28Nov240101','040000124463','7',(select max(to_number(i.premium_rcv_detail_code))+1
from ins_premium_det i),'7','7','02', '11000003','00','Request by Mr. Omair Ali 29-Nov-2024');</v>
      </c>
    </row>
    <row r="2011" spans="1:8" ht="105" x14ac:dyDescent="0.25">
      <c r="A2011" t="s">
        <v>2011</v>
      </c>
      <c r="B2011" s="8" t="str">
        <f>VLOOKUP(A2011,assortedcode!B:C,2,0)</f>
        <v>040000167422</v>
      </c>
      <c r="C2011" s="1">
        <v>7</v>
      </c>
      <c r="D2011" s="9">
        <f t="shared" si="125"/>
        <v>7</v>
      </c>
      <c r="E2011" s="7" t="s">
        <v>8345</v>
      </c>
      <c r="F2011" s="10" t="str">
        <f t="shared" si="124"/>
        <v>insert into ins_premium_det (premium_rcv_code,assorted_code, rec_amount,premium_rcv_detail_code,remaining_amt, payrec, mode_code,coinsurance_code,class_cd,it_remarks) values</v>
      </c>
      <c r="G2011" s="11" t="str">
        <f t="shared" si="126"/>
        <v>('28Nov240101','040000167422','7',(select max(to_number(i.premium_rcv_detail_code))+1
from ins_premium_det i),'7','7','02', '11000003','00','Request by Mr. Omair Ali 29-Nov-2024');</v>
      </c>
      <c r="H2011" s="12" t="str">
        <f t="shared" si="127"/>
        <v>insert into ins_premium_det (premium_rcv_code,assorted_code, rec_amount,premium_rcv_detail_code,remaining_amt, payrec, mode_code,coinsurance_code,class_cd,it_remarks) values('28Nov240101','040000167422','7',(select max(to_number(i.premium_rcv_detail_code))+1
from ins_premium_det i),'7','7','02', '11000003','00','Request by Mr. Omair Ali 29-Nov-2024');</v>
      </c>
    </row>
    <row r="2012" spans="1:8" ht="105" x14ac:dyDescent="0.25">
      <c r="A2012" t="s">
        <v>2012</v>
      </c>
      <c r="B2012" s="8" t="str">
        <f>VLOOKUP(A2012,assortedcode!B:C,2,0)</f>
        <v>040000125381</v>
      </c>
      <c r="C2012" s="1">
        <v>7</v>
      </c>
      <c r="D2012" s="9">
        <f t="shared" si="125"/>
        <v>7</v>
      </c>
      <c r="E2012" s="7" t="s">
        <v>8345</v>
      </c>
      <c r="F2012" s="10" t="str">
        <f t="shared" si="124"/>
        <v>insert into ins_premium_det (premium_rcv_code,assorted_code, rec_amount,premium_rcv_detail_code,remaining_amt, payrec, mode_code,coinsurance_code,class_cd,it_remarks) values</v>
      </c>
      <c r="G2012" s="11" t="str">
        <f t="shared" si="126"/>
        <v>('28Nov240101','040000125381','7',(select max(to_number(i.premium_rcv_detail_code))+1
from ins_premium_det i),'7','7','02', '11000003','00','Request by Mr. Omair Ali 29-Nov-2024');</v>
      </c>
      <c r="H2012" s="12" t="str">
        <f t="shared" si="127"/>
        <v>insert into ins_premium_det (premium_rcv_code,assorted_code, rec_amount,premium_rcv_detail_code,remaining_amt, payrec, mode_code,coinsurance_code,class_cd,it_remarks) values('28Nov240101','040000125381','7',(select max(to_number(i.premium_rcv_detail_code))+1
from ins_premium_det i),'7','7','02', '11000003','00','Request by Mr. Omair Ali 29-Nov-2024');</v>
      </c>
    </row>
    <row r="2013" spans="1:8" ht="105" x14ac:dyDescent="0.25">
      <c r="A2013" t="s">
        <v>2013</v>
      </c>
      <c r="B2013" s="8" t="str">
        <f>VLOOKUP(A2013,assortedcode!B:C,2,0)</f>
        <v>040000107662</v>
      </c>
      <c r="C2013" s="1">
        <v>7</v>
      </c>
      <c r="D2013" s="9">
        <f t="shared" si="125"/>
        <v>7</v>
      </c>
      <c r="E2013" s="7" t="s">
        <v>8345</v>
      </c>
      <c r="F2013" s="10" t="str">
        <f t="shared" si="124"/>
        <v>insert into ins_premium_det (premium_rcv_code,assorted_code, rec_amount,premium_rcv_detail_code,remaining_amt, payrec, mode_code,coinsurance_code,class_cd,it_remarks) values</v>
      </c>
      <c r="G2013" s="11" t="str">
        <f t="shared" si="126"/>
        <v>('28Nov240101','040000107662','7',(select max(to_number(i.premium_rcv_detail_code))+1
from ins_premium_det i),'7','7','02', '11000003','00','Request by Mr. Omair Ali 29-Nov-2024');</v>
      </c>
      <c r="H2013" s="12" t="str">
        <f t="shared" si="127"/>
        <v>insert into ins_premium_det (premium_rcv_code,assorted_code, rec_amount,premium_rcv_detail_code,remaining_amt, payrec, mode_code,coinsurance_code,class_cd,it_remarks) values('28Nov240101','040000107662','7',(select max(to_number(i.premium_rcv_detail_code))+1
from ins_premium_det i),'7','7','02', '11000003','00','Request by Mr. Omair Ali 29-Nov-2024');</v>
      </c>
    </row>
    <row r="2014" spans="1:8" ht="105" x14ac:dyDescent="0.25">
      <c r="A2014" t="s">
        <v>2014</v>
      </c>
      <c r="B2014" s="8" t="str">
        <f>VLOOKUP(A2014,assortedcode!B:C,2,0)</f>
        <v>040000119375</v>
      </c>
      <c r="C2014" s="1">
        <v>7</v>
      </c>
      <c r="D2014" s="9">
        <f t="shared" si="125"/>
        <v>7</v>
      </c>
      <c r="E2014" s="7" t="s">
        <v>8345</v>
      </c>
      <c r="F2014" s="10" t="str">
        <f t="shared" si="124"/>
        <v>insert into ins_premium_det (premium_rcv_code,assorted_code, rec_amount,premium_rcv_detail_code,remaining_amt, payrec, mode_code,coinsurance_code,class_cd,it_remarks) values</v>
      </c>
      <c r="G2014" s="11" t="str">
        <f t="shared" si="126"/>
        <v>('28Nov240101','040000119375','7',(select max(to_number(i.premium_rcv_detail_code))+1
from ins_premium_det i),'7','7','02', '11000003','00','Request by Mr. Omair Ali 29-Nov-2024');</v>
      </c>
      <c r="H2014" s="12" t="str">
        <f t="shared" si="127"/>
        <v>insert into ins_premium_det (premium_rcv_code,assorted_code, rec_amount,premium_rcv_detail_code,remaining_amt, payrec, mode_code,coinsurance_code,class_cd,it_remarks) values('28Nov240101','040000119375','7',(select max(to_number(i.premium_rcv_detail_code))+1
from ins_premium_det i),'7','7','02', '11000003','00','Request by Mr. Omair Ali 29-Nov-2024');</v>
      </c>
    </row>
    <row r="2015" spans="1:8" ht="105" x14ac:dyDescent="0.25">
      <c r="A2015" t="s">
        <v>2015</v>
      </c>
      <c r="B2015" s="8" t="str">
        <f>VLOOKUP(A2015,assortedcode!B:C,2,0)</f>
        <v>040000107656</v>
      </c>
      <c r="C2015" s="1">
        <v>7</v>
      </c>
      <c r="D2015" s="9">
        <f t="shared" si="125"/>
        <v>7</v>
      </c>
      <c r="E2015" s="7" t="s">
        <v>8345</v>
      </c>
      <c r="F2015" s="10" t="str">
        <f t="shared" si="124"/>
        <v>insert into ins_premium_det (premium_rcv_code,assorted_code, rec_amount,premium_rcv_detail_code,remaining_amt, payrec, mode_code,coinsurance_code,class_cd,it_remarks) values</v>
      </c>
      <c r="G2015" s="11" t="str">
        <f t="shared" si="126"/>
        <v>('28Nov240101','040000107656','7',(select max(to_number(i.premium_rcv_detail_code))+1
from ins_premium_det i),'7','7','02', '11000003','00','Request by Mr. Omair Ali 29-Nov-2024');</v>
      </c>
      <c r="H2015" s="12" t="str">
        <f t="shared" si="127"/>
        <v>insert into ins_premium_det (premium_rcv_code,assorted_code, rec_amount,premium_rcv_detail_code,remaining_amt, payrec, mode_code,coinsurance_code,class_cd,it_remarks) values('28Nov240101','040000107656','7',(select max(to_number(i.premium_rcv_detail_code))+1
from ins_premium_det i),'7','7','02', '11000003','00','Request by Mr. Omair Ali 29-Nov-2024');</v>
      </c>
    </row>
    <row r="2016" spans="1:8" ht="105" x14ac:dyDescent="0.25">
      <c r="A2016" t="s">
        <v>2016</v>
      </c>
      <c r="B2016" s="8" t="str">
        <f>VLOOKUP(A2016,assortedcode!B:C,2,0)</f>
        <v>040000124196</v>
      </c>
      <c r="C2016" s="1">
        <v>7</v>
      </c>
      <c r="D2016" s="9">
        <f t="shared" si="125"/>
        <v>7</v>
      </c>
      <c r="E2016" s="7" t="s">
        <v>8345</v>
      </c>
      <c r="F2016" s="10" t="str">
        <f t="shared" si="124"/>
        <v>insert into ins_premium_det (premium_rcv_code,assorted_code, rec_amount,premium_rcv_detail_code,remaining_amt, payrec, mode_code,coinsurance_code,class_cd,it_remarks) values</v>
      </c>
      <c r="G2016" s="11" t="str">
        <f t="shared" si="126"/>
        <v>('28Nov240101','040000124196','7',(select max(to_number(i.premium_rcv_detail_code))+1
from ins_premium_det i),'7','7','02', '11000003','00','Request by Mr. Omair Ali 29-Nov-2024');</v>
      </c>
      <c r="H2016" s="12" t="str">
        <f t="shared" si="127"/>
        <v>insert into ins_premium_det (premium_rcv_code,assorted_code, rec_amount,premium_rcv_detail_code,remaining_amt, payrec, mode_code,coinsurance_code,class_cd,it_remarks) values('28Nov240101','040000124196','7',(select max(to_number(i.premium_rcv_detail_code))+1
from ins_premium_det i),'7','7','02', '11000003','00','Request by Mr. Omair Ali 29-Nov-2024');</v>
      </c>
    </row>
    <row r="2017" spans="1:8" ht="105" x14ac:dyDescent="0.25">
      <c r="A2017" t="s">
        <v>2017</v>
      </c>
      <c r="B2017" s="8" t="str">
        <f>VLOOKUP(A2017,assortedcode!B:C,2,0)</f>
        <v>070000166852</v>
      </c>
      <c r="C2017" s="1">
        <v>8</v>
      </c>
      <c r="D2017" s="9">
        <f t="shared" si="125"/>
        <v>8</v>
      </c>
      <c r="E2017" s="7" t="s">
        <v>8345</v>
      </c>
      <c r="F2017" s="10" t="str">
        <f t="shared" si="124"/>
        <v>insert into ins_premium_det (premium_rcv_code,assorted_code, rec_amount,premium_rcv_detail_code,remaining_amt, payrec, mode_code,coinsurance_code,class_cd,it_remarks) values</v>
      </c>
      <c r="G2017" s="11" t="str">
        <f t="shared" si="126"/>
        <v>('28Nov240101','070000166852','8',(select max(to_number(i.premium_rcv_detail_code))+1
from ins_premium_det i),'8','8','02', '11000003','00','Request by Mr. Omair Ali 29-Nov-2024');</v>
      </c>
      <c r="H2017" s="12" t="str">
        <f t="shared" si="127"/>
        <v>insert into ins_premium_det (premium_rcv_code,assorted_code, rec_amount,premium_rcv_detail_code,remaining_amt, payrec, mode_code,coinsurance_code,class_cd,it_remarks) values('28Nov240101','070000166852','8',(select max(to_number(i.premium_rcv_detail_code))+1
from ins_premium_det i),'8','8','02', '11000003','00','Request by Mr. Omair Ali 29-Nov-2024');</v>
      </c>
    </row>
    <row r="2018" spans="1:8" ht="105" x14ac:dyDescent="0.25">
      <c r="A2018" t="s">
        <v>2018</v>
      </c>
      <c r="B2018" s="8" t="str">
        <f>VLOOKUP(A2018,assortedcode!B:C,2,0)</f>
        <v>040000124351</v>
      </c>
      <c r="C2018" s="1">
        <v>8</v>
      </c>
      <c r="D2018" s="9">
        <f t="shared" si="125"/>
        <v>8</v>
      </c>
      <c r="E2018" s="7" t="s">
        <v>8345</v>
      </c>
      <c r="F2018" s="10" t="str">
        <f t="shared" si="124"/>
        <v>insert into ins_premium_det (premium_rcv_code,assorted_code, rec_amount,premium_rcv_detail_code,remaining_amt, payrec, mode_code,coinsurance_code,class_cd,it_remarks) values</v>
      </c>
      <c r="G2018" s="11" t="str">
        <f t="shared" si="126"/>
        <v>('28Nov240101','040000124351','8',(select max(to_number(i.premium_rcv_detail_code))+1
from ins_premium_det i),'8','8','02', '11000003','00','Request by Mr. Omair Ali 29-Nov-2024');</v>
      </c>
      <c r="H2018" s="12" t="str">
        <f t="shared" si="127"/>
        <v>insert into ins_premium_det (premium_rcv_code,assorted_code, rec_amount,premium_rcv_detail_code,remaining_amt, payrec, mode_code,coinsurance_code,class_cd,it_remarks) values('28Nov240101','040000124351','8',(select max(to_number(i.premium_rcv_detail_code))+1
from ins_premium_det i),'8','8','02', '11000003','00','Request by Mr. Omair Ali 29-Nov-2024');</v>
      </c>
    </row>
    <row r="2019" spans="1:8" ht="105" x14ac:dyDescent="0.25">
      <c r="A2019" t="s">
        <v>2019</v>
      </c>
      <c r="B2019" s="8" t="str">
        <f>VLOOKUP(A2019,assortedcode!B:C,2,0)</f>
        <v>070000147639</v>
      </c>
      <c r="C2019" s="1">
        <v>9</v>
      </c>
      <c r="D2019" s="9">
        <f t="shared" si="125"/>
        <v>9</v>
      </c>
      <c r="E2019" s="7" t="s">
        <v>8345</v>
      </c>
      <c r="F2019" s="10" t="str">
        <f t="shared" si="124"/>
        <v>insert into ins_premium_det (premium_rcv_code,assorted_code, rec_amount,premium_rcv_detail_code,remaining_amt, payrec, mode_code,coinsurance_code,class_cd,it_remarks) values</v>
      </c>
      <c r="G2019" s="11" t="str">
        <f t="shared" si="126"/>
        <v>('28Nov240101','070000147639','9',(select max(to_number(i.premium_rcv_detail_code))+1
from ins_premium_det i),'9','9','02', '11000003','00','Request by Mr. Omair Ali 29-Nov-2024');</v>
      </c>
      <c r="H2019" s="12" t="str">
        <f t="shared" si="127"/>
        <v>insert into ins_premium_det (premium_rcv_code,assorted_code, rec_amount,premium_rcv_detail_code,remaining_amt, payrec, mode_code,coinsurance_code,class_cd,it_remarks) values('28Nov240101','070000147639','9',(select max(to_number(i.premium_rcv_detail_code))+1
from ins_premium_det i),'9','9','02', '11000003','00','Request by Mr. Omair Ali 29-Nov-2024');</v>
      </c>
    </row>
    <row r="2020" spans="1:8" ht="105" x14ac:dyDescent="0.25">
      <c r="A2020" t="s">
        <v>2020</v>
      </c>
      <c r="B2020" s="8" t="str">
        <f>VLOOKUP(A2020,assortedcode!B:C,2,0)</f>
        <v>070000147935</v>
      </c>
      <c r="C2020" s="1">
        <v>9</v>
      </c>
      <c r="D2020" s="9">
        <f t="shared" si="125"/>
        <v>9</v>
      </c>
      <c r="E2020" s="7" t="s">
        <v>8345</v>
      </c>
      <c r="F2020" s="10" t="str">
        <f t="shared" si="124"/>
        <v>insert into ins_premium_det (premium_rcv_code,assorted_code, rec_amount,premium_rcv_detail_code,remaining_amt, payrec, mode_code,coinsurance_code,class_cd,it_remarks) values</v>
      </c>
      <c r="G2020" s="11" t="str">
        <f t="shared" si="126"/>
        <v>('28Nov240101','070000147935','9',(select max(to_number(i.premium_rcv_detail_code))+1
from ins_premium_det i),'9','9','02', '11000003','00','Request by Mr. Omair Ali 29-Nov-2024');</v>
      </c>
      <c r="H2020" s="12" t="str">
        <f t="shared" si="127"/>
        <v>insert into ins_premium_det (premium_rcv_code,assorted_code, rec_amount,premium_rcv_detail_code,remaining_amt, payrec, mode_code,coinsurance_code,class_cd,it_remarks) values('28Nov240101','070000147935','9',(select max(to_number(i.premium_rcv_detail_code))+1
from ins_premium_det i),'9','9','02', '11000003','00','Request by Mr. Omair Ali 29-Nov-2024');</v>
      </c>
    </row>
    <row r="2021" spans="1:8" ht="105" x14ac:dyDescent="0.25">
      <c r="A2021" t="s">
        <v>2021</v>
      </c>
      <c r="B2021" s="8" t="str">
        <f>VLOOKUP(A2021,assortedcode!B:C,2,0)</f>
        <v>070000167345</v>
      </c>
      <c r="C2021" s="1">
        <v>10</v>
      </c>
      <c r="D2021" s="9">
        <f t="shared" si="125"/>
        <v>10</v>
      </c>
      <c r="E2021" s="7" t="s">
        <v>8345</v>
      </c>
      <c r="F2021" s="10" t="str">
        <f t="shared" si="124"/>
        <v>insert into ins_premium_det (premium_rcv_code,assorted_code, rec_amount,premium_rcv_detail_code,remaining_amt, payrec, mode_code,coinsurance_code,class_cd,it_remarks) values</v>
      </c>
      <c r="G2021" s="11" t="str">
        <f t="shared" si="126"/>
        <v>('28Nov240101','070000167345','10',(select max(to_number(i.premium_rcv_detail_code))+1
from ins_premium_det i),'10','10','02', '11000003','00','Request by Mr. Omair Ali 29-Nov-2024');</v>
      </c>
      <c r="H2021" s="12" t="str">
        <f t="shared" si="127"/>
        <v>insert into ins_premium_det (premium_rcv_code,assorted_code, rec_amount,premium_rcv_detail_code,remaining_amt, payrec, mode_code,coinsurance_code,class_cd,it_remarks) values('28Nov240101','070000167345','10',(select max(to_number(i.premium_rcv_detail_code))+1
from ins_premium_det i),'10','10','02', '11000003','00','Request by Mr. Omair Ali 29-Nov-2024');</v>
      </c>
    </row>
    <row r="2022" spans="1:8" ht="105" x14ac:dyDescent="0.25">
      <c r="A2022" t="s">
        <v>2022</v>
      </c>
      <c r="B2022" s="8" t="str">
        <f>VLOOKUP(A2022,assortedcode!B:C,2,0)</f>
        <v>040000176373</v>
      </c>
      <c r="C2022" s="1">
        <v>10</v>
      </c>
      <c r="D2022" s="9">
        <f t="shared" si="125"/>
        <v>10</v>
      </c>
      <c r="E2022" s="7" t="s">
        <v>8345</v>
      </c>
      <c r="F2022" s="10" t="str">
        <f t="shared" si="124"/>
        <v>insert into ins_premium_det (premium_rcv_code,assorted_code, rec_amount,premium_rcv_detail_code,remaining_amt, payrec, mode_code,coinsurance_code,class_cd,it_remarks) values</v>
      </c>
      <c r="G2022" s="11" t="str">
        <f t="shared" si="126"/>
        <v>('28Nov240101','040000176373','10',(select max(to_number(i.premium_rcv_detail_code))+1
from ins_premium_det i),'10','10','02', '11000003','00','Request by Mr. Omair Ali 29-Nov-2024');</v>
      </c>
      <c r="H2022" s="12" t="str">
        <f t="shared" si="127"/>
        <v>insert into ins_premium_det (premium_rcv_code,assorted_code, rec_amount,premium_rcv_detail_code,remaining_amt, payrec, mode_code,coinsurance_code,class_cd,it_remarks) values('28Nov240101','040000176373','10',(select max(to_number(i.premium_rcv_detail_code))+1
from ins_premium_det i),'10','10','02', '11000003','00','Request by Mr. Omair Ali 29-Nov-2024');</v>
      </c>
    </row>
    <row r="2023" spans="1:8" ht="105" x14ac:dyDescent="0.25">
      <c r="A2023" t="s">
        <v>2023</v>
      </c>
      <c r="B2023" s="8" t="str">
        <f>VLOOKUP(A2023,assortedcode!B:C,2,0)</f>
        <v>040000181660</v>
      </c>
      <c r="C2023" s="1">
        <v>10</v>
      </c>
      <c r="D2023" s="9">
        <f t="shared" si="125"/>
        <v>10</v>
      </c>
      <c r="E2023" s="7" t="s">
        <v>8345</v>
      </c>
      <c r="F2023" s="10" t="str">
        <f t="shared" si="124"/>
        <v>insert into ins_premium_det (premium_rcv_code,assorted_code, rec_amount,premium_rcv_detail_code,remaining_amt, payrec, mode_code,coinsurance_code,class_cd,it_remarks) values</v>
      </c>
      <c r="G2023" s="11" t="str">
        <f t="shared" si="126"/>
        <v>('28Nov240101','040000181660','10',(select max(to_number(i.premium_rcv_detail_code))+1
from ins_premium_det i),'10','10','02', '11000003','00','Request by Mr. Omair Ali 29-Nov-2024');</v>
      </c>
      <c r="H2023" s="12" t="str">
        <f t="shared" si="127"/>
        <v>insert into ins_premium_det (premium_rcv_code,assorted_code, rec_amount,premium_rcv_detail_code,remaining_amt, payrec, mode_code,coinsurance_code,class_cd,it_remarks) values('28Nov240101','040000181660','10',(select max(to_number(i.premium_rcv_detail_code))+1
from ins_premium_det i),'10','10','02', '11000003','00','Request by Mr. Omair Ali 29-Nov-2024');</v>
      </c>
    </row>
    <row r="2024" spans="1:8" ht="105" x14ac:dyDescent="0.25">
      <c r="A2024" t="s">
        <v>2024</v>
      </c>
      <c r="B2024" s="8" t="str">
        <f>VLOOKUP(A2024,assortedcode!B:C,2,0)</f>
        <v>070000160554</v>
      </c>
      <c r="C2024" s="1">
        <v>10</v>
      </c>
      <c r="D2024" s="9">
        <f t="shared" si="125"/>
        <v>10</v>
      </c>
      <c r="E2024" s="7" t="s">
        <v>8345</v>
      </c>
      <c r="F2024" s="10" t="str">
        <f t="shared" si="124"/>
        <v>insert into ins_premium_det (premium_rcv_code,assorted_code, rec_amount,premium_rcv_detail_code,remaining_amt, payrec, mode_code,coinsurance_code,class_cd,it_remarks) values</v>
      </c>
      <c r="G2024" s="11" t="str">
        <f t="shared" si="126"/>
        <v>('28Nov240101','070000160554','10',(select max(to_number(i.premium_rcv_detail_code))+1
from ins_premium_det i),'10','10','02', '11000003','00','Request by Mr. Omair Ali 29-Nov-2024');</v>
      </c>
      <c r="H2024" s="12" t="str">
        <f t="shared" si="127"/>
        <v>insert into ins_premium_det (premium_rcv_code,assorted_code, rec_amount,premium_rcv_detail_code,remaining_amt, payrec, mode_code,coinsurance_code,class_cd,it_remarks) values('28Nov240101','070000160554','10',(select max(to_number(i.premium_rcv_detail_code))+1
from ins_premium_det i),'10','10','02', '11000003','00','Request by Mr. Omair Ali 29-Nov-2024');</v>
      </c>
    </row>
    <row r="2025" spans="1:8" ht="105" x14ac:dyDescent="0.25">
      <c r="A2025" t="s">
        <v>2025</v>
      </c>
      <c r="B2025" s="8" t="str">
        <f>VLOOKUP(A2025,assortedcode!B:C,2,0)</f>
        <v>070000160533</v>
      </c>
      <c r="C2025" s="1">
        <v>10</v>
      </c>
      <c r="D2025" s="9">
        <f t="shared" si="125"/>
        <v>10</v>
      </c>
      <c r="E2025" s="7" t="s">
        <v>8345</v>
      </c>
      <c r="F2025" s="10" t="str">
        <f t="shared" si="124"/>
        <v>insert into ins_premium_det (premium_rcv_code,assorted_code, rec_amount,premium_rcv_detail_code,remaining_amt, payrec, mode_code,coinsurance_code,class_cd,it_remarks) values</v>
      </c>
      <c r="G2025" s="11" t="str">
        <f t="shared" si="126"/>
        <v>('28Nov240101','070000160533','10',(select max(to_number(i.premium_rcv_detail_code))+1
from ins_premium_det i),'10','10','02', '11000003','00','Request by Mr. Omair Ali 29-Nov-2024');</v>
      </c>
      <c r="H2025" s="12" t="str">
        <f t="shared" si="127"/>
        <v>insert into ins_premium_det (premium_rcv_code,assorted_code, rec_amount,premium_rcv_detail_code,remaining_amt, payrec, mode_code,coinsurance_code,class_cd,it_remarks) values('28Nov240101','070000160533','10',(select max(to_number(i.premium_rcv_detail_code))+1
from ins_premium_det i),'10','10','02', '11000003','00','Request by Mr. Omair Ali 29-Nov-2024');</v>
      </c>
    </row>
    <row r="2026" spans="1:8" ht="105" x14ac:dyDescent="0.25">
      <c r="A2026" t="s">
        <v>2026</v>
      </c>
      <c r="B2026" s="8" t="str">
        <f>VLOOKUP(A2026,assortedcode!B:C,2,0)</f>
        <v>070000147465</v>
      </c>
      <c r="C2026" s="1">
        <v>11</v>
      </c>
      <c r="D2026" s="9">
        <f t="shared" si="125"/>
        <v>11</v>
      </c>
      <c r="E2026" s="7" t="s">
        <v>8345</v>
      </c>
      <c r="F2026" s="10" t="str">
        <f t="shared" si="124"/>
        <v>insert into ins_premium_det (premium_rcv_code,assorted_code, rec_amount,premium_rcv_detail_code,remaining_amt, payrec, mode_code,coinsurance_code,class_cd,it_remarks) values</v>
      </c>
      <c r="G2026" s="11" t="str">
        <f t="shared" si="126"/>
        <v>('28Nov240101','070000147465','11',(select max(to_number(i.premium_rcv_detail_code))+1
from ins_premium_det i),'11','11','02', '11000003','00','Request by Mr. Omair Ali 29-Nov-2024');</v>
      </c>
      <c r="H2026" s="12" t="str">
        <f t="shared" si="127"/>
        <v>insert into ins_premium_det (premium_rcv_code,assorted_code, rec_amount,premium_rcv_detail_code,remaining_amt, payrec, mode_code,coinsurance_code,class_cd,it_remarks) values('28Nov240101','070000147465','11',(select max(to_number(i.premium_rcv_detail_code))+1
from ins_premium_det i),'11','11','02', '11000003','00','Request by Mr. Omair Ali 29-Nov-2024');</v>
      </c>
    </row>
    <row r="2027" spans="1:8" ht="105" x14ac:dyDescent="0.25">
      <c r="A2027" t="s">
        <v>2027</v>
      </c>
      <c r="B2027" s="8" t="str">
        <f>VLOOKUP(A2027,assortedcode!B:C,2,0)</f>
        <v>070000147521</v>
      </c>
      <c r="C2027" s="1">
        <v>12</v>
      </c>
      <c r="D2027" s="9">
        <f t="shared" si="125"/>
        <v>12</v>
      </c>
      <c r="E2027" s="7" t="s">
        <v>8345</v>
      </c>
      <c r="F2027" s="10" t="str">
        <f t="shared" si="124"/>
        <v>insert into ins_premium_det (premium_rcv_code,assorted_code, rec_amount,premium_rcv_detail_code,remaining_amt, payrec, mode_code,coinsurance_code,class_cd,it_remarks) values</v>
      </c>
      <c r="G2027" s="11" t="str">
        <f t="shared" si="126"/>
        <v>('28Nov240101','070000147521','12',(select max(to_number(i.premium_rcv_detail_code))+1
from ins_premium_det i),'12','12','02', '11000003','00','Request by Mr. Omair Ali 29-Nov-2024');</v>
      </c>
      <c r="H2027" s="12" t="str">
        <f t="shared" si="127"/>
        <v>insert into ins_premium_det (premium_rcv_code,assorted_code, rec_amount,premium_rcv_detail_code,remaining_amt, payrec, mode_code,coinsurance_code,class_cd,it_remarks) values('28Nov240101','070000147521','12',(select max(to_number(i.premium_rcv_detail_code))+1
from ins_premium_det i),'12','12','02', '11000003','00','Request by Mr. Omair Ali 29-Nov-2024');</v>
      </c>
    </row>
    <row r="2028" spans="1:8" ht="105" x14ac:dyDescent="0.25">
      <c r="A2028" t="s">
        <v>2028</v>
      </c>
      <c r="B2028" s="8" t="str">
        <f>VLOOKUP(A2028,assortedcode!B:C,2,0)</f>
        <v>040000180216</v>
      </c>
      <c r="C2028" s="1">
        <v>12</v>
      </c>
      <c r="D2028" s="9">
        <f t="shared" si="125"/>
        <v>12</v>
      </c>
      <c r="E2028" s="7" t="s">
        <v>8345</v>
      </c>
      <c r="F2028" s="10" t="str">
        <f t="shared" si="124"/>
        <v>insert into ins_premium_det (premium_rcv_code,assorted_code, rec_amount,premium_rcv_detail_code,remaining_amt, payrec, mode_code,coinsurance_code,class_cd,it_remarks) values</v>
      </c>
      <c r="G2028" s="11" t="str">
        <f t="shared" si="126"/>
        <v>('28Nov240101','040000180216','12',(select max(to_number(i.premium_rcv_detail_code))+1
from ins_premium_det i),'12','12','02', '11000003','00','Request by Mr. Omair Ali 29-Nov-2024');</v>
      </c>
      <c r="H2028" s="12" t="str">
        <f t="shared" si="127"/>
        <v>insert into ins_premium_det (premium_rcv_code,assorted_code, rec_amount,premium_rcv_detail_code,remaining_amt, payrec, mode_code,coinsurance_code,class_cd,it_remarks) values('28Nov240101','040000180216','12',(select max(to_number(i.premium_rcv_detail_code))+1
from ins_premium_det i),'12','12','02', '11000003','00','Request by Mr. Omair Ali 29-Nov-2024');</v>
      </c>
    </row>
    <row r="2029" spans="1:8" ht="105" x14ac:dyDescent="0.25">
      <c r="A2029" t="s">
        <v>2029</v>
      </c>
      <c r="B2029" s="8" t="str">
        <f>VLOOKUP(A2029,assortedcode!B:C,2,0)</f>
        <v>040000108347</v>
      </c>
      <c r="C2029" s="1">
        <v>12</v>
      </c>
      <c r="D2029" s="9">
        <f t="shared" si="125"/>
        <v>12</v>
      </c>
      <c r="E2029" s="7" t="s">
        <v>8345</v>
      </c>
      <c r="F2029" s="10" t="str">
        <f t="shared" si="124"/>
        <v>insert into ins_premium_det (premium_rcv_code,assorted_code, rec_amount,premium_rcv_detail_code,remaining_amt, payrec, mode_code,coinsurance_code,class_cd,it_remarks) values</v>
      </c>
      <c r="G2029" s="11" t="str">
        <f t="shared" si="126"/>
        <v>('28Nov240101','040000108347','12',(select max(to_number(i.premium_rcv_detail_code))+1
from ins_premium_det i),'12','12','02', '11000003','00','Request by Mr. Omair Ali 29-Nov-2024');</v>
      </c>
      <c r="H2029" s="12" t="str">
        <f t="shared" si="127"/>
        <v>insert into ins_premium_det (premium_rcv_code,assorted_code, rec_amount,premium_rcv_detail_code,remaining_amt, payrec, mode_code,coinsurance_code,class_cd,it_remarks) values('28Nov240101','040000108347','12',(select max(to_number(i.premium_rcv_detail_code))+1
from ins_premium_det i),'12','12','02', '11000003','00','Request by Mr. Omair Ali 29-Nov-2024');</v>
      </c>
    </row>
    <row r="2030" spans="1:8" ht="105" x14ac:dyDescent="0.25">
      <c r="A2030" t="s">
        <v>2030</v>
      </c>
      <c r="B2030" s="8" t="str">
        <f>VLOOKUP(A2030,assortedcode!B:C,2,0)</f>
        <v>040000121063</v>
      </c>
      <c r="C2030" s="1">
        <v>13</v>
      </c>
      <c r="D2030" s="9">
        <f t="shared" si="125"/>
        <v>13</v>
      </c>
      <c r="E2030" s="7" t="s">
        <v>8345</v>
      </c>
      <c r="F2030" s="10" t="str">
        <f t="shared" si="124"/>
        <v>insert into ins_premium_det (premium_rcv_code,assorted_code, rec_amount,premium_rcv_detail_code,remaining_amt, payrec, mode_code,coinsurance_code,class_cd,it_remarks) values</v>
      </c>
      <c r="G2030" s="11" t="str">
        <f t="shared" si="126"/>
        <v>('28Nov240101','040000121063','13',(select max(to_number(i.premium_rcv_detail_code))+1
from ins_premium_det i),'13','13','02', '11000003','00','Request by Mr. Omair Ali 29-Nov-2024');</v>
      </c>
      <c r="H2030" s="12" t="str">
        <f t="shared" si="127"/>
        <v>insert into ins_premium_det (premium_rcv_code,assorted_code, rec_amount,premium_rcv_detail_code,remaining_amt, payrec, mode_code,coinsurance_code,class_cd,it_remarks) values('28Nov240101','040000121063','13',(select max(to_number(i.premium_rcv_detail_code))+1
from ins_premium_det i),'13','13','02', '11000003','00','Request by Mr. Omair Ali 29-Nov-2024');</v>
      </c>
    </row>
    <row r="2031" spans="1:8" ht="105" x14ac:dyDescent="0.25">
      <c r="A2031" t="s">
        <v>2031</v>
      </c>
      <c r="B2031" s="8" t="str">
        <f>VLOOKUP(A2031,assortedcode!B:C,2,0)</f>
        <v>070000160443</v>
      </c>
      <c r="C2031" s="1">
        <v>14</v>
      </c>
      <c r="D2031" s="9">
        <f t="shared" si="125"/>
        <v>14</v>
      </c>
      <c r="E2031" s="7" t="s">
        <v>8345</v>
      </c>
      <c r="F2031" s="10" t="str">
        <f t="shared" si="124"/>
        <v>insert into ins_premium_det (premium_rcv_code,assorted_code, rec_amount,premium_rcv_detail_code,remaining_amt, payrec, mode_code,coinsurance_code,class_cd,it_remarks) values</v>
      </c>
      <c r="G2031" s="11" t="str">
        <f t="shared" si="126"/>
        <v>('28Nov240101','070000160443','14',(select max(to_number(i.premium_rcv_detail_code))+1
from ins_premium_det i),'14','14','02', '11000003','00','Request by Mr. Omair Ali 29-Nov-2024');</v>
      </c>
      <c r="H2031" s="12" t="str">
        <f t="shared" si="127"/>
        <v>insert into ins_premium_det (premium_rcv_code,assorted_code, rec_amount,premium_rcv_detail_code,remaining_amt, payrec, mode_code,coinsurance_code,class_cd,it_remarks) values('28Nov240101','070000160443','14',(select max(to_number(i.premium_rcv_detail_code))+1
from ins_premium_det i),'14','14','02', '11000003','00','Request by Mr. Omair Ali 29-Nov-2024');</v>
      </c>
    </row>
    <row r="2032" spans="1:8" ht="105" x14ac:dyDescent="0.25">
      <c r="A2032" t="s">
        <v>2032</v>
      </c>
      <c r="B2032" s="8" t="str">
        <f>VLOOKUP(A2032,assortedcode!B:C,2,0)</f>
        <v>040000126822</v>
      </c>
      <c r="C2032" s="1">
        <v>14</v>
      </c>
      <c r="D2032" s="9">
        <f t="shared" si="125"/>
        <v>14</v>
      </c>
      <c r="E2032" s="7" t="s">
        <v>8345</v>
      </c>
      <c r="F2032" s="10" t="str">
        <f t="shared" si="124"/>
        <v>insert into ins_premium_det (premium_rcv_code,assorted_code, rec_amount,premium_rcv_detail_code,remaining_amt, payrec, mode_code,coinsurance_code,class_cd,it_remarks) values</v>
      </c>
      <c r="G2032" s="11" t="str">
        <f t="shared" si="126"/>
        <v>('28Nov240101','040000126822','14',(select max(to_number(i.premium_rcv_detail_code))+1
from ins_premium_det i),'14','14','02', '11000003','00','Request by Mr. Omair Ali 29-Nov-2024');</v>
      </c>
      <c r="H2032" s="12" t="str">
        <f t="shared" si="127"/>
        <v>insert into ins_premium_det (premium_rcv_code,assorted_code, rec_amount,premium_rcv_detail_code,remaining_amt, payrec, mode_code,coinsurance_code,class_cd,it_remarks) values('28Nov240101','040000126822','14',(select max(to_number(i.premium_rcv_detail_code))+1
from ins_premium_det i),'14','14','02', '11000003','00','Request by Mr. Omair Ali 29-Nov-2024');</v>
      </c>
    </row>
    <row r="2033" spans="1:8" ht="105" x14ac:dyDescent="0.25">
      <c r="A2033" t="s">
        <v>2033</v>
      </c>
      <c r="B2033" s="8" t="str">
        <f>VLOOKUP(A2033,assortedcode!B:C,2,0)</f>
        <v>070000160536</v>
      </c>
      <c r="C2033" s="1">
        <v>14</v>
      </c>
      <c r="D2033" s="9">
        <f t="shared" si="125"/>
        <v>14</v>
      </c>
      <c r="E2033" s="7" t="s">
        <v>8345</v>
      </c>
      <c r="F2033" s="10" t="str">
        <f t="shared" si="124"/>
        <v>insert into ins_premium_det (premium_rcv_code,assorted_code, rec_amount,premium_rcv_detail_code,remaining_amt, payrec, mode_code,coinsurance_code,class_cd,it_remarks) values</v>
      </c>
      <c r="G2033" s="11" t="str">
        <f t="shared" si="126"/>
        <v>('28Nov240101','070000160536','14',(select max(to_number(i.premium_rcv_detail_code))+1
from ins_premium_det i),'14','14','02', '11000003','00','Request by Mr. Omair Ali 29-Nov-2024');</v>
      </c>
      <c r="H2033" s="12" t="str">
        <f t="shared" si="127"/>
        <v>insert into ins_premium_det (premium_rcv_code,assorted_code, rec_amount,premium_rcv_detail_code,remaining_amt, payrec, mode_code,coinsurance_code,class_cd,it_remarks) values('28Nov240101','070000160536','14',(select max(to_number(i.premium_rcv_detail_code))+1
from ins_premium_det i),'14','14','02', '11000003','00','Request by Mr. Omair Ali 29-Nov-2024');</v>
      </c>
    </row>
    <row r="2034" spans="1:8" ht="105" x14ac:dyDescent="0.25">
      <c r="A2034" t="s">
        <v>2034</v>
      </c>
      <c r="B2034" s="8" t="str">
        <f>VLOOKUP(A2034,assortedcode!B:C,2,0)</f>
        <v>070000167392</v>
      </c>
      <c r="C2034" s="1">
        <v>16</v>
      </c>
      <c r="D2034" s="9">
        <f t="shared" si="125"/>
        <v>16</v>
      </c>
      <c r="E2034" s="7" t="s">
        <v>8345</v>
      </c>
      <c r="F2034" s="10" t="str">
        <f t="shared" si="124"/>
        <v>insert into ins_premium_det (premium_rcv_code,assorted_code, rec_amount,premium_rcv_detail_code,remaining_amt, payrec, mode_code,coinsurance_code,class_cd,it_remarks) values</v>
      </c>
      <c r="G2034" s="11" t="str">
        <f t="shared" si="126"/>
        <v>('28Nov240101','070000167392','16',(select max(to_number(i.premium_rcv_detail_code))+1
from ins_premium_det i),'16','16','02', '11000003','00','Request by Mr. Omair Ali 29-Nov-2024');</v>
      </c>
      <c r="H2034" s="12" t="str">
        <f t="shared" si="127"/>
        <v>insert into ins_premium_det (premium_rcv_code,assorted_code, rec_amount,premium_rcv_detail_code,remaining_amt, payrec, mode_code,coinsurance_code,class_cd,it_remarks) values('28Nov240101','070000167392','16',(select max(to_number(i.premium_rcv_detail_code))+1
from ins_premium_det i),'16','16','02', '11000003','00','Request by Mr. Omair Ali 29-Nov-2024');</v>
      </c>
    </row>
    <row r="2035" spans="1:8" ht="105" x14ac:dyDescent="0.25">
      <c r="A2035" t="s">
        <v>2035</v>
      </c>
      <c r="B2035" s="8" t="str">
        <f>VLOOKUP(A2035,assortedcode!B:C,2,0)</f>
        <v>040000130854</v>
      </c>
      <c r="C2035" s="1">
        <v>16</v>
      </c>
      <c r="D2035" s="9">
        <f t="shared" si="125"/>
        <v>16</v>
      </c>
      <c r="E2035" s="7" t="s">
        <v>8345</v>
      </c>
      <c r="F2035" s="10" t="str">
        <f t="shared" si="124"/>
        <v>insert into ins_premium_det (premium_rcv_code,assorted_code, rec_amount,premium_rcv_detail_code,remaining_amt, payrec, mode_code,coinsurance_code,class_cd,it_remarks) values</v>
      </c>
      <c r="G2035" s="11" t="str">
        <f t="shared" si="126"/>
        <v>('28Nov240101','040000130854','16',(select max(to_number(i.premium_rcv_detail_code))+1
from ins_premium_det i),'16','16','02', '11000003','00','Request by Mr. Omair Ali 29-Nov-2024');</v>
      </c>
      <c r="H2035" s="12" t="str">
        <f t="shared" si="127"/>
        <v>insert into ins_premium_det (premium_rcv_code,assorted_code, rec_amount,premium_rcv_detail_code,remaining_amt, payrec, mode_code,coinsurance_code,class_cd,it_remarks) values('28Nov240101','040000130854','16',(select max(to_number(i.premium_rcv_detail_code))+1
from ins_premium_det i),'16','16','02', '11000003','00','Request by Mr. Omair Ali 29-Nov-2024');</v>
      </c>
    </row>
    <row r="2036" spans="1:8" ht="105" x14ac:dyDescent="0.25">
      <c r="A2036" t="s">
        <v>2036</v>
      </c>
      <c r="B2036" s="8" t="str">
        <f>VLOOKUP(A2036,assortedcode!B:C,2,0)</f>
        <v>040000115513</v>
      </c>
      <c r="C2036" s="1">
        <v>16</v>
      </c>
      <c r="D2036" s="9">
        <f t="shared" si="125"/>
        <v>16</v>
      </c>
      <c r="E2036" s="7" t="s">
        <v>8345</v>
      </c>
      <c r="F2036" s="10" t="str">
        <f t="shared" si="124"/>
        <v>insert into ins_premium_det (premium_rcv_code,assorted_code, rec_amount,premium_rcv_detail_code,remaining_amt, payrec, mode_code,coinsurance_code,class_cd,it_remarks) values</v>
      </c>
      <c r="G2036" s="11" t="str">
        <f t="shared" si="126"/>
        <v>('28Nov240101','040000115513','16',(select max(to_number(i.premium_rcv_detail_code))+1
from ins_premium_det i),'16','16','02', '11000003','00','Request by Mr. Omair Ali 29-Nov-2024');</v>
      </c>
      <c r="H2036" s="12" t="str">
        <f t="shared" si="127"/>
        <v>insert into ins_premium_det (premium_rcv_code,assorted_code, rec_amount,premium_rcv_detail_code,remaining_amt, payrec, mode_code,coinsurance_code,class_cd,it_remarks) values('28Nov240101','040000115513','16',(select max(to_number(i.premium_rcv_detail_code))+1
from ins_premium_det i),'16','16','02', '11000003','00','Request by Mr. Omair Ali 29-Nov-2024');</v>
      </c>
    </row>
    <row r="2037" spans="1:8" ht="105" x14ac:dyDescent="0.25">
      <c r="A2037" t="s">
        <v>2037</v>
      </c>
      <c r="B2037" s="8" t="str">
        <f>VLOOKUP(A2037,assortedcode!B:C,2,0)</f>
        <v>070000130632</v>
      </c>
      <c r="C2037" s="1">
        <v>17</v>
      </c>
      <c r="D2037" s="9">
        <f t="shared" si="125"/>
        <v>17</v>
      </c>
      <c r="E2037" s="7" t="s">
        <v>8345</v>
      </c>
      <c r="F2037" s="10" t="str">
        <f t="shared" si="124"/>
        <v>insert into ins_premium_det (premium_rcv_code,assorted_code, rec_amount,premium_rcv_detail_code,remaining_amt, payrec, mode_code,coinsurance_code,class_cd,it_remarks) values</v>
      </c>
      <c r="G2037" s="11" t="str">
        <f t="shared" si="126"/>
        <v>('28Nov240101','070000130632','17',(select max(to_number(i.premium_rcv_detail_code))+1
from ins_premium_det i),'17','17','02', '11000003','00','Request by Mr. Omair Ali 29-Nov-2024');</v>
      </c>
      <c r="H2037" s="12" t="str">
        <f t="shared" si="127"/>
        <v>insert into ins_premium_det (premium_rcv_code,assorted_code, rec_amount,premium_rcv_detail_code,remaining_amt, payrec, mode_code,coinsurance_code,class_cd,it_remarks) values('28Nov240101','070000130632','17',(select max(to_number(i.premium_rcv_detail_code))+1
from ins_premium_det i),'17','17','02', '11000003','00','Request by Mr. Omair Ali 29-Nov-2024');</v>
      </c>
    </row>
    <row r="2038" spans="1:8" ht="105" x14ac:dyDescent="0.25">
      <c r="A2038" t="s">
        <v>2038</v>
      </c>
      <c r="B2038" s="8" t="str">
        <f>VLOOKUP(A2038,assortedcode!B:C,2,0)</f>
        <v>070000130631</v>
      </c>
      <c r="C2038" s="1">
        <v>18</v>
      </c>
      <c r="D2038" s="9">
        <f t="shared" si="125"/>
        <v>18</v>
      </c>
      <c r="E2038" s="7" t="s">
        <v>8345</v>
      </c>
      <c r="F2038" s="10" t="str">
        <f t="shared" si="124"/>
        <v>insert into ins_premium_det (premium_rcv_code,assorted_code, rec_amount,premium_rcv_detail_code,remaining_amt, payrec, mode_code,coinsurance_code,class_cd,it_remarks) values</v>
      </c>
      <c r="G2038" s="11" t="str">
        <f t="shared" si="126"/>
        <v>('28Nov240101','070000130631','18',(select max(to_number(i.premium_rcv_detail_code))+1
from ins_premium_det i),'18','18','02', '11000003','00','Request by Mr. Omair Ali 29-Nov-2024');</v>
      </c>
      <c r="H2038" s="12" t="str">
        <f t="shared" si="127"/>
        <v>insert into ins_premium_det (premium_rcv_code,assorted_code, rec_amount,premium_rcv_detail_code,remaining_amt, payrec, mode_code,coinsurance_code,class_cd,it_remarks) values('28Nov240101','070000130631','18',(select max(to_number(i.premium_rcv_detail_code))+1
from ins_premium_det i),'18','18','02', '11000003','00','Request by Mr. Omair Ali 29-Nov-2024');</v>
      </c>
    </row>
    <row r="2039" spans="1:8" ht="105" x14ac:dyDescent="0.25">
      <c r="A2039" t="s">
        <v>2039</v>
      </c>
      <c r="B2039" s="8" t="str">
        <f>VLOOKUP(A2039,assortedcode!B:C,2,0)</f>
        <v>040000185370</v>
      </c>
      <c r="C2039" s="1">
        <v>18</v>
      </c>
      <c r="D2039" s="9">
        <f t="shared" si="125"/>
        <v>18</v>
      </c>
      <c r="E2039" s="7" t="s">
        <v>8345</v>
      </c>
      <c r="F2039" s="10" t="str">
        <f t="shared" si="124"/>
        <v>insert into ins_premium_det (premium_rcv_code,assorted_code, rec_amount,premium_rcv_detail_code,remaining_amt, payrec, mode_code,coinsurance_code,class_cd,it_remarks) values</v>
      </c>
      <c r="G2039" s="11" t="str">
        <f t="shared" si="126"/>
        <v>('28Nov240101','040000185370','18',(select max(to_number(i.premium_rcv_detail_code))+1
from ins_premium_det i),'18','18','02', '11000003','00','Request by Mr. Omair Ali 29-Nov-2024');</v>
      </c>
      <c r="H2039" s="12" t="str">
        <f t="shared" si="127"/>
        <v>insert into ins_premium_det (premium_rcv_code,assorted_code, rec_amount,premium_rcv_detail_code,remaining_amt, payrec, mode_code,coinsurance_code,class_cd,it_remarks) values('28Nov240101','040000185370','18',(select max(to_number(i.premium_rcv_detail_code))+1
from ins_premium_det i),'18','18','02', '11000003','00','Request by Mr. Omair Ali 29-Nov-2024');</v>
      </c>
    </row>
    <row r="2040" spans="1:8" ht="105" x14ac:dyDescent="0.25">
      <c r="A2040" t="s">
        <v>2040</v>
      </c>
      <c r="B2040" s="8" t="str">
        <f>VLOOKUP(A2040,assortedcode!B:C,2,0)</f>
        <v>070000129224</v>
      </c>
      <c r="C2040" s="1">
        <v>18</v>
      </c>
      <c r="D2040" s="9">
        <f t="shared" si="125"/>
        <v>18</v>
      </c>
      <c r="E2040" s="7" t="s">
        <v>8345</v>
      </c>
      <c r="F2040" s="10" t="str">
        <f t="shared" si="124"/>
        <v>insert into ins_premium_det (premium_rcv_code,assorted_code, rec_amount,premium_rcv_detail_code,remaining_amt, payrec, mode_code,coinsurance_code,class_cd,it_remarks) values</v>
      </c>
      <c r="G2040" s="11" t="str">
        <f t="shared" si="126"/>
        <v>('28Nov240101','070000129224','18',(select max(to_number(i.premium_rcv_detail_code))+1
from ins_premium_det i),'18','18','02', '11000003','00','Request by Mr. Omair Ali 29-Nov-2024');</v>
      </c>
      <c r="H2040" s="12" t="str">
        <f t="shared" si="127"/>
        <v>insert into ins_premium_det (premium_rcv_code,assorted_code, rec_amount,premium_rcv_detail_code,remaining_amt, payrec, mode_code,coinsurance_code,class_cd,it_remarks) values('28Nov240101','070000129224','18',(select max(to_number(i.premium_rcv_detail_code))+1
from ins_premium_det i),'18','18','02', '11000003','00','Request by Mr. Omair Ali 29-Nov-2024');</v>
      </c>
    </row>
    <row r="2041" spans="1:8" ht="105" x14ac:dyDescent="0.25">
      <c r="A2041" t="s">
        <v>2041</v>
      </c>
      <c r="B2041" s="8" t="str">
        <f>VLOOKUP(A2041,assortedcode!B:C,2,0)</f>
        <v>070000129217</v>
      </c>
      <c r="C2041" s="1">
        <v>18</v>
      </c>
      <c r="D2041" s="9">
        <f t="shared" si="125"/>
        <v>18</v>
      </c>
      <c r="E2041" s="7" t="s">
        <v>8345</v>
      </c>
      <c r="F2041" s="10" t="str">
        <f t="shared" si="124"/>
        <v>insert into ins_premium_det (premium_rcv_code,assorted_code, rec_amount,premium_rcv_detail_code,remaining_amt, payrec, mode_code,coinsurance_code,class_cd,it_remarks) values</v>
      </c>
      <c r="G2041" s="11" t="str">
        <f t="shared" si="126"/>
        <v>('28Nov240101','070000129217','18',(select max(to_number(i.premium_rcv_detail_code))+1
from ins_premium_det i),'18','18','02', '11000003','00','Request by Mr. Omair Ali 29-Nov-2024');</v>
      </c>
      <c r="H2041" s="12" t="str">
        <f t="shared" si="127"/>
        <v>insert into ins_premium_det (premium_rcv_code,assorted_code, rec_amount,premium_rcv_detail_code,remaining_amt, payrec, mode_code,coinsurance_code,class_cd,it_remarks) values('28Nov240101','070000129217','18',(select max(to_number(i.premium_rcv_detail_code))+1
from ins_premium_det i),'18','18','02', '11000003','00','Request by Mr. Omair Ali 29-Nov-2024');</v>
      </c>
    </row>
    <row r="2042" spans="1:8" ht="105" x14ac:dyDescent="0.25">
      <c r="A2042" t="s">
        <v>2042</v>
      </c>
      <c r="B2042" s="8" t="str">
        <f>VLOOKUP(A2042,assortedcode!B:C,2,0)</f>
        <v>070000129093</v>
      </c>
      <c r="C2042" s="1">
        <v>18</v>
      </c>
      <c r="D2042" s="9">
        <f t="shared" si="125"/>
        <v>18</v>
      </c>
      <c r="E2042" s="7" t="s">
        <v>8345</v>
      </c>
      <c r="F2042" s="10" t="str">
        <f t="shared" si="124"/>
        <v>insert into ins_premium_det (premium_rcv_code,assorted_code, rec_amount,premium_rcv_detail_code,remaining_amt, payrec, mode_code,coinsurance_code,class_cd,it_remarks) values</v>
      </c>
      <c r="G2042" s="11" t="str">
        <f t="shared" si="126"/>
        <v>('28Nov240101','070000129093','18',(select max(to_number(i.premium_rcv_detail_code))+1
from ins_premium_det i),'18','18','02', '11000003','00','Request by Mr. Omair Ali 29-Nov-2024');</v>
      </c>
      <c r="H2042" s="12" t="str">
        <f t="shared" si="127"/>
        <v>insert into ins_premium_det (premium_rcv_code,assorted_code, rec_amount,premium_rcv_detail_code,remaining_amt, payrec, mode_code,coinsurance_code,class_cd,it_remarks) values('28Nov240101','070000129093','18',(select max(to_number(i.premium_rcv_detail_code))+1
from ins_premium_det i),'18','18','02', '11000003','00','Request by Mr. Omair Ali 29-Nov-2024');</v>
      </c>
    </row>
    <row r="2043" spans="1:8" ht="105" x14ac:dyDescent="0.25">
      <c r="A2043" t="s">
        <v>2043</v>
      </c>
      <c r="B2043" s="8" t="str">
        <f>VLOOKUP(A2043,assortedcode!B:C,2,0)</f>
        <v>070000147081</v>
      </c>
      <c r="C2043" s="1">
        <v>18</v>
      </c>
      <c r="D2043" s="9">
        <f t="shared" si="125"/>
        <v>18</v>
      </c>
      <c r="E2043" s="7" t="s">
        <v>8345</v>
      </c>
      <c r="F2043" s="10" t="str">
        <f t="shared" si="124"/>
        <v>insert into ins_premium_det (premium_rcv_code,assorted_code, rec_amount,premium_rcv_detail_code,remaining_amt, payrec, mode_code,coinsurance_code,class_cd,it_remarks) values</v>
      </c>
      <c r="G2043" s="11" t="str">
        <f t="shared" si="126"/>
        <v>('28Nov240101','070000147081','18',(select max(to_number(i.premium_rcv_detail_code))+1
from ins_premium_det i),'18','18','02', '11000003','00','Request by Mr. Omair Ali 29-Nov-2024');</v>
      </c>
      <c r="H2043" s="12" t="str">
        <f t="shared" si="127"/>
        <v>insert into ins_premium_det (premium_rcv_code,assorted_code, rec_amount,premium_rcv_detail_code,remaining_amt, payrec, mode_code,coinsurance_code,class_cd,it_remarks) values('28Nov240101','070000147081','18',(select max(to_number(i.premium_rcv_detail_code))+1
from ins_premium_det i),'18','18','02', '11000003','00','Request by Mr. Omair Ali 29-Nov-2024');</v>
      </c>
    </row>
    <row r="2044" spans="1:8" ht="105" x14ac:dyDescent="0.25">
      <c r="A2044" t="s">
        <v>2044</v>
      </c>
      <c r="B2044" s="8" t="str">
        <f>VLOOKUP(A2044,assortedcode!B:C,2,0)</f>
        <v>070000146923</v>
      </c>
      <c r="C2044" s="1">
        <v>18</v>
      </c>
      <c r="D2044" s="9">
        <f t="shared" si="125"/>
        <v>18</v>
      </c>
      <c r="E2044" s="7" t="s">
        <v>8345</v>
      </c>
      <c r="F2044" s="10" t="str">
        <f t="shared" si="124"/>
        <v>insert into ins_premium_det (premium_rcv_code,assorted_code, rec_amount,premium_rcv_detail_code,remaining_amt, payrec, mode_code,coinsurance_code,class_cd,it_remarks) values</v>
      </c>
      <c r="G2044" s="11" t="str">
        <f t="shared" si="126"/>
        <v>('28Nov240101','070000146923','18',(select max(to_number(i.premium_rcv_detail_code))+1
from ins_premium_det i),'18','18','02', '11000003','00','Request by Mr. Omair Ali 29-Nov-2024');</v>
      </c>
      <c r="H2044" s="12" t="str">
        <f t="shared" si="127"/>
        <v>insert into ins_premium_det (premium_rcv_code,assorted_code, rec_amount,premium_rcv_detail_code,remaining_amt, payrec, mode_code,coinsurance_code,class_cd,it_remarks) values('28Nov240101','070000146923','18',(select max(to_number(i.premium_rcv_detail_code))+1
from ins_premium_det i),'18','18','02', '11000003','00','Request by Mr. Omair Ali 29-Nov-2024');</v>
      </c>
    </row>
    <row r="2045" spans="1:8" ht="105" x14ac:dyDescent="0.25">
      <c r="A2045" t="s">
        <v>2045</v>
      </c>
      <c r="B2045" s="8" t="str">
        <f>VLOOKUP(A2045,assortedcode!B:C,2,0)</f>
        <v>070000135519</v>
      </c>
      <c r="C2045" s="1">
        <v>18</v>
      </c>
      <c r="D2045" s="9">
        <f t="shared" si="125"/>
        <v>18</v>
      </c>
      <c r="E2045" s="7" t="s">
        <v>8345</v>
      </c>
      <c r="F2045" s="10" t="str">
        <f t="shared" si="124"/>
        <v>insert into ins_premium_det (premium_rcv_code,assorted_code, rec_amount,premium_rcv_detail_code,remaining_amt, payrec, mode_code,coinsurance_code,class_cd,it_remarks) values</v>
      </c>
      <c r="G2045" s="11" t="str">
        <f t="shared" si="126"/>
        <v>('28Nov240101','070000135519','18',(select max(to_number(i.premium_rcv_detail_code))+1
from ins_premium_det i),'18','18','02', '11000003','00','Request by Mr. Omair Ali 29-Nov-2024');</v>
      </c>
      <c r="H2045" s="12" t="str">
        <f t="shared" si="127"/>
        <v>insert into ins_premium_det (premium_rcv_code,assorted_code, rec_amount,premium_rcv_detail_code,remaining_amt, payrec, mode_code,coinsurance_code,class_cd,it_remarks) values('28Nov240101','070000135519','18',(select max(to_number(i.premium_rcv_detail_code))+1
from ins_premium_det i),'18','18','02', '11000003','00','Request by Mr. Omair Ali 29-Nov-2024');</v>
      </c>
    </row>
    <row r="2046" spans="1:8" ht="105" x14ac:dyDescent="0.25">
      <c r="A2046" t="s">
        <v>2046</v>
      </c>
      <c r="B2046" s="8" t="str">
        <f>VLOOKUP(A2046,assortedcode!B:C,2,0)</f>
        <v>070000147285</v>
      </c>
      <c r="C2046" s="1">
        <v>18</v>
      </c>
      <c r="D2046" s="9">
        <f t="shared" si="125"/>
        <v>18</v>
      </c>
      <c r="E2046" s="7" t="s">
        <v>8345</v>
      </c>
      <c r="F2046" s="10" t="str">
        <f t="shared" si="124"/>
        <v>insert into ins_premium_det (premium_rcv_code,assorted_code, rec_amount,premium_rcv_detail_code,remaining_amt, payrec, mode_code,coinsurance_code,class_cd,it_remarks) values</v>
      </c>
      <c r="G2046" s="11" t="str">
        <f t="shared" si="126"/>
        <v>('28Nov240101','070000147285','18',(select max(to_number(i.premium_rcv_detail_code))+1
from ins_premium_det i),'18','18','02', '11000003','00','Request by Mr. Omair Ali 29-Nov-2024');</v>
      </c>
      <c r="H2046" s="12" t="str">
        <f t="shared" si="127"/>
        <v>insert into ins_premium_det (premium_rcv_code,assorted_code, rec_amount,premium_rcv_detail_code,remaining_amt, payrec, mode_code,coinsurance_code,class_cd,it_remarks) values('28Nov240101','070000147285','18',(select max(to_number(i.premium_rcv_detail_code))+1
from ins_premium_det i),'18','18','02', '11000003','00','Request by Mr. Omair Ali 29-Nov-2024');</v>
      </c>
    </row>
    <row r="2047" spans="1:8" ht="105" x14ac:dyDescent="0.25">
      <c r="A2047" t="s">
        <v>2047</v>
      </c>
      <c r="B2047" s="8" t="str">
        <f>VLOOKUP(A2047,assortedcode!B:C,2,0)</f>
        <v>070000147162</v>
      </c>
      <c r="C2047" s="1">
        <v>18</v>
      </c>
      <c r="D2047" s="9">
        <f t="shared" si="125"/>
        <v>18</v>
      </c>
      <c r="E2047" s="7" t="s">
        <v>8345</v>
      </c>
      <c r="F2047" s="10" t="str">
        <f t="shared" si="124"/>
        <v>insert into ins_premium_det (premium_rcv_code,assorted_code, rec_amount,premium_rcv_detail_code,remaining_amt, payrec, mode_code,coinsurance_code,class_cd,it_remarks) values</v>
      </c>
      <c r="G2047" s="11" t="str">
        <f t="shared" si="126"/>
        <v>('28Nov240101','070000147162','18',(select max(to_number(i.premium_rcv_detail_code))+1
from ins_premium_det i),'18','18','02', '11000003','00','Request by Mr. Omair Ali 29-Nov-2024');</v>
      </c>
      <c r="H2047" s="12" t="str">
        <f t="shared" si="127"/>
        <v>insert into ins_premium_det (premium_rcv_code,assorted_code, rec_amount,premium_rcv_detail_code,remaining_amt, payrec, mode_code,coinsurance_code,class_cd,it_remarks) values('28Nov240101','070000147162','18',(select max(to_number(i.premium_rcv_detail_code))+1
from ins_premium_det i),'18','18','02', '11000003','00','Request by Mr. Omair Ali 29-Nov-2024');</v>
      </c>
    </row>
    <row r="2048" spans="1:8" ht="105" x14ac:dyDescent="0.25">
      <c r="A2048" t="s">
        <v>2048</v>
      </c>
      <c r="B2048" s="8" t="str">
        <f>VLOOKUP(A2048,assortedcode!B:C,2,0)</f>
        <v>070000146976</v>
      </c>
      <c r="C2048" s="1">
        <v>18</v>
      </c>
      <c r="D2048" s="9">
        <f t="shared" si="125"/>
        <v>18</v>
      </c>
      <c r="E2048" s="7" t="s">
        <v>8345</v>
      </c>
      <c r="F2048" s="10" t="str">
        <f t="shared" si="124"/>
        <v>insert into ins_premium_det (premium_rcv_code,assorted_code, rec_amount,premium_rcv_detail_code,remaining_amt, payrec, mode_code,coinsurance_code,class_cd,it_remarks) values</v>
      </c>
      <c r="G2048" s="11" t="str">
        <f t="shared" si="126"/>
        <v>('28Nov240101','070000146976','18',(select max(to_number(i.premium_rcv_detail_code))+1
from ins_premium_det i),'18','18','02', '11000003','00','Request by Mr. Omair Ali 29-Nov-2024');</v>
      </c>
      <c r="H2048" s="12" t="str">
        <f t="shared" si="127"/>
        <v>insert into ins_premium_det (premium_rcv_code,assorted_code, rec_amount,premium_rcv_detail_code,remaining_amt, payrec, mode_code,coinsurance_code,class_cd,it_remarks) values('28Nov240101','070000146976','18',(select max(to_number(i.premium_rcv_detail_code))+1
from ins_premium_det i),'18','18','02', '11000003','00','Request by Mr. Omair Ali 29-Nov-2024');</v>
      </c>
    </row>
    <row r="2049" spans="1:8" ht="105" x14ac:dyDescent="0.25">
      <c r="A2049" t="s">
        <v>2049</v>
      </c>
      <c r="B2049" s="8" t="str">
        <f>VLOOKUP(A2049,assortedcode!B:C,2,0)</f>
        <v>070000147159</v>
      </c>
      <c r="C2049" s="1">
        <v>18</v>
      </c>
      <c r="D2049" s="9">
        <f t="shared" si="125"/>
        <v>18</v>
      </c>
      <c r="E2049" s="7" t="s">
        <v>8345</v>
      </c>
      <c r="F2049" s="10" t="str">
        <f t="shared" si="124"/>
        <v>insert into ins_premium_det (premium_rcv_code,assorted_code, rec_amount,premium_rcv_detail_code,remaining_amt, payrec, mode_code,coinsurance_code,class_cd,it_remarks) values</v>
      </c>
      <c r="G2049" s="11" t="str">
        <f t="shared" si="126"/>
        <v>('28Nov240101','070000147159','18',(select max(to_number(i.premium_rcv_detail_code))+1
from ins_premium_det i),'18','18','02', '11000003','00','Request by Mr. Omair Ali 29-Nov-2024');</v>
      </c>
      <c r="H2049" s="12" t="str">
        <f t="shared" si="127"/>
        <v>insert into ins_premium_det (premium_rcv_code,assorted_code, rec_amount,premium_rcv_detail_code,remaining_amt, payrec, mode_code,coinsurance_code,class_cd,it_remarks) values('28Nov240101','070000147159','18',(select max(to_number(i.premium_rcv_detail_code))+1
from ins_premium_det i),'18','18','02', '11000003','00','Request by Mr. Omair Ali 29-Nov-2024');</v>
      </c>
    </row>
    <row r="2050" spans="1:8" ht="105" x14ac:dyDescent="0.25">
      <c r="A2050" t="s">
        <v>2050</v>
      </c>
      <c r="B2050" s="8" t="str">
        <f>VLOOKUP(A2050,assortedcode!B:C,2,0)</f>
        <v>070000146979</v>
      </c>
      <c r="C2050" s="1">
        <v>18</v>
      </c>
      <c r="D2050" s="9">
        <f t="shared" si="125"/>
        <v>18</v>
      </c>
      <c r="E2050" s="7" t="s">
        <v>8345</v>
      </c>
      <c r="F2050" s="10" t="str">
        <f t="shared" ref="F2050:F2113" si="128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2050" s="11" t="str">
        <f t="shared" si="126"/>
        <v>('28Nov240101','070000146979','18',(select max(to_number(i.premium_rcv_detail_code))+1
from ins_premium_det i),'18','18','02', '11000003','00','Request by Mr. Omair Ali 29-Nov-2024');</v>
      </c>
      <c r="H2050" s="12" t="str">
        <f t="shared" si="127"/>
        <v>insert into ins_premium_det (premium_rcv_code,assorted_code, rec_amount,premium_rcv_detail_code,remaining_amt, payrec, mode_code,coinsurance_code,class_cd,it_remarks) values('28Nov240101','070000146979','18',(select max(to_number(i.premium_rcv_detail_code))+1
from ins_premium_det i),'18','18','02', '11000003','00','Request by Mr. Omair Ali 29-Nov-2024');</v>
      </c>
    </row>
    <row r="2051" spans="1:8" ht="105" x14ac:dyDescent="0.25">
      <c r="A2051" t="s">
        <v>2051</v>
      </c>
      <c r="B2051" s="8" t="str">
        <f>VLOOKUP(A2051,assortedcode!B:C,2,0)</f>
        <v>070000157069</v>
      </c>
      <c r="C2051" s="1">
        <v>18</v>
      </c>
      <c r="D2051" s="9">
        <f t="shared" ref="D2051:D2114" si="129">ROUND(C2051,0)</f>
        <v>18</v>
      </c>
      <c r="E2051" s="7" t="s">
        <v>8345</v>
      </c>
      <c r="F2051" s="10" t="str">
        <f t="shared" si="128"/>
        <v>insert into ins_premium_det (premium_rcv_code,assorted_code, rec_amount,premium_rcv_detail_code,remaining_amt, payrec, mode_code,coinsurance_code,class_cd,it_remarks) values</v>
      </c>
      <c r="G2051" s="11" t="str">
        <f t="shared" ref="G2051:G2114" si="130">"('"&amp;E2051&amp;"','"&amp;B2051&amp;"','"&amp;ROUND(D2051,2)&amp;"',(select max(to_number(i.premium_rcv_detail_code))+1
from ins_premium_det i),'"&amp;D2051&amp;"','"&amp;D2051&amp;"','02', '11000003','00','Request by Mr. Omair Ali 29-Nov-2024');"</f>
        <v>('28Nov240101','070000157069','18',(select max(to_number(i.premium_rcv_detail_code))+1
from ins_premium_det i),'18','18','02', '11000003','00','Request by Mr. Omair Ali 29-Nov-2024');</v>
      </c>
      <c r="H2051" s="12" t="str">
        <f t="shared" ref="H2051:H2114" si="131">F2051&amp;G2051</f>
        <v>insert into ins_premium_det (premium_rcv_code,assorted_code, rec_amount,premium_rcv_detail_code,remaining_amt, payrec, mode_code,coinsurance_code,class_cd,it_remarks) values('28Nov240101','070000157069','18',(select max(to_number(i.premium_rcv_detail_code))+1
from ins_premium_det i),'18','18','02', '11000003','00','Request by Mr. Omair Ali 29-Nov-2024');</v>
      </c>
    </row>
    <row r="2052" spans="1:8" ht="105" x14ac:dyDescent="0.25">
      <c r="A2052" t="s">
        <v>2052</v>
      </c>
      <c r="B2052" s="8" t="str">
        <f>VLOOKUP(A2052,assortedcode!B:C,2,0)</f>
        <v>070000147015</v>
      </c>
      <c r="C2052" s="1">
        <v>18</v>
      </c>
      <c r="D2052" s="9">
        <f t="shared" si="129"/>
        <v>18</v>
      </c>
      <c r="E2052" s="7" t="s">
        <v>8345</v>
      </c>
      <c r="F2052" s="10" t="str">
        <f t="shared" si="128"/>
        <v>insert into ins_premium_det (premium_rcv_code,assorted_code, rec_amount,premium_rcv_detail_code,remaining_amt, payrec, mode_code,coinsurance_code,class_cd,it_remarks) values</v>
      </c>
      <c r="G2052" s="11" t="str">
        <f t="shared" si="130"/>
        <v>('28Nov240101','070000147015','18',(select max(to_number(i.premium_rcv_detail_code))+1
from ins_premium_det i),'18','18','02', '11000003','00','Request by Mr. Omair Ali 29-Nov-2024');</v>
      </c>
      <c r="H2052" s="12" t="str">
        <f t="shared" si="131"/>
        <v>insert into ins_premium_det (premium_rcv_code,assorted_code, rec_amount,premium_rcv_detail_code,remaining_amt, payrec, mode_code,coinsurance_code,class_cd,it_remarks) values('28Nov240101','070000147015','18',(select max(to_number(i.premium_rcv_detail_code))+1
from ins_premium_det i),'18','18','02', '11000003','00','Request by Mr. Omair Ali 29-Nov-2024');</v>
      </c>
    </row>
    <row r="2053" spans="1:8" ht="105" x14ac:dyDescent="0.25">
      <c r="A2053" t="s">
        <v>2053</v>
      </c>
      <c r="B2053" s="8" t="str">
        <f>VLOOKUP(A2053,assortedcode!B:C,2,0)</f>
        <v>070000135513</v>
      </c>
      <c r="C2053" s="1">
        <v>18</v>
      </c>
      <c r="D2053" s="9">
        <f t="shared" si="129"/>
        <v>18</v>
      </c>
      <c r="E2053" s="7" t="s">
        <v>8345</v>
      </c>
      <c r="F2053" s="10" t="str">
        <f t="shared" si="128"/>
        <v>insert into ins_premium_det (premium_rcv_code,assorted_code, rec_amount,premium_rcv_detail_code,remaining_amt, payrec, mode_code,coinsurance_code,class_cd,it_remarks) values</v>
      </c>
      <c r="G2053" s="11" t="str">
        <f t="shared" si="130"/>
        <v>('28Nov240101','070000135513','18',(select max(to_number(i.premium_rcv_detail_code))+1
from ins_premium_det i),'18','18','02', '11000003','00','Request by Mr. Omair Ali 29-Nov-2024');</v>
      </c>
      <c r="H2053" s="12" t="str">
        <f t="shared" si="131"/>
        <v>insert into ins_premium_det (premium_rcv_code,assorted_code, rec_amount,premium_rcv_detail_code,remaining_amt, payrec, mode_code,coinsurance_code,class_cd,it_remarks) values('28Nov240101','070000135513','18',(select max(to_number(i.premium_rcv_detail_code))+1
from ins_premium_det i),'18','18','02', '11000003','00','Request by Mr. Omair Ali 29-Nov-2024');</v>
      </c>
    </row>
    <row r="2054" spans="1:8" ht="105" x14ac:dyDescent="0.25">
      <c r="A2054" t="s">
        <v>2054</v>
      </c>
      <c r="B2054" s="8" t="str">
        <f>VLOOKUP(A2054,assortedcode!B:C,2,0)</f>
        <v>070000135251</v>
      </c>
      <c r="C2054" s="1">
        <v>18</v>
      </c>
      <c r="D2054" s="9">
        <f t="shared" si="129"/>
        <v>18</v>
      </c>
      <c r="E2054" s="7" t="s">
        <v>8345</v>
      </c>
      <c r="F2054" s="10" t="str">
        <f t="shared" si="128"/>
        <v>insert into ins_premium_det (premium_rcv_code,assorted_code, rec_amount,premium_rcv_detail_code,remaining_amt, payrec, mode_code,coinsurance_code,class_cd,it_remarks) values</v>
      </c>
      <c r="G2054" s="11" t="str">
        <f t="shared" si="130"/>
        <v>('28Nov240101','070000135251','18',(select max(to_number(i.premium_rcv_detail_code))+1
from ins_premium_det i),'18','18','02', '11000003','00','Request by Mr. Omair Ali 29-Nov-2024');</v>
      </c>
      <c r="H2054" s="12" t="str">
        <f t="shared" si="131"/>
        <v>insert into ins_premium_det (premium_rcv_code,assorted_code, rec_amount,premium_rcv_detail_code,remaining_amt, payrec, mode_code,coinsurance_code,class_cd,it_remarks) values('28Nov240101','070000135251','18',(select max(to_number(i.premium_rcv_detail_code))+1
from ins_premium_det i),'18','18','02', '11000003','00','Request by Mr. Omair Ali 29-Nov-2024');</v>
      </c>
    </row>
    <row r="2055" spans="1:8" ht="105" x14ac:dyDescent="0.25">
      <c r="A2055" t="s">
        <v>2055</v>
      </c>
      <c r="B2055" s="8" t="str">
        <f>VLOOKUP(A2055,assortedcode!B:C,2,0)</f>
        <v>040000185361</v>
      </c>
      <c r="C2055" s="1">
        <v>19</v>
      </c>
      <c r="D2055" s="9">
        <f t="shared" si="129"/>
        <v>19</v>
      </c>
      <c r="E2055" s="7" t="s">
        <v>8345</v>
      </c>
      <c r="F2055" s="10" t="str">
        <f t="shared" si="128"/>
        <v>insert into ins_premium_det (premium_rcv_code,assorted_code, rec_amount,premium_rcv_detail_code,remaining_amt, payrec, mode_code,coinsurance_code,class_cd,it_remarks) values</v>
      </c>
      <c r="G2055" s="11" t="str">
        <f t="shared" si="130"/>
        <v>('28Nov240101','040000185361','19',(select max(to_number(i.premium_rcv_detail_code))+1
from ins_premium_det i),'19','19','02', '11000003','00','Request by Mr. Omair Ali 29-Nov-2024');</v>
      </c>
      <c r="H2055" s="12" t="str">
        <f t="shared" si="131"/>
        <v>insert into ins_premium_det (premium_rcv_code,assorted_code, rec_amount,premium_rcv_detail_code,remaining_amt, payrec, mode_code,coinsurance_code,class_cd,it_remarks) values('28Nov240101','040000185361','19',(select max(to_number(i.premium_rcv_detail_code))+1
from ins_premium_det i),'19','19','02', '11000003','00','Request by Mr. Omair Ali 29-Nov-2024');</v>
      </c>
    </row>
    <row r="2056" spans="1:8" ht="105" x14ac:dyDescent="0.25">
      <c r="A2056" t="s">
        <v>2056</v>
      </c>
      <c r="B2056" s="8" t="str">
        <f>VLOOKUP(A2056,assortedcode!B:C,2,0)</f>
        <v>040000151815</v>
      </c>
      <c r="C2056" s="1">
        <v>19</v>
      </c>
      <c r="D2056" s="9">
        <f t="shared" si="129"/>
        <v>19</v>
      </c>
      <c r="E2056" s="7" t="s">
        <v>8345</v>
      </c>
      <c r="F2056" s="10" t="str">
        <f t="shared" si="128"/>
        <v>insert into ins_premium_det (premium_rcv_code,assorted_code, rec_amount,premium_rcv_detail_code,remaining_amt, payrec, mode_code,coinsurance_code,class_cd,it_remarks) values</v>
      </c>
      <c r="G2056" s="11" t="str">
        <f t="shared" si="130"/>
        <v>('28Nov240101','040000151815','19',(select max(to_number(i.premium_rcv_detail_code))+1
from ins_premium_det i),'19','19','02', '11000003','00','Request by Mr. Omair Ali 29-Nov-2024');</v>
      </c>
      <c r="H2056" s="12" t="str">
        <f t="shared" si="131"/>
        <v>insert into ins_premium_det (premium_rcv_code,assorted_code, rec_amount,premium_rcv_detail_code,remaining_amt, payrec, mode_code,coinsurance_code,class_cd,it_remarks) values('28Nov240101','040000151815','19',(select max(to_number(i.premium_rcv_detail_code))+1
from ins_premium_det i),'19','19','02', '11000003','00','Request by Mr. Omair Ali 29-Nov-2024');</v>
      </c>
    </row>
    <row r="2057" spans="1:8" ht="105" x14ac:dyDescent="0.25">
      <c r="A2057" t="s">
        <v>2057</v>
      </c>
      <c r="B2057" s="8" t="str">
        <f>VLOOKUP(A2057,assortedcode!B:C,2,0)</f>
        <v>040000139332</v>
      </c>
      <c r="C2057" s="1">
        <v>19</v>
      </c>
      <c r="D2057" s="9">
        <f t="shared" si="129"/>
        <v>19</v>
      </c>
      <c r="E2057" s="7" t="s">
        <v>8345</v>
      </c>
      <c r="F2057" s="10" t="str">
        <f t="shared" si="128"/>
        <v>insert into ins_premium_det (premium_rcv_code,assorted_code, rec_amount,premium_rcv_detail_code,remaining_amt, payrec, mode_code,coinsurance_code,class_cd,it_remarks) values</v>
      </c>
      <c r="G2057" s="11" t="str">
        <f t="shared" si="130"/>
        <v>('28Nov240101','040000139332','19',(select max(to_number(i.premium_rcv_detail_code))+1
from ins_premium_det i),'19','19','02', '11000003','00','Request by Mr. Omair Ali 29-Nov-2024');</v>
      </c>
      <c r="H2057" s="12" t="str">
        <f t="shared" si="131"/>
        <v>insert into ins_premium_det (premium_rcv_code,assorted_code, rec_amount,premium_rcv_detail_code,remaining_amt, payrec, mode_code,coinsurance_code,class_cd,it_remarks) values('28Nov240101','040000139332','19',(select max(to_number(i.premium_rcv_detail_code))+1
from ins_premium_det i),'19','19','02', '11000003','00','Request by Mr. Omair Ali 29-Nov-2024');</v>
      </c>
    </row>
    <row r="2058" spans="1:8" ht="105" x14ac:dyDescent="0.25">
      <c r="A2058" t="s">
        <v>2058</v>
      </c>
      <c r="B2058" s="8" t="str">
        <f>VLOOKUP(A2058,assortedcode!B:C,2,0)</f>
        <v>070000129220</v>
      </c>
      <c r="C2058" s="1">
        <v>19</v>
      </c>
      <c r="D2058" s="9">
        <f t="shared" si="129"/>
        <v>19</v>
      </c>
      <c r="E2058" s="7" t="s">
        <v>8345</v>
      </c>
      <c r="F2058" s="10" t="str">
        <f t="shared" si="128"/>
        <v>insert into ins_premium_det (premium_rcv_code,assorted_code, rec_amount,premium_rcv_detail_code,remaining_amt, payrec, mode_code,coinsurance_code,class_cd,it_remarks) values</v>
      </c>
      <c r="G2058" s="11" t="str">
        <f t="shared" si="130"/>
        <v>('28Nov240101','070000129220','19',(select max(to_number(i.premium_rcv_detail_code))+1
from ins_premium_det i),'19','19','02', '11000003','00','Request by Mr. Omair Ali 29-Nov-2024');</v>
      </c>
      <c r="H2058" s="12" t="str">
        <f t="shared" si="131"/>
        <v>insert into ins_premium_det (premium_rcv_code,assorted_code, rec_amount,premium_rcv_detail_code,remaining_amt, payrec, mode_code,coinsurance_code,class_cd,it_remarks) values('28Nov240101','070000129220','19',(select max(to_number(i.premium_rcv_detail_code))+1
from ins_premium_det i),'19','19','02', '11000003','00','Request by Mr. Omair Ali 29-Nov-2024');</v>
      </c>
    </row>
    <row r="2059" spans="1:8" ht="105" x14ac:dyDescent="0.25">
      <c r="A2059" t="s">
        <v>2059</v>
      </c>
      <c r="B2059" s="8" t="str">
        <f>VLOOKUP(A2059,assortedcode!B:C,2,0)</f>
        <v>070000129223</v>
      </c>
      <c r="C2059" s="1">
        <v>19</v>
      </c>
      <c r="D2059" s="9">
        <f t="shared" si="129"/>
        <v>19</v>
      </c>
      <c r="E2059" s="7" t="s">
        <v>8345</v>
      </c>
      <c r="F2059" s="10" t="str">
        <f t="shared" si="128"/>
        <v>insert into ins_premium_det (premium_rcv_code,assorted_code, rec_amount,premium_rcv_detail_code,remaining_amt, payrec, mode_code,coinsurance_code,class_cd,it_remarks) values</v>
      </c>
      <c r="G2059" s="11" t="str">
        <f t="shared" si="130"/>
        <v>('28Nov240101','070000129223','19',(select max(to_number(i.premium_rcv_detail_code))+1
from ins_premium_det i),'19','19','02', '11000003','00','Request by Mr. Omair Ali 29-Nov-2024');</v>
      </c>
      <c r="H2059" s="12" t="str">
        <f t="shared" si="131"/>
        <v>insert into ins_premium_det (premium_rcv_code,assorted_code, rec_amount,premium_rcv_detail_code,remaining_amt, payrec, mode_code,coinsurance_code,class_cd,it_remarks) values('28Nov240101','070000129223','19',(select max(to_number(i.premium_rcv_detail_code))+1
from ins_premium_det i),'19','19','02', '11000003','00','Request by Mr. Omair Ali 29-Nov-2024');</v>
      </c>
    </row>
    <row r="2060" spans="1:8" ht="105" x14ac:dyDescent="0.25">
      <c r="A2060" t="s">
        <v>2060</v>
      </c>
      <c r="B2060" s="8" t="str">
        <f>VLOOKUP(A2060,assortedcode!B:C,2,0)</f>
        <v>070000146921</v>
      </c>
      <c r="C2060" s="1">
        <v>19</v>
      </c>
      <c r="D2060" s="9">
        <f t="shared" si="129"/>
        <v>19</v>
      </c>
      <c r="E2060" s="7" t="s">
        <v>8345</v>
      </c>
      <c r="F2060" s="10" t="str">
        <f t="shared" si="128"/>
        <v>insert into ins_premium_det (premium_rcv_code,assorted_code, rec_amount,premium_rcv_detail_code,remaining_amt, payrec, mode_code,coinsurance_code,class_cd,it_remarks) values</v>
      </c>
      <c r="G2060" s="11" t="str">
        <f t="shared" si="130"/>
        <v>('28Nov240101','070000146921','19',(select max(to_number(i.premium_rcv_detail_code))+1
from ins_premium_det i),'19','19','02', '11000003','00','Request by Mr. Omair Ali 29-Nov-2024');</v>
      </c>
      <c r="H2060" s="12" t="str">
        <f t="shared" si="131"/>
        <v>insert into ins_premium_det (premium_rcv_code,assorted_code, rec_amount,premium_rcv_detail_code,remaining_amt, payrec, mode_code,coinsurance_code,class_cd,it_remarks) values('28Nov240101','070000146921','19',(select max(to_number(i.premium_rcv_detail_code))+1
from ins_premium_det i),'19','19','02', '11000003','00','Request by Mr. Omair Ali 29-Nov-2024');</v>
      </c>
    </row>
    <row r="2061" spans="1:8" ht="105" x14ac:dyDescent="0.25">
      <c r="A2061" t="s">
        <v>2061</v>
      </c>
      <c r="B2061" s="8" t="str">
        <f>VLOOKUP(A2061,assortedcode!B:C,2,0)</f>
        <v>070000161501</v>
      </c>
      <c r="C2061" s="1">
        <v>19</v>
      </c>
      <c r="D2061" s="9">
        <f t="shared" si="129"/>
        <v>19</v>
      </c>
      <c r="E2061" s="7" t="s">
        <v>8345</v>
      </c>
      <c r="F2061" s="10" t="str">
        <f t="shared" si="128"/>
        <v>insert into ins_premium_det (premium_rcv_code,assorted_code, rec_amount,premium_rcv_detail_code,remaining_amt, payrec, mode_code,coinsurance_code,class_cd,it_remarks) values</v>
      </c>
      <c r="G2061" s="11" t="str">
        <f t="shared" si="130"/>
        <v>('28Nov240101','070000161501','19',(select max(to_number(i.premium_rcv_detail_code))+1
from ins_premium_det i),'19','19','02', '11000003','00','Request by Mr. Omair Ali 29-Nov-2024');</v>
      </c>
      <c r="H2061" s="12" t="str">
        <f t="shared" si="131"/>
        <v>insert into ins_premium_det (premium_rcv_code,assorted_code, rec_amount,premium_rcv_detail_code,remaining_amt, payrec, mode_code,coinsurance_code,class_cd,it_remarks) values('28Nov240101','070000161501','19',(select max(to_number(i.premium_rcv_detail_code))+1
from ins_premium_det i),'19','19','02', '11000003','00','Request by Mr. Omair Ali 29-Nov-2024');</v>
      </c>
    </row>
    <row r="2062" spans="1:8" ht="105" x14ac:dyDescent="0.25">
      <c r="A2062" t="s">
        <v>2062</v>
      </c>
      <c r="B2062" s="8" t="str">
        <f>VLOOKUP(A2062,assortedcode!B:C,2,0)</f>
        <v>040000170025</v>
      </c>
      <c r="C2062" s="1">
        <v>20</v>
      </c>
      <c r="D2062" s="9">
        <f t="shared" si="129"/>
        <v>20</v>
      </c>
      <c r="E2062" s="7" t="s">
        <v>8345</v>
      </c>
      <c r="F2062" s="10" t="str">
        <f t="shared" si="128"/>
        <v>insert into ins_premium_det (premium_rcv_code,assorted_code, rec_amount,premium_rcv_detail_code,remaining_amt, payrec, mode_code,coinsurance_code,class_cd,it_remarks) values</v>
      </c>
      <c r="G2062" s="11" t="str">
        <f t="shared" si="130"/>
        <v>('28Nov240101','040000170025','20',(select max(to_number(i.premium_rcv_detail_code))+1
from ins_premium_det i),'20','20','02', '11000003','00','Request by Mr. Omair Ali 29-Nov-2024');</v>
      </c>
      <c r="H2062" s="12" t="str">
        <f t="shared" si="131"/>
        <v>insert into ins_premium_det (premium_rcv_code,assorted_code, rec_amount,premium_rcv_detail_code,remaining_amt, payrec, mode_code,coinsurance_code,class_cd,it_remarks) values('28Nov240101','040000170025','20',(select max(to_number(i.premium_rcv_detail_code))+1
from ins_premium_det i),'20','20','02', '11000003','00','Request by Mr. Omair Ali 29-Nov-2024');</v>
      </c>
    </row>
    <row r="2063" spans="1:8" ht="105" x14ac:dyDescent="0.25">
      <c r="A2063" t="s">
        <v>2063</v>
      </c>
      <c r="B2063" s="8" t="str">
        <f>VLOOKUP(A2063,assortedcode!B:C,2,0)</f>
        <v>070000160434</v>
      </c>
      <c r="C2063" s="1">
        <v>20</v>
      </c>
      <c r="D2063" s="9">
        <f t="shared" si="129"/>
        <v>20</v>
      </c>
      <c r="E2063" s="7" t="s">
        <v>8345</v>
      </c>
      <c r="F2063" s="10" t="str">
        <f t="shared" si="128"/>
        <v>insert into ins_premium_det (premium_rcv_code,assorted_code, rec_amount,premium_rcv_detail_code,remaining_amt, payrec, mode_code,coinsurance_code,class_cd,it_remarks) values</v>
      </c>
      <c r="G2063" s="11" t="str">
        <f t="shared" si="130"/>
        <v>('28Nov240101','070000160434','20',(select max(to_number(i.premium_rcv_detail_code))+1
from ins_premium_det i),'20','20','02', '11000003','00','Request by Mr. Omair Ali 29-Nov-2024');</v>
      </c>
      <c r="H2063" s="12" t="str">
        <f t="shared" si="131"/>
        <v>insert into ins_premium_det (premium_rcv_code,assorted_code, rec_amount,premium_rcv_detail_code,remaining_amt, payrec, mode_code,coinsurance_code,class_cd,it_remarks) values('28Nov240101','070000160434','20',(select max(to_number(i.premium_rcv_detail_code))+1
from ins_premium_det i),'20','20','02', '11000003','00','Request by Mr. Omair Ali 29-Nov-2024');</v>
      </c>
    </row>
    <row r="2064" spans="1:8" ht="105" x14ac:dyDescent="0.25">
      <c r="A2064" t="s">
        <v>2064</v>
      </c>
      <c r="B2064" s="8" t="str">
        <f>VLOOKUP(A2064,assortedcode!B:C,2,0)</f>
        <v>040000160642</v>
      </c>
      <c r="C2064" s="1">
        <v>20</v>
      </c>
      <c r="D2064" s="9">
        <f t="shared" si="129"/>
        <v>20</v>
      </c>
      <c r="E2064" s="7" t="s">
        <v>8345</v>
      </c>
      <c r="F2064" s="10" t="str">
        <f t="shared" si="128"/>
        <v>insert into ins_premium_det (premium_rcv_code,assorted_code, rec_amount,premium_rcv_detail_code,remaining_amt, payrec, mode_code,coinsurance_code,class_cd,it_remarks) values</v>
      </c>
      <c r="G2064" s="11" t="str">
        <f t="shared" si="130"/>
        <v>('28Nov240101','040000160642','20',(select max(to_number(i.premium_rcv_detail_code))+1
from ins_premium_det i),'20','20','02', '11000003','00','Request by Mr. Omair Ali 29-Nov-2024');</v>
      </c>
      <c r="H2064" s="12" t="str">
        <f t="shared" si="131"/>
        <v>insert into ins_premium_det (premium_rcv_code,assorted_code, rec_amount,premium_rcv_detail_code,remaining_amt, payrec, mode_code,coinsurance_code,class_cd,it_remarks) values('28Nov240101','040000160642','20',(select max(to_number(i.premium_rcv_detail_code))+1
from ins_premium_det i),'20','20','02', '11000003','00','Request by Mr. Omair Ali 29-Nov-2024');</v>
      </c>
    </row>
    <row r="2065" spans="1:8" ht="105" x14ac:dyDescent="0.25">
      <c r="A2065" t="s">
        <v>2065</v>
      </c>
      <c r="B2065" s="8" t="str">
        <f>VLOOKUP(A2065,assortedcode!B:C,2,0)</f>
        <v>040000169876</v>
      </c>
      <c r="C2065" s="1">
        <v>20</v>
      </c>
      <c r="D2065" s="9">
        <f t="shared" si="129"/>
        <v>20</v>
      </c>
      <c r="E2065" s="7" t="s">
        <v>8345</v>
      </c>
      <c r="F2065" s="10" t="str">
        <f t="shared" si="128"/>
        <v>insert into ins_premium_det (premium_rcv_code,assorted_code, rec_amount,premium_rcv_detail_code,remaining_amt, payrec, mode_code,coinsurance_code,class_cd,it_remarks) values</v>
      </c>
      <c r="G2065" s="11" t="str">
        <f t="shared" si="130"/>
        <v>('28Nov240101','040000169876','20',(select max(to_number(i.premium_rcv_detail_code))+1
from ins_premium_det i),'20','20','02', '11000003','00','Request by Mr. Omair Ali 29-Nov-2024');</v>
      </c>
      <c r="H2065" s="12" t="str">
        <f t="shared" si="131"/>
        <v>insert into ins_premium_det (premium_rcv_code,assorted_code, rec_amount,premium_rcv_detail_code,remaining_amt, payrec, mode_code,coinsurance_code,class_cd,it_remarks) values('28Nov240101','040000169876','20',(select max(to_number(i.premium_rcv_detail_code))+1
from ins_premium_det i),'20','20','02', '11000003','00','Request by Mr. Omair Ali 29-Nov-2024');</v>
      </c>
    </row>
    <row r="2066" spans="1:8" ht="105" x14ac:dyDescent="0.25">
      <c r="A2066" t="s">
        <v>2066</v>
      </c>
      <c r="B2066" s="8" t="str">
        <f>VLOOKUP(A2066,assortedcode!B:C,2,0)</f>
        <v>060000000325</v>
      </c>
      <c r="C2066" s="1">
        <v>20</v>
      </c>
      <c r="D2066" s="9">
        <f t="shared" si="129"/>
        <v>20</v>
      </c>
      <c r="E2066" s="7" t="s">
        <v>8345</v>
      </c>
      <c r="F2066" s="10" t="str">
        <f t="shared" si="128"/>
        <v>insert into ins_premium_det (premium_rcv_code,assorted_code, rec_amount,premium_rcv_detail_code,remaining_amt, payrec, mode_code,coinsurance_code,class_cd,it_remarks) values</v>
      </c>
      <c r="G2066" s="11" t="str">
        <f t="shared" si="130"/>
        <v>('28Nov240101','060000000325','20',(select max(to_number(i.premium_rcv_detail_code))+1
from ins_premium_det i),'20','20','02', '11000003','00','Request by Mr. Omair Ali 29-Nov-2024');</v>
      </c>
      <c r="H2066" s="12" t="str">
        <f t="shared" si="131"/>
        <v>insert into ins_premium_det (premium_rcv_code,assorted_code, rec_amount,premium_rcv_detail_code,remaining_amt, payrec, mode_code,coinsurance_code,class_cd,it_remarks) values('28Nov240101','060000000325','20',(select max(to_number(i.premium_rcv_detail_code))+1
from ins_premium_det i),'20','20','02', '11000003','00','Request by Mr. Omair Ali 29-Nov-2024');</v>
      </c>
    </row>
    <row r="2067" spans="1:8" ht="105" x14ac:dyDescent="0.25">
      <c r="A2067" t="s">
        <v>2067</v>
      </c>
      <c r="B2067" s="8" t="str">
        <f>VLOOKUP(A2067,assortedcode!B:C,2,0)</f>
        <v>060000000393</v>
      </c>
      <c r="C2067" s="1">
        <v>20</v>
      </c>
      <c r="D2067" s="9">
        <f t="shared" si="129"/>
        <v>20</v>
      </c>
      <c r="E2067" s="7" t="s">
        <v>8345</v>
      </c>
      <c r="F2067" s="10" t="str">
        <f t="shared" si="128"/>
        <v>insert into ins_premium_det (premium_rcv_code,assorted_code, rec_amount,premium_rcv_detail_code,remaining_amt, payrec, mode_code,coinsurance_code,class_cd,it_remarks) values</v>
      </c>
      <c r="G2067" s="11" t="str">
        <f t="shared" si="130"/>
        <v>('28Nov240101','060000000393','20',(select max(to_number(i.premium_rcv_detail_code))+1
from ins_premium_det i),'20','20','02', '11000003','00','Request by Mr. Omair Ali 29-Nov-2024');</v>
      </c>
      <c r="H2067" s="12" t="str">
        <f t="shared" si="131"/>
        <v>insert into ins_premium_det (premium_rcv_code,assorted_code, rec_amount,premium_rcv_detail_code,remaining_amt, payrec, mode_code,coinsurance_code,class_cd,it_remarks) values('28Nov240101','060000000393','20',(select max(to_number(i.premium_rcv_detail_code))+1
from ins_premium_det i),'20','20','02', '11000003','00','Request by Mr. Omair Ali 29-Nov-2024');</v>
      </c>
    </row>
    <row r="2068" spans="1:8" ht="105" x14ac:dyDescent="0.25">
      <c r="A2068" t="s">
        <v>2068</v>
      </c>
      <c r="B2068" s="8" t="str">
        <f>VLOOKUP(A2068,assortedcode!B:C,2,0)</f>
        <v>060000000359</v>
      </c>
      <c r="C2068" s="1">
        <v>20</v>
      </c>
      <c r="D2068" s="9">
        <f t="shared" si="129"/>
        <v>20</v>
      </c>
      <c r="E2068" s="7" t="s">
        <v>8345</v>
      </c>
      <c r="F2068" s="10" t="str">
        <f t="shared" si="128"/>
        <v>insert into ins_premium_det (premium_rcv_code,assorted_code, rec_amount,premium_rcv_detail_code,remaining_amt, payrec, mode_code,coinsurance_code,class_cd,it_remarks) values</v>
      </c>
      <c r="G2068" s="11" t="str">
        <f t="shared" si="130"/>
        <v>('28Nov240101','060000000359','20',(select max(to_number(i.premium_rcv_detail_code))+1
from ins_premium_det i),'20','20','02', '11000003','00','Request by Mr. Omair Ali 29-Nov-2024');</v>
      </c>
      <c r="H2068" s="12" t="str">
        <f t="shared" si="131"/>
        <v>insert into ins_premium_det (premium_rcv_code,assorted_code, rec_amount,premium_rcv_detail_code,remaining_amt, payrec, mode_code,coinsurance_code,class_cd,it_remarks) values('28Nov240101','060000000359','20',(select max(to_number(i.premium_rcv_detail_code))+1
from ins_premium_det i),'20','20','02', '11000003','00','Request by Mr. Omair Ali 29-Nov-2024');</v>
      </c>
    </row>
    <row r="2069" spans="1:8" ht="105" x14ac:dyDescent="0.25">
      <c r="A2069" t="s">
        <v>2069</v>
      </c>
      <c r="B2069" s="8" t="str">
        <f>VLOOKUP(A2069,assortedcode!B:C,2,0)</f>
        <v>060000000360</v>
      </c>
      <c r="C2069" s="1">
        <v>20</v>
      </c>
      <c r="D2069" s="9">
        <f t="shared" si="129"/>
        <v>20</v>
      </c>
      <c r="E2069" s="7" t="s">
        <v>8345</v>
      </c>
      <c r="F2069" s="10" t="str">
        <f t="shared" si="128"/>
        <v>insert into ins_premium_det (premium_rcv_code,assorted_code, rec_amount,premium_rcv_detail_code,remaining_amt, payrec, mode_code,coinsurance_code,class_cd,it_remarks) values</v>
      </c>
      <c r="G2069" s="11" t="str">
        <f t="shared" si="130"/>
        <v>('28Nov240101','060000000360','20',(select max(to_number(i.premium_rcv_detail_code))+1
from ins_premium_det i),'20','20','02', '11000003','00','Request by Mr. Omair Ali 29-Nov-2024');</v>
      </c>
      <c r="H2069" s="12" t="str">
        <f t="shared" si="131"/>
        <v>insert into ins_premium_det (premium_rcv_code,assorted_code, rec_amount,premium_rcv_detail_code,remaining_amt, payrec, mode_code,coinsurance_code,class_cd,it_remarks) values('28Nov240101','060000000360','20',(select max(to_number(i.premium_rcv_detail_code))+1
from ins_premium_det i),'20','20','02', '11000003','00','Request by Mr. Omair Ali 29-Nov-2024');</v>
      </c>
    </row>
    <row r="2070" spans="1:8" ht="105" x14ac:dyDescent="0.25">
      <c r="A2070" t="s">
        <v>2070</v>
      </c>
      <c r="B2070" s="8" t="str">
        <f>VLOOKUP(A2070,assortedcode!B:C,2,0)</f>
        <v>040000154435</v>
      </c>
      <c r="C2070" s="1">
        <v>20</v>
      </c>
      <c r="D2070" s="9">
        <f t="shared" si="129"/>
        <v>20</v>
      </c>
      <c r="E2070" s="7" t="s">
        <v>8345</v>
      </c>
      <c r="F2070" s="10" t="str">
        <f t="shared" si="128"/>
        <v>insert into ins_premium_det (premium_rcv_code,assorted_code, rec_amount,premium_rcv_detail_code,remaining_amt, payrec, mode_code,coinsurance_code,class_cd,it_remarks) values</v>
      </c>
      <c r="G2070" s="11" t="str">
        <f t="shared" si="130"/>
        <v>('28Nov240101','040000154435','20',(select max(to_number(i.premium_rcv_detail_code))+1
from ins_premium_det i),'20','20','02', '11000003','00','Request by Mr. Omair Ali 29-Nov-2024');</v>
      </c>
      <c r="H2070" s="12" t="str">
        <f t="shared" si="131"/>
        <v>insert into ins_premium_det (premium_rcv_code,assorted_code, rec_amount,premium_rcv_detail_code,remaining_amt, payrec, mode_code,coinsurance_code,class_cd,it_remarks) values('28Nov240101','040000154435','20',(select max(to_number(i.premium_rcv_detail_code))+1
from ins_premium_det i),'20','20','02', '11000003','00','Request by Mr. Omair Ali 29-Nov-2024');</v>
      </c>
    </row>
    <row r="2071" spans="1:8" ht="105" x14ac:dyDescent="0.25">
      <c r="A2071" t="s">
        <v>2071</v>
      </c>
      <c r="B2071" s="8" t="str">
        <f>VLOOKUP(A2071,assortedcode!B:C,2,0)</f>
        <v>060000000310</v>
      </c>
      <c r="C2071" s="1">
        <v>20</v>
      </c>
      <c r="D2071" s="9">
        <f t="shared" si="129"/>
        <v>20</v>
      </c>
      <c r="E2071" s="7" t="s">
        <v>8345</v>
      </c>
      <c r="F2071" s="10" t="str">
        <f t="shared" si="128"/>
        <v>insert into ins_premium_det (premium_rcv_code,assorted_code, rec_amount,premium_rcv_detail_code,remaining_amt, payrec, mode_code,coinsurance_code,class_cd,it_remarks) values</v>
      </c>
      <c r="G2071" s="11" t="str">
        <f t="shared" si="130"/>
        <v>('28Nov240101','060000000310','20',(select max(to_number(i.premium_rcv_detail_code))+1
from ins_premium_det i),'20','20','02', '11000003','00','Request by Mr. Omair Ali 29-Nov-2024');</v>
      </c>
      <c r="H2071" s="12" t="str">
        <f t="shared" si="131"/>
        <v>insert into ins_premium_det (premium_rcv_code,assorted_code, rec_amount,premium_rcv_detail_code,remaining_amt, payrec, mode_code,coinsurance_code,class_cd,it_remarks) values('28Nov240101','060000000310','20',(select max(to_number(i.premium_rcv_detail_code))+1
from ins_premium_det i),'20','20','02', '11000003','00','Request by Mr. Omair Ali 29-Nov-2024');</v>
      </c>
    </row>
    <row r="2072" spans="1:8" ht="105" x14ac:dyDescent="0.25">
      <c r="A2072" t="s">
        <v>2072</v>
      </c>
      <c r="B2072" s="8" t="str">
        <f>VLOOKUP(A2072,assortedcode!B:C,2,0)</f>
        <v>060000000354</v>
      </c>
      <c r="C2072" s="1">
        <v>20</v>
      </c>
      <c r="D2072" s="9">
        <f t="shared" si="129"/>
        <v>20</v>
      </c>
      <c r="E2072" s="7" t="s">
        <v>8345</v>
      </c>
      <c r="F2072" s="10" t="str">
        <f t="shared" si="128"/>
        <v>insert into ins_premium_det (premium_rcv_code,assorted_code, rec_amount,premium_rcv_detail_code,remaining_amt, payrec, mode_code,coinsurance_code,class_cd,it_remarks) values</v>
      </c>
      <c r="G2072" s="11" t="str">
        <f t="shared" si="130"/>
        <v>('28Nov240101','060000000354','20',(select max(to_number(i.premium_rcv_detail_code))+1
from ins_premium_det i),'20','20','02', '11000003','00','Request by Mr. Omair Ali 29-Nov-2024');</v>
      </c>
      <c r="H2072" s="12" t="str">
        <f t="shared" si="131"/>
        <v>insert into ins_premium_det (premium_rcv_code,assorted_code, rec_amount,premium_rcv_detail_code,remaining_amt, payrec, mode_code,coinsurance_code,class_cd,it_remarks) values('28Nov240101','060000000354','20',(select max(to_number(i.premium_rcv_detail_code))+1
from ins_premium_det i),'20','20','02', '11000003','00','Request by Mr. Omair Ali 29-Nov-2024');</v>
      </c>
    </row>
    <row r="2073" spans="1:8" ht="105" x14ac:dyDescent="0.25">
      <c r="A2073" t="s">
        <v>2073</v>
      </c>
      <c r="B2073" s="8" t="str">
        <f>VLOOKUP(A2073,assortedcode!B:C,2,0)</f>
        <v>040000155226</v>
      </c>
      <c r="C2073" s="1">
        <v>20</v>
      </c>
      <c r="D2073" s="9">
        <f t="shared" si="129"/>
        <v>20</v>
      </c>
      <c r="E2073" s="7" t="s">
        <v>8345</v>
      </c>
      <c r="F2073" s="10" t="str">
        <f t="shared" si="128"/>
        <v>insert into ins_premium_det (premium_rcv_code,assorted_code, rec_amount,premium_rcv_detail_code,remaining_amt, payrec, mode_code,coinsurance_code,class_cd,it_remarks) values</v>
      </c>
      <c r="G2073" s="11" t="str">
        <f t="shared" si="130"/>
        <v>('28Nov240101','040000155226','20',(select max(to_number(i.premium_rcv_detail_code))+1
from ins_premium_det i),'20','20','02', '11000003','00','Request by Mr. Omair Ali 29-Nov-2024');</v>
      </c>
      <c r="H2073" s="12" t="str">
        <f t="shared" si="131"/>
        <v>insert into ins_premium_det (premium_rcv_code,assorted_code, rec_amount,premium_rcv_detail_code,remaining_amt, payrec, mode_code,coinsurance_code,class_cd,it_remarks) values('28Nov240101','040000155226','20',(select max(to_number(i.premium_rcv_detail_code))+1
from ins_premium_det i),'20','20','02', '11000003','00','Request by Mr. Omair Ali 29-Nov-2024');</v>
      </c>
    </row>
    <row r="2074" spans="1:8" ht="105" x14ac:dyDescent="0.25">
      <c r="A2074" t="s">
        <v>2074</v>
      </c>
      <c r="B2074" s="8" t="str">
        <f>VLOOKUP(A2074,assortedcode!B:C,2,0)</f>
        <v>040000143297</v>
      </c>
      <c r="C2074" s="1">
        <v>20</v>
      </c>
      <c r="D2074" s="9">
        <f t="shared" si="129"/>
        <v>20</v>
      </c>
      <c r="E2074" s="7" t="s">
        <v>8345</v>
      </c>
      <c r="F2074" s="10" t="str">
        <f t="shared" si="128"/>
        <v>insert into ins_premium_det (premium_rcv_code,assorted_code, rec_amount,premium_rcv_detail_code,remaining_amt, payrec, mode_code,coinsurance_code,class_cd,it_remarks) values</v>
      </c>
      <c r="G2074" s="11" t="str">
        <f t="shared" si="130"/>
        <v>('28Nov240101','040000143297','20',(select max(to_number(i.premium_rcv_detail_code))+1
from ins_premium_det i),'20','20','02', '11000003','00','Request by Mr. Omair Ali 29-Nov-2024');</v>
      </c>
      <c r="H2074" s="12" t="str">
        <f t="shared" si="131"/>
        <v>insert into ins_premium_det (premium_rcv_code,assorted_code, rec_amount,premium_rcv_detail_code,remaining_amt, payrec, mode_code,coinsurance_code,class_cd,it_remarks) values('28Nov240101','040000143297','20',(select max(to_number(i.premium_rcv_detail_code))+1
from ins_premium_det i),'20','20','02', '11000003','00','Request by Mr. Omair Ali 29-Nov-2024');</v>
      </c>
    </row>
    <row r="2075" spans="1:8" ht="105" x14ac:dyDescent="0.25">
      <c r="A2075" t="s">
        <v>2075</v>
      </c>
      <c r="B2075" s="8" t="str">
        <f>VLOOKUP(A2075,assortedcode!B:C,2,0)</f>
        <v>060000000378</v>
      </c>
      <c r="C2075" s="1">
        <v>20</v>
      </c>
      <c r="D2075" s="9">
        <f t="shared" si="129"/>
        <v>20</v>
      </c>
      <c r="E2075" s="7" t="s">
        <v>8345</v>
      </c>
      <c r="F2075" s="10" t="str">
        <f t="shared" si="128"/>
        <v>insert into ins_premium_det (premium_rcv_code,assorted_code, rec_amount,premium_rcv_detail_code,remaining_amt, payrec, mode_code,coinsurance_code,class_cd,it_remarks) values</v>
      </c>
      <c r="G2075" s="11" t="str">
        <f t="shared" si="130"/>
        <v>('28Nov240101','060000000378','20',(select max(to_number(i.premium_rcv_detail_code))+1
from ins_premium_det i),'20','20','02', '11000003','00','Request by Mr. Omair Ali 29-Nov-2024');</v>
      </c>
      <c r="H2075" s="12" t="str">
        <f t="shared" si="131"/>
        <v>insert into ins_premium_det (premium_rcv_code,assorted_code, rec_amount,premium_rcv_detail_code,remaining_amt, payrec, mode_code,coinsurance_code,class_cd,it_remarks) values('28Nov240101','060000000378','20',(select max(to_number(i.premium_rcv_detail_code))+1
from ins_premium_det i),'20','20','02', '11000003','00','Request by Mr. Omair Ali 29-Nov-2024');</v>
      </c>
    </row>
    <row r="2076" spans="1:8" ht="105" x14ac:dyDescent="0.25">
      <c r="A2076" t="s">
        <v>2076</v>
      </c>
      <c r="B2076" s="8" t="str">
        <f>VLOOKUP(A2076,assortedcode!B:C,2,0)</f>
        <v>070000160540</v>
      </c>
      <c r="C2076" s="1">
        <v>20</v>
      </c>
      <c r="D2076" s="9">
        <f t="shared" si="129"/>
        <v>20</v>
      </c>
      <c r="E2076" s="7" t="s">
        <v>8345</v>
      </c>
      <c r="F2076" s="10" t="str">
        <f t="shared" si="128"/>
        <v>insert into ins_premium_det (premium_rcv_code,assorted_code, rec_amount,premium_rcv_detail_code,remaining_amt, payrec, mode_code,coinsurance_code,class_cd,it_remarks) values</v>
      </c>
      <c r="G2076" s="11" t="str">
        <f t="shared" si="130"/>
        <v>('28Nov240101','070000160540','20',(select max(to_number(i.premium_rcv_detail_code))+1
from ins_premium_det i),'20','20','02', '11000003','00','Request by Mr. Omair Ali 29-Nov-2024');</v>
      </c>
      <c r="H2076" s="12" t="str">
        <f t="shared" si="131"/>
        <v>insert into ins_premium_det (premium_rcv_code,assorted_code, rec_amount,premium_rcv_detail_code,remaining_amt, payrec, mode_code,coinsurance_code,class_cd,it_remarks) values('28Nov240101','070000160540','20',(select max(to_number(i.premium_rcv_detail_code))+1
from ins_premium_det i),'20','20','02', '11000003','00','Request by Mr. Omair Ali 29-Nov-2024');</v>
      </c>
    </row>
    <row r="2077" spans="1:8" ht="105" x14ac:dyDescent="0.25">
      <c r="A2077" t="s">
        <v>2077</v>
      </c>
      <c r="B2077" s="8" t="str">
        <f>VLOOKUP(A2077,assortedcode!B:C,2,0)</f>
        <v>070000160543</v>
      </c>
      <c r="C2077" s="1">
        <v>20</v>
      </c>
      <c r="D2077" s="9">
        <f t="shared" si="129"/>
        <v>20</v>
      </c>
      <c r="E2077" s="7" t="s">
        <v>8345</v>
      </c>
      <c r="F2077" s="10" t="str">
        <f t="shared" si="128"/>
        <v>insert into ins_premium_det (premium_rcv_code,assorted_code, rec_amount,premium_rcv_detail_code,remaining_amt, payrec, mode_code,coinsurance_code,class_cd,it_remarks) values</v>
      </c>
      <c r="G2077" s="11" t="str">
        <f t="shared" si="130"/>
        <v>('28Nov240101','070000160543','20',(select max(to_number(i.premium_rcv_detail_code))+1
from ins_premium_det i),'20','20','02', '11000003','00','Request by Mr. Omair Ali 29-Nov-2024');</v>
      </c>
      <c r="H2077" s="12" t="str">
        <f t="shared" si="131"/>
        <v>insert into ins_premium_det (premium_rcv_code,assorted_code, rec_amount,premium_rcv_detail_code,remaining_amt, payrec, mode_code,coinsurance_code,class_cd,it_remarks) values('28Nov240101','070000160543','20',(select max(to_number(i.premium_rcv_detail_code))+1
from ins_premium_det i),'20','20','02', '11000003','00','Request by Mr. Omair Ali 29-Nov-2024');</v>
      </c>
    </row>
    <row r="2078" spans="1:8" ht="105" x14ac:dyDescent="0.25">
      <c r="A2078" t="s">
        <v>2078</v>
      </c>
      <c r="B2078" s="8" t="str">
        <f>VLOOKUP(A2078,assortedcode!B:C,2,0)</f>
        <v>040000174076</v>
      </c>
      <c r="C2078" s="1">
        <v>20</v>
      </c>
      <c r="D2078" s="9">
        <f t="shared" si="129"/>
        <v>20</v>
      </c>
      <c r="E2078" s="7" t="s">
        <v>8345</v>
      </c>
      <c r="F2078" s="10" t="str">
        <f t="shared" si="128"/>
        <v>insert into ins_premium_det (premium_rcv_code,assorted_code, rec_amount,premium_rcv_detail_code,remaining_amt, payrec, mode_code,coinsurance_code,class_cd,it_remarks) values</v>
      </c>
      <c r="G2078" s="11" t="str">
        <f t="shared" si="130"/>
        <v>('28Nov240101','040000174076','20',(select max(to_number(i.premium_rcv_detail_code))+1
from ins_premium_det i),'20','20','02', '11000003','00','Request by Mr. Omair Ali 29-Nov-2024');</v>
      </c>
      <c r="H2078" s="12" t="str">
        <f t="shared" si="131"/>
        <v>insert into ins_premium_det (premium_rcv_code,assorted_code, rec_amount,premium_rcv_detail_code,remaining_amt, payrec, mode_code,coinsurance_code,class_cd,it_remarks) values('28Nov240101','040000174076','20',(select max(to_number(i.premium_rcv_detail_code))+1
from ins_premium_det i),'20','20','02', '11000003','00','Request by Mr. Omair Ali 29-Nov-2024');</v>
      </c>
    </row>
    <row r="2079" spans="1:8" ht="105" x14ac:dyDescent="0.25">
      <c r="A2079" t="s">
        <v>2079</v>
      </c>
      <c r="B2079" s="8" t="str">
        <f>VLOOKUP(A2079,assortedcode!B:C,2,0)</f>
        <v>040000151029</v>
      </c>
      <c r="C2079" s="1">
        <v>21</v>
      </c>
      <c r="D2079" s="9">
        <f t="shared" si="129"/>
        <v>21</v>
      </c>
      <c r="E2079" s="7" t="s">
        <v>8345</v>
      </c>
      <c r="F2079" s="10" t="str">
        <f t="shared" si="128"/>
        <v>insert into ins_premium_det (premium_rcv_code,assorted_code, rec_amount,premium_rcv_detail_code,remaining_amt, payrec, mode_code,coinsurance_code,class_cd,it_remarks) values</v>
      </c>
      <c r="G2079" s="11" t="str">
        <f t="shared" si="130"/>
        <v>('28Nov240101','040000151029','21',(select max(to_number(i.premium_rcv_detail_code))+1
from ins_premium_det i),'21','21','02', '11000003','00','Request by Mr. Omair Ali 29-Nov-2024');</v>
      </c>
      <c r="H2079" s="12" t="str">
        <f t="shared" si="131"/>
        <v>insert into ins_premium_det (premium_rcv_code,assorted_code, rec_amount,premium_rcv_detail_code,remaining_amt, payrec, mode_code,coinsurance_code,class_cd,it_remarks) values('28Nov240101','040000151029','21',(select max(to_number(i.premium_rcv_detail_code))+1
from ins_premium_det i),'21','21','02', '11000003','00','Request by Mr. Omair Ali 29-Nov-2024');</v>
      </c>
    </row>
    <row r="2080" spans="1:8" ht="105" x14ac:dyDescent="0.25">
      <c r="A2080" t="s">
        <v>2080</v>
      </c>
      <c r="B2080" s="8" t="str">
        <f>VLOOKUP(A2080,assortedcode!B:C,2,0)</f>
        <v>070000130740</v>
      </c>
      <c r="C2080" s="1">
        <v>21</v>
      </c>
      <c r="D2080" s="9">
        <f t="shared" si="129"/>
        <v>21</v>
      </c>
      <c r="E2080" s="7" t="s">
        <v>8345</v>
      </c>
      <c r="F2080" s="10" t="str">
        <f t="shared" si="128"/>
        <v>insert into ins_premium_det (premium_rcv_code,assorted_code, rec_amount,premium_rcv_detail_code,remaining_amt, payrec, mode_code,coinsurance_code,class_cd,it_remarks) values</v>
      </c>
      <c r="G2080" s="11" t="str">
        <f t="shared" si="130"/>
        <v>('28Nov240101','070000130740','21',(select max(to_number(i.premium_rcv_detail_code))+1
from ins_premium_det i),'21','21','02', '11000003','00','Request by Mr. Omair Ali 29-Nov-2024');</v>
      </c>
      <c r="H2080" s="12" t="str">
        <f t="shared" si="131"/>
        <v>insert into ins_premium_det (premium_rcv_code,assorted_code, rec_amount,premium_rcv_detail_code,remaining_amt, payrec, mode_code,coinsurance_code,class_cd,it_remarks) values('28Nov240101','070000130740','21',(select max(to_number(i.premium_rcv_detail_code))+1
from ins_premium_det i),'21','21','02', '11000003','00','Request by Mr. Omair Ali 29-Nov-2024');</v>
      </c>
    </row>
    <row r="2081" spans="1:8" ht="105" x14ac:dyDescent="0.25">
      <c r="A2081" t="s">
        <v>2081</v>
      </c>
      <c r="B2081" s="8" t="str">
        <f>VLOOKUP(A2081,assortedcode!B:C,2,0)</f>
        <v>070000147106</v>
      </c>
      <c r="C2081" s="1">
        <v>21</v>
      </c>
      <c r="D2081" s="9">
        <f t="shared" si="129"/>
        <v>21</v>
      </c>
      <c r="E2081" s="7" t="s">
        <v>8345</v>
      </c>
      <c r="F2081" s="10" t="str">
        <f t="shared" si="128"/>
        <v>insert into ins_premium_det (premium_rcv_code,assorted_code, rec_amount,premium_rcv_detail_code,remaining_amt, payrec, mode_code,coinsurance_code,class_cd,it_remarks) values</v>
      </c>
      <c r="G2081" s="11" t="str">
        <f t="shared" si="130"/>
        <v>('28Nov240101','070000147106','21',(select max(to_number(i.premium_rcv_detail_code))+1
from ins_premium_det i),'21','21','02', '11000003','00','Request by Mr. Omair Ali 29-Nov-2024');</v>
      </c>
      <c r="H2081" s="12" t="str">
        <f t="shared" si="131"/>
        <v>insert into ins_premium_det (premium_rcv_code,assorted_code, rec_amount,premium_rcv_detail_code,remaining_amt, payrec, mode_code,coinsurance_code,class_cd,it_remarks) values('28Nov240101','070000147106','21',(select max(to_number(i.premium_rcv_detail_code))+1
from ins_premium_det i),'21','21','02', '11000003','00','Request by Mr. Omair Ali 29-Nov-2024');</v>
      </c>
    </row>
    <row r="2082" spans="1:8" ht="105" x14ac:dyDescent="0.25">
      <c r="A2082" t="s">
        <v>2082</v>
      </c>
      <c r="B2082" s="8" t="str">
        <f>VLOOKUP(A2082,assortedcode!B:C,2,0)</f>
        <v>070000147161</v>
      </c>
      <c r="C2082" s="1">
        <v>21</v>
      </c>
      <c r="D2082" s="9">
        <f t="shared" si="129"/>
        <v>21</v>
      </c>
      <c r="E2082" s="7" t="s">
        <v>8345</v>
      </c>
      <c r="F2082" s="10" t="str">
        <f t="shared" si="128"/>
        <v>insert into ins_premium_det (premium_rcv_code,assorted_code, rec_amount,premium_rcv_detail_code,remaining_amt, payrec, mode_code,coinsurance_code,class_cd,it_remarks) values</v>
      </c>
      <c r="G2082" s="11" t="str">
        <f t="shared" si="130"/>
        <v>('28Nov240101','070000147161','21',(select max(to_number(i.premium_rcv_detail_code))+1
from ins_premium_det i),'21','21','02', '11000003','00','Request by Mr. Omair Ali 29-Nov-2024');</v>
      </c>
      <c r="H2082" s="12" t="str">
        <f t="shared" si="131"/>
        <v>insert into ins_premium_det (premium_rcv_code,assorted_code, rec_amount,premium_rcv_detail_code,remaining_amt, payrec, mode_code,coinsurance_code,class_cd,it_remarks) values('28Nov240101','070000147161','21',(select max(to_number(i.premium_rcv_detail_code))+1
from ins_premium_det i),'21','21','02', '11000003','00','Request by Mr. Omair Ali 29-Nov-2024');</v>
      </c>
    </row>
    <row r="2083" spans="1:8" ht="105" x14ac:dyDescent="0.25">
      <c r="A2083" t="s">
        <v>2083</v>
      </c>
      <c r="B2083" s="8" t="str">
        <f>VLOOKUP(A2083,assortedcode!B:C,2,0)</f>
        <v>040000176547</v>
      </c>
      <c r="C2083" s="1">
        <v>21</v>
      </c>
      <c r="D2083" s="9">
        <f t="shared" si="129"/>
        <v>21</v>
      </c>
      <c r="E2083" s="7" t="s">
        <v>8345</v>
      </c>
      <c r="F2083" s="10" t="str">
        <f t="shared" si="128"/>
        <v>insert into ins_premium_det (premium_rcv_code,assorted_code, rec_amount,premium_rcv_detail_code,remaining_amt, payrec, mode_code,coinsurance_code,class_cd,it_remarks) values</v>
      </c>
      <c r="G2083" s="11" t="str">
        <f t="shared" si="130"/>
        <v>('28Nov240101','040000176547','21',(select max(to_number(i.premium_rcv_detail_code))+1
from ins_premium_det i),'21','21','02', '11000003','00','Request by Mr. Omair Ali 29-Nov-2024');</v>
      </c>
      <c r="H2083" s="12" t="str">
        <f t="shared" si="131"/>
        <v>insert into ins_premium_det (premium_rcv_code,assorted_code, rec_amount,premium_rcv_detail_code,remaining_amt, payrec, mode_code,coinsurance_code,class_cd,it_remarks) values('28Nov240101','040000176547','21',(select max(to_number(i.premium_rcv_detail_code))+1
from ins_premium_det i),'21','21','02', '11000003','00','Request by Mr. Omair Ali 29-Nov-2024');</v>
      </c>
    </row>
    <row r="2084" spans="1:8" ht="105" x14ac:dyDescent="0.25">
      <c r="A2084" t="s">
        <v>2084</v>
      </c>
      <c r="B2084" s="8" t="str">
        <f>VLOOKUP(A2084,assortedcode!B:C,2,0)</f>
        <v>070000130640</v>
      </c>
      <c r="C2084" s="1">
        <v>23</v>
      </c>
      <c r="D2084" s="9">
        <f t="shared" si="129"/>
        <v>23</v>
      </c>
      <c r="E2084" s="7" t="s">
        <v>8345</v>
      </c>
      <c r="F2084" s="10" t="str">
        <f t="shared" si="128"/>
        <v>insert into ins_premium_det (premium_rcv_code,assorted_code, rec_amount,premium_rcv_detail_code,remaining_amt, payrec, mode_code,coinsurance_code,class_cd,it_remarks) values</v>
      </c>
      <c r="G2084" s="11" t="str">
        <f t="shared" si="130"/>
        <v>('28Nov240101','070000130640','23',(select max(to_number(i.premium_rcv_detail_code))+1
from ins_premium_det i),'23','23','02', '11000003','00','Request by Mr. Omair Ali 29-Nov-2024');</v>
      </c>
      <c r="H2084" s="12" t="str">
        <f t="shared" si="131"/>
        <v>insert into ins_premium_det (premium_rcv_code,assorted_code, rec_amount,premium_rcv_detail_code,remaining_amt, payrec, mode_code,coinsurance_code,class_cd,it_remarks) values('28Nov240101','070000130640','23',(select max(to_number(i.premium_rcv_detail_code))+1
from ins_premium_det i),'23','23','02', '11000003','00','Request by Mr. Omair Ali 29-Nov-2024');</v>
      </c>
    </row>
    <row r="2085" spans="1:8" ht="105" x14ac:dyDescent="0.25">
      <c r="A2085" t="s">
        <v>2085</v>
      </c>
      <c r="B2085" s="8" t="str">
        <f>VLOOKUP(A2085,assortedcode!B:C,2,0)</f>
        <v>070000160590</v>
      </c>
      <c r="C2085" s="1">
        <v>23</v>
      </c>
      <c r="D2085" s="9">
        <f t="shared" si="129"/>
        <v>23</v>
      </c>
      <c r="E2085" s="7" t="s">
        <v>8345</v>
      </c>
      <c r="F2085" s="10" t="str">
        <f t="shared" si="128"/>
        <v>insert into ins_premium_det (premium_rcv_code,assorted_code, rec_amount,premium_rcv_detail_code,remaining_amt, payrec, mode_code,coinsurance_code,class_cd,it_remarks) values</v>
      </c>
      <c r="G2085" s="11" t="str">
        <f t="shared" si="130"/>
        <v>('28Nov240101','070000160590','23',(select max(to_number(i.premium_rcv_detail_code))+1
from ins_premium_det i),'23','23','02', '11000003','00','Request by Mr. Omair Ali 29-Nov-2024');</v>
      </c>
      <c r="H2085" s="12" t="str">
        <f t="shared" si="131"/>
        <v>insert into ins_premium_det (premium_rcv_code,assorted_code, rec_amount,premium_rcv_detail_code,remaining_amt, payrec, mode_code,coinsurance_code,class_cd,it_remarks) values('28Nov240101','070000160590','23',(select max(to_number(i.premium_rcv_detail_code))+1
from ins_premium_det i),'23','23','02', '11000003','00','Request by Mr. Omair Ali 29-Nov-2024');</v>
      </c>
    </row>
    <row r="2086" spans="1:8" ht="105" x14ac:dyDescent="0.25">
      <c r="A2086" t="s">
        <v>2086</v>
      </c>
      <c r="B2086" s="8" t="str">
        <f>VLOOKUP(A2086,assortedcode!B:C,2,0)</f>
        <v>040000181593</v>
      </c>
      <c r="C2086" s="1">
        <v>23</v>
      </c>
      <c r="D2086" s="9">
        <f t="shared" si="129"/>
        <v>23</v>
      </c>
      <c r="E2086" s="7" t="s">
        <v>8345</v>
      </c>
      <c r="F2086" s="10" t="str">
        <f t="shared" si="128"/>
        <v>insert into ins_premium_det (premium_rcv_code,assorted_code, rec_amount,premium_rcv_detail_code,remaining_amt, payrec, mode_code,coinsurance_code,class_cd,it_remarks) values</v>
      </c>
      <c r="G2086" s="11" t="str">
        <f t="shared" si="130"/>
        <v>('28Nov240101','040000181593','23',(select max(to_number(i.premium_rcv_detail_code))+1
from ins_premium_det i),'23','23','02', '11000003','00','Request by Mr. Omair Ali 29-Nov-2024');</v>
      </c>
      <c r="H2086" s="12" t="str">
        <f t="shared" si="131"/>
        <v>insert into ins_premium_det (premium_rcv_code,assorted_code, rec_amount,premium_rcv_detail_code,remaining_amt, payrec, mode_code,coinsurance_code,class_cd,it_remarks) values('28Nov240101','040000181593','23',(select max(to_number(i.premium_rcv_detail_code))+1
from ins_premium_det i),'23','23','02', '11000003','00','Request by Mr. Omair Ali 29-Nov-2024');</v>
      </c>
    </row>
    <row r="2087" spans="1:8" ht="105" x14ac:dyDescent="0.25">
      <c r="A2087" t="s">
        <v>2087</v>
      </c>
      <c r="B2087" s="8" t="str">
        <f>VLOOKUP(A2087,assortedcode!B:C,2,0)</f>
        <v>040000141750</v>
      </c>
      <c r="C2087" s="1">
        <v>23</v>
      </c>
      <c r="D2087" s="9">
        <f t="shared" si="129"/>
        <v>23</v>
      </c>
      <c r="E2087" s="7" t="s">
        <v>8345</v>
      </c>
      <c r="F2087" s="10" t="str">
        <f t="shared" si="128"/>
        <v>insert into ins_premium_det (premium_rcv_code,assorted_code, rec_amount,premium_rcv_detail_code,remaining_amt, payrec, mode_code,coinsurance_code,class_cd,it_remarks) values</v>
      </c>
      <c r="G2087" s="11" t="str">
        <f t="shared" si="130"/>
        <v>('28Nov240101','040000141750','23',(select max(to_number(i.premium_rcv_detail_code))+1
from ins_premium_det i),'23','23','02', '11000003','00','Request by Mr. Omair Ali 29-Nov-2024');</v>
      </c>
      <c r="H2087" s="12" t="str">
        <f t="shared" si="131"/>
        <v>insert into ins_premium_det (premium_rcv_code,assorted_code, rec_amount,premium_rcv_detail_code,remaining_amt, payrec, mode_code,coinsurance_code,class_cd,it_remarks) values('28Nov240101','040000141750','23',(select max(to_number(i.premium_rcv_detail_code))+1
from ins_premium_det i),'23','23','02', '11000003','00','Request by Mr. Omair Ali 29-Nov-2024');</v>
      </c>
    </row>
    <row r="2088" spans="1:8" ht="105" x14ac:dyDescent="0.25">
      <c r="A2088" t="s">
        <v>2088</v>
      </c>
      <c r="B2088" s="8" t="str">
        <f>VLOOKUP(A2088,assortedcode!B:C,2,0)</f>
        <v>070000129219</v>
      </c>
      <c r="C2088" s="1">
        <v>24</v>
      </c>
      <c r="D2088" s="9">
        <f t="shared" si="129"/>
        <v>24</v>
      </c>
      <c r="E2088" s="7" t="s">
        <v>8345</v>
      </c>
      <c r="F2088" s="10" t="str">
        <f t="shared" si="128"/>
        <v>insert into ins_premium_det (premium_rcv_code,assorted_code, rec_amount,premium_rcv_detail_code,remaining_amt, payrec, mode_code,coinsurance_code,class_cd,it_remarks) values</v>
      </c>
      <c r="G2088" s="11" t="str">
        <f t="shared" si="130"/>
        <v>('28Nov240101','070000129219','24',(select max(to_number(i.premium_rcv_detail_code))+1
from ins_premium_det i),'24','24','02', '11000003','00','Request by Mr. Omair Ali 29-Nov-2024');</v>
      </c>
      <c r="H2088" s="12" t="str">
        <f t="shared" si="131"/>
        <v>insert into ins_premium_det (premium_rcv_code,assorted_code, rec_amount,premium_rcv_detail_code,remaining_amt, payrec, mode_code,coinsurance_code,class_cd,it_remarks) values('28Nov240101','070000129219','24',(select max(to_number(i.premium_rcv_detail_code))+1
from ins_premium_det i),'24','24','02', '11000003','00','Request by Mr. Omair Ali 29-Nov-2024');</v>
      </c>
    </row>
    <row r="2089" spans="1:8" ht="105" x14ac:dyDescent="0.25">
      <c r="A2089" t="s">
        <v>2089</v>
      </c>
      <c r="B2089" s="8" t="str">
        <f>VLOOKUP(A2089,assortedcode!B:C,2,0)</f>
        <v>070000137593</v>
      </c>
      <c r="C2089" s="1">
        <v>24</v>
      </c>
      <c r="D2089" s="9">
        <f t="shared" si="129"/>
        <v>24</v>
      </c>
      <c r="E2089" s="7" t="s">
        <v>8345</v>
      </c>
      <c r="F2089" s="10" t="str">
        <f t="shared" si="128"/>
        <v>insert into ins_premium_det (premium_rcv_code,assorted_code, rec_amount,premium_rcv_detail_code,remaining_amt, payrec, mode_code,coinsurance_code,class_cd,it_remarks) values</v>
      </c>
      <c r="G2089" s="11" t="str">
        <f t="shared" si="130"/>
        <v>('28Nov240101','070000137593','24',(select max(to_number(i.premium_rcv_detail_code))+1
from ins_premium_det i),'24','24','02', '11000003','00','Request by Mr. Omair Ali 29-Nov-2024');</v>
      </c>
      <c r="H2089" s="12" t="str">
        <f t="shared" si="131"/>
        <v>insert into ins_premium_det (premium_rcv_code,assorted_code, rec_amount,premium_rcv_detail_code,remaining_amt, payrec, mode_code,coinsurance_code,class_cd,it_remarks) values('28Nov240101','070000137593','24',(select max(to_number(i.premium_rcv_detail_code))+1
from ins_premium_det i),'24','24','02', '11000003','00','Request by Mr. Omair Ali 29-Nov-2024');</v>
      </c>
    </row>
    <row r="2090" spans="1:8" ht="105" x14ac:dyDescent="0.25">
      <c r="A2090" t="s">
        <v>2090</v>
      </c>
      <c r="B2090" s="8" t="str">
        <f>VLOOKUP(A2090,assortedcode!B:C,2,0)</f>
        <v>070000163485</v>
      </c>
      <c r="C2090" s="1">
        <v>24</v>
      </c>
      <c r="D2090" s="9">
        <f t="shared" si="129"/>
        <v>24</v>
      </c>
      <c r="E2090" s="7" t="s">
        <v>8345</v>
      </c>
      <c r="F2090" s="10" t="str">
        <f t="shared" si="128"/>
        <v>insert into ins_premium_det (premium_rcv_code,assorted_code, rec_amount,premium_rcv_detail_code,remaining_amt, payrec, mode_code,coinsurance_code,class_cd,it_remarks) values</v>
      </c>
      <c r="G2090" s="11" t="str">
        <f t="shared" si="130"/>
        <v>('28Nov240101','070000163485','24',(select max(to_number(i.premium_rcv_detail_code))+1
from ins_premium_det i),'24','24','02', '11000003','00','Request by Mr. Omair Ali 29-Nov-2024');</v>
      </c>
      <c r="H2090" s="12" t="str">
        <f t="shared" si="131"/>
        <v>insert into ins_premium_det (premium_rcv_code,assorted_code, rec_amount,premium_rcv_detail_code,remaining_amt, payrec, mode_code,coinsurance_code,class_cd,it_remarks) values('28Nov240101','070000163485','24',(select max(to_number(i.premium_rcv_detail_code))+1
from ins_premium_det i),'24','24','02', '11000003','00','Request by Mr. Omair Ali 29-Nov-2024');</v>
      </c>
    </row>
    <row r="2091" spans="1:8" ht="105" x14ac:dyDescent="0.25">
      <c r="A2091" t="s">
        <v>2091</v>
      </c>
      <c r="B2091" s="8" t="str">
        <f>VLOOKUP(A2091,assortedcode!B:C,2,0)</f>
        <v>070000130636</v>
      </c>
      <c r="C2091" s="1">
        <v>25</v>
      </c>
      <c r="D2091" s="9">
        <f t="shared" si="129"/>
        <v>25</v>
      </c>
      <c r="E2091" s="7" t="s">
        <v>8345</v>
      </c>
      <c r="F2091" s="10" t="str">
        <f t="shared" si="128"/>
        <v>insert into ins_premium_det (premium_rcv_code,assorted_code, rec_amount,premium_rcv_detail_code,remaining_amt, payrec, mode_code,coinsurance_code,class_cd,it_remarks) values</v>
      </c>
      <c r="G2091" s="11" t="str">
        <f t="shared" si="130"/>
        <v>('28Nov240101','070000130636','25',(select max(to_number(i.premium_rcv_detail_code))+1
from ins_premium_det i),'25','25','02', '11000003','00','Request by Mr. Omair Ali 29-Nov-2024');</v>
      </c>
      <c r="H2091" s="12" t="str">
        <f t="shared" si="131"/>
        <v>insert into ins_premium_det (premium_rcv_code,assorted_code, rec_amount,premium_rcv_detail_code,remaining_amt, payrec, mode_code,coinsurance_code,class_cd,it_remarks) values('28Nov240101','070000130636','25',(select max(to_number(i.premium_rcv_detail_code))+1
from ins_premium_det i),'25','25','02', '11000003','00','Request by Mr. Omair Ali 29-Nov-2024');</v>
      </c>
    </row>
    <row r="2092" spans="1:8" ht="105" x14ac:dyDescent="0.25">
      <c r="A2092" t="s">
        <v>2092</v>
      </c>
      <c r="B2092" s="8" t="str">
        <f>VLOOKUP(A2092,assortedcode!B:C,2,0)</f>
        <v>040000125567</v>
      </c>
      <c r="C2092" s="1">
        <v>25</v>
      </c>
      <c r="D2092" s="9">
        <f t="shared" si="129"/>
        <v>25</v>
      </c>
      <c r="E2092" s="7" t="s">
        <v>8345</v>
      </c>
      <c r="F2092" s="10" t="str">
        <f t="shared" si="128"/>
        <v>insert into ins_premium_det (premium_rcv_code,assorted_code, rec_amount,premium_rcv_detail_code,remaining_amt, payrec, mode_code,coinsurance_code,class_cd,it_remarks) values</v>
      </c>
      <c r="G2092" s="11" t="str">
        <f t="shared" si="130"/>
        <v>('28Nov240101','040000125567','25',(select max(to_number(i.premium_rcv_detail_code))+1
from ins_premium_det i),'25','25','02', '11000003','00','Request by Mr. Omair Ali 29-Nov-2024');</v>
      </c>
      <c r="H2092" s="12" t="str">
        <f t="shared" si="131"/>
        <v>insert into ins_premium_det (premium_rcv_code,assorted_code, rec_amount,premium_rcv_detail_code,remaining_amt, payrec, mode_code,coinsurance_code,class_cd,it_remarks) values('28Nov240101','040000125567','25',(select max(to_number(i.premium_rcv_detail_code))+1
from ins_premium_det i),'25','25','02', '11000003','00','Request by Mr. Omair Ali 29-Nov-2024');</v>
      </c>
    </row>
    <row r="2093" spans="1:8" ht="105" x14ac:dyDescent="0.25">
      <c r="A2093" t="s">
        <v>2093</v>
      </c>
      <c r="B2093" s="8" t="str">
        <f>VLOOKUP(A2093,assortedcode!B:C,2,0)</f>
        <v>070000160433</v>
      </c>
      <c r="C2093" s="1">
        <v>26</v>
      </c>
      <c r="D2093" s="9">
        <f t="shared" si="129"/>
        <v>26</v>
      </c>
      <c r="E2093" s="7" t="s">
        <v>8345</v>
      </c>
      <c r="F2093" s="10" t="str">
        <f t="shared" si="128"/>
        <v>insert into ins_premium_det (premium_rcv_code,assorted_code, rec_amount,premium_rcv_detail_code,remaining_amt, payrec, mode_code,coinsurance_code,class_cd,it_remarks) values</v>
      </c>
      <c r="G2093" s="11" t="str">
        <f t="shared" si="130"/>
        <v>('28Nov240101','070000160433','26',(select max(to_number(i.premium_rcv_detail_code))+1
from ins_premium_det i),'26','26','02', '11000003','00','Request by Mr. Omair Ali 29-Nov-2024');</v>
      </c>
      <c r="H2093" s="12" t="str">
        <f t="shared" si="131"/>
        <v>insert into ins_premium_det (premium_rcv_code,assorted_code, rec_amount,premium_rcv_detail_code,remaining_amt, payrec, mode_code,coinsurance_code,class_cd,it_remarks) values('28Nov240101','070000160433','26',(select max(to_number(i.premium_rcv_detail_code))+1
from ins_premium_det i),'26','26','02', '11000003','00','Request by Mr. Omair Ali 29-Nov-2024');</v>
      </c>
    </row>
    <row r="2094" spans="1:8" ht="105" x14ac:dyDescent="0.25">
      <c r="A2094" t="s">
        <v>2094</v>
      </c>
      <c r="B2094" s="8" t="str">
        <f>VLOOKUP(A2094,assortedcode!B:C,2,0)</f>
        <v>070000160422</v>
      </c>
      <c r="C2094" s="1">
        <v>26</v>
      </c>
      <c r="D2094" s="9">
        <f t="shared" si="129"/>
        <v>26</v>
      </c>
      <c r="E2094" s="7" t="s">
        <v>8345</v>
      </c>
      <c r="F2094" s="10" t="str">
        <f t="shared" si="128"/>
        <v>insert into ins_premium_det (premium_rcv_code,assorted_code, rec_amount,premium_rcv_detail_code,remaining_amt, payrec, mode_code,coinsurance_code,class_cd,it_remarks) values</v>
      </c>
      <c r="G2094" s="11" t="str">
        <f t="shared" si="130"/>
        <v>('28Nov240101','070000160422','26',(select max(to_number(i.premium_rcv_detail_code))+1
from ins_premium_det i),'26','26','02', '11000003','00','Request by Mr. Omair Ali 29-Nov-2024');</v>
      </c>
      <c r="H2094" s="12" t="str">
        <f t="shared" si="131"/>
        <v>insert into ins_premium_det (premium_rcv_code,assorted_code, rec_amount,premium_rcv_detail_code,remaining_amt, payrec, mode_code,coinsurance_code,class_cd,it_remarks) values('28Nov240101','070000160422','26',(select max(to_number(i.premium_rcv_detail_code))+1
from ins_premium_det i),'26','26','02', '11000003','00','Request by Mr. Omair Ali 29-Nov-2024');</v>
      </c>
    </row>
    <row r="2095" spans="1:8" ht="105" x14ac:dyDescent="0.25">
      <c r="A2095" t="s">
        <v>2095</v>
      </c>
      <c r="B2095" s="8" t="str">
        <f>VLOOKUP(A2095,assortedcode!B:C,2,0)</f>
        <v>070000160435</v>
      </c>
      <c r="C2095" s="1">
        <v>26</v>
      </c>
      <c r="D2095" s="9">
        <f t="shared" si="129"/>
        <v>26</v>
      </c>
      <c r="E2095" s="7" t="s">
        <v>8345</v>
      </c>
      <c r="F2095" s="10" t="str">
        <f t="shared" si="128"/>
        <v>insert into ins_premium_det (premium_rcv_code,assorted_code, rec_amount,premium_rcv_detail_code,remaining_amt, payrec, mode_code,coinsurance_code,class_cd,it_remarks) values</v>
      </c>
      <c r="G2095" s="11" t="str">
        <f t="shared" si="130"/>
        <v>('28Nov240101','070000160435','26',(select max(to_number(i.premium_rcv_detail_code))+1
from ins_premium_det i),'26','26','02', '11000003','00','Request by Mr. Omair Ali 29-Nov-2024');</v>
      </c>
      <c r="H2095" s="12" t="str">
        <f t="shared" si="131"/>
        <v>insert into ins_premium_det (premium_rcv_code,assorted_code, rec_amount,premium_rcv_detail_code,remaining_amt, payrec, mode_code,coinsurance_code,class_cd,it_remarks) values('28Nov240101','070000160435','26',(select max(to_number(i.premium_rcv_detail_code))+1
from ins_premium_det i),'26','26','02', '11000003','00','Request by Mr. Omair Ali 29-Nov-2024');</v>
      </c>
    </row>
    <row r="2096" spans="1:8" ht="105" x14ac:dyDescent="0.25">
      <c r="A2096" t="s">
        <v>2096</v>
      </c>
      <c r="B2096" s="8" t="str">
        <f>VLOOKUP(A2096,assortedcode!B:C,2,0)</f>
        <v>040000161284</v>
      </c>
      <c r="C2096" s="1">
        <v>26</v>
      </c>
      <c r="D2096" s="9">
        <f t="shared" si="129"/>
        <v>26</v>
      </c>
      <c r="E2096" s="7" t="s">
        <v>8345</v>
      </c>
      <c r="F2096" s="10" t="str">
        <f t="shared" si="128"/>
        <v>insert into ins_premium_det (premium_rcv_code,assorted_code, rec_amount,premium_rcv_detail_code,remaining_amt, payrec, mode_code,coinsurance_code,class_cd,it_remarks) values</v>
      </c>
      <c r="G2096" s="11" t="str">
        <f t="shared" si="130"/>
        <v>('28Nov240101','040000161284','26',(select max(to_number(i.premium_rcv_detail_code))+1
from ins_premium_det i),'26','26','02', '11000003','00','Request by Mr. Omair Ali 29-Nov-2024');</v>
      </c>
      <c r="H2096" s="12" t="str">
        <f t="shared" si="131"/>
        <v>insert into ins_premium_det (premium_rcv_code,assorted_code, rec_amount,premium_rcv_detail_code,remaining_amt, payrec, mode_code,coinsurance_code,class_cd,it_remarks) values('28Nov240101','040000161284','26',(select max(to_number(i.premium_rcv_detail_code))+1
from ins_premium_det i),'26','26','02', '11000003','00','Request by Mr. Omair Ali 29-Nov-2024');</v>
      </c>
    </row>
    <row r="2097" spans="1:8" ht="105" x14ac:dyDescent="0.25">
      <c r="A2097" t="s">
        <v>2097</v>
      </c>
      <c r="B2097" s="8" t="str">
        <f>VLOOKUP(A2097,assortedcode!B:C,2,0)</f>
        <v>070000129073</v>
      </c>
      <c r="C2097" s="1">
        <v>26</v>
      </c>
      <c r="D2097" s="9">
        <f t="shared" si="129"/>
        <v>26</v>
      </c>
      <c r="E2097" s="7" t="s">
        <v>8345</v>
      </c>
      <c r="F2097" s="10" t="str">
        <f t="shared" si="128"/>
        <v>insert into ins_premium_det (premium_rcv_code,assorted_code, rec_amount,premium_rcv_detail_code,remaining_amt, payrec, mode_code,coinsurance_code,class_cd,it_remarks) values</v>
      </c>
      <c r="G2097" s="11" t="str">
        <f t="shared" si="130"/>
        <v>('28Nov240101','070000129073','26',(select max(to_number(i.premium_rcv_detail_code))+1
from ins_premium_det i),'26','26','02', '11000003','00','Request by Mr. Omair Ali 29-Nov-2024');</v>
      </c>
      <c r="H2097" s="12" t="str">
        <f t="shared" si="131"/>
        <v>insert into ins_premium_det (premium_rcv_code,assorted_code, rec_amount,premium_rcv_detail_code,remaining_amt, payrec, mode_code,coinsurance_code,class_cd,it_remarks) values('28Nov240101','070000129073','26',(select max(to_number(i.premium_rcv_detail_code))+1
from ins_premium_det i),'26','26','02', '11000003','00','Request by Mr. Omair Ali 29-Nov-2024');</v>
      </c>
    </row>
    <row r="2098" spans="1:8" ht="105" x14ac:dyDescent="0.25">
      <c r="A2098" t="s">
        <v>2098</v>
      </c>
      <c r="B2098" s="8" t="str">
        <f>VLOOKUP(A2098,assortedcode!B:C,2,0)</f>
        <v>070000147151</v>
      </c>
      <c r="C2098" s="1">
        <v>27</v>
      </c>
      <c r="D2098" s="9">
        <f t="shared" si="129"/>
        <v>27</v>
      </c>
      <c r="E2098" s="7" t="s">
        <v>8345</v>
      </c>
      <c r="F2098" s="10" t="str">
        <f t="shared" si="128"/>
        <v>insert into ins_premium_det (premium_rcv_code,assorted_code, rec_amount,premium_rcv_detail_code,remaining_amt, payrec, mode_code,coinsurance_code,class_cd,it_remarks) values</v>
      </c>
      <c r="G2098" s="11" t="str">
        <f t="shared" si="130"/>
        <v>('28Nov240101','070000147151','27',(select max(to_number(i.premium_rcv_detail_code))+1
from ins_premium_det i),'27','27','02', '11000003','00','Request by Mr. Omair Ali 29-Nov-2024');</v>
      </c>
      <c r="H2098" s="12" t="str">
        <f t="shared" si="131"/>
        <v>insert into ins_premium_det (premium_rcv_code,assorted_code, rec_amount,premium_rcv_detail_code,remaining_amt, payrec, mode_code,coinsurance_code,class_cd,it_remarks) values('28Nov240101','070000147151','27',(select max(to_number(i.premium_rcv_detail_code))+1
from ins_premium_det i),'27','27','02', '11000003','00','Request by Mr. Omair Ali 29-Nov-2024');</v>
      </c>
    </row>
    <row r="2099" spans="1:8" ht="105" x14ac:dyDescent="0.25">
      <c r="A2099" t="s">
        <v>2099</v>
      </c>
      <c r="B2099" s="8" t="str">
        <f>VLOOKUP(A2099,assortedcode!B:C,2,0)</f>
        <v>070000140783</v>
      </c>
      <c r="C2099" s="1">
        <v>27</v>
      </c>
      <c r="D2099" s="9">
        <f t="shared" si="129"/>
        <v>27</v>
      </c>
      <c r="E2099" s="7" t="s">
        <v>8345</v>
      </c>
      <c r="F2099" s="10" t="str">
        <f t="shared" si="128"/>
        <v>insert into ins_premium_det (premium_rcv_code,assorted_code, rec_amount,premium_rcv_detail_code,remaining_amt, payrec, mode_code,coinsurance_code,class_cd,it_remarks) values</v>
      </c>
      <c r="G2099" s="11" t="str">
        <f t="shared" si="130"/>
        <v>('28Nov240101','070000140783','27',(select max(to_number(i.premium_rcv_detail_code))+1
from ins_premium_det i),'27','27','02', '11000003','00','Request by Mr. Omair Ali 29-Nov-2024');</v>
      </c>
      <c r="H2099" s="12" t="str">
        <f t="shared" si="131"/>
        <v>insert into ins_premium_det (premium_rcv_code,assorted_code, rec_amount,premium_rcv_detail_code,remaining_amt, payrec, mode_code,coinsurance_code,class_cd,it_remarks) values('28Nov240101','070000140783','27',(select max(to_number(i.premium_rcv_detail_code))+1
from ins_premium_det i),'27','27','02', '11000003','00','Request by Mr. Omair Ali 29-Nov-2024');</v>
      </c>
    </row>
    <row r="2100" spans="1:8" ht="105" x14ac:dyDescent="0.25">
      <c r="A2100" t="s">
        <v>2100</v>
      </c>
      <c r="B2100" s="8" t="str">
        <f>VLOOKUP(A2100,assortedcode!B:C,2,0)</f>
        <v>070000140782</v>
      </c>
      <c r="C2100" s="1">
        <v>27</v>
      </c>
      <c r="D2100" s="9">
        <f t="shared" si="129"/>
        <v>27</v>
      </c>
      <c r="E2100" s="7" t="s">
        <v>8345</v>
      </c>
      <c r="F2100" s="10" t="str">
        <f t="shared" si="128"/>
        <v>insert into ins_premium_det (premium_rcv_code,assorted_code, rec_amount,premium_rcv_detail_code,remaining_amt, payrec, mode_code,coinsurance_code,class_cd,it_remarks) values</v>
      </c>
      <c r="G2100" s="11" t="str">
        <f t="shared" si="130"/>
        <v>('28Nov240101','070000140782','27',(select max(to_number(i.premium_rcv_detail_code))+1
from ins_premium_det i),'27','27','02', '11000003','00','Request by Mr. Omair Ali 29-Nov-2024');</v>
      </c>
      <c r="H2100" s="12" t="str">
        <f t="shared" si="131"/>
        <v>insert into ins_premium_det (premium_rcv_code,assorted_code, rec_amount,premium_rcv_detail_code,remaining_amt, payrec, mode_code,coinsurance_code,class_cd,it_remarks) values('28Nov240101','070000140782','27',(select max(to_number(i.premium_rcv_detail_code))+1
from ins_premium_det i),'27','27','02', '11000003','00','Request by Mr. Omair Ali 29-Nov-2024');</v>
      </c>
    </row>
    <row r="2101" spans="1:8" ht="105" x14ac:dyDescent="0.25">
      <c r="A2101" t="s">
        <v>2101</v>
      </c>
      <c r="B2101" s="8" t="str">
        <f>VLOOKUP(A2101,assortedcode!B:C,2,0)</f>
        <v>070000140802</v>
      </c>
      <c r="C2101" s="1">
        <v>27</v>
      </c>
      <c r="D2101" s="9">
        <f t="shared" si="129"/>
        <v>27</v>
      </c>
      <c r="E2101" s="7" t="s">
        <v>8345</v>
      </c>
      <c r="F2101" s="10" t="str">
        <f t="shared" si="128"/>
        <v>insert into ins_premium_det (premium_rcv_code,assorted_code, rec_amount,premium_rcv_detail_code,remaining_amt, payrec, mode_code,coinsurance_code,class_cd,it_remarks) values</v>
      </c>
      <c r="G2101" s="11" t="str">
        <f t="shared" si="130"/>
        <v>('28Nov240101','070000140802','27',(select max(to_number(i.premium_rcv_detail_code))+1
from ins_premium_det i),'27','27','02', '11000003','00','Request by Mr. Omair Ali 29-Nov-2024');</v>
      </c>
      <c r="H2101" s="12" t="str">
        <f t="shared" si="131"/>
        <v>insert into ins_premium_det (premium_rcv_code,assorted_code, rec_amount,premium_rcv_detail_code,remaining_amt, payrec, mode_code,coinsurance_code,class_cd,it_remarks) values('28Nov240101','070000140802','27',(select max(to_number(i.premium_rcv_detail_code))+1
from ins_premium_det i),'27','27','02', '11000003','00','Request by Mr. Omair Ali 29-Nov-2024');</v>
      </c>
    </row>
    <row r="2102" spans="1:8" ht="105" x14ac:dyDescent="0.25">
      <c r="A2102" t="s">
        <v>2102</v>
      </c>
      <c r="B2102" s="8" t="str">
        <f>VLOOKUP(A2102,assortedcode!B:C,2,0)</f>
        <v>040000161454</v>
      </c>
      <c r="C2102" s="1">
        <v>27</v>
      </c>
      <c r="D2102" s="9">
        <f t="shared" si="129"/>
        <v>27</v>
      </c>
      <c r="E2102" s="7" t="s">
        <v>8345</v>
      </c>
      <c r="F2102" s="10" t="str">
        <f t="shared" si="128"/>
        <v>insert into ins_premium_det (premium_rcv_code,assorted_code, rec_amount,premium_rcv_detail_code,remaining_amt, payrec, mode_code,coinsurance_code,class_cd,it_remarks) values</v>
      </c>
      <c r="G2102" s="11" t="str">
        <f t="shared" si="130"/>
        <v>('28Nov240101','040000161454','27',(select max(to_number(i.premium_rcv_detail_code))+1
from ins_premium_det i),'27','27','02', '11000003','00','Request by Mr. Omair Ali 29-Nov-2024');</v>
      </c>
      <c r="H2102" s="12" t="str">
        <f t="shared" si="131"/>
        <v>insert into ins_premium_det (premium_rcv_code,assorted_code, rec_amount,premium_rcv_detail_code,remaining_amt, payrec, mode_code,coinsurance_code,class_cd,it_remarks) values('28Nov240101','040000161454','27',(select max(to_number(i.premium_rcv_detail_code))+1
from ins_premium_det i),'27','27','02', '11000003','00','Request by Mr. Omair Ali 29-Nov-2024');</v>
      </c>
    </row>
    <row r="2103" spans="1:8" ht="105" x14ac:dyDescent="0.25">
      <c r="A2103" t="s">
        <v>2103</v>
      </c>
      <c r="B2103" s="8" t="str">
        <f>VLOOKUP(A2103,assortedcode!B:C,2,0)</f>
        <v>070000129075</v>
      </c>
      <c r="C2103" s="1">
        <v>28</v>
      </c>
      <c r="D2103" s="9">
        <f t="shared" si="129"/>
        <v>28</v>
      </c>
      <c r="E2103" s="7" t="s">
        <v>8345</v>
      </c>
      <c r="F2103" s="10" t="str">
        <f t="shared" si="128"/>
        <v>insert into ins_premium_det (premium_rcv_code,assorted_code, rec_amount,premium_rcv_detail_code,remaining_amt, payrec, mode_code,coinsurance_code,class_cd,it_remarks) values</v>
      </c>
      <c r="G2103" s="11" t="str">
        <f t="shared" si="130"/>
        <v>('28Nov240101','070000129075','28',(select max(to_number(i.premium_rcv_detail_code))+1
from ins_premium_det i),'28','28','02', '11000003','00','Request by Mr. Omair Ali 29-Nov-2024');</v>
      </c>
      <c r="H2103" s="12" t="str">
        <f t="shared" si="131"/>
        <v>insert into ins_premium_det (premium_rcv_code,assorted_code, rec_amount,premium_rcv_detail_code,remaining_amt, payrec, mode_code,coinsurance_code,class_cd,it_remarks) values('28Nov240101','070000129075','28',(select max(to_number(i.premium_rcv_detail_code))+1
from ins_premium_det i),'28','28','02', '11000003','00','Request by Mr. Omair Ali 29-Nov-2024');</v>
      </c>
    </row>
    <row r="2104" spans="1:8" ht="105" x14ac:dyDescent="0.25">
      <c r="A2104" t="s">
        <v>2104</v>
      </c>
      <c r="B2104" s="8" t="str">
        <f>VLOOKUP(A2104,assortedcode!B:C,2,0)</f>
        <v>070000135237</v>
      </c>
      <c r="C2104" s="1">
        <v>28</v>
      </c>
      <c r="D2104" s="9">
        <f t="shared" si="129"/>
        <v>28</v>
      </c>
      <c r="E2104" s="7" t="s">
        <v>8345</v>
      </c>
      <c r="F2104" s="10" t="str">
        <f t="shared" si="128"/>
        <v>insert into ins_premium_det (premium_rcv_code,assorted_code, rec_amount,premium_rcv_detail_code,remaining_amt, payrec, mode_code,coinsurance_code,class_cd,it_remarks) values</v>
      </c>
      <c r="G2104" s="11" t="str">
        <f t="shared" si="130"/>
        <v>('28Nov240101','070000135237','28',(select max(to_number(i.premium_rcv_detail_code))+1
from ins_premium_det i),'28','28','02', '11000003','00','Request by Mr. Omair Ali 29-Nov-2024');</v>
      </c>
      <c r="H2104" s="12" t="str">
        <f t="shared" si="131"/>
        <v>insert into ins_premium_det (premium_rcv_code,assorted_code, rec_amount,premium_rcv_detail_code,remaining_amt, payrec, mode_code,coinsurance_code,class_cd,it_remarks) values('28Nov240101','070000135237','28',(select max(to_number(i.premium_rcv_detail_code))+1
from ins_premium_det i),'28','28','02', '11000003','00','Request by Mr. Omair Ali 29-Nov-2024');</v>
      </c>
    </row>
    <row r="2105" spans="1:8" ht="105" x14ac:dyDescent="0.25">
      <c r="A2105" t="s">
        <v>2105</v>
      </c>
      <c r="B2105" s="8" t="str">
        <f>VLOOKUP(A2105,assortedcode!B:C,2,0)</f>
        <v>070000161534</v>
      </c>
      <c r="C2105" s="1">
        <v>28</v>
      </c>
      <c r="D2105" s="9">
        <f t="shared" si="129"/>
        <v>28</v>
      </c>
      <c r="E2105" s="7" t="s">
        <v>8345</v>
      </c>
      <c r="F2105" s="10" t="str">
        <f t="shared" si="128"/>
        <v>insert into ins_premium_det (premium_rcv_code,assorted_code, rec_amount,premium_rcv_detail_code,remaining_amt, payrec, mode_code,coinsurance_code,class_cd,it_remarks) values</v>
      </c>
      <c r="G2105" s="11" t="str">
        <f t="shared" si="130"/>
        <v>('28Nov240101','070000161534','28',(select max(to_number(i.premium_rcv_detail_code))+1
from ins_premium_det i),'28','28','02', '11000003','00','Request by Mr. Omair Ali 29-Nov-2024');</v>
      </c>
      <c r="H2105" s="12" t="str">
        <f t="shared" si="131"/>
        <v>insert into ins_premium_det (premium_rcv_code,assorted_code, rec_amount,premium_rcv_detail_code,remaining_amt, payrec, mode_code,coinsurance_code,class_cd,it_remarks) values('28Nov240101','070000161534','28',(select max(to_number(i.premium_rcv_detail_code))+1
from ins_premium_det i),'28','28','02', '11000003','00','Request by Mr. Omair Ali 29-Nov-2024');</v>
      </c>
    </row>
    <row r="2106" spans="1:8" ht="105" x14ac:dyDescent="0.25">
      <c r="A2106" t="s">
        <v>2106</v>
      </c>
      <c r="B2106" s="8" t="str">
        <f>VLOOKUP(A2106,assortedcode!B:C,2,0)</f>
        <v>070000160426</v>
      </c>
      <c r="C2106" s="1">
        <v>29</v>
      </c>
      <c r="D2106" s="9">
        <f t="shared" si="129"/>
        <v>29</v>
      </c>
      <c r="E2106" s="7" t="s">
        <v>8345</v>
      </c>
      <c r="F2106" s="10" t="str">
        <f t="shared" si="128"/>
        <v>insert into ins_premium_det (premium_rcv_code,assorted_code, rec_amount,premium_rcv_detail_code,remaining_amt, payrec, mode_code,coinsurance_code,class_cd,it_remarks) values</v>
      </c>
      <c r="G2106" s="11" t="str">
        <f t="shared" si="130"/>
        <v>('28Nov240101','070000160426','29',(select max(to_number(i.premium_rcv_detail_code))+1
from ins_premium_det i),'29','29','02', '11000003','00','Request by Mr. Omair Ali 29-Nov-2024');</v>
      </c>
      <c r="H2106" s="12" t="str">
        <f t="shared" si="131"/>
        <v>insert into ins_premium_det (premium_rcv_code,assorted_code, rec_amount,premium_rcv_detail_code,remaining_amt, payrec, mode_code,coinsurance_code,class_cd,it_remarks) values('28Nov240101','070000160426','29',(select max(to_number(i.premium_rcv_detail_code))+1
from ins_premium_det i),'29','29','02', '11000003','00','Request by Mr. Omair Ali 29-Nov-2024');</v>
      </c>
    </row>
    <row r="2107" spans="1:8" ht="105" x14ac:dyDescent="0.25">
      <c r="A2107" t="s">
        <v>2107</v>
      </c>
      <c r="B2107" s="8" t="str">
        <f>VLOOKUP(A2107,assortedcode!B:C,2,0)</f>
        <v>070000160431</v>
      </c>
      <c r="C2107" s="1">
        <v>29</v>
      </c>
      <c r="D2107" s="9">
        <f t="shared" si="129"/>
        <v>29</v>
      </c>
      <c r="E2107" s="7" t="s">
        <v>8345</v>
      </c>
      <c r="F2107" s="10" t="str">
        <f t="shared" si="128"/>
        <v>insert into ins_premium_det (premium_rcv_code,assorted_code, rec_amount,premium_rcv_detail_code,remaining_amt, payrec, mode_code,coinsurance_code,class_cd,it_remarks) values</v>
      </c>
      <c r="G2107" s="11" t="str">
        <f t="shared" si="130"/>
        <v>('28Nov240101','070000160431','29',(select max(to_number(i.premium_rcv_detail_code))+1
from ins_premium_det i),'29','29','02', '11000003','00','Request by Mr. Omair Ali 29-Nov-2024');</v>
      </c>
      <c r="H2107" s="12" t="str">
        <f t="shared" si="131"/>
        <v>insert into ins_premium_det (premium_rcv_code,assorted_code, rec_amount,premium_rcv_detail_code,remaining_amt, payrec, mode_code,coinsurance_code,class_cd,it_remarks) values('28Nov240101','070000160431','29',(select max(to_number(i.premium_rcv_detail_code))+1
from ins_premium_det i),'29','29','02', '11000003','00','Request by Mr. Omair Ali 29-Nov-2024');</v>
      </c>
    </row>
    <row r="2108" spans="1:8" ht="105" x14ac:dyDescent="0.25">
      <c r="A2108" t="s">
        <v>2108</v>
      </c>
      <c r="B2108" s="8" t="str">
        <f>VLOOKUP(A2108,assortedcode!B:C,2,0)</f>
        <v>070000157875</v>
      </c>
      <c r="C2108" s="1">
        <v>29</v>
      </c>
      <c r="D2108" s="9">
        <f t="shared" si="129"/>
        <v>29</v>
      </c>
      <c r="E2108" s="7" t="s">
        <v>8345</v>
      </c>
      <c r="F2108" s="10" t="str">
        <f t="shared" si="128"/>
        <v>insert into ins_premium_det (premium_rcv_code,assorted_code, rec_amount,premium_rcv_detail_code,remaining_amt, payrec, mode_code,coinsurance_code,class_cd,it_remarks) values</v>
      </c>
      <c r="G2108" s="11" t="str">
        <f t="shared" si="130"/>
        <v>('28Nov240101','070000157875','29',(select max(to_number(i.premium_rcv_detail_code))+1
from ins_premium_det i),'29','29','02', '11000003','00','Request by Mr. Omair Ali 29-Nov-2024');</v>
      </c>
      <c r="H2108" s="12" t="str">
        <f t="shared" si="131"/>
        <v>insert into ins_premium_det (premium_rcv_code,assorted_code, rec_amount,premium_rcv_detail_code,remaining_amt, payrec, mode_code,coinsurance_code,class_cd,it_remarks) values('28Nov240101','070000157875','29',(select max(to_number(i.premium_rcv_detail_code))+1
from ins_premium_det i),'29','29','02', '11000003','00','Request by Mr. Omair Ali 29-Nov-2024');</v>
      </c>
    </row>
    <row r="2109" spans="1:8" ht="105" x14ac:dyDescent="0.25">
      <c r="A2109" t="s">
        <v>2109</v>
      </c>
      <c r="B2109" s="8" t="str">
        <f>VLOOKUP(A2109,assortedcode!B:C,2,0)</f>
        <v>070000147315</v>
      </c>
      <c r="C2109" s="1">
        <v>29</v>
      </c>
      <c r="D2109" s="9">
        <f t="shared" si="129"/>
        <v>29</v>
      </c>
      <c r="E2109" s="7" t="s">
        <v>8345</v>
      </c>
      <c r="F2109" s="10" t="str">
        <f t="shared" si="128"/>
        <v>insert into ins_premium_det (premium_rcv_code,assorted_code, rec_amount,premium_rcv_detail_code,remaining_amt, payrec, mode_code,coinsurance_code,class_cd,it_remarks) values</v>
      </c>
      <c r="G2109" s="11" t="str">
        <f t="shared" si="130"/>
        <v>('28Nov240101','070000147315','29',(select max(to_number(i.premium_rcv_detail_code))+1
from ins_premium_det i),'29','29','02', '11000003','00','Request by Mr. Omair Ali 29-Nov-2024');</v>
      </c>
      <c r="H2109" s="12" t="str">
        <f t="shared" si="131"/>
        <v>insert into ins_premium_det (premium_rcv_code,assorted_code, rec_amount,premium_rcv_detail_code,remaining_amt, payrec, mode_code,coinsurance_code,class_cd,it_remarks) values('28Nov240101','070000147315','29',(select max(to_number(i.premium_rcv_detail_code))+1
from ins_premium_det i),'29','29','02', '11000003','00','Request by Mr. Omair Ali 29-Nov-2024');</v>
      </c>
    </row>
    <row r="2110" spans="1:8" ht="105" x14ac:dyDescent="0.25">
      <c r="A2110" t="s">
        <v>2110</v>
      </c>
      <c r="B2110" s="8" t="str">
        <f>VLOOKUP(A2110,assortedcode!B:C,2,0)</f>
        <v>070000162698</v>
      </c>
      <c r="C2110" s="1">
        <v>30</v>
      </c>
      <c r="D2110" s="9">
        <f t="shared" si="129"/>
        <v>30</v>
      </c>
      <c r="E2110" s="7" t="s">
        <v>8345</v>
      </c>
      <c r="F2110" s="10" t="str">
        <f t="shared" si="128"/>
        <v>insert into ins_premium_det (premium_rcv_code,assorted_code, rec_amount,premium_rcv_detail_code,remaining_amt, payrec, mode_code,coinsurance_code,class_cd,it_remarks) values</v>
      </c>
      <c r="G2110" s="11" t="str">
        <f t="shared" si="130"/>
        <v>('28Nov240101','070000162698','30',(select max(to_number(i.premium_rcv_detail_code))+1
from ins_premium_det i),'30','30','02', '11000003','00','Request by Mr. Omair Ali 29-Nov-2024');</v>
      </c>
      <c r="H2110" s="12" t="str">
        <f t="shared" si="131"/>
        <v>insert into ins_premium_det (premium_rcv_code,assorted_code, rec_amount,premium_rcv_detail_code,remaining_amt, payrec, mode_code,coinsurance_code,class_cd,it_remarks) values('28Nov240101','070000162698','30',(select max(to_number(i.premium_rcv_detail_code))+1
from ins_premium_det i),'30','30','02', '11000003','00','Request by Mr. Omair Ali 29-Nov-2024');</v>
      </c>
    </row>
    <row r="2111" spans="1:8" ht="105" x14ac:dyDescent="0.25">
      <c r="A2111" t="s">
        <v>2111</v>
      </c>
      <c r="B2111" s="8" t="str">
        <f>VLOOKUP(A2111,assortedcode!B:C,2,0)</f>
        <v>070000157070</v>
      </c>
      <c r="C2111" s="1">
        <v>30</v>
      </c>
      <c r="D2111" s="9">
        <f t="shared" si="129"/>
        <v>30</v>
      </c>
      <c r="E2111" s="7" t="s">
        <v>8345</v>
      </c>
      <c r="F2111" s="10" t="str">
        <f t="shared" si="128"/>
        <v>insert into ins_premium_det (premium_rcv_code,assorted_code, rec_amount,premium_rcv_detail_code,remaining_amt, payrec, mode_code,coinsurance_code,class_cd,it_remarks) values</v>
      </c>
      <c r="G2111" s="11" t="str">
        <f t="shared" si="130"/>
        <v>('28Nov240101','070000157070','30',(select max(to_number(i.premium_rcv_detail_code))+1
from ins_premium_det i),'30','30','02', '11000003','00','Request by Mr. Omair Ali 29-Nov-2024');</v>
      </c>
      <c r="H2111" s="12" t="str">
        <f t="shared" si="131"/>
        <v>insert into ins_premium_det (premium_rcv_code,assorted_code, rec_amount,premium_rcv_detail_code,remaining_amt, payrec, mode_code,coinsurance_code,class_cd,it_remarks) values('28Nov240101','070000157070','30',(select max(to_number(i.premium_rcv_detail_code))+1
from ins_premium_det i),'30','30','02', '11000003','00','Request by Mr. Omair Ali 29-Nov-2024');</v>
      </c>
    </row>
    <row r="2112" spans="1:8" ht="105" x14ac:dyDescent="0.25">
      <c r="A2112" t="s">
        <v>2112</v>
      </c>
      <c r="B2112" s="8" t="str">
        <f>VLOOKUP(A2112,assortedcode!B:C,2,0)</f>
        <v>070000130638</v>
      </c>
      <c r="C2112" s="1">
        <v>30</v>
      </c>
      <c r="D2112" s="9">
        <f t="shared" si="129"/>
        <v>30</v>
      </c>
      <c r="E2112" s="7" t="s">
        <v>8345</v>
      </c>
      <c r="F2112" s="10" t="str">
        <f t="shared" si="128"/>
        <v>insert into ins_premium_det (premium_rcv_code,assorted_code, rec_amount,premium_rcv_detail_code,remaining_amt, payrec, mode_code,coinsurance_code,class_cd,it_remarks) values</v>
      </c>
      <c r="G2112" s="11" t="str">
        <f t="shared" si="130"/>
        <v>('28Nov240101','070000130638','30',(select max(to_number(i.premium_rcv_detail_code))+1
from ins_premium_det i),'30','30','02', '11000003','00','Request by Mr. Omair Ali 29-Nov-2024');</v>
      </c>
      <c r="H2112" s="12" t="str">
        <f t="shared" si="131"/>
        <v>insert into ins_premium_det (premium_rcv_code,assorted_code, rec_amount,premium_rcv_detail_code,remaining_amt, payrec, mode_code,coinsurance_code,class_cd,it_remarks) values('28Nov240101','070000130638','30',(select max(to_number(i.premium_rcv_detail_code))+1
from ins_premium_det i),'30','30','02', '11000003','00','Request by Mr. Omair Ali 29-Nov-2024');</v>
      </c>
    </row>
    <row r="2113" spans="1:8" ht="105" x14ac:dyDescent="0.25">
      <c r="A2113" t="s">
        <v>2113</v>
      </c>
      <c r="B2113" s="8" t="str">
        <f>VLOOKUP(A2113,assortedcode!B:C,2,0)</f>
        <v>070000163430</v>
      </c>
      <c r="C2113" s="1">
        <v>30</v>
      </c>
      <c r="D2113" s="9">
        <f t="shared" si="129"/>
        <v>30</v>
      </c>
      <c r="E2113" s="7" t="s">
        <v>8345</v>
      </c>
      <c r="F2113" s="10" t="str">
        <f t="shared" si="128"/>
        <v>insert into ins_premium_det (premium_rcv_code,assorted_code, rec_amount,premium_rcv_detail_code,remaining_amt, payrec, mode_code,coinsurance_code,class_cd,it_remarks) values</v>
      </c>
      <c r="G2113" s="11" t="str">
        <f t="shared" si="130"/>
        <v>('28Nov240101','070000163430','30',(select max(to_number(i.premium_rcv_detail_code))+1
from ins_premium_det i),'30','30','02', '11000003','00','Request by Mr. Omair Ali 29-Nov-2024');</v>
      </c>
      <c r="H2113" s="12" t="str">
        <f t="shared" si="131"/>
        <v>insert into ins_premium_det (premium_rcv_code,assorted_code, rec_amount,premium_rcv_detail_code,remaining_amt, payrec, mode_code,coinsurance_code,class_cd,it_remarks) values('28Nov240101','070000163430','30',(select max(to_number(i.premium_rcv_detail_code))+1
from ins_premium_det i),'30','30','02', '11000003','00','Request by Mr. Omair Ali 29-Nov-2024');</v>
      </c>
    </row>
    <row r="2114" spans="1:8" ht="105" x14ac:dyDescent="0.25">
      <c r="A2114" t="s">
        <v>2114</v>
      </c>
      <c r="B2114" s="8" t="str">
        <f>VLOOKUP(A2114,assortedcode!B:C,2,0)</f>
        <v>070000159390</v>
      </c>
      <c r="C2114" s="1">
        <v>31</v>
      </c>
      <c r="D2114" s="9">
        <f t="shared" si="129"/>
        <v>31</v>
      </c>
      <c r="E2114" s="7" t="s">
        <v>8345</v>
      </c>
      <c r="F2114" s="10" t="str">
        <f t="shared" ref="F2114:F2177" si="132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2114" s="11" t="str">
        <f t="shared" si="130"/>
        <v>('28Nov240101','070000159390','31',(select max(to_number(i.premium_rcv_detail_code))+1
from ins_premium_det i),'31','31','02', '11000003','00','Request by Mr. Omair Ali 29-Nov-2024');</v>
      </c>
      <c r="H2114" s="12" t="str">
        <f t="shared" si="131"/>
        <v>insert into ins_premium_det (premium_rcv_code,assorted_code, rec_amount,premium_rcv_detail_code,remaining_amt, payrec, mode_code,coinsurance_code,class_cd,it_remarks) values('28Nov240101','070000159390','31',(select max(to_number(i.premium_rcv_detail_code))+1
from ins_premium_det i),'31','31','02', '11000003','00','Request by Mr. Omair Ali 29-Nov-2024');</v>
      </c>
    </row>
    <row r="2115" spans="1:8" ht="105" x14ac:dyDescent="0.25">
      <c r="A2115" t="s">
        <v>2115</v>
      </c>
      <c r="B2115" s="8" t="str">
        <f>VLOOKUP(A2115,assortedcode!B:C,2,0)</f>
        <v>040000180041</v>
      </c>
      <c r="C2115" s="1">
        <v>31</v>
      </c>
      <c r="D2115" s="9">
        <f t="shared" ref="D2115:D2178" si="133">ROUND(C2115,0)</f>
        <v>31</v>
      </c>
      <c r="E2115" s="7" t="s">
        <v>8345</v>
      </c>
      <c r="F2115" s="10" t="str">
        <f t="shared" si="132"/>
        <v>insert into ins_premium_det (premium_rcv_code,assorted_code, rec_amount,premium_rcv_detail_code,remaining_amt, payrec, mode_code,coinsurance_code,class_cd,it_remarks) values</v>
      </c>
      <c r="G2115" s="11" t="str">
        <f t="shared" ref="G2115:G2178" si="134">"('"&amp;E2115&amp;"','"&amp;B2115&amp;"','"&amp;ROUND(D2115,2)&amp;"',(select max(to_number(i.premium_rcv_detail_code))+1
from ins_premium_det i),'"&amp;D2115&amp;"','"&amp;D2115&amp;"','02', '11000003','00','Request by Mr. Omair Ali 29-Nov-2024');"</f>
        <v>('28Nov240101','040000180041','31',(select max(to_number(i.premium_rcv_detail_code))+1
from ins_premium_det i),'31','31','02', '11000003','00','Request by Mr. Omair Ali 29-Nov-2024');</v>
      </c>
      <c r="H2115" s="12" t="str">
        <f t="shared" ref="H2115:H2178" si="135">F2115&amp;G2115</f>
        <v>insert into ins_premium_det (premium_rcv_code,assorted_code, rec_amount,premium_rcv_detail_code,remaining_amt, payrec, mode_code,coinsurance_code,class_cd,it_remarks) values('28Nov240101','040000180041','31',(select max(to_number(i.premium_rcv_detail_code))+1
from ins_premium_det i),'31','31','02', '11000003','00','Request by Mr. Omair Ali 29-Nov-2024');</v>
      </c>
    </row>
    <row r="2116" spans="1:8" ht="105" x14ac:dyDescent="0.25">
      <c r="A2116" t="s">
        <v>2116</v>
      </c>
      <c r="B2116" s="8" t="str">
        <f>VLOOKUP(A2116,assortedcode!B:C,2,0)</f>
        <v>070000147094</v>
      </c>
      <c r="C2116" s="1">
        <v>32</v>
      </c>
      <c r="D2116" s="9">
        <f t="shared" si="133"/>
        <v>32</v>
      </c>
      <c r="E2116" s="7" t="s">
        <v>8345</v>
      </c>
      <c r="F2116" s="10" t="str">
        <f t="shared" si="132"/>
        <v>insert into ins_premium_det (premium_rcv_code,assorted_code, rec_amount,premium_rcv_detail_code,remaining_amt, payrec, mode_code,coinsurance_code,class_cd,it_remarks) values</v>
      </c>
      <c r="G2116" s="11" t="str">
        <f t="shared" si="134"/>
        <v>('28Nov240101','070000147094','32',(select max(to_number(i.premium_rcv_detail_code))+1
from ins_premium_det i),'32','32','02', '11000003','00','Request by Mr. Omair Ali 29-Nov-2024');</v>
      </c>
      <c r="H2116" s="12" t="str">
        <f t="shared" si="135"/>
        <v>insert into ins_premium_det (premium_rcv_code,assorted_code, rec_amount,premium_rcv_detail_code,remaining_amt, payrec, mode_code,coinsurance_code,class_cd,it_remarks) values('28Nov240101','070000147094','32',(select max(to_number(i.premium_rcv_detail_code))+1
from ins_premium_det i),'32','32','02', '11000003','00','Request by Mr. Omair Ali 29-Nov-2024');</v>
      </c>
    </row>
    <row r="2117" spans="1:8" ht="105" x14ac:dyDescent="0.25">
      <c r="A2117" t="s">
        <v>2117</v>
      </c>
      <c r="B2117" s="8" t="str">
        <f>VLOOKUP(A2117,assortedcode!B:C,2,0)</f>
        <v>070000160425</v>
      </c>
      <c r="C2117" s="1">
        <v>33</v>
      </c>
      <c r="D2117" s="9">
        <f t="shared" si="133"/>
        <v>33</v>
      </c>
      <c r="E2117" s="7" t="s">
        <v>8345</v>
      </c>
      <c r="F2117" s="10" t="str">
        <f t="shared" si="132"/>
        <v>insert into ins_premium_det (premium_rcv_code,assorted_code, rec_amount,premium_rcv_detail_code,remaining_amt, payrec, mode_code,coinsurance_code,class_cd,it_remarks) values</v>
      </c>
      <c r="G2117" s="11" t="str">
        <f t="shared" si="134"/>
        <v>('28Nov240101','070000160425','33',(select max(to_number(i.premium_rcv_detail_code))+1
from ins_premium_det i),'33','33','02', '11000003','00','Request by Mr. Omair Ali 29-Nov-2024');</v>
      </c>
      <c r="H2117" s="12" t="str">
        <f t="shared" si="135"/>
        <v>insert into ins_premium_det (premium_rcv_code,assorted_code, rec_amount,premium_rcv_detail_code,remaining_amt, payrec, mode_code,coinsurance_code,class_cd,it_remarks) values('28Nov240101','070000160425','33',(select max(to_number(i.premium_rcv_detail_code))+1
from ins_premium_det i),'33','33','02', '11000003','00','Request by Mr. Omair Ali 29-Nov-2024');</v>
      </c>
    </row>
    <row r="2118" spans="1:8" ht="105" x14ac:dyDescent="0.25">
      <c r="A2118" t="s">
        <v>2118</v>
      </c>
      <c r="B2118" s="8" t="str">
        <f>VLOOKUP(A2118,assortedcode!B:C,2,0)</f>
        <v>070000130590</v>
      </c>
      <c r="C2118" s="1">
        <v>33</v>
      </c>
      <c r="D2118" s="9">
        <f t="shared" si="133"/>
        <v>33</v>
      </c>
      <c r="E2118" s="7" t="s">
        <v>8345</v>
      </c>
      <c r="F2118" s="10" t="str">
        <f t="shared" si="132"/>
        <v>insert into ins_premium_det (premium_rcv_code,assorted_code, rec_amount,premium_rcv_detail_code,remaining_amt, payrec, mode_code,coinsurance_code,class_cd,it_remarks) values</v>
      </c>
      <c r="G2118" s="11" t="str">
        <f t="shared" si="134"/>
        <v>('28Nov240101','070000130590','33',(select max(to_number(i.premium_rcv_detail_code))+1
from ins_premium_det i),'33','33','02', '11000003','00','Request by Mr. Omair Ali 29-Nov-2024');</v>
      </c>
      <c r="H2118" s="12" t="str">
        <f t="shared" si="135"/>
        <v>insert into ins_premium_det (premium_rcv_code,assorted_code, rec_amount,premium_rcv_detail_code,remaining_amt, payrec, mode_code,coinsurance_code,class_cd,it_remarks) values('28Nov240101','070000130590','33',(select max(to_number(i.premium_rcv_detail_code))+1
from ins_premium_det i),'33','33','02', '11000003','00','Request by Mr. Omair Ali 29-Nov-2024');</v>
      </c>
    </row>
    <row r="2119" spans="1:8" ht="105" x14ac:dyDescent="0.25">
      <c r="A2119" t="s">
        <v>2119</v>
      </c>
      <c r="B2119" s="8" t="str">
        <f>VLOOKUP(A2119,assortedcode!B:C,2,0)</f>
        <v>070000146975</v>
      </c>
      <c r="C2119" s="1">
        <v>33</v>
      </c>
      <c r="D2119" s="9">
        <f t="shared" si="133"/>
        <v>33</v>
      </c>
      <c r="E2119" s="7" t="s">
        <v>8345</v>
      </c>
      <c r="F2119" s="10" t="str">
        <f t="shared" si="132"/>
        <v>insert into ins_premium_det (premium_rcv_code,assorted_code, rec_amount,premium_rcv_detail_code,remaining_amt, payrec, mode_code,coinsurance_code,class_cd,it_remarks) values</v>
      </c>
      <c r="G2119" s="11" t="str">
        <f t="shared" si="134"/>
        <v>('28Nov240101','070000146975','33',(select max(to_number(i.premium_rcv_detail_code))+1
from ins_premium_det i),'33','33','02', '11000003','00','Request by Mr. Omair Ali 29-Nov-2024');</v>
      </c>
      <c r="H2119" s="12" t="str">
        <f t="shared" si="135"/>
        <v>insert into ins_premium_det (premium_rcv_code,assorted_code, rec_amount,premium_rcv_detail_code,remaining_amt, payrec, mode_code,coinsurance_code,class_cd,it_remarks) values('28Nov240101','070000146975','33',(select max(to_number(i.premium_rcv_detail_code))+1
from ins_premium_det i),'33','33','02', '11000003','00','Request by Mr. Omair Ali 29-Nov-2024');</v>
      </c>
    </row>
    <row r="2120" spans="1:8" ht="105" x14ac:dyDescent="0.25">
      <c r="A2120" t="s">
        <v>2120</v>
      </c>
      <c r="B2120" s="8" t="str">
        <f>VLOOKUP(A2120,assortedcode!B:C,2,0)</f>
        <v>040000168210</v>
      </c>
      <c r="C2120" s="1">
        <v>33</v>
      </c>
      <c r="D2120" s="9">
        <f t="shared" si="133"/>
        <v>33</v>
      </c>
      <c r="E2120" s="7" t="s">
        <v>8345</v>
      </c>
      <c r="F2120" s="10" t="str">
        <f t="shared" si="132"/>
        <v>insert into ins_premium_det (premium_rcv_code,assorted_code, rec_amount,premium_rcv_detail_code,remaining_amt, payrec, mode_code,coinsurance_code,class_cd,it_remarks) values</v>
      </c>
      <c r="G2120" s="11" t="str">
        <f t="shared" si="134"/>
        <v>('28Nov240101','040000168210','33',(select max(to_number(i.premium_rcv_detail_code))+1
from ins_premium_det i),'33','33','02', '11000003','00','Request by Mr. Omair Ali 29-Nov-2024');</v>
      </c>
      <c r="H2120" s="12" t="str">
        <f t="shared" si="135"/>
        <v>insert into ins_premium_det (premium_rcv_code,assorted_code, rec_amount,premium_rcv_detail_code,remaining_amt, payrec, mode_code,coinsurance_code,class_cd,it_remarks) values('28Nov240101','040000168210','33',(select max(to_number(i.premium_rcv_detail_code))+1
from ins_premium_det i),'33','33','02', '11000003','00','Request by Mr. Omair Ali 29-Nov-2024');</v>
      </c>
    </row>
    <row r="2121" spans="1:8" ht="105" x14ac:dyDescent="0.25">
      <c r="A2121" t="s">
        <v>2121</v>
      </c>
      <c r="B2121" s="8" t="str">
        <f>VLOOKUP(A2121,assortedcode!B:C,2,0)</f>
        <v>070000130741</v>
      </c>
      <c r="C2121" s="1">
        <v>34</v>
      </c>
      <c r="D2121" s="9">
        <f t="shared" si="133"/>
        <v>34</v>
      </c>
      <c r="E2121" s="7" t="s">
        <v>8345</v>
      </c>
      <c r="F2121" s="10" t="str">
        <f t="shared" si="132"/>
        <v>insert into ins_premium_det (premium_rcv_code,assorted_code, rec_amount,premium_rcv_detail_code,remaining_amt, payrec, mode_code,coinsurance_code,class_cd,it_remarks) values</v>
      </c>
      <c r="G2121" s="11" t="str">
        <f t="shared" si="134"/>
        <v>('28Nov240101','070000130741','34',(select max(to_number(i.premium_rcv_detail_code))+1
from ins_premium_det i),'34','34','02', '11000003','00','Request by Mr. Omair Ali 29-Nov-2024');</v>
      </c>
      <c r="H2121" s="12" t="str">
        <f t="shared" si="135"/>
        <v>insert into ins_premium_det (premium_rcv_code,assorted_code, rec_amount,premium_rcv_detail_code,remaining_amt, payrec, mode_code,coinsurance_code,class_cd,it_remarks) values('28Nov240101','070000130741','34',(select max(to_number(i.premium_rcv_detail_code))+1
from ins_premium_det i),'34','34','02', '11000003','00','Request by Mr. Omair Ali 29-Nov-2024');</v>
      </c>
    </row>
    <row r="2122" spans="1:8" ht="105" x14ac:dyDescent="0.25">
      <c r="A2122" t="s">
        <v>2122</v>
      </c>
      <c r="B2122" s="8" t="str">
        <f>VLOOKUP(A2122,assortedcode!B:C,2,0)</f>
        <v>040000141334</v>
      </c>
      <c r="C2122" s="1">
        <v>35</v>
      </c>
      <c r="D2122" s="9">
        <f t="shared" si="133"/>
        <v>35</v>
      </c>
      <c r="E2122" s="7" t="s">
        <v>8345</v>
      </c>
      <c r="F2122" s="10" t="str">
        <f t="shared" si="132"/>
        <v>insert into ins_premium_det (premium_rcv_code,assorted_code, rec_amount,premium_rcv_detail_code,remaining_amt, payrec, mode_code,coinsurance_code,class_cd,it_remarks) values</v>
      </c>
      <c r="G2122" s="11" t="str">
        <f t="shared" si="134"/>
        <v>('28Nov240101','040000141334','35',(select max(to_number(i.premium_rcv_detail_code))+1
from ins_premium_det i),'35','35','02', '11000003','00','Request by Mr. Omair Ali 29-Nov-2024');</v>
      </c>
      <c r="H2122" s="12" t="str">
        <f t="shared" si="135"/>
        <v>insert into ins_premium_det (premium_rcv_code,assorted_code, rec_amount,premium_rcv_detail_code,remaining_amt, payrec, mode_code,coinsurance_code,class_cd,it_remarks) values('28Nov240101','040000141334','35',(select max(to_number(i.premium_rcv_detail_code))+1
from ins_premium_det i),'35','35','02', '11000003','00','Request by Mr. Omair Ali 29-Nov-2024');</v>
      </c>
    </row>
    <row r="2123" spans="1:8" ht="105" x14ac:dyDescent="0.25">
      <c r="A2123" t="s">
        <v>2123</v>
      </c>
      <c r="B2123" s="8" t="str">
        <f>VLOOKUP(A2123,assortedcode!B:C,2,0)</f>
        <v>040000186414</v>
      </c>
      <c r="C2123" s="1">
        <v>36</v>
      </c>
      <c r="D2123" s="9">
        <f t="shared" si="133"/>
        <v>36</v>
      </c>
      <c r="E2123" s="7" t="s">
        <v>8345</v>
      </c>
      <c r="F2123" s="10" t="str">
        <f t="shared" si="132"/>
        <v>insert into ins_premium_det (premium_rcv_code,assorted_code, rec_amount,premium_rcv_detail_code,remaining_amt, payrec, mode_code,coinsurance_code,class_cd,it_remarks) values</v>
      </c>
      <c r="G2123" s="11" t="str">
        <f t="shared" si="134"/>
        <v>('28Nov240101','040000186414','36',(select max(to_number(i.premium_rcv_detail_code))+1
from ins_premium_det i),'36','36','02', '11000003','00','Request by Mr. Omair Ali 29-Nov-2024');</v>
      </c>
      <c r="H2123" s="12" t="str">
        <f t="shared" si="135"/>
        <v>insert into ins_premium_det (premium_rcv_code,assorted_code, rec_amount,premium_rcv_detail_code,remaining_amt, payrec, mode_code,coinsurance_code,class_cd,it_remarks) values('28Nov240101','040000186414','36',(select max(to_number(i.premium_rcv_detail_code))+1
from ins_premium_det i),'36','36','02', '11000003','00','Request by Mr. Omair Ali 29-Nov-2024');</v>
      </c>
    </row>
    <row r="2124" spans="1:8" ht="105" x14ac:dyDescent="0.25">
      <c r="A2124" t="s">
        <v>2124</v>
      </c>
      <c r="B2124" s="8" t="str">
        <f>VLOOKUP(A2124,assortedcode!B:C,2,0)</f>
        <v>070000134859</v>
      </c>
      <c r="C2124" s="1">
        <v>36</v>
      </c>
      <c r="D2124" s="9">
        <f t="shared" si="133"/>
        <v>36</v>
      </c>
      <c r="E2124" s="7" t="s">
        <v>8345</v>
      </c>
      <c r="F2124" s="10" t="str">
        <f t="shared" si="132"/>
        <v>insert into ins_premium_det (premium_rcv_code,assorted_code, rec_amount,premium_rcv_detail_code,remaining_amt, payrec, mode_code,coinsurance_code,class_cd,it_remarks) values</v>
      </c>
      <c r="G2124" s="11" t="str">
        <f t="shared" si="134"/>
        <v>('28Nov240101','070000134859','36',(select max(to_number(i.premium_rcv_detail_code))+1
from ins_premium_det i),'36','36','02', '11000003','00','Request by Mr. Omair Ali 29-Nov-2024');</v>
      </c>
      <c r="H2124" s="12" t="str">
        <f t="shared" si="135"/>
        <v>insert into ins_premium_det (premium_rcv_code,assorted_code, rec_amount,premium_rcv_detail_code,remaining_amt, payrec, mode_code,coinsurance_code,class_cd,it_remarks) values('28Nov240101','070000134859','36',(select max(to_number(i.premium_rcv_detail_code))+1
from ins_premium_det i),'36','36','02', '11000003','00','Request by Mr. Omair Ali 29-Nov-2024');</v>
      </c>
    </row>
    <row r="2125" spans="1:8" ht="105" x14ac:dyDescent="0.25">
      <c r="A2125" t="s">
        <v>2125</v>
      </c>
      <c r="B2125" s="8" t="str">
        <f>VLOOKUP(A2125,assortedcode!B:C,2,0)</f>
        <v>070000163501</v>
      </c>
      <c r="C2125" s="1">
        <v>36</v>
      </c>
      <c r="D2125" s="9">
        <f t="shared" si="133"/>
        <v>36</v>
      </c>
      <c r="E2125" s="7" t="s">
        <v>8345</v>
      </c>
      <c r="F2125" s="10" t="str">
        <f t="shared" si="132"/>
        <v>insert into ins_premium_det (premium_rcv_code,assorted_code, rec_amount,premium_rcv_detail_code,remaining_amt, payrec, mode_code,coinsurance_code,class_cd,it_remarks) values</v>
      </c>
      <c r="G2125" s="11" t="str">
        <f t="shared" si="134"/>
        <v>('28Nov240101','070000163501','36',(select max(to_number(i.premium_rcv_detail_code))+1
from ins_premium_det i),'36','36','02', '11000003','00','Request by Mr. Omair Ali 29-Nov-2024');</v>
      </c>
      <c r="H2125" s="12" t="str">
        <f t="shared" si="135"/>
        <v>insert into ins_premium_det (premium_rcv_code,assorted_code, rec_amount,premium_rcv_detail_code,remaining_amt, payrec, mode_code,coinsurance_code,class_cd,it_remarks) values('28Nov240101','070000163501','36',(select max(to_number(i.premium_rcv_detail_code))+1
from ins_premium_det i),'36','36','02', '11000003','00','Request by Mr. Omair Ali 29-Nov-2024');</v>
      </c>
    </row>
    <row r="2126" spans="1:8" ht="105" x14ac:dyDescent="0.25">
      <c r="A2126" t="s">
        <v>2126</v>
      </c>
      <c r="B2126" s="8" t="str">
        <f>VLOOKUP(A2126,assortedcode!B:C,2,0)</f>
        <v>070000068756</v>
      </c>
      <c r="C2126" s="1">
        <v>37</v>
      </c>
      <c r="D2126" s="9">
        <f t="shared" si="133"/>
        <v>37</v>
      </c>
      <c r="E2126" s="7" t="s">
        <v>8345</v>
      </c>
      <c r="F2126" s="10" t="str">
        <f t="shared" si="132"/>
        <v>insert into ins_premium_det (premium_rcv_code,assorted_code, rec_amount,premium_rcv_detail_code,remaining_amt, payrec, mode_code,coinsurance_code,class_cd,it_remarks) values</v>
      </c>
      <c r="G2126" s="11" t="str">
        <f t="shared" si="134"/>
        <v>('28Nov240101','070000068756','37',(select max(to_number(i.premium_rcv_detail_code))+1
from ins_premium_det i),'37','37','02', '11000003','00','Request by Mr. Omair Ali 29-Nov-2024');</v>
      </c>
      <c r="H2126" s="12" t="str">
        <f t="shared" si="135"/>
        <v>insert into ins_premium_det (premium_rcv_code,assorted_code, rec_amount,premium_rcv_detail_code,remaining_amt, payrec, mode_code,coinsurance_code,class_cd,it_remarks) values('28Nov240101','070000068756','37',(select max(to_number(i.premium_rcv_detail_code))+1
from ins_premium_det i),'37','37','02', '11000003','00','Request by Mr. Omair Ali 29-Nov-2024');</v>
      </c>
    </row>
    <row r="2127" spans="1:8" ht="105" x14ac:dyDescent="0.25">
      <c r="A2127" t="s">
        <v>2127</v>
      </c>
      <c r="B2127" s="8" t="str">
        <f>VLOOKUP(A2127,assortedcode!B:C,2,0)</f>
        <v>070000167346</v>
      </c>
      <c r="C2127" s="1">
        <v>37</v>
      </c>
      <c r="D2127" s="9">
        <f t="shared" si="133"/>
        <v>37</v>
      </c>
      <c r="E2127" s="7" t="s">
        <v>8345</v>
      </c>
      <c r="F2127" s="10" t="str">
        <f t="shared" si="132"/>
        <v>insert into ins_premium_det (premium_rcv_code,assorted_code, rec_amount,premium_rcv_detail_code,remaining_amt, payrec, mode_code,coinsurance_code,class_cd,it_remarks) values</v>
      </c>
      <c r="G2127" s="11" t="str">
        <f t="shared" si="134"/>
        <v>('28Nov240101','070000167346','37',(select max(to_number(i.premium_rcv_detail_code))+1
from ins_premium_det i),'37','37','02', '11000003','00','Request by Mr. Omair Ali 29-Nov-2024');</v>
      </c>
      <c r="H2127" s="12" t="str">
        <f t="shared" si="135"/>
        <v>insert into ins_premium_det (premium_rcv_code,assorted_code, rec_amount,premium_rcv_detail_code,remaining_amt, payrec, mode_code,coinsurance_code,class_cd,it_remarks) values('28Nov240101','070000167346','37',(select max(to_number(i.premium_rcv_detail_code))+1
from ins_premium_det i),'37','37','02', '11000003','00','Request by Mr. Omair Ali 29-Nov-2024');</v>
      </c>
    </row>
    <row r="2128" spans="1:8" ht="105" x14ac:dyDescent="0.25">
      <c r="A2128" t="s">
        <v>2128</v>
      </c>
      <c r="B2128" s="8" t="str">
        <f>VLOOKUP(A2128,assortedcode!B:C,2,0)</f>
        <v>070000146889</v>
      </c>
      <c r="C2128" s="1">
        <v>37</v>
      </c>
      <c r="D2128" s="9">
        <f t="shared" si="133"/>
        <v>37</v>
      </c>
      <c r="E2128" s="7" t="s">
        <v>8345</v>
      </c>
      <c r="F2128" s="10" t="str">
        <f t="shared" si="132"/>
        <v>insert into ins_premium_det (premium_rcv_code,assorted_code, rec_amount,premium_rcv_detail_code,remaining_amt, payrec, mode_code,coinsurance_code,class_cd,it_remarks) values</v>
      </c>
      <c r="G2128" s="11" t="str">
        <f t="shared" si="134"/>
        <v>('28Nov240101','070000146889','37',(select max(to_number(i.premium_rcv_detail_code))+1
from ins_premium_det i),'37','37','02', '11000003','00','Request by Mr. Omair Ali 29-Nov-2024');</v>
      </c>
      <c r="H2128" s="12" t="str">
        <f t="shared" si="135"/>
        <v>insert into ins_premium_det (premium_rcv_code,assorted_code, rec_amount,premium_rcv_detail_code,remaining_amt, payrec, mode_code,coinsurance_code,class_cd,it_remarks) values('28Nov240101','070000146889','37',(select max(to_number(i.premium_rcv_detail_code))+1
from ins_premium_det i),'37','37','02', '11000003','00','Request by Mr. Omair Ali 29-Nov-2024');</v>
      </c>
    </row>
    <row r="2129" spans="1:8" ht="105" x14ac:dyDescent="0.25">
      <c r="A2129" t="s">
        <v>2129</v>
      </c>
      <c r="B2129" s="8" t="str">
        <f>VLOOKUP(A2129,assortedcode!B:C,2,0)</f>
        <v>070000134832</v>
      </c>
      <c r="C2129" s="1">
        <v>37</v>
      </c>
      <c r="D2129" s="9">
        <f t="shared" si="133"/>
        <v>37</v>
      </c>
      <c r="E2129" s="7" t="s">
        <v>8345</v>
      </c>
      <c r="F2129" s="10" t="str">
        <f t="shared" si="132"/>
        <v>insert into ins_premium_det (premium_rcv_code,assorted_code, rec_amount,premium_rcv_detail_code,remaining_amt, payrec, mode_code,coinsurance_code,class_cd,it_remarks) values</v>
      </c>
      <c r="G2129" s="11" t="str">
        <f t="shared" si="134"/>
        <v>('28Nov240101','070000134832','37',(select max(to_number(i.premium_rcv_detail_code))+1
from ins_premium_det i),'37','37','02', '11000003','00','Request by Mr. Omair Ali 29-Nov-2024');</v>
      </c>
      <c r="H2129" s="12" t="str">
        <f t="shared" si="135"/>
        <v>insert into ins_premium_det (premium_rcv_code,assorted_code, rec_amount,premium_rcv_detail_code,remaining_amt, payrec, mode_code,coinsurance_code,class_cd,it_remarks) values('28Nov240101','070000134832','37',(select max(to_number(i.premium_rcv_detail_code))+1
from ins_premium_det i),'37','37','02', '11000003','00','Request by Mr. Omair Ali 29-Nov-2024');</v>
      </c>
    </row>
    <row r="2130" spans="1:8" ht="105" x14ac:dyDescent="0.25">
      <c r="A2130" t="s">
        <v>2130</v>
      </c>
      <c r="B2130" s="8" t="str">
        <f>VLOOKUP(A2130,assortedcode!B:C,2,0)</f>
        <v>070000163483</v>
      </c>
      <c r="C2130" s="1">
        <v>37</v>
      </c>
      <c r="D2130" s="9">
        <f t="shared" si="133"/>
        <v>37</v>
      </c>
      <c r="E2130" s="7" t="s">
        <v>8345</v>
      </c>
      <c r="F2130" s="10" t="str">
        <f t="shared" si="132"/>
        <v>insert into ins_premium_det (premium_rcv_code,assorted_code, rec_amount,premium_rcv_detail_code,remaining_amt, payrec, mode_code,coinsurance_code,class_cd,it_remarks) values</v>
      </c>
      <c r="G2130" s="11" t="str">
        <f t="shared" si="134"/>
        <v>('28Nov240101','070000163483','37',(select max(to_number(i.premium_rcv_detail_code))+1
from ins_premium_det i),'37','37','02', '11000003','00','Request by Mr. Omair Ali 29-Nov-2024');</v>
      </c>
      <c r="H2130" s="12" t="str">
        <f t="shared" si="135"/>
        <v>insert into ins_premium_det (premium_rcv_code,assorted_code, rec_amount,premium_rcv_detail_code,remaining_amt, payrec, mode_code,coinsurance_code,class_cd,it_remarks) values('28Nov240101','070000163483','37',(select max(to_number(i.premium_rcv_detail_code))+1
from ins_premium_det i),'37','37','02', '11000003','00','Request by Mr. Omair Ali 29-Nov-2024');</v>
      </c>
    </row>
    <row r="2131" spans="1:8" ht="105" x14ac:dyDescent="0.25">
      <c r="A2131" t="s">
        <v>2131</v>
      </c>
      <c r="B2131" s="8" t="str">
        <f>VLOOKUP(A2131,assortedcode!B:C,2,0)</f>
        <v>070000163497</v>
      </c>
      <c r="C2131" s="1">
        <v>37</v>
      </c>
      <c r="D2131" s="9">
        <f t="shared" si="133"/>
        <v>37</v>
      </c>
      <c r="E2131" s="7" t="s">
        <v>8345</v>
      </c>
      <c r="F2131" s="10" t="str">
        <f t="shared" si="132"/>
        <v>insert into ins_premium_det (premium_rcv_code,assorted_code, rec_amount,premium_rcv_detail_code,remaining_amt, payrec, mode_code,coinsurance_code,class_cd,it_remarks) values</v>
      </c>
      <c r="G2131" s="11" t="str">
        <f t="shared" si="134"/>
        <v>('28Nov240101','070000163497','37',(select max(to_number(i.premium_rcv_detail_code))+1
from ins_premium_det i),'37','37','02', '11000003','00','Request by Mr. Omair Ali 29-Nov-2024');</v>
      </c>
      <c r="H2131" s="12" t="str">
        <f t="shared" si="135"/>
        <v>insert into ins_premium_det (premium_rcv_code,assorted_code, rec_amount,premium_rcv_detail_code,remaining_amt, payrec, mode_code,coinsurance_code,class_cd,it_remarks) values('28Nov240101','070000163497','37',(select max(to_number(i.premium_rcv_detail_code))+1
from ins_premium_det i),'37','37','02', '11000003','00','Request by Mr. Omair Ali 29-Nov-2024');</v>
      </c>
    </row>
    <row r="2132" spans="1:8" ht="105" x14ac:dyDescent="0.25">
      <c r="A2132" t="s">
        <v>2132</v>
      </c>
      <c r="B2132" s="8" t="str">
        <f>VLOOKUP(A2132,assortedcode!B:C,2,0)</f>
        <v>070000147311</v>
      </c>
      <c r="C2132" s="1">
        <v>37</v>
      </c>
      <c r="D2132" s="9">
        <f t="shared" si="133"/>
        <v>37</v>
      </c>
      <c r="E2132" s="7" t="s">
        <v>8345</v>
      </c>
      <c r="F2132" s="10" t="str">
        <f t="shared" si="132"/>
        <v>insert into ins_premium_det (premium_rcv_code,assorted_code, rec_amount,premium_rcv_detail_code,remaining_amt, payrec, mode_code,coinsurance_code,class_cd,it_remarks) values</v>
      </c>
      <c r="G2132" s="11" t="str">
        <f t="shared" si="134"/>
        <v>('28Nov240101','070000147311','37',(select max(to_number(i.premium_rcv_detail_code))+1
from ins_premium_det i),'37','37','02', '11000003','00','Request by Mr. Omair Ali 29-Nov-2024');</v>
      </c>
      <c r="H2132" s="12" t="str">
        <f t="shared" si="135"/>
        <v>insert into ins_premium_det (premium_rcv_code,assorted_code, rec_amount,premium_rcv_detail_code,remaining_amt, payrec, mode_code,coinsurance_code,class_cd,it_remarks) values('28Nov240101','070000147311','37',(select max(to_number(i.premium_rcv_detail_code))+1
from ins_premium_det i),'37','37','02', '11000003','00','Request by Mr. Omair Ali 29-Nov-2024');</v>
      </c>
    </row>
    <row r="2133" spans="1:8" ht="105" x14ac:dyDescent="0.25">
      <c r="A2133" t="s">
        <v>2133</v>
      </c>
      <c r="B2133" s="8" t="str">
        <f>VLOOKUP(A2133,assortedcode!B:C,2,0)</f>
        <v>040000169633</v>
      </c>
      <c r="C2133" s="1">
        <v>38</v>
      </c>
      <c r="D2133" s="9">
        <f t="shared" si="133"/>
        <v>38</v>
      </c>
      <c r="E2133" s="7" t="s">
        <v>8345</v>
      </c>
      <c r="F2133" s="10" t="str">
        <f t="shared" si="132"/>
        <v>insert into ins_premium_det (premium_rcv_code,assorted_code, rec_amount,premium_rcv_detail_code,remaining_amt, payrec, mode_code,coinsurance_code,class_cd,it_remarks) values</v>
      </c>
      <c r="G2133" s="11" t="str">
        <f t="shared" si="134"/>
        <v>('28Nov240101','040000169633','38',(select max(to_number(i.premium_rcv_detail_code))+1
from ins_premium_det i),'38','38','02', '11000003','00','Request by Mr. Omair Ali 29-Nov-2024');</v>
      </c>
      <c r="H2133" s="12" t="str">
        <f t="shared" si="135"/>
        <v>insert into ins_premium_det (premium_rcv_code,assorted_code, rec_amount,premium_rcv_detail_code,remaining_amt, payrec, mode_code,coinsurance_code,class_cd,it_remarks) values('28Nov240101','040000169633','38',(select max(to_number(i.premium_rcv_detail_code))+1
from ins_premium_det i),'38','38','02', '11000003','00','Request by Mr. Omair Ali 29-Nov-2024');</v>
      </c>
    </row>
    <row r="2134" spans="1:8" ht="105" x14ac:dyDescent="0.25">
      <c r="A2134" t="s">
        <v>2134</v>
      </c>
      <c r="B2134" s="8" t="str">
        <f>VLOOKUP(A2134,assortedcode!B:C,2,0)</f>
        <v>070000147704</v>
      </c>
      <c r="C2134" s="1">
        <v>38</v>
      </c>
      <c r="D2134" s="9">
        <f t="shared" si="133"/>
        <v>38</v>
      </c>
      <c r="E2134" s="7" t="s">
        <v>8345</v>
      </c>
      <c r="F2134" s="10" t="str">
        <f t="shared" si="132"/>
        <v>insert into ins_premium_det (premium_rcv_code,assorted_code, rec_amount,premium_rcv_detail_code,remaining_amt, payrec, mode_code,coinsurance_code,class_cd,it_remarks) values</v>
      </c>
      <c r="G2134" s="11" t="str">
        <f t="shared" si="134"/>
        <v>('28Nov240101','070000147704','38',(select max(to_number(i.premium_rcv_detail_code))+1
from ins_premium_det i),'38','38','02', '11000003','00','Request by Mr. Omair Ali 29-Nov-2024');</v>
      </c>
      <c r="H2134" s="12" t="str">
        <f t="shared" si="135"/>
        <v>insert into ins_premium_det (premium_rcv_code,assorted_code, rec_amount,premium_rcv_detail_code,remaining_amt, payrec, mode_code,coinsurance_code,class_cd,it_remarks) values('28Nov240101','070000147704','38',(select max(to_number(i.premium_rcv_detail_code))+1
from ins_premium_det i),'38','38','02', '11000003','00','Request by Mr. Omair Ali 29-Nov-2024');</v>
      </c>
    </row>
    <row r="2135" spans="1:8" ht="105" x14ac:dyDescent="0.25">
      <c r="A2135" t="s">
        <v>2135</v>
      </c>
      <c r="B2135" s="8" t="str">
        <f>VLOOKUP(A2135,assortedcode!B:C,2,0)</f>
        <v>070000167393</v>
      </c>
      <c r="C2135" s="1">
        <v>38</v>
      </c>
      <c r="D2135" s="9">
        <f t="shared" si="133"/>
        <v>38</v>
      </c>
      <c r="E2135" s="7" t="s">
        <v>8345</v>
      </c>
      <c r="F2135" s="10" t="str">
        <f t="shared" si="132"/>
        <v>insert into ins_premium_det (premium_rcv_code,assorted_code, rec_amount,premium_rcv_detail_code,remaining_amt, payrec, mode_code,coinsurance_code,class_cd,it_remarks) values</v>
      </c>
      <c r="G2135" s="11" t="str">
        <f t="shared" si="134"/>
        <v>('28Nov240101','070000167393','38',(select max(to_number(i.premium_rcv_detail_code))+1
from ins_premium_det i),'38','38','02', '11000003','00','Request by Mr. Omair Ali 29-Nov-2024');</v>
      </c>
      <c r="H2135" s="12" t="str">
        <f t="shared" si="135"/>
        <v>insert into ins_premium_det (premium_rcv_code,assorted_code, rec_amount,premium_rcv_detail_code,remaining_amt, payrec, mode_code,coinsurance_code,class_cd,it_remarks) values('28Nov240101','070000167393','38',(select max(to_number(i.premium_rcv_detail_code))+1
from ins_premium_det i),'38','38','02', '11000003','00','Request by Mr. Omair Ali 29-Nov-2024');</v>
      </c>
    </row>
    <row r="2136" spans="1:8" ht="105" x14ac:dyDescent="0.25">
      <c r="A2136" t="s">
        <v>2136</v>
      </c>
      <c r="B2136" s="8" t="str">
        <f>VLOOKUP(A2136,assortedcode!B:C,2,0)</f>
        <v>040000155455</v>
      </c>
      <c r="C2136" s="1">
        <v>38</v>
      </c>
      <c r="D2136" s="9">
        <f t="shared" si="133"/>
        <v>38</v>
      </c>
      <c r="E2136" s="7" t="s">
        <v>8345</v>
      </c>
      <c r="F2136" s="10" t="str">
        <f t="shared" si="132"/>
        <v>insert into ins_premium_det (premium_rcv_code,assorted_code, rec_amount,premium_rcv_detail_code,remaining_amt, payrec, mode_code,coinsurance_code,class_cd,it_remarks) values</v>
      </c>
      <c r="G2136" s="11" t="str">
        <f t="shared" si="134"/>
        <v>('28Nov240101','040000155455','38',(select max(to_number(i.premium_rcv_detail_code))+1
from ins_premium_det i),'38','38','02', '11000003','00','Request by Mr. Omair Ali 29-Nov-2024');</v>
      </c>
      <c r="H2136" s="12" t="str">
        <f t="shared" si="135"/>
        <v>insert into ins_premium_det (premium_rcv_code,assorted_code, rec_amount,premium_rcv_detail_code,remaining_amt, payrec, mode_code,coinsurance_code,class_cd,it_remarks) values('28Nov240101','040000155455','38',(select max(to_number(i.premium_rcv_detail_code))+1
from ins_premium_det i),'38','38','02', '11000003','00','Request by Mr. Omair Ali 29-Nov-2024');</v>
      </c>
    </row>
    <row r="2137" spans="1:8" ht="105" x14ac:dyDescent="0.25">
      <c r="A2137" t="s">
        <v>2137</v>
      </c>
      <c r="B2137" s="8" t="str">
        <f>VLOOKUP(A2137,assortedcode!B:C,2,0)</f>
        <v>040000179822</v>
      </c>
      <c r="C2137" s="1">
        <v>38</v>
      </c>
      <c r="D2137" s="9">
        <f t="shared" si="133"/>
        <v>38</v>
      </c>
      <c r="E2137" s="7" t="s">
        <v>8345</v>
      </c>
      <c r="F2137" s="10" t="str">
        <f t="shared" si="132"/>
        <v>insert into ins_premium_det (premium_rcv_code,assorted_code, rec_amount,premium_rcv_detail_code,remaining_amt, payrec, mode_code,coinsurance_code,class_cd,it_remarks) values</v>
      </c>
      <c r="G2137" s="11" t="str">
        <f t="shared" si="134"/>
        <v>('28Nov240101','040000179822','38',(select max(to_number(i.premium_rcv_detail_code))+1
from ins_premium_det i),'38','38','02', '11000003','00','Request by Mr. Omair Ali 29-Nov-2024');</v>
      </c>
      <c r="H2137" s="12" t="str">
        <f t="shared" si="135"/>
        <v>insert into ins_premium_det (premium_rcv_code,assorted_code, rec_amount,premium_rcv_detail_code,remaining_amt, payrec, mode_code,coinsurance_code,class_cd,it_remarks) values('28Nov240101','040000179822','38',(select max(to_number(i.premium_rcv_detail_code))+1
from ins_premium_det i),'38','38','02', '11000003','00','Request by Mr. Omair Ali 29-Nov-2024');</v>
      </c>
    </row>
    <row r="2138" spans="1:8" ht="105" x14ac:dyDescent="0.25">
      <c r="A2138" t="s">
        <v>2138</v>
      </c>
      <c r="B2138" s="8" t="str">
        <f>VLOOKUP(A2138,assortedcode!B:C,2,0)</f>
        <v>040000179435</v>
      </c>
      <c r="C2138" s="1">
        <v>39</v>
      </c>
      <c r="D2138" s="9">
        <f t="shared" si="133"/>
        <v>39</v>
      </c>
      <c r="E2138" s="7" t="s">
        <v>8345</v>
      </c>
      <c r="F2138" s="10" t="str">
        <f t="shared" si="132"/>
        <v>insert into ins_premium_det (premium_rcv_code,assorted_code, rec_amount,premium_rcv_detail_code,remaining_amt, payrec, mode_code,coinsurance_code,class_cd,it_remarks) values</v>
      </c>
      <c r="G2138" s="11" t="str">
        <f t="shared" si="134"/>
        <v>('28Nov240101','040000179435','39',(select max(to_number(i.premium_rcv_detail_code))+1
from ins_premium_det i),'39','39','02', '11000003','00','Request by Mr. Omair Ali 29-Nov-2024');</v>
      </c>
      <c r="H2138" s="12" t="str">
        <f t="shared" si="135"/>
        <v>insert into ins_premium_det (premium_rcv_code,assorted_code, rec_amount,premium_rcv_detail_code,remaining_amt, payrec, mode_code,coinsurance_code,class_cd,it_remarks) values('28Nov240101','040000179435','39',(select max(to_number(i.premium_rcv_detail_code))+1
from ins_premium_det i),'39','39','02', '11000003','00','Request by Mr. Omair Ali 29-Nov-2024');</v>
      </c>
    </row>
    <row r="2139" spans="1:8" ht="105" x14ac:dyDescent="0.25">
      <c r="A2139" t="s">
        <v>2139</v>
      </c>
      <c r="B2139" s="8" t="str">
        <f>VLOOKUP(A2139,assortedcode!B:C,2,0)</f>
        <v>070000160532</v>
      </c>
      <c r="C2139" s="1">
        <v>39</v>
      </c>
      <c r="D2139" s="9">
        <f t="shared" si="133"/>
        <v>39</v>
      </c>
      <c r="E2139" s="7" t="s">
        <v>8345</v>
      </c>
      <c r="F2139" s="10" t="str">
        <f t="shared" si="132"/>
        <v>insert into ins_premium_det (premium_rcv_code,assorted_code, rec_amount,premium_rcv_detail_code,remaining_amt, payrec, mode_code,coinsurance_code,class_cd,it_remarks) values</v>
      </c>
      <c r="G2139" s="11" t="str">
        <f t="shared" si="134"/>
        <v>('28Nov240101','070000160532','39',(select max(to_number(i.premium_rcv_detail_code))+1
from ins_premium_det i),'39','39','02', '11000003','00','Request by Mr. Omair Ali 29-Nov-2024');</v>
      </c>
      <c r="H2139" s="12" t="str">
        <f t="shared" si="135"/>
        <v>insert into ins_premium_det (premium_rcv_code,assorted_code, rec_amount,premium_rcv_detail_code,remaining_amt, payrec, mode_code,coinsurance_code,class_cd,it_remarks) values('28Nov240101','070000160532','39',(select max(to_number(i.premium_rcv_detail_code))+1
from ins_premium_det i),'39','39','02', '11000003','00','Request by Mr. Omair Ali 29-Nov-2024');</v>
      </c>
    </row>
    <row r="2140" spans="1:8" ht="105" x14ac:dyDescent="0.25">
      <c r="A2140" t="s">
        <v>2140</v>
      </c>
      <c r="B2140" s="8" t="str">
        <f>VLOOKUP(A2140,assortedcode!B:C,2,0)</f>
        <v>040000141917</v>
      </c>
      <c r="C2140" s="1">
        <v>39</v>
      </c>
      <c r="D2140" s="9">
        <f t="shared" si="133"/>
        <v>39</v>
      </c>
      <c r="E2140" s="7" t="s">
        <v>8345</v>
      </c>
      <c r="F2140" s="10" t="str">
        <f t="shared" si="132"/>
        <v>insert into ins_premium_det (premium_rcv_code,assorted_code, rec_amount,premium_rcv_detail_code,remaining_amt, payrec, mode_code,coinsurance_code,class_cd,it_remarks) values</v>
      </c>
      <c r="G2140" s="11" t="str">
        <f t="shared" si="134"/>
        <v>('28Nov240101','040000141917','39',(select max(to_number(i.premium_rcv_detail_code))+1
from ins_premium_det i),'39','39','02', '11000003','00','Request by Mr. Omair Ali 29-Nov-2024');</v>
      </c>
      <c r="H2140" s="12" t="str">
        <f t="shared" si="135"/>
        <v>insert into ins_premium_det (premium_rcv_code,assorted_code, rec_amount,premium_rcv_detail_code,remaining_amt, payrec, mode_code,coinsurance_code,class_cd,it_remarks) values('28Nov240101','040000141917','39',(select max(to_number(i.premium_rcv_detail_code))+1
from ins_premium_det i),'39','39','02', '11000003','00','Request by Mr. Omair Ali 29-Nov-2024');</v>
      </c>
    </row>
    <row r="2141" spans="1:8" ht="105" x14ac:dyDescent="0.25">
      <c r="A2141" t="s">
        <v>2141</v>
      </c>
      <c r="B2141" s="8" t="str">
        <f>VLOOKUP(A2141,assortedcode!B:C,2,0)</f>
        <v>070000160432</v>
      </c>
      <c r="C2141" s="1">
        <v>40</v>
      </c>
      <c r="D2141" s="9">
        <f t="shared" si="133"/>
        <v>40</v>
      </c>
      <c r="E2141" s="7" t="s">
        <v>8345</v>
      </c>
      <c r="F2141" s="10" t="str">
        <f t="shared" si="132"/>
        <v>insert into ins_premium_det (premium_rcv_code,assorted_code, rec_amount,premium_rcv_detail_code,remaining_amt, payrec, mode_code,coinsurance_code,class_cd,it_remarks) values</v>
      </c>
      <c r="G2141" s="11" t="str">
        <f t="shared" si="134"/>
        <v>('28Nov240101','070000160432','40',(select max(to_number(i.premium_rcv_detail_code))+1
from ins_premium_det i),'40','40','02', '11000003','00','Request by Mr. Omair Ali 29-Nov-2024');</v>
      </c>
      <c r="H2141" s="12" t="str">
        <f t="shared" si="135"/>
        <v>insert into ins_premium_det (premium_rcv_code,assorted_code, rec_amount,premium_rcv_detail_code,remaining_amt, payrec, mode_code,coinsurance_code,class_cd,it_remarks) values('28Nov240101','070000160432','40',(select max(to_number(i.premium_rcv_detail_code))+1
from ins_premium_det i),'40','40','02', '11000003','00','Request by Mr. Omair Ali 29-Nov-2024');</v>
      </c>
    </row>
    <row r="2142" spans="1:8" ht="105" x14ac:dyDescent="0.25">
      <c r="A2142" t="s">
        <v>2142</v>
      </c>
      <c r="B2142" s="8" t="str">
        <f>VLOOKUP(A2142,assortedcode!B:C,2,0)</f>
        <v>040000142954</v>
      </c>
      <c r="C2142" s="1">
        <v>40</v>
      </c>
      <c r="D2142" s="9">
        <f t="shared" si="133"/>
        <v>40</v>
      </c>
      <c r="E2142" s="7" t="s">
        <v>8345</v>
      </c>
      <c r="F2142" s="10" t="str">
        <f t="shared" si="132"/>
        <v>insert into ins_premium_det (premium_rcv_code,assorted_code, rec_amount,premium_rcv_detail_code,remaining_amt, payrec, mode_code,coinsurance_code,class_cd,it_remarks) values</v>
      </c>
      <c r="G2142" s="11" t="str">
        <f t="shared" si="134"/>
        <v>('28Nov240101','040000142954','40',(select max(to_number(i.premium_rcv_detail_code))+1
from ins_premium_det i),'40','40','02', '11000003','00','Request by Mr. Omair Ali 29-Nov-2024');</v>
      </c>
      <c r="H2142" s="12" t="str">
        <f t="shared" si="135"/>
        <v>insert into ins_premium_det (premium_rcv_code,assorted_code, rec_amount,premium_rcv_detail_code,remaining_amt, payrec, mode_code,coinsurance_code,class_cd,it_remarks) values('28Nov240101','040000142954','40',(select max(to_number(i.premium_rcv_detail_code))+1
from ins_premium_det i),'40','40','02', '11000003','00','Request by Mr. Omair Ali 29-Nov-2024');</v>
      </c>
    </row>
    <row r="2143" spans="1:8" ht="105" x14ac:dyDescent="0.25">
      <c r="A2143" t="s">
        <v>2143</v>
      </c>
      <c r="B2143" s="8" t="str">
        <f>VLOOKUP(A2143,assortedcode!B:C,2,0)</f>
        <v>040000110104</v>
      </c>
      <c r="C2143" s="1">
        <v>40</v>
      </c>
      <c r="D2143" s="9">
        <f t="shared" si="133"/>
        <v>40</v>
      </c>
      <c r="E2143" s="7" t="s">
        <v>8345</v>
      </c>
      <c r="F2143" s="10" t="str">
        <f t="shared" si="132"/>
        <v>insert into ins_premium_det (premium_rcv_code,assorted_code, rec_amount,premium_rcv_detail_code,remaining_amt, payrec, mode_code,coinsurance_code,class_cd,it_remarks) values</v>
      </c>
      <c r="G2143" s="11" t="str">
        <f t="shared" si="134"/>
        <v>('28Nov240101','040000110104','40',(select max(to_number(i.premium_rcv_detail_code))+1
from ins_premium_det i),'40','40','02', '11000003','00','Request by Mr. Omair Ali 29-Nov-2024');</v>
      </c>
      <c r="H2143" s="12" t="str">
        <f t="shared" si="135"/>
        <v>insert into ins_premium_det (premium_rcv_code,assorted_code, rec_amount,premium_rcv_detail_code,remaining_amt, payrec, mode_code,coinsurance_code,class_cd,it_remarks) values('28Nov240101','040000110104','40',(select max(to_number(i.premium_rcv_detail_code))+1
from ins_premium_det i),'40','40','02', '11000003','00','Request by Mr. Omair Ali 29-Nov-2024');</v>
      </c>
    </row>
    <row r="2144" spans="1:8" ht="105" x14ac:dyDescent="0.25">
      <c r="A2144" t="s">
        <v>2144</v>
      </c>
      <c r="B2144" s="8" t="str">
        <f>VLOOKUP(A2144,assortedcode!B:C,2,0)</f>
        <v>070000167394</v>
      </c>
      <c r="C2144" s="1">
        <v>41</v>
      </c>
      <c r="D2144" s="9">
        <f t="shared" si="133"/>
        <v>41</v>
      </c>
      <c r="E2144" s="7" t="s">
        <v>8345</v>
      </c>
      <c r="F2144" s="10" t="str">
        <f t="shared" si="132"/>
        <v>insert into ins_premium_det (premium_rcv_code,assorted_code, rec_amount,premium_rcv_detail_code,remaining_amt, payrec, mode_code,coinsurance_code,class_cd,it_remarks) values</v>
      </c>
      <c r="G2144" s="11" t="str">
        <f t="shared" si="134"/>
        <v>('28Nov240101','070000167394','41',(select max(to_number(i.premium_rcv_detail_code))+1
from ins_premium_det i),'41','41','02', '11000003','00','Request by Mr. Omair Ali 29-Nov-2024');</v>
      </c>
      <c r="H2144" s="12" t="str">
        <f t="shared" si="135"/>
        <v>insert into ins_premium_det (premium_rcv_code,assorted_code, rec_amount,premium_rcv_detail_code,remaining_amt, payrec, mode_code,coinsurance_code,class_cd,it_remarks) values('28Nov240101','070000167394','41',(select max(to_number(i.premium_rcv_detail_code))+1
from ins_premium_det i),'41','41','02', '11000003','00','Request by Mr. Omair Ali 29-Nov-2024');</v>
      </c>
    </row>
    <row r="2145" spans="1:8" ht="105" x14ac:dyDescent="0.25">
      <c r="A2145" t="s">
        <v>2145</v>
      </c>
      <c r="B2145" s="8" t="str">
        <f>VLOOKUP(A2145,assortedcode!B:C,2,0)</f>
        <v>040000161940</v>
      </c>
      <c r="C2145" s="1">
        <v>41</v>
      </c>
      <c r="D2145" s="9">
        <f t="shared" si="133"/>
        <v>41</v>
      </c>
      <c r="E2145" s="7" t="s">
        <v>8345</v>
      </c>
      <c r="F2145" s="10" t="str">
        <f t="shared" si="132"/>
        <v>insert into ins_premium_det (premium_rcv_code,assorted_code, rec_amount,premium_rcv_detail_code,remaining_amt, payrec, mode_code,coinsurance_code,class_cd,it_remarks) values</v>
      </c>
      <c r="G2145" s="11" t="str">
        <f t="shared" si="134"/>
        <v>('28Nov240101','040000161940','41',(select max(to_number(i.premium_rcv_detail_code))+1
from ins_premium_det i),'41','41','02', '11000003','00','Request by Mr. Omair Ali 29-Nov-2024');</v>
      </c>
      <c r="H2145" s="12" t="str">
        <f t="shared" si="135"/>
        <v>insert into ins_premium_det (premium_rcv_code,assorted_code, rec_amount,premium_rcv_detail_code,remaining_amt, payrec, mode_code,coinsurance_code,class_cd,it_remarks) values('28Nov240101','040000161940','41',(select max(to_number(i.premium_rcv_detail_code))+1
from ins_premium_det i),'41','41','02', '11000003','00','Request by Mr. Omair Ali 29-Nov-2024');</v>
      </c>
    </row>
    <row r="2146" spans="1:8" ht="105" x14ac:dyDescent="0.25">
      <c r="A2146" t="s">
        <v>2146</v>
      </c>
      <c r="B2146" s="8" t="str">
        <f>VLOOKUP(A2146,assortedcode!B:C,2,0)</f>
        <v>070000147284</v>
      </c>
      <c r="C2146" s="1">
        <v>41</v>
      </c>
      <c r="D2146" s="9">
        <f t="shared" si="133"/>
        <v>41</v>
      </c>
      <c r="E2146" s="7" t="s">
        <v>8345</v>
      </c>
      <c r="F2146" s="10" t="str">
        <f t="shared" si="132"/>
        <v>insert into ins_premium_det (premium_rcv_code,assorted_code, rec_amount,premium_rcv_detail_code,remaining_amt, payrec, mode_code,coinsurance_code,class_cd,it_remarks) values</v>
      </c>
      <c r="G2146" s="11" t="str">
        <f t="shared" si="134"/>
        <v>('28Nov240101','070000147284','41',(select max(to_number(i.premium_rcv_detail_code))+1
from ins_premium_det i),'41','41','02', '11000003','00','Request by Mr. Omair Ali 29-Nov-2024');</v>
      </c>
      <c r="H2146" s="12" t="str">
        <f t="shared" si="135"/>
        <v>insert into ins_premium_det (premium_rcv_code,assorted_code, rec_amount,premium_rcv_detail_code,remaining_amt, payrec, mode_code,coinsurance_code,class_cd,it_remarks) values('28Nov240101','070000147284','41',(select max(to_number(i.premium_rcv_detail_code))+1
from ins_premium_det i),'41','41','02', '11000003','00','Request by Mr. Omair Ali 29-Nov-2024');</v>
      </c>
    </row>
    <row r="2147" spans="1:8" ht="105" x14ac:dyDescent="0.25">
      <c r="A2147" t="s">
        <v>2147</v>
      </c>
      <c r="B2147" s="8" t="str">
        <f>VLOOKUP(A2147,assortedcode!B:C,2,0)</f>
        <v>040000148467</v>
      </c>
      <c r="C2147" s="1">
        <v>41.6</v>
      </c>
      <c r="D2147" s="9">
        <f t="shared" si="133"/>
        <v>42</v>
      </c>
      <c r="E2147" s="7" t="s">
        <v>8345</v>
      </c>
      <c r="F2147" s="10" t="str">
        <f t="shared" si="132"/>
        <v>insert into ins_premium_det (premium_rcv_code,assorted_code, rec_amount,premium_rcv_detail_code,remaining_amt, payrec, mode_code,coinsurance_code,class_cd,it_remarks) values</v>
      </c>
      <c r="G2147" s="11" t="str">
        <f t="shared" si="134"/>
        <v>('28Nov240101','040000148467','42',(select max(to_number(i.premium_rcv_detail_code))+1
from ins_premium_det i),'42','42','02', '11000003','00','Request by Mr. Omair Ali 29-Nov-2024');</v>
      </c>
      <c r="H2147" s="12" t="str">
        <f t="shared" si="135"/>
        <v>insert into ins_premium_det (premium_rcv_code,assorted_code, rec_amount,premium_rcv_detail_code,remaining_amt, payrec, mode_code,coinsurance_code,class_cd,it_remarks) values('28Nov240101','040000148467','42',(select max(to_number(i.premium_rcv_detail_code))+1
from ins_premium_det i),'42','42','02', '11000003','00','Request by Mr. Omair Ali 29-Nov-2024');</v>
      </c>
    </row>
    <row r="2148" spans="1:8" ht="105" x14ac:dyDescent="0.25">
      <c r="A2148" t="s">
        <v>2148</v>
      </c>
      <c r="B2148" s="8" t="str">
        <f>VLOOKUP(A2148,assortedcode!B:C,2,0)</f>
        <v>070000158750</v>
      </c>
      <c r="C2148" s="1">
        <v>44</v>
      </c>
      <c r="D2148" s="9">
        <f t="shared" si="133"/>
        <v>44</v>
      </c>
      <c r="E2148" s="7" t="s">
        <v>8345</v>
      </c>
      <c r="F2148" s="10" t="str">
        <f t="shared" si="132"/>
        <v>insert into ins_premium_det (premium_rcv_code,assorted_code, rec_amount,premium_rcv_detail_code,remaining_amt, payrec, mode_code,coinsurance_code,class_cd,it_remarks) values</v>
      </c>
      <c r="G2148" s="11" t="str">
        <f t="shared" si="134"/>
        <v>('28Nov240101','070000158750','44',(select max(to_number(i.premium_rcv_detail_code))+1
from ins_premium_det i),'44','44','02', '11000003','00','Request by Mr. Omair Ali 29-Nov-2024');</v>
      </c>
      <c r="H2148" s="12" t="str">
        <f t="shared" si="135"/>
        <v>insert into ins_premium_det (premium_rcv_code,assorted_code, rec_amount,premium_rcv_detail_code,remaining_amt, payrec, mode_code,coinsurance_code,class_cd,it_remarks) values('28Nov240101','070000158750','44',(select max(to_number(i.premium_rcv_detail_code))+1
from ins_premium_det i),'44','44','02', '11000003','00','Request by Mr. Omair Ali 29-Nov-2024');</v>
      </c>
    </row>
    <row r="2149" spans="1:8" ht="105" x14ac:dyDescent="0.25">
      <c r="A2149" t="s">
        <v>2149</v>
      </c>
      <c r="B2149" s="8" t="str">
        <f>VLOOKUP(A2149,assortedcode!B:C,2,0)</f>
        <v>040000179831</v>
      </c>
      <c r="C2149" s="1">
        <v>45</v>
      </c>
      <c r="D2149" s="9">
        <f t="shared" si="133"/>
        <v>45</v>
      </c>
      <c r="E2149" s="7" t="s">
        <v>8345</v>
      </c>
      <c r="F2149" s="10" t="str">
        <f t="shared" si="132"/>
        <v>insert into ins_premium_det (premium_rcv_code,assorted_code, rec_amount,premium_rcv_detail_code,remaining_amt, payrec, mode_code,coinsurance_code,class_cd,it_remarks) values</v>
      </c>
      <c r="G2149" s="11" t="str">
        <f t="shared" si="134"/>
        <v>('28Nov240101','040000179831','45',(select max(to_number(i.premium_rcv_detail_code))+1
from ins_premium_det i),'45','45','02', '11000003','00','Request by Mr. Omair Ali 29-Nov-2024');</v>
      </c>
      <c r="H2149" s="12" t="str">
        <f t="shared" si="135"/>
        <v>insert into ins_premium_det (premium_rcv_code,assorted_code, rec_amount,premium_rcv_detail_code,remaining_amt, payrec, mode_code,coinsurance_code,class_cd,it_remarks) values('28Nov240101','040000179831','45',(select max(to_number(i.premium_rcv_detail_code))+1
from ins_premium_det i),'45','45','02', '11000003','00','Request by Mr. Omair Ali 29-Nov-2024');</v>
      </c>
    </row>
    <row r="2150" spans="1:8" ht="105" x14ac:dyDescent="0.25">
      <c r="A2150" t="s">
        <v>2150</v>
      </c>
      <c r="B2150" s="8" t="str">
        <f>VLOOKUP(A2150,assortedcode!B:C,2,0)</f>
        <v>040000142000</v>
      </c>
      <c r="C2150" s="1">
        <v>45</v>
      </c>
      <c r="D2150" s="9">
        <f t="shared" si="133"/>
        <v>45</v>
      </c>
      <c r="E2150" s="7" t="s">
        <v>8345</v>
      </c>
      <c r="F2150" s="10" t="str">
        <f t="shared" si="132"/>
        <v>insert into ins_premium_det (premium_rcv_code,assorted_code, rec_amount,premium_rcv_detail_code,remaining_amt, payrec, mode_code,coinsurance_code,class_cd,it_remarks) values</v>
      </c>
      <c r="G2150" s="11" t="str">
        <f t="shared" si="134"/>
        <v>('28Nov240101','040000142000','45',(select max(to_number(i.premium_rcv_detail_code))+1
from ins_premium_det i),'45','45','02', '11000003','00','Request by Mr. Omair Ali 29-Nov-2024');</v>
      </c>
      <c r="H2150" s="12" t="str">
        <f t="shared" si="135"/>
        <v>insert into ins_premium_det (premium_rcv_code,assorted_code, rec_amount,premium_rcv_detail_code,remaining_amt, payrec, mode_code,coinsurance_code,class_cd,it_remarks) values('28Nov240101','040000142000','45',(select max(to_number(i.premium_rcv_detail_code))+1
from ins_premium_det i),'45','45','02', '11000003','00','Request by Mr. Omair Ali 29-Nov-2024');</v>
      </c>
    </row>
    <row r="2151" spans="1:8" ht="105" x14ac:dyDescent="0.25">
      <c r="A2151" t="s">
        <v>2151</v>
      </c>
      <c r="B2151" s="8" t="str">
        <f>VLOOKUP(A2151,assortedcode!B:C,2,0)</f>
        <v>070000165728</v>
      </c>
      <c r="C2151" s="1">
        <v>46</v>
      </c>
      <c r="D2151" s="9">
        <f t="shared" si="133"/>
        <v>46</v>
      </c>
      <c r="E2151" s="7" t="s">
        <v>8345</v>
      </c>
      <c r="F2151" s="10" t="str">
        <f t="shared" si="132"/>
        <v>insert into ins_premium_det (premium_rcv_code,assorted_code, rec_amount,premium_rcv_detail_code,remaining_amt, payrec, mode_code,coinsurance_code,class_cd,it_remarks) values</v>
      </c>
      <c r="G2151" s="11" t="str">
        <f t="shared" si="134"/>
        <v>('28Nov240101','070000165728','46',(select max(to_number(i.premium_rcv_detail_code))+1
from ins_premium_det i),'46','46','02', '11000003','00','Request by Mr. Omair Ali 29-Nov-2024');</v>
      </c>
      <c r="H2151" s="12" t="str">
        <f t="shared" si="135"/>
        <v>insert into ins_premium_det (premium_rcv_code,assorted_code, rec_amount,premium_rcv_detail_code,remaining_amt, payrec, mode_code,coinsurance_code,class_cd,it_remarks) values('28Nov240101','070000165728','46',(select max(to_number(i.premium_rcv_detail_code))+1
from ins_premium_det i),'46','46','02', '11000003','00','Request by Mr. Omair Ali 29-Nov-2024');</v>
      </c>
    </row>
    <row r="2152" spans="1:8" ht="105" x14ac:dyDescent="0.25">
      <c r="A2152" t="s">
        <v>2152</v>
      </c>
      <c r="B2152" s="8" t="str">
        <f>VLOOKUP(A2152,assortedcode!B:C,2,0)</f>
        <v>070000130639</v>
      </c>
      <c r="C2152" s="1">
        <v>46</v>
      </c>
      <c r="D2152" s="9">
        <f t="shared" si="133"/>
        <v>46</v>
      </c>
      <c r="E2152" s="7" t="s">
        <v>8345</v>
      </c>
      <c r="F2152" s="10" t="str">
        <f t="shared" si="132"/>
        <v>insert into ins_premium_det (premium_rcv_code,assorted_code, rec_amount,premium_rcv_detail_code,remaining_amt, payrec, mode_code,coinsurance_code,class_cd,it_remarks) values</v>
      </c>
      <c r="G2152" s="11" t="str">
        <f t="shared" si="134"/>
        <v>('28Nov240101','070000130639','46',(select max(to_number(i.premium_rcv_detail_code))+1
from ins_premium_det i),'46','46','02', '11000003','00','Request by Mr. Omair Ali 29-Nov-2024');</v>
      </c>
      <c r="H2152" s="12" t="str">
        <f t="shared" si="135"/>
        <v>insert into ins_premium_det (premium_rcv_code,assorted_code, rec_amount,premium_rcv_detail_code,remaining_amt, payrec, mode_code,coinsurance_code,class_cd,it_remarks) values('28Nov240101','070000130639','46',(select max(to_number(i.premium_rcv_detail_code))+1
from ins_premium_det i),'46','46','02', '11000003','00','Request by Mr. Omair Ali 29-Nov-2024');</v>
      </c>
    </row>
    <row r="2153" spans="1:8" ht="105" x14ac:dyDescent="0.25">
      <c r="A2153" t="s">
        <v>2153</v>
      </c>
      <c r="B2153" s="8" t="str">
        <f>VLOOKUP(A2153,assortedcode!B:C,2,0)</f>
        <v>070000163506</v>
      </c>
      <c r="C2153" s="1">
        <v>46</v>
      </c>
      <c r="D2153" s="9">
        <f t="shared" si="133"/>
        <v>46</v>
      </c>
      <c r="E2153" s="7" t="s">
        <v>8345</v>
      </c>
      <c r="F2153" s="10" t="str">
        <f t="shared" si="132"/>
        <v>insert into ins_premium_det (premium_rcv_code,assorted_code, rec_amount,premium_rcv_detail_code,remaining_amt, payrec, mode_code,coinsurance_code,class_cd,it_remarks) values</v>
      </c>
      <c r="G2153" s="11" t="str">
        <f t="shared" si="134"/>
        <v>('28Nov240101','070000163506','46',(select max(to_number(i.premium_rcv_detail_code))+1
from ins_premium_det i),'46','46','02', '11000003','00','Request by Mr. Omair Ali 29-Nov-2024');</v>
      </c>
      <c r="H2153" s="12" t="str">
        <f t="shared" si="135"/>
        <v>insert into ins_premium_det (premium_rcv_code,assorted_code, rec_amount,premium_rcv_detail_code,remaining_amt, payrec, mode_code,coinsurance_code,class_cd,it_remarks) values('28Nov240101','070000163506','46',(select max(to_number(i.premium_rcv_detail_code))+1
from ins_premium_det i),'46','46','02', '11000003','00','Request by Mr. Omair Ali 29-Nov-2024');</v>
      </c>
    </row>
    <row r="2154" spans="1:8" ht="105" x14ac:dyDescent="0.25">
      <c r="A2154" t="s">
        <v>2154</v>
      </c>
      <c r="B2154" s="8" t="str">
        <f>VLOOKUP(A2154,assortedcode!B:C,2,0)</f>
        <v>040000155381</v>
      </c>
      <c r="C2154" s="1">
        <v>47</v>
      </c>
      <c r="D2154" s="9">
        <f t="shared" si="133"/>
        <v>47</v>
      </c>
      <c r="E2154" s="7" t="s">
        <v>8345</v>
      </c>
      <c r="F2154" s="10" t="str">
        <f t="shared" si="132"/>
        <v>insert into ins_premium_det (premium_rcv_code,assorted_code, rec_amount,premium_rcv_detail_code,remaining_amt, payrec, mode_code,coinsurance_code,class_cd,it_remarks) values</v>
      </c>
      <c r="G2154" s="11" t="str">
        <f t="shared" si="134"/>
        <v>('28Nov240101','040000155381','47',(select max(to_number(i.premium_rcv_detail_code))+1
from ins_premium_det i),'47','47','02', '11000003','00','Request by Mr. Omair Ali 29-Nov-2024');</v>
      </c>
      <c r="H2154" s="12" t="str">
        <f t="shared" si="135"/>
        <v>insert into ins_premium_det (premium_rcv_code,assorted_code, rec_amount,premium_rcv_detail_code,remaining_amt, payrec, mode_code,coinsurance_code,class_cd,it_remarks) values('28Nov240101','040000155381','47',(select max(to_number(i.premium_rcv_detail_code))+1
from ins_premium_det i),'47','47','02', '11000003','00','Request by Mr. Omair Ali 29-Nov-2024');</v>
      </c>
    </row>
    <row r="2155" spans="1:8" ht="105" x14ac:dyDescent="0.25">
      <c r="A2155" t="s">
        <v>2155</v>
      </c>
      <c r="B2155" s="8" t="str">
        <f>VLOOKUP(A2155,assortedcode!B:C,2,0)</f>
        <v>040000131543</v>
      </c>
      <c r="C2155" s="1">
        <v>49</v>
      </c>
      <c r="D2155" s="9">
        <f t="shared" si="133"/>
        <v>49</v>
      </c>
      <c r="E2155" s="7" t="s">
        <v>8345</v>
      </c>
      <c r="F2155" s="10" t="str">
        <f t="shared" si="132"/>
        <v>insert into ins_premium_det (premium_rcv_code,assorted_code, rec_amount,premium_rcv_detail_code,remaining_amt, payrec, mode_code,coinsurance_code,class_cd,it_remarks) values</v>
      </c>
      <c r="G2155" s="11" t="str">
        <f t="shared" si="134"/>
        <v>('28Nov240101','040000131543','49',(select max(to_number(i.premium_rcv_detail_code))+1
from ins_premium_det i),'49','49','02', '11000003','00','Request by Mr. Omair Ali 29-Nov-2024');</v>
      </c>
      <c r="H2155" s="12" t="str">
        <f t="shared" si="135"/>
        <v>insert into ins_premium_det (premium_rcv_code,assorted_code, rec_amount,premium_rcv_detail_code,remaining_amt, payrec, mode_code,coinsurance_code,class_cd,it_remarks) values('28Nov240101','040000131543','49',(select max(to_number(i.premium_rcv_detail_code))+1
from ins_premium_det i),'49','49','02', '11000003','00','Request by Mr. Omair Ali 29-Nov-2024');</v>
      </c>
    </row>
    <row r="2156" spans="1:8" ht="105" x14ac:dyDescent="0.25">
      <c r="A2156" t="s">
        <v>2156</v>
      </c>
      <c r="B2156" s="8" t="str">
        <f>VLOOKUP(A2156,assortedcode!B:C,2,0)</f>
        <v>070000147296</v>
      </c>
      <c r="C2156" s="1">
        <v>49</v>
      </c>
      <c r="D2156" s="9">
        <f t="shared" si="133"/>
        <v>49</v>
      </c>
      <c r="E2156" s="7" t="s">
        <v>8345</v>
      </c>
      <c r="F2156" s="10" t="str">
        <f t="shared" si="132"/>
        <v>insert into ins_premium_det (premium_rcv_code,assorted_code, rec_amount,premium_rcv_detail_code,remaining_amt, payrec, mode_code,coinsurance_code,class_cd,it_remarks) values</v>
      </c>
      <c r="G2156" s="11" t="str">
        <f t="shared" si="134"/>
        <v>('28Nov240101','070000147296','49',(select max(to_number(i.premium_rcv_detail_code))+1
from ins_premium_det i),'49','49','02', '11000003','00','Request by Mr. Omair Ali 29-Nov-2024');</v>
      </c>
      <c r="H2156" s="12" t="str">
        <f t="shared" si="135"/>
        <v>insert into ins_premium_det (premium_rcv_code,assorted_code, rec_amount,premium_rcv_detail_code,remaining_amt, payrec, mode_code,coinsurance_code,class_cd,it_remarks) values('28Nov240101','070000147296','49',(select max(to_number(i.premium_rcv_detail_code))+1
from ins_premium_det i),'49','49','02', '11000003','00','Request by Mr. Omair Ali 29-Nov-2024');</v>
      </c>
    </row>
    <row r="2157" spans="1:8" ht="105" x14ac:dyDescent="0.25">
      <c r="A2157" t="s">
        <v>2157</v>
      </c>
      <c r="B2157" s="8" t="str">
        <f>VLOOKUP(A2157,assortedcode!B:C,2,0)</f>
        <v>070000137090</v>
      </c>
      <c r="C2157" s="1">
        <v>49</v>
      </c>
      <c r="D2157" s="9">
        <f t="shared" si="133"/>
        <v>49</v>
      </c>
      <c r="E2157" s="7" t="s">
        <v>8345</v>
      </c>
      <c r="F2157" s="10" t="str">
        <f t="shared" si="132"/>
        <v>insert into ins_premium_det (premium_rcv_code,assorted_code, rec_amount,premium_rcv_detail_code,remaining_amt, payrec, mode_code,coinsurance_code,class_cd,it_remarks) values</v>
      </c>
      <c r="G2157" s="11" t="str">
        <f t="shared" si="134"/>
        <v>('28Nov240101','070000137090','49',(select max(to_number(i.premium_rcv_detail_code))+1
from ins_premium_det i),'49','49','02', '11000003','00','Request by Mr. Omair Ali 29-Nov-2024');</v>
      </c>
      <c r="H2157" s="12" t="str">
        <f t="shared" si="135"/>
        <v>insert into ins_premium_det (premium_rcv_code,assorted_code, rec_amount,premium_rcv_detail_code,remaining_amt, payrec, mode_code,coinsurance_code,class_cd,it_remarks) values('28Nov240101','070000137090','49',(select max(to_number(i.premium_rcv_detail_code))+1
from ins_premium_det i),'49','49','02', '11000003','00','Request by Mr. Omair Ali 29-Nov-2024');</v>
      </c>
    </row>
    <row r="2158" spans="1:8" ht="105" x14ac:dyDescent="0.25">
      <c r="A2158" t="s">
        <v>2158</v>
      </c>
      <c r="B2158" s="8" t="str">
        <f>VLOOKUP(A2158,assortedcode!B:C,2,0)</f>
        <v>070000148169</v>
      </c>
      <c r="C2158" s="1">
        <v>50</v>
      </c>
      <c r="D2158" s="9">
        <f t="shared" si="133"/>
        <v>50</v>
      </c>
      <c r="E2158" s="7" t="s">
        <v>8345</v>
      </c>
      <c r="F2158" s="10" t="str">
        <f t="shared" si="132"/>
        <v>insert into ins_premium_det (premium_rcv_code,assorted_code, rec_amount,premium_rcv_detail_code,remaining_amt, payrec, mode_code,coinsurance_code,class_cd,it_remarks) values</v>
      </c>
      <c r="G2158" s="11" t="str">
        <f t="shared" si="134"/>
        <v>('28Nov240101','070000148169','50',(select max(to_number(i.premium_rcv_detail_code))+1
from ins_premium_det i),'50','50','02', '11000003','00','Request by Mr. Omair Ali 29-Nov-2024');</v>
      </c>
      <c r="H2158" s="12" t="str">
        <f t="shared" si="135"/>
        <v>insert into ins_premium_det (premium_rcv_code,assorted_code, rec_amount,premium_rcv_detail_code,remaining_amt, payrec, mode_code,coinsurance_code,class_cd,it_remarks) values('28Nov240101','070000148169','50',(select max(to_number(i.premium_rcv_detail_code))+1
from ins_premium_det i),'50','50','02', '11000003','00','Request by Mr. Omair Ali 29-Nov-2024');</v>
      </c>
    </row>
    <row r="2159" spans="1:8" ht="105" x14ac:dyDescent="0.25">
      <c r="A2159" t="s">
        <v>2159</v>
      </c>
      <c r="B2159" s="8" t="str">
        <f>VLOOKUP(A2159,assortedcode!B:C,2,0)</f>
        <v>070000147212</v>
      </c>
      <c r="C2159" s="1">
        <v>50</v>
      </c>
      <c r="D2159" s="9">
        <f t="shared" si="133"/>
        <v>50</v>
      </c>
      <c r="E2159" s="7" t="s">
        <v>8345</v>
      </c>
      <c r="F2159" s="10" t="str">
        <f t="shared" si="132"/>
        <v>insert into ins_premium_det (premium_rcv_code,assorted_code, rec_amount,premium_rcv_detail_code,remaining_amt, payrec, mode_code,coinsurance_code,class_cd,it_remarks) values</v>
      </c>
      <c r="G2159" s="11" t="str">
        <f t="shared" si="134"/>
        <v>('28Nov240101','070000147212','50',(select max(to_number(i.premium_rcv_detail_code))+1
from ins_premium_det i),'50','50','02', '11000003','00','Request by Mr. Omair Ali 29-Nov-2024');</v>
      </c>
      <c r="H2159" s="12" t="str">
        <f t="shared" si="135"/>
        <v>insert into ins_premium_det (premium_rcv_code,assorted_code, rec_amount,premium_rcv_detail_code,remaining_amt, payrec, mode_code,coinsurance_code,class_cd,it_remarks) values('28Nov240101','070000147212','50',(select max(to_number(i.premium_rcv_detail_code))+1
from ins_premium_det i),'50','50','02', '11000003','00','Request by Mr. Omair Ali 29-Nov-2024');</v>
      </c>
    </row>
    <row r="2160" spans="1:8" ht="105" x14ac:dyDescent="0.25">
      <c r="A2160" t="s">
        <v>2160</v>
      </c>
      <c r="B2160" s="8" t="str">
        <f>VLOOKUP(A2160,assortedcode!B:C,2,0)</f>
        <v>040000148859</v>
      </c>
      <c r="C2160" s="1">
        <v>50</v>
      </c>
      <c r="D2160" s="9">
        <f t="shared" si="133"/>
        <v>50</v>
      </c>
      <c r="E2160" s="7" t="s">
        <v>8345</v>
      </c>
      <c r="F2160" s="10" t="str">
        <f t="shared" si="132"/>
        <v>insert into ins_premium_det (premium_rcv_code,assorted_code, rec_amount,premium_rcv_detail_code,remaining_amt, payrec, mode_code,coinsurance_code,class_cd,it_remarks) values</v>
      </c>
      <c r="G2160" s="11" t="str">
        <f t="shared" si="134"/>
        <v>('28Nov240101','040000148859','50',(select max(to_number(i.premium_rcv_detail_code))+1
from ins_premium_det i),'50','50','02', '11000003','00','Request by Mr. Omair Ali 29-Nov-2024');</v>
      </c>
      <c r="H2160" s="12" t="str">
        <f t="shared" si="135"/>
        <v>insert into ins_premium_det (premium_rcv_code,assorted_code, rec_amount,premium_rcv_detail_code,remaining_amt, payrec, mode_code,coinsurance_code,class_cd,it_remarks) values('28Nov240101','040000148859','50',(select max(to_number(i.premium_rcv_detail_code))+1
from ins_premium_det i),'50','50','02', '11000003','00','Request by Mr. Omair Ali 29-Nov-2024');</v>
      </c>
    </row>
    <row r="2161" spans="1:8" ht="105" x14ac:dyDescent="0.25">
      <c r="A2161" t="s">
        <v>2161</v>
      </c>
      <c r="B2161" s="8" t="str">
        <f>VLOOKUP(A2161,assortedcode!B:C,2,0)</f>
        <v>040000128103</v>
      </c>
      <c r="C2161" s="1">
        <v>50</v>
      </c>
      <c r="D2161" s="9">
        <f t="shared" si="133"/>
        <v>50</v>
      </c>
      <c r="E2161" s="7" t="s">
        <v>8345</v>
      </c>
      <c r="F2161" s="10" t="str">
        <f t="shared" si="132"/>
        <v>insert into ins_premium_det (premium_rcv_code,assorted_code, rec_amount,premium_rcv_detail_code,remaining_amt, payrec, mode_code,coinsurance_code,class_cd,it_remarks) values</v>
      </c>
      <c r="G2161" s="11" t="str">
        <f t="shared" si="134"/>
        <v>('28Nov240101','040000128103','50',(select max(to_number(i.premium_rcv_detail_code))+1
from ins_premium_det i),'50','50','02', '11000003','00','Request by Mr. Omair Ali 29-Nov-2024');</v>
      </c>
      <c r="H2161" s="12" t="str">
        <f t="shared" si="135"/>
        <v>insert into ins_premium_det (premium_rcv_code,assorted_code, rec_amount,premium_rcv_detail_code,remaining_amt, payrec, mode_code,coinsurance_code,class_cd,it_remarks) values('28Nov240101','040000128103','50',(select max(to_number(i.premium_rcv_detail_code))+1
from ins_premium_det i),'50','50','02', '11000003','00','Request by Mr. Omair Ali 29-Nov-2024');</v>
      </c>
    </row>
    <row r="2162" spans="1:8" ht="105" x14ac:dyDescent="0.25">
      <c r="A2162" t="s">
        <v>2162</v>
      </c>
      <c r="B2162" s="8" t="str">
        <f>VLOOKUP(A2162,assortedcode!B:C,2,0)</f>
        <v>040000169020</v>
      </c>
      <c r="C2162" s="1">
        <v>50</v>
      </c>
      <c r="D2162" s="9">
        <f t="shared" si="133"/>
        <v>50</v>
      </c>
      <c r="E2162" s="7" t="s">
        <v>8345</v>
      </c>
      <c r="F2162" s="10" t="str">
        <f t="shared" si="132"/>
        <v>insert into ins_premium_det (premium_rcv_code,assorted_code, rec_amount,premium_rcv_detail_code,remaining_amt, payrec, mode_code,coinsurance_code,class_cd,it_remarks) values</v>
      </c>
      <c r="G2162" s="11" t="str">
        <f t="shared" si="134"/>
        <v>('28Nov240101','040000169020','50',(select max(to_number(i.premium_rcv_detail_code))+1
from ins_premium_det i),'50','50','02', '11000003','00','Request by Mr. Omair Ali 29-Nov-2024');</v>
      </c>
      <c r="H2162" s="12" t="str">
        <f t="shared" si="135"/>
        <v>insert into ins_premium_det (premium_rcv_code,assorted_code, rec_amount,premium_rcv_detail_code,remaining_amt, payrec, mode_code,coinsurance_code,class_cd,it_remarks) values('28Nov240101','040000169020','50',(select max(to_number(i.premium_rcv_detail_code))+1
from ins_premium_det i),'50','50','02', '11000003','00','Request by Mr. Omair Ali 29-Nov-2024');</v>
      </c>
    </row>
    <row r="2163" spans="1:8" ht="105" x14ac:dyDescent="0.25">
      <c r="A2163" t="s">
        <v>2163</v>
      </c>
      <c r="B2163" s="8" t="str">
        <f>VLOOKUP(A2163,assortedcode!B:C,2,0)</f>
        <v>070000146027</v>
      </c>
      <c r="C2163" s="1">
        <v>50</v>
      </c>
      <c r="D2163" s="9">
        <f t="shared" si="133"/>
        <v>50</v>
      </c>
      <c r="E2163" s="7" t="s">
        <v>8345</v>
      </c>
      <c r="F2163" s="10" t="str">
        <f t="shared" si="132"/>
        <v>insert into ins_premium_det (premium_rcv_code,assorted_code, rec_amount,premium_rcv_detail_code,remaining_amt, payrec, mode_code,coinsurance_code,class_cd,it_remarks) values</v>
      </c>
      <c r="G2163" s="11" t="str">
        <f t="shared" si="134"/>
        <v>('28Nov240101','070000146027','50',(select max(to_number(i.premium_rcv_detail_code))+1
from ins_premium_det i),'50','50','02', '11000003','00','Request by Mr. Omair Ali 29-Nov-2024');</v>
      </c>
      <c r="H2163" s="12" t="str">
        <f t="shared" si="135"/>
        <v>insert into ins_premium_det (premium_rcv_code,assorted_code, rec_amount,premium_rcv_detail_code,remaining_amt, payrec, mode_code,coinsurance_code,class_cd,it_remarks) values('28Nov240101','070000146027','50',(select max(to_number(i.premium_rcv_detail_code))+1
from ins_premium_det i),'50','50','02', '11000003','00','Request by Mr. Omair Ali 29-Nov-2024');</v>
      </c>
    </row>
    <row r="2164" spans="1:8" ht="105" x14ac:dyDescent="0.25">
      <c r="A2164" t="s">
        <v>2164</v>
      </c>
      <c r="B2164" s="8" t="str">
        <f>VLOOKUP(A2164,assortedcode!B:C,2,0)</f>
        <v>040000113998</v>
      </c>
      <c r="C2164" s="1">
        <v>50</v>
      </c>
      <c r="D2164" s="9">
        <f t="shared" si="133"/>
        <v>50</v>
      </c>
      <c r="E2164" s="7" t="s">
        <v>8345</v>
      </c>
      <c r="F2164" s="10" t="str">
        <f t="shared" si="132"/>
        <v>insert into ins_premium_det (premium_rcv_code,assorted_code, rec_amount,premium_rcv_detail_code,remaining_amt, payrec, mode_code,coinsurance_code,class_cd,it_remarks) values</v>
      </c>
      <c r="G2164" s="11" t="str">
        <f t="shared" si="134"/>
        <v>('28Nov240101','040000113998','50',(select max(to_number(i.premium_rcv_detail_code))+1
from ins_premium_det i),'50','50','02', '11000003','00','Request by Mr. Omair Ali 29-Nov-2024');</v>
      </c>
      <c r="H2164" s="12" t="str">
        <f t="shared" si="135"/>
        <v>insert into ins_premium_det (premium_rcv_code,assorted_code, rec_amount,premium_rcv_detail_code,remaining_amt, payrec, mode_code,coinsurance_code,class_cd,it_remarks) values('28Nov240101','040000113998','50',(select max(to_number(i.premium_rcv_detail_code))+1
from ins_premium_det i),'50','50','02', '11000003','00','Request by Mr. Omair Ali 29-Nov-2024');</v>
      </c>
    </row>
    <row r="2165" spans="1:8" ht="105" x14ac:dyDescent="0.25">
      <c r="A2165" t="s">
        <v>2165</v>
      </c>
      <c r="B2165" s="8" t="str">
        <f>VLOOKUP(A2165,assortedcode!B:C,2,0)</f>
        <v>040000102356</v>
      </c>
      <c r="C2165" s="1">
        <v>50</v>
      </c>
      <c r="D2165" s="9">
        <f t="shared" si="133"/>
        <v>50</v>
      </c>
      <c r="E2165" s="7" t="s">
        <v>8345</v>
      </c>
      <c r="F2165" s="10" t="str">
        <f t="shared" si="132"/>
        <v>insert into ins_premium_det (premium_rcv_code,assorted_code, rec_amount,premium_rcv_detail_code,remaining_amt, payrec, mode_code,coinsurance_code,class_cd,it_remarks) values</v>
      </c>
      <c r="G2165" s="11" t="str">
        <f t="shared" si="134"/>
        <v>('28Nov240101','040000102356','50',(select max(to_number(i.premium_rcv_detail_code))+1
from ins_premium_det i),'50','50','02', '11000003','00','Request by Mr. Omair Ali 29-Nov-2024');</v>
      </c>
      <c r="H2165" s="12" t="str">
        <f t="shared" si="135"/>
        <v>insert into ins_premium_det (premium_rcv_code,assorted_code, rec_amount,premium_rcv_detail_code,remaining_amt, payrec, mode_code,coinsurance_code,class_cd,it_remarks) values('28Nov240101','040000102356','50',(select max(to_number(i.premium_rcv_detail_code))+1
from ins_premium_det i),'50','50','02', '11000003','00','Request by Mr. Omair Ali 29-Nov-2024');</v>
      </c>
    </row>
    <row r="2166" spans="1:8" ht="105" x14ac:dyDescent="0.25">
      <c r="A2166" t="s">
        <v>2166</v>
      </c>
      <c r="B2166" s="8" t="str">
        <f>VLOOKUP(A2166,assortedcode!B:C,2,0)</f>
        <v>070000138031</v>
      </c>
      <c r="C2166" s="1">
        <v>50</v>
      </c>
      <c r="D2166" s="9">
        <f t="shared" si="133"/>
        <v>50</v>
      </c>
      <c r="E2166" s="7" t="s">
        <v>8345</v>
      </c>
      <c r="F2166" s="10" t="str">
        <f t="shared" si="132"/>
        <v>insert into ins_premium_det (premium_rcv_code,assorted_code, rec_amount,premium_rcv_detail_code,remaining_amt, payrec, mode_code,coinsurance_code,class_cd,it_remarks) values</v>
      </c>
      <c r="G2166" s="11" t="str">
        <f t="shared" si="134"/>
        <v>('28Nov240101','070000138031','50',(select max(to_number(i.premium_rcv_detail_code))+1
from ins_premium_det i),'50','50','02', '11000003','00','Request by Mr. Omair Ali 29-Nov-2024');</v>
      </c>
      <c r="H2166" s="12" t="str">
        <f t="shared" si="135"/>
        <v>insert into ins_premium_det (premium_rcv_code,assorted_code, rec_amount,premium_rcv_detail_code,remaining_amt, payrec, mode_code,coinsurance_code,class_cd,it_remarks) values('28Nov240101','070000138031','50',(select max(to_number(i.premium_rcv_detail_code))+1
from ins_premium_det i),'50','50','02', '11000003','00','Request by Mr. Omair Ali 29-Nov-2024');</v>
      </c>
    </row>
    <row r="2167" spans="1:8" ht="105" x14ac:dyDescent="0.25">
      <c r="A2167" t="s">
        <v>2167</v>
      </c>
      <c r="B2167" s="8" t="str">
        <f>VLOOKUP(A2167,assortedcode!B:C,2,0)</f>
        <v>040000118402</v>
      </c>
      <c r="C2167" s="1">
        <v>50</v>
      </c>
      <c r="D2167" s="9">
        <f t="shared" si="133"/>
        <v>50</v>
      </c>
      <c r="E2167" s="7" t="s">
        <v>8345</v>
      </c>
      <c r="F2167" s="10" t="str">
        <f t="shared" si="132"/>
        <v>insert into ins_premium_det (premium_rcv_code,assorted_code, rec_amount,premium_rcv_detail_code,remaining_amt, payrec, mode_code,coinsurance_code,class_cd,it_remarks) values</v>
      </c>
      <c r="G2167" s="11" t="str">
        <f t="shared" si="134"/>
        <v>('28Nov240101','040000118402','50',(select max(to_number(i.premium_rcv_detail_code))+1
from ins_premium_det i),'50','50','02', '11000003','00','Request by Mr. Omair Ali 29-Nov-2024');</v>
      </c>
      <c r="H2167" s="12" t="str">
        <f t="shared" si="135"/>
        <v>insert into ins_premium_det (premium_rcv_code,assorted_code, rec_amount,premium_rcv_detail_code,remaining_amt, payrec, mode_code,coinsurance_code,class_cd,it_remarks) values('28Nov240101','040000118402','50',(select max(to_number(i.premium_rcv_detail_code))+1
from ins_premium_det i),'50','50','02', '11000003','00','Request by Mr. Omair Ali 29-Nov-2024');</v>
      </c>
    </row>
    <row r="2168" spans="1:8" ht="105" x14ac:dyDescent="0.25">
      <c r="A2168" t="s">
        <v>2168</v>
      </c>
      <c r="B2168" s="8" t="str">
        <f>VLOOKUP(A2168,assortedcode!B:C,2,0)</f>
        <v>040000103612</v>
      </c>
      <c r="C2168" s="1">
        <v>50</v>
      </c>
      <c r="D2168" s="9">
        <f t="shared" si="133"/>
        <v>50</v>
      </c>
      <c r="E2168" s="7" t="s">
        <v>8345</v>
      </c>
      <c r="F2168" s="10" t="str">
        <f t="shared" si="132"/>
        <v>insert into ins_premium_det (premium_rcv_code,assorted_code, rec_amount,premium_rcv_detail_code,remaining_amt, payrec, mode_code,coinsurance_code,class_cd,it_remarks) values</v>
      </c>
      <c r="G2168" s="11" t="str">
        <f t="shared" si="134"/>
        <v>('28Nov240101','040000103612','50',(select max(to_number(i.premium_rcv_detail_code))+1
from ins_premium_det i),'50','50','02', '11000003','00','Request by Mr. Omair Ali 29-Nov-2024');</v>
      </c>
      <c r="H2168" s="12" t="str">
        <f t="shared" si="135"/>
        <v>insert into ins_premium_det (premium_rcv_code,assorted_code, rec_amount,premium_rcv_detail_code,remaining_amt, payrec, mode_code,coinsurance_code,class_cd,it_remarks) values('28Nov240101','040000103612','50',(select max(to_number(i.premium_rcv_detail_code))+1
from ins_premium_det i),'50','50','02', '11000003','00','Request by Mr. Omair Ali 29-Nov-2024');</v>
      </c>
    </row>
    <row r="2169" spans="1:8" ht="105" x14ac:dyDescent="0.25">
      <c r="A2169" t="s">
        <v>2169</v>
      </c>
      <c r="B2169" s="8" t="str">
        <f>VLOOKUP(A2169,assortedcode!B:C,2,0)</f>
        <v>040000126189</v>
      </c>
      <c r="C2169" s="1">
        <v>50</v>
      </c>
      <c r="D2169" s="9">
        <f t="shared" si="133"/>
        <v>50</v>
      </c>
      <c r="E2169" s="7" t="s">
        <v>8345</v>
      </c>
      <c r="F2169" s="10" t="str">
        <f t="shared" si="132"/>
        <v>insert into ins_premium_det (premium_rcv_code,assorted_code, rec_amount,premium_rcv_detail_code,remaining_amt, payrec, mode_code,coinsurance_code,class_cd,it_remarks) values</v>
      </c>
      <c r="G2169" s="11" t="str">
        <f t="shared" si="134"/>
        <v>('28Nov240101','040000126189','50',(select max(to_number(i.premium_rcv_detail_code))+1
from ins_premium_det i),'50','50','02', '11000003','00','Request by Mr. Omair Ali 29-Nov-2024');</v>
      </c>
      <c r="H2169" s="12" t="str">
        <f t="shared" si="135"/>
        <v>insert into ins_premium_det (premium_rcv_code,assorted_code, rec_amount,premium_rcv_detail_code,remaining_amt, payrec, mode_code,coinsurance_code,class_cd,it_remarks) values('28Nov240101','040000126189','50',(select max(to_number(i.premium_rcv_detail_code))+1
from ins_premium_det i),'50','50','02', '11000003','00','Request by Mr. Omair Ali 29-Nov-2024');</v>
      </c>
    </row>
    <row r="2170" spans="1:8" ht="105" x14ac:dyDescent="0.25">
      <c r="A2170" t="s">
        <v>2170</v>
      </c>
      <c r="B2170" s="8" t="str">
        <f>VLOOKUP(A2170,assortedcode!B:C,2,0)</f>
        <v>070000142841</v>
      </c>
      <c r="C2170" s="1">
        <v>50</v>
      </c>
      <c r="D2170" s="9">
        <f t="shared" si="133"/>
        <v>50</v>
      </c>
      <c r="E2170" s="7" t="s">
        <v>8345</v>
      </c>
      <c r="F2170" s="10" t="str">
        <f t="shared" si="132"/>
        <v>insert into ins_premium_det (premium_rcv_code,assorted_code, rec_amount,premium_rcv_detail_code,remaining_amt, payrec, mode_code,coinsurance_code,class_cd,it_remarks) values</v>
      </c>
      <c r="G2170" s="11" t="str">
        <f t="shared" si="134"/>
        <v>('28Nov240101','070000142841','50',(select max(to_number(i.premium_rcv_detail_code))+1
from ins_premium_det i),'50','50','02', '11000003','00','Request by Mr. Omair Ali 29-Nov-2024');</v>
      </c>
      <c r="H2170" s="12" t="str">
        <f t="shared" si="135"/>
        <v>insert into ins_premium_det (premium_rcv_code,assorted_code, rec_amount,premium_rcv_detail_code,remaining_amt, payrec, mode_code,coinsurance_code,class_cd,it_remarks) values('28Nov240101','070000142841','50',(select max(to_number(i.premium_rcv_detail_code))+1
from ins_premium_det i),'50','50','02', '11000003','00','Request by Mr. Omair Ali 29-Nov-2024');</v>
      </c>
    </row>
    <row r="2171" spans="1:8" ht="105" x14ac:dyDescent="0.25">
      <c r="A2171" t="s">
        <v>2171</v>
      </c>
      <c r="B2171" s="8" t="str">
        <f>VLOOKUP(A2171,assortedcode!B:C,2,0)</f>
        <v>040000175245</v>
      </c>
      <c r="C2171" s="1">
        <v>50</v>
      </c>
      <c r="D2171" s="9">
        <f t="shared" si="133"/>
        <v>50</v>
      </c>
      <c r="E2171" s="7" t="s">
        <v>8345</v>
      </c>
      <c r="F2171" s="10" t="str">
        <f t="shared" si="132"/>
        <v>insert into ins_premium_det (premium_rcv_code,assorted_code, rec_amount,premium_rcv_detail_code,remaining_amt, payrec, mode_code,coinsurance_code,class_cd,it_remarks) values</v>
      </c>
      <c r="G2171" s="11" t="str">
        <f t="shared" si="134"/>
        <v>('28Nov240101','040000175245','50',(select max(to_number(i.premium_rcv_detail_code))+1
from ins_premium_det i),'50','50','02', '11000003','00','Request by Mr. Omair Ali 29-Nov-2024');</v>
      </c>
      <c r="H2171" s="12" t="str">
        <f t="shared" si="135"/>
        <v>insert into ins_premium_det (premium_rcv_code,assorted_code, rec_amount,premium_rcv_detail_code,remaining_amt, payrec, mode_code,coinsurance_code,class_cd,it_remarks) values('28Nov240101','040000175245','50',(select max(to_number(i.premium_rcv_detail_code))+1
from ins_premium_det i),'50','50','02', '11000003','00','Request by Mr. Omair Ali 29-Nov-2024');</v>
      </c>
    </row>
    <row r="2172" spans="1:8" ht="105" x14ac:dyDescent="0.25">
      <c r="A2172" t="s">
        <v>2172</v>
      </c>
      <c r="B2172" s="8" t="str">
        <f>VLOOKUP(A2172,assortedcode!B:C,2,0)</f>
        <v>040000167565</v>
      </c>
      <c r="C2172" s="1">
        <v>50</v>
      </c>
      <c r="D2172" s="9">
        <f t="shared" si="133"/>
        <v>50</v>
      </c>
      <c r="E2172" s="7" t="s">
        <v>8345</v>
      </c>
      <c r="F2172" s="10" t="str">
        <f t="shared" si="132"/>
        <v>insert into ins_premium_det (premium_rcv_code,assorted_code, rec_amount,premium_rcv_detail_code,remaining_amt, payrec, mode_code,coinsurance_code,class_cd,it_remarks) values</v>
      </c>
      <c r="G2172" s="11" t="str">
        <f t="shared" si="134"/>
        <v>('28Nov240101','040000167565','50',(select max(to_number(i.premium_rcv_detail_code))+1
from ins_premium_det i),'50','50','02', '11000003','00','Request by Mr. Omair Ali 29-Nov-2024');</v>
      </c>
      <c r="H2172" s="12" t="str">
        <f t="shared" si="135"/>
        <v>insert into ins_premium_det (premium_rcv_code,assorted_code, rec_amount,premium_rcv_detail_code,remaining_amt, payrec, mode_code,coinsurance_code,class_cd,it_remarks) values('28Nov240101','040000167565','50',(select max(to_number(i.premium_rcv_detail_code))+1
from ins_premium_det i),'50','50','02', '11000003','00','Request by Mr. Omair Ali 29-Nov-2024');</v>
      </c>
    </row>
    <row r="2173" spans="1:8" ht="105" x14ac:dyDescent="0.25">
      <c r="A2173" t="s">
        <v>2173</v>
      </c>
      <c r="B2173" s="8" t="str">
        <f>VLOOKUP(A2173,assortedcode!B:C,2,0)</f>
        <v>060000000357</v>
      </c>
      <c r="C2173" s="1">
        <v>50</v>
      </c>
      <c r="D2173" s="9">
        <f t="shared" si="133"/>
        <v>50</v>
      </c>
      <c r="E2173" s="7" t="s">
        <v>8345</v>
      </c>
      <c r="F2173" s="10" t="str">
        <f t="shared" si="132"/>
        <v>insert into ins_premium_det (premium_rcv_code,assorted_code, rec_amount,premium_rcv_detail_code,remaining_amt, payrec, mode_code,coinsurance_code,class_cd,it_remarks) values</v>
      </c>
      <c r="G2173" s="11" t="str">
        <f t="shared" si="134"/>
        <v>('28Nov240101','060000000357','50',(select max(to_number(i.premium_rcv_detail_code))+1
from ins_premium_det i),'50','50','02', '11000003','00','Request by Mr. Omair Ali 29-Nov-2024');</v>
      </c>
      <c r="H2173" s="12" t="str">
        <f t="shared" si="135"/>
        <v>insert into ins_premium_det (premium_rcv_code,assorted_code, rec_amount,premium_rcv_detail_code,remaining_amt, payrec, mode_code,coinsurance_code,class_cd,it_remarks) values('28Nov240101','060000000357','50',(select max(to_number(i.premium_rcv_detail_code))+1
from ins_premium_det i),'50','50','02', '11000003','00','Request by Mr. Omair Ali 29-Nov-2024');</v>
      </c>
    </row>
    <row r="2174" spans="1:8" ht="105" x14ac:dyDescent="0.25">
      <c r="A2174" t="s">
        <v>2174</v>
      </c>
      <c r="B2174" s="8" t="str">
        <f>VLOOKUP(A2174,assortedcode!B:C,2,0)</f>
        <v>040000158907</v>
      </c>
      <c r="C2174" s="1">
        <v>50</v>
      </c>
      <c r="D2174" s="9">
        <f t="shared" si="133"/>
        <v>50</v>
      </c>
      <c r="E2174" s="7" t="s">
        <v>8345</v>
      </c>
      <c r="F2174" s="10" t="str">
        <f t="shared" si="132"/>
        <v>insert into ins_premium_det (premium_rcv_code,assorted_code, rec_amount,premium_rcv_detail_code,remaining_amt, payrec, mode_code,coinsurance_code,class_cd,it_remarks) values</v>
      </c>
      <c r="G2174" s="11" t="str">
        <f t="shared" si="134"/>
        <v>('28Nov240101','040000158907','50',(select max(to_number(i.premium_rcv_detail_code))+1
from ins_premium_det i),'50','50','02', '11000003','00','Request by Mr. Omair Ali 29-Nov-2024');</v>
      </c>
      <c r="H2174" s="12" t="str">
        <f t="shared" si="135"/>
        <v>insert into ins_premium_det (premium_rcv_code,assorted_code, rec_amount,premium_rcv_detail_code,remaining_amt, payrec, mode_code,coinsurance_code,class_cd,it_remarks) values('28Nov240101','040000158907','50',(select max(to_number(i.premium_rcv_detail_code))+1
from ins_premium_det i),'50','50','02', '11000003','00','Request by Mr. Omair Ali 29-Nov-2024');</v>
      </c>
    </row>
    <row r="2175" spans="1:8" ht="105" x14ac:dyDescent="0.25">
      <c r="A2175" t="s">
        <v>2175</v>
      </c>
      <c r="B2175" s="8" t="str">
        <f>VLOOKUP(A2175,assortedcode!B:C,2,0)</f>
        <v>040000174176</v>
      </c>
      <c r="C2175" s="1">
        <v>50</v>
      </c>
      <c r="D2175" s="9">
        <f t="shared" si="133"/>
        <v>50</v>
      </c>
      <c r="E2175" s="7" t="s">
        <v>8345</v>
      </c>
      <c r="F2175" s="10" t="str">
        <f t="shared" si="132"/>
        <v>insert into ins_premium_det (premium_rcv_code,assorted_code, rec_amount,premium_rcv_detail_code,remaining_amt, payrec, mode_code,coinsurance_code,class_cd,it_remarks) values</v>
      </c>
      <c r="G2175" s="11" t="str">
        <f t="shared" si="134"/>
        <v>('28Nov240101','040000174176','50',(select max(to_number(i.premium_rcv_detail_code))+1
from ins_premium_det i),'50','50','02', '11000003','00','Request by Mr. Omair Ali 29-Nov-2024');</v>
      </c>
      <c r="H2175" s="12" t="str">
        <f t="shared" si="135"/>
        <v>insert into ins_premium_det (premium_rcv_code,assorted_code, rec_amount,premium_rcv_detail_code,remaining_amt, payrec, mode_code,coinsurance_code,class_cd,it_remarks) values('28Nov240101','040000174176','50',(select max(to_number(i.premium_rcv_detail_code))+1
from ins_premium_det i),'50','50','02', '11000003','00','Request by Mr. Omair Ali 29-Nov-2024');</v>
      </c>
    </row>
    <row r="2176" spans="1:8" ht="105" x14ac:dyDescent="0.25">
      <c r="A2176" t="s">
        <v>2176</v>
      </c>
      <c r="B2176" s="8" t="str">
        <f>VLOOKUP(A2176,assortedcode!B:C,2,0)</f>
        <v>040000161544</v>
      </c>
      <c r="C2176" s="1">
        <v>50</v>
      </c>
      <c r="D2176" s="9">
        <f t="shared" si="133"/>
        <v>50</v>
      </c>
      <c r="E2176" s="7" t="s">
        <v>8345</v>
      </c>
      <c r="F2176" s="10" t="str">
        <f t="shared" si="132"/>
        <v>insert into ins_premium_det (premium_rcv_code,assorted_code, rec_amount,premium_rcv_detail_code,remaining_amt, payrec, mode_code,coinsurance_code,class_cd,it_remarks) values</v>
      </c>
      <c r="G2176" s="11" t="str">
        <f t="shared" si="134"/>
        <v>('28Nov240101','040000161544','50',(select max(to_number(i.premium_rcv_detail_code))+1
from ins_premium_det i),'50','50','02', '11000003','00','Request by Mr. Omair Ali 29-Nov-2024');</v>
      </c>
      <c r="H2176" s="12" t="str">
        <f t="shared" si="135"/>
        <v>insert into ins_premium_det (premium_rcv_code,assorted_code, rec_amount,premium_rcv_detail_code,remaining_amt, payrec, mode_code,coinsurance_code,class_cd,it_remarks) values('28Nov240101','040000161544','50',(select max(to_number(i.premium_rcv_detail_code))+1
from ins_premium_det i),'50','50','02', '11000003','00','Request by Mr. Omair Ali 29-Nov-2024');</v>
      </c>
    </row>
    <row r="2177" spans="1:8" ht="105" x14ac:dyDescent="0.25">
      <c r="A2177" t="s">
        <v>2177</v>
      </c>
      <c r="B2177" s="8" t="str">
        <f>VLOOKUP(A2177,assortedcode!B:C,2,0)</f>
        <v>040000174363</v>
      </c>
      <c r="C2177" s="1">
        <v>50</v>
      </c>
      <c r="D2177" s="9">
        <f t="shared" si="133"/>
        <v>50</v>
      </c>
      <c r="E2177" s="7" t="s">
        <v>8345</v>
      </c>
      <c r="F2177" s="10" t="str">
        <f t="shared" si="132"/>
        <v>insert into ins_premium_det (premium_rcv_code,assorted_code, rec_amount,premium_rcv_detail_code,remaining_amt, payrec, mode_code,coinsurance_code,class_cd,it_remarks) values</v>
      </c>
      <c r="G2177" s="11" t="str">
        <f t="shared" si="134"/>
        <v>('28Nov240101','040000174363','50',(select max(to_number(i.premium_rcv_detail_code))+1
from ins_premium_det i),'50','50','02', '11000003','00','Request by Mr. Omair Ali 29-Nov-2024');</v>
      </c>
      <c r="H2177" s="12" t="str">
        <f t="shared" si="135"/>
        <v>insert into ins_premium_det (premium_rcv_code,assorted_code, rec_amount,premium_rcv_detail_code,remaining_amt, payrec, mode_code,coinsurance_code,class_cd,it_remarks) values('28Nov240101','040000174363','50',(select max(to_number(i.premium_rcv_detail_code))+1
from ins_premium_det i),'50','50','02', '11000003','00','Request by Mr. Omair Ali 29-Nov-2024');</v>
      </c>
    </row>
    <row r="2178" spans="1:8" ht="105" x14ac:dyDescent="0.25">
      <c r="A2178" t="s">
        <v>2178</v>
      </c>
      <c r="B2178" s="8" t="str">
        <f>VLOOKUP(A2178,assortedcode!B:C,2,0)</f>
        <v>060000000358</v>
      </c>
      <c r="C2178" s="1">
        <v>50</v>
      </c>
      <c r="D2178" s="9">
        <f t="shared" si="133"/>
        <v>50</v>
      </c>
      <c r="E2178" s="7" t="s">
        <v>8345</v>
      </c>
      <c r="F2178" s="10" t="str">
        <f t="shared" ref="F2178:F2241" si="136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2178" s="11" t="str">
        <f t="shared" si="134"/>
        <v>('28Nov240101','060000000358','50',(select max(to_number(i.premium_rcv_detail_code))+1
from ins_premium_det i),'50','50','02', '11000003','00','Request by Mr. Omair Ali 29-Nov-2024');</v>
      </c>
      <c r="H2178" s="12" t="str">
        <f t="shared" si="135"/>
        <v>insert into ins_premium_det (premium_rcv_code,assorted_code, rec_amount,premium_rcv_detail_code,remaining_amt, payrec, mode_code,coinsurance_code,class_cd,it_remarks) values('28Nov240101','060000000358','50',(select max(to_number(i.premium_rcv_detail_code))+1
from ins_premium_det i),'50','50','02', '11000003','00','Request by Mr. Omair Ali 29-Nov-2024');</v>
      </c>
    </row>
    <row r="2179" spans="1:8" ht="105" x14ac:dyDescent="0.25">
      <c r="A2179" t="s">
        <v>2179</v>
      </c>
      <c r="B2179" s="8" t="str">
        <f>VLOOKUP(A2179,assortedcode!B:C,2,0)</f>
        <v>060000000330</v>
      </c>
      <c r="C2179" s="1">
        <v>50</v>
      </c>
      <c r="D2179" s="9">
        <f t="shared" ref="D2179:D2242" si="137">ROUND(C2179,0)</f>
        <v>50</v>
      </c>
      <c r="E2179" s="7" t="s">
        <v>8345</v>
      </c>
      <c r="F2179" s="10" t="str">
        <f t="shared" si="136"/>
        <v>insert into ins_premium_det (premium_rcv_code,assorted_code, rec_amount,premium_rcv_detail_code,remaining_amt, payrec, mode_code,coinsurance_code,class_cd,it_remarks) values</v>
      </c>
      <c r="G2179" s="11" t="str">
        <f t="shared" ref="G2179:G2242" si="138">"('"&amp;E2179&amp;"','"&amp;B2179&amp;"','"&amp;ROUND(D2179,2)&amp;"',(select max(to_number(i.premium_rcv_detail_code))+1
from ins_premium_det i),'"&amp;D2179&amp;"','"&amp;D2179&amp;"','02', '11000003','00','Request by Mr. Omair Ali 29-Nov-2024');"</f>
        <v>('28Nov240101','060000000330','50',(select max(to_number(i.premium_rcv_detail_code))+1
from ins_premium_det i),'50','50','02', '11000003','00','Request by Mr. Omair Ali 29-Nov-2024');</v>
      </c>
      <c r="H2179" s="12" t="str">
        <f t="shared" ref="H2179:H2242" si="139">F2179&amp;G2179</f>
        <v>insert into ins_premium_det (premium_rcv_code,assorted_code, rec_amount,premium_rcv_detail_code,remaining_amt, payrec, mode_code,coinsurance_code,class_cd,it_remarks) values('28Nov240101','060000000330','50',(select max(to_number(i.premium_rcv_detail_code))+1
from ins_premium_det i),'50','50','02', '11000003','00','Request by Mr. Omair Ali 29-Nov-2024');</v>
      </c>
    </row>
    <row r="2180" spans="1:8" ht="105" x14ac:dyDescent="0.25">
      <c r="A2180" t="s">
        <v>2180</v>
      </c>
      <c r="B2180" s="8" t="str">
        <f>VLOOKUP(A2180,assortedcode!B:C,2,0)</f>
        <v>040000158909</v>
      </c>
      <c r="C2180" s="1">
        <v>50</v>
      </c>
      <c r="D2180" s="9">
        <f t="shared" si="137"/>
        <v>50</v>
      </c>
      <c r="E2180" s="7" t="s">
        <v>8345</v>
      </c>
      <c r="F2180" s="10" t="str">
        <f t="shared" si="136"/>
        <v>insert into ins_premium_det (premium_rcv_code,assorted_code, rec_amount,premium_rcv_detail_code,remaining_amt, payrec, mode_code,coinsurance_code,class_cd,it_remarks) values</v>
      </c>
      <c r="G2180" s="11" t="str">
        <f t="shared" si="138"/>
        <v>('28Nov240101','040000158909','50',(select max(to_number(i.premium_rcv_detail_code))+1
from ins_premium_det i),'50','50','02', '11000003','00','Request by Mr. Omair Ali 29-Nov-2024');</v>
      </c>
      <c r="H2180" s="12" t="str">
        <f t="shared" si="139"/>
        <v>insert into ins_premium_det (premium_rcv_code,assorted_code, rec_amount,premium_rcv_detail_code,remaining_amt, payrec, mode_code,coinsurance_code,class_cd,it_remarks) values('28Nov240101','040000158909','50',(select max(to_number(i.premium_rcv_detail_code))+1
from ins_premium_det i),'50','50','02', '11000003','00','Request by Mr. Omair Ali 29-Nov-2024');</v>
      </c>
    </row>
    <row r="2181" spans="1:8" ht="105" x14ac:dyDescent="0.25">
      <c r="A2181" t="s">
        <v>2181</v>
      </c>
      <c r="B2181" s="8" t="str">
        <f>VLOOKUP(A2181,assortedcode!B:C,2,0)</f>
        <v>060000000350</v>
      </c>
      <c r="C2181" s="1">
        <v>50</v>
      </c>
      <c r="D2181" s="9">
        <f t="shared" si="137"/>
        <v>50</v>
      </c>
      <c r="E2181" s="7" t="s">
        <v>8345</v>
      </c>
      <c r="F2181" s="10" t="str">
        <f t="shared" si="136"/>
        <v>insert into ins_premium_det (premium_rcv_code,assorted_code, rec_amount,premium_rcv_detail_code,remaining_amt, payrec, mode_code,coinsurance_code,class_cd,it_remarks) values</v>
      </c>
      <c r="G2181" s="11" t="str">
        <f t="shared" si="138"/>
        <v>('28Nov240101','060000000350','50',(select max(to_number(i.premium_rcv_detail_code))+1
from ins_premium_det i),'50','50','02', '11000003','00','Request by Mr. Omair Ali 29-Nov-2024');</v>
      </c>
      <c r="H2181" s="12" t="str">
        <f t="shared" si="139"/>
        <v>insert into ins_premium_det (premium_rcv_code,assorted_code, rec_amount,premium_rcv_detail_code,remaining_amt, payrec, mode_code,coinsurance_code,class_cd,it_remarks) values('28Nov240101','060000000350','50',(select max(to_number(i.premium_rcv_detail_code))+1
from ins_premium_det i),'50','50','02', '11000003','00','Request by Mr. Omair Ali 29-Nov-2024');</v>
      </c>
    </row>
    <row r="2182" spans="1:8" ht="105" x14ac:dyDescent="0.25">
      <c r="A2182" t="s">
        <v>2182</v>
      </c>
      <c r="B2182" s="8" t="str">
        <f>VLOOKUP(A2182,assortedcode!B:C,2,0)</f>
        <v>040000175115</v>
      </c>
      <c r="C2182" s="1">
        <v>50</v>
      </c>
      <c r="D2182" s="9">
        <f t="shared" si="137"/>
        <v>50</v>
      </c>
      <c r="E2182" s="7" t="s">
        <v>8345</v>
      </c>
      <c r="F2182" s="10" t="str">
        <f t="shared" si="136"/>
        <v>insert into ins_premium_det (premium_rcv_code,assorted_code, rec_amount,premium_rcv_detail_code,remaining_amt, payrec, mode_code,coinsurance_code,class_cd,it_remarks) values</v>
      </c>
      <c r="G2182" s="11" t="str">
        <f t="shared" si="138"/>
        <v>('28Nov240101','040000175115','50',(select max(to_number(i.premium_rcv_detail_code))+1
from ins_premium_det i),'50','50','02', '11000003','00','Request by Mr. Omair Ali 29-Nov-2024');</v>
      </c>
      <c r="H2182" s="12" t="str">
        <f t="shared" si="139"/>
        <v>insert into ins_premium_det (premium_rcv_code,assorted_code, rec_amount,premium_rcv_detail_code,remaining_amt, payrec, mode_code,coinsurance_code,class_cd,it_remarks) values('28Nov240101','040000175115','50',(select max(to_number(i.premium_rcv_detail_code))+1
from ins_premium_det i),'50','50','02', '11000003','00','Request by Mr. Omair Ali 29-Nov-2024');</v>
      </c>
    </row>
    <row r="2183" spans="1:8" ht="105" x14ac:dyDescent="0.25">
      <c r="A2183" t="s">
        <v>2183</v>
      </c>
      <c r="B2183" s="8" t="str">
        <f>VLOOKUP(A2183,assortedcode!B:C,2,0)</f>
        <v>040000165544</v>
      </c>
      <c r="C2183" s="1">
        <v>50</v>
      </c>
      <c r="D2183" s="9">
        <f t="shared" si="137"/>
        <v>50</v>
      </c>
      <c r="E2183" s="7" t="s">
        <v>8345</v>
      </c>
      <c r="F2183" s="10" t="str">
        <f t="shared" si="136"/>
        <v>insert into ins_premium_det (premium_rcv_code,assorted_code, rec_amount,premium_rcv_detail_code,remaining_amt, payrec, mode_code,coinsurance_code,class_cd,it_remarks) values</v>
      </c>
      <c r="G2183" s="11" t="str">
        <f t="shared" si="138"/>
        <v>('28Nov240101','040000165544','50',(select max(to_number(i.premium_rcv_detail_code))+1
from ins_premium_det i),'50','50','02', '11000003','00','Request by Mr. Omair Ali 29-Nov-2024');</v>
      </c>
      <c r="H2183" s="12" t="str">
        <f t="shared" si="139"/>
        <v>insert into ins_premium_det (premium_rcv_code,assorted_code, rec_amount,premium_rcv_detail_code,remaining_amt, payrec, mode_code,coinsurance_code,class_cd,it_remarks) values('28Nov240101','040000165544','50',(select max(to_number(i.premium_rcv_detail_code))+1
from ins_premium_det i),'50','50','02', '11000003','00','Request by Mr. Omair Ali 29-Nov-2024');</v>
      </c>
    </row>
    <row r="2184" spans="1:8" ht="105" x14ac:dyDescent="0.25">
      <c r="A2184" t="s">
        <v>2184</v>
      </c>
      <c r="B2184" s="8" t="str">
        <f>VLOOKUP(A2184,assortedcode!B:C,2,0)</f>
        <v>060000000352</v>
      </c>
      <c r="C2184" s="1">
        <v>50</v>
      </c>
      <c r="D2184" s="9">
        <f t="shared" si="137"/>
        <v>50</v>
      </c>
      <c r="E2184" s="7" t="s">
        <v>8345</v>
      </c>
      <c r="F2184" s="10" t="str">
        <f t="shared" si="136"/>
        <v>insert into ins_premium_det (premium_rcv_code,assorted_code, rec_amount,premium_rcv_detail_code,remaining_amt, payrec, mode_code,coinsurance_code,class_cd,it_remarks) values</v>
      </c>
      <c r="G2184" s="11" t="str">
        <f t="shared" si="138"/>
        <v>('28Nov240101','060000000352','50',(select max(to_number(i.premium_rcv_detail_code))+1
from ins_premium_det i),'50','50','02', '11000003','00','Request by Mr. Omair Ali 29-Nov-2024');</v>
      </c>
      <c r="H2184" s="12" t="str">
        <f t="shared" si="139"/>
        <v>insert into ins_premium_det (premium_rcv_code,assorted_code, rec_amount,premium_rcv_detail_code,remaining_amt, payrec, mode_code,coinsurance_code,class_cd,it_remarks) values('28Nov240101','060000000352','50',(select max(to_number(i.premium_rcv_detail_code))+1
from ins_premium_det i),'50','50','02', '11000003','00','Request by Mr. Omair Ali 29-Nov-2024');</v>
      </c>
    </row>
    <row r="2185" spans="1:8" ht="105" x14ac:dyDescent="0.25">
      <c r="A2185" t="s">
        <v>2185</v>
      </c>
      <c r="B2185" s="8" t="str">
        <f>VLOOKUP(A2185,assortedcode!B:C,2,0)</f>
        <v>040000162325</v>
      </c>
      <c r="C2185" s="1">
        <v>50</v>
      </c>
      <c r="D2185" s="9">
        <f t="shared" si="137"/>
        <v>50</v>
      </c>
      <c r="E2185" s="7" t="s">
        <v>8345</v>
      </c>
      <c r="F2185" s="10" t="str">
        <f t="shared" si="136"/>
        <v>insert into ins_premium_det (premium_rcv_code,assorted_code, rec_amount,premium_rcv_detail_code,remaining_amt, payrec, mode_code,coinsurance_code,class_cd,it_remarks) values</v>
      </c>
      <c r="G2185" s="11" t="str">
        <f t="shared" si="138"/>
        <v>('28Nov240101','040000162325','50',(select max(to_number(i.premium_rcv_detail_code))+1
from ins_premium_det i),'50','50','02', '11000003','00','Request by Mr. Omair Ali 29-Nov-2024');</v>
      </c>
      <c r="H2185" s="12" t="str">
        <f t="shared" si="139"/>
        <v>insert into ins_premium_det (premium_rcv_code,assorted_code, rec_amount,premium_rcv_detail_code,remaining_amt, payrec, mode_code,coinsurance_code,class_cd,it_remarks) values('28Nov240101','040000162325','50',(select max(to_number(i.premium_rcv_detail_code))+1
from ins_premium_det i),'50','50','02', '11000003','00','Request by Mr. Omair Ali 29-Nov-2024');</v>
      </c>
    </row>
    <row r="2186" spans="1:8" ht="105" x14ac:dyDescent="0.25">
      <c r="A2186" t="s">
        <v>2186</v>
      </c>
      <c r="B2186" s="8" t="str">
        <f>VLOOKUP(A2186,assortedcode!B:C,2,0)</f>
        <v>040000176934</v>
      </c>
      <c r="C2186" s="1">
        <v>50</v>
      </c>
      <c r="D2186" s="9">
        <f t="shared" si="137"/>
        <v>50</v>
      </c>
      <c r="E2186" s="7" t="s">
        <v>8345</v>
      </c>
      <c r="F2186" s="10" t="str">
        <f t="shared" si="136"/>
        <v>insert into ins_premium_det (premium_rcv_code,assorted_code, rec_amount,premium_rcv_detail_code,remaining_amt, payrec, mode_code,coinsurance_code,class_cd,it_remarks) values</v>
      </c>
      <c r="G2186" s="11" t="str">
        <f t="shared" si="138"/>
        <v>('28Nov240101','040000176934','50',(select max(to_number(i.premium_rcv_detail_code))+1
from ins_premium_det i),'50','50','02', '11000003','00','Request by Mr. Omair Ali 29-Nov-2024');</v>
      </c>
      <c r="H2186" s="12" t="str">
        <f t="shared" si="139"/>
        <v>insert into ins_premium_det (premium_rcv_code,assorted_code, rec_amount,premium_rcv_detail_code,remaining_amt, payrec, mode_code,coinsurance_code,class_cd,it_remarks) values('28Nov240101','040000176934','50',(select max(to_number(i.premium_rcv_detail_code))+1
from ins_premium_det i),'50','50','02', '11000003','00','Request by Mr. Omair Ali 29-Nov-2024');</v>
      </c>
    </row>
    <row r="2187" spans="1:8" ht="105" x14ac:dyDescent="0.25">
      <c r="A2187" t="s">
        <v>2187</v>
      </c>
      <c r="B2187" s="8" t="str">
        <f>VLOOKUP(A2187,assortedcode!B:C,2,0)</f>
        <v>040000170939</v>
      </c>
      <c r="C2187" s="1">
        <v>50</v>
      </c>
      <c r="D2187" s="9">
        <f t="shared" si="137"/>
        <v>50</v>
      </c>
      <c r="E2187" s="7" t="s">
        <v>8345</v>
      </c>
      <c r="F2187" s="10" t="str">
        <f t="shared" si="136"/>
        <v>insert into ins_premium_det (premium_rcv_code,assorted_code, rec_amount,premium_rcv_detail_code,remaining_amt, payrec, mode_code,coinsurance_code,class_cd,it_remarks) values</v>
      </c>
      <c r="G2187" s="11" t="str">
        <f t="shared" si="138"/>
        <v>('28Nov240101','040000170939','50',(select max(to_number(i.premium_rcv_detail_code))+1
from ins_premium_det i),'50','50','02', '11000003','00','Request by Mr. Omair Ali 29-Nov-2024');</v>
      </c>
      <c r="H2187" s="12" t="str">
        <f t="shared" si="139"/>
        <v>insert into ins_premium_det (premium_rcv_code,assorted_code, rec_amount,premium_rcv_detail_code,remaining_amt, payrec, mode_code,coinsurance_code,class_cd,it_remarks) values('28Nov240101','040000170939','50',(select max(to_number(i.premium_rcv_detail_code))+1
from ins_premium_det i),'50','50','02', '11000003','00','Request by Mr. Omair Ali 29-Nov-2024');</v>
      </c>
    </row>
    <row r="2188" spans="1:8" ht="105" x14ac:dyDescent="0.25">
      <c r="A2188" t="s">
        <v>2188</v>
      </c>
      <c r="B2188" s="8" t="str">
        <f>VLOOKUP(A2188,assortedcode!B:C,2,0)</f>
        <v>040000168633</v>
      </c>
      <c r="C2188" s="1">
        <v>50</v>
      </c>
      <c r="D2188" s="9">
        <f t="shared" si="137"/>
        <v>50</v>
      </c>
      <c r="E2188" s="7" t="s">
        <v>8345</v>
      </c>
      <c r="F2188" s="10" t="str">
        <f t="shared" si="136"/>
        <v>insert into ins_premium_det (premium_rcv_code,assorted_code, rec_amount,premium_rcv_detail_code,remaining_amt, payrec, mode_code,coinsurance_code,class_cd,it_remarks) values</v>
      </c>
      <c r="G2188" s="11" t="str">
        <f t="shared" si="138"/>
        <v>('28Nov240101','040000168633','50',(select max(to_number(i.premium_rcv_detail_code))+1
from ins_premium_det i),'50','50','02', '11000003','00','Request by Mr. Omair Ali 29-Nov-2024');</v>
      </c>
      <c r="H2188" s="12" t="str">
        <f t="shared" si="139"/>
        <v>insert into ins_premium_det (premium_rcv_code,assorted_code, rec_amount,premium_rcv_detail_code,remaining_amt, payrec, mode_code,coinsurance_code,class_cd,it_remarks) values('28Nov240101','040000168633','50',(select max(to_number(i.premium_rcv_detail_code))+1
from ins_premium_det i),'50','50','02', '11000003','00','Request by Mr. Omair Ali 29-Nov-2024');</v>
      </c>
    </row>
    <row r="2189" spans="1:8" ht="105" x14ac:dyDescent="0.25">
      <c r="A2189" t="s">
        <v>2189</v>
      </c>
      <c r="B2189" s="8" t="str">
        <f>VLOOKUP(A2189,assortedcode!B:C,2,0)</f>
        <v>060000000327</v>
      </c>
      <c r="C2189" s="1">
        <v>50</v>
      </c>
      <c r="D2189" s="9">
        <f t="shared" si="137"/>
        <v>50</v>
      </c>
      <c r="E2189" s="7" t="s">
        <v>8345</v>
      </c>
      <c r="F2189" s="10" t="str">
        <f t="shared" si="136"/>
        <v>insert into ins_premium_det (premium_rcv_code,assorted_code, rec_amount,premium_rcv_detail_code,remaining_amt, payrec, mode_code,coinsurance_code,class_cd,it_remarks) values</v>
      </c>
      <c r="G2189" s="11" t="str">
        <f t="shared" si="138"/>
        <v>('28Nov240101','060000000327','50',(select max(to_number(i.premium_rcv_detail_code))+1
from ins_premium_det i),'50','50','02', '11000003','00','Request by Mr. Omair Ali 29-Nov-2024');</v>
      </c>
      <c r="H2189" s="12" t="str">
        <f t="shared" si="139"/>
        <v>insert into ins_premium_det (premium_rcv_code,assorted_code, rec_amount,premium_rcv_detail_code,remaining_amt, payrec, mode_code,coinsurance_code,class_cd,it_remarks) values('28Nov240101','060000000327','50',(select max(to_number(i.premium_rcv_detail_code))+1
from ins_premium_det i),'50','50','02', '11000003','00','Request by Mr. Omair Ali 29-Nov-2024');</v>
      </c>
    </row>
    <row r="2190" spans="1:8" ht="105" x14ac:dyDescent="0.25">
      <c r="A2190" t="s">
        <v>2190</v>
      </c>
      <c r="B2190" s="8" t="str">
        <f>VLOOKUP(A2190,assortedcode!B:C,2,0)</f>
        <v>060000000315</v>
      </c>
      <c r="C2190" s="1">
        <v>50</v>
      </c>
      <c r="D2190" s="9">
        <f t="shared" si="137"/>
        <v>50</v>
      </c>
      <c r="E2190" s="7" t="s">
        <v>8345</v>
      </c>
      <c r="F2190" s="10" t="str">
        <f t="shared" si="136"/>
        <v>insert into ins_premium_det (premium_rcv_code,assorted_code, rec_amount,premium_rcv_detail_code,remaining_amt, payrec, mode_code,coinsurance_code,class_cd,it_remarks) values</v>
      </c>
      <c r="G2190" s="11" t="str">
        <f t="shared" si="138"/>
        <v>('28Nov240101','060000000315','50',(select max(to_number(i.premium_rcv_detail_code))+1
from ins_premium_det i),'50','50','02', '11000003','00','Request by Mr. Omair Ali 29-Nov-2024');</v>
      </c>
      <c r="H2190" s="12" t="str">
        <f t="shared" si="139"/>
        <v>insert into ins_premium_det (premium_rcv_code,assorted_code, rec_amount,premium_rcv_detail_code,remaining_amt, payrec, mode_code,coinsurance_code,class_cd,it_remarks) values('28Nov240101','060000000315','50',(select max(to_number(i.premium_rcv_detail_code))+1
from ins_premium_det i),'50','50','02', '11000003','00','Request by Mr. Omair Ali 29-Nov-2024');</v>
      </c>
    </row>
    <row r="2191" spans="1:8" ht="105" x14ac:dyDescent="0.25">
      <c r="A2191" t="s">
        <v>2191</v>
      </c>
      <c r="B2191" s="8" t="str">
        <f>VLOOKUP(A2191,assortedcode!B:C,2,0)</f>
        <v>060000000324</v>
      </c>
      <c r="C2191" s="1">
        <v>50</v>
      </c>
      <c r="D2191" s="9">
        <f t="shared" si="137"/>
        <v>50</v>
      </c>
      <c r="E2191" s="7" t="s">
        <v>8345</v>
      </c>
      <c r="F2191" s="10" t="str">
        <f t="shared" si="136"/>
        <v>insert into ins_premium_det (premium_rcv_code,assorted_code, rec_amount,premium_rcv_detail_code,remaining_amt, payrec, mode_code,coinsurance_code,class_cd,it_remarks) values</v>
      </c>
      <c r="G2191" s="11" t="str">
        <f t="shared" si="138"/>
        <v>('28Nov240101','060000000324','50',(select max(to_number(i.premium_rcv_detail_code))+1
from ins_premium_det i),'50','50','02', '11000003','00','Request by Mr. Omair Ali 29-Nov-2024');</v>
      </c>
      <c r="H2191" s="12" t="str">
        <f t="shared" si="139"/>
        <v>insert into ins_premium_det (premium_rcv_code,assorted_code, rec_amount,premium_rcv_detail_code,remaining_amt, payrec, mode_code,coinsurance_code,class_cd,it_remarks) values('28Nov240101','060000000324','50',(select max(to_number(i.premium_rcv_detail_code))+1
from ins_premium_det i),'50','50','02', '11000003','00','Request by Mr. Omair Ali 29-Nov-2024');</v>
      </c>
    </row>
    <row r="2192" spans="1:8" ht="105" x14ac:dyDescent="0.25">
      <c r="A2192" t="s">
        <v>2192</v>
      </c>
      <c r="B2192" s="8" t="str">
        <f>VLOOKUP(A2192,assortedcode!B:C,2,0)</f>
        <v>060000000326</v>
      </c>
      <c r="C2192" s="1">
        <v>50</v>
      </c>
      <c r="D2192" s="9">
        <f t="shared" si="137"/>
        <v>50</v>
      </c>
      <c r="E2192" s="7" t="s">
        <v>8345</v>
      </c>
      <c r="F2192" s="10" t="str">
        <f t="shared" si="136"/>
        <v>insert into ins_premium_det (premium_rcv_code,assorted_code, rec_amount,premium_rcv_detail_code,remaining_amt, payrec, mode_code,coinsurance_code,class_cd,it_remarks) values</v>
      </c>
      <c r="G2192" s="11" t="str">
        <f t="shared" si="138"/>
        <v>('28Nov240101','060000000326','50',(select max(to_number(i.premium_rcv_detail_code))+1
from ins_premium_det i),'50','50','02', '11000003','00','Request by Mr. Omair Ali 29-Nov-2024');</v>
      </c>
      <c r="H2192" s="12" t="str">
        <f t="shared" si="139"/>
        <v>insert into ins_premium_det (premium_rcv_code,assorted_code, rec_amount,premium_rcv_detail_code,remaining_amt, payrec, mode_code,coinsurance_code,class_cd,it_remarks) values('28Nov240101','060000000326','50',(select max(to_number(i.premium_rcv_detail_code))+1
from ins_premium_det i),'50','50','02', '11000003','00','Request by Mr. Omair Ali 29-Nov-2024');</v>
      </c>
    </row>
    <row r="2193" spans="1:8" ht="105" x14ac:dyDescent="0.25">
      <c r="A2193" t="s">
        <v>2193</v>
      </c>
      <c r="B2193" s="8" t="str">
        <f>VLOOKUP(A2193,assortedcode!B:C,2,0)</f>
        <v>070000158752</v>
      </c>
      <c r="C2193" s="1">
        <v>50</v>
      </c>
      <c r="D2193" s="9">
        <f t="shared" si="137"/>
        <v>50</v>
      </c>
      <c r="E2193" s="7" t="s">
        <v>8345</v>
      </c>
      <c r="F2193" s="10" t="str">
        <f t="shared" si="136"/>
        <v>insert into ins_premium_det (premium_rcv_code,assorted_code, rec_amount,premium_rcv_detail_code,remaining_amt, payrec, mode_code,coinsurance_code,class_cd,it_remarks) values</v>
      </c>
      <c r="G2193" s="11" t="str">
        <f t="shared" si="138"/>
        <v>('28Nov240101','070000158752','50',(select max(to_number(i.premium_rcv_detail_code))+1
from ins_premium_det i),'50','50','02', '11000003','00','Request by Mr. Omair Ali 29-Nov-2024');</v>
      </c>
      <c r="H2193" s="12" t="str">
        <f t="shared" si="139"/>
        <v>insert into ins_premium_det (premium_rcv_code,assorted_code, rec_amount,premium_rcv_detail_code,remaining_amt, payrec, mode_code,coinsurance_code,class_cd,it_remarks) values('28Nov240101','070000158752','50',(select max(to_number(i.premium_rcv_detail_code))+1
from ins_premium_det i),'50','50','02', '11000003','00','Request by Mr. Omair Ali 29-Nov-2024');</v>
      </c>
    </row>
    <row r="2194" spans="1:8" ht="105" x14ac:dyDescent="0.25">
      <c r="A2194" t="s">
        <v>2194</v>
      </c>
      <c r="B2194" s="8" t="str">
        <f>VLOOKUP(A2194,assortedcode!B:C,2,0)</f>
        <v>070000157080</v>
      </c>
      <c r="C2194" s="1">
        <v>50</v>
      </c>
      <c r="D2194" s="9">
        <f t="shared" si="137"/>
        <v>50</v>
      </c>
      <c r="E2194" s="7" t="s">
        <v>8345</v>
      </c>
      <c r="F2194" s="10" t="str">
        <f t="shared" si="136"/>
        <v>insert into ins_premium_det (premium_rcv_code,assorted_code, rec_amount,premium_rcv_detail_code,remaining_amt, payrec, mode_code,coinsurance_code,class_cd,it_remarks) values</v>
      </c>
      <c r="G2194" s="11" t="str">
        <f t="shared" si="138"/>
        <v>('28Nov240101','070000157080','50',(select max(to_number(i.premium_rcv_detail_code))+1
from ins_premium_det i),'50','50','02', '11000003','00','Request by Mr. Omair Ali 29-Nov-2024');</v>
      </c>
      <c r="H2194" s="12" t="str">
        <f t="shared" si="139"/>
        <v>insert into ins_premium_det (premium_rcv_code,assorted_code, rec_amount,premium_rcv_detail_code,remaining_amt, payrec, mode_code,coinsurance_code,class_cd,it_remarks) values('28Nov240101','070000157080','50',(select max(to_number(i.premium_rcv_detail_code))+1
from ins_premium_det i),'50','50','02', '11000003','00','Request by Mr. Omair Ali 29-Nov-2024');</v>
      </c>
    </row>
    <row r="2195" spans="1:8" ht="105" x14ac:dyDescent="0.25">
      <c r="A2195" t="s">
        <v>2195</v>
      </c>
      <c r="B2195" s="8" t="str">
        <f>VLOOKUP(A2195,assortedcode!B:C,2,0)</f>
        <v>070000160550</v>
      </c>
      <c r="C2195" s="1">
        <v>50</v>
      </c>
      <c r="D2195" s="9">
        <f t="shared" si="137"/>
        <v>50</v>
      </c>
      <c r="E2195" s="7" t="s">
        <v>8345</v>
      </c>
      <c r="F2195" s="10" t="str">
        <f t="shared" si="136"/>
        <v>insert into ins_premium_det (premium_rcv_code,assorted_code, rec_amount,premium_rcv_detail_code,remaining_amt, payrec, mode_code,coinsurance_code,class_cd,it_remarks) values</v>
      </c>
      <c r="G2195" s="11" t="str">
        <f t="shared" si="138"/>
        <v>('28Nov240101','070000160550','50',(select max(to_number(i.premium_rcv_detail_code))+1
from ins_premium_det i),'50','50','02', '11000003','00','Request by Mr. Omair Ali 29-Nov-2024');</v>
      </c>
      <c r="H2195" s="12" t="str">
        <f t="shared" si="139"/>
        <v>insert into ins_premium_det (premium_rcv_code,assorted_code, rec_amount,premium_rcv_detail_code,remaining_amt, payrec, mode_code,coinsurance_code,class_cd,it_remarks) values('28Nov240101','070000160550','50',(select max(to_number(i.premium_rcv_detail_code))+1
from ins_premium_det i),'50','50','02', '11000003','00','Request by Mr. Omair Ali 29-Nov-2024');</v>
      </c>
    </row>
    <row r="2196" spans="1:8" ht="105" x14ac:dyDescent="0.25">
      <c r="A2196" t="s">
        <v>2196</v>
      </c>
      <c r="B2196" s="8" t="str">
        <f>VLOOKUP(A2196,assortedcode!B:C,2,0)</f>
        <v>070000167395</v>
      </c>
      <c r="C2196" s="1">
        <v>51</v>
      </c>
      <c r="D2196" s="9">
        <f t="shared" si="137"/>
        <v>51</v>
      </c>
      <c r="E2196" s="7" t="s">
        <v>8345</v>
      </c>
      <c r="F2196" s="10" t="str">
        <f t="shared" si="136"/>
        <v>insert into ins_premium_det (premium_rcv_code,assorted_code, rec_amount,premium_rcv_detail_code,remaining_amt, payrec, mode_code,coinsurance_code,class_cd,it_remarks) values</v>
      </c>
      <c r="G2196" s="11" t="str">
        <f t="shared" si="138"/>
        <v>('28Nov240101','070000167395','51',(select max(to_number(i.premium_rcv_detail_code))+1
from ins_premium_det i),'51','51','02', '11000003','00','Request by Mr. Omair Ali 29-Nov-2024');</v>
      </c>
      <c r="H2196" s="12" t="str">
        <f t="shared" si="139"/>
        <v>insert into ins_premium_det (premium_rcv_code,assorted_code, rec_amount,premium_rcv_detail_code,remaining_amt, payrec, mode_code,coinsurance_code,class_cd,it_remarks) values('28Nov240101','070000167395','51',(select max(to_number(i.premium_rcv_detail_code))+1
from ins_premium_det i),'51','51','02', '11000003','00','Request by Mr. Omair Ali 29-Nov-2024');</v>
      </c>
    </row>
    <row r="2197" spans="1:8" ht="105" x14ac:dyDescent="0.25">
      <c r="A2197" t="s">
        <v>2197</v>
      </c>
      <c r="B2197" s="8" t="str">
        <f>VLOOKUP(A2197,assortedcode!B:C,2,0)</f>
        <v>040000161411</v>
      </c>
      <c r="C2197" s="1">
        <v>51</v>
      </c>
      <c r="D2197" s="9">
        <f t="shared" si="137"/>
        <v>51</v>
      </c>
      <c r="E2197" s="7" t="s">
        <v>8345</v>
      </c>
      <c r="F2197" s="10" t="str">
        <f t="shared" si="136"/>
        <v>insert into ins_premium_det (premium_rcv_code,assorted_code, rec_amount,premium_rcv_detail_code,remaining_amt, payrec, mode_code,coinsurance_code,class_cd,it_remarks) values</v>
      </c>
      <c r="G2197" s="11" t="str">
        <f t="shared" si="138"/>
        <v>('28Nov240101','040000161411','51',(select max(to_number(i.premium_rcv_detail_code))+1
from ins_premium_det i),'51','51','02', '11000003','00','Request by Mr. Omair Ali 29-Nov-2024');</v>
      </c>
      <c r="H2197" s="12" t="str">
        <f t="shared" si="139"/>
        <v>insert into ins_premium_det (premium_rcv_code,assorted_code, rec_amount,premium_rcv_detail_code,remaining_amt, payrec, mode_code,coinsurance_code,class_cd,it_remarks) values('28Nov240101','040000161411','51',(select max(to_number(i.premium_rcv_detail_code))+1
from ins_premium_det i),'51','51','02', '11000003','00','Request by Mr. Omair Ali 29-Nov-2024');</v>
      </c>
    </row>
    <row r="2198" spans="1:8" ht="105" x14ac:dyDescent="0.25">
      <c r="A2198" t="s">
        <v>2198</v>
      </c>
      <c r="B2198" s="8" t="str">
        <f>VLOOKUP(A2198,assortedcode!B:C,2,0)</f>
        <v>070000157081</v>
      </c>
      <c r="C2198" s="1">
        <v>54</v>
      </c>
      <c r="D2198" s="9">
        <f t="shared" si="137"/>
        <v>54</v>
      </c>
      <c r="E2198" s="7" t="s">
        <v>8345</v>
      </c>
      <c r="F2198" s="10" t="str">
        <f t="shared" si="136"/>
        <v>insert into ins_premium_det (premium_rcv_code,assorted_code, rec_amount,premium_rcv_detail_code,remaining_amt, payrec, mode_code,coinsurance_code,class_cd,it_remarks) values</v>
      </c>
      <c r="G2198" s="11" t="str">
        <f t="shared" si="138"/>
        <v>('28Nov240101','070000157081','54',(select max(to_number(i.premium_rcv_detail_code))+1
from ins_premium_det i),'54','54','02', '11000003','00','Request by Mr. Omair Ali 29-Nov-2024');</v>
      </c>
      <c r="H2198" s="12" t="str">
        <f t="shared" si="139"/>
        <v>insert into ins_premium_det (premium_rcv_code,assorted_code, rec_amount,premium_rcv_detail_code,remaining_amt, payrec, mode_code,coinsurance_code,class_cd,it_remarks) values('28Nov240101','070000157081','54',(select max(to_number(i.premium_rcv_detail_code))+1
from ins_premium_det i),'54','54','02', '11000003','00','Request by Mr. Omair Ali 29-Nov-2024');</v>
      </c>
    </row>
    <row r="2199" spans="1:8" ht="105" x14ac:dyDescent="0.25">
      <c r="A2199" t="s">
        <v>2199</v>
      </c>
      <c r="B2199" s="8" t="str">
        <f>VLOOKUP(A2199,assortedcode!B:C,2,0)</f>
        <v>070000167347</v>
      </c>
      <c r="C2199" s="1">
        <v>55</v>
      </c>
      <c r="D2199" s="9">
        <f t="shared" si="137"/>
        <v>55</v>
      </c>
      <c r="E2199" s="7" t="s">
        <v>8345</v>
      </c>
      <c r="F2199" s="10" t="str">
        <f t="shared" si="136"/>
        <v>insert into ins_premium_det (premium_rcv_code,assorted_code, rec_amount,premium_rcv_detail_code,remaining_amt, payrec, mode_code,coinsurance_code,class_cd,it_remarks) values</v>
      </c>
      <c r="G2199" s="11" t="str">
        <f t="shared" si="138"/>
        <v>('28Nov240101','070000167347','55',(select max(to_number(i.premium_rcv_detail_code))+1
from ins_premium_det i),'55','55','02', '11000003','00','Request by Mr. Omair Ali 29-Nov-2024');</v>
      </c>
      <c r="H2199" s="12" t="str">
        <f t="shared" si="139"/>
        <v>insert into ins_premium_det (premium_rcv_code,assorted_code, rec_amount,premium_rcv_detail_code,remaining_amt, payrec, mode_code,coinsurance_code,class_cd,it_remarks) values('28Nov240101','070000167347','55',(select max(to_number(i.premium_rcv_detail_code))+1
from ins_premium_det i),'55','55','02', '11000003','00','Request by Mr. Omair Ali 29-Nov-2024');</v>
      </c>
    </row>
    <row r="2200" spans="1:8" ht="105" x14ac:dyDescent="0.25">
      <c r="A2200" t="s">
        <v>2200</v>
      </c>
      <c r="B2200" s="8" t="str">
        <f>VLOOKUP(A2200,assortedcode!B:C,2,0)</f>
        <v>040000181592</v>
      </c>
      <c r="C2200" s="1">
        <v>57</v>
      </c>
      <c r="D2200" s="9">
        <f t="shared" si="137"/>
        <v>57</v>
      </c>
      <c r="E2200" s="7" t="s">
        <v>8345</v>
      </c>
      <c r="F2200" s="10" t="str">
        <f t="shared" si="136"/>
        <v>insert into ins_premium_det (premium_rcv_code,assorted_code, rec_amount,premium_rcv_detail_code,remaining_amt, payrec, mode_code,coinsurance_code,class_cd,it_remarks) values</v>
      </c>
      <c r="G2200" s="11" t="str">
        <f t="shared" si="138"/>
        <v>('28Nov240101','040000181592','57',(select max(to_number(i.premium_rcv_detail_code))+1
from ins_premium_det i),'57','57','02', '11000003','00','Request by Mr. Omair Ali 29-Nov-2024');</v>
      </c>
      <c r="H2200" s="12" t="str">
        <f t="shared" si="139"/>
        <v>insert into ins_premium_det (premium_rcv_code,assorted_code, rec_amount,premium_rcv_detail_code,remaining_amt, payrec, mode_code,coinsurance_code,class_cd,it_remarks) values('28Nov240101','040000181592','57',(select max(to_number(i.premium_rcv_detail_code))+1
from ins_premium_det i),'57','57','02', '11000003','00','Request by Mr. Omair Ali 29-Nov-2024');</v>
      </c>
    </row>
    <row r="2201" spans="1:8" ht="105" x14ac:dyDescent="0.25">
      <c r="A2201" t="s">
        <v>2201</v>
      </c>
      <c r="B2201" s="8" t="str">
        <f>VLOOKUP(A2201,assortedcode!B:C,2,0)</f>
        <v>070000146978</v>
      </c>
      <c r="C2201" s="1">
        <v>58</v>
      </c>
      <c r="D2201" s="9">
        <f t="shared" si="137"/>
        <v>58</v>
      </c>
      <c r="E2201" s="7" t="s">
        <v>8345</v>
      </c>
      <c r="F2201" s="10" t="str">
        <f t="shared" si="136"/>
        <v>insert into ins_premium_det (premium_rcv_code,assorted_code, rec_amount,premium_rcv_detail_code,remaining_amt, payrec, mode_code,coinsurance_code,class_cd,it_remarks) values</v>
      </c>
      <c r="G2201" s="11" t="str">
        <f t="shared" si="138"/>
        <v>('28Nov240101','070000146978','58',(select max(to_number(i.premium_rcv_detail_code))+1
from ins_premium_det i),'58','58','02', '11000003','00','Request by Mr. Omair Ali 29-Nov-2024');</v>
      </c>
      <c r="H2201" s="12" t="str">
        <f t="shared" si="139"/>
        <v>insert into ins_premium_det (premium_rcv_code,assorted_code, rec_amount,premium_rcv_detail_code,remaining_amt, payrec, mode_code,coinsurance_code,class_cd,it_remarks) values('28Nov240101','070000146978','58',(select max(to_number(i.premium_rcv_detail_code))+1
from ins_premium_det i),'58','58','02', '11000003','00','Request by Mr. Omair Ali 29-Nov-2024');</v>
      </c>
    </row>
    <row r="2202" spans="1:8" ht="105" x14ac:dyDescent="0.25">
      <c r="A2202" t="s">
        <v>2202</v>
      </c>
      <c r="B2202" s="8" t="str">
        <f>VLOOKUP(A2202,assortedcode!B:C,2,0)</f>
        <v>070000146693</v>
      </c>
      <c r="C2202" s="1">
        <v>59</v>
      </c>
      <c r="D2202" s="9">
        <f t="shared" si="137"/>
        <v>59</v>
      </c>
      <c r="E2202" s="7" t="s">
        <v>8345</v>
      </c>
      <c r="F2202" s="10" t="str">
        <f t="shared" si="136"/>
        <v>insert into ins_premium_det (premium_rcv_code,assorted_code, rec_amount,premium_rcv_detail_code,remaining_amt, payrec, mode_code,coinsurance_code,class_cd,it_remarks) values</v>
      </c>
      <c r="G2202" s="11" t="str">
        <f t="shared" si="138"/>
        <v>('28Nov240101','070000146693','59',(select max(to_number(i.premium_rcv_detail_code))+1
from ins_premium_det i),'59','59','02', '11000003','00','Request by Mr. Omair Ali 29-Nov-2024');</v>
      </c>
      <c r="H2202" s="12" t="str">
        <f t="shared" si="139"/>
        <v>insert into ins_premium_det (premium_rcv_code,assorted_code, rec_amount,premium_rcv_detail_code,remaining_amt, payrec, mode_code,coinsurance_code,class_cd,it_remarks) values('28Nov240101','070000146693','59',(select max(to_number(i.premium_rcv_detail_code))+1
from ins_premium_det i),'59','59','02', '11000003','00','Request by Mr. Omair Ali 29-Nov-2024');</v>
      </c>
    </row>
    <row r="2203" spans="1:8" ht="105" x14ac:dyDescent="0.25">
      <c r="A2203" t="s">
        <v>2203</v>
      </c>
      <c r="B2203" s="8" t="str">
        <f>VLOOKUP(A2203,assortedcode!B:C,2,0)</f>
        <v>070000134743</v>
      </c>
      <c r="C2203" s="1">
        <v>59</v>
      </c>
      <c r="D2203" s="9">
        <f t="shared" si="137"/>
        <v>59</v>
      </c>
      <c r="E2203" s="7" t="s">
        <v>8345</v>
      </c>
      <c r="F2203" s="10" t="str">
        <f t="shared" si="136"/>
        <v>insert into ins_premium_det (premium_rcv_code,assorted_code, rec_amount,premium_rcv_detail_code,remaining_amt, payrec, mode_code,coinsurance_code,class_cd,it_remarks) values</v>
      </c>
      <c r="G2203" s="11" t="str">
        <f t="shared" si="138"/>
        <v>('28Nov240101','070000134743','59',(select max(to_number(i.premium_rcv_detail_code))+1
from ins_premium_det i),'59','59','02', '11000003','00','Request by Mr. Omair Ali 29-Nov-2024');</v>
      </c>
      <c r="H2203" s="12" t="str">
        <f t="shared" si="139"/>
        <v>insert into ins_premium_det (premium_rcv_code,assorted_code, rec_amount,premium_rcv_detail_code,remaining_amt, payrec, mode_code,coinsurance_code,class_cd,it_remarks) values('28Nov240101','070000134743','59',(select max(to_number(i.premium_rcv_detail_code))+1
from ins_premium_det i),'59','59','02', '11000003','00','Request by Mr. Omair Ali 29-Nov-2024');</v>
      </c>
    </row>
    <row r="2204" spans="1:8" ht="105" x14ac:dyDescent="0.25">
      <c r="A2204" t="s">
        <v>2204</v>
      </c>
      <c r="B2204" s="8" t="str">
        <f>VLOOKUP(A2204,assortedcode!B:C,2,0)</f>
        <v>070000146888</v>
      </c>
      <c r="C2204" s="1">
        <v>59</v>
      </c>
      <c r="D2204" s="9">
        <f t="shared" si="137"/>
        <v>59</v>
      </c>
      <c r="E2204" s="7" t="s">
        <v>8345</v>
      </c>
      <c r="F2204" s="10" t="str">
        <f t="shared" si="136"/>
        <v>insert into ins_premium_det (premium_rcv_code,assorted_code, rec_amount,premium_rcv_detail_code,remaining_amt, payrec, mode_code,coinsurance_code,class_cd,it_remarks) values</v>
      </c>
      <c r="G2204" s="11" t="str">
        <f t="shared" si="138"/>
        <v>('28Nov240101','070000146888','59',(select max(to_number(i.premium_rcv_detail_code))+1
from ins_premium_det i),'59','59','02', '11000003','00','Request by Mr. Omair Ali 29-Nov-2024');</v>
      </c>
      <c r="H2204" s="12" t="str">
        <f t="shared" si="139"/>
        <v>insert into ins_premium_det (premium_rcv_code,assorted_code, rec_amount,premium_rcv_detail_code,remaining_amt, payrec, mode_code,coinsurance_code,class_cd,it_remarks) values('28Nov240101','070000146888','59',(select max(to_number(i.premium_rcv_detail_code))+1
from ins_premium_det i),'59','59','02', '11000003','00','Request by Mr. Omair Ali 29-Nov-2024');</v>
      </c>
    </row>
    <row r="2205" spans="1:8" ht="105" x14ac:dyDescent="0.25">
      <c r="A2205" t="s">
        <v>2205</v>
      </c>
      <c r="B2205" s="8" t="str">
        <f>VLOOKUP(A2205,assortedcode!B:C,2,0)</f>
        <v>070000140807</v>
      </c>
      <c r="C2205" s="1">
        <v>59</v>
      </c>
      <c r="D2205" s="9">
        <f t="shared" si="137"/>
        <v>59</v>
      </c>
      <c r="E2205" s="7" t="s">
        <v>8345</v>
      </c>
      <c r="F2205" s="10" t="str">
        <f t="shared" si="136"/>
        <v>insert into ins_premium_det (premium_rcv_code,assorted_code, rec_amount,premium_rcv_detail_code,remaining_amt, payrec, mode_code,coinsurance_code,class_cd,it_remarks) values</v>
      </c>
      <c r="G2205" s="11" t="str">
        <f t="shared" si="138"/>
        <v>('28Nov240101','070000140807','59',(select max(to_number(i.premium_rcv_detail_code))+1
from ins_premium_det i),'59','59','02', '11000003','00','Request by Mr. Omair Ali 29-Nov-2024');</v>
      </c>
      <c r="H2205" s="12" t="str">
        <f t="shared" si="139"/>
        <v>insert into ins_premium_det (premium_rcv_code,assorted_code, rec_amount,premium_rcv_detail_code,remaining_amt, payrec, mode_code,coinsurance_code,class_cd,it_remarks) values('28Nov240101','070000140807','59',(select max(to_number(i.premium_rcv_detail_code))+1
from ins_premium_det i),'59','59','02', '11000003','00','Request by Mr. Omair Ali 29-Nov-2024');</v>
      </c>
    </row>
    <row r="2206" spans="1:8" ht="105" x14ac:dyDescent="0.25">
      <c r="A2206" t="s">
        <v>2206</v>
      </c>
      <c r="B2206" s="8" t="str">
        <f>VLOOKUP(A2206,assortedcode!B:C,2,0)</f>
        <v>070000139079</v>
      </c>
      <c r="C2206" s="1">
        <v>59</v>
      </c>
      <c r="D2206" s="9">
        <f t="shared" si="137"/>
        <v>59</v>
      </c>
      <c r="E2206" s="7" t="s">
        <v>8345</v>
      </c>
      <c r="F2206" s="10" t="str">
        <f t="shared" si="136"/>
        <v>insert into ins_premium_det (premium_rcv_code,assorted_code, rec_amount,premium_rcv_detail_code,remaining_amt, payrec, mode_code,coinsurance_code,class_cd,it_remarks) values</v>
      </c>
      <c r="G2206" s="11" t="str">
        <f t="shared" si="138"/>
        <v>('28Nov240101','070000139079','59',(select max(to_number(i.premium_rcv_detail_code))+1
from ins_premium_det i),'59','59','02', '11000003','00','Request by Mr. Omair Ali 29-Nov-2024');</v>
      </c>
      <c r="H2206" s="12" t="str">
        <f t="shared" si="139"/>
        <v>insert into ins_premium_det (premium_rcv_code,assorted_code, rec_amount,premium_rcv_detail_code,remaining_amt, payrec, mode_code,coinsurance_code,class_cd,it_remarks) values('28Nov240101','070000139079','59',(select max(to_number(i.premium_rcv_detail_code))+1
from ins_premium_det i),'59','59','02', '11000003','00','Request by Mr. Omair Ali 29-Nov-2024');</v>
      </c>
    </row>
    <row r="2207" spans="1:8" ht="105" x14ac:dyDescent="0.25">
      <c r="A2207" t="s">
        <v>2207</v>
      </c>
      <c r="B2207" s="8" t="str">
        <f>VLOOKUP(A2207,assortedcode!B:C,2,0)</f>
        <v>070000140819</v>
      </c>
      <c r="C2207" s="1">
        <v>59</v>
      </c>
      <c r="D2207" s="9">
        <f t="shared" si="137"/>
        <v>59</v>
      </c>
      <c r="E2207" s="7" t="s">
        <v>8345</v>
      </c>
      <c r="F2207" s="10" t="str">
        <f t="shared" si="136"/>
        <v>insert into ins_premium_det (premium_rcv_code,assorted_code, rec_amount,premium_rcv_detail_code,remaining_amt, payrec, mode_code,coinsurance_code,class_cd,it_remarks) values</v>
      </c>
      <c r="G2207" s="11" t="str">
        <f t="shared" si="138"/>
        <v>('28Nov240101','070000140819','59',(select max(to_number(i.premium_rcv_detail_code))+1
from ins_premium_det i),'59','59','02', '11000003','00','Request by Mr. Omair Ali 29-Nov-2024');</v>
      </c>
      <c r="H2207" s="12" t="str">
        <f t="shared" si="139"/>
        <v>insert into ins_premium_det (premium_rcv_code,assorted_code, rec_amount,premium_rcv_detail_code,remaining_amt, payrec, mode_code,coinsurance_code,class_cd,it_remarks) values('28Nov240101','070000140819','59',(select max(to_number(i.premium_rcv_detail_code))+1
from ins_premium_det i),'59','59','02', '11000003','00','Request by Mr. Omair Ali 29-Nov-2024');</v>
      </c>
    </row>
    <row r="2208" spans="1:8" ht="105" x14ac:dyDescent="0.25">
      <c r="A2208" t="s">
        <v>2208</v>
      </c>
      <c r="B2208" s="8" t="str">
        <f>VLOOKUP(A2208,assortedcode!B:C,2,0)</f>
        <v>070000139093</v>
      </c>
      <c r="C2208" s="1">
        <v>59</v>
      </c>
      <c r="D2208" s="9">
        <f t="shared" si="137"/>
        <v>59</v>
      </c>
      <c r="E2208" s="7" t="s">
        <v>8345</v>
      </c>
      <c r="F2208" s="10" t="str">
        <f t="shared" si="136"/>
        <v>insert into ins_premium_det (premium_rcv_code,assorted_code, rec_amount,premium_rcv_detail_code,remaining_amt, payrec, mode_code,coinsurance_code,class_cd,it_remarks) values</v>
      </c>
      <c r="G2208" s="11" t="str">
        <f t="shared" si="138"/>
        <v>('28Nov240101','070000139093','59',(select max(to_number(i.premium_rcv_detail_code))+1
from ins_premium_det i),'59','59','02', '11000003','00','Request by Mr. Omair Ali 29-Nov-2024');</v>
      </c>
      <c r="H2208" s="12" t="str">
        <f t="shared" si="139"/>
        <v>insert into ins_premium_det (premium_rcv_code,assorted_code, rec_amount,premium_rcv_detail_code,remaining_amt, payrec, mode_code,coinsurance_code,class_cd,it_remarks) values('28Nov240101','070000139093','59',(select max(to_number(i.premium_rcv_detail_code))+1
from ins_premium_det i),'59','59','02', '11000003','00','Request by Mr. Omair Ali 29-Nov-2024');</v>
      </c>
    </row>
    <row r="2209" spans="1:8" ht="105" x14ac:dyDescent="0.25">
      <c r="A2209" t="s">
        <v>2209</v>
      </c>
      <c r="B2209" s="8" t="str">
        <f>VLOOKUP(A2209,assortedcode!B:C,2,0)</f>
        <v>070000140851</v>
      </c>
      <c r="C2209" s="1">
        <v>59</v>
      </c>
      <c r="D2209" s="9">
        <f t="shared" si="137"/>
        <v>59</v>
      </c>
      <c r="E2209" s="7" t="s">
        <v>8345</v>
      </c>
      <c r="F2209" s="10" t="str">
        <f t="shared" si="136"/>
        <v>insert into ins_premium_det (premium_rcv_code,assorted_code, rec_amount,premium_rcv_detail_code,remaining_amt, payrec, mode_code,coinsurance_code,class_cd,it_remarks) values</v>
      </c>
      <c r="G2209" s="11" t="str">
        <f t="shared" si="138"/>
        <v>('28Nov240101','070000140851','59',(select max(to_number(i.premium_rcv_detail_code))+1
from ins_premium_det i),'59','59','02', '11000003','00','Request by Mr. Omair Ali 29-Nov-2024');</v>
      </c>
      <c r="H2209" s="12" t="str">
        <f t="shared" si="139"/>
        <v>insert into ins_premium_det (premium_rcv_code,assorted_code, rec_amount,premium_rcv_detail_code,remaining_amt, payrec, mode_code,coinsurance_code,class_cd,it_remarks) values('28Nov240101','070000140851','59',(select max(to_number(i.premium_rcv_detail_code))+1
from ins_premium_det i),'59','59','02', '11000003','00','Request by Mr. Omair Ali 29-Nov-2024');</v>
      </c>
    </row>
    <row r="2210" spans="1:8" ht="105" x14ac:dyDescent="0.25">
      <c r="A2210" t="s">
        <v>2210</v>
      </c>
      <c r="B2210" s="8" t="str">
        <f>VLOOKUP(A2210,assortedcode!B:C,2,0)</f>
        <v>070000140715</v>
      </c>
      <c r="C2210" s="1">
        <v>59</v>
      </c>
      <c r="D2210" s="9">
        <f t="shared" si="137"/>
        <v>59</v>
      </c>
      <c r="E2210" s="7" t="s">
        <v>8345</v>
      </c>
      <c r="F2210" s="10" t="str">
        <f t="shared" si="136"/>
        <v>insert into ins_premium_det (premium_rcv_code,assorted_code, rec_amount,premium_rcv_detail_code,remaining_amt, payrec, mode_code,coinsurance_code,class_cd,it_remarks) values</v>
      </c>
      <c r="G2210" s="11" t="str">
        <f t="shared" si="138"/>
        <v>('28Nov240101','070000140715','59',(select max(to_number(i.premium_rcv_detail_code))+1
from ins_premium_det i),'59','59','02', '11000003','00','Request by Mr. Omair Ali 29-Nov-2024');</v>
      </c>
      <c r="H2210" s="12" t="str">
        <f t="shared" si="139"/>
        <v>insert into ins_premium_det (premium_rcv_code,assorted_code, rec_amount,premium_rcv_detail_code,remaining_amt, payrec, mode_code,coinsurance_code,class_cd,it_remarks) values('28Nov240101','070000140715','59',(select max(to_number(i.premium_rcv_detail_code))+1
from ins_premium_det i),'59','59','02', '11000003','00','Request by Mr. Omair Ali 29-Nov-2024');</v>
      </c>
    </row>
    <row r="2211" spans="1:8" ht="105" x14ac:dyDescent="0.25">
      <c r="A2211" t="s">
        <v>2211</v>
      </c>
      <c r="B2211" s="8" t="str">
        <f>VLOOKUP(A2211,assortedcode!B:C,2,0)</f>
        <v>070000140886</v>
      </c>
      <c r="C2211" s="1">
        <v>59</v>
      </c>
      <c r="D2211" s="9">
        <f t="shared" si="137"/>
        <v>59</v>
      </c>
      <c r="E2211" s="7" t="s">
        <v>8345</v>
      </c>
      <c r="F2211" s="10" t="str">
        <f t="shared" si="136"/>
        <v>insert into ins_premium_det (premium_rcv_code,assorted_code, rec_amount,premium_rcv_detail_code,remaining_amt, payrec, mode_code,coinsurance_code,class_cd,it_remarks) values</v>
      </c>
      <c r="G2211" s="11" t="str">
        <f t="shared" si="138"/>
        <v>('28Nov240101','070000140886','59',(select max(to_number(i.premium_rcv_detail_code))+1
from ins_premium_det i),'59','59','02', '11000003','00','Request by Mr. Omair Ali 29-Nov-2024');</v>
      </c>
      <c r="H2211" s="12" t="str">
        <f t="shared" si="139"/>
        <v>insert into ins_premium_det (premium_rcv_code,assorted_code, rec_amount,premium_rcv_detail_code,remaining_amt, payrec, mode_code,coinsurance_code,class_cd,it_remarks) values('28Nov240101','070000140886','59',(select max(to_number(i.premium_rcv_detail_code))+1
from ins_premium_det i),'59','59','02', '11000003','00','Request by Mr. Omair Ali 29-Nov-2024');</v>
      </c>
    </row>
    <row r="2212" spans="1:8" ht="105" x14ac:dyDescent="0.25">
      <c r="A2212" t="s">
        <v>2212</v>
      </c>
      <c r="B2212" s="8" t="str">
        <f>VLOOKUP(A2212,assortedcode!B:C,2,0)</f>
        <v>070000140771</v>
      </c>
      <c r="C2212" s="1">
        <v>59</v>
      </c>
      <c r="D2212" s="9">
        <f t="shared" si="137"/>
        <v>59</v>
      </c>
      <c r="E2212" s="7" t="s">
        <v>8345</v>
      </c>
      <c r="F2212" s="10" t="str">
        <f t="shared" si="136"/>
        <v>insert into ins_premium_det (premium_rcv_code,assorted_code, rec_amount,premium_rcv_detail_code,remaining_amt, payrec, mode_code,coinsurance_code,class_cd,it_remarks) values</v>
      </c>
      <c r="G2212" s="11" t="str">
        <f t="shared" si="138"/>
        <v>('28Nov240101','070000140771','59',(select max(to_number(i.premium_rcv_detail_code))+1
from ins_premium_det i),'59','59','02', '11000003','00','Request by Mr. Omair Ali 29-Nov-2024');</v>
      </c>
      <c r="H2212" s="12" t="str">
        <f t="shared" si="139"/>
        <v>insert into ins_premium_det (premium_rcv_code,assorted_code, rec_amount,premium_rcv_detail_code,remaining_amt, payrec, mode_code,coinsurance_code,class_cd,it_remarks) values('28Nov240101','070000140771','59',(select max(to_number(i.premium_rcv_detail_code))+1
from ins_premium_det i),'59','59','02', '11000003','00','Request by Mr. Omair Ali 29-Nov-2024');</v>
      </c>
    </row>
    <row r="2213" spans="1:8" ht="105" x14ac:dyDescent="0.25">
      <c r="A2213" t="s">
        <v>2213</v>
      </c>
      <c r="B2213" s="8" t="str">
        <f>VLOOKUP(A2213,assortedcode!B:C,2,0)</f>
        <v>070000140888</v>
      </c>
      <c r="C2213" s="1">
        <v>59</v>
      </c>
      <c r="D2213" s="9">
        <f t="shared" si="137"/>
        <v>59</v>
      </c>
      <c r="E2213" s="7" t="s">
        <v>8345</v>
      </c>
      <c r="F2213" s="10" t="str">
        <f t="shared" si="136"/>
        <v>insert into ins_premium_det (premium_rcv_code,assorted_code, rec_amount,premium_rcv_detail_code,remaining_amt, payrec, mode_code,coinsurance_code,class_cd,it_remarks) values</v>
      </c>
      <c r="G2213" s="11" t="str">
        <f t="shared" si="138"/>
        <v>('28Nov240101','070000140888','59',(select max(to_number(i.premium_rcv_detail_code))+1
from ins_premium_det i),'59','59','02', '11000003','00','Request by Mr. Omair Ali 29-Nov-2024');</v>
      </c>
      <c r="H2213" s="12" t="str">
        <f t="shared" si="139"/>
        <v>insert into ins_premium_det (premium_rcv_code,assorted_code, rec_amount,premium_rcv_detail_code,remaining_amt, payrec, mode_code,coinsurance_code,class_cd,it_remarks) values('28Nov240101','070000140888','59',(select max(to_number(i.premium_rcv_detail_code))+1
from ins_premium_det i),'59','59','02', '11000003','00','Request by Mr. Omair Ali 29-Nov-2024');</v>
      </c>
    </row>
    <row r="2214" spans="1:8" ht="105" x14ac:dyDescent="0.25">
      <c r="A2214" t="s">
        <v>2214</v>
      </c>
      <c r="B2214" s="8" t="str">
        <f>VLOOKUP(A2214,assortedcode!B:C,2,0)</f>
        <v>070000140779</v>
      </c>
      <c r="C2214" s="1">
        <v>59</v>
      </c>
      <c r="D2214" s="9">
        <f t="shared" si="137"/>
        <v>59</v>
      </c>
      <c r="E2214" s="7" t="s">
        <v>8345</v>
      </c>
      <c r="F2214" s="10" t="str">
        <f t="shared" si="136"/>
        <v>insert into ins_premium_det (premium_rcv_code,assorted_code, rec_amount,premium_rcv_detail_code,remaining_amt, payrec, mode_code,coinsurance_code,class_cd,it_remarks) values</v>
      </c>
      <c r="G2214" s="11" t="str">
        <f t="shared" si="138"/>
        <v>('28Nov240101','070000140779','59',(select max(to_number(i.premium_rcv_detail_code))+1
from ins_premium_det i),'59','59','02', '11000003','00','Request by Mr. Omair Ali 29-Nov-2024');</v>
      </c>
      <c r="H2214" s="12" t="str">
        <f t="shared" si="139"/>
        <v>insert into ins_premium_det (premium_rcv_code,assorted_code, rec_amount,premium_rcv_detail_code,remaining_amt, payrec, mode_code,coinsurance_code,class_cd,it_remarks) values('28Nov240101','070000140779','59',(select max(to_number(i.premium_rcv_detail_code))+1
from ins_premium_det i),'59','59','02', '11000003','00','Request by Mr. Omair Ali 29-Nov-2024');</v>
      </c>
    </row>
    <row r="2215" spans="1:8" ht="105" x14ac:dyDescent="0.25">
      <c r="A2215" t="s">
        <v>2215</v>
      </c>
      <c r="B2215" s="8" t="str">
        <f>VLOOKUP(A2215,assortedcode!B:C,2,0)</f>
        <v>070000140912</v>
      </c>
      <c r="C2215" s="1">
        <v>59</v>
      </c>
      <c r="D2215" s="9">
        <f t="shared" si="137"/>
        <v>59</v>
      </c>
      <c r="E2215" s="7" t="s">
        <v>8345</v>
      </c>
      <c r="F2215" s="10" t="str">
        <f t="shared" si="136"/>
        <v>insert into ins_premium_det (premium_rcv_code,assorted_code, rec_amount,premium_rcv_detail_code,remaining_amt, payrec, mode_code,coinsurance_code,class_cd,it_remarks) values</v>
      </c>
      <c r="G2215" s="11" t="str">
        <f t="shared" si="138"/>
        <v>('28Nov240101','070000140912','59',(select max(to_number(i.premium_rcv_detail_code))+1
from ins_premium_det i),'59','59','02', '11000003','00','Request by Mr. Omair Ali 29-Nov-2024');</v>
      </c>
      <c r="H2215" s="12" t="str">
        <f t="shared" si="139"/>
        <v>insert into ins_premium_det (premium_rcv_code,assorted_code, rec_amount,premium_rcv_detail_code,remaining_amt, payrec, mode_code,coinsurance_code,class_cd,it_remarks) values('28Nov240101','070000140912','59',(select max(to_number(i.premium_rcv_detail_code))+1
from ins_premium_det i),'59','59','02', '11000003','00','Request by Mr. Omair Ali 29-Nov-2024');</v>
      </c>
    </row>
    <row r="2216" spans="1:8" ht="105" x14ac:dyDescent="0.25">
      <c r="A2216" t="s">
        <v>2216</v>
      </c>
      <c r="B2216" s="8" t="str">
        <f>VLOOKUP(A2216,assortedcode!B:C,2,0)</f>
        <v>070000140781</v>
      </c>
      <c r="C2216" s="1">
        <v>59</v>
      </c>
      <c r="D2216" s="9">
        <f t="shared" si="137"/>
        <v>59</v>
      </c>
      <c r="E2216" s="7" t="s">
        <v>8345</v>
      </c>
      <c r="F2216" s="10" t="str">
        <f t="shared" si="136"/>
        <v>insert into ins_premium_det (premium_rcv_code,assorted_code, rec_amount,premium_rcv_detail_code,remaining_amt, payrec, mode_code,coinsurance_code,class_cd,it_remarks) values</v>
      </c>
      <c r="G2216" s="11" t="str">
        <f t="shared" si="138"/>
        <v>('28Nov240101','070000140781','59',(select max(to_number(i.premium_rcv_detail_code))+1
from ins_premium_det i),'59','59','02', '11000003','00','Request by Mr. Omair Ali 29-Nov-2024');</v>
      </c>
      <c r="H2216" s="12" t="str">
        <f t="shared" si="139"/>
        <v>insert into ins_premium_det (premium_rcv_code,assorted_code, rec_amount,premium_rcv_detail_code,remaining_amt, payrec, mode_code,coinsurance_code,class_cd,it_remarks) values('28Nov240101','070000140781','59',(select max(to_number(i.premium_rcv_detail_code))+1
from ins_premium_det i),'59','59','02', '11000003','00','Request by Mr. Omair Ali 29-Nov-2024');</v>
      </c>
    </row>
    <row r="2217" spans="1:8" ht="105" x14ac:dyDescent="0.25">
      <c r="A2217" t="s">
        <v>2217</v>
      </c>
      <c r="B2217" s="8" t="str">
        <f>VLOOKUP(A2217,assortedcode!B:C,2,0)</f>
        <v>070000140932</v>
      </c>
      <c r="C2217" s="1">
        <v>59</v>
      </c>
      <c r="D2217" s="9">
        <f t="shared" si="137"/>
        <v>59</v>
      </c>
      <c r="E2217" s="7" t="s">
        <v>8345</v>
      </c>
      <c r="F2217" s="10" t="str">
        <f t="shared" si="136"/>
        <v>insert into ins_premium_det (premium_rcv_code,assorted_code, rec_amount,premium_rcv_detail_code,remaining_amt, payrec, mode_code,coinsurance_code,class_cd,it_remarks) values</v>
      </c>
      <c r="G2217" s="11" t="str">
        <f t="shared" si="138"/>
        <v>('28Nov240101','070000140932','59',(select max(to_number(i.premium_rcv_detail_code))+1
from ins_premium_det i),'59','59','02', '11000003','00','Request by Mr. Omair Ali 29-Nov-2024');</v>
      </c>
      <c r="H2217" s="12" t="str">
        <f t="shared" si="139"/>
        <v>insert into ins_premium_det (premium_rcv_code,assorted_code, rec_amount,premium_rcv_detail_code,remaining_amt, payrec, mode_code,coinsurance_code,class_cd,it_remarks) values('28Nov240101','070000140932','59',(select max(to_number(i.premium_rcv_detail_code))+1
from ins_premium_det i),'59','59','02', '11000003','00','Request by Mr. Omair Ali 29-Nov-2024');</v>
      </c>
    </row>
    <row r="2218" spans="1:8" ht="105" x14ac:dyDescent="0.25">
      <c r="A2218" t="s">
        <v>2218</v>
      </c>
      <c r="B2218" s="8" t="str">
        <f>VLOOKUP(A2218,assortedcode!B:C,2,0)</f>
        <v>070000139091</v>
      </c>
      <c r="C2218" s="1">
        <v>59</v>
      </c>
      <c r="D2218" s="9">
        <f t="shared" si="137"/>
        <v>59</v>
      </c>
      <c r="E2218" s="7" t="s">
        <v>8345</v>
      </c>
      <c r="F2218" s="10" t="str">
        <f t="shared" si="136"/>
        <v>insert into ins_premium_det (premium_rcv_code,assorted_code, rec_amount,premium_rcv_detail_code,remaining_amt, payrec, mode_code,coinsurance_code,class_cd,it_remarks) values</v>
      </c>
      <c r="G2218" s="11" t="str">
        <f t="shared" si="138"/>
        <v>('28Nov240101','070000139091','59',(select max(to_number(i.premium_rcv_detail_code))+1
from ins_premium_det i),'59','59','02', '11000003','00','Request by Mr. Omair Ali 29-Nov-2024');</v>
      </c>
      <c r="H2218" s="12" t="str">
        <f t="shared" si="139"/>
        <v>insert into ins_premium_det (premium_rcv_code,assorted_code, rec_amount,premium_rcv_detail_code,remaining_amt, payrec, mode_code,coinsurance_code,class_cd,it_remarks) values('28Nov240101','070000139091','59',(select max(to_number(i.premium_rcv_detail_code))+1
from ins_premium_det i),'59','59','02', '11000003','00','Request by Mr. Omair Ali 29-Nov-2024');</v>
      </c>
    </row>
    <row r="2219" spans="1:8" ht="105" x14ac:dyDescent="0.25">
      <c r="A2219" t="s">
        <v>2219</v>
      </c>
      <c r="B2219" s="8" t="str">
        <f>VLOOKUP(A2219,assortedcode!B:C,2,0)</f>
        <v>070000140946</v>
      </c>
      <c r="C2219" s="1">
        <v>59</v>
      </c>
      <c r="D2219" s="9">
        <f t="shared" si="137"/>
        <v>59</v>
      </c>
      <c r="E2219" s="7" t="s">
        <v>8345</v>
      </c>
      <c r="F2219" s="10" t="str">
        <f t="shared" si="136"/>
        <v>insert into ins_premium_det (premium_rcv_code,assorted_code, rec_amount,premium_rcv_detail_code,remaining_amt, payrec, mode_code,coinsurance_code,class_cd,it_remarks) values</v>
      </c>
      <c r="G2219" s="11" t="str">
        <f t="shared" si="138"/>
        <v>('28Nov240101','070000140946','59',(select max(to_number(i.premium_rcv_detail_code))+1
from ins_premium_det i),'59','59','02', '11000003','00','Request by Mr. Omair Ali 29-Nov-2024');</v>
      </c>
      <c r="H2219" s="12" t="str">
        <f t="shared" si="139"/>
        <v>insert into ins_premium_det (premium_rcv_code,assorted_code, rec_amount,premium_rcv_detail_code,remaining_amt, payrec, mode_code,coinsurance_code,class_cd,it_remarks) values('28Nov240101','070000140946','59',(select max(to_number(i.premium_rcv_detail_code))+1
from ins_premium_det i),'59','59','02', '11000003','00','Request by Mr. Omair Ali 29-Nov-2024');</v>
      </c>
    </row>
    <row r="2220" spans="1:8" ht="105" x14ac:dyDescent="0.25">
      <c r="A2220" t="s">
        <v>2220</v>
      </c>
      <c r="B2220" s="8" t="str">
        <f>VLOOKUP(A2220,assortedcode!B:C,2,0)</f>
        <v>070000140770</v>
      </c>
      <c r="C2220" s="1">
        <v>59</v>
      </c>
      <c r="D2220" s="9">
        <f t="shared" si="137"/>
        <v>59</v>
      </c>
      <c r="E2220" s="7" t="s">
        <v>8345</v>
      </c>
      <c r="F2220" s="10" t="str">
        <f t="shared" si="136"/>
        <v>insert into ins_premium_det (premium_rcv_code,assorted_code, rec_amount,premium_rcv_detail_code,remaining_amt, payrec, mode_code,coinsurance_code,class_cd,it_remarks) values</v>
      </c>
      <c r="G2220" s="11" t="str">
        <f t="shared" si="138"/>
        <v>('28Nov240101','070000140770','59',(select max(to_number(i.premium_rcv_detail_code))+1
from ins_premium_det i),'59','59','02', '11000003','00','Request by Mr. Omair Ali 29-Nov-2024');</v>
      </c>
      <c r="H2220" s="12" t="str">
        <f t="shared" si="139"/>
        <v>insert into ins_premium_det (premium_rcv_code,assorted_code, rec_amount,premium_rcv_detail_code,remaining_amt, payrec, mode_code,coinsurance_code,class_cd,it_remarks) values('28Nov240101','070000140770','59',(select max(to_number(i.premium_rcv_detail_code))+1
from ins_premium_det i),'59','59','02', '11000003','00','Request by Mr. Omair Ali 29-Nov-2024');</v>
      </c>
    </row>
    <row r="2221" spans="1:8" ht="105" x14ac:dyDescent="0.25">
      <c r="A2221" t="s">
        <v>2221</v>
      </c>
      <c r="B2221" s="8" t="str">
        <f>VLOOKUP(A2221,assortedcode!B:C,2,0)</f>
        <v>070000146594</v>
      </c>
      <c r="C2221" s="1">
        <v>59</v>
      </c>
      <c r="D2221" s="9">
        <f t="shared" si="137"/>
        <v>59</v>
      </c>
      <c r="E2221" s="7" t="s">
        <v>8345</v>
      </c>
      <c r="F2221" s="10" t="str">
        <f t="shared" si="136"/>
        <v>insert into ins_premium_det (premium_rcv_code,assorted_code, rec_amount,premium_rcv_detail_code,remaining_amt, payrec, mode_code,coinsurance_code,class_cd,it_remarks) values</v>
      </c>
      <c r="G2221" s="11" t="str">
        <f t="shared" si="138"/>
        <v>('28Nov240101','070000146594','59',(select max(to_number(i.premium_rcv_detail_code))+1
from ins_premium_det i),'59','59','02', '11000003','00','Request by Mr. Omair Ali 29-Nov-2024');</v>
      </c>
      <c r="H2221" s="12" t="str">
        <f t="shared" si="139"/>
        <v>insert into ins_premium_det (premium_rcv_code,assorted_code, rec_amount,premium_rcv_detail_code,remaining_amt, payrec, mode_code,coinsurance_code,class_cd,it_remarks) values('28Nov240101','070000146594','59',(select max(to_number(i.premium_rcv_detail_code))+1
from ins_premium_det i),'59','59','02', '11000003','00','Request by Mr. Omair Ali 29-Nov-2024');</v>
      </c>
    </row>
    <row r="2222" spans="1:8" ht="105" x14ac:dyDescent="0.25">
      <c r="A2222" t="s">
        <v>2222</v>
      </c>
      <c r="B2222" s="8" t="str">
        <f>VLOOKUP(A2222,assortedcode!B:C,2,0)</f>
        <v>070000140780</v>
      </c>
      <c r="C2222" s="1">
        <v>59</v>
      </c>
      <c r="D2222" s="9">
        <f t="shared" si="137"/>
        <v>59</v>
      </c>
      <c r="E2222" s="7" t="s">
        <v>8345</v>
      </c>
      <c r="F2222" s="10" t="str">
        <f t="shared" si="136"/>
        <v>insert into ins_premium_det (premium_rcv_code,assorted_code, rec_amount,premium_rcv_detail_code,remaining_amt, payrec, mode_code,coinsurance_code,class_cd,it_remarks) values</v>
      </c>
      <c r="G2222" s="11" t="str">
        <f t="shared" si="138"/>
        <v>('28Nov240101','070000140780','59',(select max(to_number(i.premium_rcv_detail_code))+1
from ins_premium_det i),'59','59','02', '11000003','00','Request by Mr. Omair Ali 29-Nov-2024');</v>
      </c>
      <c r="H2222" s="12" t="str">
        <f t="shared" si="139"/>
        <v>insert into ins_premium_det (premium_rcv_code,assorted_code, rec_amount,premium_rcv_detail_code,remaining_amt, payrec, mode_code,coinsurance_code,class_cd,it_remarks) values('28Nov240101','070000140780','59',(select max(to_number(i.premium_rcv_detail_code))+1
from ins_premium_det i),'59','59','02', '11000003','00','Request by Mr. Omair Ali 29-Nov-2024');</v>
      </c>
    </row>
    <row r="2223" spans="1:8" ht="105" x14ac:dyDescent="0.25">
      <c r="A2223" t="s">
        <v>2223</v>
      </c>
      <c r="B2223" s="8" t="str">
        <f>VLOOKUP(A2223,assortedcode!B:C,2,0)</f>
        <v>070000146721</v>
      </c>
      <c r="C2223" s="1">
        <v>59</v>
      </c>
      <c r="D2223" s="9">
        <f t="shared" si="137"/>
        <v>59</v>
      </c>
      <c r="E2223" s="7" t="s">
        <v>8345</v>
      </c>
      <c r="F2223" s="10" t="str">
        <f t="shared" si="136"/>
        <v>insert into ins_premium_det (premium_rcv_code,assorted_code, rec_amount,premium_rcv_detail_code,remaining_amt, payrec, mode_code,coinsurance_code,class_cd,it_remarks) values</v>
      </c>
      <c r="G2223" s="11" t="str">
        <f t="shared" si="138"/>
        <v>('28Nov240101','070000146721','59',(select max(to_number(i.premium_rcv_detail_code))+1
from ins_premium_det i),'59','59','02', '11000003','00','Request by Mr. Omair Ali 29-Nov-2024');</v>
      </c>
      <c r="H2223" s="12" t="str">
        <f t="shared" si="139"/>
        <v>insert into ins_premium_det (premium_rcv_code,assorted_code, rec_amount,premium_rcv_detail_code,remaining_amt, payrec, mode_code,coinsurance_code,class_cd,it_remarks) values('28Nov240101','070000146721','59',(select max(to_number(i.premium_rcv_detail_code))+1
from ins_premium_det i),'59','59','02', '11000003','00','Request by Mr. Omair Ali 29-Nov-2024');</v>
      </c>
    </row>
    <row r="2224" spans="1:8" ht="105" x14ac:dyDescent="0.25">
      <c r="A2224" t="s">
        <v>2224</v>
      </c>
      <c r="B2224" s="8" t="str">
        <f>VLOOKUP(A2224,assortedcode!B:C,2,0)</f>
        <v>070000140684</v>
      </c>
      <c r="C2224" s="1">
        <v>59</v>
      </c>
      <c r="D2224" s="9">
        <f t="shared" si="137"/>
        <v>59</v>
      </c>
      <c r="E2224" s="7" t="s">
        <v>8345</v>
      </c>
      <c r="F2224" s="10" t="str">
        <f t="shared" si="136"/>
        <v>insert into ins_premium_det (premium_rcv_code,assorted_code, rec_amount,premium_rcv_detail_code,remaining_amt, payrec, mode_code,coinsurance_code,class_cd,it_remarks) values</v>
      </c>
      <c r="G2224" s="11" t="str">
        <f t="shared" si="138"/>
        <v>('28Nov240101','070000140684','59',(select max(to_number(i.premium_rcv_detail_code))+1
from ins_premium_det i),'59','59','02', '11000003','00','Request by Mr. Omair Ali 29-Nov-2024');</v>
      </c>
      <c r="H2224" s="12" t="str">
        <f t="shared" si="139"/>
        <v>insert into ins_premium_det (premium_rcv_code,assorted_code, rec_amount,premium_rcv_detail_code,remaining_amt, payrec, mode_code,coinsurance_code,class_cd,it_remarks) values('28Nov240101','070000140684','59',(select max(to_number(i.premium_rcv_detail_code))+1
from ins_premium_det i),'59','59','02', '11000003','00','Request by Mr. Omair Ali 29-Nov-2024');</v>
      </c>
    </row>
    <row r="2225" spans="1:8" ht="105" x14ac:dyDescent="0.25">
      <c r="A2225" t="s">
        <v>2225</v>
      </c>
      <c r="B2225" s="8" t="str">
        <f>VLOOKUP(A2225,assortedcode!B:C,2,0)</f>
        <v>070000132681</v>
      </c>
      <c r="C2225" s="1">
        <v>59</v>
      </c>
      <c r="D2225" s="9">
        <f t="shared" si="137"/>
        <v>59</v>
      </c>
      <c r="E2225" s="7" t="s">
        <v>8345</v>
      </c>
      <c r="F2225" s="10" t="str">
        <f t="shared" si="136"/>
        <v>insert into ins_premium_det (premium_rcv_code,assorted_code, rec_amount,premium_rcv_detail_code,remaining_amt, payrec, mode_code,coinsurance_code,class_cd,it_remarks) values</v>
      </c>
      <c r="G2225" s="11" t="str">
        <f t="shared" si="138"/>
        <v>('28Nov240101','070000132681','59',(select max(to_number(i.premium_rcv_detail_code))+1
from ins_premium_det i),'59','59','02', '11000003','00','Request by Mr. Omair Ali 29-Nov-2024');</v>
      </c>
      <c r="H2225" s="12" t="str">
        <f t="shared" si="139"/>
        <v>insert into ins_premium_det (premium_rcv_code,assorted_code, rec_amount,premium_rcv_detail_code,remaining_amt, payrec, mode_code,coinsurance_code,class_cd,it_remarks) values('28Nov240101','070000132681','59',(select max(to_number(i.premium_rcv_detail_code))+1
from ins_premium_det i),'59','59','02', '11000003','00','Request by Mr. Omair Ali 29-Nov-2024');</v>
      </c>
    </row>
    <row r="2226" spans="1:8" ht="105" x14ac:dyDescent="0.25">
      <c r="A2226" t="s">
        <v>2226</v>
      </c>
      <c r="B2226" s="8" t="str">
        <f>VLOOKUP(A2226,assortedcode!B:C,2,0)</f>
        <v>070000137451</v>
      </c>
      <c r="C2226" s="1">
        <v>59</v>
      </c>
      <c r="D2226" s="9">
        <f t="shared" si="137"/>
        <v>59</v>
      </c>
      <c r="E2226" s="7" t="s">
        <v>8345</v>
      </c>
      <c r="F2226" s="10" t="str">
        <f t="shared" si="136"/>
        <v>insert into ins_premium_det (premium_rcv_code,assorted_code, rec_amount,premium_rcv_detail_code,remaining_amt, payrec, mode_code,coinsurance_code,class_cd,it_remarks) values</v>
      </c>
      <c r="G2226" s="11" t="str">
        <f t="shared" si="138"/>
        <v>('28Nov240101','070000137451','59',(select max(to_number(i.premium_rcv_detail_code))+1
from ins_premium_det i),'59','59','02', '11000003','00','Request by Mr. Omair Ali 29-Nov-2024');</v>
      </c>
      <c r="H2226" s="12" t="str">
        <f t="shared" si="139"/>
        <v>insert into ins_premium_det (premium_rcv_code,assorted_code, rec_amount,premium_rcv_detail_code,remaining_amt, payrec, mode_code,coinsurance_code,class_cd,it_remarks) values('28Nov240101','070000137451','59',(select max(to_number(i.premium_rcv_detail_code))+1
from ins_premium_det i),'59','59','02', '11000003','00','Request by Mr. Omair Ali 29-Nov-2024');</v>
      </c>
    </row>
    <row r="2227" spans="1:8" ht="105" x14ac:dyDescent="0.25">
      <c r="A2227" t="s">
        <v>2227</v>
      </c>
      <c r="B2227" s="8" t="str">
        <f>VLOOKUP(A2227,assortedcode!B:C,2,0)</f>
        <v>070000138002</v>
      </c>
      <c r="C2227" s="1">
        <v>59</v>
      </c>
      <c r="D2227" s="9">
        <f t="shared" si="137"/>
        <v>59</v>
      </c>
      <c r="E2227" s="7" t="s">
        <v>8345</v>
      </c>
      <c r="F2227" s="10" t="str">
        <f t="shared" si="136"/>
        <v>insert into ins_premium_det (premium_rcv_code,assorted_code, rec_amount,premium_rcv_detail_code,remaining_amt, payrec, mode_code,coinsurance_code,class_cd,it_remarks) values</v>
      </c>
      <c r="G2227" s="11" t="str">
        <f t="shared" si="138"/>
        <v>('28Nov240101','070000138002','59',(select max(to_number(i.premium_rcv_detail_code))+1
from ins_premium_det i),'59','59','02', '11000003','00','Request by Mr. Omair Ali 29-Nov-2024');</v>
      </c>
      <c r="H2227" s="12" t="str">
        <f t="shared" si="139"/>
        <v>insert into ins_premium_det (premium_rcv_code,assorted_code, rec_amount,premium_rcv_detail_code,remaining_amt, payrec, mode_code,coinsurance_code,class_cd,it_remarks) values('28Nov240101','070000138002','59',(select max(to_number(i.premium_rcv_detail_code))+1
from ins_premium_det i),'59','59','02', '11000003','00','Request by Mr. Omair Ali 29-Nov-2024');</v>
      </c>
    </row>
    <row r="2228" spans="1:8" ht="105" x14ac:dyDescent="0.25">
      <c r="A2228" t="s">
        <v>2228</v>
      </c>
      <c r="B2228" s="8" t="str">
        <f>VLOOKUP(A2228,assortedcode!B:C,2,0)</f>
        <v>070000140772</v>
      </c>
      <c r="C2228" s="1">
        <v>59</v>
      </c>
      <c r="D2228" s="9">
        <f t="shared" si="137"/>
        <v>59</v>
      </c>
      <c r="E2228" s="7" t="s">
        <v>8345</v>
      </c>
      <c r="F2228" s="10" t="str">
        <f t="shared" si="136"/>
        <v>insert into ins_premium_det (premium_rcv_code,assorted_code, rec_amount,premium_rcv_detail_code,remaining_amt, payrec, mode_code,coinsurance_code,class_cd,it_remarks) values</v>
      </c>
      <c r="G2228" s="11" t="str">
        <f t="shared" si="138"/>
        <v>('28Nov240101','070000140772','59',(select max(to_number(i.premium_rcv_detail_code))+1
from ins_premium_det i),'59','59','02', '11000003','00','Request by Mr. Omair Ali 29-Nov-2024');</v>
      </c>
      <c r="H2228" s="12" t="str">
        <f t="shared" si="139"/>
        <v>insert into ins_premium_det (premium_rcv_code,assorted_code, rec_amount,premium_rcv_detail_code,remaining_amt, payrec, mode_code,coinsurance_code,class_cd,it_remarks) values('28Nov240101','070000140772','59',(select max(to_number(i.premium_rcv_detail_code))+1
from ins_premium_det i),'59','59','02', '11000003','00','Request by Mr. Omair Ali 29-Nov-2024');</v>
      </c>
    </row>
    <row r="2229" spans="1:8" ht="105" x14ac:dyDescent="0.25">
      <c r="A2229" t="s">
        <v>2229</v>
      </c>
      <c r="B2229" s="8" t="str">
        <f>VLOOKUP(A2229,assortedcode!B:C,2,0)</f>
        <v>070000137367</v>
      </c>
      <c r="C2229" s="1">
        <v>59</v>
      </c>
      <c r="D2229" s="9">
        <f t="shared" si="137"/>
        <v>59</v>
      </c>
      <c r="E2229" s="7" t="s">
        <v>8345</v>
      </c>
      <c r="F2229" s="10" t="str">
        <f t="shared" si="136"/>
        <v>insert into ins_premium_det (premium_rcv_code,assorted_code, rec_amount,premium_rcv_detail_code,remaining_amt, payrec, mode_code,coinsurance_code,class_cd,it_remarks) values</v>
      </c>
      <c r="G2229" s="11" t="str">
        <f t="shared" si="138"/>
        <v>('28Nov240101','070000137367','59',(select max(to_number(i.premium_rcv_detail_code))+1
from ins_premium_det i),'59','59','02', '11000003','00','Request by Mr. Omair Ali 29-Nov-2024');</v>
      </c>
      <c r="H2229" s="12" t="str">
        <f t="shared" si="139"/>
        <v>insert into ins_premium_det (premium_rcv_code,assorted_code, rec_amount,premium_rcv_detail_code,remaining_amt, payrec, mode_code,coinsurance_code,class_cd,it_remarks) values('28Nov240101','070000137367','59',(select max(to_number(i.premium_rcv_detail_code))+1
from ins_premium_det i),'59','59','02', '11000003','00','Request by Mr. Omair Ali 29-Nov-2024');</v>
      </c>
    </row>
    <row r="2230" spans="1:8" ht="105" x14ac:dyDescent="0.25">
      <c r="A2230" t="s">
        <v>2230</v>
      </c>
      <c r="B2230" s="8" t="str">
        <f>VLOOKUP(A2230,assortedcode!B:C,2,0)</f>
        <v>070000134925</v>
      </c>
      <c r="C2230" s="1">
        <v>60</v>
      </c>
      <c r="D2230" s="9">
        <f t="shared" si="137"/>
        <v>60</v>
      </c>
      <c r="E2230" s="7" t="s">
        <v>8345</v>
      </c>
      <c r="F2230" s="10" t="str">
        <f t="shared" si="136"/>
        <v>insert into ins_premium_det (premium_rcv_code,assorted_code, rec_amount,premium_rcv_detail_code,remaining_amt, payrec, mode_code,coinsurance_code,class_cd,it_remarks) values</v>
      </c>
      <c r="G2230" s="11" t="str">
        <f t="shared" si="138"/>
        <v>('28Nov240101','070000134925','60',(select max(to_number(i.premium_rcv_detail_code))+1
from ins_premium_det i),'60','60','02', '11000003','00','Request by Mr. Omair Ali 29-Nov-2024');</v>
      </c>
      <c r="H2230" s="12" t="str">
        <f t="shared" si="139"/>
        <v>insert into ins_premium_det (premium_rcv_code,assorted_code, rec_amount,premium_rcv_detail_code,remaining_amt, payrec, mode_code,coinsurance_code,class_cd,it_remarks) values('28Nov240101','070000134925','60',(select max(to_number(i.premium_rcv_detail_code))+1
from ins_premium_det i),'60','60','02', '11000003','00','Request by Mr. Omair Ali 29-Nov-2024');</v>
      </c>
    </row>
    <row r="2231" spans="1:8" ht="105" x14ac:dyDescent="0.25">
      <c r="A2231" t="s">
        <v>2231</v>
      </c>
      <c r="B2231" s="8" t="str">
        <f>VLOOKUP(A2231,assortedcode!B:C,2,0)</f>
        <v>070000134953</v>
      </c>
      <c r="C2231" s="1">
        <v>60</v>
      </c>
      <c r="D2231" s="9">
        <f t="shared" si="137"/>
        <v>60</v>
      </c>
      <c r="E2231" s="7" t="s">
        <v>8345</v>
      </c>
      <c r="F2231" s="10" t="str">
        <f t="shared" si="136"/>
        <v>insert into ins_premium_det (premium_rcv_code,assorted_code, rec_amount,premium_rcv_detail_code,remaining_amt, payrec, mode_code,coinsurance_code,class_cd,it_remarks) values</v>
      </c>
      <c r="G2231" s="11" t="str">
        <f t="shared" si="138"/>
        <v>('28Nov240101','070000134953','60',(select max(to_number(i.premium_rcv_detail_code))+1
from ins_premium_det i),'60','60','02', '11000003','00','Request by Mr. Omair Ali 29-Nov-2024');</v>
      </c>
      <c r="H2231" s="12" t="str">
        <f t="shared" si="139"/>
        <v>insert into ins_premium_det (premium_rcv_code,assorted_code, rec_amount,premium_rcv_detail_code,remaining_amt, payrec, mode_code,coinsurance_code,class_cd,it_remarks) values('28Nov240101','070000134953','60',(select max(to_number(i.premium_rcv_detail_code))+1
from ins_premium_det i),'60','60','02', '11000003','00','Request by Mr. Omair Ali 29-Nov-2024');</v>
      </c>
    </row>
    <row r="2232" spans="1:8" ht="105" x14ac:dyDescent="0.25">
      <c r="A2232" t="s">
        <v>2232</v>
      </c>
      <c r="B2232" s="8" t="str">
        <f>VLOOKUP(A2232,assortedcode!B:C,2,0)</f>
        <v>070000134946</v>
      </c>
      <c r="C2232" s="1">
        <v>60</v>
      </c>
      <c r="D2232" s="9">
        <f t="shared" si="137"/>
        <v>60</v>
      </c>
      <c r="E2232" s="7" t="s">
        <v>8345</v>
      </c>
      <c r="F2232" s="10" t="str">
        <f t="shared" si="136"/>
        <v>insert into ins_premium_det (premium_rcv_code,assorted_code, rec_amount,premium_rcv_detail_code,remaining_amt, payrec, mode_code,coinsurance_code,class_cd,it_remarks) values</v>
      </c>
      <c r="G2232" s="11" t="str">
        <f t="shared" si="138"/>
        <v>('28Nov240101','070000134946','60',(select max(to_number(i.premium_rcv_detail_code))+1
from ins_premium_det i),'60','60','02', '11000003','00','Request by Mr. Omair Ali 29-Nov-2024');</v>
      </c>
      <c r="H2232" s="12" t="str">
        <f t="shared" si="139"/>
        <v>insert into ins_premium_det (premium_rcv_code,assorted_code, rec_amount,premium_rcv_detail_code,remaining_amt, payrec, mode_code,coinsurance_code,class_cd,it_remarks) values('28Nov240101','070000134946','60',(select max(to_number(i.premium_rcv_detail_code))+1
from ins_premium_det i),'60','60','02', '11000003','00','Request by Mr. Omair Ali 29-Nov-2024');</v>
      </c>
    </row>
    <row r="2233" spans="1:8" ht="105" x14ac:dyDescent="0.25">
      <c r="A2233" t="s">
        <v>2233</v>
      </c>
      <c r="B2233" s="8" t="str">
        <f>VLOOKUP(A2233,assortedcode!B:C,2,0)</f>
        <v>070000135008</v>
      </c>
      <c r="C2233" s="1">
        <v>60</v>
      </c>
      <c r="D2233" s="9">
        <f t="shared" si="137"/>
        <v>60</v>
      </c>
      <c r="E2233" s="7" t="s">
        <v>8345</v>
      </c>
      <c r="F2233" s="10" t="str">
        <f t="shared" si="136"/>
        <v>insert into ins_premium_det (premium_rcv_code,assorted_code, rec_amount,premium_rcv_detail_code,remaining_amt, payrec, mode_code,coinsurance_code,class_cd,it_remarks) values</v>
      </c>
      <c r="G2233" s="11" t="str">
        <f t="shared" si="138"/>
        <v>('28Nov240101','070000135008','60',(select max(to_number(i.premium_rcv_detail_code))+1
from ins_premium_det i),'60','60','02', '11000003','00','Request by Mr. Omair Ali 29-Nov-2024');</v>
      </c>
      <c r="H2233" s="12" t="str">
        <f t="shared" si="139"/>
        <v>insert into ins_premium_det (premium_rcv_code,assorted_code, rec_amount,premium_rcv_detail_code,remaining_amt, payrec, mode_code,coinsurance_code,class_cd,it_remarks) values('28Nov240101','070000135008','60',(select max(to_number(i.premium_rcv_detail_code))+1
from ins_premium_det i),'60','60','02', '11000003','00','Request by Mr. Omair Ali 29-Nov-2024');</v>
      </c>
    </row>
    <row r="2234" spans="1:8" ht="105" x14ac:dyDescent="0.25">
      <c r="A2234" t="s">
        <v>2234</v>
      </c>
      <c r="B2234" s="8" t="str">
        <f>VLOOKUP(A2234,assortedcode!B:C,2,0)</f>
        <v>040000179560</v>
      </c>
      <c r="C2234" s="1">
        <v>60</v>
      </c>
      <c r="D2234" s="9">
        <f t="shared" si="137"/>
        <v>60</v>
      </c>
      <c r="E2234" s="7" t="s">
        <v>8345</v>
      </c>
      <c r="F2234" s="10" t="str">
        <f t="shared" si="136"/>
        <v>insert into ins_premium_det (premium_rcv_code,assorted_code, rec_amount,premium_rcv_detail_code,remaining_amt, payrec, mode_code,coinsurance_code,class_cd,it_remarks) values</v>
      </c>
      <c r="G2234" s="11" t="str">
        <f t="shared" si="138"/>
        <v>('28Nov240101','040000179560','60',(select max(to_number(i.premium_rcv_detail_code))+1
from ins_premium_det i),'60','60','02', '11000003','00','Request by Mr. Omair Ali 29-Nov-2024');</v>
      </c>
      <c r="H2234" s="12" t="str">
        <f t="shared" si="139"/>
        <v>insert into ins_premium_det (premium_rcv_code,assorted_code, rec_amount,premium_rcv_detail_code,remaining_amt, payrec, mode_code,coinsurance_code,class_cd,it_remarks) values('28Nov240101','040000179560','60',(select max(to_number(i.premium_rcv_detail_code))+1
from ins_premium_det i),'60','60','02', '11000003','00','Request by Mr. Omair Ali 29-Nov-2024');</v>
      </c>
    </row>
    <row r="2235" spans="1:8" ht="105" x14ac:dyDescent="0.25">
      <c r="A2235" t="s">
        <v>2235</v>
      </c>
      <c r="B2235" s="8" t="str">
        <f>VLOOKUP(A2235,assortedcode!B:C,2,0)</f>
        <v>070000137446</v>
      </c>
      <c r="C2235" s="1">
        <v>60</v>
      </c>
      <c r="D2235" s="9">
        <f t="shared" si="137"/>
        <v>60</v>
      </c>
      <c r="E2235" s="7" t="s">
        <v>8345</v>
      </c>
      <c r="F2235" s="10" t="str">
        <f t="shared" si="136"/>
        <v>insert into ins_premium_det (premium_rcv_code,assorted_code, rec_amount,premium_rcv_detail_code,remaining_amt, payrec, mode_code,coinsurance_code,class_cd,it_remarks) values</v>
      </c>
      <c r="G2235" s="11" t="str">
        <f t="shared" si="138"/>
        <v>('28Nov240101','070000137446','60',(select max(to_number(i.premium_rcv_detail_code))+1
from ins_premium_det i),'60','60','02', '11000003','00','Request by Mr. Omair Ali 29-Nov-2024');</v>
      </c>
      <c r="H2235" s="12" t="str">
        <f t="shared" si="139"/>
        <v>insert into ins_premium_det (premium_rcv_code,assorted_code, rec_amount,premium_rcv_detail_code,remaining_amt, payrec, mode_code,coinsurance_code,class_cd,it_remarks) values('28Nov240101','070000137446','60',(select max(to_number(i.premium_rcv_detail_code))+1
from ins_premium_det i),'60','60','02', '11000003','00','Request by Mr. Omair Ali 29-Nov-2024');</v>
      </c>
    </row>
    <row r="2236" spans="1:8" ht="105" x14ac:dyDescent="0.25">
      <c r="A2236" t="s">
        <v>2236</v>
      </c>
      <c r="B2236" s="8" t="str">
        <f>VLOOKUP(A2236,assortedcode!B:C,2,0)</f>
        <v>040000161502</v>
      </c>
      <c r="C2236" s="1">
        <v>61</v>
      </c>
      <c r="D2236" s="9">
        <f t="shared" si="137"/>
        <v>61</v>
      </c>
      <c r="E2236" s="7" t="s">
        <v>8345</v>
      </c>
      <c r="F2236" s="10" t="str">
        <f t="shared" si="136"/>
        <v>insert into ins_premium_det (premium_rcv_code,assorted_code, rec_amount,premium_rcv_detail_code,remaining_amt, payrec, mode_code,coinsurance_code,class_cd,it_remarks) values</v>
      </c>
      <c r="G2236" s="11" t="str">
        <f t="shared" si="138"/>
        <v>('28Nov240101','040000161502','61',(select max(to_number(i.premium_rcv_detail_code))+1
from ins_premium_det i),'61','61','02', '11000003','00','Request by Mr. Omair Ali 29-Nov-2024');</v>
      </c>
      <c r="H2236" s="12" t="str">
        <f t="shared" si="139"/>
        <v>insert into ins_premium_det (premium_rcv_code,assorted_code, rec_amount,premium_rcv_detail_code,remaining_amt, payrec, mode_code,coinsurance_code,class_cd,it_remarks) values('28Nov240101','040000161502','61',(select max(to_number(i.premium_rcv_detail_code))+1
from ins_premium_det i),'61','61','02', '11000003','00','Request by Mr. Omair Ali 29-Nov-2024');</v>
      </c>
    </row>
    <row r="2237" spans="1:8" ht="105" x14ac:dyDescent="0.25">
      <c r="A2237" t="s">
        <v>2237</v>
      </c>
      <c r="B2237" s="8" t="str">
        <f>VLOOKUP(A2237,assortedcode!B:C,2,0)</f>
        <v>070000157073</v>
      </c>
      <c r="C2237" s="1">
        <v>61</v>
      </c>
      <c r="D2237" s="9">
        <f t="shared" si="137"/>
        <v>61</v>
      </c>
      <c r="E2237" s="7" t="s">
        <v>8345</v>
      </c>
      <c r="F2237" s="10" t="str">
        <f t="shared" si="136"/>
        <v>insert into ins_premium_det (premium_rcv_code,assorted_code, rec_amount,premium_rcv_detail_code,remaining_amt, payrec, mode_code,coinsurance_code,class_cd,it_remarks) values</v>
      </c>
      <c r="G2237" s="11" t="str">
        <f t="shared" si="138"/>
        <v>('28Nov240101','070000157073','61',(select max(to_number(i.premium_rcv_detail_code))+1
from ins_premium_det i),'61','61','02', '11000003','00','Request by Mr. Omair Ali 29-Nov-2024');</v>
      </c>
      <c r="H2237" s="12" t="str">
        <f t="shared" si="139"/>
        <v>insert into ins_premium_det (premium_rcv_code,assorted_code, rec_amount,premium_rcv_detail_code,remaining_amt, payrec, mode_code,coinsurance_code,class_cd,it_remarks) values('28Nov240101','070000157073','61',(select max(to_number(i.premium_rcv_detail_code))+1
from ins_premium_det i),'61','61','02', '11000003','00','Request by Mr. Omair Ali 29-Nov-2024');</v>
      </c>
    </row>
    <row r="2238" spans="1:8" ht="105" x14ac:dyDescent="0.25">
      <c r="A2238" t="s">
        <v>2238</v>
      </c>
      <c r="B2238" s="8" t="str">
        <f>VLOOKUP(A2238,assortedcode!B:C,2,0)</f>
        <v>070000147280</v>
      </c>
      <c r="C2238" s="1">
        <v>62</v>
      </c>
      <c r="D2238" s="9">
        <f t="shared" si="137"/>
        <v>62</v>
      </c>
      <c r="E2238" s="7" t="s">
        <v>8345</v>
      </c>
      <c r="F2238" s="10" t="str">
        <f t="shared" si="136"/>
        <v>insert into ins_premium_det (premium_rcv_code,assorted_code, rec_amount,premium_rcv_detail_code,remaining_amt, payrec, mode_code,coinsurance_code,class_cd,it_remarks) values</v>
      </c>
      <c r="G2238" s="11" t="str">
        <f t="shared" si="138"/>
        <v>('28Nov240101','070000147280','62',(select max(to_number(i.premium_rcv_detail_code))+1
from ins_premium_det i),'62','62','02', '11000003','00','Request by Mr. Omair Ali 29-Nov-2024');</v>
      </c>
      <c r="H2238" s="12" t="str">
        <f t="shared" si="139"/>
        <v>insert into ins_premium_det (premium_rcv_code,assorted_code, rec_amount,premium_rcv_detail_code,remaining_amt, payrec, mode_code,coinsurance_code,class_cd,it_remarks) values('28Nov240101','070000147280','62',(select max(to_number(i.premium_rcv_detail_code))+1
from ins_premium_det i),'62','62','02', '11000003','00','Request by Mr. Omair Ali 29-Nov-2024');</v>
      </c>
    </row>
    <row r="2239" spans="1:8" ht="105" x14ac:dyDescent="0.25">
      <c r="A2239" t="s">
        <v>2239</v>
      </c>
      <c r="B2239" s="8" t="str">
        <f>VLOOKUP(A2239,assortedcode!B:C,2,0)</f>
        <v>040000126390</v>
      </c>
      <c r="C2239" s="1">
        <v>63</v>
      </c>
      <c r="D2239" s="9">
        <f t="shared" si="137"/>
        <v>63</v>
      </c>
      <c r="E2239" s="7" t="s">
        <v>8345</v>
      </c>
      <c r="F2239" s="10" t="str">
        <f t="shared" si="136"/>
        <v>insert into ins_premium_det (premium_rcv_code,assorted_code, rec_amount,premium_rcv_detail_code,remaining_amt, payrec, mode_code,coinsurance_code,class_cd,it_remarks) values</v>
      </c>
      <c r="G2239" s="11" t="str">
        <f t="shared" si="138"/>
        <v>('28Nov240101','040000126390','63',(select max(to_number(i.premium_rcv_detail_code))+1
from ins_premium_det i),'63','63','02', '11000003','00','Request by Mr. Omair Ali 29-Nov-2024');</v>
      </c>
      <c r="H2239" s="12" t="str">
        <f t="shared" si="139"/>
        <v>insert into ins_premium_det (premium_rcv_code,assorted_code, rec_amount,premium_rcv_detail_code,remaining_amt, payrec, mode_code,coinsurance_code,class_cd,it_remarks) values('28Nov240101','040000126390','63',(select max(to_number(i.premium_rcv_detail_code))+1
from ins_premium_det i),'63','63','02', '11000003','00','Request by Mr. Omair Ali 29-Nov-2024');</v>
      </c>
    </row>
    <row r="2240" spans="1:8" ht="105" x14ac:dyDescent="0.25">
      <c r="A2240" t="s">
        <v>2240</v>
      </c>
      <c r="B2240" s="8" t="str">
        <f>VLOOKUP(A2240,assortedcode!B:C,2,0)</f>
        <v>070000168686</v>
      </c>
      <c r="C2240" s="1">
        <v>63</v>
      </c>
      <c r="D2240" s="9">
        <f t="shared" si="137"/>
        <v>63</v>
      </c>
      <c r="E2240" s="7" t="s">
        <v>8345</v>
      </c>
      <c r="F2240" s="10" t="str">
        <f t="shared" si="136"/>
        <v>insert into ins_premium_det (premium_rcv_code,assorted_code, rec_amount,premium_rcv_detail_code,remaining_amt, payrec, mode_code,coinsurance_code,class_cd,it_remarks) values</v>
      </c>
      <c r="G2240" s="11" t="str">
        <f t="shared" si="138"/>
        <v>('28Nov240101','070000168686','63',(select max(to_number(i.premium_rcv_detail_code))+1
from ins_premium_det i),'63','63','02', '11000003','00','Request by Mr. Omair Ali 29-Nov-2024');</v>
      </c>
      <c r="H2240" s="12" t="str">
        <f t="shared" si="139"/>
        <v>insert into ins_premium_det (premium_rcv_code,assorted_code, rec_amount,premium_rcv_detail_code,remaining_amt, payrec, mode_code,coinsurance_code,class_cd,it_remarks) values('28Nov240101','070000168686','63',(select max(to_number(i.premium_rcv_detail_code))+1
from ins_premium_det i),'63','63','02', '11000003','00','Request by Mr. Omair Ali 29-Nov-2024');</v>
      </c>
    </row>
    <row r="2241" spans="1:8" ht="105" x14ac:dyDescent="0.25">
      <c r="A2241" t="s">
        <v>2241</v>
      </c>
      <c r="B2241" s="8" t="str">
        <f>VLOOKUP(A2241,assortedcode!B:C,2,0)</f>
        <v>070000147114</v>
      </c>
      <c r="C2241" s="1">
        <v>63</v>
      </c>
      <c r="D2241" s="9">
        <f t="shared" si="137"/>
        <v>63</v>
      </c>
      <c r="E2241" s="7" t="s">
        <v>8345</v>
      </c>
      <c r="F2241" s="10" t="str">
        <f t="shared" si="136"/>
        <v>insert into ins_premium_det (premium_rcv_code,assorted_code, rec_amount,premium_rcv_detail_code,remaining_amt, payrec, mode_code,coinsurance_code,class_cd,it_remarks) values</v>
      </c>
      <c r="G2241" s="11" t="str">
        <f t="shared" si="138"/>
        <v>('28Nov240101','070000147114','63',(select max(to_number(i.premium_rcv_detail_code))+1
from ins_premium_det i),'63','63','02', '11000003','00','Request by Mr. Omair Ali 29-Nov-2024');</v>
      </c>
      <c r="H2241" s="12" t="str">
        <f t="shared" si="139"/>
        <v>insert into ins_premium_det (premium_rcv_code,assorted_code, rec_amount,premium_rcv_detail_code,remaining_amt, payrec, mode_code,coinsurance_code,class_cd,it_remarks) values('28Nov240101','070000147114','63',(select max(to_number(i.premium_rcv_detail_code))+1
from ins_premium_det i),'63','63','02', '11000003','00','Request by Mr. Omair Ali 29-Nov-2024');</v>
      </c>
    </row>
    <row r="2242" spans="1:8" ht="105" x14ac:dyDescent="0.25">
      <c r="A2242" t="s">
        <v>2242</v>
      </c>
      <c r="B2242" s="8" t="str">
        <f>VLOOKUP(A2242,assortedcode!B:C,2,0)</f>
        <v>070000167969</v>
      </c>
      <c r="C2242" s="1">
        <v>64</v>
      </c>
      <c r="D2242" s="9">
        <f t="shared" si="137"/>
        <v>64</v>
      </c>
      <c r="E2242" s="7" t="s">
        <v>8345</v>
      </c>
      <c r="F2242" s="10" t="str">
        <f t="shared" ref="F2242:F2305" si="140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2242" s="11" t="str">
        <f t="shared" si="138"/>
        <v>('28Nov240101','070000167969','64',(select max(to_number(i.premium_rcv_detail_code))+1
from ins_premium_det i),'64','64','02', '11000003','00','Request by Mr. Omair Ali 29-Nov-2024');</v>
      </c>
      <c r="H2242" s="12" t="str">
        <f t="shared" si="139"/>
        <v>insert into ins_premium_det (premium_rcv_code,assorted_code, rec_amount,premium_rcv_detail_code,remaining_amt, payrec, mode_code,coinsurance_code,class_cd,it_remarks) values('28Nov240101','070000167969','64',(select max(to_number(i.premium_rcv_detail_code))+1
from ins_premium_det i),'64','64','02', '11000003','00','Request by Mr. Omair Ali 29-Nov-2024');</v>
      </c>
    </row>
    <row r="2243" spans="1:8" ht="105" x14ac:dyDescent="0.25">
      <c r="A2243" t="s">
        <v>2243</v>
      </c>
      <c r="B2243" s="8" t="str">
        <f>VLOOKUP(A2243,assortedcode!B:C,2,0)</f>
        <v>070000158751</v>
      </c>
      <c r="C2243" s="1">
        <v>66</v>
      </c>
      <c r="D2243" s="9">
        <f t="shared" ref="D2243:D2267" si="141">ROUND(C2243,0)</f>
        <v>66</v>
      </c>
      <c r="E2243" s="7" t="s">
        <v>8345</v>
      </c>
      <c r="F2243" s="10" t="str">
        <f t="shared" si="140"/>
        <v>insert into ins_premium_det (premium_rcv_code,assorted_code, rec_amount,premium_rcv_detail_code,remaining_amt, payrec, mode_code,coinsurance_code,class_cd,it_remarks) values</v>
      </c>
      <c r="G2243" s="11" t="str">
        <f t="shared" ref="G2243:G2267" si="142">"('"&amp;E2243&amp;"','"&amp;B2243&amp;"','"&amp;ROUND(D2243,2)&amp;"',(select max(to_number(i.premium_rcv_detail_code))+1
from ins_premium_det i),'"&amp;D2243&amp;"','"&amp;D2243&amp;"','02', '11000003','00','Request by Mr. Omair Ali 29-Nov-2024');"</f>
        <v>('28Nov240101','070000158751','66',(select max(to_number(i.premium_rcv_detail_code))+1
from ins_premium_det i),'66','66','02', '11000003','00','Request by Mr. Omair Ali 29-Nov-2024');</v>
      </c>
      <c r="H2243" s="12" t="str">
        <f t="shared" ref="H2243:H2306" si="143">F2243&amp;G2243</f>
        <v>insert into ins_premium_det (premium_rcv_code,assorted_code, rec_amount,premium_rcv_detail_code,remaining_amt, payrec, mode_code,coinsurance_code,class_cd,it_remarks) values('28Nov240101','070000158751','66',(select max(to_number(i.premium_rcv_detail_code))+1
from ins_premium_det i),'66','66','02', '11000003','00','Request by Mr. Omair Ali 29-Nov-2024');</v>
      </c>
    </row>
    <row r="2244" spans="1:8" ht="105" x14ac:dyDescent="0.25">
      <c r="A2244" t="s">
        <v>2244</v>
      </c>
      <c r="B2244" s="8" t="str">
        <f>VLOOKUP(A2244,assortedcode!B:C,2,0)</f>
        <v>040000134348</v>
      </c>
      <c r="C2244" s="1">
        <v>66</v>
      </c>
      <c r="D2244" s="9">
        <f t="shared" si="141"/>
        <v>66</v>
      </c>
      <c r="E2244" s="7" t="s">
        <v>8345</v>
      </c>
      <c r="F2244" s="10" t="str">
        <f t="shared" si="140"/>
        <v>insert into ins_premium_det (premium_rcv_code,assorted_code, rec_amount,premium_rcv_detail_code,remaining_amt, payrec, mode_code,coinsurance_code,class_cd,it_remarks) values</v>
      </c>
      <c r="G2244" s="11" t="str">
        <f t="shared" si="142"/>
        <v>('28Nov240101','040000134348','66',(select max(to_number(i.premium_rcv_detail_code))+1
from ins_premium_det i),'66','66','02', '11000003','00','Request by Mr. Omair Ali 29-Nov-2024');</v>
      </c>
      <c r="H2244" s="12" t="str">
        <f t="shared" si="143"/>
        <v>insert into ins_premium_det (premium_rcv_code,assorted_code, rec_amount,premium_rcv_detail_code,remaining_amt, payrec, mode_code,coinsurance_code,class_cd,it_remarks) values('28Nov240101','040000134348','66',(select max(to_number(i.premium_rcv_detail_code))+1
from ins_premium_det i),'66','66','02', '11000003','00','Request by Mr. Omair Ali 29-Nov-2024');</v>
      </c>
    </row>
    <row r="2245" spans="1:8" ht="105" x14ac:dyDescent="0.25">
      <c r="A2245" t="s">
        <v>2245</v>
      </c>
      <c r="B2245" s="8" t="str">
        <f>VLOOKUP(A2245,assortedcode!B:C,2,0)</f>
        <v>070000135514</v>
      </c>
      <c r="C2245" s="1">
        <v>67</v>
      </c>
      <c r="D2245" s="9">
        <f t="shared" si="141"/>
        <v>67</v>
      </c>
      <c r="E2245" s="7" t="s">
        <v>8345</v>
      </c>
      <c r="F2245" s="10" t="str">
        <f t="shared" si="140"/>
        <v>insert into ins_premium_det (premium_rcv_code,assorted_code, rec_amount,premium_rcv_detail_code,remaining_amt, payrec, mode_code,coinsurance_code,class_cd,it_remarks) values</v>
      </c>
      <c r="G2245" s="11" t="str">
        <f t="shared" si="142"/>
        <v>('28Nov240101','070000135514','67',(select max(to_number(i.premium_rcv_detail_code))+1
from ins_premium_det i),'67','67','02', '11000003','00','Request by Mr. Omair Ali 29-Nov-2024');</v>
      </c>
      <c r="H2245" s="12" t="str">
        <f t="shared" si="143"/>
        <v>insert into ins_premium_det (premium_rcv_code,assorted_code, rec_amount,premium_rcv_detail_code,remaining_amt, payrec, mode_code,coinsurance_code,class_cd,it_remarks) values('28Nov240101','070000135514','67',(select max(to_number(i.premium_rcv_detail_code))+1
from ins_premium_det i),'67','67','02', '11000003','00','Request by Mr. Omair Ali 29-Nov-2024');</v>
      </c>
    </row>
    <row r="2246" spans="1:8" ht="105" x14ac:dyDescent="0.25">
      <c r="A2246" t="s">
        <v>2246</v>
      </c>
      <c r="B2246" s="8" t="str">
        <f>VLOOKUP(A2246,assortedcode!B:C,2,0)</f>
        <v>040000161939</v>
      </c>
      <c r="C2246" s="1">
        <v>67</v>
      </c>
      <c r="D2246" s="9">
        <f t="shared" si="141"/>
        <v>67</v>
      </c>
      <c r="E2246" s="7" t="s">
        <v>8345</v>
      </c>
      <c r="F2246" s="10" t="str">
        <f t="shared" si="140"/>
        <v>insert into ins_premium_det (premium_rcv_code,assorted_code, rec_amount,premium_rcv_detail_code,remaining_amt, payrec, mode_code,coinsurance_code,class_cd,it_remarks) values</v>
      </c>
      <c r="G2246" s="11" t="str">
        <f t="shared" si="142"/>
        <v>('28Nov240101','040000161939','67',(select max(to_number(i.premium_rcv_detail_code))+1
from ins_premium_det i),'67','67','02', '11000003','00','Request by Mr. Omair Ali 29-Nov-2024');</v>
      </c>
      <c r="H2246" s="12" t="str">
        <f t="shared" si="143"/>
        <v>insert into ins_premium_det (premium_rcv_code,assorted_code, rec_amount,premium_rcv_detail_code,remaining_amt, payrec, mode_code,coinsurance_code,class_cd,it_remarks) values('28Nov240101','040000161939','67',(select max(to_number(i.premium_rcv_detail_code))+1
from ins_premium_det i),'67','67','02', '11000003','00','Request by Mr. Omair Ali 29-Nov-2024');</v>
      </c>
    </row>
    <row r="2247" spans="1:8" ht="105" x14ac:dyDescent="0.25">
      <c r="A2247" t="s">
        <v>2247</v>
      </c>
      <c r="B2247" s="8" t="str">
        <f>VLOOKUP(A2247,assortedcode!B:C,2,0)</f>
        <v>070000129110</v>
      </c>
      <c r="C2247" s="1">
        <v>69</v>
      </c>
      <c r="D2247" s="9">
        <f t="shared" si="141"/>
        <v>69</v>
      </c>
      <c r="E2247" s="7" t="s">
        <v>8345</v>
      </c>
      <c r="F2247" s="10" t="str">
        <f t="shared" si="140"/>
        <v>insert into ins_premium_det (premium_rcv_code,assorted_code, rec_amount,premium_rcv_detail_code,remaining_amt, payrec, mode_code,coinsurance_code,class_cd,it_remarks) values</v>
      </c>
      <c r="G2247" s="11" t="str">
        <f t="shared" si="142"/>
        <v>('28Nov240101','070000129110','69',(select max(to_number(i.premium_rcv_detail_code))+1
from ins_premium_det i),'69','69','02', '11000003','00','Request by Mr. Omair Ali 29-Nov-2024');</v>
      </c>
      <c r="H2247" s="12" t="str">
        <f t="shared" si="143"/>
        <v>insert into ins_premium_det (premium_rcv_code,assorted_code, rec_amount,premium_rcv_detail_code,remaining_amt, payrec, mode_code,coinsurance_code,class_cd,it_remarks) values('28Nov240101','070000129110','69',(select max(to_number(i.premium_rcv_detail_code))+1
from ins_premium_det i),'69','69','02', '11000003','00','Request by Mr. Omair Ali 29-Nov-2024');</v>
      </c>
    </row>
    <row r="2248" spans="1:8" ht="105" x14ac:dyDescent="0.25">
      <c r="A2248" t="s">
        <v>2248</v>
      </c>
      <c r="B2248" s="8" t="str">
        <f>VLOOKUP(A2248,assortedcode!B:C,2,0)</f>
        <v>070000147100</v>
      </c>
      <c r="C2248" s="1">
        <v>70</v>
      </c>
      <c r="D2248" s="9">
        <f t="shared" si="141"/>
        <v>70</v>
      </c>
      <c r="E2248" s="7" t="s">
        <v>8345</v>
      </c>
      <c r="F2248" s="10" t="str">
        <f t="shared" si="140"/>
        <v>insert into ins_premium_det (premium_rcv_code,assorted_code, rec_amount,premium_rcv_detail_code,remaining_amt, payrec, mode_code,coinsurance_code,class_cd,it_remarks) values</v>
      </c>
      <c r="G2248" s="11" t="str">
        <f t="shared" si="142"/>
        <v>('28Nov240101','070000147100','70',(select max(to_number(i.premium_rcv_detail_code))+1
from ins_premium_det i),'70','70','02', '11000003','00','Request by Mr. Omair Ali 29-Nov-2024');</v>
      </c>
      <c r="H2248" s="12" t="str">
        <f t="shared" si="143"/>
        <v>insert into ins_premium_det (premium_rcv_code,assorted_code, rec_amount,premium_rcv_detail_code,remaining_amt, payrec, mode_code,coinsurance_code,class_cd,it_remarks) values('28Nov240101','070000147100','70',(select max(to_number(i.premium_rcv_detail_code))+1
from ins_premium_det i),'70','70','02', '11000003','00','Request by Mr. Omair Ali 29-Nov-2024');</v>
      </c>
    </row>
    <row r="2249" spans="1:8" ht="105" x14ac:dyDescent="0.25">
      <c r="A2249" t="s">
        <v>2249</v>
      </c>
      <c r="B2249" s="8" t="str">
        <f>VLOOKUP(A2249,assortedcode!B:C,2,0)</f>
        <v>040000135900</v>
      </c>
      <c r="C2249" s="1">
        <v>70</v>
      </c>
      <c r="D2249" s="9">
        <f t="shared" si="141"/>
        <v>70</v>
      </c>
      <c r="E2249" s="7" t="s">
        <v>8345</v>
      </c>
      <c r="F2249" s="10" t="str">
        <f t="shared" si="140"/>
        <v>insert into ins_premium_det (premium_rcv_code,assorted_code, rec_amount,premium_rcv_detail_code,remaining_amt, payrec, mode_code,coinsurance_code,class_cd,it_remarks) values</v>
      </c>
      <c r="G2249" s="11" t="str">
        <f t="shared" si="142"/>
        <v>('28Nov240101','040000135900','70',(select max(to_number(i.premium_rcv_detail_code))+1
from ins_premium_det i),'70','70','02', '11000003','00','Request by Mr. Omair Ali 29-Nov-2024');</v>
      </c>
      <c r="H2249" s="12" t="str">
        <f t="shared" si="143"/>
        <v>insert into ins_premium_det (premium_rcv_code,assorted_code, rec_amount,premium_rcv_detail_code,remaining_amt, payrec, mode_code,coinsurance_code,class_cd,it_remarks) values('28Nov240101','040000135900','70',(select max(to_number(i.premium_rcv_detail_code))+1
from ins_premium_det i),'70','70','02', '11000003','00','Request by Mr. Omair Ali 29-Nov-2024');</v>
      </c>
    </row>
    <row r="2250" spans="1:8" ht="105" x14ac:dyDescent="0.25">
      <c r="A2250" t="s">
        <v>2250</v>
      </c>
      <c r="B2250" s="8" t="str">
        <f>VLOOKUP(A2250,assortedcode!B:C,2,0)</f>
        <v>040000108379</v>
      </c>
      <c r="C2250" s="1">
        <v>72</v>
      </c>
      <c r="D2250" s="9">
        <f t="shared" si="141"/>
        <v>72</v>
      </c>
      <c r="E2250" s="7" t="s">
        <v>8345</v>
      </c>
      <c r="F2250" s="10" t="str">
        <f t="shared" si="140"/>
        <v>insert into ins_premium_det (premium_rcv_code,assorted_code, rec_amount,premium_rcv_detail_code,remaining_amt, payrec, mode_code,coinsurance_code,class_cd,it_remarks) values</v>
      </c>
      <c r="G2250" s="11" t="str">
        <f t="shared" si="142"/>
        <v>('28Nov240101','040000108379','72',(select max(to_number(i.premium_rcv_detail_code))+1
from ins_premium_det i),'72','72','02', '11000003','00','Request by Mr. Omair Ali 29-Nov-2024');</v>
      </c>
      <c r="H2250" s="12" t="str">
        <f t="shared" si="143"/>
        <v>insert into ins_premium_det (premium_rcv_code,assorted_code, rec_amount,premium_rcv_detail_code,remaining_amt, payrec, mode_code,coinsurance_code,class_cd,it_remarks) values('28Nov240101','040000108379','72',(select max(to_number(i.premium_rcv_detail_code))+1
from ins_premium_det i),'72','72','02', '11000003','00','Request by Mr. Omair Ali 29-Nov-2024');</v>
      </c>
    </row>
    <row r="2251" spans="1:8" ht="105" x14ac:dyDescent="0.25">
      <c r="A2251" t="s">
        <v>2251</v>
      </c>
      <c r="B2251" s="8" t="str">
        <f>VLOOKUP(A2251,assortedcode!B:C,2,0)</f>
        <v>070000147305</v>
      </c>
      <c r="C2251" s="1">
        <v>74</v>
      </c>
      <c r="D2251" s="9">
        <f t="shared" si="141"/>
        <v>74</v>
      </c>
      <c r="E2251" s="7" t="s">
        <v>8345</v>
      </c>
      <c r="F2251" s="10" t="str">
        <f t="shared" si="140"/>
        <v>insert into ins_premium_det (premium_rcv_code,assorted_code, rec_amount,premium_rcv_detail_code,remaining_amt, payrec, mode_code,coinsurance_code,class_cd,it_remarks) values</v>
      </c>
      <c r="G2251" s="11" t="str">
        <f t="shared" si="142"/>
        <v>('28Nov240101','070000147305','74',(select max(to_number(i.premium_rcv_detail_code))+1
from ins_premium_det i),'74','74','02', '11000003','00','Request by Mr. Omair Ali 29-Nov-2024');</v>
      </c>
      <c r="H2251" s="12" t="str">
        <f t="shared" si="143"/>
        <v>insert into ins_premium_det (premium_rcv_code,assorted_code, rec_amount,premium_rcv_detail_code,remaining_amt, payrec, mode_code,coinsurance_code,class_cd,it_remarks) values('28Nov240101','070000147305','74',(select max(to_number(i.premium_rcv_detail_code))+1
from ins_premium_det i),'74','74','02', '11000003','00','Request by Mr. Omair Ali 29-Nov-2024');</v>
      </c>
    </row>
    <row r="2252" spans="1:8" ht="105" x14ac:dyDescent="0.25">
      <c r="A2252" t="s">
        <v>2252</v>
      </c>
      <c r="B2252" s="8" t="str">
        <f>VLOOKUP(A2252,assortedcode!B:C,2,0)</f>
        <v>070000147116</v>
      </c>
      <c r="C2252" s="1">
        <v>74</v>
      </c>
      <c r="D2252" s="9">
        <f t="shared" si="141"/>
        <v>74</v>
      </c>
      <c r="E2252" s="7" t="s">
        <v>8345</v>
      </c>
      <c r="F2252" s="10" t="str">
        <f t="shared" si="140"/>
        <v>insert into ins_premium_det (premium_rcv_code,assorted_code, rec_amount,premium_rcv_detail_code,remaining_amt, payrec, mode_code,coinsurance_code,class_cd,it_remarks) values</v>
      </c>
      <c r="G2252" s="11" t="str">
        <f t="shared" si="142"/>
        <v>('28Nov240101','070000147116','74',(select max(to_number(i.premium_rcv_detail_code))+1
from ins_premium_det i),'74','74','02', '11000003','00','Request by Mr. Omair Ali 29-Nov-2024');</v>
      </c>
      <c r="H2252" s="12" t="str">
        <f t="shared" si="143"/>
        <v>insert into ins_premium_det (premium_rcv_code,assorted_code, rec_amount,premium_rcv_detail_code,remaining_amt, payrec, mode_code,coinsurance_code,class_cd,it_remarks) values('28Nov240101','070000147116','74',(select max(to_number(i.premium_rcv_detail_code))+1
from ins_premium_det i),'74','74','02', '11000003','00','Request by Mr. Omair Ali 29-Nov-2024');</v>
      </c>
    </row>
    <row r="2253" spans="1:8" ht="105" x14ac:dyDescent="0.25">
      <c r="A2253" t="s">
        <v>2253</v>
      </c>
      <c r="B2253" s="8" t="str">
        <f>VLOOKUP(A2253,assortedcode!B:C,2,0)</f>
        <v>070000167348</v>
      </c>
      <c r="C2253" s="1">
        <v>76</v>
      </c>
      <c r="D2253" s="9">
        <f t="shared" si="141"/>
        <v>76</v>
      </c>
      <c r="E2253" s="7" t="s">
        <v>8345</v>
      </c>
      <c r="F2253" s="10" t="str">
        <f t="shared" si="140"/>
        <v>insert into ins_premium_det (premium_rcv_code,assorted_code, rec_amount,premium_rcv_detail_code,remaining_amt, payrec, mode_code,coinsurance_code,class_cd,it_remarks) values</v>
      </c>
      <c r="G2253" s="11" t="str">
        <f t="shared" si="142"/>
        <v>('28Nov240101','070000167348','76',(select max(to_number(i.premium_rcv_detail_code))+1
from ins_premium_det i),'76','76','02', '11000003','00','Request by Mr. Omair Ali 29-Nov-2024');</v>
      </c>
      <c r="H2253" s="12" t="str">
        <f t="shared" si="143"/>
        <v>insert into ins_premium_det (premium_rcv_code,assorted_code, rec_amount,premium_rcv_detail_code,remaining_amt, payrec, mode_code,coinsurance_code,class_cd,it_remarks) values('28Nov240101','070000167348','76',(select max(to_number(i.premium_rcv_detail_code))+1
from ins_premium_det i),'76','76','02', '11000003','00','Request by Mr. Omair Ali 29-Nov-2024');</v>
      </c>
    </row>
    <row r="2254" spans="1:8" ht="105" x14ac:dyDescent="0.25">
      <c r="A2254" t="s">
        <v>2254</v>
      </c>
      <c r="B2254" s="8" t="str">
        <f>VLOOKUP(A2254,assortedcode!B:C,2,0)</f>
        <v>070000129113</v>
      </c>
      <c r="C2254" s="1">
        <v>76</v>
      </c>
      <c r="D2254" s="9">
        <f t="shared" si="141"/>
        <v>76</v>
      </c>
      <c r="E2254" s="7" t="s">
        <v>8345</v>
      </c>
      <c r="F2254" s="10" t="str">
        <f t="shared" si="140"/>
        <v>insert into ins_premium_det (premium_rcv_code,assorted_code, rec_amount,premium_rcv_detail_code,remaining_amt, payrec, mode_code,coinsurance_code,class_cd,it_remarks) values</v>
      </c>
      <c r="G2254" s="11" t="str">
        <f t="shared" si="142"/>
        <v>('28Nov240101','070000129113','76',(select max(to_number(i.premium_rcv_detail_code))+1
from ins_premium_det i),'76','76','02', '11000003','00','Request by Mr. Omair Ali 29-Nov-2024');</v>
      </c>
      <c r="H2254" s="12" t="str">
        <f t="shared" si="143"/>
        <v>insert into ins_premium_det (premium_rcv_code,assorted_code, rec_amount,premium_rcv_detail_code,remaining_amt, payrec, mode_code,coinsurance_code,class_cd,it_remarks) values('28Nov240101','070000129113','76',(select max(to_number(i.premium_rcv_detail_code))+1
from ins_premium_det i),'76','76','02', '11000003','00','Request by Mr. Omair Ali 29-Nov-2024');</v>
      </c>
    </row>
    <row r="2255" spans="1:8" ht="105" x14ac:dyDescent="0.25">
      <c r="A2255" t="s">
        <v>2255</v>
      </c>
      <c r="B2255" s="8" t="str">
        <f>VLOOKUP(A2255,assortedcode!B:C,2,0)</f>
        <v>070000163482</v>
      </c>
      <c r="C2255" s="1">
        <v>76</v>
      </c>
      <c r="D2255" s="9">
        <f t="shared" si="141"/>
        <v>76</v>
      </c>
      <c r="E2255" s="7" t="s">
        <v>8345</v>
      </c>
      <c r="F2255" s="10" t="str">
        <f t="shared" si="140"/>
        <v>insert into ins_premium_det (premium_rcv_code,assorted_code, rec_amount,premium_rcv_detail_code,remaining_amt, payrec, mode_code,coinsurance_code,class_cd,it_remarks) values</v>
      </c>
      <c r="G2255" s="11" t="str">
        <f t="shared" si="142"/>
        <v>('28Nov240101','070000163482','76',(select max(to_number(i.premium_rcv_detail_code))+1
from ins_premium_det i),'76','76','02', '11000003','00','Request by Mr. Omair Ali 29-Nov-2024');</v>
      </c>
      <c r="H2255" s="12" t="str">
        <f t="shared" si="143"/>
        <v>insert into ins_premium_det (premium_rcv_code,assorted_code, rec_amount,premium_rcv_detail_code,remaining_amt, payrec, mode_code,coinsurance_code,class_cd,it_remarks) values('28Nov240101','070000163482','76',(select max(to_number(i.premium_rcv_detail_code))+1
from ins_premium_det i),'76','76','02', '11000003','00','Request by Mr. Omair Ali 29-Nov-2024');</v>
      </c>
    </row>
    <row r="2256" spans="1:8" ht="105" x14ac:dyDescent="0.25">
      <c r="A2256" t="s">
        <v>2256</v>
      </c>
      <c r="B2256" s="8" t="str">
        <f>VLOOKUP(A2256,assortedcode!B:C,2,0)</f>
        <v>070000130642</v>
      </c>
      <c r="C2256" s="1">
        <v>76</v>
      </c>
      <c r="D2256" s="9">
        <f t="shared" si="141"/>
        <v>76</v>
      </c>
      <c r="E2256" s="7" t="s">
        <v>8345</v>
      </c>
      <c r="F2256" s="10" t="str">
        <f t="shared" si="140"/>
        <v>insert into ins_premium_det (premium_rcv_code,assorted_code, rec_amount,premium_rcv_detail_code,remaining_amt, payrec, mode_code,coinsurance_code,class_cd,it_remarks) values</v>
      </c>
      <c r="G2256" s="11" t="str">
        <f t="shared" si="142"/>
        <v>('28Nov240101','070000130642','76',(select max(to_number(i.premium_rcv_detail_code))+1
from ins_premium_det i),'76','76','02', '11000003','00','Request by Mr. Omair Ali 29-Nov-2024');</v>
      </c>
      <c r="H2256" s="12" t="str">
        <f t="shared" si="143"/>
        <v>insert into ins_premium_det (premium_rcv_code,assorted_code, rec_amount,premium_rcv_detail_code,remaining_amt, payrec, mode_code,coinsurance_code,class_cd,it_remarks) values('28Nov240101','070000130642','76',(select max(to_number(i.premium_rcv_detail_code))+1
from ins_premium_det i),'76','76','02', '11000003','00','Request by Mr. Omair Ali 29-Nov-2024');</v>
      </c>
    </row>
    <row r="2257" spans="1:8" ht="105" x14ac:dyDescent="0.25">
      <c r="A2257" t="s">
        <v>2257</v>
      </c>
      <c r="B2257" s="8" t="str">
        <f>VLOOKUP(A2257,assortedcode!B:C,2,0)</f>
        <v>070000147104</v>
      </c>
      <c r="C2257" s="1">
        <v>76</v>
      </c>
      <c r="D2257" s="9">
        <f t="shared" si="141"/>
        <v>76</v>
      </c>
      <c r="E2257" s="7" t="s">
        <v>8345</v>
      </c>
      <c r="F2257" s="10" t="str">
        <f t="shared" si="140"/>
        <v>insert into ins_premium_det (premium_rcv_code,assorted_code, rec_amount,premium_rcv_detail_code,remaining_amt, payrec, mode_code,coinsurance_code,class_cd,it_remarks) values</v>
      </c>
      <c r="G2257" s="11" t="str">
        <f t="shared" si="142"/>
        <v>('28Nov240101','070000147104','76',(select max(to_number(i.premium_rcv_detail_code))+1
from ins_premium_det i),'76','76','02', '11000003','00','Request by Mr. Omair Ali 29-Nov-2024');</v>
      </c>
      <c r="H2257" s="12" t="str">
        <f t="shared" si="143"/>
        <v>insert into ins_premium_det (premium_rcv_code,assorted_code, rec_amount,premium_rcv_detail_code,remaining_amt, payrec, mode_code,coinsurance_code,class_cd,it_remarks) values('28Nov240101','070000147104','76',(select max(to_number(i.premium_rcv_detail_code))+1
from ins_premium_det i),'76','76','02', '11000003','00','Request by Mr. Omair Ali 29-Nov-2024');</v>
      </c>
    </row>
    <row r="2258" spans="1:8" ht="105" x14ac:dyDescent="0.25">
      <c r="A2258" t="s">
        <v>2258</v>
      </c>
      <c r="B2258" s="8" t="str">
        <f>VLOOKUP(A2258,assortedcode!B:C,2,0)</f>
        <v>070000147282</v>
      </c>
      <c r="C2258" s="1">
        <v>76</v>
      </c>
      <c r="D2258" s="9">
        <f t="shared" si="141"/>
        <v>76</v>
      </c>
      <c r="E2258" s="7" t="s">
        <v>8345</v>
      </c>
      <c r="F2258" s="10" t="str">
        <f t="shared" si="140"/>
        <v>insert into ins_premium_det (premium_rcv_code,assorted_code, rec_amount,premium_rcv_detail_code,remaining_amt, payrec, mode_code,coinsurance_code,class_cd,it_remarks) values</v>
      </c>
      <c r="G2258" s="11" t="str">
        <f t="shared" si="142"/>
        <v>('28Nov240101','070000147282','76',(select max(to_number(i.premium_rcv_detail_code))+1
from ins_premium_det i),'76','76','02', '11000003','00','Request by Mr. Omair Ali 29-Nov-2024');</v>
      </c>
      <c r="H2258" s="12" t="str">
        <f t="shared" si="143"/>
        <v>insert into ins_premium_det (premium_rcv_code,assorted_code, rec_amount,premium_rcv_detail_code,remaining_amt, payrec, mode_code,coinsurance_code,class_cd,it_remarks) values('28Nov240101','070000147282','76',(select max(to_number(i.premium_rcv_detail_code))+1
from ins_premium_det i),'76','76','02', '11000003','00','Request by Mr. Omair Ali 29-Nov-2024');</v>
      </c>
    </row>
    <row r="2259" spans="1:8" ht="105" x14ac:dyDescent="0.25">
      <c r="A2259" t="s">
        <v>2259</v>
      </c>
      <c r="B2259" s="8" t="str">
        <f>VLOOKUP(A2259,assortedcode!B:C,2,0)</f>
        <v>040000138950</v>
      </c>
      <c r="C2259" s="1">
        <v>77</v>
      </c>
      <c r="D2259" s="9">
        <f t="shared" si="141"/>
        <v>77</v>
      </c>
      <c r="E2259" s="7" t="s">
        <v>8345</v>
      </c>
      <c r="F2259" s="10" t="str">
        <f t="shared" si="140"/>
        <v>insert into ins_premium_det (premium_rcv_code,assorted_code, rec_amount,premium_rcv_detail_code,remaining_amt, payrec, mode_code,coinsurance_code,class_cd,it_remarks) values</v>
      </c>
      <c r="G2259" s="11" t="str">
        <f t="shared" si="142"/>
        <v>('28Nov240101','040000138950','77',(select max(to_number(i.premium_rcv_detail_code))+1
from ins_premium_det i),'77','77','02', '11000003','00','Request by Mr. Omair Ali 29-Nov-2024');</v>
      </c>
      <c r="H2259" s="12" t="str">
        <f t="shared" si="143"/>
        <v>insert into ins_premium_det (premium_rcv_code,assorted_code, rec_amount,premium_rcv_detail_code,remaining_amt, payrec, mode_code,coinsurance_code,class_cd,it_remarks) values('28Nov240101','040000138950','77',(select max(to_number(i.premium_rcv_detail_code))+1
from ins_premium_det i),'77','77','02', '11000003','00','Request by Mr. Omair Ali 29-Nov-2024');</v>
      </c>
    </row>
    <row r="2260" spans="1:8" ht="105" x14ac:dyDescent="0.25">
      <c r="A2260" t="s">
        <v>2260</v>
      </c>
      <c r="B2260" s="8" t="str">
        <f>VLOOKUP(A2260,assortedcode!B:C,2,0)</f>
        <v>070000147150</v>
      </c>
      <c r="C2260" s="1">
        <v>77</v>
      </c>
      <c r="D2260" s="9">
        <f t="shared" si="141"/>
        <v>77</v>
      </c>
      <c r="E2260" s="7" t="s">
        <v>8345</v>
      </c>
      <c r="F2260" s="10" t="str">
        <f t="shared" si="140"/>
        <v>insert into ins_premium_det (premium_rcv_code,assorted_code, rec_amount,premium_rcv_detail_code,remaining_amt, payrec, mode_code,coinsurance_code,class_cd,it_remarks) values</v>
      </c>
      <c r="G2260" s="11" t="str">
        <f t="shared" si="142"/>
        <v>('28Nov240101','070000147150','77',(select max(to_number(i.premium_rcv_detail_code))+1
from ins_premium_det i),'77','77','02', '11000003','00','Request by Mr. Omair Ali 29-Nov-2024');</v>
      </c>
      <c r="H2260" s="12" t="str">
        <f t="shared" si="143"/>
        <v>insert into ins_premium_det (premium_rcv_code,assorted_code, rec_amount,premium_rcv_detail_code,remaining_amt, payrec, mode_code,coinsurance_code,class_cd,it_remarks) values('28Nov240101','070000147150','77',(select max(to_number(i.premium_rcv_detail_code))+1
from ins_premium_det i),'77','77','02', '11000003','00','Request by Mr. Omair Ali 29-Nov-2024');</v>
      </c>
    </row>
    <row r="2261" spans="1:8" ht="105" x14ac:dyDescent="0.25">
      <c r="A2261" t="s">
        <v>2261</v>
      </c>
      <c r="B2261" s="8" t="str">
        <f>VLOOKUP(A2261,assortedcode!B:C,2,0)</f>
        <v>070000167349</v>
      </c>
      <c r="C2261" s="1">
        <v>78</v>
      </c>
      <c r="D2261" s="9">
        <f t="shared" si="141"/>
        <v>78</v>
      </c>
      <c r="E2261" s="7" t="s">
        <v>8345</v>
      </c>
      <c r="F2261" s="10" t="str">
        <f t="shared" si="140"/>
        <v>insert into ins_premium_det (premium_rcv_code,assorted_code, rec_amount,premium_rcv_detail_code,remaining_amt, payrec, mode_code,coinsurance_code,class_cd,it_remarks) values</v>
      </c>
      <c r="G2261" s="11" t="str">
        <f t="shared" si="142"/>
        <v>('28Nov240101','070000167349','78',(select max(to_number(i.premium_rcv_detail_code))+1
from ins_premium_det i),'78','78','02', '11000003','00','Request by Mr. Omair Ali 29-Nov-2024');</v>
      </c>
      <c r="H2261" s="12" t="str">
        <f t="shared" si="143"/>
        <v>insert into ins_premium_det (premium_rcv_code,assorted_code, rec_amount,premium_rcv_detail_code,remaining_amt, payrec, mode_code,coinsurance_code,class_cd,it_remarks) values('28Nov240101','070000167349','78',(select max(to_number(i.premium_rcv_detail_code))+1
from ins_premium_det i),'78','78','02', '11000003','00','Request by Mr. Omair Ali 29-Nov-2024');</v>
      </c>
    </row>
    <row r="2262" spans="1:8" ht="105" x14ac:dyDescent="0.25">
      <c r="A2262" t="s">
        <v>2262</v>
      </c>
      <c r="B2262" s="8" t="str">
        <f>VLOOKUP(A2262,assortedcode!B:C,2,0)</f>
        <v>070000129222</v>
      </c>
      <c r="C2262" s="1">
        <v>78</v>
      </c>
      <c r="D2262" s="9">
        <f t="shared" si="141"/>
        <v>78</v>
      </c>
      <c r="E2262" s="7" t="s">
        <v>8345</v>
      </c>
      <c r="F2262" s="10" t="str">
        <f t="shared" si="140"/>
        <v>insert into ins_premium_det (premium_rcv_code,assorted_code, rec_amount,premium_rcv_detail_code,remaining_amt, payrec, mode_code,coinsurance_code,class_cd,it_remarks) values</v>
      </c>
      <c r="G2262" s="11" t="str">
        <f t="shared" si="142"/>
        <v>('28Nov240101','070000129222','78',(select max(to_number(i.premium_rcv_detail_code))+1
from ins_premium_det i),'78','78','02', '11000003','00','Request by Mr. Omair Ali 29-Nov-2024');</v>
      </c>
      <c r="H2262" s="12" t="str">
        <f t="shared" si="143"/>
        <v>insert into ins_premium_det (premium_rcv_code,assorted_code, rec_amount,premium_rcv_detail_code,remaining_amt, payrec, mode_code,coinsurance_code,class_cd,it_remarks) values('28Nov240101','070000129222','78',(select max(to_number(i.premium_rcv_detail_code))+1
from ins_premium_det i),'78','78','02', '11000003','00','Request by Mr. Omair Ali 29-Nov-2024');</v>
      </c>
    </row>
    <row r="2263" spans="1:8" ht="105" x14ac:dyDescent="0.25">
      <c r="A2263" t="s">
        <v>2263</v>
      </c>
      <c r="B2263" s="8" t="str">
        <f>VLOOKUP(A2263,assortedcode!B:C,2,0)</f>
        <v>040000122408</v>
      </c>
      <c r="C2263" s="1">
        <v>78</v>
      </c>
      <c r="D2263" s="9">
        <f t="shared" si="141"/>
        <v>78</v>
      </c>
      <c r="E2263" s="7" t="s">
        <v>8345</v>
      </c>
      <c r="F2263" s="10" t="str">
        <f t="shared" si="140"/>
        <v>insert into ins_premium_det (premium_rcv_code,assorted_code, rec_amount,premium_rcv_detail_code,remaining_amt, payrec, mode_code,coinsurance_code,class_cd,it_remarks) values</v>
      </c>
      <c r="G2263" s="11" t="str">
        <f t="shared" si="142"/>
        <v>('28Nov240101','040000122408','78',(select max(to_number(i.premium_rcv_detail_code))+1
from ins_premium_det i),'78','78','02', '11000003','00','Request by Mr. Omair Ali 29-Nov-2024');</v>
      </c>
      <c r="H2263" s="12" t="str">
        <f t="shared" si="143"/>
        <v>insert into ins_premium_det (premium_rcv_code,assorted_code, rec_amount,premium_rcv_detail_code,remaining_amt, payrec, mode_code,coinsurance_code,class_cd,it_remarks) values('28Nov240101','040000122408','78',(select max(to_number(i.premium_rcv_detail_code))+1
from ins_premium_det i),'78','78','02', '11000003','00','Request by Mr. Omair Ali 29-Nov-2024');</v>
      </c>
    </row>
    <row r="2264" spans="1:8" ht="105" x14ac:dyDescent="0.25">
      <c r="A2264" t="s">
        <v>2264</v>
      </c>
      <c r="B2264" s="8" t="str">
        <f>VLOOKUP(A2264,assortedcode!B:C,2,0)</f>
        <v>070000160544</v>
      </c>
      <c r="C2264" s="1">
        <v>79</v>
      </c>
      <c r="D2264" s="9">
        <f t="shared" si="141"/>
        <v>79</v>
      </c>
      <c r="E2264" s="7" t="s">
        <v>8345</v>
      </c>
      <c r="F2264" s="10" t="str">
        <f t="shared" si="140"/>
        <v>insert into ins_premium_det (premium_rcv_code,assorted_code, rec_amount,premium_rcv_detail_code,remaining_amt, payrec, mode_code,coinsurance_code,class_cd,it_remarks) values</v>
      </c>
      <c r="G2264" s="11" t="str">
        <f t="shared" si="142"/>
        <v>('28Nov240101','070000160544','79',(select max(to_number(i.premium_rcv_detail_code))+1
from ins_premium_det i),'79','79','02', '11000003','00','Request by Mr. Omair Ali 29-Nov-2024');</v>
      </c>
      <c r="H2264" s="12" t="str">
        <f t="shared" si="143"/>
        <v>insert into ins_premium_det (premium_rcv_code,assorted_code, rec_amount,premium_rcv_detail_code,remaining_amt, payrec, mode_code,coinsurance_code,class_cd,it_remarks) values('28Nov240101','070000160544','79',(select max(to_number(i.premium_rcv_detail_code))+1
from ins_premium_det i),'79','79','02', '11000003','00','Request by Mr. Omair Ali 29-Nov-2024');</v>
      </c>
    </row>
    <row r="2265" spans="1:8" ht="105" x14ac:dyDescent="0.25">
      <c r="A2265" t="s">
        <v>2265</v>
      </c>
      <c r="B2265" s="8" t="str">
        <f>VLOOKUP(A2265,assortedcode!B:C,2,0)</f>
        <v>070000146886</v>
      </c>
      <c r="C2265" s="1">
        <v>79</v>
      </c>
      <c r="D2265" s="9">
        <f t="shared" si="141"/>
        <v>79</v>
      </c>
      <c r="E2265" s="7" t="s">
        <v>8345</v>
      </c>
      <c r="F2265" s="10" t="str">
        <f t="shared" si="140"/>
        <v>insert into ins_premium_det (premium_rcv_code,assorted_code, rec_amount,premium_rcv_detail_code,remaining_amt, payrec, mode_code,coinsurance_code,class_cd,it_remarks) values</v>
      </c>
      <c r="G2265" s="11" t="str">
        <f t="shared" si="142"/>
        <v>('28Nov240101','070000146886','79',(select max(to_number(i.premium_rcv_detail_code))+1
from ins_premium_det i),'79','79','02', '11000003','00','Request by Mr. Omair Ali 29-Nov-2024');</v>
      </c>
      <c r="H2265" s="12" t="str">
        <f t="shared" si="143"/>
        <v>insert into ins_premium_det (premium_rcv_code,assorted_code, rec_amount,premium_rcv_detail_code,remaining_amt, payrec, mode_code,coinsurance_code,class_cd,it_remarks) values('28Nov240101','070000146886','79',(select max(to_number(i.premium_rcv_detail_code))+1
from ins_premium_det i),'79','79','02', '11000003','00','Request by Mr. Omair Ali 29-Nov-2024');</v>
      </c>
    </row>
    <row r="2266" spans="1:8" ht="105" x14ac:dyDescent="0.25">
      <c r="A2266" t="s">
        <v>2266</v>
      </c>
      <c r="B2266" s="8" t="str">
        <f>VLOOKUP(A2266,assortedcode!B:C,2,0)</f>
        <v>040000187236</v>
      </c>
      <c r="C2266" s="1">
        <v>79</v>
      </c>
      <c r="D2266" s="9">
        <f t="shared" si="141"/>
        <v>79</v>
      </c>
      <c r="E2266" s="7" t="s">
        <v>8345</v>
      </c>
      <c r="F2266" s="10" t="str">
        <f t="shared" si="140"/>
        <v>insert into ins_premium_det (premium_rcv_code,assorted_code, rec_amount,premium_rcv_detail_code,remaining_amt, payrec, mode_code,coinsurance_code,class_cd,it_remarks) values</v>
      </c>
      <c r="G2266" s="11" t="str">
        <f t="shared" si="142"/>
        <v>('28Nov240101','040000187236','79',(select max(to_number(i.premium_rcv_detail_code))+1
from ins_premium_det i),'79','79','02', '11000003','00','Request by Mr. Omair Ali 29-Nov-2024');</v>
      </c>
      <c r="H2266" s="12" t="str">
        <f t="shared" si="143"/>
        <v>insert into ins_premium_det (premium_rcv_code,assorted_code, rec_amount,premium_rcv_detail_code,remaining_amt, payrec, mode_code,coinsurance_code,class_cd,it_remarks) values('28Nov240101','040000187236','79',(select max(to_number(i.premium_rcv_detail_code))+1
from ins_premium_det i),'79','79','02', '11000003','00','Request by Mr. Omair Ali 29-Nov-2024');</v>
      </c>
    </row>
    <row r="2267" spans="1:8" ht="105" x14ac:dyDescent="0.25">
      <c r="A2267" t="s">
        <v>2267</v>
      </c>
      <c r="B2267" s="8" t="str">
        <f>VLOOKUP(A2267,assortedcode!B:C,2,0)</f>
        <v>070000160417</v>
      </c>
      <c r="C2267" s="1">
        <v>80</v>
      </c>
      <c r="D2267" s="9">
        <f t="shared" si="141"/>
        <v>80</v>
      </c>
      <c r="E2267" s="7" t="s">
        <v>8345</v>
      </c>
      <c r="F2267" s="10" t="str">
        <f t="shared" si="140"/>
        <v>insert into ins_premium_det (premium_rcv_code,assorted_code, rec_amount,premium_rcv_detail_code,remaining_amt, payrec, mode_code,coinsurance_code,class_cd,it_remarks) values</v>
      </c>
      <c r="G2267" s="11" t="str">
        <f t="shared" si="142"/>
        <v>('28Nov240101','070000160417','80',(select max(to_number(i.premium_rcv_detail_code))+1
from ins_premium_det i),'80','80','02', '11000003','00','Request by Mr. Omair Ali 29-Nov-2024');</v>
      </c>
      <c r="H2267" s="12" t="str">
        <f t="shared" si="143"/>
        <v>insert into ins_premium_det (premium_rcv_code,assorted_code, rec_amount,premium_rcv_detail_code,remaining_amt, payrec, mode_code,coinsurance_code,class_cd,it_remarks) values('28Nov240101','070000160417','80',(select max(to_number(i.premium_rcv_detail_code))+1
from ins_premium_det i),'80','80','02', '11000003','00','Request by Mr. Omair Ali 29-Nov-2024');</v>
      </c>
    </row>
    <row r="2268" spans="1:8" ht="105" hidden="1" x14ac:dyDescent="0.25">
      <c r="A2268" t="s">
        <v>2268</v>
      </c>
      <c r="B2268" s="8" t="e">
        <f>VLOOKUP(A2268,assortedcode!B:C,2,0)</f>
        <v>#N/A</v>
      </c>
      <c r="C2268" s="1">
        <v>80</v>
      </c>
      <c r="D2268" s="1">
        <v>80</v>
      </c>
      <c r="E2268" s="7" t="s">
        <v>8007</v>
      </c>
      <c r="F2268" s="10" t="str">
        <f t="shared" si="140"/>
        <v>insert into ins_premium_det (premium_rcv_code,assorted_code, rec_amount,premium_rcv_detail_code,remaining_amt, payrec, mode_code,coinsurance_code,class_cd,it_remarks) values</v>
      </c>
      <c r="G2268" s="11" t="e">
        <f t="shared" ref="G2243:G2306" si="144">"('"&amp;E2268&amp;"','"&amp;B2268&amp;"','"&amp;D2268&amp;"',(select max(to_number(i.premium_rcv_detail_code))+1
from ins_premium_det i),'"&amp;D2268&amp;"','"&amp;D2268&amp;"','02', '11000003','00','Request by Mr. Omair Ali 29-Nov-2024');"</f>
        <v>#N/A</v>
      </c>
      <c r="H2268" s="12" t="e">
        <f t="shared" si="143"/>
        <v>#N/A</v>
      </c>
    </row>
    <row r="2269" spans="1:8" ht="105" x14ac:dyDescent="0.25">
      <c r="A2269" t="s">
        <v>2269</v>
      </c>
      <c r="B2269" s="8" t="str">
        <f>VLOOKUP(A2269,assortedcode!B:C,2,0)</f>
        <v>070000160415</v>
      </c>
      <c r="C2269" s="1">
        <v>80</v>
      </c>
      <c r="D2269" s="9">
        <f t="shared" ref="D2269:D2332" si="145">ROUND(C2269,0)</f>
        <v>80</v>
      </c>
      <c r="E2269" s="7" t="s">
        <v>8345</v>
      </c>
      <c r="F2269" s="10" t="str">
        <f t="shared" si="140"/>
        <v>insert into ins_premium_det (premium_rcv_code,assorted_code, rec_amount,premium_rcv_detail_code,remaining_amt, payrec, mode_code,coinsurance_code,class_cd,it_remarks) values</v>
      </c>
      <c r="G2269" s="11" t="str">
        <f t="shared" ref="G2269:G2332" si="146">"('"&amp;E2269&amp;"','"&amp;B2269&amp;"','"&amp;ROUND(D2269,2)&amp;"',(select max(to_number(i.premium_rcv_detail_code))+1
from ins_premium_det i),'"&amp;D2269&amp;"','"&amp;D2269&amp;"','02', '11000003','00','Request by Mr. Omair Ali 29-Nov-2024');"</f>
        <v>('28Nov240101','070000160415','80',(select max(to_number(i.premium_rcv_detail_code))+1
from ins_premium_det i),'80','80','02', '11000003','00','Request by Mr. Omair Ali 29-Nov-2024');</v>
      </c>
      <c r="H2269" s="12" t="str">
        <f t="shared" si="143"/>
        <v>insert into ins_premium_det (premium_rcv_code,assorted_code, rec_amount,premium_rcv_detail_code,remaining_amt, payrec, mode_code,coinsurance_code,class_cd,it_remarks) values('28Nov240101','070000160415','80',(select max(to_number(i.premium_rcv_detail_code))+1
from ins_premium_det i),'80','80','02', '11000003','00','Request by Mr. Omair Ali 29-Nov-2024');</v>
      </c>
    </row>
    <row r="2270" spans="1:8" ht="105" x14ac:dyDescent="0.25">
      <c r="A2270" t="s">
        <v>2270</v>
      </c>
      <c r="B2270" s="8" t="str">
        <f>VLOOKUP(A2270,assortedcode!B:C,2,0)</f>
        <v>070000160416</v>
      </c>
      <c r="C2270" s="1">
        <v>80</v>
      </c>
      <c r="D2270" s="9">
        <f t="shared" si="145"/>
        <v>80</v>
      </c>
      <c r="E2270" s="7" t="s">
        <v>8345</v>
      </c>
      <c r="F2270" s="10" t="str">
        <f t="shared" si="140"/>
        <v>insert into ins_premium_det (premium_rcv_code,assorted_code, rec_amount,premium_rcv_detail_code,remaining_amt, payrec, mode_code,coinsurance_code,class_cd,it_remarks) values</v>
      </c>
      <c r="G2270" s="11" t="str">
        <f t="shared" si="146"/>
        <v>('28Nov240101','070000160416','80',(select max(to_number(i.premium_rcv_detail_code))+1
from ins_premium_det i),'80','80','02', '11000003','00','Request by Mr. Omair Ali 29-Nov-2024');</v>
      </c>
      <c r="H2270" s="12" t="str">
        <f t="shared" si="143"/>
        <v>insert into ins_premium_det (premium_rcv_code,assorted_code, rec_amount,premium_rcv_detail_code,remaining_amt, payrec, mode_code,coinsurance_code,class_cd,it_remarks) values('28Nov240101','070000160416','80',(select max(to_number(i.premium_rcv_detail_code))+1
from ins_premium_det i),'80','80','02', '11000003','00','Request by Mr. Omair Ali 29-Nov-2024');</v>
      </c>
    </row>
    <row r="2271" spans="1:8" ht="105" x14ac:dyDescent="0.25">
      <c r="A2271" t="s">
        <v>2271</v>
      </c>
      <c r="B2271" s="8" t="str">
        <f>VLOOKUP(A2271,assortedcode!B:C,2,0)</f>
        <v>070000160552</v>
      </c>
      <c r="C2271" s="1">
        <v>80</v>
      </c>
      <c r="D2271" s="9">
        <f t="shared" si="145"/>
        <v>80</v>
      </c>
      <c r="E2271" s="7" t="s">
        <v>8345</v>
      </c>
      <c r="F2271" s="10" t="str">
        <f t="shared" si="140"/>
        <v>insert into ins_premium_det (premium_rcv_code,assorted_code, rec_amount,premium_rcv_detail_code,remaining_amt, payrec, mode_code,coinsurance_code,class_cd,it_remarks) values</v>
      </c>
      <c r="G2271" s="11" t="str">
        <f t="shared" si="146"/>
        <v>('28Nov240101','070000160552','80',(select max(to_number(i.premium_rcv_detail_code))+1
from ins_premium_det i),'80','80','02', '11000003','00','Request by Mr. Omair Ali 29-Nov-2024');</v>
      </c>
      <c r="H2271" s="12" t="str">
        <f t="shared" si="143"/>
        <v>insert into ins_premium_det (premium_rcv_code,assorted_code, rec_amount,premium_rcv_detail_code,remaining_amt, payrec, mode_code,coinsurance_code,class_cd,it_remarks) values('28Nov240101','070000160552','80',(select max(to_number(i.premium_rcv_detail_code))+1
from ins_premium_det i),'80','80','02', '11000003','00','Request by Mr. Omair Ali 29-Nov-2024');</v>
      </c>
    </row>
    <row r="2272" spans="1:8" ht="105" x14ac:dyDescent="0.25">
      <c r="A2272" t="s">
        <v>2272</v>
      </c>
      <c r="B2272" s="8" t="str">
        <f>VLOOKUP(A2272,assortedcode!B:C,2,0)</f>
        <v>070000160537</v>
      </c>
      <c r="C2272" s="1">
        <v>80</v>
      </c>
      <c r="D2272" s="9">
        <f t="shared" si="145"/>
        <v>80</v>
      </c>
      <c r="E2272" s="7" t="s">
        <v>8345</v>
      </c>
      <c r="F2272" s="10" t="str">
        <f t="shared" si="140"/>
        <v>insert into ins_premium_det (premium_rcv_code,assorted_code, rec_amount,premium_rcv_detail_code,remaining_amt, payrec, mode_code,coinsurance_code,class_cd,it_remarks) values</v>
      </c>
      <c r="G2272" s="11" t="str">
        <f t="shared" si="146"/>
        <v>('28Nov240101','070000160537','80',(select max(to_number(i.premium_rcv_detail_code))+1
from ins_premium_det i),'80','80','02', '11000003','00','Request by Mr. Omair Ali 29-Nov-2024');</v>
      </c>
      <c r="H2272" s="12" t="str">
        <f t="shared" si="143"/>
        <v>insert into ins_premium_det (premium_rcv_code,assorted_code, rec_amount,premium_rcv_detail_code,remaining_amt, payrec, mode_code,coinsurance_code,class_cd,it_remarks) values('28Nov240101','070000160537','80',(select max(to_number(i.premium_rcv_detail_code))+1
from ins_premium_det i),'80','80','02', '11000003','00','Request by Mr. Omair Ali 29-Nov-2024');</v>
      </c>
    </row>
    <row r="2273" spans="1:8" ht="105" x14ac:dyDescent="0.25">
      <c r="A2273" t="s">
        <v>2273</v>
      </c>
      <c r="B2273" s="8" t="str">
        <f>VLOOKUP(A2273,assortedcode!B:C,2,0)</f>
        <v>040000161920</v>
      </c>
      <c r="C2273" s="1">
        <v>80</v>
      </c>
      <c r="D2273" s="9">
        <f t="shared" si="145"/>
        <v>80</v>
      </c>
      <c r="E2273" s="7" t="s">
        <v>8345</v>
      </c>
      <c r="F2273" s="10" t="str">
        <f t="shared" si="140"/>
        <v>insert into ins_premium_det (premium_rcv_code,assorted_code, rec_amount,premium_rcv_detail_code,remaining_amt, payrec, mode_code,coinsurance_code,class_cd,it_remarks) values</v>
      </c>
      <c r="G2273" s="11" t="str">
        <f t="shared" si="146"/>
        <v>('28Nov240101','040000161920','80',(select max(to_number(i.premium_rcv_detail_code))+1
from ins_premium_det i),'80','80','02', '11000003','00','Request by Mr. Omair Ali 29-Nov-2024');</v>
      </c>
      <c r="H2273" s="12" t="str">
        <f t="shared" si="143"/>
        <v>insert into ins_premium_det (premium_rcv_code,assorted_code, rec_amount,premium_rcv_detail_code,remaining_amt, payrec, mode_code,coinsurance_code,class_cd,it_remarks) values('28Nov240101','040000161920','80',(select max(to_number(i.premium_rcv_detail_code))+1
from ins_premium_det i),'80','80','02', '11000003','00','Request by Mr. Omair Ali 29-Nov-2024');</v>
      </c>
    </row>
    <row r="2274" spans="1:8" ht="105" x14ac:dyDescent="0.25">
      <c r="A2274" t="s">
        <v>2274</v>
      </c>
      <c r="B2274" s="8" t="str">
        <f>VLOOKUP(A2274,assortedcode!B:C,2,0)</f>
        <v>070000160525</v>
      </c>
      <c r="C2274" s="1">
        <v>80</v>
      </c>
      <c r="D2274" s="9">
        <f t="shared" si="145"/>
        <v>80</v>
      </c>
      <c r="E2274" s="7" t="s">
        <v>8345</v>
      </c>
      <c r="F2274" s="10" t="str">
        <f t="shared" si="140"/>
        <v>insert into ins_premium_det (premium_rcv_code,assorted_code, rec_amount,premium_rcv_detail_code,remaining_amt, payrec, mode_code,coinsurance_code,class_cd,it_remarks) values</v>
      </c>
      <c r="G2274" s="11" t="str">
        <f t="shared" si="146"/>
        <v>('28Nov240101','070000160525','80',(select max(to_number(i.premium_rcv_detail_code))+1
from ins_premium_det i),'80','80','02', '11000003','00','Request by Mr. Omair Ali 29-Nov-2024');</v>
      </c>
      <c r="H2274" s="12" t="str">
        <f t="shared" si="143"/>
        <v>insert into ins_premium_det (premium_rcv_code,assorted_code, rec_amount,premium_rcv_detail_code,remaining_amt, payrec, mode_code,coinsurance_code,class_cd,it_remarks) values('28Nov240101','070000160525','80',(select max(to_number(i.premium_rcv_detail_code))+1
from ins_premium_det i),'80','80','02', '11000003','00','Request by Mr. Omair Ali 29-Nov-2024');</v>
      </c>
    </row>
    <row r="2275" spans="1:8" ht="105" x14ac:dyDescent="0.25">
      <c r="A2275" t="s">
        <v>2275</v>
      </c>
      <c r="B2275" s="8" t="str">
        <f>VLOOKUP(A2275,assortedcode!B:C,2,0)</f>
        <v>040000161505</v>
      </c>
      <c r="C2275" s="1">
        <v>80</v>
      </c>
      <c r="D2275" s="9">
        <f t="shared" si="145"/>
        <v>80</v>
      </c>
      <c r="E2275" s="7" t="s">
        <v>8345</v>
      </c>
      <c r="F2275" s="10" t="str">
        <f t="shared" si="140"/>
        <v>insert into ins_premium_det (premium_rcv_code,assorted_code, rec_amount,premium_rcv_detail_code,remaining_amt, payrec, mode_code,coinsurance_code,class_cd,it_remarks) values</v>
      </c>
      <c r="G2275" s="11" t="str">
        <f t="shared" si="146"/>
        <v>('28Nov240101','040000161505','80',(select max(to_number(i.premium_rcv_detail_code))+1
from ins_premium_det i),'80','80','02', '11000003','00','Request by Mr. Omair Ali 29-Nov-2024');</v>
      </c>
      <c r="H2275" s="12" t="str">
        <f t="shared" si="143"/>
        <v>insert into ins_premium_det (premium_rcv_code,assorted_code, rec_amount,premium_rcv_detail_code,remaining_amt, payrec, mode_code,coinsurance_code,class_cd,it_remarks) values('28Nov240101','040000161505','80',(select max(to_number(i.premium_rcv_detail_code))+1
from ins_premium_det i),'80','80','02', '11000003','00','Request by Mr. Omair Ali 29-Nov-2024');</v>
      </c>
    </row>
    <row r="2276" spans="1:8" ht="105" x14ac:dyDescent="0.25">
      <c r="A2276" t="s">
        <v>2276</v>
      </c>
      <c r="B2276" s="8" t="str">
        <f>VLOOKUP(A2276,assortedcode!B:C,2,0)</f>
        <v>040000161416</v>
      </c>
      <c r="C2276" s="1">
        <v>80</v>
      </c>
      <c r="D2276" s="9">
        <f t="shared" si="145"/>
        <v>80</v>
      </c>
      <c r="E2276" s="7" t="s">
        <v>8345</v>
      </c>
      <c r="F2276" s="10" t="str">
        <f t="shared" si="140"/>
        <v>insert into ins_premium_det (premium_rcv_code,assorted_code, rec_amount,premium_rcv_detail_code,remaining_amt, payrec, mode_code,coinsurance_code,class_cd,it_remarks) values</v>
      </c>
      <c r="G2276" s="11" t="str">
        <f t="shared" si="146"/>
        <v>('28Nov240101','040000161416','80',(select max(to_number(i.premium_rcv_detail_code))+1
from ins_premium_det i),'80','80','02', '11000003','00','Request by Mr. Omair Ali 29-Nov-2024');</v>
      </c>
      <c r="H2276" s="12" t="str">
        <f t="shared" si="143"/>
        <v>insert into ins_premium_det (premium_rcv_code,assorted_code, rec_amount,premium_rcv_detail_code,remaining_amt, payrec, mode_code,coinsurance_code,class_cd,it_remarks) values('28Nov240101','040000161416','80',(select max(to_number(i.premium_rcv_detail_code))+1
from ins_premium_det i),'80','80','02', '11000003','00','Request by Mr. Omair Ali 29-Nov-2024');</v>
      </c>
    </row>
    <row r="2277" spans="1:8" ht="105" x14ac:dyDescent="0.25">
      <c r="A2277" t="s">
        <v>2277</v>
      </c>
      <c r="B2277" s="8" t="str">
        <f>VLOOKUP(A2277,assortedcode!B:C,2,0)</f>
        <v>040000180279</v>
      </c>
      <c r="C2277" s="1">
        <v>81</v>
      </c>
      <c r="D2277" s="9">
        <f t="shared" si="145"/>
        <v>81</v>
      </c>
      <c r="E2277" s="7" t="s">
        <v>8345</v>
      </c>
      <c r="F2277" s="10" t="str">
        <f t="shared" si="140"/>
        <v>insert into ins_premium_det (premium_rcv_code,assorted_code, rec_amount,premium_rcv_detail_code,remaining_amt, payrec, mode_code,coinsurance_code,class_cd,it_remarks) values</v>
      </c>
      <c r="G2277" s="11" t="str">
        <f t="shared" si="146"/>
        <v>('28Nov240101','040000180279','81',(select max(to_number(i.premium_rcv_detail_code))+1
from ins_premium_det i),'81','81','02', '11000003','00','Request by Mr. Omair Ali 29-Nov-2024');</v>
      </c>
      <c r="H2277" s="12" t="str">
        <f t="shared" si="143"/>
        <v>insert into ins_premium_det (premium_rcv_code,assorted_code, rec_amount,premium_rcv_detail_code,remaining_amt, payrec, mode_code,coinsurance_code,class_cd,it_remarks) values('28Nov240101','040000180279','81',(select max(to_number(i.premium_rcv_detail_code))+1
from ins_premium_det i),'81','81','02', '11000003','00','Request by Mr. Omair Ali 29-Nov-2024');</v>
      </c>
    </row>
    <row r="2278" spans="1:8" ht="105" x14ac:dyDescent="0.25">
      <c r="A2278" t="s">
        <v>2278</v>
      </c>
      <c r="B2278" s="8" t="str">
        <f>VLOOKUP(A2278,assortedcode!B:C,2,0)</f>
        <v>040000143156</v>
      </c>
      <c r="C2278" s="1">
        <v>82</v>
      </c>
      <c r="D2278" s="9">
        <f t="shared" si="145"/>
        <v>82</v>
      </c>
      <c r="E2278" s="7" t="s">
        <v>8345</v>
      </c>
      <c r="F2278" s="10" t="str">
        <f t="shared" si="140"/>
        <v>insert into ins_premium_det (premium_rcv_code,assorted_code, rec_amount,premium_rcv_detail_code,remaining_amt, payrec, mode_code,coinsurance_code,class_cd,it_remarks) values</v>
      </c>
      <c r="G2278" s="11" t="str">
        <f t="shared" si="146"/>
        <v>('28Nov240101','040000143156','82',(select max(to_number(i.premium_rcv_detail_code))+1
from ins_premium_det i),'82','82','02', '11000003','00','Request by Mr. Omair Ali 29-Nov-2024');</v>
      </c>
      <c r="H2278" s="12" t="str">
        <f t="shared" si="143"/>
        <v>insert into ins_premium_det (premium_rcv_code,assorted_code, rec_amount,premium_rcv_detail_code,remaining_amt, payrec, mode_code,coinsurance_code,class_cd,it_remarks) values('28Nov240101','040000143156','82',(select max(to_number(i.premium_rcv_detail_code))+1
from ins_premium_det i),'82','82','02', '11000003','00','Request by Mr. Omair Ali 29-Nov-2024');</v>
      </c>
    </row>
    <row r="2279" spans="1:8" ht="105" x14ac:dyDescent="0.25">
      <c r="A2279" t="s">
        <v>2279</v>
      </c>
      <c r="B2279" s="8" t="str">
        <f>VLOOKUP(A2279,assortedcode!B:C,2,0)</f>
        <v>040000181176</v>
      </c>
      <c r="C2279" s="1">
        <v>82</v>
      </c>
      <c r="D2279" s="9">
        <f t="shared" si="145"/>
        <v>82</v>
      </c>
      <c r="E2279" s="7" t="s">
        <v>8345</v>
      </c>
      <c r="F2279" s="10" t="str">
        <f t="shared" si="140"/>
        <v>insert into ins_premium_det (premium_rcv_code,assorted_code, rec_amount,premium_rcv_detail_code,remaining_amt, payrec, mode_code,coinsurance_code,class_cd,it_remarks) values</v>
      </c>
      <c r="G2279" s="11" t="str">
        <f t="shared" si="146"/>
        <v>('28Nov240101','040000181176','82',(select max(to_number(i.premium_rcv_detail_code))+1
from ins_premium_det i),'82','82','02', '11000003','00','Request by Mr. Omair Ali 29-Nov-2024');</v>
      </c>
      <c r="H2279" s="12" t="str">
        <f t="shared" si="143"/>
        <v>insert into ins_premium_det (premium_rcv_code,assorted_code, rec_amount,premium_rcv_detail_code,remaining_amt, payrec, mode_code,coinsurance_code,class_cd,it_remarks) values('28Nov240101','040000181176','82',(select max(to_number(i.premium_rcv_detail_code))+1
from ins_premium_det i),'82','82','02', '11000003','00','Request by Mr. Omair Ali 29-Nov-2024');</v>
      </c>
    </row>
    <row r="2280" spans="1:8" ht="105" x14ac:dyDescent="0.25">
      <c r="A2280" t="s">
        <v>2280</v>
      </c>
      <c r="B2280" s="8" t="str">
        <f>VLOOKUP(A2280,assortedcode!B:C,2,0)</f>
        <v>040000177746</v>
      </c>
      <c r="C2280" s="1">
        <v>84</v>
      </c>
      <c r="D2280" s="9">
        <f t="shared" si="145"/>
        <v>84</v>
      </c>
      <c r="E2280" s="7" t="s">
        <v>8345</v>
      </c>
      <c r="F2280" s="10" t="str">
        <f t="shared" si="140"/>
        <v>insert into ins_premium_det (premium_rcv_code,assorted_code, rec_amount,premium_rcv_detail_code,remaining_amt, payrec, mode_code,coinsurance_code,class_cd,it_remarks) values</v>
      </c>
      <c r="G2280" s="11" t="str">
        <f t="shared" si="146"/>
        <v>('28Nov240101','040000177746','84',(select max(to_number(i.premium_rcv_detail_code))+1
from ins_premium_det i),'84','84','02', '11000003','00','Request by Mr. Omair Ali 29-Nov-2024');</v>
      </c>
      <c r="H2280" s="12" t="str">
        <f t="shared" si="143"/>
        <v>insert into ins_premium_det (premium_rcv_code,assorted_code, rec_amount,premium_rcv_detail_code,remaining_amt, payrec, mode_code,coinsurance_code,class_cd,it_remarks) values('28Nov240101','040000177746','84',(select max(to_number(i.premium_rcv_detail_code))+1
from ins_premium_det i),'84','84','02', '11000003','00','Request by Mr. Omair Ali 29-Nov-2024');</v>
      </c>
    </row>
    <row r="2281" spans="1:8" ht="105" x14ac:dyDescent="0.25">
      <c r="A2281" t="s">
        <v>2281</v>
      </c>
      <c r="B2281" s="8" t="str">
        <f>VLOOKUP(A2281,assortedcode!B:C,2,0)</f>
        <v>040000127431</v>
      </c>
      <c r="C2281" s="1">
        <v>84</v>
      </c>
      <c r="D2281" s="9">
        <f t="shared" si="145"/>
        <v>84</v>
      </c>
      <c r="E2281" s="7" t="s">
        <v>8345</v>
      </c>
      <c r="F2281" s="10" t="str">
        <f t="shared" si="140"/>
        <v>insert into ins_premium_det (premium_rcv_code,assorted_code, rec_amount,premium_rcv_detail_code,remaining_amt, payrec, mode_code,coinsurance_code,class_cd,it_remarks) values</v>
      </c>
      <c r="G2281" s="11" t="str">
        <f t="shared" si="146"/>
        <v>('28Nov240101','040000127431','84',(select max(to_number(i.premium_rcv_detail_code))+1
from ins_premium_det i),'84','84','02', '11000003','00','Request by Mr. Omair Ali 29-Nov-2024');</v>
      </c>
      <c r="H2281" s="12" t="str">
        <f t="shared" si="143"/>
        <v>insert into ins_premium_det (premium_rcv_code,assorted_code, rec_amount,premium_rcv_detail_code,remaining_amt, payrec, mode_code,coinsurance_code,class_cd,it_remarks) values('28Nov240101','040000127431','84',(select max(to_number(i.premium_rcv_detail_code))+1
from ins_premium_det i),'84','84','02', '11000003','00','Request by Mr. Omair Ali 29-Nov-2024');</v>
      </c>
    </row>
    <row r="2282" spans="1:8" ht="105" x14ac:dyDescent="0.25">
      <c r="A2282" t="s">
        <v>2282</v>
      </c>
      <c r="B2282" s="8" t="str">
        <f>VLOOKUP(A2282,assortedcode!B:C,2,0)</f>
        <v>070000147297</v>
      </c>
      <c r="C2282" s="1">
        <v>85</v>
      </c>
      <c r="D2282" s="9">
        <f t="shared" si="145"/>
        <v>85</v>
      </c>
      <c r="E2282" s="7" t="s">
        <v>8345</v>
      </c>
      <c r="F2282" s="10" t="str">
        <f t="shared" si="140"/>
        <v>insert into ins_premium_det (premium_rcv_code,assorted_code, rec_amount,premium_rcv_detail_code,remaining_amt, payrec, mode_code,coinsurance_code,class_cd,it_remarks) values</v>
      </c>
      <c r="G2282" s="11" t="str">
        <f t="shared" si="146"/>
        <v>('28Nov240101','070000147297','85',(select max(to_number(i.premium_rcv_detail_code))+1
from ins_premium_det i),'85','85','02', '11000003','00','Request by Mr. Omair Ali 29-Nov-2024');</v>
      </c>
      <c r="H2282" s="12" t="str">
        <f t="shared" si="143"/>
        <v>insert into ins_premium_det (premium_rcv_code,assorted_code, rec_amount,premium_rcv_detail_code,remaining_amt, payrec, mode_code,coinsurance_code,class_cd,it_remarks) values('28Nov240101','070000147297','85',(select max(to_number(i.premium_rcv_detail_code))+1
from ins_premium_det i),'85','85','02', '11000003','00','Request by Mr. Omair Ali 29-Nov-2024');</v>
      </c>
    </row>
    <row r="2283" spans="1:8" ht="105" x14ac:dyDescent="0.25">
      <c r="A2283" t="s">
        <v>2283</v>
      </c>
      <c r="B2283" s="8" t="str">
        <f>VLOOKUP(A2283,assortedcode!B:C,2,0)</f>
        <v>070000161003</v>
      </c>
      <c r="C2283" s="1">
        <v>85</v>
      </c>
      <c r="D2283" s="9">
        <f t="shared" si="145"/>
        <v>85</v>
      </c>
      <c r="E2283" s="7" t="s">
        <v>8345</v>
      </c>
      <c r="F2283" s="10" t="str">
        <f t="shared" si="140"/>
        <v>insert into ins_premium_det (premium_rcv_code,assorted_code, rec_amount,premium_rcv_detail_code,remaining_amt, payrec, mode_code,coinsurance_code,class_cd,it_remarks) values</v>
      </c>
      <c r="G2283" s="11" t="str">
        <f t="shared" si="146"/>
        <v>('28Nov240101','070000161003','85',(select max(to_number(i.premium_rcv_detail_code))+1
from ins_premium_det i),'85','85','02', '11000003','00','Request by Mr. Omair Ali 29-Nov-2024');</v>
      </c>
      <c r="H2283" s="12" t="str">
        <f t="shared" si="143"/>
        <v>insert into ins_premium_det (premium_rcv_code,assorted_code, rec_amount,premium_rcv_detail_code,remaining_amt, payrec, mode_code,coinsurance_code,class_cd,it_remarks) values('28Nov240101','070000161003','85',(select max(to_number(i.premium_rcv_detail_code))+1
from ins_premium_det i),'85','85','02', '11000003','00','Request by Mr. Omair Ali 29-Nov-2024');</v>
      </c>
    </row>
    <row r="2284" spans="1:8" ht="105" x14ac:dyDescent="0.25">
      <c r="A2284" t="s">
        <v>2284</v>
      </c>
      <c r="B2284" s="8" t="str">
        <f>VLOOKUP(A2284,assortedcode!B:C,2,0)</f>
        <v>070000161506</v>
      </c>
      <c r="C2284" s="1">
        <v>85</v>
      </c>
      <c r="D2284" s="9">
        <f t="shared" si="145"/>
        <v>85</v>
      </c>
      <c r="E2284" s="7" t="s">
        <v>8345</v>
      </c>
      <c r="F2284" s="10" t="str">
        <f t="shared" si="140"/>
        <v>insert into ins_premium_det (premium_rcv_code,assorted_code, rec_amount,premium_rcv_detail_code,remaining_amt, payrec, mode_code,coinsurance_code,class_cd,it_remarks) values</v>
      </c>
      <c r="G2284" s="11" t="str">
        <f t="shared" si="146"/>
        <v>('28Nov240101','070000161506','85',(select max(to_number(i.premium_rcv_detail_code))+1
from ins_premium_det i),'85','85','02', '11000003','00','Request by Mr. Omair Ali 29-Nov-2024');</v>
      </c>
      <c r="H2284" s="12" t="str">
        <f t="shared" si="143"/>
        <v>insert into ins_premium_det (premium_rcv_code,assorted_code, rec_amount,premium_rcv_detail_code,remaining_amt, payrec, mode_code,coinsurance_code,class_cd,it_remarks) values('28Nov240101','070000161506','85',(select max(to_number(i.premium_rcv_detail_code))+1
from ins_premium_det i),'85','85','02', '11000003','00','Request by Mr. Omair Ali 29-Nov-2024');</v>
      </c>
    </row>
    <row r="2285" spans="1:8" ht="105" x14ac:dyDescent="0.25">
      <c r="A2285" t="s">
        <v>2285</v>
      </c>
      <c r="B2285" s="8" t="str">
        <f>VLOOKUP(A2285,assortedcode!B:C,2,0)</f>
        <v>070000147298</v>
      </c>
      <c r="C2285" s="1">
        <v>85</v>
      </c>
      <c r="D2285" s="9">
        <f t="shared" si="145"/>
        <v>85</v>
      </c>
      <c r="E2285" s="7" t="s">
        <v>8345</v>
      </c>
      <c r="F2285" s="10" t="str">
        <f t="shared" si="140"/>
        <v>insert into ins_premium_det (premium_rcv_code,assorted_code, rec_amount,premium_rcv_detail_code,remaining_amt, payrec, mode_code,coinsurance_code,class_cd,it_remarks) values</v>
      </c>
      <c r="G2285" s="11" t="str">
        <f t="shared" si="146"/>
        <v>('28Nov240101','070000147298','85',(select max(to_number(i.premium_rcv_detail_code))+1
from ins_premium_det i),'85','85','02', '11000003','00','Request by Mr. Omair Ali 29-Nov-2024');</v>
      </c>
      <c r="H2285" s="12" t="str">
        <f t="shared" si="143"/>
        <v>insert into ins_premium_det (premium_rcv_code,assorted_code, rec_amount,premium_rcv_detail_code,remaining_amt, payrec, mode_code,coinsurance_code,class_cd,it_remarks) values('28Nov240101','070000147298','85',(select max(to_number(i.premium_rcv_detail_code))+1
from ins_premium_det i),'85','85','02', '11000003','00','Request by Mr. Omair Ali 29-Nov-2024');</v>
      </c>
    </row>
    <row r="2286" spans="1:8" ht="105" x14ac:dyDescent="0.25">
      <c r="A2286" t="s">
        <v>2286</v>
      </c>
      <c r="B2286" s="8" t="str">
        <f>VLOOKUP(A2286,assortedcode!B:C,2,0)</f>
        <v>040000142503</v>
      </c>
      <c r="C2286" s="1">
        <v>86</v>
      </c>
      <c r="D2286" s="9">
        <f t="shared" si="145"/>
        <v>86</v>
      </c>
      <c r="E2286" s="7" t="s">
        <v>8345</v>
      </c>
      <c r="F2286" s="10" t="str">
        <f t="shared" si="140"/>
        <v>insert into ins_premium_det (premium_rcv_code,assorted_code, rec_amount,premium_rcv_detail_code,remaining_amt, payrec, mode_code,coinsurance_code,class_cd,it_remarks) values</v>
      </c>
      <c r="G2286" s="11" t="str">
        <f t="shared" si="146"/>
        <v>('28Nov240101','040000142503','86',(select max(to_number(i.premium_rcv_detail_code))+1
from ins_premium_det i),'86','86','02', '11000003','00','Request by Mr. Omair Ali 29-Nov-2024');</v>
      </c>
      <c r="H2286" s="12" t="str">
        <f t="shared" si="143"/>
        <v>insert into ins_premium_det (premium_rcv_code,assorted_code, rec_amount,premium_rcv_detail_code,remaining_amt, payrec, mode_code,coinsurance_code,class_cd,it_remarks) values('28Nov240101','040000142503','86',(select max(to_number(i.premium_rcv_detail_code))+1
from ins_premium_det i),'86','86','02', '11000003','00','Request by Mr. Omair Ali 29-Nov-2024');</v>
      </c>
    </row>
    <row r="2287" spans="1:8" ht="105" x14ac:dyDescent="0.25">
      <c r="A2287" t="s">
        <v>2287</v>
      </c>
      <c r="B2287" s="8" t="str">
        <f>VLOOKUP(A2287,assortedcode!B:C,2,0)</f>
        <v>070000160528</v>
      </c>
      <c r="C2287" s="1">
        <v>88</v>
      </c>
      <c r="D2287" s="9">
        <f t="shared" si="145"/>
        <v>88</v>
      </c>
      <c r="E2287" s="7" t="s">
        <v>8345</v>
      </c>
      <c r="F2287" s="10" t="str">
        <f t="shared" si="140"/>
        <v>insert into ins_premium_det (premium_rcv_code,assorted_code, rec_amount,premium_rcv_detail_code,remaining_amt, payrec, mode_code,coinsurance_code,class_cd,it_remarks) values</v>
      </c>
      <c r="G2287" s="11" t="str">
        <f t="shared" si="146"/>
        <v>('28Nov240101','070000160528','88',(select max(to_number(i.premium_rcv_detail_code))+1
from ins_premium_det i),'88','88','02', '11000003','00','Request by Mr. Omair Ali 29-Nov-2024');</v>
      </c>
      <c r="H2287" s="12" t="str">
        <f t="shared" si="143"/>
        <v>insert into ins_premium_det (premium_rcv_code,assorted_code, rec_amount,premium_rcv_detail_code,remaining_amt, payrec, mode_code,coinsurance_code,class_cd,it_remarks) values('28Nov240101','070000160528','88',(select max(to_number(i.premium_rcv_detail_code))+1
from ins_premium_det i),'88','88','02', '11000003','00','Request by Mr. Omair Ali 29-Nov-2024');</v>
      </c>
    </row>
    <row r="2288" spans="1:8" ht="105" x14ac:dyDescent="0.25">
      <c r="A2288" t="s">
        <v>2288</v>
      </c>
      <c r="B2288" s="8" t="str">
        <f>VLOOKUP(A2288,assortedcode!B:C,2,0)</f>
        <v>070000146887</v>
      </c>
      <c r="C2288" s="1">
        <v>88</v>
      </c>
      <c r="D2288" s="9">
        <f t="shared" si="145"/>
        <v>88</v>
      </c>
      <c r="E2288" s="7" t="s">
        <v>8345</v>
      </c>
      <c r="F2288" s="10" t="str">
        <f t="shared" si="140"/>
        <v>insert into ins_premium_det (premium_rcv_code,assorted_code, rec_amount,premium_rcv_detail_code,remaining_amt, payrec, mode_code,coinsurance_code,class_cd,it_remarks) values</v>
      </c>
      <c r="G2288" s="11" t="str">
        <f t="shared" si="146"/>
        <v>('28Nov240101','070000146887','88',(select max(to_number(i.premium_rcv_detail_code))+1
from ins_premium_det i),'88','88','02', '11000003','00','Request by Mr. Omair Ali 29-Nov-2024');</v>
      </c>
      <c r="H2288" s="12" t="str">
        <f t="shared" si="143"/>
        <v>insert into ins_premium_det (premium_rcv_code,assorted_code, rec_amount,premium_rcv_detail_code,remaining_amt, payrec, mode_code,coinsurance_code,class_cd,it_remarks) values('28Nov240101','070000146887','88',(select max(to_number(i.premium_rcv_detail_code))+1
from ins_premium_det i),'88','88','02', '11000003','00','Request by Mr. Omair Ali 29-Nov-2024');</v>
      </c>
    </row>
    <row r="2289" spans="1:8" ht="105" x14ac:dyDescent="0.25">
      <c r="A2289" t="s">
        <v>2289</v>
      </c>
      <c r="B2289" s="8" t="str">
        <f>VLOOKUP(A2289,assortedcode!B:C,2,0)</f>
        <v>070000167396</v>
      </c>
      <c r="C2289" s="1">
        <v>89</v>
      </c>
      <c r="D2289" s="9">
        <f t="shared" si="145"/>
        <v>89</v>
      </c>
      <c r="E2289" s="7" t="s">
        <v>8345</v>
      </c>
      <c r="F2289" s="10" t="str">
        <f t="shared" si="140"/>
        <v>insert into ins_premium_det (premium_rcv_code,assorted_code, rec_amount,premium_rcv_detail_code,remaining_amt, payrec, mode_code,coinsurance_code,class_cd,it_remarks) values</v>
      </c>
      <c r="G2289" s="11" t="str">
        <f t="shared" si="146"/>
        <v>('28Nov240101','070000167396','89',(select max(to_number(i.premium_rcv_detail_code))+1
from ins_premium_det i),'89','89','02', '11000003','00','Request by Mr. Omair Ali 29-Nov-2024');</v>
      </c>
      <c r="H2289" s="12" t="str">
        <f t="shared" si="143"/>
        <v>insert into ins_premium_det (premium_rcv_code,assorted_code, rec_amount,premium_rcv_detail_code,remaining_amt, payrec, mode_code,coinsurance_code,class_cd,it_remarks) values('28Nov240101','070000167396','89',(select max(to_number(i.premium_rcv_detail_code))+1
from ins_premium_det i),'89','89','02', '11000003','00','Request by Mr. Omair Ali 29-Nov-2024');</v>
      </c>
    </row>
    <row r="2290" spans="1:8" ht="105" x14ac:dyDescent="0.25">
      <c r="A2290" t="s">
        <v>2290</v>
      </c>
      <c r="B2290" s="8" t="str">
        <f>VLOOKUP(A2290,assortedcode!B:C,2,0)</f>
        <v>040000171925</v>
      </c>
      <c r="C2290" s="1">
        <v>89</v>
      </c>
      <c r="D2290" s="9">
        <f t="shared" si="145"/>
        <v>89</v>
      </c>
      <c r="E2290" s="7" t="s">
        <v>8345</v>
      </c>
      <c r="F2290" s="10" t="str">
        <f t="shared" si="140"/>
        <v>insert into ins_premium_det (premium_rcv_code,assorted_code, rec_amount,premium_rcv_detail_code,remaining_amt, payrec, mode_code,coinsurance_code,class_cd,it_remarks) values</v>
      </c>
      <c r="G2290" s="11" t="str">
        <f t="shared" si="146"/>
        <v>('28Nov240101','040000171925','89',(select max(to_number(i.premium_rcv_detail_code))+1
from ins_premium_det i),'89','89','02', '11000003','00','Request by Mr. Omair Ali 29-Nov-2024');</v>
      </c>
      <c r="H2290" s="12" t="str">
        <f t="shared" si="143"/>
        <v>insert into ins_premium_det (premium_rcv_code,assorted_code, rec_amount,premium_rcv_detail_code,remaining_amt, payrec, mode_code,coinsurance_code,class_cd,it_remarks) values('28Nov240101','040000171925','89',(select max(to_number(i.premium_rcv_detail_code))+1
from ins_premium_det i),'89','89','02', '11000003','00','Request by Mr. Omair Ali 29-Nov-2024');</v>
      </c>
    </row>
    <row r="2291" spans="1:8" ht="105" x14ac:dyDescent="0.25">
      <c r="A2291" t="s">
        <v>2291</v>
      </c>
      <c r="B2291" s="8" t="str">
        <f>VLOOKUP(A2291,assortedcode!B:C,2,0)</f>
        <v>070000146713</v>
      </c>
      <c r="C2291" s="1">
        <v>89</v>
      </c>
      <c r="D2291" s="9">
        <f t="shared" si="145"/>
        <v>89</v>
      </c>
      <c r="E2291" s="7" t="s">
        <v>8345</v>
      </c>
      <c r="F2291" s="10" t="str">
        <f t="shared" si="140"/>
        <v>insert into ins_premium_det (premium_rcv_code,assorted_code, rec_amount,premium_rcv_detail_code,remaining_amt, payrec, mode_code,coinsurance_code,class_cd,it_remarks) values</v>
      </c>
      <c r="G2291" s="11" t="str">
        <f t="shared" si="146"/>
        <v>('28Nov240101','070000146713','89',(select max(to_number(i.premium_rcv_detail_code))+1
from ins_premium_det i),'89','89','02', '11000003','00','Request by Mr. Omair Ali 29-Nov-2024');</v>
      </c>
      <c r="H2291" s="12" t="str">
        <f t="shared" si="143"/>
        <v>insert into ins_premium_det (premium_rcv_code,assorted_code, rec_amount,premium_rcv_detail_code,remaining_amt, payrec, mode_code,coinsurance_code,class_cd,it_remarks) values('28Nov240101','070000146713','89',(select max(to_number(i.premium_rcv_detail_code))+1
from ins_premium_det i),'89','89','02', '11000003','00','Request by Mr. Omair Ali 29-Nov-2024');</v>
      </c>
    </row>
    <row r="2292" spans="1:8" ht="105" x14ac:dyDescent="0.25">
      <c r="A2292" t="s">
        <v>2292</v>
      </c>
      <c r="B2292" s="8" t="str">
        <f>VLOOKUP(A2292,assortedcode!B:C,2,0)</f>
        <v>070000137999</v>
      </c>
      <c r="C2292" s="1">
        <v>89</v>
      </c>
      <c r="D2292" s="9">
        <f t="shared" si="145"/>
        <v>89</v>
      </c>
      <c r="E2292" s="7" t="s">
        <v>8345</v>
      </c>
      <c r="F2292" s="10" t="str">
        <f t="shared" si="140"/>
        <v>insert into ins_premium_det (premium_rcv_code,assorted_code, rec_amount,premium_rcv_detail_code,remaining_amt, payrec, mode_code,coinsurance_code,class_cd,it_remarks) values</v>
      </c>
      <c r="G2292" s="11" t="str">
        <f t="shared" si="146"/>
        <v>('28Nov240101','070000137999','89',(select max(to_number(i.premium_rcv_detail_code))+1
from ins_premium_det i),'89','89','02', '11000003','00','Request by Mr. Omair Ali 29-Nov-2024');</v>
      </c>
      <c r="H2292" s="12" t="str">
        <f t="shared" si="143"/>
        <v>insert into ins_premium_det (premium_rcv_code,assorted_code, rec_amount,premium_rcv_detail_code,remaining_amt, payrec, mode_code,coinsurance_code,class_cd,it_remarks) values('28Nov240101','070000137999','89',(select max(to_number(i.premium_rcv_detail_code))+1
from ins_premium_det i),'89','89','02', '11000003','00','Request by Mr. Omair Ali 29-Nov-2024');</v>
      </c>
    </row>
    <row r="2293" spans="1:8" ht="105" x14ac:dyDescent="0.25">
      <c r="A2293" t="s">
        <v>2293</v>
      </c>
      <c r="B2293" s="8" t="str">
        <f>VLOOKUP(A2293,assortedcode!B:C,2,0)</f>
        <v>070000135009</v>
      </c>
      <c r="C2293" s="1">
        <v>89</v>
      </c>
      <c r="D2293" s="9">
        <f t="shared" si="145"/>
        <v>89</v>
      </c>
      <c r="E2293" s="7" t="s">
        <v>8345</v>
      </c>
      <c r="F2293" s="10" t="str">
        <f t="shared" si="140"/>
        <v>insert into ins_premium_det (premium_rcv_code,assorted_code, rec_amount,premium_rcv_detail_code,remaining_amt, payrec, mode_code,coinsurance_code,class_cd,it_remarks) values</v>
      </c>
      <c r="G2293" s="11" t="str">
        <f t="shared" si="146"/>
        <v>('28Nov240101','070000135009','89',(select max(to_number(i.premium_rcv_detail_code))+1
from ins_premium_det i),'89','89','02', '11000003','00','Request by Mr. Omair Ali 29-Nov-2024');</v>
      </c>
      <c r="H2293" s="12" t="str">
        <f t="shared" si="143"/>
        <v>insert into ins_premium_det (premium_rcv_code,assorted_code, rec_amount,premium_rcv_detail_code,remaining_amt, payrec, mode_code,coinsurance_code,class_cd,it_remarks) values('28Nov240101','070000135009','89',(select max(to_number(i.premium_rcv_detail_code))+1
from ins_premium_det i),'89','89','02', '11000003','00','Request by Mr. Omair Ali 29-Nov-2024');</v>
      </c>
    </row>
    <row r="2294" spans="1:8" ht="105" x14ac:dyDescent="0.25">
      <c r="A2294" t="s">
        <v>2294</v>
      </c>
      <c r="B2294" s="8" t="str">
        <f>VLOOKUP(A2294,assortedcode!B:C,2,0)</f>
        <v>070000130641</v>
      </c>
      <c r="C2294" s="1">
        <v>90</v>
      </c>
      <c r="D2294" s="9">
        <f t="shared" si="145"/>
        <v>90</v>
      </c>
      <c r="E2294" s="7" t="s">
        <v>8345</v>
      </c>
      <c r="F2294" s="10" t="str">
        <f t="shared" si="140"/>
        <v>insert into ins_premium_det (premium_rcv_code,assorted_code, rec_amount,premium_rcv_detail_code,remaining_amt, payrec, mode_code,coinsurance_code,class_cd,it_remarks) values</v>
      </c>
      <c r="G2294" s="11" t="str">
        <f t="shared" si="146"/>
        <v>('28Nov240101','070000130641','90',(select max(to_number(i.premium_rcv_detail_code))+1
from ins_premium_det i),'90','90','02', '11000003','00','Request by Mr. Omair Ali 29-Nov-2024');</v>
      </c>
      <c r="H2294" s="12" t="str">
        <f t="shared" si="143"/>
        <v>insert into ins_premium_det (premium_rcv_code,assorted_code, rec_amount,premium_rcv_detail_code,remaining_amt, payrec, mode_code,coinsurance_code,class_cd,it_remarks) values('28Nov240101','070000130641','90',(select max(to_number(i.premium_rcv_detail_code))+1
from ins_premium_det i),'90','90','02', '11000003','00','Request by Mr. Omair Ali 29-Nov-2024');</v>
      </c>
    </row>
    <row r="2295" spans="1:8" ht="105" x14ac:dyDescent="0.25">
      <c r="A2295" t="s">
        <v>2295</v>
      </c>
      <c r="B2295" s="8" t="str">
        <f>VLOOKUP(A2295,assortedcode!B:C,2,0)</f>
        <v>070000135249</v>
      </c>
      <c r="C2295" s="1">
        <v>90</v>
      </c>
      <c r="D2295" s="9">
        <f t="shared" si="145"/>
        <v>90</v>
      </c>
      <c r="E2295" s="7" t="s">
        <v>8345</v>
      </c>
      <c r="F2295" s="10" t="str">
        <f t="shared" si="140"/>
        <v>insert into ins_premium_det (premium_rcv_code,assorted_code, rec_amount,premium_rcv_detail_code,remaining_amt, payrec, mode_code,coinsurance_code,class_cd,it_remarks) values</v>
      </c>
      <c r="G2295" s="11" t="str">
        <f t="shared" si="146"/>
        <v>('28Nov240101','070000135249','90',(select max(to_number(i.premium_rcv_detail_code))+1
from ins_premium_det i),'90','90','02', '11000003','00','Request by Mr. Omair Ali 29-Nov-2024');</v>
      </c>
      <c r="H2295" s="12" t="str">
        <f t="shared" si="143"/>
        <v>insert into ins_premium_det (premium_rcv_code,assorted_code, rec_amount,premium_rcv_detail_code,remaining_amt, payrec, mode_code,coinsurance_code,class_cd,it_remarks) values('28Nov240101','070000135249','90',(select max(to_number(i.premium_rcv_detail_code))+1
from ins_premium_det i),'90','90','02', '11000003','00','Request by Mr. Omair Ali 29-Nov-2024');</v>
      </c>
    </row>
    <row r="2296" spans="1:8" ht="105" x14ac:dyDescent="0.25">
      <c r="A2296" t="s">
        <v>2296</v>
      </c>
      <c r="B2296" s="8" t="str">
        <f>VLOOKUP(A2296,assortedcode!B:C,2,0)</f>
        <v>070000167350</v>
      </c>
      <c r="C2296" s="1">
        <v>93</v>
      </c>
      <c r="D2296" s="9">
        <f t="shared" si="145"/>
        <v>93</v>
      </c>
      <c r="E2296" s="7" t="s">
        <v>8345</v>
      </c>
      <c r="F2296" s="10" t="str">
        <f t="shared" si="140"/>
        <v>insert into ins_premium_det (premium_rcv_code,assorted_code, rec_amount,premium_rcv_detail_code,remaining_amt, payrec, mode_code,coinsurance_code,class_cd,it_remarks) values</v>
      </c>
      <c r="G2296" s="11" t="str">
        <f t="shared" si="146"/>
        <v>('28Nov240101','070000167350','93',(select max(to_number(i.premium_rcv_detail_code))+1
from ins_premium_det i),'93','93','02', '11000003','00','Request by Mr. Omair Ali 29-Nov-2024');</v>
      </c>
      <c r="H2296" s="12" t="str">
        <f t="shared" si="143"/>
        <v>insert into ins_premium_det (premium_rcv_code,assorted_code, rec_amount,premium_rcv_detail_code,remaining_amt, payrec, mode_code,coinsurance_code,class_cd,it_remarks) values('28Nov240101','070000167350','93',(select max(to_number(i.premium_rcv_detail_code))+1
from ins_premium_det i),'93','93','02', '11000003','00','Request by Mr. Omair Ali 29-Nov-2024');</v>
      </c>
    </row>
    <row r="2297" spans="1:8" ht="105" x14ac:dyDescent="0.25">
      <c r="A2297" t="s">
        <v>2297</v>
      </c>
      <c r="B2297" s="8" t="str">
        <f>VLOOKUP(A2297,assortedcode!B:C,2,0)</f>
        <v>040000180277</v>
      </c>
      <c r="C2297" s="1">
        <v>93</v>
      </c>
      <c r="D2297" s="9">
        <f t="shared" si="145"/>
        <v>93</v>
      </c>
      <c r="E2297" s="7" t="s">
        <v>8345</v>
      </c>
      <c r="F2297" s="10" t="str">
        <f t="shared" si="140"/>
        <v>insert into ins_premium_det (premium_rcv_code,assorted_code, rec_amount,premium_rcv_detail_code,remaining_amt, payrec, mode_code,coinsurance_code,class_cd,it_remarks) values</v>
      </c>
      <c r="G2297" s="11" t="str">
        <f t="shared" si="146"/>
        <v>('28Nov240101','040000180277','93',(select max(to_number(i.premium_rcv_detail_code))+1
from ins_premium_det i),'93','93','02', '11000003','00','Request by Mr. Omair Ali 29-Nov-2024');</v>
      </c>
      <c r="H2297" s="12" t="str">
        <f t="shared" si="143"/>
        <v>insert into ins_premium_det (premium_rcv_code,assorted_code, rec_amount,premium_rcv_detail_code,remaining_amt, payrec, mode_code,coinsurance_code,class_cd,it_remarks) values('28Nov240101','040000180277','93',(select max(to_number(i.premium_rcv_detail_code))+1
from ins_premium_det i),'93','93','02', '11000003','00','Request by Mr. Omair Ali 29-Nov-2024');</v>
      </c>
    </row>
    <row r="2298" spans="1:8" ht="105" x14ac:dyDescent="0.25">
      <c r="A2298" t="s">
        <v>2298</v>
      </c>
      <c r="B2298" s="8" t="str">
        <f>VLOOKUP(A2298,assortedcode!B:C,2,0)</f>
        <v>070000146874</v>
      </c>
      <c r="C2298" s="1">
        <v>94</v>
      </c>
      <c r="D2298" s="9">
        <f t="shared" si="145"/>
        <v>94</v>
      </c>
      <c r="E2298" s="7" t="s">
        <v>8345</v>
      </c>
      <c r="F2298" s="10" t="str">
        <f t="shared" si="140"/>
        <v>insert into ins_premium_det (premium_rcv_code,assorted_code, rec_amount,premium_rcv_detail_code,remaining_amt, payrec, mode_code,coinsurance_code,class_cd,it_remarks) values</v>
      </c>
      <c r="G2298" s="11" t="str">
        <f t="shared" si="146"/>
        <v>('28Nov240101','070000146874','94',(select max(to_number(i.premium_rcv_detail_code))+1
from ins_premium_det i),'94','94','02', '11000003','00','Request by Mr. Omair Ali 29-Nov-2024');</v>
      </c>
      <c r="H2298" s="12" t="str">
        <f t="shared" si="143"/>
        <v>insert into ins_premium_det (premium_rcv_code,assorted_code, rec_amount,premium_rcv_detail_code,remaining_amt, payrec, mode_code,coinsurance_code,class_cd,it_remarks) values('28Nov240101','070000146874','94',(select max(to_number(i.premium_rcv_detail_code))+1
from ins_premium_det i),'94','94','02', '11000003','00','Request by Mr. Omair Ali 29-Nov-2024');</v>
      </c>
    </row>
    <row r="2299" spans="1:8" ht="105" x14ac:dyDescent="0.25">
      <c r="A2299" t="s">
        <v>2299</v>
      </c>
      <c r="B2299" s="8" t="str">
        <f>VLOOKUP(A2299,assortedcode!B:C,2,0)</f>
        <v>070000163479</v>
      </c>
      <c r="C2299" s="1">
        <v>94</v>
      </c>
      <c r="D2299" s="9">
        <f t="shared" si="145"/>
        <v>94</v>
      </c>
      <c r="E2299" s="7" t="s">
        <v>8345</v>
      </c>
      <c r="F2299" s="10" t="str">
        <f t="shared" si="140"/>
        <v>insert into ins_premium_det (premium_rcv_code,assorted_code, rec_amount,premium_rcv_detail_code,remaining_amt, payrec, mode_code,coinsurance_code,class_cd,it_remarks) values</v>
      </c>
      <c r="G2299" s="11" t="str">
        <f t="shared" si="146"/>
        <v>('28Nov240101','070000163479','94',(select max(to_number(i.premium_rcv_detail_code))+1
from ins_premium_det i),'94','94','02', '11000003','00','Request by Mr. Omair Ali 29-Nov-2024');</v>
      </c>
      <c r="H2299" s="12" t="str">
        <f t="shared" si="143"/>
        <v>insert into ins_premium_det (premium_rcv_code,assorted_code, rec_amount,premium_rcv_detail_code,remaining_amt, payrec, mode_code,coinsurance_code,class_cd,it_remarks) values('28Nov240101','070000163479','94',(select max(to_number(i.premium_rcv_detail_code))+1
from ins_premium_det i),'94','94','02', '11000003','00','Request by Mr. Omair Ali 29-Nov-2024');</v>
      </c>
    </row>
    <row r="2300" spans="1:8" ht="105" x14ac:dyDescent="0.25">
      <c r="A2300" t="s">
        <v>2300</v>
      </c>
      <c r="B2300" s="8" t="str">
        <f>VLOOKUP(A2300,assortedcode!B:C,2,0)</f>
        <v>040000161923</v>
      </c>
      <c r="C2300" s="1">
        <v>94</v>
      </c>
      <c r="D2300" s="9">
        <f t="shared" si="145"/>
        <v>94</v>
      </c>
      <c r="E2300" s="7" t="s">
        <v>8345</v>
      </c>
      <c r="F2300" s="10" t="str">
        <f t="shared" si="140"/>
        <v>insert into ins_premium_det (premium_rcv_code,assorted_code, rec_amount,premium_rcv_detail_code,remaining_amt, payrec, mode_code,coinsurance_code,class_cd,it_remarks) values</v>
      </c>
      <c r="G2300" s="11" t="str">
        <f t="shared" si="146"/>
        <v>('28Nov240101','040000161923','94',(select max(to_number(i.premium_rcv_detail_code))+1
from ins_premium_det i),'94','94','02', '11000003','00','Request by Mr. Omair Ali 29-Nov-2024');</v>
      </c>
      <c r="H2300" s="12" t="str">
        <f t="shared" si="143"/>
        <v>insert into ins_premium_det (premium_rcv_code,assorted_code, rec_amount,premium_rcv_detail_code,remaining_amt, payrec, mode_code,coinsurance_code,class_cd,it_remarks) values('28Nov240101','040000161923','94',(select max(to_number(i.premium_rcv_detail_code))+1
from ins_premium_det i),'94','94','02', '11000003','00','Request by Mr. Omair Ali 29-Nov-2024');</v>
      </c>
    </row>
    <row r="2301" spans="1:8" ht="105" x14ac:dyDescent="0.25">
      <c r="A2301" t="s">
        <v>2301</v>
      </c>
      <c r="B2301" s="8" t="str">
        <f>VLOOKUP(A2301,assortedcode!B:C,2,0)</f>
        <v>040000180219</v>
      </c>
      <c r="C2301" s="1">
        <v>95</v>
      </c>
      <c r="D2301" s="9">
        <f t="shared" si="145"/>
        <v>95</v>
      </c>
      <c r="E2301" s="7" t="s">
        <v>8345</v>
      </c>
      <c r="F2301" s="10" t="str">
        <f t="shared" si="140"/>
        <v>insert into ins_premium_det (premium_rcv_code,assorted_code, rec_amount,premium_rcv_detail_code,remaining_amt, payrec, mode_code,coinsurance_code,class_cd,it_remarks) values</v>
      </c>
      <c r="G2301" s="11" t="str">
        <f t="shared" si="146"/>
        <v>('28Nov240101','040000180219','95',(select max(to_number(i.premium_rcv_detail_code))+1
from ins_premium_det i),'95','95','02', '11000003','00','Request by Mr. Omair Ali 29-Nov-2024');</v>
      </c>
      <c r="H2301" s="12" t="str">
        <f t="shared" si="143"/>
        <v>insert into ins_premium_det (premium_rcv_code,assorted_code, rec_amount,premium_rcv_detail_code,remaining_amt, payrec, mode_code,coinsurance_code,class_cd,it_remarks) values('28Nov240101','040000180219','95',(select max(to_number(i.premium_rcv_detail_code))+1
from ins_premium_det i),'95','95','02', '11000003','00','Request by Mr. Omair Ali 29-Nov-2024');</v>
      </c>
    </row>
    <row r="2302" spans="1:8" ht="105" x14ac:dyDescent="0.25">
      <c r="A2302" t="s">
        <v>2302</v>
      </c>
      <c r="B2302" s="8" t="str">
        <f>VLOOKUP(A2302,assortedcode!B:C,2,0)</f>
        <v>040000142002</v>
      </c>
      <c r="C2302" s="1">
        <v>95</v>
      </c>
      <c r="D2302" s="9">
        <f t="shared" si="145"/>
        <v>95</v>
      </c>
      <c r="E2302" s="7" t="s">
        <v>8345</v>
      </c>
      <c r="F2302" s="10" t="str">
        <f t="shared" si="140"/>
        <v>insert into ins_premium_det (premium_rcv_code,assorted_code, rec_amount,premium_rcv_detail_code,remaining_amt, payrec, mode_code,coinsurance_code,class_cd,it_remarks) values</v>
      </c>
      <c r="G2302" s="11" t="str">
        <f t="shared" si="146"/>
        <v>('28Nov240101','040000142002','95',(select max(to_number(i.premium_rcv_detail_code))+1
from ins_premium_det i),'95','95','02', '11000003','00','Request by Mr. Omair Ali 29-Nov-2024');</v>
      </c>
      <c r="H2302" s="12" t="str">
        <f t="shared" si="143"/>
        <v>insert into ins_premium_det (premium_rcv_code,assorted_code, rec_amount,premium_rcv_detail_code,remaining_amt, payrec, mode_code,coinsurance_code,class_cd,it_remarks) values('28Nov240101','040000142002','95',(select max(to_number(i.premium_rcv_detail_code))+1
from ins_premium_det i),'95','95','02', '11000003','00','Request by Mr. Omair Ali 29-Nov-2024');</v>
      </c>
    </row>
    <row r="2303" spans="1:8" ht="105" x14ac:dyDescent="0.25">
      <c r="A2303" t="s">
        <v>2303</v>
      </c>
      <c r="B2303" s="8" t="str">
        <f>VLOOKUP(A2303,assortedcode!B:C,2,0)</f>
        <v>070000129221</v>
      </c>
      <c r="C2303" s="1">
        <v>96</v>
      </c>
      <c r="D2303" s="9">
        <f t="shared" si="145"/>
        <v>96</v>
      </c>
      <c r="E2303" s="7" t="s">
        <v>8345</v>
      </c>
      <c r="F2303" s="10" t="str">
        <f t="shared" si="140"/>
        <v>insert into ins_premium_det (premium_rcv_code,assorted_code, rec_amount,premium_rcv_detail_code,remaining_amt, payrec, mode_code,coinsurance_code,class_cd,it_remarks) values</v>
      </c>
      <c r="G2303" s="11" t="str">
        <f t="shared" si="146"/>
        <v>('28Nov240101','070000129221','96',(select max(to_number(i.premium_rcv_detail_code))+1
from ins_premium_det i),'96','96','02', '11000003','00','Request by Mr. Omair Ali 29-Nov-2024');</v>
      </c>
      <c r="H2303" s="12" t="str">
        <f t="shared" si="143"/>
        <v>insert into ins_premium_det (premium_rcv_code,assorted_code, rec_amount,premium_rcv_detail_code,remaining_amt, payrec, mode_code,coinsurance_code,class_cd,it_remarks) values('28Nov240101','070000129221','96',(select max(to_number(i.premium_rcv_detail_code))+1
from ins_premium_det i),'96','96','02', '11000003','00','Request by Mr. Omair Ali 29-Nov-2024');</v>
      </c>
    </row>
    <row r="2304" spans="1:8" ht="105" x14ac:dyDescent="0.25">
      <c r="A2304" t="s">
        <v>2304</v>
      </c>
      <c r="B2304" s="8" t="str">
        <f>VLOOKUP(A2304,assortedcode!B:C,2,0)</f>
        <v>070000134856</v>
      </c>
      <c r="C2304" s="1">
        <v>97</v>
      </c>
      <c r="D2304" s="9">
        <f t="shared" si="145"/>
        <v>97</v>
      </c>
      <c r="E2304" s="7" t="s">
        <v>8345</v>
      </c>
      <c r="F2304" s="10" t="str">
        <f t="shared" si="140"/>
        <v>insert into ins_premium_det (premium_rcv_code,assorted_code, rec_amount,premium_rcv_detail_code,remaining_amt, payrec, mode_code,coinsurance_code,class_cd,it_remarks) values</v>
      </c>
      <c r="G2304" s="11" t="str">
        <f t="shared" si="146"/>
        <v>('28Nov240101','070000134856','97',(select max(to_number(i.premium_rcv_detail_code))+1
from ins_premium_det i),'97','97','02', '11000003','00','Request by Mr. Omair Ali 29-Nov-2024');</v>
      </c>
      <c r="H2304" s="12" t="str">
        <f t="shared" si="143"/>
        <v>insert into ins_premium_det (premium_rcv_code,assorted_code, rec_amount,premium_rcv_detail_code,remaining_amt, payrec, mode_code,coinsurance_code,class_cd,it_remarks) values('28Nov240101','070000134856','97',(select max(to_number(i.premium_rcv_detail_code))+1
from ins_premium_det i),'97','97','02', '11000003','00','Request by Mr. Omair Ali 29-Nov-2024');</v>
      </c>
    </row>
    <row r="2305" spans="1:8" ht="105" x14ac:dyDescent="0.25">
      <c r="A2305" t="s">
        <v>2305</v>
      </c>
      <c r="B2305" s="8" t="str">
        <f>VLOOKUP(A2305,assortedcode!B:C,2,0)</f>
        <v>070000147313</v>
      </c>
      <c r="C2305" s="1">
        <v>97</v>
      </c>
      <c r="D2305" s="9">
        <f t="shared" si="145"/>
        <v>97</v>
      </c>
      <c r="E2305" s="7" t="s">
        <v>8345</v>
      </c>
      <c r="F2305" s="10" t="str">
        <f t="shared" si="140"/>
        <v>insert into ins_premium_det (premium_rcv_code,assorted_code, rec_amount,premium_rcv_detail_code,remaining_amt, payrec, mode_code,coinsurance_code,class_cd,it_remarks) values</v>
      </c>
      <c r="G2305" s="11" t="str">
        <f t="shared" si="146"/>
        <v>('28Nov240101','070000147313','97',(select max(to_number(i.premium_rcv_detail_code))+1
from ins_premium_det i),'97','97','02', '11000003','00','Request by Mr. Omair Ali 29-Nov-2024');</v>
      </c>
      <c r="H2305" s="12" t="str">
        <f t="shared" si="143"/>
        <v>insert into ins_premium_det (premium_rcv_code,assorted_code, rec_amount,premium_rcv_detail_code,remaining_amt, payrec, mode_code,coinsurance_code,class_cd,it_remarks) values('28Nov240101','070000147313','97',(select max(to_number(i.premium_rcv_detail_code))+1
from ins_premium_det i),'97','97','02', '11000003','00','Request by Mr. Omair Ali 29-Nov-2024');</v>
      </c>
    </row>
    <row r="2306" spans="1:8" ht="105" x14ac:dyDescent="0.25">
      <c r="A2306" t="s">
        <v>2306</v>
      </c>
      <c r="B2306" s="8" t="str">
        <f>VLOOKUP(A2306,assortedcode!B:C,2,0)</f>
        <v>040000151984</v>
      </c>
      <c r="C2306" s="1">
        <v>98</v>
      </c>
      <c r="D2306" s="9">
        <f t="shared" si="145"/>
        <v>98</v>
      </c>
      <c r="E2306" s="7" t="s">
        <v>8345</v>
      </c>
      <c r="F2306" s="10" t="str">
        <f t="shared" ref="F2306:F2333" si="147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2306" s="11" t="str">
        <f t="shared" si="146"/>
        <v>('28Nov240101','040000151984','98',(select max(to_number(i.premium_rcv_detail_code))+1
from ins_premium_det i),'98','98','02', '11000003','00','Request by Mr. Omair Ali 29-Nov-2024');</v>
      </c>
      <c r="H2306" s="12" t="str">
        <f t="shared" si="143"/>
        <v>insert into ins_premium_det (premium_rcv_code,assorted_code, rec_amount,premium_rcv_detail_code,remaining_amt, payrec, mode_code,coinsurance_code,class_cd,it_remarks) values('28Nov240101','040000151984','98',(select max(to_number(i.premium_rcv_detail_code))+1
from ins_premium_det i),'98','98','02', '11000003','00','Request by Mr. Omair Ali 29-Nov-2024');</v>
      </c>
    </row>
    <row r="2307" spans="1:8" ht="105" x14ac:dyDescent="0.25">
      <c r="A2307" t="s">
        <v>2307</v>
      </c>
      <c r="B2307" s="8" t="str">
        <f>VLOOKUP(A2307,assortedcode!B:C,2,0)</f>
        <v>070000167351</v>
      </c>
      <c r="C2307" s="1">
        <v>98</v>
      </c>
      <c r="D2307" s="9">
        <f t="shared" si="145"/>
        <v>98</v>
      </c>
      <c r="E2307" s="7" t="s">
        <v>8345</v>
      </c>
      <c r="F2307" s="10" t="str">
        <f t="shared" si="147"/>
        <v>insert into ins_premium_det (premium_rcv_code,assorted_code, rec_amount,premium_rcv_detail_code,remaining_amt, payrec, mode_code,coinsurance_code,class_cd,it_remarks) values</v>
      </c>
      <c r="G2307" s="11" t="str">
        <f t="shared" si="146"/>
        <v>('28Nov240101','070000167351','98',(select max(to_number(i.premium_rcv_detail_code))+1
from ins_premium_det i),'98','98','02', '11000003','00','Request by Mr. Omair Ali 29-Nov-2024');</v>
      </c>
      <c r="H2307" s="12" t="str">
        <f t="shared" ref="H2307:H2333" si="148">F2307&amp;G2307</f>
        <v>insert into ins_premium_det (premium_rcv_code,assorted_code, rec_amount,premium_rcv_detail_code,remaining_amt, payrec, mode_code,coinsurance_code,class_cd,it_remarks) values('28Nov240101','070000167351','98',(select max(to_number(i.premium_rcv_detail_code))+1
from ins_premium_det i),'98','98','02', '11000003','00','Request by Mr. Omair Ali 29-Nov-2024');</v>
      </c>
    </row>
    <row r="2308" spans="1:8" ht="105" x14ac:dyDescent="0.25">
      <c r="A2308" t="s">
        <v>2308</v>
      </c>
      <c r="B2308" s="8" t="str">
        <f>VLOOKUP(A2308,assortedcode!B:C,2,0)</f>
        <v>040000125587</v>
      </c>
      <c r="C2308" s="1">
        <v>98</v>
      </c>
      <c r="D2308" s="9">
        <f t="shared" si="145"/>
        <v>98</v>
      </c>
      <c r="E2308" s="7" t="s">
        <v>8345</v>
      </c>
      <c r="F2308" s="10" t="str">
        <f t="shared" si="147"/>
        <v>insert into ins_premium_det (premium_rcv_code,assorted_code, rec_amount,premium_rcv_detail_code,remaining_amt, payrec, mode_code,coinsurance_code,class_cd,it_remarks) values</v>
      </c>
      <c r="G2308" s="11" t="str">
        <f t="shared" si="146"/>
        <v>('28Nov240101','040000125587','98',(select max(to_number(i.premium_rcv_detail_code))+1
from ins_premium_det i),'98','98','02', '11000003','00','Request by Mr. Omair Ali 29-Nov-2024');</v>
      </c>
      <c r="H2308" s="12" t="str">
        <f t="shared" si="148"/>
        <v>insert into ins_premium_det (premium_rcv_code,assorted_code, rec_amount,premium_rcv_detail_code,remaining_amt, payrec, mode_code,coinsurance_code,class_cd,it_remarks) values('28Nov240101','040000125587','98',(select max(to_number(i.premium_rcv_detail_code))+1
from ins_premium_det i),'98','98','02', '11000003','00','Request by Mr. Omair Ali 29-Nov-2024');</v>
      </c>
    </row>
    <row r="2309" spans="1:8" ht="105" x14ac:dyDescent="0.25">
      <c r="A2309" t="s">
        <v>2309</v>
      </c>
      <c r="B2309" s="8" t="str">
        <f>VLOOKUP(A2309,assortedcode!B:C,2,0)</f>
        <v>040000168896</v>
      </c>
      <c r="C2309" s="1">
        <v>100</v>
      </c>
      <c r="D2309" s="9">
        <f t="shared" si="145"/>
        <v>100</v>
      </c>
      <c r="E2309" s="7" t="s">
        <v>8345</v>
      </c>
      <c r="F2309" s="10" t="str">
        <f t="shared" si="147"/>
        <v>insert into ins_premium_det (premium_rcv_code,assorted_code, rec_amount,premium_rcv_detail_code,remaining_amt, payrec, mode_code,coinsurance_code,class_cd,it_remarks) values</v>
      </c>
      <c r="G2309" s="11" t="str">
        <f t="shared" si="146"/>
        <v>('28Nov240101','040000168896','100',(select max(to_number(i.premium_rcv_detail_code))+1
from ins_premium_det i),'100','100','02', '11000003','00','Request by Mr. Omair Ali 29-Nov-2024');</v>
      </c>
      <c r="H2309" s="12" t="str">
        <f t="shared" si="148"/>
        <v>insert into ins_premium_det (premium_rcv_code,assorted_code, rec_amount,premium_rcv_detail_code,remaining_amt, payrec, mode_code,coinsurance_code,class_cd,it_remarks) values('28Nov240101','040000168896','100',(select max(to_number(i.premium_rcv_detail_code))+1
from ins_premium_det i),'100','100','02', '11000003','00','Request by Mr. Omair Ali 29-Nov-2024');</v>
      </c>
    </row>
    <row r="2310" spans="1:8" ht="105" x14ac:dyDescent="0.25">
      <c r="A2310" t="s">
        <v>2310</v>
      </c>
      <c r="B2310" s="8" t="str">
        <f>VLOOKUP(A2310,assortedcode!B:C,2,0)</f>
        <v>040000171654</v>
      </c>
      <c r="C2310" s="1">
        <v>100</v>
      </c>
      <c r="D2310" s="9">
        <f t="shared" si="145"/>
        <v>100</v>
      </c>
      <c r="E2310" s="7" t="s">
        <v>8345</v>
      </c>
      <c r="F2310" s="10" t="str">
        <f t="shared" si="147"/>
        <v>insert into ins_premium_det (premium_rcv_code,assorted_code, rec_amount,premium_rcv_detail_code,remaining_amt, payrec, mode_code,coinsurance_code,class_cd,it_remarks) values</v>
      </c>
      <c r="G2310" s="11" t="str">
        <f t="shared" si="146"/>
        <v>('28Nov240101','040000171654','100',(select max(to_number(i.premium_rcv_detail_code))+1
from ins_premium_det i),'100','100','02', '11000003','00','Request by Mr. Omair Ali 29-Nov-2024');</v>
      </c>
      <c r="H2310" s="12" t="str">
        <f t="shared" si="148"/>
        <v>insert into ins_premium_det (premium_rcv_code,assorted_code, rec_amount,premium_rcv_detail_code,remaining_amt, payrec, mode_code,coinsurance_code,class_cd,it_remarks) values('28Nov240101','040000171654','100',(select max(to_number(i.premium_rcv_detail_code))+1
from ins_premium_det i),'100','100','02', '11000003','00','Request by Mr. Omair Ali 29-Nov-2024');</v>
      </c>
    </row>
    <row r="2311" spans="1:8" ht="105" x14ac:dyDescent="0.25">
      <c r="A2311" t="s">
        <v>2311</v>
      </c>
      <c r="B2311" s="8" t="str">
        <f>VLOOKUP(A2311,assortedcode!B:C,2,0)</f>
        <v>040000177174</v>
      </c>
      <c r="C2311" s="1">
        <v>100</v>
      </c>
      <c r="D2311" s="9">
        <f t="shared" si="145"/>
        <v>100</v>
      </c>
      <c r="E2311" s="7" t="s">
        <v>8345</v>
      </c>
      <c r="F2311" s="10" t="str">
        <f t="shared" si="147"/>
        <v>insert into ins_premium_det (premium_rcv_code,assorted_code, rec_amount,premium_rcv_detail_code,remaining_amt, payrec, mode_code,coinsurance_code,class_cd,it_remarks) values</v>
      </c>
      <c r="G2311" s="11" t="str">
        <f t="shared" si="146"/>
        <v>('28Nov240101','040000177174','100',(select max(to_number(i.premium_rcv_detail_code))+1
from ins_premium_det i),'100','100','02', '11000003','00','Request by Mr. Omair Ali 29-Nov-2024');</v>
      </c>
      <c r="H2311" s="12" t="str">
        <f t="shared" si="148"/>
        <v>insert into ins_premium_det (premium_rcv_code,assorted_code, rec_amount,premium_rcv_detail_code,remaining_amt, payrec, mode_code,coinsurance_code,class_cd,it_remarks) values('28Nov240101','040000177174','100',(select max(to_number(i.premium_rcv_detail_code))+1
from ins_premium_det i),'100','100','02', '11000003','00','Request by Mr. Omair Ali 29-Nov-2024');</v>
      </c>
    </row>
    <row r="2312" spans="1:8" ht="105" x14ac:dyDescent="0.25">
      <c r="A2312" t="s">
        <v>2312</v>
      </c>
      <c r="B2312" s="8" t="str">
        <f>VLOOKUP(A2312,assortedcode!B:C,2,0)</f>
        <v>040000171667</v>
      </c>
      <c r="C2312" s="1">
        <v>100</v>
      </c>
      <c r="D2312" s="9">
        <f t="shared" si="145"/>
        <v>100</v>
      </c>
      <c r="E2312" s="7" t="s">
        <v>8345</v>
      </c>
      <c r="F2312" s="10" t="str">
        <f t="shared" si="147"/>
        <v>insert into ins_premium_det (premium_rcv_code,assorted_code, rec_amount,premium_rcv_detail_code,remaining_amt, payrec, mode_code,coinsurance_code,class_cd,it_remarks) values</v>
      </c>
      <c r="G2312" s="11" t="str">
        <f t="shared" si="146"/>
        <v>('28Nov240101','040000171667','100',(select max(to_number(i.premium_rcv_detail_code))+1
from ins_premium_det i),'100','100','02', '11000003','00','Request by Mr. Omair Ali 29-Nov-2024');</v>
      </c>
      <c r="H2312" s="12" t="str">
        <f t="shared" si="148"/>
        <v>insert into ins_premium_det (premium_rcv_code,assorted_code, rec_amount,premium_rcv_detail_code,remaining_amt, payrec, mode_code,coinsurance_code,class_cd,it_remarks) values('28Nov240101','040000171667','100',(select max(to_number(i.premium_rcv_detail_code))+1
from ins_premium_det i),'100','100','02', '11000003','00','Request by Mr. Omair Ali 29-Nov-2024');</v>
      </c>
    </row>
    <row r="2313" spans="1:8" ht="105" x14ac:dyDescent="0.25">
      <c r="A2313" t="s">
        <v>2313</v>
      </c>
      <c r="B2313" s="8" t="str">
        <f>VLOOKUP(A2313,assortedcode!B:C,2,0)</f>
        <v>040000168879</v>
      </c>
      <c r="C2313" s="1">
        <v>100</v>
      </c>
      <c r="D2313" s="9">
        <f t="shared" si="145"/>
        <v>100</v>
      </c>
      <c r="E2313" s="7" t="s">
        <v>8345</v>
      </c>
      <c r="F2313" s="10" t="str">
        <f t="shared" si="147"/>
        <v>insert into ins_premium_det (premium_rcv_code,assorted_code, rec_amount,premium_rcv_detail_code,remaining_amt, payrec, mode_code,coinsurance_code,class_cd,it_remarks) values</v>
      </c>
      <c r="G2313" s="11" t="str">
        <f t="shared" si="146"/>
        <v>('28Nov240101','040000168879','100',(select max(to_number(i.premium_rcv_detail_code))+1
from ins_premium_det i),'100','100','02', '11000003','00','Request by Mr. Omair Ali 29-Nov-2024');</v>
      </c>
      <c r="H2313" s="12" t="str">
        <f t="shared" si="148"/>
        <v>insert into ins_premium_det (premium_rcv_code,assorted_code, rec_amount,premium_rcv_detail_code,remaining_amt, payrec, mode_code,coinsurance_code,class_cd,it_remarks) values('28Nov240101','040000168879','100',(select max(to_number(i.premium_rcv_detail_code))+1
from ins_premium_det i),'100','100','02', '11000003','00','Request by Mr. Omair Ali 29-Nov-2024');</v>
      </c>
    </row>
    <row r="2314" spans="1:8" ht="105" x14ac:dyDescent="0.25">
      <c r="A2314" t="s">
        <v>2314</v>
      </c>
      <c r="B2314" s="8" t="str">
        <f>VLOOKUP(A2314,assortedcode!B:C,2,0)</f>
        <v>040000156874</v>
      </c>
      <c r="C2314" s="1">
        <v>100</v>
      </c>
      <c r="D2314" s="9">
        <f t="shared" si="145"/>
        <v>100</v>
      </c>
      <c r="E2314" s="7" t="s">
        <v>8345</v>
      </c>
      <c r="F2314" s="10" t="str">
        <f t="shared" si="147"/>
        <v>insert into ins_premium_det (premium_rcv_code,assorted_code, rec_amount,premium_rcv_detail_code,remaining_amt, payrec, mode_code,coinsurance_code,class_cd,it_remarks) values</v>
      </c>
      <c r="G2314" s="11" t="str">
        <f t="shared" si="146"/>
        <v>('28Nov240101','040000156874','100',(select max(to_number(i.premium_rcv_detail_code))+1
from ins_premium_det i),'100','100','02', '11000003','00','Request by Mr. Omair Ali 29-Nov-2024');</v>
      </c>
      <c r="H2314" s="12" t="str">
        <f t="shared" si="148"/>
        <v>insert into ins_premium_det (premium_rcv_code,assorted_code, rec_amount,premium_rcv_detail_code,remaining_amt, payrec, mode_code,coinsurance_code,class_cd,it_remarks) values('28Nov240101','040000156874','100',(select max(to_number(i.premium_rcv_detail_code))+1
from ins_premium_det i),'100','100','02', '11000003','00','Request by Mr. Omair Ali 29-Nov-2024');</v>
      </c>
    </row>
    <row r="2315" spans="1:8" ht="105" x14ac:dyDescent="0.25">
      <c r="A2315" t="s">
        <v>2315</v>
      </c>
      <c r="B2315" s="8" t="str">
        <f>VLOOKUP(A2315,assortedcode!B:C,2,0)</f>
        <v>040000168882</v>
      </c>
      <c r="C2315" s="1">
        <v>100</v>
      </c>
      <c r="D2315" s="9">
        <f t="shared" si="145"/>
        <v>100</v>
      </c>
      <c r="E2315" s="7" t="s">
        <v>8345</v>
      </c>
      <c r="F2315" s="10" t="str">
        <f t="shared" si="147"/>
        <v>insert into ins_premium_det (premium_rcv_code,assorted_code, rec_amount,premium_rcv_detail_code,remaining_amt, payrec, mode_code,coinsurance_code,class_cd,it_remarks) values</v>
      </c>
      <c r="G2315" s="11" t="str">
        <f t="shared" si="146"/>
        <v>('28Nov240101','040000168882','100',(select max(to_number(i.premium_rcv_detail_code))+1
from ins_premium_det i),'100','100','02', '11000003','00','Request by Mr. Omair Ali 29-Nov-2024');</v>
      </c>
      <c r="H2315" s="12" t="str">
        <f t="shared" si="148"/>
        <v>insert into ins_premium_det (premium_rcv_code,assorted_code, rec_amount,premium_rcv_detail_code,remaining_amt, payrec, mode_code,coinsurance_code,class_cd,it_remarks) values('28Nov240101','040000168882','100',(select max(to_number(i.premium_rcv_detail_code))+1
from ins_premium_det i),'100','100','02', '11000003','00','Request by Mr. Omair Ali 29-Nov-2024');</v>
      </c>
    </row>
    <row r="2316" spans="1:8" ht="105" x14ac:dyDescent="0.25">
      <c r="A2316" t="s">
        <v>2316</v>
      </c>
      <c r="B2316" s="8" t="str">
        <f>VLOOKUP(A2316,assortedcode!B:C,2,0)</f>
        <v>040000171668</v>
      </c>
      <c r="C2316" s="1">
        <v>100</v>
      </c>
      <c r="D2316" s="9">
        <f t="shared" si="145"/>
        <v>100</v>
      </c>
      <c r="E2316" s="7" t="s">
        <v>8345</v>
      </c>
      <c r="F2316" s="10" t="str">
        <f t="shared" si="147"/>
        <v>insert into ins_premium_det (premium_rcv_code,assorted_code, rec_amount,premium_rcv_detail_code,remaining_amt, payrec, mode_code,coinsurance_code,class_cd,it_remarks) values</v>
      </c>
      <c r="G2316" s="11" t="str">
        <f t="shared" si="146"/>
        <v>('28Nov240101','040000171668','100',(select max(to_number(i.premium_rcv_detail_code))+1
from ins_premium_det i),'100','100','02', '11000003','00','Request by Mr. Omair Ali 29-Nov-2024');</v>
      </c>
      <c r="H2316" s="12" t="str">
        <f t="shared" si="148"/>
        <v>insert into ins_premium_det (premium_rcv_code,assorted_code, rec_amount,premium_rcv_detail_code,remaining_amt, payrec, mode_code,coinsurance_code,class_cd,it_remarks) values('28Nov240101','040000171668','100',(select max(to_number(i.premium_rcv_detail_code))+1
from ins_premium_det i),'100','100','02', '11000003','00','Request by Mr. Omair Ali 29-Nov-2024');</v>
      </c>
    </row>
    <row r="2317" spans="1:8" ht="105" x14ac:dyDescent="0.25">
      <c r="A2317" t="s">
        <v>2317</v>
      </c>
      <c r="B2317" s="8" t="str">
        <f>VLOOKUP(A2317,assortedcode!B:C,2,0)</f>
        <v>070000160438</v>
      </c>
      <c r="C2317" s="1">
        <v>100</v>
      </c>
      <c r="D2317" s="9">
        <f t="shared" si="145"/>
        <v>100</v>
      </c>
      <c r="E2317" s="7" t="s">
        <v>8345</v>
      </c>
      <c r="F2317" s="10" t="str">
        <f t="shared" si="147"/>
        <v>insert into ins_premium_det (premium_rcv_code,assorted_code, rec_amount,premium_rcv_detail_code,remaining_amt, payrec, mode_code,coinsurance_code,class_cd,it_remarks) values</v>
      </c>
      <c r="G2317" s="11" t="str">
        <f t="shared" si="146"/>
        <v>('28Nov240101','070000160438','100',(select max(to_number(i.premium_rcv_detail_code))+1
from ins_premium_det i),'100','100','02', '11000003','00','Request by Mr. Omair Ali 29-Nov-2024');</v>
      </c>
      <c r="H2317" s="12" t="str">
        <f t="shared" si="148"/>
        <v>insert into ins_premium_det (premium_rcv_code,assorted_code, rec_amount,premium_rcv_detail_code,remaining_amt, payrec, mode_code,coinsurance_code,class_cd,it_remarks) values('28Nov240101','070000160438','100',(select max(to_number(i.premium_rcv_detail_code))+1
from ins_premium_det i),'100','100','02', '11000003','00','Request by Mr. Omair Ali 29-Nov-2024');</v>
      </c>
    </row>
    <row r="2318" spans="1:8" ht="105" x14ac:dyDescent="0.25">
      <c r="A2318" t="s">
        <v>2318</v>
      </c>
      <c r="B2318" s="8" t="str">
        <f>VLOOKUP(A2318,assortedcode!B:C,2,0)</f>
        <v>040000171732</v>
      </c>
      <c r="C2318" s="1">
        <v>100</v>
      </c>
      <c r="D2318" s="9">
        <f t="shared" si="145"/>
        <v>100</v>
      </c>
      <c r="E2318" s="7" t="s">
        <v>8345</v>
      </c>
      <c r="F2318" s="10" t="str">
        <f t="shared" si="147"/>
        <v>insert into ins_premium_det (premium_rcv_code,assorted_code, rec_amount,premium_rcv_detail_code,remaining_amt, payrec, mode_code,coinsurance_code,class_cd,it_remarks) values</v>
      </c>
      <c r="G2318" s="11" t="str">
        <f t="shared" si="146"/>
        <v>('28Nov240101','040000171732','100',(select max(to_number(i.premium_rcv_detail_code))+1
from ins_premium_det i),'100','100','02', '11000003','00','Request by Mr. Omair Ali 29-Nov-2024');</v>
      </c>
      <c r="H2318" s="12" t="str">
        <f t="shared" si="148"/>
        <v>insert into ins_premium_det (premium_rcv_code,assorted_code, rec_amount,premium_rcv_detail_code,remaining_amt, payrec, mode_code,coinsurance_code,class_cd,it_remarks) values('28Nov240101','040000171732','100',(select max(to_number(i.premium_rcv_detail_code))+1
from ins_premium_det i),'100','100','02', '11000003','00','Request by Mr. Omair Ali 29-Nov-2024');</v>
      </c>
    </row>
    <row r="2319" spans="1:8" ht="105" x14ac:dyDescent="0.25">
      <c r="A2319" t="s">
        <v>2319</v>
      </c>
      <c r="B2319" s="8" t="str">
        <f>VLOOKUP(A2319,assortedcode!B:C,2,0)</f>
        <v>040000173075</v>
      </c>
      <c r="C2319" s="1">
        <v>100</v>
      </c>
      <c r="D2319" s="9">
        <f t="shared" si="145"/>
        <v>100</v>
      </c>
      <c r="E2319" s="7" t="s">
        <v>8345</v>
      </c>
      <c r="F2319" s="10" t="str">
        <f t="shared" si="147"/>
        <v>insert into ins_premium_det (premium_rcv_code,assorted_code, rec_amount,premium_rcv_detail_code,remaining_amt, payrec, mode_code,coinsurance_code,class_cd,it_remarks) values</v>
      </c>
      <c r="G2319" s="11" t="str">
        <f t="shared" si="146"/>
        <v>('28Nov240101','040000173075','100',(select max(to_number(i.premium_rcv_detail_code))+1
from ins_premium_det i),'100','100','02', '11000003','00','Request by Mr. Omair Ali 29-Nov-2024');</v>
      </c>
      <c r="H2319" s="12" t="str">
        <f t="shared" si="148"/>
        <v>insert into ins_premium_det (premium_rcv_code,assorted_code, rec_amount,premium_rcv_detail_code,remaining_amt, payrec, mode_code,coinsurance_code,class_cd,it_remarks) values('28Nov240101','040000173075','100',(select max(to_number(i.premium_rcv_detail_code))+1
from ins_premium_det i),'100','100','02', '11000003','00','Request by Mr. Omair Ali 29-Nov-2024');</v>
      </c>
    </row>
    <row r="2320" spans="1:8" ht="105" x14ac:dyDescent="0.25">
      <c r="A2320" t="s">
        <v>2320</v>
      </c>
      <c r="B2320" s="8" t="str">
        <f>VLOOKUP(A2320,assortedcode!B:C,2,0)</f>
        <v>040000172995</v>
      </c>
      <c r="C2320" s="1">
        <v>100</v>
      </c>
      <c r="D2320" s="9">
        <f t="shared" si="145"/>
        <v>100</v>
      </c>
      <c r="E2320" s="7" t="s">
        <v>8345</v>
      </c>
      <c r="F2320" s="10" t="str">
        <f t="shared" si="147"/>
        <v>insert into ins_premium_det (premium_rcv_code,assorted_code, rec_amount,premium_rcv_detail_code,remaining_amt, payrec, mode_code,coinsurance_code,class_cd,it_remarks) values</v>
      </c>
      <c r="G2320" s="11" t="str">
        <f t="shared" si="146"/>
        <v>('28Nov240101','040000172995','100',(select max(to_number(i.premium_rcv_detail_code))+1
from ins_premium_det i),'100','100','02', '11000003','00','Request by Mr. Omair Ali 29-Nov-2024');</v>
      </c>
      <c r="H2320" s="12" t="str">
        <f t="shared" si="148"/>
        <v>insert into ins_premium_det (premium_rcv_code,assorted_code, rec_amount,premium_rcv_detail_code,remaining_amt, payrec, mode_code,coinsurance_code,class_cd,it_remarks) values('28Nov240101','040000172995','100',(select max(to_number(i.premium_rcv_detail_code))+1
from ins_premium_det i),'100','100','02', '11000003','00','Request by Mr. Omair Ali 29-Nov-2024');</v>
      </c>
    </row>
    <row r="2321" spans="1:8" ht="105" x14ac:dyDescent="0.25">
      <c r="A2321" t="s">
        <v>2321</v>
      </c>
      <c r="B2321" s="8" t="str">
        <f>VLOOKUP(A2321,assortedcode!B:C,2,0)</f>
        <v>040000168881</v>
      </c>
      <c r="C2321" s="1">
        <v>100</v>
      </c>
      <c r="D2321" s="9">
        <f t="shared" si="145"/>
        <v>100</v>
      </c>
      <c r="E2321" s="7" t="s">
        <v>8345</v>
      </c>
      <c r="F2321" s="10" t="str">
        <f t="shared" si="147"/>
        <v>insert into ins_premium_det (premium_rcv_code,assorted_code, rec_amount,premium_rcv_detail_code,remaining_amt, payrec, mode_code,coinsurance_code,class_cd,it_remarks) values</v>
      </c>
      <c r="G2321" s="11" t="str">
        <f t="shared" si="146"/>
        <v>('28Nov240101','040000168881','100',(select max(to_number(i.premium_rcv_detail_code))+1
from ins_premium_det i),'100','100','02', '11000003','00','Request by Mr. Omair Ali 29-Nov-2024');</v>
      </c>
      <c r="H2321" s="12" t="str">
        <f t="shared" si="148"/>
        <v>insert into ins_premium_det (premium_rcv_code,assorted_code, rec_amount,premium_rcv_detail_code,remaining_amt, payrec, mode_code,coinsurance_code,class_cd,it_remarks) values('28Nov240101','040000168881','100',(select max(to_number(i.premium_rcv_detail_code))+1
from ins_premium_det i),'100','100','02', '11000003','00','Request by Mr. Omair Ali 29-Nov-2024');</v>
      </c>
    </row>
    <row r="2322" spans="1:8" ht="105" x14ac:dyDescent="0.25">
      <c r="A2322" t="s">
        <v>2322</v>
      </c>
      <c r="B2322" s="8" t="str">
        <f>VLOOKUP(A2322,assortedcode!B:C,2,0)</f>
        <v>040000172977</v>
      </c>
      <c r="C2322" s="1">
        <v>100</v>
      </c>
      <c r="D2322" s="9">
        <f t="shared" si="145"/>
        <v>100</v>
      </c>
      <c r="E2322" s="7" t="s">
        <v>8345</v>
      </c>
      <c r="F2322" s="10" t="str">
        <f t="shared" si="147"/>
        <v>insert into ins_premium_det (premium_rcv_code,assorted_code, rec_amount,premium_rcv_detail_code,remaining_amt, payrec, mode_code,coinsurance_code,class_cd,it_remarks) values</v>
      </c>
      <c r="G2322" s="11" t="str">
        <f t="shared" si="146"/>
        <v>('28Nov240101','040000172977','100',(select max(to_number(i.premium_rcv_detail_code))+1
from ins_premium_det i),'100','100','02', '11000003','00','Request by Mr. Omair Ali 29-Nov-2024');</v>
      </c>
      <c r="H2322" s="12" t="str">
        <f t="shared" si="148"/>
        <v>insert into ins_premium_det (premium_rcv_code,assorted_code, rec_amount,premium_rcv_detail_code,remaining_amt, payrec, mode_code,coinsurance_code,class_cd,it_remarks) values('28Nov240101','040000172977','100',(select max(to_number(i.premium_rcv_detail_code))+1
from ins_premium_det i),'100','100','02', '11000003','00','Request by Mr. Omair Ali 29-Nov-2024');</v>
      </c>
    </row>
    <row r="2323" spans="1:8" ht="105" x14ac:dyDescent="0.25">
      <c r="A2323" t="s">
        <v>2323</v>
      </c>
      <c r="B2323" s="8" t="str">
        <f>VLOOKUP(A2323,assortedcode!B:C,2,0)</f>
        <v>040000168897</v>
      </c>
      <c r="C2323" s="1">
        <v>100</v>
      </c>
      <c r="D2323" s="9">
        <f t="shared" si="145"/>
        <v>100</v>
      </c>
      <c r="E2323" s="7" t="s">
        <v>8345</v>
      </c>
      <c r="F2323" s="10" t="str">
        <f t="shared" si="147"/>
        <v>insert into ins_premium_det (premium_rcv_code,assorted_code, rec_amount,premium_rcv_detail_code,remaining_amt, payrec, mode_code,coinsurance_code,class_cd,it_remarks) values</v>
      </c>
      <c r="G2323" s="11" t="str">
        <f t="shared" si="146"/>
        <v>('28Nov240101','040000168897','100',(select max(to_number(i.premium_rcv_detail_code))+1
from ins_premium_det i),'100','100','02', '11000003','00','Request by Mr. Omair Ali 29-Nov-2024');</v>
      </c>
      <c r="H2323" s="12" t="str">
        <f t="shared" si="148"/>
        <v>insert into ins_premium_det (premium_rcv_code,assorted_code, rec_amount,premium_rcv_detail_code,remaining_amt, payrec, mode_code,coinsurance_code,class_cd,it_remarks) values('28Nov240101','040000168897','100',(select max(to_number(i.premium_rcv_detail_code))+1
from ins_premium_det i),'100','100','02', '11000003','00','Request by Mr. Omair Ali 29-Nov-2024');</v>
      </c>
    </row>
    <row r="2324" spans="1:8" ht="105" x14ac:dyDescent="0.25">
      <c r="A2324" t="s">
        <v>2324</v>
      </c>
      <c r="B2324" s="8" t="str">
        <f>VLOOKUP(A2324,assortedcode!B:C,2,0)</f>
        <v>040000172988</v>
      </c>
      <c r="C2324" s="1">
        <v>100</v>
      </c>
      <c r="D2324" s="9">
        <f t="shared" si="145"/>
        <v>100</v>
      </c>
      <c r="E2324" s="7" t="s">
        <v>8345</v>
      </c>
      <c r="F2324" s="10" t="str">
        <f t="shared" si="147"/>
        <v>insert into ins_premium_det (premium_rcv_code,assorted_code, rec_amount,premium_rcv_detail_code,remaining_amt, payrec, mode_code,coinsurance_code,class_cd,it_remarks) values</v>
      </c>
      <c r="G2324" s="11" t="str">
        <f t="shared" si="146"/>
        <v>('28Nov240101','040000172988','100',(select max(to_number(i.premium_rcv_detail_code))+1
from ins_premium_det i),'100','100','02', '11000003','00','Request by Mr. Omair Ali 29-Nov-2024');</v>
      </c>
      <c r="H2324" s="12" t="str">
        <f t="shared" si="148"/>
        <v>insert into ins_premium_det (premium_rcv_code,assorted_code, rec_amount,premium_rcv_detail_code,remaining_amt, payrec, mode_code,coinsurance_code,class_cd,it_remarks) values('28Nov240101','040000172988','100',(select max(to_number(i.premium_rcv_detail_code))+1
from ins_premium_det i),'100','100','02', '11000003','00','Request by Mr. Omair Ali 29-Nov-2024');</v>
      </c>
    </row>
    <row r="2325" spans="1:8" ht="105" x14ac:dyDescent="0.25">
      <c r="A2325" t="s">
        <v>2325</v>
      </c>
      <c r="B2325" s="8" t="str">
        <f>VLOOKUP(A2325,assortedcode!B:C,2,0)</f>
        <v>040000168884</v>
      </c>
      <c r="C2325" s="1">
        <v>100</v>
      </c>
      <c r="D2325" s="9">
        <f t="shared" si="145"/>
        <v>100</v>
      </c>
      <c r="E2325" s="7" t="s">
        <v>8345</v>
      </c>
      <c r="F2325" s="10" t="str">
        <f t="shared" si="147"/>
        <v>insert into ins_premium_det (premium_rcv_code,assorted_code, rec_amount,premium_rcv_detail_code,remaining_amt, payrec, mode_code,coinsurance_code,class_cd,it_remarks) values</v>
      </c>
      <c r="G2325" s="11" t="str">
        <f t="shared" si="146"/>
        <v>('28Nov240101','040000168884','100',(select max(to_number(i.premium_rcv_detail_code))+1
from ins_premium_det i),'100','100','02', '11000003','00','Request by Mr. Omair Ali 29-Nov-2024');</v>
      </c>
      <c r="H2325" s="12" t="str">
        <f t="shared" si="148"/>
        <v>insert into ins_premium_det (premium_rcv_code,assorted_code, rec_amount,premium_rcv_detail_code,remaining_amt, payrec, mode_code,coinsurance_code,class_cd,it_remarks) values('28Nov240101','040000168884','100',(select max(to_number(i.premium_rcv_detail_code))+1
from ins_premium_det i),'100','100','02', '11000003','00','Request by Mr. Omair Ali 29-Nov-2024');</v>
      </c>
    </row>
    <row r="2326" spans="1:8" ht="105" x14ac:dyDescent="0.25">
      <c r="A2326" t="s">
        <v>2326</v>
      </c>
      <c r="B2326" s="8" t="str">
        <f>VLOOKUP(A2326,assortedcode!B:C,2,0)</f>
        <v>040000172992</v>
      </c>
      <c r="C2326" s="1">
        <v>100</v>
      </c>
      <c r="D2326" s="9">
        <f t="shared" si="145"/>
        <v>100</v>
      </c>
      <c r="E2326" s="7" t="s">
        <v>8345</v>
      </c>
      <c r="F2326" s="10" t="str">
        <f t="shared" si="147"/>
        <v>insert into ins_premium_det (premium_rcv_code,assorted_code, rec_amount,premium_rcv_detail_code,remaining_amt, payrec, mode_code,coinsurance_code,class_cd,it_remarks) values</v>
      </c>
      <c r="G2326" s="11" t="str">
        <f t="shared" si="146"/>
        <v>('28Nov240101','040000172992','100',(select max(to_number(i.premium_rcv_detail_code))+1
from ins_premium_det i),'100','100','02', '11000003','00','Request by Mr. Omair Ali 29-Nov-2024');</v>
      </c>
      <c r="H2326" s="12" t="str">
        <f t="shared" si="148"/>
        <v>insert into ins_premium_det (premium_rcv_code,assorted_code, rec_amount,premium_rcv_detail_code,remaining_amt, payrec, mode_code,coinsurance_code,class_cd,it_remarks) values('28Nov240101','040000172992','100',(select max(to_number(i.premium_rcv_detail_code))+1
from ins_premium_det i),'100','100','02', '11000003','00','Request by Mr. Omair Ali 29-Nov-2024');</v>
      </c>
    </row>
    <row r="2327" spans="1:8" ht="105" x14ac:dyDescent="0.25">
      <c r="A2327" t="s">
        <v>2327</v>
      </c>
      <c r="B2327" s="8" t="str">
        <f>VLOOKUP(A2327,assortedcode!B:C,2,0)</f>
        <v>040000173072</v>
      </c>
      <c r="C2327" s="1">
        <v>100</v>
      </c>
      <c r="D2327" s="9">
        <f t="shared" si="145"/>
        <v>100</v>
      </c>
      <c r="E2327" s="7" t="s">
        <v>8345</v>
      </c>
      <c r="F2327" s="10" t="str">
        <f t="shared" si="147"/>
        <v>insert into ins_premium_det (premium_rcv_code,assorted_code, rec_amount,premium_rcv_detail_code,remaining_amt, payrec, mode_code,coinsurance_code,class_cd,it_remarks) values</v>
      </c>
      <c r="G2327" s="11" t="str">
        <f t="shared" si="146"/>
        <v>('28Nov240101','040000173072','100',(select max(to_number(i.premium_rcv_detail_code))+1
from ins_premium_det i),'100','100','02', '11000003','00','Request by Mr. Omair Ali 29-Nov-2024');</v>
      </c>
      <c r="H2327" s="12" t="str">
        <f t="shared" si="148"/>
        <v>insert into ins_premium_det (premium_rcv_code,assorted_code, rec_amount,premium_rcv_detail_code,remaining_amt, payrec, mode_code,coinsurance_code,class_cd,it_remarks) values('28Nov240101','040000173072','100',(select max(to_number(i.premium_rcv_detail_code))+1
from ins_premium_det i),'100','100','02', '11000003','00','Request by Mr. Omair Ali 29-Nov-2024');</v>
      </c>
    </row>
    <row r="2328" spans="1:8" ht="105" x14ac:dyDescent="0.25">
      <c r="A2328" t="s">
        <v>2328</v>
      </c>
      <c r="B2328" s="8" t="str">
        <f>VLOOKUP(A2328,assortedcode!B:C,2,0)</f>
        <v>070000160436</v>
      </c>
      <c r="C2328" s="1">
        <v>100</v>
      </c>
      <c r="D2328" s="9">
        <f t="shared" si="145"/>
        <v>100</v>
      </c>
      <c r="E2328" s="7" t="s">
        <v>8345</v>
      </c>
      <c r="F2328" s="10" t="str">
        <f t="shared" si="147"/>
        <v>insert into ins_premium_det (premium_rcv_code,assorted_code, rec_amount,premium_rcv_detail_code,remaining_amt, payrec, mode_code,coinsurance_code,class_cd,it_remarks) values</v>
      </c>
      <c r="G2328" s="11" t="str">
        <f t="shared" si="146"/>
        <v>('28Nov240101','070000160436','100',(select max(to_number(i.premium_rcv_detail_code))+1
from ins_premium_det i),'100','100','02', '11000003','00','Request by Mr. Omair Ali 29-Nov-2024');</v>
      </c>
      <c r="H2328" s="12" t="str">
        <f t="shared" si="148"/>
        <v>insert into ins_premium_det (premium_rcv_code,assorted_code, rec_amount,premium_rcv_detail_code,remaining_amt, payrec, mode_code,coinsurance_code,class_cd,it_remarks) values('28Nov240101','070000160436','100',(select max(to_number(i.premium_rcv_detail_code))+1
from ins_premium_det i),'100','100','02', '11000003','00','Request by Mr. Omair Ali 29-Nov-2024');</v>
      </c>
    </row>
    <row r="2329" spans="1:8" ht="105" x14ac:dyDescent="0.25">
      <c r="A2329" t="s">
        <v>2329</v>
      </c>
      <c r="B2329" s="8" t="str">
        <f>VLOOKUP(A2329,assortedcode!B:C,2,0)</f>
        <v>070000130634</v>
      </c>
      <c r="C2329" s="1">
        <v>100</v>
      </c>
      <c r="D2329" s="9">
        <f t="shared" si="145"/>
        <v>100</v>
      </c>
      <c r="E2329" s="7" t="s">
        <v>8345</v>
      </c>
      <c r="F2329" s="10" t="str">
        <f t="shared" si="147"/>
        <v>insert into ins_premium_det (premium_rcv_code,assorted_code, rec_amount,premium_rcv_detail_code,remaining_amt, payrec, mode_code,coinsurance_code,class_cd,it_remarks) values</v>
      </c>
      <c r="G2329" s="11" t="str">
        <f t="shared" si="146"/>
        <v>('28Nov240101','070000130634','100',(select max(to_number(i.premium_rcv_detail_code))+1
from ins_premium_det i),'100','100','02', '11000003','00','Request by Mr. Omair Ali 29-Nov-2024');</v>
      </c>
      <c r="H2329" s="12" t="str">
        <f t="shared" si="148"/>
        <v>insert into ins_premium_det (premium_rcv_code,assorted_code, rec_amount,premium_rcv_detail_code,remaining_amt, payrec, mode_code,coinsurance_code,class_cd,it_remarks) values('28Nov240101','070000130634','100',(select max(to_number(i.premium_rcv_detail_code))+1
from ins_premium_det i),'100','100','02', '11000003','00','Request by Mr. Omair Ali 29-Nov-2024');</v>
      </c>
    </row>
    <row r="2330" spans="1:8" ht="105" x14ac:dyDescent="0.25">
      <c r="A2330" t="s">
        <v>2330</v>
      </c>
      <c r="B2330" s="8" t="str">
        <f>VLOOKUP(A2330,assortedcode!B:C,2,0)</f>
        <v>070000146933</v>
      </c>
      <c r="C2330" s="1">
        <v>100</v>
      </c>
      <c r="D2330" s="9">
        <f t="shared" si="145"/>
        <v>100</v>
      </c>
      <c r="E2330" s="7" t="s">
        <v>8345</v>
      </c>
      <c r="F2330" s="10" t="str">
        <f t="shared" si="147"/>
        <v>insert into ins_premium_det (premium_rcv_code,assorted_code, rec_amount,premium_rcv_detail_code,remaining_amt, payrec, mode_code,coinsurance_code,class_cd,it_remarks) values</v>
      </c>
      <c r="G2330" s="11" t="str">
        <f t="shared" si="146"/>
        <v>('28Nov240101','070000146933','100',(select max(to_number(i.premium_rcv_detail_code))+1
from ins_premium_det i),'100','100','02', '11000003','00','Request by Mr. Omair Ali 29-Nov-2024');</v>
      </c>
      <c r="H2330" s="12" t="str">
        <f t="shared" si="148"/>
        <v>insert into ins_premium_det (premium_rcv_code,assorted_code, rec_amount,premium_rcv_detail_code,remaining_amt, payrec, mode_code,coinsurance_code,class_cd,it_remarks) values('28Nov240101','070000146933','100',(select max(to_number(i.premium_rcv_detail_code))+1
from ins_premium_det i),'100','100','02', '11000003','00','Request by Mr. Omair Ali 29-Nov-2024');</v>
      </c>
    </row>
    <row r="2331" spans="1:8" ht="105" x14ac:dyDescent="0.25">
      <c r="A2331" t="s">
        <v>2331</v>
      </c>
      <c r="B2331" s="8" t="str">
        <f>VLOOKUP(A2331,assortedcode!B:C,2,0)</f>
        <v>070000160535</v>
      </c>
      <c r="C2331" s="1">
        <v>100</v>
      </c>
      <c r="D2331" s="9">
        <f t="shared" si="145"/>
        <v>100</v>
      </c>
      <c r="E2331" s="7" t="s">
        <v>8345</v>
      </c>
      <c r="F2331" s="10" t="str">
        <f t="shared" si="147"/>
        <v>insert into ins_premium_det (premium_rcv_code,assorted_code, rec_amount,premium_rcv_detail_code,remaining_amt, payrec, mode_code,coinsurance_code,class_cd,it_remarks) values</v>
      </c>
      <c r="G2331" s="11" t="str">
        <f t="shared" si="146"/>
        <v>('28Nov240101','070000160535','100',(select max(to_number(i.premium_rcv_detail_code))+1
from ins_premium_det i),'100','100','02', '11000003','00','Request by Mr. Omair Ali 29-Nov-2024');</v>
      </c>
      <c r="H2331" s="12" t="str">
        <f t="shared" si="148"/>
        <v>insert into ins_premium_det (premium_rcv_code,assorted_code, rec_amount,premium_rcv_detail_code,remaining_amt, payrec, mode_code,coinsurance_code,class_cd,it_remarks) values('28Nov240101','070000160535','100',(select max(to_number(i.premium_rcv_detail_code))+1
from ins_premium_det i),'100','100','02', '11000003','00','Request by Mr. Omair Ali 29-Nov-2024');</v>
      </c>
    </row>
    <row r="2332" spans="1:8" ht="105" x14ac:dyDescent="0.25">
      <c r="A2332" t="s">
        <v>2332</v>
      </c>
      <c r="B2332" s="8" t="str">
        <f>VLOOKUP(A2332,assortedcode!B:C,2,0)</f>
        <v>070000160542</v>
      </c>
      <c r="C2332" s="1">
        <v>100</v>
      </c>
      <c r="D2332" s="9">
        <f t="shared" si="145"/>
        <v>100</v>
      </c>
      <c r="E2332" s="7" t="s">
        <v>8345</v>
      </c>
      <c r="F2332" s="10" t="str">
        <f t="shared" si="147"/>
        <v>insert into ins_premium_det (premium_rcv_code,assorted_code, rec_amount,premium_rcv_detail_code,remaining_amt, payrec, mode_code,coinsurance_code,class_cd,it_remarks) values</v>
      </c>
      <c r="G2332" s="11" t="str">
        <f t="shared" si="146"/>
        <v>('28Nov240101','070000160542','100',(select max(to_number(i.premium_rcv_detail_code))+1
from ins_premium_det i),'100','100','02', '11000003','00','Request by Mr. Omair Ali 29-Nov-2024');</v>
      </c>
      <c r="H2332" s="12" t="str">
        <f t="shared" si="148"/>
        <v>insert into ins_premium_det (premium_rcv_code,assorted_code, rec_amount,premium_rcv_detail_code,remaining_amt, payrec, mode_code,coinsurance_code,class_cd,it_remarks) values('28Nov240101','070000160542','100',(select max(to_number(i.premium_rcv_detail_code))+1
from ins_premium_det i),'100','100','02', '11000003','00','Request by Mr. Omair Ali 29-Nov-2024');</v>
      </c>
    </row>
    <row r="2333" spans="1:8" ht="105" x14ac:dyDescent="0.25">
      <c r="A2333" t="s">
        <v>2333</v>
      </c>
      <c r="B2333" s="8" t="str">
        <f>VLOOKUP(A2333,assortedcode!B:C,2,0)</f>
        <v>040000139195</v>
      </c>
      <c r="C2333" s="1">
        <v>100</v>
      </c>
      <c r="D2333" s="9">
        <f t="shared" ref="D2333" si="149">ROUND(C2333,0)</f>
        <v>100</v>
      </c>
      <c r="E2333" s="7" t="s">
        <v>8345</v>
      </c>
      <c r="F2333" s="10" t="str">
        <f t="shared" si="147"/>
        <v>insert into ins_premium_det (premium_rcv_code,assorted_code, rec_amount,premium_rcv_detail_code,remaining_amt, payrec, mode_code,coinsurance_code,class_cd,it_remarks) values</v>
      </c>
      <c r="G2333" s="11" t="str">
        <f t="shared" ref="G2333" si="150">"('"&amp;E2333&amp;"','"&amp;B2333&amp;"','"&amp;ROUND(D2333,2)&amp;"',(select max(to_number(i.premium_rcv_detail_code))+1
from ins_premium_det i),'"&amp;D2333&amp;"','"&amp;D2333&amp;"','02', '11000003','00','Request by Mr. Omair Ali 29-Nov-2024');"</f>
        <v>('28Nov240101','040000139195','100',(select max(to_number(i.premium_rcv_detail_code))+1
from ins_premium_det i),'100','100','02', '11000003','00','Request by Mr. Omair Ali 29-Nov-2024');</v>
      </c>
      <c r="H2333" s="12" t="str">
        <f t="shared" si="148"/>
        <v>insert into ins_premium_det (premium_rcv_code,assorted_code, rec_amount,premium_rcv_detail_code,remaining_amt, payrec, mode_code,coinsurance_code,class_cd,it_remarks) values('28Nov240101','040000139195','100',(select max(to_number(i.premium_rcv_detail_code))+1
from ins_premium_det i),'100','100','02', '11000003','00','Request by Mr. Omair Ali 29-Nov-2024');</v>
      </c>
    </row>
    <row r="2334" spans="1:8" x14ac:dyDescent="0.25">
      <c r="C2334" s="3">
        <f>SUM(C2:C2333)</f>
        <v>15249.659000000012</v>
      </c>
      <c r="D2334" s="3">
        <f>SUM(D2:D2333)</f>
        <v>15239</v>
      </c>
    </row>
    <row r="2335" spans="1:8" x14ac:dyDescent="0.25">
      <c r="C2335" s="1">
        <v>80</v>
      </c>
      <c r="D2335" s="1">
        <f>SUM(D2:D2333)</f>
        <v>15239</v>
      </c>
    </row>
    <row r="2336" spans="1:8" x14ac:dyDescent="0.25">
      <c r="C2336" s="1">
        <f>C2334-C2335</f>
        <v>15169.659000000012</v>
      </c>
    </row>
    <row r="2337" spans="4:4" x14ac:dyDescent="0.25">
      <c r="D2337" s="1">
        <f>D2334-80</f>
        <v>15159</v>
      </c>
    </row>
  </sheetData>
  <autoFilter ref="A1:H2335" xr:uid="{9F6F39D6-53A1-4DA8-8B45-0C523845FC4D}">
    <filterColumn colId="1">
      <filters blank="1">
        <filter val="040000026470"/>
        <filter val="040000093375"/>
        <filter val="040000094371"/>
        <filter val="040000094802"/>
        <filter val="040000094807"/>
        <filter val="040000094864"/>
        <filter val="040000095467"/>
        <filter val="040000095469"/>
        <filter val="040000097124"/>
        <filter val="040000102356"/>
        <filter val="040000103479"/>
        <filter val="040000103547"/>
        <filter val="040000103554"/>
        <filter val="040000103612"/>
        <filter val="040000103826"/>
        <filter val="040000103856"/>
        <filter val="040000103872"/>
        <filter val="040000103890"/>
        <filter val="040000104539"/>
        <filter val="040000104576"/>
        <filter val="040000104577"/>
        <filter val="040000104578"/>
        <filter val="040000104633"/>
        <filter val="040000104697"/>
        <filter val="040000104699"/>
        <filter val="040000104702"/>
        <filter val="040000104740"/>
        <filter val="040000104853"/>
        <filter val="040000104923"/>
        <filter val="040000105096"/>
        <filter val="040000105215"/>
        <filter val="040000105254"/>
        <filter val="040000105442"/>
        <filter val="040000105445"/>
        <filter val="040000105447"/>
        <filter val="040000105448"/>
        <filter val="040000105456"/>
        <filter val="040000105461"/>
        <filter val="040000105493"/>
        <filter val="040000105557"/>
        <filter val="040000105901"/>
        <filter val="040000106259"/>
        <filter val="040000106302"/>
        <filter val="040000106309"/>
        <filter val="040000106313"/>
        <filter val="040000106315"/>
        <filter val="040000106329"/>
        <filter val="040000106339"/>
        <filter val="040000106424"/>
        <filter val="040000106490"/>
        <filter val="040000106505"/>
        <filter val="040000106518"/>
        <filter val="040000106523"/>
        <filter val="040000106531"/>
        <filter val="040000106537"/>
        <filter val="040000106542"/>
        <filter val="040000106839"/>
        <filter val="040000106840"/>
        <filter val="040000106841"/>
        <filter val="040000106852"/>
        <filter val="040000107553"/>
        <filter val="040000107578"/>
        <filter val="040000107594"/>
        <filter val="040000107600"/>
        <filter val="040000107626"/>
        <filter val="040000107644"/>
        <filter val="040000107656"/>
        <filter val="040000107662"/>
        <filter val="040000107718"/>
        <filter val="040000107731"/>
        <filter val="040000107734"/>
        <filter val="040000107751"/>
        <filter val="040000108287"/>
        <filter val="040000108290"/>
        <filter val="040000108293"/>
        <filter val="040000108294"/>
        <filter val="040000108297"/>
        <filter val="040000108299"/>
        <filter val="040000108315"/>
        <filter val="040000108317"/>
        <filter val="040000108321"/>
        <filter val="040000108326"/>
        <filter val="040000108327"/>
        <filter val="040000108330"/>
        <filter val="040000108339"/>
        <filter val="040000108341"/>
        <filter val="040000108347"/>
        <filter val="040000108350"/>
        <filter val="040000108362"/>
        <filter val="040000108365"/>
        <filter val="040000108369"/>
        <filter val="040000108377"/>
        <filter val="040000108379"/>
        <filter val="040000108381"/>
        <filter val="040000108384"/>
        <filter val="040000108394"/>
        <filter val="040000108399"/>
        <filter val="040000108443"/>
        <filter val="040000108490"/>
        <filter val="040000108500"/>
        <filter val="040000108503"/>
        <filter val="040000108504"/>
        <filter val="040000108505"/>
        <filter val="040000108509"/>
        <filter val="040000108510"/>
        <filter val="040000108605"/>
        <filter val="040000108624"/>
        <filter val="040000108626"/>
        <filter val="040000108631"/>
        <filter val="040000108655"/>
        <filter val="040000108658"/>
        <filter val="040000108663"/>
        <filter val="040000108669"/>
        <filter val="040000108680"/>
        <filter val="040000108687"/>
        <filter val="040000108692"/>
        <filter val="040000108696"/>
        <filter val="040000108904"/>
        <filter val="040000108917"/>
        <filter val="040000108920"/>
        <filter val="040000108921"/>
        <filter val="040000108956"/>
        <filter val="040000108966"/>
        <filter val="040000108968"/>
        <filter val="040000108975"/>
        <filter val="040000108992"/>
        <filter val="040000109008"/>
        <filter val="040000109049"/>
        <filter val="040000109051"/>
        <filter val="040000109057"/>
        <filter val="040000109061"/>
        <filter val="040000109064"/>
        <filter val="040000109065"/>
        <filter val="040000109068"/>
        <filter val="040000109072"/>
        <filter val="040000109076"/>
        <filter val="040000109079"/>
        <filter val="040000109083"/>
        <filter val="040000109084"/>
        <filter val="040000109092"/>
        <filter val="040000109104"/>
        <filter val="040000109114"/>
        <filter val="040000109580"/>
        <filter val="040000109584"/>
        <filter val="040000109618"/>
        <filter val="040000109621"/>
        <filter val="040000109624"/>
        <filter val="040000109625"/>
        <filter val="040000109680"/>
        <filter val="040000109704"/>
        <filter val="040000109725"/>
        <filter val="040000109731"/>
        <filter val="040000109739"/>
        <filter val="040000109740"/>
        <filter val="040000109745"/>
        <filter val="040000109775"/>
        <filter val="040000109779"/>
        <filter val="040000109933"/>
        <filter val="040000109954"/>
        <filter val="040000109958"/>
        <filter val="040000109966"/>
        <filter val="040000109970"/>
        <filter val="040000109971"/>
        <filter val="040000109973"/>
        <filter val="040000109975"/>
        <filter val="040000109976"/>
        <filter val="040000109978"/>
        <filter val="040000109981"/>
        <filter val="040000109983"/>
        <filter val="040000109984"/>
        <filter val="040000109989"/>
        <filter val="040000109992"/>
        <filter val="040000109999"/>
        <filter val="040000110000"/>
        <filter val="040000110003"/>
        <filter val="040000110007"/>
        <filter val="040000110012"/>
        <filter val="040000110016"/>
        <filter val="040000110020"/>
        <filter val="040000110022"/>
        <filter val="040000110024"/>
        <filter val="040000110026"/>
        <filter val="040000110027"/>
        <filter val="040000110029"/>
        <filter val="040000110033"/>
        <filter val="040000110034"/>
        <filter val="040000110035"/>
        <filter val="040000110036"/>
        <filter val="040000110038"/>
        <filter val="040000110039"/>
        <filter val="040000110043"/>
        <filter val="040000110044"/>
        <filter val="040000110048"/>
        <filter val="040000110057"/>
        <filter val="040000110104"/>
        <filter val="040000110352"/>
        <filter val="040000110470"/>
        <filter val="040000110482"/>
        <filter val="040000110677"/>
        <filter val="040000110685"/>
        <filter val="040000110697"/>
        <filter val="040000110701"/>
        <filter val="040000110708"/>
        <filter val="040000110710"/>
        <filter val="040000110713"/>
        <filter val="040000110832"/>
        <filter val="040000111290"/>
        <filter val="040000111328"/>
        <filter val="040000111544"/>
        <filter val="040000111582"/>
        <filter val="040000111605"/>
        <filter val="040000111612"/>
        <filter val="040000111618"/>
        <filter val="040000111633"/>
        <filter val="040000111645"/>
        <filter val="040000111682"/>
        <filter val="040000111683"/>
        <filter val="040000111691"/>
        <filter val="040000111692"/>
        <filter val="040000111699"/>
        <filter val="040000111717"/>
        <filter val="040000111718"/>
        <filter val="040000111749"/>
        <filter val="040000111755"/>
        <filter val="040000111785"/>
        <filter val="040000111797"/>
        <filter val="040000111799"/>
        <filter val="040000111840"/>
        <filter val="040000111843"/>
        <filter val="040000111847"/>
        <filter val="040000111854"/>
        <filter val="040000111856"/>
        <filter val="040000111862"/>
        <filter val="040000111864"/>
        <filter val="040000111881"/>
        <filter val="040000111883"/>
        <filter val="040000111898"/>
        <filter val="040000111923"/>
        <filter val="040000111953"/>
        <filter val="040000111961"/>
        <filter val="040000111973"/>
        <filter val="040000111977"/>
        <filter val="040000111989"/>
        <filter val="040000112072"/>
        <filter val="040000112301"/>
        <filter val="040000112339"/>
        <filter val="040000112378"/>
        <filter val="040000112388"/>
        <filter val="040000112394"/>
        <filter val="040000112462"/>
        <filter val="040000112524"/>
        <filter val="040000112594"/>
        <filter val="040000112643"/>
        <filter val="040000112662"/>
        <filter val="040000112667"/>
        <filter val="040000112685"/>
        <filter val="040000112973"/>
        <filter val="040000113059"/>
        <filter val="040000113066"/>
        <filter val="040000113149"/>
        <filter val="040000113179"/>
        <filter val="040000113297"/>
        <filter val="040000113454"/>
        <filter val="040000113469"/>
        <filter val="040000113693"/>
        <filter val="040000113791"/>
        <filter val="040000113859"/>
        <filter val="040000113945"/>
        <filter val="040000113997"/>
        <filter val="040000113998"/>
        <filter val="040000114030"/>
        <filter val="040000114041"/>
        <filter val="040000114045"/>
        <filter val="040000114134"/>
        <filter val="040000114139"/>
        <filter val="040000114227"/>
        <filter val="040000114261"/>
        <filter val="040000114271"/>
        <filter val="040000114303"/>
        <filter val="040000114305"/>
        <filter val="040000114308"/>
        <filter val="040000114340"/>
        <filter val="040000114350"/>
        <filter val="040000114355"/>
        <filter val="040000114359"/>
        <filter val="040000114370"/>
        <filter val="040000114471"/>
        <filter val="040000114491"/>
        <filter val="040000114743"/>
        <filter val="040000114760"/>
        <filter val="040000114781"/>
        <filter val="040000114890"/>
        <filter val="040000114891"/>
        <filter val="040000114898"/>
        <filter val="040000115014"/>
        <filter val="040000115017"/>
        <filter val="040000115087"/>
        <filter val="040000115209"/>
        <filter val="040000115225"/>
        <filter val="040000115228"/>
        <filter val="040000115257"/>
        <filter val="040000115319"/>
        <filter val="040000115411"/>
        <filter val="040000115452"/>
        <filter val="040000115506"/>
        <filter val="040000115507"/>
        <filter val="040000115513"/>
        <filter val="040000115515"/>
        <filter val="040000115520"/>
        <filter val="040000115522"/>
        <filter val="040000115603"/>
        <filter val="040000115606"/>
        <filter val="040000115668"/>
        <filter val="040000115687"/>
        <filter val="040000115689"/>
        <filter val="040000115763"/>
        <filter val="040000115771"/>
        <filter val="040000115773"/>
        <filter val="040000115855"/>
        <filter val="040000115936"/>
        <filter val="040000115951"/>
        <filter val="040000115967"/>
        <filter val="040000116011"/>
        <filter val="040000116022"/>
        <filter val="040000116030"/>
        <filter val="040000116075"/>
        <filter val="040000116077"/>
        <filter val="040000116090"/>
        <filter val="040000116127"/>
        <filter val="040000116159"/>
        <filter val="040000116176"/>
        <filter val="040000116193"/>
        <filter val="040000116263"/>
        <filter val="040000116268"/>
        <filter val="040000116275"/>
        <filter val="040000116280"/>
        <filter val="040000116396"/>
        <filter val="040000116412"/>
        <filter val="040000116433"/>
        <filter val="040000116481"/>
        <filter val="040000116633"/>
        <filter val="040000116636"/>
        <filter val="040000116694"/>
        <filter val="040000116696"/>
        <filter val="040000116993"/>
        <filter val="040000116995"/>
        <filter val="040000117258"/>
        <filter val="040000117319"/>
        <filter val="040000117660"/>
        <filter val="040000117742"/>
        <filter val="040000117834"/>
        <filter val="040000117836"/>
        <filter val="040000117920"/>
        <filter val="040000118030"/>
        <filter val="040000118033"/>
        <filter val="040000118101"/>
        <filter val="040000118104"/>
        <filter val="040000118234"/>
        <filter val="040000118340"/>
        <filter val="040000118402"/>
        <filter val="040000118537"/>
        <filter val="040000118632"/>
        <filter val="040000118683"/>
        <filter val="040000118711"/>
        <filter val="040000118714"/>
        <filter val="040000119047"/>
        <filter val="040000119175"/>
        <filter val="040000119346"/>
        <filter val="040000119367"/>
        <filter val="040000119371"/>
        <filter val="040000119375"/>
        <filter val="040000119462"/>
        <filter val="040000119567"/>
        <filter val="040000120596"/>
        <filter val="040000120751"/>
        <filter val="040000120853"/>
        <filter val="040000121039"/>
        <filter val="040000121046"/>
        <filter val="040000121063"/>
        <filter val="040000121152"/>
        <filter val="040000121193"/>
        <filter val="040000121197"/>
        <filter val="040000121216"/>
        <filter val="040000121219"/>
        <filter val="040000121228"/>
        <filter val="040000121233"/>
        <filter val="040000121277"/>
        <filter val="040000121345"/>
        <filter val="040000121369"/>
        <filter val="040000121454"/>
        <filter val="040000121465"/>
        <filter val="040000121478"/>
        <filter val="040000121491"/>
        <filter val="040000121550"/>
        <filter val="040000121582"/>
        <filter val="040000121590"/>
        <filter val="040000121598"/>
        <filter val="040000121668"/>
        <filter val="040000121676"/>
        <filter val="040000121680"/>
        <filter val="040000121786"/>
        <filter val="040000121813"/>
        <filter val="040000121844"/>
        <filter val="040000121875"/>
        <filter val="040000122020"/>
        <filter val="040000122044"/>
        <filter val="040000122048"/>
        <filter val="040000122074"/>
        <filter val="040000122077"/>
        <filter val="040000122081"/>
        <filter val="040000122089"/>
        <filter val="040000122091"/>
        <filter val="040000122092"/>
        <filter val="040000122097"/>
        <filter val="040000122098"/>
        <filter val="040000122099"/>
        <filter val="040000122100"/>
        <filter val="040000122104"/>
        <filter val="040000122105"/>
        <filter val="040000122112"/>
        <filter val="040000122210"/>
        <filter val="040000122335"/>
        <filter val="040000122376"/>
        <filter val="040000122380"/>
        <filter val="040000122405"/>
        <filter val="040000122408"/>
        <filter val="040000122436"/>
        <filter val="040000122460"/>
        <filter val="040000122494"/>
        <filter val="040000122502"/>
        <filter val="040000122545"/>
        <filter val="040000122551"/>
        <filter val="040000122558"/>
        <filter val="040000122579"/>
        <filter val="040000122590"/>
        <filter val="040000122697"/>
        <filter val="040000122868"/>
        <filter val="040000122870"/>
        <filter val="040000122919"/>
        <filter val="040000122929"/>
        <filter val="040000122943"/>
        <filter val="040000122949"/>
        <filter val="040000122980"/>
        <filter val="040000123046"/>
        <filter val="040000123047"/>
        <filter val="040000123086"/>
        <filter val="040000123104"/>
        <filter val="040000123106"/>
        <filter val="040000123111"/>
        <filter val="040000123180"/>
        <filter val="040000123304"/>
        <filter val="040000123326"/>
        <filter val="040000123343"/>
        <filter val="040000123357"/>
        <filter val="040000123362"/>
        <filter val="040000123419"/>
        <filter val="040000123420"/>
        <filter val="040000123426"/>
        <filter val="040000123443"/>
        <filter val="040000123501"/>
        <filter val="040000123502"/>
        <filter val="040000123504"/>
        <filter val="040000123521"/>
        <filter val="040000123523"/>
        <filter val="040000123593"/>
        <filter val="040000123596"/>
        <filter val="040000123625"/>
        <filter val="040000123626"/>
        <filter val="040000123629"/>
        <filter val="040000123639"/>
        <filter val="040000123704"/>
        <filter val="040000123710"/>
        <filter val="040000123716"/>
        <filter val="040000123725"/>
        <filter val="040000123764"/>
        <filter val="040000123785"/>
        <filter val="040000123918"/>
        <filter val="040000123923"/>
        <filter val="040000123935"/>
        <filter val="040000123949"/>
        <filter val="040000123969"/>
        <filter val="040000124050"/>
        <filter val="040000124068"/>
        <filter val="040000124071"/>
        <filter val="040000124164"/>
        <filter val="040000124174"/>
        <filter val="040000124196"/>
        <filter val="040000124243"/>
        <filter val="040000124264"/>
        <filter val="040000124273"/>
        <filter val="040000124319"/>
        <filter val="040000124325"/>
        <filter val="040000124351"/>
        <filter val="040000124356"/>
        <filter val="040000124392"/>
        <filter val="040000124398"/>
        <filter val="040000124401"/>
        <filter val="040000124408"/>
        <filter val="040000124463"/>
        <filter val="040000124713"/>
        <filter val="040000124739"/>
        <filter val="040000124741"/>
        <filter val="040000124753"/>
        <filter val="040000124765"/>
        <filter val="040000124850"/>
        <filter val="040000124851"/>
        <filter val="040000124871"/>
        <filter val="040000124878"/>
        <filter val="040000124922"/>
        <filter val="040000124929"/>
        <filter val="040000125249"/>
        <filter val="040000125277"/>
        <filter val="040000125292"/>
        <filter val="040000125296"/>
        <filter val="040000125319"/>
        <filter val="040000125342"/>
        <filter val="040000125381"/>
        <filter val="040000125395"/>
        <filter val="040000125400"/>
        <filter val="040000125567"/>
        <filter val="040000125574"/>
        <filter val="040000125582"/>
        <filter val="040000125587"/>
        <filter val="040000125605"/>
        <filter val="040000125612"/>
        <filter val="040000125651"/>
        <filter val="040000125656"/>
        <filter val="040000125661"/>
        <filter val="040000125668"/>
        <filter val="040000125712"/>
        <filter val="040000125714"/>
        <filter val="040000125792"/>
        <filter val="040000125795"/>
        <filter val="040000125816"/>
        <filter val="040000125821"/>
        <filter val="040000125828"/>
        <filter val="040000125831"/>
        <filter val="040000125843"/>
        <filter val="040000125848"/>
        <filter val="040000125904"/>
        <filter val="040000125908"/>
        <filter val="040000125966"/>
        <filter val="040000126009"/>
        <filter val="040000126010"/>
        <filter val="040000126052"/>
        <filter val="040000126087"/>
        <filter val="040000126164"/>
        <filter val="040000126172"/>
        <filter val="040000126187"/>
        <filter val="040000126189"/>
        <filter val="040000126192"/>
        <filter val="040000126193"/>
        <filter val="040000126211"/>
        <filter val="040000126390"/>
        <filter val="040000126549"/>
        <filter val="040000126592"/>
        <filter val="040000126597"/>
        <filter val="040000126598"/>
        <filter val="040000126610"/>
        <filter val="040000126705"/>
        <filter val="040000126776"/>
        <filter val="040000126802"/>
        <filter val="040000126822"/>
        <filter val="040000126829"/>
        <filter val="040000126856"/>
        <filter val="040000126916"/>
        <filter val="040000126931"/>
        <filter val="040000126937"/>
        <filter val="040000126944"/>
        <filter val="040000126975"/>
        <filter val="040000126983"/>
        <filter val="040000126989"/>
        <filter val="040000126994"/>
        <filter val="040000126995"/>
        <filter val="040000127016"/>
        <filter val="040000127115"/>
        <filter val="040000127264"/>
        <filter val="040000127269"/>
        <filter val="040000127366"/>
        <filter val="040000127370"/>
        <filter val="040000127389"/>
        <filter val="040000127416"/>
        <filter val="040000127418"/>
        <filter val="040000127419"/>
        <filter val="040000127422"/>
        <filter val="040000127431"/>
        <filter val="040000127609"/>
        <filter val="040000127915"/>
        <filter val="040000127944"/>
        <filter val="040000127962"/>
        <filter val="040000128005"/>
        <filter val="040000128019"/>
        <filter val="040000128092"/>
        <filter val="040000128103"/>
        <filter val="040000128371"/>
        <filter val="040000128570"/>
        <filter val="040000128610"/>
        <filter val="040000129093"/>
        <filter val="040000129096"/>
        <filter val="040000129097"/>
        <filter val="040000129128"/>
        <filter val="040000129258"/>
        <filter val="040000129472"/>
        <filter val="040000129475"/>
        <filter val="040000129505"/>
        <filter val="040000129527"/>
        <filter val="040000129619"/>
        <filter val="040000129631"/>
        <filter val="040000129994"/>
        <filter val="040000130001"/>
        <filter val="040000130011"/>
        <filter val="040000130050"/>
        <filter val="040000130072"/>
        <filter val="040000130079"/>
        <filter val="040000130083"/>
        <filter val="040000130095"/>
        <filter val="040000130250"/>
        <filter val="040000130353"/>
        <filter val="040000130357"/>
        <filter val="040000130454"/>
        <filter val="040000130506"/>
        <filter val="040000130594"/>
        <filter val="040000130595"/>
        <filter val="040000130596"/>
        <filter val="040000130611"/>
        <filter val="040000130666"/>
        <filter val="040000130670"/>
        <filter val="040000130679"/>
        <filter val="040000130681"/>
        <filter val="040000130702"/>
        <filter val="040000130709"/>
        <filter val="040000130714"/>
        <filter val="040000130719"/>
        <filter val="040000130729"/>
        <filter val="040000130807"/>
        <filter val="040000130854"/>
        <filter val="040000130865"/>
        <filter val="040000130991"/>
        <filter val="040000131001"/>
        <filter val="040000131006"/>
        <filter val="040000131040"/>
        <filter val="040000131053"/>
        <filter val="040000131508"/>
        <filter val="040000131543"/>
        <filter val="040000131563"/>
        <filter val="040000131567"/>
        <filter val="040000131571"/>
        <filter val="040000131579"/>
        <filter val="040000131631"/>
        <filter val="040000131640"/>
        <filter val="040000131641"/>
        <filter val="040000131642"/>
        <filter val="040000131711"/>
        <filter val="040000131721"/>
        <filter val="040000131730"/>
        <filter val="040000131736"/>
        <filter val="040000131757"/>
        <filter val="040000131766"/>
        <filter val="040000131767"/>
        <filter val="040000131781"/>
        <filter val="040000131876"/>
        <filter val="040000131950"/>
        <filter val="040000132007"/>
        <filter val="040000132011"/>
        <filter val="040000132057"/>
        <filter val="040000132062"/>
        <filter val="040000132106"/>
        <filter val="040000132134"/>
        <filter val="040000132222"/>
        <filter val="040000132307"/>
        <filter val="040000132477"/>
        <filter val="040000132501"/>
        <filter val="040000132535"/>
        <filter val="040000132558"/>
        <filter val="040000132570"/>
        <filter val="040000132592"/>
        <filter val="040000132599"/>
        <filter val="040000132626"/>
        <filter val="040000132744"/>
        <filter val="040000132746"/>
        <filter val="040000132753"/>
        <filter val="040000132797"/>
        <filter val="040000132805"/>
        <filter val="040000132830"/>
        <filter val="040000132835"/>
        <filter val="040000132879"/>
        <filter val="040000132881"/>
        <filter val="040000132889"/>
        <filter val="040000132989"/>
        <filter val="040000133049"/>
        <filter val="040000133122"/>
        <filter val="040000133130"/>
        <filter val="040000133364"/>
        <filter val="040000133378"/>
        <filter val="040000133493"/>
        <filter val="040000133536"/>
        <filter val="040000133824"/>
        <filter val="040000133925"/>
        <filter val="040000133944"/>
        <filter val="040000133947"/>
        <filter val="040000134050"/>
        <filter val="040000134053"/>
        <filter val="040000134087"/>
        <filter val="040000134113"/>
        <filter val="040000134114"/>
        <filter val="040000134159"/>
        <filter val="040000134275"/>
        <filter val="040000134279"/>
        <filter val="040000134330"/>
        <filter val="040000134344"/>
        <filter val="040000134348"/>
        <filter val="040000134390"/>
        <filter val="040000134414"/>
        <filter val="040000134422"/>
        <filter val="040000134435"/>
        <filter val="040000134444"/>
        <filter val="040000134473"/>
        <filter val="040000134492"/>
        <filter val="040000134493"/>
        <filter val="040000134551"/>
        <filter val="040000134573"/>
        <filter val="040000134594"/>
        <filter val="040000134619"/>
        <filter val="040000134657"/>
        <filter val="040000134662"/>
        <filter val="040000134674"/>
        <filter val="040000134693"/>
        <filter val="040000134713"/>
        <filter val="040000134729"/>
        <filter val="040000134757"/>
        <filter val="040000134805"/>
        <filter val="040000134880"/>
        <filter val="040000135023"/>
        <filter val="040000135113"/>
        <filter val="040000135162"/>
        <filter val="040000135446"/>
        <filter val="040000135472"/>
        <filter val="040000135603"/>
        <filter val="040000135841"/>
        <filter val="040000135875"/>
        <filter val="040000135880"/>
        <filter val="040000135894"/>
        <filter val="040000135900"/>
        <filter val="040000135911"/>
        <filter val="040000135915"/>
        <filter val="040000135921"/>
        <filter val="040000135924"/>
        <filter val="040000135952"/>
        <filter val="040000135984"/>
        <filter val="040000135985"/>
        <filter val="040000135993"/>
        <filter val="040000136039"/>
        <filter val="040000136066"/>
        <filter val="040000136075"/>
        <filter val="040000136156"/>
        <filter val="040000136160"/>
        <filter val="040000136221"/>
        <filter val="040000136224"/>
        <filter val="040000136227"/>
        <filter val="040000136237"/>
        <filter val="040000136254"/>
        <filter val="040000136255"/>
        <filter val="040000136377"/>
        <filter val="040000136387"/>
        <filter val="040000136481"/>
        <filter val="040000136550"/>
        <filter val="040000136551"/>
        <filter val="040000136552"/>
        <filter val="040000136644"/>
        <filter val="040000136672"/>
        <filter val="040000136729"/>
        <filter val="040000136804"/>
        <filter val="040000136812"/>
        <filter val="040000136825"/>
        <filter val="040000136927"/>
        <filter val="040000136939"/>
        <filter val="040000136984"/>
        <filter val="040000137007"/>
        <filter val="040000137037"/>
        <filter val="040000137040"/>
        <filter val="040000137052"/>
        <filter val="040000137086"/>
        <filter val="040000137108"/>
        <filter val="040000137147"/>
        <filter val="040000137149"/>
        <filter val="040000137186"/>
        <filter val="040000137199"/>
        <filter val="040000137212"/>
        <filter val="040000137224"/>
        <filter val="040000137257"/>
        <filter val="040000137262"/>
        <filter val="040000137273"/>
        <filter val="040000137315"/>
        <filter val="040000137319"/>
        <filter val="040000137323"/>
        <filter val="040000137365"/>
        <filter val="040000137376"/>
        <filter val="040000137451"/>
        <filter val="040000137453"/>
        <filter val="040000137471"/>
        <filter val="040000137573"/>
        <filter val="040000137577"/>
        <filter val="040000137580"/>
        <filter val="040000137583"/>
        <filter val="040000137628"/>
        <filter val="040000137630"/>
        <filter val="040000137703"/>
        <filter val="040000137783"/>
        <filter val="040000137800"/>
        <filter val="040000137858"/>
        <filter val="040000137974"/>
        <filter val="040000137978"/>
        <filter val="040000137980"/>
        <filter val="040000137981"/>
        <filter val="040000138253"/>
        <filter val="040000138303"/>
        <filter val="040000138321"/>
        <filter val="040000138322"/>
        <filter val="040000138344"/>
        <filter val="040000138430"/>
        <filter val="040000138485"/>
        <filter val="040000138508"/>
        <filter val="040000138522"/>
        <filter val="040000138625"/>
        <filter val="040000138627"/>
        <filter val="040000138744"/>
        <filter val="040000138768"/>
        <filter val="040000138778"/>
        <filter val="040000138821"/>
        <filter val="040000138854"/>
        <filter val="040000138950"/>
        <filter val="040000138978"/>
        <filter val="040000139024"/>
        <filter val="040000139040"/>
        <filter val="040000139056"/>
        <filter val="040000139147"/>
        <filter val="040000139162"/>
        <filter val="040000139195"/>
        <filter val="040000139241"/>
        <filter val="040000139267"/>
        <filter val="040000139297"/>
        <filter val="040000139309"/>
        <filter val="040000139313"/>
        <filter val="040000139332"/>
        <filter val="040000139450"/>
        <filter val="040000139466"/>
        <filter val="040000139494"/>
        <filter val="040000139540"/>
        <filter val="040000139576"/>
        <filter val="040000139843"/>
        <filter val="040000139881"/>
        <filter val="040000139899"/>
        <filter val="040000139902"/>
        <filter val="040000139933"/>
        <filter val="040000139972"/>
        <filter val="040000140092"/>
        <filter val="040000140111"/>
        <filter val="040000140218"/>
        <filter val="040000140242"/>
        <filter val="040000140309"/>
        <filter val="040000140328"/>
        <filter val="040000140397"/>
        <filter val="040000140467"/>
        <filter val="040000140504"/>
        <filter val="040000140712"/>
        <filter val="040000140715"/>
        <filter val="040000140738"/>
        <filter val="040000140746"/>
        <filter val="040000140747"/>
        <filter val="040000140748"/>
        <filter val="040000140749"/>
        <filter val="040000140767"/>
        <filter val="040000140769"/>
        <filter val="040000140773"/>
        <filter val="040000140826"/>
        <filter val="040000140832"/>
        <filter val="040000140843"/>
        <filter val="040000140851"/>
        <filter val="040000140853"/>
        <filter val="040000140857"/>
        <filter val="040000140942"/>
        <filter val="040000140944"/>
        <filter val="040000140955"/>
        <filter val="040000140960"/>
        <filter val="040000140961"/>
        <filter val="040000140967"/>
        <filter val="040000140973"/>
        <filter val="040000140975"/>
        <filter val="040000140987"/>
        <filter val="040000140997"/>
        <filter val="040000141006"/>
        <filter val="040000141008"/>
        <filter val="040000141012"/>
        <filter val="040000141013"/>
        <filter val="040000141014"/>
        <filter val="040000141015"/>
        <filter val="040000141016"/>
        <filter val="040000141017"/>
        <filter val="040000141018"/>
        <filter val="040000141019"/>
        <filter val="040000141020"/>
        <filter val="040000141034"/>
        <filter val="040000141077"/>
        <filter val="040000141092"/>
        <filter val="040000141107"/>
        <filter val="040000141114"/>
        <filter val="040000141118"/>
        <filter val="040000141205"/>
        <filter val="040000141216"/>
        <filter val="040000141250"/>
        <filter val="040000141268"/>
        <filter val="040000141282"/>
        <filter val="040000141305"/>
        <filter val="040000141307"/>
        <filter val="040000141314"/>
        <filter val="040000141333"/>
        <filter val="040000141334"/>
        <filter val="040000141336"/>
        <filter val="040000141340"/>
        <filter val="040000141347"/>
        <filter val="040000141358"/>
        <filter val="040000141361"/>
        <filter val="040000141382"/>
        <filter val="040000141408"/>
        <filter val="040000141416"/>
        <filter val="040000141475"/>
        <filter val="040000141515"/>
        <filter val="040000141546"/>
        <filter val="040000141563"/>
        <filter val="040000141577"/>
        <filter val="040000141579"/>
        <filter val="040000141584"/>
        <filter val="040000141586"/>
        <filter val="040000141593"/>
        <filter val="040000141600"/>
        <filter val="040000141618"/>
        <filter val="040000141622"/>
        <filter val="040000141642"/>
        <filter val="040000141649"/>
        <filter val="040000141655"/>
        <filter val="040000141659"/>
        <filter val="040000141664"/>
        <filter val="040000141665"/>
        <filter val="040000141696"/>
        <filter val="040000141721"/>
        <filter val="040000141741"/>
        <filter val="040000141750"/>
        <filter val="040000141778"/>
        <filter val="040000141779"/>
        <filter val="040000141786"/>
        <filter val="040000141787"/>
        <filter val="040000141790"/>
        <filter val="040000141813"/>
        <filter val="040000141885"/>
        <filter val="040000141887"/>
        <filter val="040000141894"/>
        <filter val="040000141915"/>
        <filter val="040000141917"/>
        <filter val="040000141919"/>
        <filter val="040000141941"/>
        <filter val="040000141965"/>
        <filter val="040000141988"/>
        <filter val="040000141999"/>
        <filter val="040000142000"/>
        <filter val="040000142002"/>
        <filter val="040000142031"/>
        <filter val="040000142038"/>
        <filter val="040000142040"/>
        <filter val="040000142089"/>
        <filter val="040000142100"/>
        <filter val="040000142362"/>
        <filter val="040000142403"/>
        <filter val="040000142407"/>
        <filter val="040000142441"/>
        <filter val="040000142460"/>
        <filter val="040000142502"/>
        <filter val="040000142503"/>
        <filter val="040000142534"/>
        <filter val="040000142621"/>
        <filter val="040000142727"/>
        <filter val="040000142794"/>
        <filter val="040000142819"/>
        <filter val="040000142837"/>
        <filter val="040000142844"/>
        <filter val="040000142846"/>
        <filter val="040000142856"/>
        <filter val="040000142880"/>
        <filter val="040000142932"/>
        <filter val="040000142954"/>
        <filter val="040000143000"/>
        <filter val="040000143001"/>
        <filter val="040000143035"/>
        <filter val="040000143063"/>
        <filter val="040000143096"/>
        <filter val="040000143124"/>
        <filter val="040000143133"/>
        <filter val="040000143135"/>
        <filter val="040000143156"/>
        <filter val="040000143161"/>
        <filter val="040000143182"/>
        <filter val="040000143241"/>
        <filter val="040000143247"/>
        <filter val="040000143297"/>
        <filter val="040000143391"/>
        <filter val="040000143397"/>
        <filter val="040000143403"/>
        <filter val="040000143409"/>
        <filter val="040000143411"/>
        <filter val="040000143414"/>
        <filter val="040000143470"/>
        <filter val="040000143501"/>
        <filter val="040000143538"/>
        <filter val="040000143542"/>
        <filter val="040000143544"/>
        <filter val="040000143546"/>
        <filter val="040000143563"/>
        <filter val="040000143566"/>
        <filter val="040000143639"/>
        <filter val="040000143896"/>
        <filter val="040000143917"/>
        <filter val="040000143956"/>
        <filter val="040000143960"/>
        <filter val="040000143982"/>
        <filter val="040000143994"/>
        <filter val="040000144022"/>
        <filter val="040000144023"/>
        <filter val="040000144045"/>
        <filter val="040000144224"/>
        <filter val="040000144226"/>
        <filter val="040000144233"/>
        <filter val="040000144234"/>
        <filter val="040000144239"/>
        <filter val="040000144245"/>
        <filter val="040000144256"/>
        <filter val="040000144267"/>
        <filter val="040000144366"/>
        <filter val="040000144367"/>
        <filter val="040000144395"/>
        <filter val="040000144461"/>
        <filter val="040000144484"/>
        <filter val="040000144485"/>
        <filter val="040000144487"/>
        <filter val="040000144492"/>
        <filter val="040000144501"/>
        <filter val="040000144506"/>
        <filter val="040000144510"/>
        <filter val="040000144514"/>
        <filter val="040000144541"/>
        <filter val="040000144545"/>
        <filter val="040000144553"/>
        <filter val="040000144596"/>
        <filter val="040000144609"/>
        <filter val="040000144672"/>
        <filter val="040000144822"/>
        <filter val="040000144846"/>
        <filter val="040000144860"/>
        <filter val="040000144879"/>
        <filter val="040000144881"/>
        <filter val="040000144913"/>
        <filter val="040000144937"/>
        <filter val="040000144954"/>
        <filter val="040000144956"/>
        <filter val="040000145046"/>
        <filter val="040000145052"/>
        <filter val="040000145054"/>
        <filter val="040000145055"/>
        <filter val="040000145056"/>
        <filter val="040000145063"/>
        <filter val="040000145134"/>
        <filter val="040000145296"/>
        <filter val="040000145386"/>
        <filter val="040000145396"/>
        <filter val="040000145424"/>
        <filter val="040000145453"/>
        <filter val="040000145454"/>
        <filter val="040000145460"/>
        <filter val="040000145467"/>
        <filter val="040000145528"/>
        <filter val="040000145529"/>
        <filter val="040000145535"/>
        <filter val="040000145570"/>
        <filter val="040000145571"/>
        <filter val="040000145589"/>
        <filter val="040000145594"/>
        <filter val="040000145620"/>
        <filter val="040000145621"/>
        <filter val="040000145652"/>
        <filter val="040000145656"/>
        <filter val="040000145689"/>
        <filter val="040000145691"/>
        <filter val="040000145692"/>
        <filter val="040000145695"/>
        <filter val="040000145750"/>
        <filter val="040000145964"/>
        <filter val="040000145965"/>
        <filter val="040000145974"/>
        <filter val="040000145980"/>
        <filter val="040000145999"/>
        <filter val="040000146037"/>
        <filter val="040000146047"/>
        <filter val="040000146049"/>
        <filter val="040000146050"/>
        <filter val="040000146052"/>
        <filter val="040000146080"/>
        <filter val="040000146083"/>
        <filter val="040000146121"/>
        <filter val="040000146141"/>
        <filter val="040000146155"/>
        <filter val="040000146189"/>
        <filter val="040000146190"/>
        <filter val="040000146216"/>
        <filter val="040000146251"/>
        <filter val="040000146368"/>
        <filter val="040000146501"/>
        <filter val="040000146512"/>
        <filter val="040000146522"/>
        <filter val="040000146529"/>
        <filter val="040000146588"/>
        <filter val="040000146625"/>
        <filter val="040000146774"/>
        <filter val="040000146778"/>
        <filter val="040000146779"/>
        <filter val="040000146780"/>
        <filter val="040000146785"/>
        <filter val="040000146801"/>
        <filter val="040000146869"/>
        <filter val="040000146883"/>
        <filter val="040000146907"/>
        <filter val="040000146994"/>
        <filter val="040000146998"/>
        <filter val="040000147007"/>
        <filter val="040000147011"/>
        <filter val="040000147054"/>
        <filter val="040000147087"/>
        <filter val="040000147148"/>
        <filter val="040000147170"/>
        <filter val="040000147171"/>
        <filter val="040000147175"/>
        <filter val="040000147216"/>
        <filter val="040000147218"/>
        <filter val="040000147266"/>
        <filter val="040000147284"/>
        <filter val="040000147319"/>
        <filter val="040000147323"/>
        <filter val="040000147325"/>
        <filter val="040000147345"/>
        <filter val="040000147368"/>
        <filter val="040000147404"/>
        <filter val="040000147422"/>
        <filter val="040000147447"/>
        <filter val="040000147553"/>
        <filter val="040000147771"/>
        <filter val="040000147802"/>
        <filter val="040000147871"/>
        <filter val="040000147873"/>
        <filter val="040000147899"/>
        <filter val="040000147909"/>
        <filter val="040000147912"/>
        <filter val="040000147942"/>
        <filter val="040000147983"/>
        <filter val="040000147995"/>
        <filter val="040000148042"/>
        <filter val="040000148051"/>
        <filter val="040000148145"/>
        <filter val="040000148165"/>
        <filter val="040000148166"/>
        <filter val="040000148184"/>
        <filter val="040000148196"/>
        <filter val="040000148200"/>
        <filter val="040000148274"/>
        <filter val="040000148294"/>
        <filter val="040000148297"/>
        <filter val="040000148355"/>
        <filter val="040000148401"/>
        <filter val="040000148467"/>
        <filter val="040000148671"/>
        <filter val="040000148819"/>
        <filter val="040000148833"/>
        <filter val="040000148847"/>
        <filter val="040000148859"/>
        <filter val="040000148864"/>
        <filter val="040000148890"/>
        <filter val="040000148901"/>
        <filter val="040000148966"/>
        <filter val="040000149022"/>
        <filter val="040000149144"/>
        <filter val="040000149287"/>
        <filter val="040000149362"/>
        <filter val="040000149388"/>
        <filter val="040000149413"/>
        <filter val="040000149452"/>
        <filter val="040000149484"/>
        <filter val="040000149486"/>
        <filter val="040000149521"/>
        <filter val="040000149525"/>
        <filter val="040000149531"/>
        <filter val="040000149536"/>
        <filter val="040000149542"/>
        <filter val="040000149555"/>
        <filter val="040000149568"/>
        <filter val="040000149573"/>
        <filter val="040000149640"/>
        <filter val="040000149646"/>
        <filter val="040000149656"/>
        <filter val="040000149689"/>
        <filter val="040000149694"/>
        <filter val="040000149699"/>
        <filter val="040000149717"/>
        <filter val="040000149780"/>
        <filter val="040000149796"/>
        <filter val="040000149815"/>
        <filter val="040000149830"/>
        <filter val="040000149844"/>
        <filter val="040000149859"/>
        <filter val="040000149869"/>
        <filter val="040000149884"/>
        <filter val="040000149933"/>
        <filter val="040000149946"/>
        <filter val="040000149974"/>
        <filter val="040000150021"/>
        <filter val="040000150026"/>
        <filter val="040000150075"/>
        <filter val="040000150086"/>
        <filter val="040000150107"/>
        <filter val="040000150131"/>
        <filter val="040000150133"/>
        <filter val="040000150134"/>
        <filter val="040000150137"/>
        <filter val="040000150210"/>
        <filter val="040000150294"/>
        <filter val="040000150361"/>
        <filter val="040000150412"/>
        <filter val="040000150465"/>
        <filter val="040000150498"/>
        <filter val="040000150500"/>
        <filter val="040000150587"/>
        <filter val="040000150752"/>
        <filter val="040000150761"/>
        <filter val="040000150924"/>
        <filter val="040000150961"/>
        <filter val="040000150971"/>
        <filter val="040000150978"/>
        <filter val="040000151029"/>
        <filter val="040000151030"/>
        <filter val="040000151035"/>
        <filter val="040000151055"/>
        <filter val="040000151070"/>
        <filter val="040000151092"/>
        <filter val="040000151099"/>
        <filter val="040000151134"/>
        <filter val="040000151695"/>
        <filter val="040000151708"/>
        <filter val="040000151815"/>
        <filter val="040000151855"/>
        <filter val="040000151944"/>
        <filter val="040000151984"/>
        <filter val="040000152109"/>
        <filter val="040000152201"/>
        <filter val="040000152224"/>
        <filter val="040000152225"/>
        <filter val="040000152254"/>
        <filter val="040000152268"/>
        <filter val="040000152281"/>
        <filter val="040000152374"/>
        <filter val="040000152411"/>
        <filter val="040000152418"/>
        <filter val="040000152505"/>
        <filter val="040000152543"/>
        <filter val="040000152652"/>
        <filter val="040000152710"/>
        <filter val="040000152809"/>
        <filter val="040000152889"/>
        <filter val="040000152937"/>
        <filter val="040000152953"/>
        <filter val="040000152964"/>
        <filter val="040000153223"/>
        <filter val="040000153227"/>
        <filter val="040000153246"/>
        <filter val="040000153253"/>
        <filter val="040000153272"/>
        <filter val="040000153284"/>
        <filter val="040000153348"/>
        <filter val="040000153416"/>
        <filter val="040000153434"/>
        <filter val="040000153489"/>
        <filter val="040000153494"/>
        <filter val="040000153496"/>
        <filter val="040000153501"/>
        <filter val="040000153502"/>
        <filter val="040000153520"/>
        <filter val="040000153536"/>
        <filter val="040000153537"/>
        <filter val="040000153538"/>
        <filter val="040000153540"/>
        <filter val="040000153561"/>
        <filter val="040000153563"/>
        <filter val="040000153566"/>
        <filter val="040000153573"/>
        <filter val="040000153575"/>
        <filter val="040000153623"/>
        <filter val="040000153649"/>
        <filter val="040000153821"/>
        <filter val="040000153863"/>
        <filter val="040000153933"/>
        <filter val="040000154045"/>
        <filter val="040000154051"/>
        <filter val="040000154059"/>
        <filter val="040000154071"/>
        <filter val="040000154258"/>
        <filter val="040000154260"/>
        <filter val="040000154265"/>
        <filter val="040000154320"/>
        <filter val="040000154364"/>
        <filter val="040000154435"/>
        <filter val="040000154525"/>
        <filter val="040000154547"/>
        <filter val="040000154703"/>
        <filter val="040000154705"/>
        <filter val="040000154758"/>
        <filter val="040000154884"/>
        <filter val="040000155011"/>
        <filter val="040000155018"/>
        <filter val="040000155034"/>
        <filter val="040000155068"/>
        <filter val="040000155084"/>
        <filter val="040000155182"/>
        <filter val="040000155194"/>
        <filter val="040000155203"/>
        <filter val="040000155226"/>
        <filter val="040000155291"/>
        <filter val="040000155316"/>
        <filter val="040000155356"/>
        <filter val="040000155381"/>
        <filter val="040000155431"/>
        <filter val="040000155455"/>
        <filter val="040000155797"/>
        <filter val="040000156110"/>
        <filter val="040000156445"/>
        <filter val="040000156561"/>
        <filter val="040000156591"/>
        <filter val="040000156836"/>
        <filter val="040000156874"/>
        <filter val="040000156888"/>
        <filter val="040000157643"/>
        <filter val="040000158434"/>
        <filter val="040000158571"/>
        <filter val="040000158907"/>
        <filter val="040000158909"/>
        <filter val="040000159087"/>
        <filter val="040000159239"/>
        <filter val="040000159299"/>
        <filter val="040000159399"/>
        <filter val="040000159620"/>
        <filter val="040000160005"/>
        <filter val="040000160006"/>
        <filter val="040000160014"/>
        <filter val="040000160027"/>
        <filter val="040000160320"/>
        <filter val="040000160431"/>
        <filter val="040000160496"/>
        <filter val="040000160567"/>
        <filter val="040000160642"/>
        <filter val="040000161022"/>
        <filter val="040000161120"/>
        <filter val="040000161135"/>
        <filter val="040000161193"/>
        <filter val="040000161243"/>
        <filter val="040000161284"/>
        <filter val="040000161411"/>
        <filter val="040000161416"/>
        <filter val="040000161454"/>
        <filter val="040000161502"/>
        <filter val="040000161505"/>
        <filter val="040000161544"/>
        <filter val="040000161600"/>
        <filter val="040000161920"/>
        <filter val="040000161923"/>
        <filter val="040000161939"/>
        <filter val="040000161940"/>
        <filter val="040000162174"/>
        <filter val="040000162325"/>
        <filter val="040000163141"/>
        <filter val="040000163147"/>
        <filter val="040000163373"/>
        <filter val="040000163635"/>
        <filter val="040000163636"/>
        <filter val="040000163637"/>
        <filter val="040000163638"/>
        <filter val="040000163639"/>
        <filter val="040000163640"/>
        <filter val="040000163641"/>
        <filter val="040000163642"/>
        <filter val="040000163643"/>
        <filter val="040000163644"/>
        <filter val="040000163645"/>
        <filter val="040000163646"/>
        <filter val="040000163648"/>
        <filter val="040000163649"/>
        <filter val="040000163650"/>
        <filter val="040000163651"/>
        <filter val="040000163707"/>
        <filter val="040000163752"/>
        <filter val="040000163935"/>
        <filter val="040000164024"/>
        <filter val="040000164629"/>
        <filter val="040000164768"/>
        <filter val="040000164791"/>
        <filter val="040000164794"/>
        <filter val="040000164797"/>
        <filter val="040000164800"/>
        <filter val="040000164890"/>
        <filter val="040000164952"/>
        <filter val="040000165027"/>
        <filter val="040000165350"/>
        <filter val="040000165544"/>
        <filter val="040000165604"/>
        <filter val="040000165607"/>
        <filter val="040000165609"/>
        <filter val="040000165615"/>
        <filter val="040000165633"/>
        <filter val="040000165642"/>
        <filter val="040000165656"/>
        <filter val="040000165658"/>
        <filter val="040000165659"/>
        <filter val="040000165661"/>
        <filter val="040000165688"/>
        <filter val="040000165693"/>
        <filter val="040000165697"/>
        <filter val="040000165703"/>
        <filter val="040000165735"/>
        <filter val="040000165758"/>
        <filter val="040000165762"/>
        <filter val="040000165772"/>
        <filter val="040000165775"/>
        <filter val="040000165776"/>
        <filter val="040000165806"/>
        <filter val="040000166183"/>
        <filter val="040000166343"/>
        <filter val="040000166345"/>
        <filter val="040000166350"/>
        <filter val="040000166353"/>
        <filter val="040000166363"/>
        <filter val="040000166375"/>
        <filter val="040000166495"/>
        <filter val="040000166694"/>
        <filter val="040000166753"/>
        <filter val="040000166959"/>
        <filter val="040000166962"/>
        <filter val="040000167025"/>
        <filter val="040000167161"/>
        <filter val="040000167422"/>
        <filter val="040000167565"/>
        <filter val="040000168210"/>
        <filter val="040000168446"/>
        <filter val="040000168458"/>
        <filter val="040000168633"/>
        <filter val="040000168806"/>
        <filter val="040000168879"/>
        <filter val="040000168881"/>
        <filter val="040000168882"/>
        <filter val="040000168884"/>
        <filter val="040000168896"/>
        <filter val="040000168897"/>
        <filter val="040000169020"/>
        <filter val="040000169116"/>
        <filter val="040000169225"/>
        <filter val="040000169633"/>
        <filter val="040000169876"/>
        <filter val="040000170025"/>
        <filter val="040000170037"/>
        <filter val="040000170061"/>
        <filter val="040000170918"/>
        <filter val="040000170920"/>
        <filter val="040000170939"/>
        <filter val="040000171025"/>
        <filter val="040000171026"/>
        <filter val="040000171154"/>
        <filter val="040000171156"/>
        <filter val="040000171230"/>
        <filter val="040000171469"/>
        <filter val="040000171529"/>
        <filter val="040000171654"/>
        <filter val="040000171667"/>
        <filter val="040000171668"/>
        <filter val="040000171731"/>
        <filter val="040000171732"/>
        <filter val="040000171853"/>
        <filter val="040000171925"/>
        <filter val="040000172014"/>
        <filter val="040000172404"/>
        <filter val="040000172831"/>
        <filter val="040000172977"/>
        <filter val="040000172988"/>
        <filter val="040000172992"/>
        <filter val="040000172995"/>
        <filter val="040000173072"/>
        <filter val="040000173075"/>
        <filter val="040000173186"/>
        <filter val="040000173764"/>
        <filter val="040000174076"/>
        <filter val="040000174176"/>
        <filter val="040000174363"/>
        <filter val="040000174818"/>
        <filter val="040000174864"/>
        <filter val="040000174957"/>
        <filter val="040000175115"/>
        <filter val="040000175239"/>
        <filter val="040000175245"/>
        <filter val="040000175286"/>
        <filter val="040000175598"/>
        <filter val="040000175644"/>
        <filter val="040000175814"/>
        <filter val="040000176248"/>
        <filter val="040000176373"/>
        <filter val="040000176410"/>
        <filter val="040000176504"/>
        <filter val="040000176547"/>
        <filter val="040000176568"/>
        <filter val="040000176913"/>
        <filter val="040000176920"/>
        <filter val="040000176934"/>
        <filter val="040000176941"/>
        <filter val="040000176948"/>
        <filter val="040000176950"/>
        <filter val="040000176956"/>
        <filter val="040000176960"/>
        <filter val="040000176975"/>
        <filter val="040000177174"/>
        <filter val="040000177412"/>
        <filter val="040000177455"/>
        <filter val="040000177718"/>
        <filter val="040000177724"/>
        <filter val="040000177746"/>
        <filter val="040000177762"/>
        <filter val="040000177765"/>
        <filter val="040000177779"/>
        <filter val="040000177782"/>
        <filter val="040000177805"/>
        <filter val="040000177807"/>
        <filter val="040000177809"/>
        <filter val="040000177812"/>
        <filter val="040000177830"/>
        <filter val="040000177853"/>
        <filter val="040000177862"/>
        <filter val="040000177863"/>
        <filter val="040000177889"/>
        <filter val="040000177890"/>
        <filter val="040000177899"/>
        <filter val="040000177904"/>
        <filter val="040000177906"/>
        <filter val="040000177911"/>
        <filter val="040000177913"/>
        <filter val="040000177967"/>
        <filter val="040000178051"/>
        <filter val="040000178052"/>
        <filter val="040000178053"/>
        <filter val="040000178055"/>
        <filter val="040000178358"/>
        <filter val="040000178478"/>
        <filter val="040000178479"/>
        <filter val="040000178770"/>
        <filter val="040000178837"/>
        <filter val="040000178945"/>
        <filter val="040000179384"/>
        <filter val="040000179385"/>
        <filter val="040000179435"/>
        <filter val="040000179465"/>
        <filter val="040000179560"/>
        <filter val="040000179653"/>
        <filter val="040000179822"/>
        <filter val="040000179831"/>
        <filter val="040000180041"/>
        <filter val="040000180057"/>
        <filter val="040000180104"/>
        <filter val="040000180216"/>
        <filter val="040000180219"/>
        <filter val="040000180277"/>
        <filter val="040000180279"/>
        <filter val="040000180451"/>
        <filter val="040000180452"/>
        <filter val="040000180454"/>
        <filter val="040000180455"/>
        <filter val="040000180457"/>
        <filter val="040000180458"/>
        <filter val="040000180460"/>
        <filter val="040000180461"/>
        <filter val="040000180467"/>
        <filter val="040000180468"/>
        <filter val="040000180469"/>
        <filter val="040000180479"/>
        <filter val="040000180490"/>
        <filter val="040000180491"/>
        <filter val="040000180509"/>
        <filter val="040000180510"/>
        <filter val="040000180514"/>
        <filter val="040000180515"/>
        <filter val="040000180517"/>
        <filter val="040000180546"/>
        <filter val="040000180547"/>
        <filter val="040000180550"/>
        <filter val="040000180557"/>
        <filter val="040000180558"/>
        <filter val="040000180561"/>
        <filter val="040000180562"/>
        <filter val="040000180568"/>
        <filter val="040000180569"/>
        <filter val="040000180583"/>
        <filter val="040000180589"/>
        <filter val="040000180591"/>
        <filter val="040000180595"/>
        <filter val="040000180596"/>
        <filter val="040000180620"/>
        <filter val="040000180621"/>
        <filter val="040000180622"/>
        <filter val="040000180623"/>
        <filter val="040000180624"/>
        <filter val="040000180625"/>
        <filter val="040000180631"/>
        <filter val="040000180633"/>
        <filter val="040000180634"/>
        <filter val="040000180636"/>
        <filter val="040000180637"/>
        <filter val="040000180639"/>
        <filter val="040000180643"/>
        <filter val="040000180644"/>
        <filter val="040000180647"/>
        <filter val="040000180648"/>
        <filter val="040000180649"/>
        <filter val="040000180650"/>
        <filter val="040000180651"/>
        <filter val="040000180652"/>
        <filter val="040000180653"/>
        <filter val="040000180655"/>
        <filter val="040000180657"/>
        <filter val="040000180658"/>
        <filter val="040000180715"/>
        <filter val="040000180716"/>
        <filter val="040000180717"/>
        <filter val="040000180719"/>
        <filter val="040000180723"/>
        <filter val="040000180724"/>
        <filter val="040000180763"/>
        <filter val="040000180777"/>
        <filter val="040000180782"/>
        <filter val="040000180790"/>
        <filter val="040000180791"/>
        <filter val="040000180792"/>
        <filter val="040000180793"/>
        <filter val="040000180794"/>
        <filter val="040000180795"/>
        <filter val="040000180796"/>
        <filter val="040000180797"/>
        <filter val="040000180798"/>
        <filter val="040000180801"/>
        <filter val="040000180802"/>
        <filter val="040000180804"/>
        <filter val="040000180805"/>
        <filter val="040000180806"/>
        <filter val="040000180807"/>
        <filter val="040000180808"/>
        <filter val="040000180809"/>
        <filter val="040000180810"/>
        <filter val="040000180811"/>
        <filter val="040000180812"/>
        <filter val="040000180813"/>
        <filter val="040000180814"/>
        <filter val="040000180815"/>
        <filter val="040000180816"/>
        <filter val="040000180817"/>
        <filter val="040000180818"/>
        <filter val="040000180819"/>
        <filter val="040000180820"/>
        <filter val="040000180821"/>
        <filter val="040000180822"/>
        <filter val="040000180823"/>
        <filter val="040000180824"/>
        <filter val="040000180825"/>
        <filter val="040000180896"/>
        <filter val="040000180897"/>
        <filter val="040000180898"/>
        <filter val="040000180917"/>
        <filter val="040000180918"/>
        <filter val="040000180919"/>
        <filter val="040000180920"/>
        <filter val="040000180921"/>
        <filter val="040000181070"/>
        <filter val="040000181176"/>
        <filter val="040000181236"/>
        <filter val="040000181237"/>
        <filter val="040000181289"/>
        <filter val="040000181290"/>
        <filter val="040000181418"/>
        <filter val="040000181567"/>
        <filter val="040000181592"/>
        <filter val="040000181593"/>
        <filter val="040000181660"/>
        <filter val="040000182064"/>
        <filter val="040000182192"/>
        <filter val="040000182913"/>
        <filter val="040000183457"/>
        <filter val="040000183458"/>
        <filter val="040000183461"/>
        <filter val="040000183520"/>
        <filter val="040000184086"/>
        <filter val="040000184105"/>
        <filter val="040000184176"/>
        <filter val="040000184227"/>
        <filter val="040000184349"/>
        <filter val="040000184520"/>
        <filter val="040000185209"/>
        <filter val="040000185210"/>
        <filter val="040000185325"/>
        <filter val="040000185361"/>
        <filter val="040000185370"/>
        <filter val="040000185418"/>
        <filter val="040000185453"/>
        <filter val="040000186156"/>
        <filter val="040000186414"/>
        <filter val="040000186520"/>
        <filter val="040000186999"/>
        <filter val="040000187236"/>
        <filter val="060000000310"/>
        <filter val="060000000315"/>
        <filter val="060000000324"/>
        <filter val="060000000325"/>
        <filter val="060000000326"/>
        <filter val="060000000327"/>
        <filter val="060000000330"/>
        <filter val="060000000350"/>
        <filter val="060000000352"/>
        <filter val="060000000354"/>
        <filter val="060000000357"/>
        <filter val="060000000358"/>
        <filter val="060000000359"/>
        <filter val="060000000360"/>
        <filter val="060000000378"/>
        <filter val="060000000393"/>
        <filter val="070000068756"/>
        <filter val="070000096118"/>
        <filter val="070000101188"/>
        <filter val="070000103246"/>
        <filter val="070000103249"/>
        <filter val="070000106483"/>
        <filter val="070000109695"/>
        <filter val="070000113266"/>
        <filter val="070000116253"/>
        <filter val="070000118000"/>
        <filter val="070000119149"/>
        <filter val="070000119176"/>
        <filter val="070000120611"/>
        <filter val="070000121280"/>
        <filter val="070000121766"/>
        <filter val="070000123453"/>
        <filter val="070000124097"/>
        <filter val="070000124104"/>
        <filter val="070000124111"/>
        <filter val="070000124536"/>
        <filter val="070000125142"/>
        <filter val="070000126037"/>
        <filter val="070000126088"/>
        <filter val="070000126535"/>
        <filter val="070000126637"/>
        <filter val="070000126939"/>
        <filter val="070000127127"/>
        <filter val="070000127129"/>
        <filter val="070000127138"/>
        <filter val="070000127149"/>
        <filter val="070000127156"/>
        <filter val="070000127162"/>
        <filter val="070000127173"/>
        <filter val="070000127176"/>
        <filter val="070000127215"/>
        <filter val="070000127224"/>
        <filter val="070000127248"/>
        <filter val="070000127295"/>
        <filter val="070000127297"/>
        <filter val="070000127300"/>
        <filter val="070000127314"/>
        <filter val="070000127319"/>
        <filter val="070000127339"/>
        <filter val="070000127342"/>
        <filter val="070000127343"/>
        <filter val="070000127345"/>
        <filter val="070000127349"/>
        <filter val="070000127352"/>
        <filter val="070000127363"/>
        <filter val="070000127367"/>
        <filter val="070000127373"/>
        <filter val="070000127379"/>
        <filter val="070000127380"/>
        <filter val="070000127389"/>
        <filter val="070000127427"/>
        <filter val="070000128105"/>
        <filter val="070000128499"/>
        <filter val="070000128524"/>
        <filter val="070000128648"/>
        <filter val="070000129073"/>
        <filter val="070000129075"/>
        <filter val="070000129093"/>
        <filter val="070000129110"/>
        <filter val="070000129113"/>
        <filter val="070000129217"/>
        <filter val="070000129219"/>
        <filter val="070000129220"/>
        <filter val="070000129221"/>
        <filter val="070000129222"/>
        <filter val="070000129223"/>
        <filter val="070000129224"/>
        <filter val="070000130271"/>
        <filter val="070000130278"/>
        <filter val="070000130301"/>
        <filter val="070000130308"/>
        <filter val="070000130311"/>
        <filter val="070000130324"/>
        <filter val="070000130344"/>
        <filter val="070000130353"/>
        <filter val="070000130371"/>
        <filter val="070000130378"/>
        <filter val="070000130403"/>
        <filter val="070000130419"/>
        <filter val="070000130590"/>
        <filter val="070000130631"/>
        <filter val="070000130632"/>
        <filter val="070000130634"/>
        <filter val="070000130636"/>
        <filter val="070000130638"/>
        <filter val="070000130639"/>
        <filter val="070000130640"/>
        <filter val="070000130641"/>
        <filter val="070000130642"/>
        <filter val="070000130740"/>
        <filter val="070000130741"/>
        <filter val="070000130978"/>
        <filter val="070000131652"/>
        <filter val="070000131763"/>
        <filter val="070000132129"/>
        <filter val="070000132681"/>
        <filter val="070000133418"/>
        <filter val="070000133424"/>
        <filter val="070000133427"/>
        <filter val="070000133428"/>
        <filter val="070000133433"/>
        <filter val="070000133453"/>
        <filter val="070000133457"/>
        <filter val="070000133458"/>
        <filter val="070000133460"/>
        <filter val="070000133465"/>
        <filter val="070000133466"/>
        <filter val="070000133467"/>
        <filter val="070000133468"/>
        <filter val="070000133471"/>
        <filter val="070000133472"/>
        <filter val="070000133476"/>
        <filter val="070000133478"/>
        <filter val="070000133479"/>
        <filter val="070000133483"/>
        <filter val="070000133484"/>
        <filter val="070000133485"/>
        <filter val="070000133491"/>
        <filter val="070000133493"/>
        <filter val="070000133497"/>
        <filter val="070000133503"/>
        <filter val="070000133504"/>
        <filter val="070000133505"/>
        <filter val="070000133509"/>
        <filter val="070000133511"/>
        <filter val="070000133512"/>
        <filter val="070000133513"/>
        <filter val="070000133514"/>
        <filter val="070000133515"/>
        <filter val="070000133517"/>
        <filter val="070000133520"/>
        <filter val="070000133523"/>
        <filter val="070000133524"/>
        <filter val="070000133525"/>
        <filter val="070000133529"/>
        <filter val="070000133530"/>
        <filter val="070000133532"/>
        <filter val="070000133534"/>
        <filter val="070000133540"/>
        <filter val="070000133545"/>
        <filter val="070000133565"/>
        <filter val="070000133569"/>
        <filter val="070000133570"/>
        <filter val="070000133571"/>
        <filter val="070000133573"/>
        <filter val="070000133574"/>
        <filter val="070000133583"/>
        <filter val="070000133584"/>
        <filter val="070000133587"/>
        <filter val="070000134266"/>
        <filter val="070000134743"/>
        <filter val="070000134832"/>
        <filter val="070000134856"/>
        <filter val="070000134859"/>
        <filter val="070000134925"/>
        <filter val="070000134946"/>
        <filter val="070000134953"/>
        <filter val="070000135008"/>
        <filter val="070000135009"/>
        <filter val="070000135237"/>
        <filter val="070000135249"/>
        <filter val="070000135251"/>
        <filter val="070000135513"/>
        <filter val="070000135514"/>
        <filter val="070000135519"/>
        <filter val="070000135683"/>
        <filter val="070000136048"/>
        <filter val="070000136703"/>
        <filter val="070000136946"/>
        <filter val="070000137090"/>
        <filter val="070000137134"/>
        <filter val="070000137367"/>
        <filter val="070000137446"/>
        <filter val="070000137451"/>
        <filter val="070000137593"/>
        <filter val="070000137999"/>
        <filter val="070000138002"/>
        <filter val="070000138031"/>
        <filter val="070000138218"/>
        <filter val="070000138411"/>
        <filter val="070000139079"/>
        <filter val="070000139091"/>
        <filter val="070000139093"/>
        <filter val="070000139176"/>
        <filter val="070000139633"/>
        <filter val="070000140138"/>
        <filter val="070000140379"/>
        <filter val="070000140481"/>
        <filter val="070000140684"/>
        <filter val="070000140715"/>
        <filter val="070000140770"/>
        <filter val="070000140771"/>
        <filter val="070000140772"/>
        <filter val="070000140779"/>
        <filter val="070000140780"/>
        <filter val="070000140781"/>
        <filter val="070000140782"/>
        <filter val="070000140783"/>
        <filter val="070000140802"/>
        <filter val="070000140807"/>
        <filter val="070000140819"/>
        <filter val="070000140851"/>
        <filter val="070000140886"/>
        <filter val="070000140888"/>
        <filter val="070000140912"/>
        <filter val="070000140932"/>
        <filter val="070000140946"/>
        <filter val="070000142799"/>
        <filter val="070000142841"/>
        <filter val="070000144941"/>
        <filter val="070000145040"/>
        <filter val="070000145061"/>
        <filter val="070000145128"/>
        <filter val="070000145220"/>
        <filter val="070000145315"/>
        <filter val="070000145454"/>
        <filter val="070000145963"/>
        <filter val="070000145977"/>
        <filter val="070000146027"/>
        <filter val="070000146594"/>
        <filter val="070000146693"/>
        <filter val="070000146713"/>
        <filter val="070000146721"/>
        <filter val="070000146874"/>
        <filter val="070000146886"/>
        <filter val="070000146887"/>
        <filter val="070000146888"/>
        <filter val="070000146889"/>
        <filter val="070000146914"/>
        <filter val="070000146921"/>
        <filter val="070000146923"/>
        <filter val="070000146933"/>
        <filter val="070000146975"/>
        <filter val="070000146976"/>
        <filter val="070000146978"/>
        <filter val="070000146979"/>
        <filter val="070000147015"/>
        <filter val="070000147081"/>
        <filter val="070000147094"/>
        <filter val="070000147100"/>
        <filter val="070000147104"/>
        <filter val="070000147106"/>
        <filter val="070000147114"/>
        <filter val="070000147116"/>
        <filter val="070000147150"/>
        <filter val="070000147151"/>
        <filter val="070000147159"/>
        <filter val="070000147161"/>
        <filter val="070000147162"/>
        <filter val="070000147212"/>
        <filter val="070000147280"/>
        <filter val="070000147282"/>
        <filter val="070000147284"/>
        <filter val="070000147285"/>
        <filter val="070000147296"/>
        <filter val="070000147297"/>
        <filter val="070000147298"/>
        <filter val="070000147305"/>
        <filter val="070000147311"/>
        <filter val="070000147313"/>
        <filter val="070000147315"/>
        <filter val="070000147465"/>
        <filter val="070000147521"/>
        <filter val="070000147639"/>
        <filter val="070000147704"/>
        <filter val="070000147935"/>
        <filter val="070000147956"/>
        <filter val="070000148169"/>
        <filter val="070000148516"/>
        <filter val="070000148992"/>
        <filter val="070000150518"/>
        <filter val="070000150601"/>
        <filter val="070000151297"/>
        <filter val="070000151307"/>
        <filter val="070000151886"/>
        <filter val="070000151897"/>
        <filter val="070000151898"/>
        <filter val="070000151902"/>
        <filter val="070000152036"/>
        <filter val="070000152300"/>
        <filter val="070000152779"/>
        <filter val="070000153209"/>
        <filter val="070000153453"/>
        <filter val="070000153612"/>
        <filter val="070000153613"/>
        <filter val="070000153627"/>
        <filter val="070000153651"/>
        <filter val="070000153652"/>
        <filter val="070000153655"/>
        <filter val="070000153708"/>
        <filter val="070000153777"/>
        <filter val="070000153988"/>
        <filter val="070000154356"/>
        <filter val="070000154841"/>
        <filter val="070000154973"/>
        <filter val="070000155046"/>
        <filter val="070000155051"/>
        <filter val="070000155088"/>
        <filter val="070000155418"/>
        <filter val="070000155547"/>
        <filter val="070000155555"/>
        <filter val="070000155558"/>
        <filter val="070000155561"/>
        <filter val="070000155562"/>
        <filter val="070000155565"/>
        <filter val="070000155596"/>
        <filter val="070000155597"/>
        <filter val="070000155605"/>
        <filter val="070000155606"/>
        <filter val="070000155608"/>
        <filter val="070000155609"/>
        <filter val="070000155610"/>
        <filter val="070000155728"/>
        <filter val="070000155729"/>
        <filter val="070000155730"/>
        <filter val="070000155742"/>
        <filter val="070000156051"/>
        <filter val="070000156187"/>
        <filter val="070000156189"/>
        <filter val="070000156195"/>
        <filter val="070000156380"/>
        <filter val="070000156870"/>
        <filter val="070000157069"/>
        <filter val="070000157070"/>
        <filter val="070000157073"/>
        <filter val="070000157080"/>
        <filter val="070000157081"/>
        <filter val="070000157091"/>
        <filter val="070000157094"/>
        <filter val="070000157095"/>
        <filter val="070000157111"/>
        <filter val="070000157189"/>
        <filter val="070000157192"/>
        <filter val="070000157194"/>
        <filter val="070000157202"/>
        <filter val="070000157204"/>
        <filter val="070000157218"/>
        <filter val="070000157220"/>
        <filter val="070000157255"/>
        <filter val="070000157269"/>
        <filter val="070000157281"/>
        <filter val="070000157354"/>
        <filter val="070000157355"/>
        <filter val="070000157367"/>
        <filter val="070000157368"/>
        <filter val="070000157374"/>
        <filter val="070000157387"/>
        <filter val="070000157388"/>
        <filter val="070000157395"/>
        <filter val="070000157397"/>
        <filter val="070000157402"/>
        <filter val="070000157465"/>
        <filter val="070000157527"/>
        <filter val="070000157856"/>
        <filter val="070000157875"/>
        <filter val="070000157891"/>
        <filter val="070000157893"/>
        <filter val="070000157915"/>
        <filter val="070000157920"/>
        <filter val="070000157999"/>
        <filter val="070000158000"/>
        <filter val="070000158012"/>
        <filter val="070000158021"/>
        <filter val="070000158047"/>
        <filter val="070000158055"/>
        <filter val="070000158056"/>
        <filter val="070000158060"/>
        <filter val="070000158061"/>
        <filter val="070000158063"/>
        <filter val="070000158087"/>
        <filter val="070000158151"/>
        <filter val="070000158156"/>
        <filter val="070000158161"/>
        <filter val="070000158163"/>
        <filter val="070000158164"/>
        <filter val="070000158165"/>
        <filter val="070000158166"/>
        <filter val="070000158170"/>
        <filter val="070000158171"/>
        <filter val="070000158172"/>
        <filter val="070000158174"/>
        <filter val="070000158175"/>
        <filter val="070000158176"/>
        <filter val="070000158177"/>
        <filter val="070000158185"/>
        <filter val="070000158186"/>
        <filter val="070000158199"/>
        <filter val="070000158201"/>
        <filter val="070000158204"/>
        <filter val="070000158221"/>
        <filter val="070000158229"/>
        <filter val="070000158238"/>
        <filter val="070000158242"/>
        <filter val="070000158244"/>
        <filter val="070000158259"/>
        <filter val="070000158262"/>
        <filter val="070000158263"/>
        <filter val="070000158282"/>
        <filter val="070000158288"/>
        <filter val="070000158299"/>
        <filter val="070000158301"/>
        <filter val="070000158304"/>
        <filter val="070000158306"/>
        <filter val="070000158354"/>
        <filter val="070000158475"/>
        <filter val="070000158641"/>
        <filter val="070000158662"/>
        <filter val="070000158673"/>
        <filter val="070000158674"/>
        <filter val="070000158678"/>
        <filter val="070000158679"/>
        <filter val="070000158681"/>
        <filter val="070000158686"/>
        <filter val="070000158687"/>
        <filter val="070000158695"/>
        <filter val="070000158697"/>
        <filter val="070000158699"/>
        <filter val="070000158700"/>
        <filter val="070000158708"/>
        <filter val="070000158713"/>
        <filter val="070000158715"/>
        <filter val="070000158717"/>
        <filter val="070000158750"/>
        <filter val="070000158751"/>
        <filter val="070000158752"/>
        <filter val="070000158890"/>
        <filter val="070000158892"/>
        <filter val="070000158931"/>
        <filter val="070000159171"/>
        <filter val="070000159390"/>
        <filter val="070000159618"/>
        <filter val="070000160318"/>
        <filter val="070000160320"/>
        <filter val="070000160321"/>
        <filter val="070000160323"/>
        <filter val="070000160325"/>
        <filter val="070000160330"/>
        <filter val="070000160337"/>
        <filter val="070000160339"/>
        <filter val="070000160342"/>
        <filter val="070000160403"/>
        <filter val="070000160415"/>
        <filter val="070000160416"/>
        <filter val="070000160417"/>
        <filter val="070000160422"/>
        <filter val="070000160425"/>
        <filter val="070000160426"/>
        <filter val="070000160431"/>
        <filter val="070000160432"/>
        <filter val="070000160433"/>
        <filter val="070000160434"/>
        <filter val="070000160435"/>
        <filter val="070000160436"/>
        <filter val="070000160438"/>
        <filter val="070000160443"/>
        <filter val="070000160499"/>
        <filter val="070000160525"/>
        <filter val="070000160528"/>
        <filter val="070000160532"/>
        <filter val="070000160533"/>
        <filter val="070000160535"/>
        <filter val="070000160536"/>
        <filter val="070000160537"/>
        <filter val="070000160540"/>
        <filter val="070000160542"/>
        <filter val="070000160543"/>
        <filter val="070000160544"/>
        <filter val="070000160550"/>
        <filter val="070000160552"/>
        <filter val="070000160554"/>
        <filter val="070000160590"/>
        <filter val="070000160633"/>
        <filter val="070000160652"/>
        <filter val="070000161003"/>
        <filter val="070000161007"/>
        <filter val="070000161013"/>
        <filter val="070000161017"/>
        <filter val="070000161021"/>
        <filter val="070000161023"/>
        <filter val="070000161024"/>
        <filter val="070000161140"/>
        <filter val="070000161188"/>
        <filter val="070000161299"/>
        <filter val="070000161501"/>
        <filter val="070000161506"/>
        <filter val="070000161530"/>
        <filter val="070000161534"/>
        <filter val="070000161665"/>
        <filter val="070000161706"/>
        <filter val="070000161725"/>
        <filter val="070000161947"/>
        <filter val="070000162042"/>
        <filter val="070000162043"/>
        <filter val="070000162063"/>
        <filter val="070000162153"/>
        <filter val="070000162226"/>
        <filter val="070000162271"/>
        <filter val="070000162273"/>
        <filter val="070000162275"/>
        <filter val="070000162276"/>
        <filter val="070000162284"/>
        <filter val="070000162698"/>
        <filter val="070000162827"/>
        <filter val="070000162959"/>
        <filter val="070000162963"/>
        <filter val="070000162965"/>
        <filter val="070000162975"/>
        <filter val="070000163185"/>
        <filter val="070000163430"/>
        <filter val="070000163479"/>
        <filter val="070000163482"/>
        <filter val="070000163483"/>
        <filter val="070000163485"/>
        <filter val="070000163497"/>
        <filter val="070000163501"/>
        <filter val="070000163506"/>
        <filter val="070000163533"/>
        <filter val="070000163534"/>
        <filter val="070000163751"/>
        <filter val="070000164093"/>
        <filter val="070000164112"/>
        <filter val="070000164118"/>
        <filter val="070000164125"/>
        <filter val="070000164147"/>
        <filter val="070000164157"/>
        <filter val="070000164217"/>
        <filter val="070000164228"/>
        <filter val="070000164431"/>
        <filter val="070000164884"/>
        <filter val="070000164914"/>
        <filter val="070000165283"/>
        <filter val="070000165296"/>
        <filter val="070000165324"/>
        <filter val="070000165333"/>
        <filter val="070000165473"/>
        <filter val="070000165558"/>
        <filter val="070000165728"/>
        <filter val="070000165753"/>
        <filter val="070000165780"/>
        <filter val="070000165790"/>
        <filter val="070000165819"/>
        <filter val="070000165827"/>
        <filter val="070000165834"/>
        <filter val="070000165838"/>
        <filter val="070000165851"/>
        <filter val="070000165888"/>
        <filter val="070000165898"/>
        <filter val="070000165901"/>
        <filter val="070000165921"/>
        <filter val="070000165955"/>
        <filter val="070000165970"/>
        <filter val="070000165972"/>
        <filter val="070000165985"/>
        <filter val="070000165995"/>
        <filter val="070000165998"/>
        <filter val="070000166035"/>
        <filter val="070000166053"/>
        <filter val="070000166055"/>
        <filter val="070000166071"/>
        <filter val="070000166095"/>
        <filter val="070000166097"/>
        <filter val="070000166101"/>
        <filter val="070000166166"/>
        <filter val="070000166494"/>
        <filter val="070000166542"/>
        <filter val="070000166603"/>
        <filter val="070000166660"/>
        <filter val="070000166852"/>
        <filter val="070000166968"/>
        <filter val="070000167345"/>
        <filter val="070000167346"/>
        <filter val="070000167347"/>
        <filter val="070000167348"/>
        <filter val="070000167349"/>
        <filter val="070000167350"/>
        <filter val="070000167351"/>
        <filter val="070000167392"/>
        <filter val="070000167393"/>
        <filter val="070000167394"/>
        <filter val="070000167395"/>
        <filter val="070000167396"/>
        <filter val="070000167528"/>
        <filter val="070000167887"/>
        <filter val="070000167969"/>
        <filter val="070000168686"/>
        <filter val="070000169287"/>
        <filter val="070000169291"/>
        <filter val="070000169302"/>
        <filter val="070000169383"/>
        <filter val="070000169402"/>
      </filters>
    </filterColumn>
  </autoFilter>
  <conditionalFormatting sqref="A1">
    <cfRule type="duplicateValues" dxfId="3" priority="1"/>
  </conditionalFormatting>
  <conditionalFormatting sqref="A2:B2 B3:B2333">
    <cfRule type="duplicateValues" dxfId="2" priority="2"/>
    <cfRule type="duplicateValues" dxfId="1" priority="3"/>
    <cfRule type="duplicateValues" dxfId="0" priority="4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0044A-6A2A-448D-B5EB-8731057B29CA}">
  <dimension ref="A1:E2268"/>
  <sheetViews>
    <sheetView topLeftCell="A2256" workbookViewId="0">
      <selection activeCell="E2271" sqref="E2271"/>
    </sheetView>
  </sheetViews>
  <sheetFormatPr defaultRowHeight="15" x14ac:dyDescent="0.25"/>
  <cols>
    <col min="1" max="1" width="45.5703125" bestFit="1" customWidth="1"/>
    <col min="5" max="5" width="39.5703125" bestFit="1" customWidth="1"/>
  </cols>
  <sheetData>
    <row r="1" spans="1:5" x14ac:dyDescent="0.25">
      <c r="D1" t="s">
        <v>2386</v>
      </c>
    </row>
    <row r="2" spans="1:5" x14ac:dyDescent="0.25">
      <c r="A2" t="s">
        <v>3</v>
      </c>
      <c r="B2" t="s">
        <v>2336</v>
      </c>
      <c r="C2" t="s">
        <v>2385</v>
      </c>
      <c r="D2">
        <v>9702</v>
      </c>
      <c r="E2" t="str">
        <f>"ia.assorted_string like '%"&amp;D2&amp;B2&amp;"%' or"</f>
        <v>ia.assorted_string like '%9702-03-2023%' or</v>
      </c>
    </row>
    <row r="3" spans="1:5" x14ac:dyDescent="0.25">
      <c r="A3" t="s">
        <v>4</v>
      </c>
      <c r="B3" t="s">
        <v>2335</v>
      </c>
      <c r="C3" t="s">
        <v>2385</v>
      </c>
      <c r="D3">
        <v>40</v>
      </c>
      <c r="E3" t="str">
        <f t="shared" ref="E3:E66" si="0">"ia.assorted_string like '%"&amp;D3&amp;B3&amp;"%' or"</f>
        <v>ia.assorted_string like '%40-07-2022%' or</v>
      </c>
    </row>
    <row r="4" spans="1:5" x14ac:dyDescent="0.25">
      <c r="A4" t="s">
        <v>5</v>
      </c>
      <c r="B4" t="s">
        <v>2335</v>
      </c>
      <c r="C4" t="s">
        <v>2385</v>
      </c>
      <c r="D4">
        <v>42</v>
      </c>
      <c r="E4" t="str">
        <f t="shared" si="0"/>
        <v>ia.assorted_string like '%42-07-2022%' or</v>
      </c>
    </row>
    <row r="5" spans="1:5" x14ac:dyDescent="0.25">
      <c r="A5" t="s">
        <v>6</v>
      </c>
      <c r="B5" t="s">
        <v>2337</v>
      </c>
      <c r="C5" t="s">
        <v>2385</v>
      </c>
      <c r="D5">
        <v>17729</v>
      </c>
      <c r="E5" t="str">
        <f t="shared" si="0"/>
        <v>ia.assorted_string like '%17729-02-2023%' or</v>
      </c>
    </row>
    <row r="6" spans="1:5" x14ac:dyDescent="0.25">
      <c r="A6" t="s">
        <v>7</v>
      </c>
      <c r="B6" t="s">
        <v>2338</v>
      </c>
      <c r="C6" t="s">
        <v>2385</v>
      </c>
      <c r="D6">
        <v>70605</v>
      </c>
      <c r="E6" t="str">
        <f t="shared" si="0"/>
        <v>ia.assorted_string like '%70605-05-2023%' or</v>
      </c>
    </row>
    <row r="7" spans="1:5" x14ac:dyDescent="0.25">
      <c r="A7" t="s">
        <v>8</v>
      </c>
      <c r="B7" t="s">
        <v>2339</v>
      </c>
      <c r="C7" t="s">
        <v>2385</v>
      </c>
      <c r="D7">
        <v>19481</v>
      </c>
      <c r="E7" t="str">
        <f t="shared" si="0"/>
        <v>ia.assorted_string like '%19481-03-2024%' or</v>
      </c>
    </row>
    <row r="8" spans="1:5" x14ac:dyDescent="0.25">
      <c r="A8" t="s">
        <v>9</v>
      </c>
      <c r="B8" t="s">
        <v>2337</v>
      </c>
      <c r="C8" t="s">
        <v>2385</v>
      </c>
      <c r="D8">
        <v>67739</v>
      </c>
      <c r="E8" t="str">
        <f t="shared" si="0"/>
        <v>ia.assorted_string like '%67739-02-2023%' or</v>
      </c>
    </row>
    <row r="9" spans="1:5" x14ac:dyDescent="0.25">
      <c r="A9" t="s">
        <v>10</v>
      </c>
      <c r="B9" t="s">
        <v>2340</v>
      </c>
      <c r="C9" t="s">
        <v>2385</v>
      </c>
      <c r="D9">
        <v>3343</v>
      </c>
      <c r="E9" t="str">
        <f t="shared" si="0"/>
        <v>ia.assorted_string like '%3343-09-2023%' or</v>
      </c>
    </row>
    <row r="10" spans="1:5" x14ac:dyDescent="0.25">
      <c r="A10" t="s">
        <v>11</v>
      </c>
      <c r="B10" t="s">
        <v>2340</v>
      </c>
      <c r="C10" t="s">
        <v>2385</v>
      </c>
      <c r="D10">
        <v>3348</v>
      </c>
      <c r="E10" t="str">
        <f t="shared" si="0"/>
        <v>ia.assorted_string like '%3348-09-2023%' or</v>
      </c>
    </row>
    <row r="11" spans="1:5" x14ac:dyDescent="0.25">
      <c r="A11" t="s">
        <v>12</v>
      </c>
      <c r="B11" t="s">
        <v>2340</v>
      </c>
      <c r="C11" t="s">
        <v>2385</v>
      </c>
      <c r="D11">
        <v>3349</v>
      </c>
      <c r="E11" t="str">
        <f t="shared" si="0"/>
        <v>ia.assorted_string like '%3349-09-2023%' or</v>
      </c>
    </row>
    <row r="12" spans="1:5" x14ac:dyDescent="0.25">
      <c r="A12" t="s">
        <v>13</v>
      </c>
      <c r="B12" t="s">
        <v>2341</v>
      </c>
      <c r="C12" t="s">
        <v>2385</v>
      </c>
      <c r="D12">
        <v>518</v>
      </c>
      <c r="E12" t="str">
        <f t="shared" si="0"/>
        <v>ia.assorted_string like '%518-03-2020%' or</v>
      </c>
    </row>
    <row r="13" spans="1:5" x14ac:dyDescent="0.25">
      <c r="A13" t="s">
        <v>14</v>
      </c>
      <c r="B13" t="s">
        <v>2340</v>
      </c>
      <c r="C13" t="s">
        <v>2385</v>
      </c>
      <c r="D13">
        <v>3350</v>
      </c>
      <c r="E13" t="str">
        <f t="shared" si="0"/>
        <v>ia.assorted_string like '%3350-09-2023%' or</v>
      </c>
    </row>
    <row r="14" spans="1:5" x14ac:dyDescent="0.25">
      <c r="A14" t="s">
        <v>15</v>
      </c>
      <c r="B14" t="s">
        <v>2340</v>
      </c>
      <c r="C14" t="s">
        <v>2385</v>
      </c>
      <c r="D14">
        <v>3324</v>
      </c>
      <c r="E14" t="str">
        <f t="shared" si="0"/>
        <v>ia.assorted_string like '%3324-09-2023%' or</v>
      </c>
    </row>
    <row r="15" spans="1:5" x14ac:dyDescent="0.25">
      <c r="A15" t="s">
        <v>16</v>
      </c>
      <c r="B15" t="s">
        <v>2340</v>
      </c>
      <c r="C15" t="s">
        <v>2385</v>
      </c>
      <c r="D15">
        <v>3356</v>
      </c>
      <c r="E15" t="str">
        <f t="shared" si="0"/>
        <v>ia.assorted_string like '%3356-09-2023%' or</v>
      </c>
    </row>
    <row r="16" spans="1:5" x14ac:dyDescent="0.25">
      <c r="A16" t="s">
        <v>17</v>
      </c>
      <c r="B16" t="s">
        <v>2340</v>
      </c>
      <c r="C16" t="s">
        <v>2385</v>
      </c>
      <c r="D16">
        <v>3327</v>
      </c>
      <c r="E16" t="str">
        <f t="shared" si="0"/>
        <v>ia.assorted_string like '%3327-09-2023%' or</v>
      </c>
    </row>
    <row r="17" spans="1:5" x14ac:dyDescent="0.25">
      <c r="A17" t="s">
        <v>18</v>
      </c>
      <c r="B17" t="s">
        <v>2340</v>
      </c>
      <c r="C17" t="s">
        <v>2385</v>
      </c>
      <c r="D17">
        <v>3291</v>
      </c>
      <c r="E17" t="str">
        <f t="shared" si="0"/>
        <v>ia.assorted_string like '%3291-09-2023%' or</v>
      </c>
    </row>
    <row r="18" spans="1:5" x14ac:dyDescent="0.25">
      <c r="A18" t="s">
        <v>19</v>
      </c>
      <c r="B18" t="s">
        <v>2340</v>
      </c>
      <c r="C18" t="s">
        <v>2385</v>
      </c>
      <c r="D18">
        <v>3342</v>
      </c>
      <c r="E18" t="str">
        <f t="shared" si="0"/>
        <v>ia.assorted_string like '%3342-09-2023%' or</v>
      </c>
    </row>
    <row r="19" spans="1:5" x14ac:dyDescent="0.25">
      <c r="A19" t="s">
        <v>20</v>
      </c>
      <c r="B19" t="s">
        <v>2340</v>
      </c>
      <c r="C19" t="s">
        <v>2385</v>
      </c>
      <c r="D19">
        <v>3321</v>
      </c>
      <c r="E19" t="str">
        <f t="shared" si="0"/>
        <v>ia.assorted_string like '%3321-09-2023%' or</v>
      </c>
    </row>
    <row r="20" spans="1:5" x14ac:dyDescent="0.25">
      <c r="A20" t="s">
        <v>21</v>
      </c>
      <c r="B20" t="s">
        <v>2340</v>
      </c>
      <c r="C20" t="s">
        <v>2385</v>
      </c>
      <c r="D20">
        <v>3344</v>
      </c>
      <c r="E20" t="str">
        <f t="shared" si="0"/>
        <v>ia.assorted_string like '%3344-09-2023%' or</v>
      </c>
    </row>
    <row r="21" spans="1:5" x14ac:dyDescent="0.25">
      <c r="A21" t="s">
        <v>22</v>
      </c>
      <c r="B21" t="s">
        <v>2340</v>
      </c>
      <c r="C21" t="s">
        <v>2385</v>
      </c>
      <c r="D21">
        <v>3282</v>
      </c>
      <c r="E21" t="str">
        <f t="shared" si="0"/>
        <v>ia.assorted_string like '%3282-09-2023%' or</v>
      </c>
    </row>
    <row r="22" spans="1:5" x14ac:dyDescent="0.25">
      <c r="A22" t="s">
        <v>23</v>
      </c>
      <c r="B22" t="s">
        <v>2340</v>
      </c>
      <c r="C22" t="s">
        <v>2385</v>
      </c>
      <c r="D22">
        <v>3345</v>
      </c>
      <c r="E22" t="str">
        <f t="shared" si="0"/>
        <v>ia.assorted_string like '%3345-09-2023%' or</v>
      </c>
    </row>
    <row r="23" spans="1:5" x14ac:dyDescent="0.25">
      <c r="A23" t="s">
        <v>24</v>
      </c>
      <c r="B23" t="s">
        <v>2340</v>
      </c>
      <c r="C23" t="s">
        <v>2385</v>
      </c>
      <c r="D23">
        <v>3323</v>
      </c>
      <c r="E23" t="str">
        <f t="shared" si="0"/>
        <v>ia.assorted_string like '%3323-09-2023%' or</v>
      </c>
    </row>
    <row r="24" spans="1:5" x14ac:dyDescent="0.25">
      <c r="A24" t="s">
        <v>25</v>
      </c>
      <c r="B24" t="s">
        <v>2341</v>
      </c>
      <c r="C24" t="s">
        <v>2385</v>
      </c>
      <c r="D24">
        <v>517</v>
      </c>
      <c r="E24" t="str">
        <f t="shared" si="0"/>
        <v>ia.assorted_string like '%517-03-2020%' or</v>
      </c>
    </row>
    <row r="25" spans="1:5" x14ac:dyDescent="0.25">
      <c r="A25" t="s">
        <v>26</v>
      </c>
      <c r="B25" t="s">
        <v>2340</v>
      </c>
      <c r="C25" t="s">
        <v>2385</v>
      </c>
      <c r="D25">
        <v>3295</v>
      </c>
      <c r="E25" t="str">
        <f t="shared" si="0"/>
        <v>ia.assorted_string like '%3295-09-2023%' or</v>
      </c>
    </row>
    <row r="26" spans="1:5" x14ac:dyDescent="0.25">
      <c r="A26" t="s">
        <v>27</v>
      </c>
      <c r="B26" t="s">
        <v>2340</v>
      </c>
      <c r="C26" t="s">
        <v>2385</v>
      </c>
      <c r="D26">
        <v>3355</v>
      </c>
      <c r="E26" t="str">
        <f t="shared" si="0"/>
        <v>ia.assorted_string like '%3355-09-2023%' or</v>
      </c>
    </row>
    <row r="27" spans="1:5" x14ac:dyDescent="0.25">
      <c r="A27" t="s">
        <v>28</v>
      </c>
      <c r="B27" t="s">
        <v>2342</v>
      </c>
      <c r="C27" t="s">
        <v>2385</v>
      </c>
      <c r="D27">
        <v>321</v>
      </c>
      <c r="E27" t="str">
        <f t="shared" si="0"/>
        <v>ia.assorted_string like '%321-09-2024%' or</v>
      </c>
    </row>
    <row r="28" spans="1:5" x14ac:dyDescent="0.25">
      <c r="A28" t="s">
        <v>29</v>
      </c>
      <c r="B28" t="s">
        <v>2339</v>
      </c>
      <c r="C28" t="s">
        <v>2385</v>
      </c>
      <c r="D28">
        <v>19473</v>
      </c>
      <c r="E28" t="str">
        <f t="shared" si="0"/>
        <v>ia.assorted_string like '%19473-03-2024%' or</v>
      </c>
    </row>
    <row r="29" spans="1:5" x14ac:dyDescent="0.25">
      <c r="A29" t="s">
        <v>30</v>
      </c>
      <c r="B29" t="s">
        <v>2343</v>
      </c>
      <c r="C29" t="s">
        <v>2385</v>
      </c>
      <c r="D29">
        <v>42744</v>
      </c>
      <c r="E29" t="str">
        <f t="shared" si="0"/>
        <v>ia.assorted_string like '%42744-06-2024%' or</v>
      </c>
    </row>
    <row r="30" spans="1:5" x14ac:dyDescent="0.25">
      <c r="A30" t="s">
        <v>31</v>
      </c>
      <c r="B30" t="s">
        <v>2344</v>
      </c>
      <c r="C30" t="s">
        <v>2385</v>
      </c>
      <c r="D30">
        <v>73304</v>
      </c>
      <c r="E30" t="str">
        <f t="shared" si="0"/>
        <v>ia.assorted_string like '%73304-07-2023%' or</v>
      </c>
    </row>
    <row r="31" spans="1:5" x14ac:dyDescent="0.25">
      <c r="A31" t="s">
        <v>32</v>
      </c>
      <c r="B31" t="s">
        <v>2345</v>
      </c>
      <c r="C31" t="s">
        <v>2385</v>
      </c>
      <c r="D31">
        <v>18830</v>
      </c>
      <c r="E31" t="str">
        <f t="shared" si="0"/>
        <v>ia.assorted_string like '%18830-06-2023%' or</v>
      </c>
    </row>
    <row r="32" spans="1:5" x14ac:dyDescent="0.25">
      <c r="A32" t="s">
        <v>33</v>
      </c>
      <c r="B32" t="s">
        <v>2340</v>
      </c>
      <c r="C32" t="s">
        <v>2385</v>
      </c>
      <c r="D32">
        <v>74980</v>
      </c>
      <c r="E32" t="str">
        <f t="shared" si="0"/>
        <v>ia.assorted_string like '%74980-09-2023%' or</v>
      </c>
    </row>
    <row r="33" spans="1:5" x14ac:dyDescent="0.25">
      <c r="A33" t="s">
        <v>34</v>
      </c>
      <c r="B33" t="s">
        <v>2346</v>
      </c>
      <c r="C33" t="s">
        <v>2385</v>
      </c>
      <c r="D33">
        <v>94891</v>
      </c>
      <c r="E33" t="str">
        <f t="shared" si="0"/>
        <v>ia.assorted_string like '%94891-08-2024%' or</v>
      </c>
    </row>
    <row r="34" spans="1:5" x14ac:dyDescent="0.25">
      <c r="A34" t="s">
        <v>35</v>
      </c>
      <c r="B34" t="s">
        <v>2339</v>
      </c>
      <c r="C34" t="s">
        <v>2385</v>
      </c>
      <c r="D34">
        <v>19475</v>
      </c>
      <c r="E34" t="str">
        <f t="shared" si="0"/>
        <v>ia.assorted_string like '%19475-03-2024%' or</v>
      </c>
    </row>
    <row r="35" spans="1:5" x14ac:dyDescent="0.25">
      <c r="A35" t="s">
        <v>36</v>
      </c>
      <c r="B35" t="s">
        <v>2347</v>
      </c>
      <c r="C35" t="s">
        <v>2385</v>
      </c>
      <c r="D35">
        <v>22061</v>
      </c>
      <c r="E35" t="str">
        <f t="shared" si="0"/>
        <v>ia.assorted_string like '%22061-04-2024%' or</v>
      </c>
    </row>
    <row r="36" spans="1:5" x14ac:dyDescent="0.25">
      <c r="A36" t="s">
        <v>37</v>
      </c>
      <c r="B36" t="s">
        <v>2336</v>
      </c>
      <c r="C36" t="s">
        <v>2385</v>
      </c>
      <c r="D36">
        <v>17953</v>
      </c>
      <c r="E36" t="str">
        <f t="shared" si="0"/>
        <v>ia.assorted_string like '%17953-03-2023%' or</v>
      </c>
    </row>
    <row r="37" spans="1:5" x14ac:dyDescent="0.25">
      <c r="A37" t="s">
        <v>38</v>
      </c>
      <c r="B37" t="s">
        <v>2348</v>
      </c>
      <c r="C37" t="s">
        <v>2385</v>
      </c>
      <c r="D37">
        <v>17110</v>
      </c>
      <c r="E37" t="str">
        <f t="shared" si="0"/>
        <v>ia.assorted_string like '%17110-12-2022%' or</v>
      </c>
    </row>
    <row r="38" spans="1:5" x14ac:dyDescent="0.25">
      <c r="A38" t="s">
        <v>39</v>
      </c>
      <c r="B38" t="s">
        <v>2337</v>
      </c>
      <c r="C38" t="s">
        <v>2385</v>
      </c>
      <c r="D38">
        <v>38955</v>
      </c>
      <c r="E38" t="str">
        <f t="shared" si="0"/>
        <v>ia.assorted_string like '%38955-02-2023%' or</v>
      </c>
    </row>
    <row r="39" spans="1:5" x14ac:dyDescent="0.25">
      <c r="A39" t="s">
        <v>40</v>
      </c>
      <c r="B39" t="s">
        <v>2338</v>
      </c>
      <c r="C39" t="s">
        <v>2385</v>
      </c>
      <c r="D39">
        <v>70284</v>
      </c>
      <c r="E39" t="str">
        <f t="shared" si="0"/>
        <v>ia.assorted_string like '%70284-05-2023%' or</v>
      </c>
    </row>
    <row r="40" spans="1:5" x14ac:dyDescent="0.25">
      <c r="A40" t="s">
        <v>41</v>
      </c>
      <c r="B40" t="s">
        <v>2349</v>
      </c>
      <c r="C40" t="s">
        <v>2385</v>
      </c>
      <c r="D40">
        <v>13625</v>
      </c>
      <c r="E40" t="str">
        <f t="shared" si="0"/>
        <v>ia.assorted_string like '%13625-01-2022%' or</v>
      </c>
    </row>
    <row r="41" spans="1:5" x14ac:dyDescent="0.25">
      <c r="A41" t="s">
        <v>42</v>
      </c>
      <c r="B41" t="s">
        <v>2337</v>
      </c>
      <c r="C41" t="s">
        <v>2385</v>
      </c>
      <c r="D41">
        <v>39002</v>
      </c>
      <c r="E41" t="str">
        <f t="shared" si="0"/>
        <v>ia.assorted_string like '%39002-02-2023%' or</v>
      </c>
    </row>
    <row r="42" spans="1:5" x14ac:dyDescent="0.25">
      <c r="A42" t="s">
        <v>43</v>
      </c>
      <c r="B42" t="s">
        <v>2350</v>
      </c>
      <c r="C42" t="s">
        <v>2385</v>
      </c>
      <c r="D42">
        <v>38688</v>
      </c>
      <c r="E42" t="str">
        <f t="shared" si="0"/>
        <v>ia.assorted_string like '%38688-01-2023%' or</v>
      </c>
    </row>
    <row r="43" spans="1:5" x14ac:dyDescent="0.25">
      <c r="A43" t="s">
        <v>44</v>
      </c>
      <c r="B43" t="s">
        <v>2351</v>
      </c>
      <c r="C43" t="s">
        <v>2385</v>
      </c>
      <c r="D43">
        <v>15322</v>
      </c>
      <c r="E43" t="str">
        <f t="shared" si="0"/>
        <v>ia.assorted_string like '%15322-08-2022%' or</v>
      </c>
    </row>
    <row r="44" spans="1:5" x14ac:dyDescent="0.25">
      <c r="A44" t="s">
        <v>45</v>
      </c>
      <c r="B44" t="s">
        <v>2349</v>
      </c>
      <c r="C44" t="s">
        <v>2385</v>
      </c>
      <c r="D44">
        <v>13612</v>
      </c>
      <c r="E44" t="str">
        <f t="shared" si="0"/>
        <v>ia.assorted_string like '%13612-01-2022%' or</v>
      </c>
    </row>
    <row r="45" spans="1:5" x14ac:dyDescent="0.25">
      <c r="A45" t="s">
        <v>46</v>
      </c>
      <c r="B45" t="s">
        <v>2352</v>
      </c>
      <c r="C45" t="s">
        <v>2385</v>
      </c>
      <c r="D45">
        <v>12600</v>
      </c>
      <c r="E45" t="str">
        <f t="shared" si="0"/>
        <v>ia.assorted_string like '%12600-10-2021%' or</v>
      </c>
    </row>
    <row r="46" spans="1:5" x14ac:dyDescent="0.25">
      <c r="A46" t="s">
        <v>47</v>
      </c>
      <c r="B46" t="s">
        <v>2353</v>
      </c>
      <c r="C46" t="s">
        <v>2385</v>
      </c>
      <c r="D46">
        <v>16800</v>
      </c>
      <c r="E46" t="str">
        <f t="shared" si="0"/>
        <v>ia.assorted_string like '%16800-11-2022%' or</v>
      </c>
    </row>
    <row r="47" spans="1:5" x14ac:dyDescent="0.25">
      <c r="A47" t="s">
        <v>48</v>
      </c>
      <c r="B47" t="s">
        <v>2349</v>
      </c>
      <c r="C47" t="s">
        <v>2385</v>
      </c>
      <c r="D47">
        <v>1964</v>
      </c>
      <c r="E47" t="str">
        <f t="shared" si="0"/>
        <v>ia.assorted_string like '%1964-01-2022%' or</v>
      </c>
    </row>
    <row r="48" spans="1:5" x14ac:dyDescent="0.25">
      <c r="A48" t="s">
        <v>49</v>
      </c>
      <c r="B48" t="s">
        <v>2337</v>
      </c>
      <c r="C48" t="s">
        <v>2385</v>
      </c>
      <c r="D48">
        <v>2320</v>
      </c>
      <c r="E48" t="str">
        <f t="shared" si="0"/>
        <v>ia.assorted_string like '%2320-02-2023%' or</v>
      </c>
    </row>
    <row r="49" spans="1:5" x14ac:dyDescent="0.25">
      <c r="A49" t="s">
        <v>50</v>
      </c>
      <c r="B49" t="s">
        <v>2354</v>
      </c>
      <c r="C49" t="s">
        <v>2385</v>
      </c>
      <c r="D49">
        <v>2626</v>
      </c>
      <c r="E49" t="str">
        <f t="shared" si="0"/>
        <v>ia.assorted_string like '%2626-08-2023%' or</v>
      </c>
    </row>
    <row r="50" spans="1:5" x14ac:dyDescent="0.25">
      <c r="A50" t="s">
        <v>51</v>
      </c>
      <c r="B50" t="s">
        <v>2347</v>
      </c>
      <c r="C50" t="s">
        <v>2385</v>
      </c>
      <c r="D50">
        <v>2504</v>
      </c>
      <c r="E50" t="str">
        <f t="shared" si="0"/>
        <v>ia.assorted_string like '%2504-04-2024%' or</v>
      </c>
    </row>
    <row r="51" spans="1:5" x14ac:dyDescent="0.25">
      <c r="A51" t="s">
        <v>52</v>
      </c>
      <c r="B51" t="s">
        <v>2346</v>
      </c>
      <c r="C51" t="s">
        <v>2385</v>
      </c>
      <c r="D51">
        <v>3289</v>
      </c>
      <c r="E51" t="str">
        <f t="shared" si="0"/>
        <v>ia.assorted_string like '%3289-08-2024%' or</v>
      </c>
    </row>
    <row r="52" spans="1:5" x14ac:dyDescent="0.25">
      <c r="A52" t="s">
        <v>53</v>
      </c>
      <c r="B52" t="s">
        <v>2347</v>
      </c>
      <c r="C52" t="s">
        <v>2385</v>
      </c>
      <c r="D52">
        <v>3157</v>
      </c>
      <c r="E52" t="str">
        <f t="shared" si="0"/>
        <v>ia.assorted_string like '%3157-04-2024%' or</v>
      </c>
    </row>
    <row r="53" spans="1:5" x14ac:dyDescent="0.25">
      <c r="A53" t="s">
        <v>57</v>
      </c>
      <c r="B53" t="s">
        <v>2356</v>
      </c>
      <c r="C53" t="s">
        <v>2385</v>
      </c>
      <c r="D53">
        <v>69846</v>
      </c>
      <c r="E53" t="str">
        <f t="shared" si="0"/>
        <v>ia.assorted_string like '%69846-04-2023%' or</v>
      </c>
    </row>
    <row r="54" spans="1:5" x14ac:dyDescent="0.25">
      <c r="A54" t="s">
        <v>58</v>
      </c>
      <c r="B54" t="s">
        <v>2337</v>
      </c>
      <c r="C54" t="s">
        <v>2385</v>
      </c>
      <c r="D54">
        <v>17792</v>
      </c>
      <c r="E54" t="str">
        <f t="shared" si="0"/>
        <v>ia.assorted_string like '%17792-02-2023%' or</v>
      </c>
    </row>
    <row r="55" spans="1:5" x14ac:dyDescent="0.25">
      <c r="A55" t="s">
        <v>68</v>
      </c>
      <c r="B55" t="s">
        <v>2357</v>
      </c>
      <c r="C55" t="s">
        <v>2385</v>
      </c>
      <c r="D55">
        <v>16946</v>
      </c>
      <c r="E55" t="str">
        <f t="shared" si="0"/>
        <v>ia.assorted_string like '%16946-06-2022%' or</v>
      </c>
    </row>
    <row r="56" spans="1:5" x14ac:dyDescent="0.25">
      <c r="A56" t="s">
        <v>70</v>
      </c>
      <c r="B56" t="s">
        <v>2337</v>
      </c>
      <c r="C56" t="s">
        <v>2385</v>
      </c>
      <c r="D56">
        <v>17750</v>
      </c>
      <c r="E56" t="str">
        <f t="shared" si="0"/>
        <v>ia.assorted_string like '%17750-02-2023%' or</v>
      </c>
    </row>
    <row r="57" spans="1:5" x14ac:dyDescent="0.25">
      <c r="A57" t="s">
        <v>72</v>
      </c>
      <c r="B57" t="s">
        <v>2337</v>
      </c>
      <c r="C57" t="s">
        <v>2385</v>
      </c>
      <c r="D57">
        <v>17787</v>
      </c>
      <c r="E57" t="str">
        <f t="shared" si="0"/>
        <v>ia.assorted_string like '%17787-02-2023%' or</v>
      </c>
    </row>
    <row r="58" spans="1:5" x14ac:dyDescent="0.25">
      <c r="A58" t="s">
        <v>73</v>
      </c>
      <c r="B58" t="s">
        <v>2344</v>
      </c>
      <c r="C58" t="s">
        <v>2385</v>
      </c>
      <c r="D58">
        <v>652</v>
      </c>
      <c r="E58" t="str">
        <f t="shared" si="0"/>
        <v>ia.assorted_string like '%652-07-2023%' or</v>
      </c>
    </row>
    <row r="59" spans="1:5" x14ac:dyDescent="0.25">
      <c r="A59" t="s">
        <v>74</v>
      </c>
      <c r="B59" t="s">
        <v>2358</v>
      </c>
      <c r="C59" t="s">
        <v>2385</v>
      </c>
      <c r="D59">
        <v>16498</v>
      </c>
      <c r="E59" t="str">
        <f t="shared" si="0"/>
        <v>ia.assorted_string like '%16498-10-2022%' or</v>
      </c>
    </row>
    <row r="60" spans="1:5" x14ac:dyDescent="0.25">
      <c r="A60" t="s">
        <v>75</v>
      </c>
      <c r="B60" t="s">
        <v>2350</v>
      </c>
      <c r="C60" t="s">
        <v>2385</v>
      </c>
      <c r="D60">
        <v>38854</v>
      </c>
      <c r="E60" t="str">
        <f t="shared" si="0"/>
        <v>ia.assorted_string like '%38854-01-2023%' or</v>
      </c>
    </row>
    <row r="61" spans="1:5" x14ac:dyDescent="0.25">
      <c r="A61" t="s">
        <v>76</v>
      </c>
      <c r="B61" t="s">
        <v>2350</v>
      </c>
      <c r="C61" t="s">
        <v>2385</v>
      </c>
      <c r="D61">
        <v>38761</v>
      </c>
      <c r="E61" t="str">
        <f t="shared" si="0"/>
        <v>ia.assorted_string like '%38761-01-2023%' or</v>
      </c>
    </row>
    <row r="62" spans="1:5" x14ac:dyDescent="0.25">
      <c r="A62" t="s">
        <v>77</v>
      </c>
      <c r="B62" t="s">
        <v>2350</v>
      </c>
      <c r="C62" t="s">
        <v>2385</v>
      </c>
      <c r="D62">
        <v>38687</v>
      </c>
      <c r="E62" t="str">
        <f t="shared" si="0"/>
        <v>ia.assorted_string like '%38687-01-2023%' or</v>
      </c>
    </row>
    <row r="63" spans="1:5" x14ac:dyDescent="0.25">
      <c r="A63" t="s">
        <v>78</v>
      </c>
      <c r="B63" t="s">
        <v>2338</v>
      </c>
      <c r="C63" t="s">
        <v>2385</v>
      </c>
      <c r="D63">
        <v>71413</v>
      </c>
      <c r="E63" t="str">
        <f t="shared" si="0"/>
        <v>ia.assorted_string like '%71413-05-2023%' or</v>
      </c>
    </row>
    <row r="64" spans="1:5" x14ac:dyDescent="0.25">
      <c r="A64" t="s">
        <v>79</v>
      </c>
      <c r="B64" t="s">
        <v>2350</v>
      </c>
      <c r="C64" t="s">
        <v>2385</v>
      </c>
      <c r="D64">
        <v>38708</v>
      </c>
      <c r="E64" t="str">
        <f t="shared" si="0"/>
        <v>ia.assorted_string like '%38708-01-2023%' or</v>
      </c>
    </row>
    <row r="65" spans="1:5" x14ac:dyDescent="0.25">
      <c r="A65" t="s">
        <v>80</v>
      </c>
      <c r="B65" t="s">
        <v>2345</v>
      </c>
      <c r="C65" t="s">
        <v>2385</v>
      </c>
      <c r="D65">
        <v>71824</v>
      </c>
      <c r="E65" t="str">
        <f t="shared" si="0"/>
        <v>ia.assorted_string like '%71824-06-2023%' or</v>
      </c>
    </row>
    <row r="66" spans="1:5" x14ac:dyDescent="0.25">
      <c r="A66" t="s">
        <v>81</v>
      </c>
      <c r="B66" t="s">
        <v>2343</v>
      </c>
      <c r="C66" t="s">
        <v>2385</v>
      </c>
      <c r="D66">
        <v>42813</v>
      </c>
      <c r="E66" t="str">
        <f t="shared" si="0"/>
        <v>ia.assorted_string like '%42813-06-2024%' or</v>
      </c>
    </row>
    <row r="67" spans="1:5" x14ac:dyDescent="0.25">
      <c r="A67" t="s">
        <v>82</v>
      </c>
      <c r="B67" t="s">
        <v>2356</v>
      </c>
      <c r="C67" t="s">
        <v>2385</v>
      </c>
      <c r="D67">
        <v>69862</v>
      </c>
      <c r="E67" t="str">
        <f t="shared" ref="E67:E130" si="1">"ia.assorted_string like '%"&amp;D67&amp;B67&amp;"%' or"</f>
        <v>ia.assorted_string like '%69862-04-2023%' or</v>
      </c>
    </row>
    <row r="68" spans="1:5" x14ac:dyDescent="0.25">
      <c r="A68" t="s">
        <v>83</v>
      </c>
      <c r="B68" t="s">
        <v>2343</v>
      </c>
      <c r="C68" t="s">
        <v>2385</v>
      </c>
      <c r="D68">
        <v>42819</v>
      </c>
      <c r="E68" t="str">
        <f t="shared" si="1"/>
        <v>ia.assorted_string like '%42819-06-2024%' or</v>
      </c>
    </row>
    <row r="69" spans="1:5" x14ac:dyDescent="0.25">
      <c r="A69" t="s">
        <v>84</v>
      </c>
      <c r="B69" t="s">
        <v>2350</v>
      </c>
      <c r="C69" t="s">
        <v>2385</v>
      </c>
      <c r="D69">
        <v>38804</v>
      </c>
      <c r="E69" t="str">
        <f t="shared" si="1"/>
        <v>ia.assorted_string like '%38804-01-2023%' or</v>
      </c>
    </row>
    <row r="70" spans="1:5" x14ac:dyDescent="0.25">
      <c r="A70" t="s">
        <v>85</v>
      </c>
      <c r="B70" t="s">
        <v>2343</v>
      </c>
      <c r="C70" t="s">
        <v>2385</v>
      </c>
      <c r="D70">
        <v>42829</v>
      </c>
      <c r="E70" t="str">
        <f t="shared" si="1"/>
        <v>ia.assorted_string like '%42829-06-2024%' or</v>
      </c>
    </row>
    <row r="71" spans="1:5" x14ac:dyDescent="0.25">
      <c r="A71" t="s">
        <v>86</v>
      </c>
      <c r="B71" t="s">
        <v>2350</v>
      </c>
      <c r="C71" t="s">
        <v>2385</v>
      </c>
      <c r="D71">
        <v>38844</v>
      </c>
      <c r="E71" t="str">
        <f t="shared" si="1"/>
        <v>ia.assorted_string like '%38844-01-2023%' or</v>
      </c>
    </row>
    <row r="72" spans="1:5" x14ac:dyDescent="0.25">
      <c r="A72" t="s">
        <v>87</v>
      </c>
      <c r="B72" t="s">
        <v>2343</v>
      </c>
      <c r="C72" t="s">
        <v>2385</v>
      </c>
      <c r="D72">
        <v>42896</v>
      </c>
      <c r="E72" t="str">
        <f t="shared" si="1"/>
        <v>ia.assorted_string like '%42896-06-2024%' or</v>
      </c>
    </row>
    <row r="73" spans="1:5" x14ac:dyDescent="0.25">
      <c r="A73" t="s">
        <v>88</v>
      </c>
      <c r="B73" t="s">
        <v>2338</v>
      </c>
      <c r="C73" t="s">
        <v>2385</v>
      </c>
      <c r="D73">
        <v>70811</v>
      </c>
      <c r="E73" t="str">
        <f t="shared" si="1"/>
        <v>ia.assorted_string like '%70811-05-2023%' or</v>
      </c>
    </row>
    <row r="74" spans="1:5" x14ac:dyDescent="0.25">
      <c r="A74" t="s">
        <v>89</v>
      </c>
      <c r="B74" t="s">
        <v>2343</v>
      </c>
      <c r="C74" t="s">
        <v>2385</v>
      </c>
      <c r="D74">
        <v>42924</v>
      </c>
      <c r="E74" t="str">
        <f t="shared" si="1"/>
        <v>ia.assorted_string like '%42924-06-2024%' or</v>
      </c>
    </row>
    <row r="75" spans="1:5" x14ac:dyDescent="0.25">
      <c r="A75" t="s">
        <v>90</v>
      </c>
      <c r="B75" t="s">
        <v>2338</v>
      </c>
      <c r="C75" t="s">
        <v>2385</v>
      </c>
      <c r="D75">
        <v>70864</v>
      </c>
      <c r="E75" t="str">
        <f t="shared" si="1"/>
        <v>ia.assorted_string like '%70864-05-2023%' or</v>
      </c>
    </row>
    <row r="76" spans="1:5" x14ac:dyDescent="0.25">
      <c r="A76" t="s">
        <v>91</v>
      </c>
      <c r="B76" t="s">
        <v>2343</v>
      </c>
      <c r="C76" t="s">
        <v>2385</v>
      </c>
      <c r="D76">
        <v>42956</v>
      </c>
      <c r="E76" t="str">
        <f t="shared" si="1"/>
        <v>ia.assorted_string like '%42956-06-2024%' or</v>
      </c>
    </row>
    <row r="77" spans="1:5" x14ac:dyDescent="0.25">
      <c r="A77" t="s">
        <v>92</v>
      </c>
      <c r="B77" t="s">
        <v>2338</v>
      </c>
      <c r="C77" t="s">
        <v>2385</v>
      </c>
      <c r="D77">
        <v>71220</v>
      </c>
      <c r="E77" t="str">
        <f t="shared" si="1"/>
        <v>ia.assorted_string like '%71220-05-2023%' or</v>
      </c>
    </row>
    <row r="78" spans="1:5" x14ac:dyDescent="0.25">
      <c r="A78" t="s">
        <v>93</v>
      </c>
      <c r="B78" t="s">
        <v>2344</v>
      </c>
      <c r="C78" t="s">
        <v>2385</v>
      </c>
      <c r="D78">
        <v>521</v>
      </c>
      <c r="E78" t="str">
        <f t="shared" si="1"/>
        <v>ia.assorted_string like '%521-07-2023%' or</v>
      </c>
    </row>
    <row r="79" spans="1:5" x14ac:dyDescent="0.25">
      <c r="A79" t="s">
        <v>94</v>
      </c>
      <c r="B79" t="s">
        <v>2338</v>
      </c>
      <c r="C79" t="s">
        <v>2385</v>
      </c>
      <c r="D79">
        <v>71255</v>
      </c>
      <c r="E79" t="str">
        <f t="shared" si="1"/>
        <v>ia.assorted_string like '%71255-05-2023%' or</v>
      </c>
    </row>
    <row r="80" spans="1:5" x14ac:dyDescent="0.25">
      <c r="A80" t="s">
        <v>95</v>
      </c>
      <c r="B80" t="s">
        <v>2344</v>
      </c>
      <c r="C80" t="s">
        <v>2385</v>
      </c>
      <c r="D80">
        <v>531</v>
      </c>
      <c r="E80" t="str">
        <f t="shared" si="1"/>
        <v>ia.assorted_string like '%531-07-2023%' or</v>
      </c>
    </row>
    <row r="81" spans="1:5" x14ac:dyDescent="0.25">
      <c r="A81" t="s">
        <v>96</v>
      </c>
      <c r="B81" t="s">
        <v>2338</v>
      </c>
      <c r="C81" t="s">
        <v>2385</v>
      </c>
      <c r="D81">
        <v>71256</v>
      </c>
      <c r="E81" t="str">
        <f t="shared" si="1"/>
        <v>ia.assorted_string like '%71256-05-2023%' or</v>
      </c>
    </row>
    <row r="82" spans="1:5" x14ac:dyDescent="0.25">
      <c r="A82" t="s">
        <v>97</v>
      </c>
      <c r="B82" t="s">
        <v>2344</v>
      </c>
      <c r="C82" t="s">
        <v>2385</v>
      </c>
      <c r="D82">
        <v>540</v>
      </c>
      <c r="E82" t="str">
        <f t="shared" si="1"/>
        <v>ia.assorted_string like '%540-07-2023%' or</v>
      </c>
    </row>
    <row r="83" spans="1:5" x14ac:dyDescent="0.25">
      <c r="A83" t="s">
        <v>98</v>
      </c>
      <c r="B83" t="s">
        <v>2338</v>
      </c>
      <c r="C83" t="s">
        <v>2385</v>
      </c>
      <c r="D83">
        <v>71471</v>
      </c>
      <c r="E83" t="str">
        <f t="shared" si="1"/>
        <v>ia.assorted_string like '%71471-05-2023%' or</v>
      </c>
    </row>
    <row r="84" spans="1:5" x14ac:dyDescent="0.25">
      <c r="A84" t="s">
        <v>99</v>
      </c>
      <c r="B84" t="s">
        <v>2344</v>
      </c>
      <c r="C84" t="s">
        <v>2385</v>
      </c>
      <c r="D84">
        <v>559</v>
      </c>
      <c r="E84" t="str">
        <f t="shared" si="1"/>
        <v>ia.assorted_string like '%559-07-2023%' or</v>
      </c>
    </row>
    <row r="85" spans="1:5" x14ac:dyDescent="0.25">
      <c r="A85" t="s">
        <v>100</v>
      </c>
      <c r="B85" t="s">
        <v>2345</v>
      </c>
      <c r="C85" t="s">
        <v>2385</v>
      </c>
      <c r="D85">
        <v>72188</v>
      </c>
      <c r="E85" t="str">
        <f t="shared" si="1"/>
        <v>ia.assorted_string like '%72188-06-2023%' or</v>
      </c>
    </row>
    <row r="86" spans="1:5" x14ac:dyDescent="0.25">
      <c r="A86" t="s">
        <v>101</v>
      </c>
      <c r="B86" t="s">
        <v>2344</v>
      </c>
      <c r="C86" t="s">
        <v>2385</v>
      </c>
      <c r="D86">
        <v>566</v>
      </c>
      <c r="E86" t="str">
        <f t="shared" si="1"/>
        <v>ia.assorted_string like '%566-07-2023%' or</v>
      </c>
    </row>
    <row r="87" spans="1:5" x14ac:dyDescent="0.25">
      <c r="A87" t="s">
        <v>102</v>
      </c>
      <c r="B87" t="s">
        <v>2345</v>
      </c>
      <c r="C87" t="s">
        <v>2385</v>
      </c>
      <c r="D87">
        <v>72194</v>
      </c>
      <c r="E87" t="str">
        <f t="shared" si="1"/>
        <v>ia.assorted_string like '%72194-06-2023%' or</v>
      </c>
    </row>
    <row r="88" spans="1:5" x14ac:dyDescent="0.25">
      <c r="A88" t="s">
        <v>103</v>
      </c>
      <c r="B88" t="s">
        <v>2344</v>
      </c>
      <c r="C88" t="s">
        <v>2385</v>
      </c>
      <c r="D88">
        <v>572</v>
      </c>
      <c r="E88" t="str">
        <f t="shared" si="1"/>
        <v>ia.assorted_string like '%572-07-2023%' or</v>
      </c>
    </row>
    <row r="89" spans="1:5" x14ac:dyDescent="0.25">
      <c r="A89" t="s">
        <v>104</v>
      </c>
      <c r="B89" t="s">
        <v>2345</v>
      </c>
      <c r="C89" t="s">
        <v>2385</v>
      </c>
      <c r="D89">
        <v>72210</v>
      </c>
      <c r="E89" t="str">
        <f t="shared" si="1"/>
        <v>ia.assorted_string like '%72210-06-2023%' or</v>
      </c>
    </row>
    <row r="90" spans="1:5" x14ac:dyDescent="0.25">
      <c r="A90" t="s">
        <v>105</v>
      </c>
      <c r="B90" t="s">
        <v>2344</v>
      </c>
      <c r="C90" t="s">
        <v>2385</v>
      </c>
      <c r="D90">
        <v>590</v>
      </c>
      <c r="E90" t="str">
        <f t="shared" si="1"/>
        <v>ia.assorted_string like '%590-07-2023%' or</v>
      </c>
    </row>
    <row r="91" spans="1:5" x14ac:dyDescent="0.25">
      <c r="A91" t="s">
        <v>106</v>
      </c>
      <c r="B91" t="s">
        <v>2345</v>
      </c>
      <c r="C91" t="s">
        <v>2385</v>
      </c>
      <c r="D91">
        <v>72229</v>
      </c>
      <c r="E91" t="str">
        <f t="shared" si="1"/>
        <v>ia.assorted_string like '%72229-06-2023%' or</v>
      </c>
    </row>
    <row r="92" spans="1:5" x14ac:dyDescent="0.25">
      <c r="A92" t="s">
        <v>107</v>
      </c>
      <c r="B92" t="s">
        <v>2344</v>
      </c>
      <c r="C92" t="s">
        <v>2385</v>
      </c>
      <c r="D92">
        <v>599</v>
      </c>
      <c r="E92" t="str">
        <f t="shared" si="1"/>
        <v>ia.assorted_string like '%599-07-2023%' or</v>
      </c>
    </row>
    <row r="93" spans="1:5" x14ac:dyDescent="0.25">
      <c r="A93" t="s">
        <v>108</v>
      </c>
      <c r="B93" t="s">
        <v>2350</v>
      </c>
      <c r="C93" t="s">
        <v>2385</v>
      </c>
      <c r="D93">
        <v>38848</v>
      </c>
      <c r="E93" t="str">
        <f t="shared" si="1"/>
        <v>ia.assorted_string like '%38848-01-2023%' or</v>
      </c>
    </row>
    <row r="94" spans="1:5" x14ac:dyDescent="0.25">
      <c r="A94" t="s">
        <v>109</v>
      </c>
      <c r="B94" t="s">
        <v>2344</v>
      </c>
      <c r="C94" t="s">
        <v>2385</v>
      </c>
      <c r="D94">
        <v>601</v>
      </c>
      <c r="E94" t="str">
        <f t="shared" si="1"/>
        <v>ia.assorted_string like '%601-07-2023%' or</v>
      </c>
    </row>
    <row r="95" spans="1:5" x14ac:dyDescent="0.25">
      <c r="A95" t="s">
        <v>110</v>
      </c>
      <c r="B95" t="s">
        <v>2359</v>
      </c>
      <c r="C95" t="s">
        <v>2385</v>
      </c>
      <c r="D95">
        <v>82952</v>
      </c>
      <c r="E95" t="str">
        <f t="shared" si="1"/>
        <v>ia.assorted_string like '%82952-02-2024%' or</v>
      </c>
    </row>
    <row r="96" spans="1:5" x14ac:dyDescent="0.25">
      <c r="A96" t="s">
        <v>111</v>
      </c>
      <c r="B96" t="s">
        <v>2344</v>
      </c>
      <c r="C96" t="s">
        <v>2385</v>
      </c>
      <c r="D96">
        <v>627</v>
      </c>
      <c r="E96" t="str">
        <f t="shared" si="1"/>
        <v>ia.assorted_string like '%627-07-2023%' or</v>
      </c>
    </row>
    <row r="97" spans="1:5" x14ac:dyDescent="0.25">
      <c r="A97" t="s">
        <v>112</v>
      </c>
      <c r="B97" t="s">
        <v>2359</v>
      </c>
      <c r="C97" t="s">
        <v>2385</v>
      </c>
      <c r="D97">
        <v>83643</v>
      </c>
      <c r="E97" t="str">
        <f t="shared" si="1"/>
        <v>ia.assorted_string like '%83643-02-2024%' or</v>
      </c>
    </row>
    <row r="98" spans="1:5" x14ac:dyDescent="0.25">
      <c r="A98" t="s">
        <v>113</v>
      </c>
      <c r="B98" t="s">
        <v>2354</v>
      </c>
      <c r="C98" t="s">
        <v>2385</v>
      </c>
      <c r="D98">
        <v>19493</v>
      </c>
      <c r="E98" t="str">
        <f t="shared" si="1"/>
        <v>ia.assorted_string like '%19493-08-2023%' or</v>
      </c>
    </row>
    <row r="99" spans="1:5" x14ac:dyDescent="0.25">
      <c r="A99" t="s">
        <v>114</v>
      </c>
      <c r="B99" t="s">
        <v>2359</v>
      </c>
      <c r="C99" t="s">
        <v>2385</v>
      </c>
      <c r="D99">
        <v>83656</v>
      </c>
      <c r="E99" t="str">
        <f t="shared" si="1"/>
        <v>ia.assorted_string like '%83656-02-2024%' or</v>
      </c>
    </row>
    <row r="100" spans="1:5" x14ac:dyDescent="0.25">
      <c r="A100" t="s">
        <v>115</v>
      </c>
      <c r="B100" t="s">
        <v>2344</v>
      </c>
      <c r="C100" t="s">
        <v>2385</v>
      </c>
      <c r="D100">
        <v>657</v>
      </c>
      <c r="E100" t="str">
        <f t="shared" si="1"/>
        <v>ia.assorted_string like '%657-07-2023%' or</v>
      </c>
    </row>
    <row r="101" spans="1:5" x14ac:dyDescent="0.25">
      <c r="A101" t="s">
        <v>116</v>
      </c>
      <c r="B101" t="s">
        <v>2359</v>
      </c>
      <c r="C101" t="s">
        <v>2385</v>
      </c>
      <c r="D101">
        <v>83718</v>
      </c>
      <c r="E101" t="str">
        <f t="shared" si="1"/>
        <v>ia.assorted_string like '%83718-02-2024%' or</v>
      </c>
    </row>
    <row r="102" spans="1:5" x14ac:dyDescent="0.25">
      <c r="A102" t="s">
        <v>117</v>
      </c>
      <c r="B102" t="s">
        <v>2350</v>
      </c>
      <c r="C102" t="s">
        <v>2385</v>
      </c>
      <c r="D102">
        <v>38743</v>
      </c>
      <c r="E102" t="str">
        <f t="shared" si="1"/>
        <v>ia.assorted_string like '%38743-01-2023%' or</v>
      </c>
    </row>
    <row r="103" spans="1:5" x14ac:dyDescent="0.25">
      <c r="A103" t="s">
        <v>118</v>
      </c>
      <c r="B103" t="s">
        <v>2359</v>
      </c>
      <c r="C103" t="s">
        <v>2385</v>
      </c>
      <c r="D103">
        <v>83922</v>
      </c>
      <c r="E103" t="str">
        <f t="shared" si="1"/>
        <v>ia.assorted_string like '%83922-02-2024%' or</v>
      </c>
    </row>
    <row r="104" spans="1:5" x14ac:dyDescent="0.25">
      <c r="A104" t="s">
        <v>119</v>
      </c>
      <c r="B104" t="s">
        <v>2350</v>
      </c>
      <c r="C104" t="s">
        <v>2385</v>
      </c>
      <c r="D104">
        <v>38875</v>
      </c>
      <c r="E104" t="str">
        <f t="shared" si="1"/>
        <v>ia.assorted_string like '%38875-01-2023%' or</v>
      </c>
    </row>
    <row r="105" spans="1:5" x14ac:dyDescent="0.25">
      <c r="A105" t="s">
        <v>120</v>
      </c>
      <c r="B105" t="s">
        <v>2359</v>
      </c>
      <c r="C105" t="s">
        <v>2385</v>
      </c>
      <c r="D105">
        <v>83938</v>
      </c>
      <c r="E105" t="str">
        <f t="shared" si="1"/>
        <v>ia.assorted_string like '%83938-02-2024%' or</v>
      </c>
    </row>
    <row r="106" spans="1:5" x14ac:dyDescent="0.25">
      <c r="A106" t="s">
        <v>121</v>
      </c>
      <c r="B106" t="s">
        <v>2343</v>
      </c>
      <c r="C106" t="s">
        <v>2385</v>
      </c>
      <c r="D106">
        <v>42807</v>
      </c>
      <c r="E106" t="str">
        <f t="shared" si="1"/>
        <v>ia.assorted_string like '%42807-06-2024%' or</v>
      </c>
    </row>
    <row r="107" spans="1:5" x14ac:dyDescent="0.25">
      <c r="A107" t="s">
        <v>122</v>
      </c>
      <c r="B107" t="s">
        <v>2359</v>
      </c>
      <c r="C107" t="s">
        <v>2385</v>
      </c>
      <c r="D107">
        <v>83946</v>
      </c>
      <c r="E107" t="str">
        <f t="shared" si="1"/>
        <v>ia.assorted_string like '%83946-02-2024%' or</v>
      </c>
    </row>
    <row r="108" spans="1:5" x14ac:dyDescent="0.25">
      <c r="A108" t="s">
        <v>123</v>
      </c>
      <c r="B108" t="s">
        <v>2343</v>
      </c>
      <c r="C108" t="s">
        <v>2385</v>
      </c>
      <c r="D108">
        <v>42822</v>
      </c>
      <c r="E108" t="str">
        <f t="shared" si="1"/>
        <v>ia.assorted_string like '%42822-06-2024%' or</v>
      </c>
    </row>
    <row r="109" spans="1:5" x14ac:dyDescent="0.25">
      <c r="A109" t="s">
        <v>124</v>
      </c>
      <c r="B109" t="s">
        <v>2354</v>
      </c>
      <c r="C109" t="s">
        <v>2385</v>
      </c>
      <c r="D109">
        <v>1006</v>
      </c>
      <c r="E109" t="str">
        <f t="shared" si="1"/>
        <v>ia.assorted_string like '%1006-08-2023%' or</v>
      </c>
    </row>
    <row r="110" spans="1:5" x14ac:dyDescent="0.25">
      <c r="A110" t="s">
        <v>125</v>
      </c>
      <c r="B110" t="s">
        <v>2343</v>
      </c>
      <c r="C110" t="s">
        <v>2385</v>
      </c>
      <c r="D110">
        <v>42922</v>
      </c>
      <c r="E110" t="str">
        <f t="shared" si="1"/>
        <v>ia.assorted_string like '%42922-06-2024%' or</v>
      </c>
    </row>
    <row r="111" spans="1:5" x14ac:dyDescent="0.25">
      <c r="A111" t="s">
        <v>126</v>
      </c>
      <c r="B111" t="s">
        <v>2360</v>
      </c>
      <c r="C111" t="s">
        <v>2385</v>
      </c>
      <c r="D111">
        <v>812</v>
      </c>
      <c r="E111" t="str">
        <f t="shared" si="1"/>
        <v>ia.assorted_string like '%812-09-2022%' or</v>
      </c>
    </row>
    <row r="112" spans="1:5" x14ac:dyDescent="0.25">
      <c r="A112" t="s">
        <v>127</v>
      </c>
      <c r="B112" t="s">
        <v>2361</v>
      </c>
      <c r="C112" t="s">
        <v>2385</v>
      </c>
      <c r="D112">
        <v>2373</v>
      </c>
      <c r="E112" t="str">
        <f t="shared" si="1"/>
        <v>ia.assorted_string like '%2373-01-2024%' or</v>
      </c>
    </row>
    <row r="113" spans="1:5" x14ac:dyDescent="0.25">
      <c r="A113" t="s">
        <v>128</v>
      </c>
      <c r="B113" t="s">
        <v>2336</v>
      </c>
      <c r="C113" t="s">
        <v>2385</v>
      </c>
      <c r="D113">
        <v>921</v>
      </c>
      <c r="E113" t="str">
        <f t="shared" si="1"/>
        <v>ia.assorted_string like '%921-03-2023%' or</v>
      </c>
    </row>
    <row r="114" spans="1:5" x14ac:dyDescent="0.25">
      <c r="A114" t="s">
        <v>129</v>
      </c>
      <c r="B114" t="s">
        <v>2344</v>
      </c>
      <c r="C114" t="s">
        <v>2385</v>
      </c>
      <c r="D114">
        <v>536</v>
      </c>
      <c r="E114" t="str">
        <f t="shared" si="1"/>
        <v>ia.assorted_string like '%536-07-2023%' or</v>
      </c>
    </row>
    <row r="115" spans="1:5" x14ac:dyDescent="0.25">
      <c r="A115" t="s">
        <v>130</v>
      </c>
      <c r="B115" t="s">
        <v>2356</v>
      </c>
      <c r="C115" t="s">
        <v>2385</v>
      </c>
      <c r="D115">
        <v>952</v>
      </c>
      <c r="E115" t="str">
        <f t="shared" si="1"/>
        <v>ia.assorted_string like '%952-04-2023%' or</v>
      </c>
    </row>
    <row r="116" spans="1:5" x14ac:dyDescent="0.25">
      <c r="A116" t="s">
        <v>131</v>
      </c>
      <c r="B116" t="s">
        <v>2344</v>
      </c>
      <c r="C116" t="s">
        <v>2385</v>
      </c>
      <c r="D116">
        <v>563</v>
      </c>
      <c r="E116" t="str">
        <f t="shared" si="1"/>
        <v>ia.assorted_string like '%563-07-2023%' or</v>
      </c>
    </row>
    <row r="117" spans="1:5" x14ac:dyDescent="0.25">
      <c r="A117" t="s">
        <v>132</v>
      </c>
      <c r="B117" t="s">
        <v>2362</v>
      </c>
      <c r="C117" t="s">
        <v>2385</v>
      </c>
      <c r="D117">
        <v>753</v>
      </c>
      <c r="E117" t="str">
        <f t="shared" si="1"/>
        <v>ia.assorted_string like '%753-02-2022%' or</v>
      </c>
    </row>
    <row r="118" spans="1:5" x14ac:dyDescent="0.25">
      <c r="A118" t="s">
        <v>133</v>
      </c>
      <c r="B118" t="s">
        <v>2344</v>
      </c>
      <c r="C118" t="s">
        <v>2385</v>
      </c>
      <c r="D118">
        <v>578</v>
      </c>
      <c r="E118" t="str">
        <f t="shared" si="1"/>
        <v>ia.assorted_string like '%578-07-2023%' or</v>
      </c>
    </row>
    <row r="119" spans="1:5" x14ac:dyDescent="0.25">
      <c r="A119" t="s">
        <v>134</v>
      </c>
      <c r="B119" t="s">
        <v>2358</v>
      </c>
      <c r="C119" t="s">
        <v>2385</v>
      </c>
      <c r="D119">
        <v>837</v>
      </c>
      <c r="E119" t="str">
        <f t="shared" si="1"/>
        <v>ia.assorted_string like '%837-10-2022%' or</v>
      </c>
    </row>
    <row r="120" spans="1:5" x14ac:dyDescent="0.25">
      <c r="A120" t="s">
        <v>135</v>
      </c>
      <c r="B120" t="s">
        <v>2344</v>
      </c>
      <c r="C120" t="s">
        <v>2385</v>
      </c>
      <c r="D120">
        <v>600</v>
      </c>
      <c r="E120" t="str">
        <f t="shared" si="1"/>
        <v>ia.assorted_string like '%600-07-2023%' or</v>
      </c>
    </row>
    <row r="121" spans="1:5" x14ac:dyDescent="0.25">
      <c r="A121" t="s">
        <v>136</v>
      </c>
      <c r="B121" t="s">
        <v>2337</v>
      </c>
      <c r="C121" t="s">
        <v>2385</v>
      </c>
      <c r="D121">
        <v>880</v>
      </c>
      <c r="E121" t="str">
        <f t="shared" si="1"/>
        <v>ia.assorted_string like '%880-02-2023%' or</v>
      </c>
    </row>
    <row r="122" spans="1:5" x14ac:dyDescent="0.25">
      <c r="A122" t="s">
        <v>137</v>
      </c>
      <c r="B122" t="s">
        <v>2344</v>
      </c>
      <c r="C122" t="s">
        <v>2385</v>
      </c>
      <c r="D122">
        <v>632</v>
      </c>
      <c r="E122" t="str">
        <f t="shared" si="1"/>
        <v>ia.assorted_string like '%632-07-2023%' or</v>
      </c>
    </row>
    <row r="123" spans="1:5" x14ac:dyDescent="0.25">
      <c r="A123" t="s">
        <v>138</v>
      </c>
      <c r="B123" t="s">
        <v>2336</v>
      </c>
      <c r="C123" t="s">
        <v>2385</v>
      </c>
      <c r="D123">
        <v>899</v>
      </c>
      <c r="E123" t="str">
        <f t="shared" si="1"/>
        <v>ia.assorted_string like '%899-03-2023%' or</v>
      </c>
    </row>
    <row r="124" spans="1:5" x14ac:dyDescent="0.25">
      <c r="A124" t="s">
        <v>139</v>
      </c>
      <c r="B124" t="s">
        <v>2344</v>
      </c>
      <c r="C124" t="s">
        <v>2385</v>
      </c>
      <c r="D124">
        <v>671</v>
      </c>
      <c r="E124" t="str">
        <f t="shared" si="1"/>
        <v>ia.assorted_string like '%671-07-2023%' or</v>
      </c>
    </row>
    <row r="125" spans="1:5" x14ac:dyDescent="0.25">
      <c r="A125" t="s">
        <v>140</v>
      </c>
      <c r="B125" t="s">
        <v>2338</v>
      </c>
      <c r="C125" t="s">
        <v>2385</v>
      </c>
      <c r="D125">
        <v>972</v>
      </c>
      <c r="E125" t="str">
        <f t="shared" si="1"/>
        <v>ia.assorted_string like '%972-05-2023%' or</v>
      </c>
    </row>
    <row r="126" spans="1:5" x14ac:dyDescent="0.25">
      <c r="A126" t="s">
        <v>141</v>
      </c>
      <c r="B126" t="s">
        <v>2350</v>
      </c>
      <c r="C126" t="s">
        <v>2385</v>
      </c>
      <c r="D126">
        <v>38671</v>
      </c>
      <c r="E126" t="str">
        <f t="shared" si="1"/>
        <v>ia.assorted_string like '%38671-01-2023%' or</v>
      </c>
    </row>
    <row r="127" spans="1:5" x14ac:dyDescent="0.25">
      <c r="A127" t="s">
        <v>142</v>
      </c>
      <c r="B127" t="s">
        <v>2363</v>
      </c>
      <c r="C127" t="s">
        <v>2385</v>
      </c>
      <c r="D127">
        <v>13805</v>
      </c>
      <c r="E127" t="str">
        <f t="shared" si="1"/>
        <v>ia.assorted_string like '%13805-04-2022%' or</v>
      </c>
    </row>
    <row r="128" spans="1:5" x14ac:dyDescent="0.25">
      <c r="A128" t="s">
        <v>143</v>
      </c>
      <c r="B128" t="s">
        <v>2343</v>
      </c>
      <c r="C128" t="s">
        <v>2385</v>
      </c>
      <c r="D128">
        <v>42854</v>
      </c>
      <c r="E128" t="str">
        <f t="shared" si="1"/>
        <v>ia.assorted_string like '%42854-06-2024%' or</v>
      </c>
    </row>
    <row r="129" spans="1:5" x14ac:dyDescent="0.25">
      <c r="A129" t="s">
        <v>144</v>
      </c>
      <c r="B129" t="s">
        <v>2335</v>
      </c>
      <c r="C129" t="s">
        <v>2385</v>
      </c>
      <c r="D129">
        <v>15074</v>
      </c>
      <c r="E129" t="str">
        <f t="shared" si="1"/>
        <v>ia.assorted_string like '%15074-07-2022%' or</v>
      </c>
    </row>
    <row r="130" spans="1:5" x14ac:dyDescent="0.25">
      <c r="A130" t="s">
        <v>145</v>
      </c>
      <c r="B130" t="s">
        <v>2344</v>
      </c>
      <c r="C130" t="s">
        <v>2385</v>
      </c>
      <c r="D130">
        <v>527</v>
      </c>
      <c r="E130" t="str">
        <f t="shared" si="1"/>
        <v>ia.assorted_string like '%527-07-2023%' or</v>
      </c>
    </row>
    <row r="131" spans="1:5" x14ac:dyDescent="0.25">
      <c r="A131" t="s">
        <v>146</v>
      </c>
      <c r="B131" t="s">
        <v>2358</v>
      </c>
      <c r="C131" t="s">
        <v>2385</v>
      </c>
      <c r="D131">
        <v>16296</v>
      </c>
      <c r="E131" t="str">
        <f t="shared" ref="E131:E194" si="2">"ia.assorted_string like '%"&amp;D131&amp;B131&amp;"%' or"</f>
        <v>ia.assorted_string like '%16296-10-2022%' or</v>
      </c>
    </row>
    <row r="132" spans="1:5" x14ac:dyDescent="0.25">
      <c r="A132" t="s">
        <v>147</v>
      </c>
      <c r="B132" t="s">
        <v>2344</v>
      </c>
      <c r="C132" t="s">
        <v>2385</v>
      </c>
      <c r="D132">
        <v>570</v>
      </c>
      <c r="E132" t="str">
        <f t="shared" si="2"/>
        <v>ia.assorted_string like '%570-07-2023%' or</v>
      </c>
    </row>
    <row r="133" spans="1:5" x14ac:dyDescent="0.25">
      <c r="A133" t="s">
        <v>148</v>
      </c>
      <c r="B133" t="s">
        <v>2358</v>
      </c>
      <c r="C133" t="s">
        <v>2385</v>
      </c>
      <c r="D133">
        <v>16302</v>
      </c>
      <c r="E133" t="str">
        <f t="shared" si="2"/>
        <v>ia.assorted_string like '%16302-10-2022%' or</v>
      </c>
    </row>
    <row r="134" spans="1:5" x14ac:dyDescent="0.25">
      <c r="A134" t="s">
        <v>149</v>
      </c>
      <c r="B134" t="s">
        <v>2344</v>
      </c>
      <c r="C134" t="s">
        <v>2385</v>
      </c>
      <c r="D134">
        <v>621</v>
      </c>
      <c r="E134" t="str">
        <f t="shared" si="2"/>
        <v>ia.assorted_string like '%621-07-2023%' or</v>
      </c>
    </row>
    <row r="135" spans="1:5" x14ac:dyDescent="0.25">
      <c r="A135" t="s">
        <v>150</v>
      </c>
      <c r="B135" t="s">
        <v>2353</v>
      </c>
      <c r="C135" t="s">
        <v>2385</v>
      </c>
      <c r="D135">
        <v>16640</v>
      </c>
      <c r="E135" t="str">
        <f t="shared" si="2"/>
        <v>ia.assorted_string like '%16640-11-2022%' or</v>
      </c>
    </row>
    <row r="136" spans="1:5" x14ac:dyDescent="0.25">
      <c r="A136" t="s">
        <v>151</v>
      </c>
      <c r="B136" t="s">
        <v>2350</v>
      </c>
      <c r="C136" t="s">
        <v>2385</v>
      </c>
      <c r="D136">
        <v>38744</v>
      </c>
      <c r="E136" t="str">
        <f t="shared" si="2"/>
        <v>ia.assorted_string like '%38744-01-2023%' or</v>
      </c>
    </row>
    <row r="137" spans="1:5" x14ac:dyDescent="0.25">
      <c r="A137" t="s">
        <v>152</v>
      </c>
      <c r="B137" t="s">
        <v>2353</v>
      </c>
      <c r="C137" t="s">
        <v>2385</v>
      </c>
      <c r="D137">
        <v>16836</v>
      </c>
      <c r="E137" t="str">
        <f t="shared" si="2"/>
        <v>ia.assorted_string like '%16836-11-2022%' or</v>
      </c>
    </row>
    <row r="138" spans="1:5" x14ac:dyDescent="0.25">
      <c r="A138" t="s">
        <v>153</v>
      </c>
      <c r="B138" t="s">
        <v>2343</v>
      </c>
      <c r="C138" t="s">
        <v>2385</v>
      </c>
      <c r="D138">
        <v>42955</v>
      </c>
      <c r="E138" t="str">
        <f t="shared" si="2"/>
        <v>ia.assorted_string like '%42955-06-2024%' or</v>
      </c>
    </row>
    <row r="139" spans="1:5" x14ac:dyDescent="0.25">
      <c r="A139" t="s">
        <v>154</v>
      </c>
      <c r="B139" t="s">
        <v>2337</v>
      </c>
      <c r="C139" t="s">
        <v>2385</v>
      </c>
      <c r="D139">
        <v>17566</v>
      </c>
      <c r="E139" t="str">
        <f t="shared" si="2"/>
        <v>ia.assorted_string like '%17566-02-2023%' or</v>
      </c>
    </row>
    <row r="140" spans="1:5" x14ac:dyDescent="0.25">
      <c r="A140" t="s">
        <v>155</v>
      </c>
      <c r="B140" t="s">
        <v>2344</v>
      </c>
      <c r="C140" t="s">
        <v>2385</v>
      </c>
      <c r="D140">
        <v>591</v>
      </c>
      <c r="E140" t="str">
        <f t="shared" si="2"/>
        <v>ia.assorted_string like '%591-07-2023%' or</v>
      </c>
    </row>
    <row r="141" spans="1:5" x14ac:dyDescent="0.25">
      <c r="A141" t="s">
        <v>156</v>
      </c>
      <c r="B141" t="s">
        <v>2336</v>
      </c>
      <c r="C141" t="s">
        <v>2385</v>
      </c>
      <c r="D141">
        <v>17895</v>
      </c>
      <c r="E141" t="str">
        <f t="shared" si="2"/>
        <v>ia.assorted_string like '%17895-03-2023%' or</v>
      </c>
    </row>
    <row r="142" spans="1:5" x14ac:dyDescent="0.25">
      <c r="A142" t="s">
        <v>157</v>
      </c>
      <c r="B142" t="s">
        <v>2343</v>
      </c>
      <c r="C142" t="s">
        <v>2385</v>
      </c>
      <c r="D142">
        <v>42817</v>
      </c>
      <c r="E142" t="str">
        <f t="shared" si="2"/>
        <v>ia.assorted_string like '%42817-06-2024%' or</v>
      </c>
    </row>
    <row r="143" spans="1:5" x14ac:dyDescent="0.25">
      <c r="A143" t="s">
        <v>158</v>
      </c>
      <c r="B143" t="s">
        <v>2336</v>
      </c>
      <c r="C143" t="s">
        <v>2385</v>
      </c>
      <c r="D143">
        <v>17897</v>
      </c>
      <c r="E143" t="str">
        <f t="shared" si="2"/>
        <v>ia.assorted_string like '%17897-03-2023%' or</v>
      </c>
    </row>
    <row r="144" spans="1:5" x14ac:dyDescent="0.25">
      <c r="A144" t="s">
        <v>159</v>
      </c>
      <c r="B144" t="s">
        <v>2344</v>
      </c>
      <c r="C144" t="s">
        <v>2385</v>
      </c>
      <c r="D144">
        <v>656</v>
      </c>
      <c r="E144" t="str">
        <f t="shared" si="2"/>
        <v>ia.assorted_string like '%656-07-2023%' or</v>
      </c>
    </row>
    <row r="145" spans="1:5" x14ac:dyDescent="0.25">
      <c r="A145" t="s">
        <v>160</v>
      </c>
      <c r="B145" t="s">
        <v>2336</v>
      </c>
      <c r="C145" t="s">
        <v>2385</v>
      </c>
      <c r="D145">
        <v>17957</v>
      </c>
      <c r="E145" t="str">
        <f t="shared" si="2"/>
        <v>ia.assorted_string like '%17957-03-2023%' or</v>
      </c>
    </row>
    <row r="146" spans="1:5" x14ac:dyDescent="0.25">
      <c r="A146" t="s">
        <v>161</v>
      </c>
      <c r="B146" t="s">
        <v>2344</v>
      </c>
      <c r="C146" t="s">
        <v>2385</v>
      </c>
      <c r="D146">
        <v>553</v>
      </c>
      <c r="E146" t="str">
        <f t="shared" si="2"/>
        <v>ia.assorted_string like '%553-07-2023%' or</v>
      </c>
    </row>
    <row r="147" spans="1:5" x14ac:dyDescent="0.25">
      <c r="A147" t="s">
        <v>162</v>
      </c>
      <c r="B147" t="s">
        <v>2336</v>
      </c>
      <c r="C147" t="s">
        <v>2385</v>
      </c>
      <c r="D147">
        <v>18009</v>
      </c>
      <c r="E147" t="str">
        <f t="shared" si="2"/>
        <v>ia.assorted_string like '%18009-03-2023%' or</v>
      </c>
    </row>
    <row r="148" spans="1:5" x14ac:dyDescent="0.25">
      <c r="A148" t="s">
        <v>163</v>
      </c>
      <c r="B148" t="s">
        <v>2336</v>
      </c>
      <c r="C148" t="s">
        <v>2385</v>
      </c>
      <c r="D148">
        <v>17986</v>
      </c>
      <c r="E148" t="str">
        <f t="shared" si="2"/>
        <v>ia.assorted_string like '%17986-03-2023%' or</v>
      </c>
    </row>
    <row r="149" spans="1:5" x14ac:dyDescent="0.25">
      <c r="A149" t="s">
        <v>164</v>
      </c>
      <c r="B149" t="s">
        <v>2336</v>
      </c>
      <c r="C149" t="s">
        <v>2385</v>
      </c>
      <c r="D149">
        <v>18015</v>
      </c>
      <c r="E149" t="str">
        <f t="shared" si="2"/>
        <v>ia.assorted_string like '%18015-03-2023%' or</v>
      </c>
    </row>
    <row r="150" spans="1:5" x14ac:dyDescent="0.25">
      <c r="A150" t="s">
        <v>165</v>
      </c>
      <c r="B150" t="s">
        <v>2336</v>
      </c>
      <c r="C150" t="s">
        <v>2385</v>
      </c>
      <c r="D150">
        <v>18006</v>
      </c>
      <c r="E150" t="str">
        <f t="shared" si="2"/>
        <v>ia.assorted_string like '%18006-03-2023%' or</v>
      </c>
    </row>
    <row r="151" spans="1:5" x14ac:dyDescent="0.25">
      <c r="A151" t="s">
        <v>166</v>
      </c>
      <c r="B151" t="s">
        <v>2337</v>
      </c>
      <c r="C151" t="s">
        <v>2385</v>
      </c>
      <c r="D151">
        <v>39059</v>
      </c>
      <c r="E151" t="str">
        <f t="shared" si="2"/>
        <v>ia.assorted_string like '%39059-02-2023%' or</v>
      </c>
    </row>
    <row r="152" spans="1:5" x14ac:dyDescent="0.25">
      <c r="A152" t="s">
        <v>167</v>
      </c>
      <c r="B152" t="s">
        <v>2336</v>
      </c>
      <c r="C152" t="s">
        <v>2385</v>
      </c>
      <c r="D152">
        <v>18014</v>
      </c>
      <c r="E152" t="str">
        <f t="shared" si="2"/>
        <v>ia.assorted_string like '%18014-03-2023%' or</v>
      </c>
    </row>
    <row r="153" spans="1:5" x14ac:dyDescent="0.25">
      <c r="A153" t="s">
        <v>168</v>
      </c>
      <c r="B153" t="s">
        <v>2364</v>
      </c>
      <c r="C153" t="s">
        <v>2385</v>
      </c>
      <c r="D153">
        <v>13250</v>
      </c>
      <c r="E153" t="str">
        <f t="shared" si="2"/>
        <v>ia.assorted_string like '%13250-12-2021%' or</v>
      </c>
    </row>
    <row r="154" spans="1:5" x14ac:dyDescent="0.25">
      <c r="A154" t="s">
        <v>169</v>
      </c>
      <c r="B154" t="s">
        <v>2336</v>
      </c>
      <c r="C154" t="s">
        <v>2385</v>
      </c>
      <c r="D154">
        <v>18211</v>
      </c>
      <c r="E154" t="str">
        <f t="shared" si="2"/>
        <v>ia.assorted_string like '%18211-03-2023%' or</v>
      </c>
    </row>
    <row r="155" spans="1:5" x14ac:dyDescent="0.25">
      <c r="A155" t="s">
        <v>170</v>
      </c>
      <c r="B155" t="s">
        <v>2365</v>
      </c>
      <c r="C155" t="s">
        <v>2385</v>
      </c>
      <c r="D155">
        <v>13731</v>
      </c>
      <c r="E155" t="str">
        <f t="shared" si="2"/>
        <v>ia.assorted_string like '%13731-03-2022%' or</v>
      </c>
    </row>
    <row r="156" spans="1:5" x14ac:dyDescent="0.25">
      <c r="A156" t="s">
        <v>171</v>
      </c>
      <c r="B156" t="s">
        <v>2356</v>
      </c>
      <c r="C156" t="s">
        <v>2385</v>
      </c>
      <c r="D156">
        <v>18248</v>
      </c>
      <c r="E156" t="str">
        <f t="shared" si="2"/>
        <v>ia.assorted_string like '%18248-04-2023%' or</v>
      </c>
    </row>
    <row r="157" spans="1:5" x14ac:dyDescent="0.25">
      <c r="A157" t="s">
        <v>172</v>
      </c>
      <c r="B157" t="s">
        <v>2351</v>
      </c>
      <c r="C157" t="s">
        <v>2385</v>
      </c>
      <c r="D157">
        <v>15258</v>
      </c>
      <c r="E157" t="str">
        <f t="shared" si="2"/>
        <v>ia.assorted_string like '%15258-08-2022%' or</v>
      </c>
    </row>
    <row r="158" spans="1:5" x14ac:dyDescent="0.25">
      <c r="A158" t="s">
        <v>173</v>
      </c>
      <c r="B158" t="s">
        <v>2356</v>
      </c>
      <c r="C158" t="s">
        <v>2385</v>
      </c>
      <c r="D158">
        <v>18250</v>
      </c>
      <c r="E158" t="str">
        <f t="shared" si="2"/>
        <v>ia.assorted_string like '%18250-04-2023%' or</v>
      </c>
    </row>
    <row r="159" spans="1:5" x14ac:dyDescent="0.25">
      <c r="A159" t="s">
        <v>174</v>
      </c>
      <c r="B159" t="s">
        <v>2360</v>
      </c>
      <c r="C159" t="s">
        <v>2385</v>
      </c>
      <c r="D159">
        <v>15829</v>
      </c>
      <c r="E159" t="str">
        <f t="shared" si="2"/>
        <v>ia.assorted_string like '%15829-09-2022%' or</v>
      </c>
    </row>
    <row r="160" spans="1:5" x14ac:dyDescent="0.25">
      <c r="A160" t="s">
        <v>175</v>
      </c>
      <c r="B160" t="s">
        <v>2356</v>
      </c>
      <c r="C160" t="s">
        <v>2385</v>
      </c>
      <c r="D160">
        <v>18254</v>
      </c>
      <c r="E160" t="str">
        <f t="shared" si="2"/>
        <v>ia.assorted_string like '%18254-04-2023%' or</v>
      </c>
    </row>
    <row r="161" spans="1:5" x14ac:dyDescent="0.25">
      <c r="A161" t="s">
        <v>176</v>
      </c>
      <c r="B161" t="s">
        <v>2360</v>
      </c>
      <c r="C161" t="s">
        <v>2385</v>
      </c>
      <c r="D161">
        <v>15911</v>
      </c>
      <c r="E161" t="str">
        <f t="shared" si="2"/>
        <v>ia.assorted_string like '%15911-09-2022%' or</v>
      </c>
    </row>
    <row r="162" spans="1:5" x14ac:dyDescent="0.25">
      <c r="A162" t="s">
        <v>177</v>
      </c>
      <c r="B162" t="s">
        <v>2356</v>
      </c>
      <c r="C162" t="s">
        <v>2385</v>
      </c>
      <c r="D162">
        <v>18269</v>
      </c>
      <c r="E162" t="str">
        <f t="shared" si="2"/>
        <v>ia.assorted_string like '%18269-04-2023%' or</v>
      </c>
    </row>
    <row r="163" spans="1:5" x14ac:dyDescent="0.25">
      <c r="A163" t="s">
        <v>178</v>
      </c>
      <c r="B163" t="s">
        <v>2360</v>
      </c>
      <c r="C163" t="s">
        <v>2385</v>
      </c>
      <c r="D163">
        <v>16120</v>
      </c>
      <c r="E163" t="str">
        <f t="shared" si="2"/>
        <v>ia.assorted_string like '%16120-09-2022%' or</v>
      </c>
    </row>
    <row r="164" spans="1:5" x14ac:dyDescent="0.25">
      <c r="A164" t="s">
        <v>179</v>
      </c>
      <c r="B164" t="s">
        <v>2356</v>
      </c>
      <c r="C164" t="s">
        <v>2385</v>
      </c>
      <c r="D164">
        <v>18282</v>
      </c>
      <c r="E164" t="str">
        <f t="shared" si="2"/>
        <v>ia.assorted_string like '%18282-04-2023%' or</v>
      </c>
    </row>
    <row r="165" spans="1:5" x14ac:dyDescent="0.25">
      <c r="A165" t="s">
        <v>180</v>
      </c>
      <c r="B165" t="s">
        <v>2360</v>
      </c>
      <c r="C165" t="s">
        <v>2385</v>
      </c>
      <c r="D165">
        <v>16144</v>
      </c>
      <c r="E165" t="str">
        <f t="shared" si="2"/>
        <v>ia.assorted_string like '%16144-09-2022%' or</v>
      </c>
    </row>
    <row r="166" spans="1:5" x14ac:dyDescent="0.25">
      <c r="A166" t="s">
        <v>181</v>
      </c>
      <c r="B166" t="s">
        <v>2356</v>
      </c>
      <c r="C166" t="s">
        <v>2385</v>
      </c>
      <c r="D166">
        <v>18285</v>
      </c>
      <c r="E166" t="str">
        <f t="shared" si="2"/>
        <v>ia.assorted_string like '%18285-04-2023%' or</v>
      </c>
    </row>
    <row r="167" spans="1:5" x14ac:dyDescent="0.25">
      <c r="A167" t="s">
        <v>182</v>
      </c>
      <c r="B167" t="s">
        <v>2353</v>
      </c>
      <c r="C167" t="s">
        <v>2385</v>
      </c>
      <c r="D167">
        <v>16596</v>
      </c>
      <c r="E167" t="str">
        <f t="shared" si="2"/>
        <v>ia.assorted_string like '%16596-11-2022%' or</v>
      </c>
    </row>
    <row r="168" spans="1:5" x14ac:dyDescent="0.25">
      <c r="A168" t="s">
        <v>183</v>
      </c>
      <c r="B168" t="s">
        <v>2356</v>
      </c>
      <c r="C168" t="s">
        <v>2385</v>
      </c>
      <c r="D168">
        <v>18291</v>
      </c>
      <c r="E168" t="str">
        <f t="shared" si="2"/>
        <v>ia.assorted_string like '%18291-04-2023%' or</v>
      </c>
    </row>
    <row r="169" spans="1:5" x14ac:dyDescent="0.25">
      <c r="A169" t="s">
        <v>184</v>
      </c>
      <c r="B169" t="s">
        <v>2353</v>
      </c>
      <c r="C169" t="s">
        <v>2385</v>
      </c>
      <c r="D169">
        <v>16600</v>
      </c>
      <c r="E169" t="str">
        <f t="shared" si="2"/>
        <v>ia.assorted_string like '%16600-11-2022%' or</v>
      </c>
    </row>
    <row r="170" spans="1:5" x14ac:dyDescent="0.25">
      <c r="A170" t="s">
        <v>185</v>
      </c>
      <c r="B170" t="s">
        <v>2338</v>
      </c>
      <c r="C170" t="s">
        <v>2385</v>
      </c>
      <c r="D170">
        <v>18496</v>
      </c>
      <c r="E170" t="str">
        <f t="shared" si="2"/>
        <v>ia.assorted_string like '%18496-05-2023%' or</v>
      </c>
    </row>
    <row r="171" spans="1:5" x14ac:dyDescent="0.25">
      <c r="A171" t="s">
        <v>186</v>
      </c>
      <c r="B171" t="s">
        <v>2353</v>
      </c>
      <c r="C171" t="s">
        <v>2385</v>
      </c>
      <c r="D171">
        <v>16641</v>
      </c>
      <c r="E171" t="str">
        <f t="shared" si="2"/>
        <v>ia.assorted_string like '%16641-11-2022%' or</v>
      </c>
    </row>
    <row r="172" spans="1:5" x14ac:dyDescent="0.25">
      <c r="A172" t="s">
        <v>187</v>
      </c>
      <c r="B172" t="s">
        <v>2338</v>
      </c>
      <c r="C172" t="s">
        <v>2385</v>
      </c>
      <c r="D172">
        <v>18521</v>
      </c>
      <c r="E172" t="str">
        <f t="shared" si="2"/>
        <v>ia.assorted_string like '%18521-05-2023%' or</v>
      </c>
    </row>
    <row r="173" spans="1:5" x14ac:dyDescent="0.25">
      <c r="A173" t="s">
        <v>188</v>
      </c>
      <c r="B173" t="s">
        <v>2353</v>
      </c>
      <c r="C173" t="s">
        <v>2385</v>
      </c>
      <c r="D173">
        <v>16804</v>
      </c>
      <c r="E173" t="str">
        <f t="shared" si="2"/>
        <v>ia.assorted_string like '%16804-11-2022%' or</v>
      </c>
    </row>
    <row r="174" spans="1:5" x14ac:dyDescent="0.25">
      <c r="A174" t="s">
        <v>189</v>
      </c>
      <c r="B174" t="s">
        <v>2338</v>
      </c>
      <c r="C174" t="s">
        <v>2385</v>
      </c>
      <c r="D174">
        <v>18525</v>
      </c>
      <c r="E174" t="str">
        <f t="shared" si="2"/>
        <v>ia.assorted_string like '%18525-05-2023%' or</v>
      </c>
    </row>
    <row r="175" spans="1:5" x14ac:dyDescent="0.25">
      <c r="A175" t="s">
        <v>190</v>
      </c>
      <c r="B175" t="s">
        <v>2353</v>
      </c>
      <c r="C175" t="s">
        <v>2385</v>
      </c>
      <c r="D175">
        <v>16827</v>
      </c>
      <c r="E175" t="str">
        <f t="shared" si="2"/>
        <v>ia.assorted_string like '%16827-11-2022%' or</v>
      </c>
    </row>
    <row r="176" spans="1:5" x14ac:dyDescent="0.25">
      <c r="A176" t="s">
        <v>191</v>
      </c>
      <c r="B176" t="s">
        <v>2338</v>
      </c>
      <c r="C176" t="s">
        <v>2385</v>
      </c>
      <c r="D176">
        <v>18625</v>
      </c>
      <c r="E176" t="str">
        <f t="shared" si="2"/>
        <v>ia.assorted_string like '%18625-05-2023%' or</v>
      </c>
    </row>
    <row r="177" spans="1:5" x14ac:dyDescent="0.25">
      <c r="A177" t="s">
        <v>192</v>
      </c>
      <c r="B177" t="s">
        <v>2353</v>
      </c>
      <c r="C177" t="s">
        <v>2385</v>
      </c>
      <c r="D177">
        <v>16833</v>
      </c>
      <c r="E177" t="str">
        <f t="shared" si="2"/>
        <v>ia.assorted_string like '%16833-11-2022%' or</v>
      </c>
    </row>
    <row r="178" spans="1:5" x14ac:dyDescent="0.25">
      <c r="A178" t="s">
        <v>193</v>
      </c>
      <c r="B178" t="s">
        <v>2345</v>
      </c>
      <c r="C178" t="s">
        <v>2385</v>
      </c>
      <c r="D178">
        <v>19013</v>
      </c>
      <c r="E178" t="str">
        <f t="shared" si="2"/>
        <v>ia.assorted_string like '%19013-06-2023%' or</v>
      </c>
    </row>
    <row r="179" spans="1:5" x14ac:dyDescent="0.25">
      <c r="A179" t="s">
        <v>194</v>
      </c>
      <c r="B179" t="s">
        <v>2348</v>
      </c>
      <c r="C179" t="s">
        <v>2385</v>
      </c>
      <c r="D179">
        <v>17119</v>
      </c>
      <c r="E179" t="str">
        <f t="shared" si="2"/>
        <v>ia.assorted_string like '%17119-12-2022%' or</v>
      </c>
    </row>
    <row r="180" spans="1:5" x14ac:dyDescent="0.25">
      <c r="A180" t="s">
        <v>195</v>
      </c>
      <c r="B180" t="s">
        <v>2353</v>
      </c>
      <c r="C180" t="s">
        <v>2385</v>
      </c>
      <c r="D180">
        <v>2262</v>
      </c>
      <c r="E180" t="str">
        <f t="shared" si="2"/>
        <v>ia.assorted_string like '%2262-11-2022%' or</v>
      </c>
    </row>
    <row r="181" spans="1:5" x14ac:dyDescent="0.25">
      <c r="A181" t="s">
        <v>196</v>
      </c>
      <c r="B181" t="s">
        <v>2348</v>
      </c>
      <c r="C181" t="s">
        <v>2385</v>
      </c>
      <c r="D181">
        <v>17137</v>
      </c>
      <c r="E181" t="str">
        <f t="shared" si="2"/>
        <v>ia.assorted_string like '%17137-12-2022%' or</v>
      </c>
    </row>
    <row r="182" spans="1:5" x14ac:dyDescent="0.25">
      <c r="A182" t="s">
        <v>197</v>
      </c>
      <c r="B182" t="s">
        <v>2336</v>
      </c>
      <c r="C182" t="s">
        <v>2385</v>
      </c>
      <c r="D182">
        <v>2642</v>
      </c>
      <c r="E182" t="str">
        <f t="shared" si="2"/>
        <v>ia.assorted_string like '%2642-03-2023%' or</v>
      </c>
    </row>
    <row r="183" spans="1:5" x14ac:dyDescent="0.25">
      <c r="A183" t="s">
        <v>198</v>
      </c>
      <c r="B183" t="s">
        <v>2348</v>
      </c>
      <c r="C183" t="s">
        <v>2385</v>
      </c>
      <c r="D183">
        <v>17206</v>
      </c>
      <c r="E183" t="str">
        <f t="shared" si="2"/>
        <v>ia.assorted_string like '%17206-12-2022%' or</v>
      </c>
    </row>
    <row r="184" spans="1:5" x14ac:dyDescent="0.25">
      <c r="A184" t="s">
        <v>199</v>
      </c>
      <c r="B184" t="s">
        <v>2336</v>
      </c>
      <c r="C184" t="s">
        <v>2385</v>
      </c>
      <c r="D184">
        <v>2660</v>
      </c>
      <c r="E184" t="str">
        <f t="shared" si="2"/>
        <v>ia.assorted_string like '%2660-03-2023%' or</v>
      </c>
    </row>
    <row r="185" spans="1:5" x14ac:dyDescent="0.25">
      <c r="A185" t="s">
        <v>200</v>
      </c>
      <c r="B185" t="s">
        <v>2337</v>
      </c>
      <c r="C185" t="s">
        <v>2385</v>
      </c>
      <c r="D185">
        <v>17590</v>
      </c>
      <c r="E185" t="str">
        <f t="shared" si="2"/>
        <v>ia.assorted_string like '%17590-02-2023%' or</v>
      </c>
    </row>
    <row r="186" spans="1:5" x14ac:dyDescent="0.25">
      <c r="A186" t="s">
        <v>201</v>
      </c>
      <c r="B186" t="s">
        <v>2358</v>
      </c>
      <c r="C186" t="s">
        <v>2385</v>
      </c>
      <c r="D186">
        <v>2248</v>
      </c>
      <c r="E186" t="str">
        <f t="shared" si="2"/>
        <v>ia.assorted_string like '%2248-10-2022%' or</v>
      </c>
    </row>
    <row r="187" spans="1:5" x14ac:dyDescent="0.25">
      <c r="A187" t="s">
        <v>202</v>
      </c>
      <c r="B187" t="s">
        <v>2337</v>
      </c>
      <c r="C187" t="s">
        <v>2385</v>
      </c>
      <c r="D187">
        <v>17883</v>
      </c>
      <c r="E187" t="str">
        <f t="shared" si="2"/>
        <v>ia.assorted_string like '%17883-02-2023%' or</v>
      </c>
    </row>
    <row r="188" spans="1:5" x14ac:dyDescent="0.25">
      <c r="A188" t="s">
        <v>203</v>
      </c>
      <c r="B188" t="s">
        <v>2350</v>
      </c>
      <c r="C188" t="s">
        <v>2385</v>
      </c>
      <c r="D188">
        <v>2456</v>
      </c>
      <c r="E188" t="str">
        <f t="shared" si="2"/>
        <v>ia.assorted_string like '%2456-01-2023%' or</v>
      </c>
    </row>
    <row r="189" spans="1:5" x14ac:dyDescent="0.25">
      <c r="A189" t="s">
        <v>204</v>
      </c>
      <c r="B189" t="s">
        <v>2336</v>
      </c>
      <c r="C189" t="s">
        <v>2385</v>
      </c>
      <c r="D189">
        <v>17952</v>
      </c>
      <c r="E189" t="str">
        <f t="shared" si="2"/>
        <v>ia.assorted_string like '%17952-03-2023%' or</v>
      </c>
    </row>
    <row r="190" spans="1:5" x14ac:dyDescent="0.25">
      <c r="A190" t="s">
        <v>205</v>
      </c>
      <c r="B190" t="s">
        <v>2356</v>
      </c>
      <c r="C190" t="s">
        <v>2385</v>
      </c>
      <c r="D190">
        <v>2713</v>
      </c>
      <c r="E190" t="str">
        <f t="shared" si="2"/>
        <v>ia.assorted_string like '%2713-04-2023%' or</v>
      </c>
    </row>
    <row r="191" spans="1:5" x14ac:dyDescent="0.25">
      <c r="A191" t="s">
        <v>206</v>
      </c>
      <c r="B191" t="s">
        <v>2336</v>
      </c>
      <c r="C191" t="s">
        <v>2385</v>
      </c>
      <c r="D191">
        <v>17959</v>
      </c>
      <c r="E191" t="str">
        <f t="shared" si="2"/>
        <v>ia.assorted_string like '%17959-03-2023%' or</v>
      </c>
    </row>
    <row r="192" spans="1:5" x14ac:dyDescent="0.25">
      <c r="A192" t="s">
        <v>207</v>
      </c>
      <c r="B192" t="s">
        <v>2337</v>
      </c>
      <c r="C192" t="s">
        <v>2385</v>
      </c>
      <c r="D192">
        <v>206</v>
      </c>
      <c r="E192" t="str">
        <f t="shared" si="2"/>
        <v>ia.assorted_string like '%206-02-2023%' or</v>
      </c>
    </row>
    <row r="193" spans="1:5" x14ac:dyDescent="0.25">
      <c r="A193" t="s">
        <v>208</v>
      </c>
      <c r="B193" t="s">
        <v>2336</v>
      </c>
      <c r="C193" t="s">
        <v>2385</v>
      </c>
      <c r="D193">
        <v>17991</v>
      </c>
      <c r="E193" t="str">
        <f t="shared" si="2"/>
        <v>ia.assorted_string like '%17991-03-2023%' or</v>
      </c>
    </row>
    <row r="194" spans="1:5" x14ac:dyDescent="0.25">
      <c r="A194" t="s">
        <v>209</v>
      </c>
      <c r="B194" t="s">
        <v>2358</v>
      </c>
      <c r="C194" t="s">
        <v>2385</v>
      </c>
      <c r="D194">
        <v>37679</v>
      </c>
      <c r="E194" t="str">
        <f t="shared" si="2"/>
        <v>ia.assorted_string like '%37679-10-2022%' or</v>
      </c>
    </row>
    <row r="195" spans="1:5" x14ac:dyDescent="0.25">
      <c r="A195" t="s">
        <v>210</v>
      </c>
      <c r="B195" t="s">
        <v>2349</v>
      </c>
      <c r="C195" t="s">
        <v>2385</v>
      </c>
      <c r="D195">
        <v>13667</v>
      </c>
      <c r="E195" t="str">
        <f t="shared" ref="E195:E258" si="3">"ia.assorted_string like '%"&amp;D195&amp;B195&amp;"%' or"</f>
        <v>ia.assorted_string like '%13667-01-2022%' or</v>
      </c>
    </row>
    <row r="196" spans="1:5" x14ac:dyDescent="0.25">
      <c r="A196" t="s">
        <v>211</v>
      </c>
      <c r="B196" t="s">
        <v>2353</v>
      </c>
      <c r="C196" t="s">
        <v>2385</v>
      </c>
      <c r="D196">
        <v>38053</v>
      </c>
      <c r="E196" t="str">
        <f t="shared" si="3"/>
        <v>ia.assorted_string like '%38053-11-2022%' or</v>
      </c>
    </row>
    <row r="197" spans="1:5" x14ac:dyDescent="0.25">
      <c r="A197" t="s">
        <v>212</v>
      </c>
      <c r="B197" t="s">
        <v>2351</v>
      </c>
      <c r="C197" t="s">
        <v>2385</v>
      </c>
      <c r="D197">
        <v>15335</v>
      </c>
      <c r="E197" t="str">
        <f t="shared" si="3"/>
        <v>ia.assorted_string like '%15335-08-2022%' or</v>
      </c>
    </row>
    <row r="198" spans="1:5" x14ac:dyDescent="0.25">
      <c r="A198" t="s">
        <v>213</v>
      </c>
      <c r="B198" t="s">
        <v>2353</v>
      </c>
      <c r="C198" t="s">
        <v>2385</v>
      </c>
      <c r="D198">
        <v>38162</v>
      </c>
      <c r="E198" t="str">
        <f t="shared" si="3"/>
        <v>ia.assorted_string like '%38162-11-2022%' or</v>
      </c>
    </row>
    <row r="199" spans="1:5" x14ac:dyDescent="0.25">
      <c r="A199" t="s">
        <v>214</v>
      </c>
      <c r="B199" t="s">
        <v>2360</v>
      </c>
      <c r="C199" t="s">
        <v>2385</v>
      </c>
      <c r="D199">
        <v>15961</v>
      </c>
      <c r="E199" t="str">
        <f t="shared" si="3"/>
        <v>ia.assorted_string like '%15961-09-2022%' or</v>
      </c>
    </row>
    <row r="200" spans="1:5" x14ac:dyDescent="0.25">
      <c r="A200" t="s">
        <v>215</v>
      </c>
      <c r="B200" t="s">
        <v>2353</v>
      </c>
      <c r="C200" t="s">
        <v>2385</v>
      </c>
      <c r="D200">
        <v>38192</v>
      </c>
      <c r="E200" t="str">
        <f t="shared" si="3"/>
        <v>ia.assorted_string like '%38192-11-2022%' or</v>
      </c>
    </row>
    <row r="201" spans="1:5" x14ac:dyDescent="0.25">
      <c r="A201" t="s">
        <v>216</v>
      </c>
      <c r="B201" t="s">
        <v>2358</v>
      </c>
      <c r="C201" t="s">
        <v>2385</v>
      </c>
      <c r="D201">
        <v>16203</v>
      </c>
      <c r="E201" t="str">
        <f t="shared" si="3"/>
        <v>ia.assorted_string like '%16203-10-2022%' or</v>
      </c>
    </row>
    <row r="202" spans="1:5" x14ac:dyDescent="0.25">
      <c r="A202" t="s">
        <v>217</v>
      </c>
      <c r="B202" t="s">
        <v>2353</v>
      </c>
      <c r="C202" t="s">
        <v>2385</v>
      </c>
      <c r="D202">
        <v>38214</v>
      </c>
      <c r="E202" t="str">
        <f t="shared" si="3"/>
        <v>ia.assorted_string like '%38214-11-2022%' or</v>
      </c>
    </row>
    <row r="203" spans="1:5" x14ac:dyDescent="0.25">
      <c r="A203" t="s">
        <v>218</v>
      </c>
      <c r="B203" t="s">
        <v>2353</v>
      </c>
      <c r="C203" t="s">
        <v>2385</v>
      </c>
      <c r="D203">
        <v>16626</v>
      </c>
      <c r="E203" t="str">
        <f t="shared" si="3"/>
        <v>ia.assorted_string like '%16626-11-2022%' or</v>
      </c>
    </row>
    <row r="204" spans="1:5" x14ac:dyDescent="0.25">
      <c r="A204" t="s">
        <v>219</v>
      </c>
      <c r="B204" t="s">
        <v>2353</v>
      </c>
      <c r="C204" t="s">
        <v>2385</v>
      </c>
      <c r="D204">
        <v>38216</v>
      </c>
      <c r="E204" t="str">
        <f t="shared" si="3"/>
        <v>ia.assorted_string like '%38216-11-2022%' or</v>
      </c>
    </row>
    <row r="205" spans="1:5" x14ac:dyDescent="0.25">
      <c r="A205" t="s">
        <v>220</v>
      </c>
      <c r="B205" t="s">
        <v>2353</v>
      </c>
      <c r="C205" t="s">
        <v>2385</v>
      </c>
      <c r="D205">
        <v>16820</v>
      </c>
      <c r="E205" t="str">
        <f t="shared" si="3"/>
        <v>ia.assorted_string like '%16820-11-2022%' or</v>
      </c>
    </row>
    <row r="206" spans="1:5" x14ac:dyDescent="0.25">
      <c r="A206" t="s">
        <v>221</v>
      </c>
      <c r="B206" t="s">
        <v>2348</v>
      </c>
      <c r="C206" t="s">
        <v>2385</v>
      </c>
      <c r="D206">
        <v>38581</v>
      </c>
      <c r="E206" t="str">
        <f t="shared" si="3"/>
        <v>ia.assorted_string like '%38581-12-2022%' or</v>
      </c>
    </row>
    <row r="207" spans="1:5" x14ac:dyDescent="0.25">
      <c r="A207" t="s">
        <v>222</v>
      </c>
      <c r="B207" t="s">
        <v>2348</v>
      </c>
      <c r="C207" t="s">
        <v>2385</v>
      </c>
      <c r="D207">
        <v>17076</v>
      </c>
      <c r="E207" t="str">
        <f t="shared" si="3"/>
        <v>ia.assorted_string like '%17076-12-2022%' or</v>
      </c>
    </row>
    <row r="208" spans="1:5" x14ac:dyDescent="0.25">
      <c r="A208" t="s">
        <v>223</v>
      </c>
      <c r="B208" t="s">
        <v>2337</v>
      </c>
      <c r="C208" t="s">
        <v>2385</v>
      </c>
      <c r="D208">
        <v>39042</v>
      </c>
      <c r="E208" t="str">
        <f t="shared" si="3"/>
        <v>ia.assorted_string like '%39042-02-2023%' or</v>
      </c>
    </row>
    <row r="209" spans="1:5" x14ac:dyDescent="0.25">
      <c r="A209" t="s">
        <v>224</v>
      </c>
      <c r="B209" t="s">
        <v>2348</v>
      </c>
      <c r="C209" t="s">
        <v>2385</v>
      </c>
      <c r="D209">
        <v>17146</v>
      </c>
      <c r="E209" t="str">
        <f t="shared" si="3"/>
        <v>ia.assorted_string like '%17146-12-2022%' or</v>
      </c>
    </row>
    <row r="210" spans="1:5" x14ac:dyDescent="0.25">
      <c r="A210" t="s">
        <v>225</v>
      </c>
      <c r="B210" t="s">
        <v>2337</v>
      </c>
      <c r="C210" t="s">
        <v>2385</v>
      </c>
      <c r="D210">
        <v>39043</v>
      </c>
      <c r="E210" t="str">
        <f t="shared" si="3"/>
        <v>ia.assorted_string like '%39043-02-2023%' or</v>
      </c>
    </row>
    <row r="211" spans="1:5" x14ac:dyDescent="0.25">
      <c r="A211" t="s">
        <v>226</v>
      </c>
      <c r="B211" t="s">
        <v>2337</v>
      </c>
      <c r="C211" t="s">
        <v>2385</v>
      </c>
      <c r="D211">
        <v>17882</v>
      </c>
      <c r="E211" t="str">
        <f t="shared" si="3"/>
        <v>ia.assorted_string like '%17882-02-2023%' or</v>
      </c>
    </row>
    <row r="212" spans="1:5" x14ac:dyDescent="0.25">
      <c r="A212" t="s">
        <v>227</v>
      </c>
      <c r="B212" t="s">
        <v>2336</v>
      </c>
      <c r="C212" t="s">
        <v>2385</v>
      </c>
      <c r="D212">
        <v>39073</v>
      </c>
      <c r="E212" t="str">
        <f t="shared" si="3"/>
        <v>ia.assorted_string like '%39073-03-2023%' or</v>
      </c>
    </row>
    <row r="213" spans="1:5" x14ac:dyDescent="0.25">
      <c r="A213" t="s">
        <v>228</v>
      </c>
      <c r="B213" t="s">
        <v>2336</v>
      </c>
      <c r="C213" t="s">
        <v>2385</v>
      </c>
      <c r="D213">
        <v>17955</v>
      </c>
      <c r="E213" t="str">
        <f t="shared" si="3"/>
        <v>ia.assorted_string like '%17955-03-2023%' or</v>
      </c>
    </row>
    <row r="214" spans="1:5" x14ac:dyDescent="0.25">
      <c r="A214" t="s">
        <v>229</v>
      </c>
      <c r="B214" t="s">
        <v>2336</v>
      </c>
      <c r="C214" t="s">
        <v>2385</v>
      </c>
      <c r="D214">
        <v>39074</v>
      </c>
      <c r="E214" t="str">
        <f t="shared" si="3"/>
        <v>ia.assorted_string like '%39074-03-2023%' or</v>
      </c>
    </row>
    <row r="215" spans="1:5" x14ac:dyDescent="0.25">
      <c r="A215" t="s">
        <v>230</v>
      </c>
      <c r="B215" t="s">
        <v>2366</v>
      </c>
      <c r="C215" t="s">
        <v>2385</v>
      </c>
      <c r="D215">
        <v>12983</v>
      </c>
      <c r="E215" t="str">
        <f t="shared" si="3"/>
        <v>ia.assorted_string like '%12983-11-2021%' or</v>
      </c>
    </row>
    <row r="216" spans="1:5" x14ac:dyDescent="0.25">
      <c r="A216" t="s">
        <v>231</v>
      </c>
      <c r="B216" t="s">
        <v>2336</v>
      </c>
      <c r="C216" t="s">
        <v>2385</v>
      </c>
      <c r="D216">
        <v>39105</v>
      </c>
      <c r="E216" t="str">
        <f t="shared" si="3"/>
        <v>ia.assorted_string like '%39105-03-2023%' or</v>
      </c>
    </row>
    <row r="217" spans="1:5" x14ac:dyDescent="0.25">
      <c r="A217" t="s">
        <v>232</v>
      </c>
      <c r="B217" t="s">
        <v>2360</v>
      </c>
      <c r="C217" t="s">
        <v>2385</v>
      </c>
      <c r="D217">
        <v>15830</v>
      </c>
      <c r="E217" t="str">
        <f t="shared" si="3"/>
        <v>ia.assorted_string like '%15830-09-2022%' or</v>
      </c>
    </row>
    <row r="218" spans="1:5" x14ac:dyDescent="0.25">
      <c r="A218" t="s">
        <v>233</v>
      </c>
      <c r="B218" t="s">
        <v>2336</v>
      </c>
      <c r="C218" t="s">
        <v>2385</v>
      </c>
      <c r="D218">
        <v>39109</v>
      </c>
      <c r="E218" t="str">
        <f t="shared" si="3"/>
        <v>ia.assorted_string like '%39109-03-2023%' or</v>
      </c>
    </row>
    <row r="219" spans="1:5" x14ac:dyDescent="0.25">
      <c r="A219" t="s">
        <v>234</v>
      </c>
      <c r="B219" t="s">
        <v>2353</v>
      </c>
      <c r="C219" t="s">
        <v>2385</v>
      </c>
      <c r="D219">
        <v>16597</v>
      </c>
      <c r="E219" t="str">
        <f t="shared" si="3"/>
        <v>ia.assorted_string like '%16597-11-2022%' or</v>
      </c>
    </row>
    <row r="220" spans="1:5" x14ac:dyDescent="0.25">
      <c r="A220" t="s">
        <v>235</v>
      </c>
      <c r="B220" t="s">
        <v>2338</v>
      </c>
      <c r="C220" t="s">
        <v>2385</v>
      </c>
      <c r="D220">
        <v>39518</v>
      </c>
      <c r="E220" t="str">
        <f t="shared" si="3"/>
        <v>ia.assorted_string like '%39518-05-2023%' or</v>
      </c>
    </row>
    <row r="221" spans="1:5" x14ac:dyDescent="0.25">
      <c r="A221" t="s">
        <v>236</v>
      </c>
      <c r="B221" t="s">
        <v>2353</v>
      </c>
      <c r="C221" t="s">
        <v>2385</v>
      </c>
      <c r="D221">
        <v>16832</v>
      </c>
      <c r="E221" t="str">
        <f t="shared" si="3"/>
        <v>ia.assorted_string like '%16832-11-2022%' or</v>
      </c>
    </row>
    <row r="222" spans="1:5" x14ac:dyDescent="0.25">
      <c r="A222" t="s">
        <v>237</v>
      </c>
      <c r="B222" t="s">
        <v>2338</v>
      </c>
      <c r="C222" t="s">
        <v>2385</v>
      </c>
      <c r="D222">
        <v>39609</v>
      </c>
      <c r="E222" t="str">
        <f t="shared" si="3"/>
        <v>ia.assorted_string like '%39609-05-2023%' or</v>
      </c>
    </row>
    <row r="223" spans="1:5" x14ac:dyDescent="0.25">
      <c r="A223" t="s">
        <v>238</v>
      </c>
      <c r="B223" t="s">
        <v>2350</v>
      </c>
      <c r="C223" t="s">
        <v>2385</v>
      </c>
      <c r="D223">
        <v>17392</v>
      </c>
      <c r="E223" t="str">
        <f t="shared" si="3"/>
        <v>ia.assorted_string like '%17392-01-2023%' or</v>
      </c>
    </row>
    <row r="224" spans="1:5" x14ac:dyDescent="0.25">
      <c r="A224" t="s">
        <v>239</v>
      </c>
      <c r="B224" t="s">
        <v>2367</v>
      </c>
      <c r="C224" t="s">
        <v>2385</v>
      </c>
      <c r="D224">
        <v>40495</v>
      </c>
      <c r="E224" t="str">
        <f t="shared" si="3"/>
        <v>ia.assorted_string like '%40495-10-2023%' or</v>
      </c>
    </row>
    <row r="225" spans="1:5" x14ac:dyDescent="0.25">
      <c r="A225" t="s">
        <v>240</v>
      </c>
      <c r="B225" t="s">
        <v>2336</v>
      </c>
      <c r="C225" t="s">
        <v>2385</v>
      </c>
      <c r="D225">
        <v>17990</v>
      </c>
      <c r="E225" t="str">
        <f t="shared" si="3"/>
        <v>ia.assorted_string like '%17990-03-2023%' or</v>
      </c>
    </row>
    <row r="226" spans="1:5" x14ac:dyDescent="0.25">
      <c r="A226" t="s">
        <v>241</v>
      </c>
      <c r="B226" t="s">
        <v>2367</v>
      </c>
      <c r="C226" t="s">
        <v>2385</v>
      </c>
      <c r="D226">
        <v>40513</v>
      </c>
      <c r="E226" t="str">
        <f t="shared" si="3"/>
        <v>ia.assorted_string like '%40513-10-2023%' or</v>
      </c>
    </row>
    <row r="227" spans="1:5" x14ac:dyDescent="0.25">
      <c r="A227" t="s">
        <v>242</v>
      </c>
      <c r="B227" t="s">
        <v>2360</v>
      </c>
      <c r="C227" t="s">
        <v>2385</v>
      </c>
      <c r="D227">
        <v>16130</v>
      </c>
      <c r="E227" t="str">
        <f t="shared" si="3"/>
        <v>ia.assorted_string like '%16130-09-2022%' or</v>
      </c>
    </row>
    <row r="228" spans="1:5" x14ac:dyDescent="0.25">
      <c r="A228" t="s">
        <v>243</v>
      </c>
      <c r="B228" t="s">
        <v>2367</v>
      </c>
      <c r="C228" t="s">
        <v>2385</v>
      </c>
      <c r="D228">
        <v>40525</v>
      </c>
      <c r="E228" t="str">
        <f t="shared" si="3"/>
        <v>ia.assorted_string like '%40525-10-2023%' or</v>
      </c>
    </row>
    <row r="229" spans="1:5" x14ac:dyDescent="0.25">
      <c r="A229" t="s">
        <v>244</v>
      </c>
      <c r="B229" t="s">
        <v>2348</v>
      </c>
      <c r="C229" t="s">
        <v>2385</v>
      </c>
      <c r="D229">
        <v>17132</v>
      </c>
      <c r="E229" t="str">
        <f t="shared" si="3"/>
        <v>ia.assorted_string like '%17132-12-2022%' or</v>
      </c>
    </row>
    <row r="230" spans="1:5" x14ac:dyDescent="0.25">
      <c r="A230" t="s">
        <v>245</v>
      </c>
      <c r="B230" t="s">
        <v>2367</v>
      </c>
      <c r="C230" t="s">
        <v>2385</v>
      </c>
      <c r="D230">
        <v>40548</v>
      </c>
      <c r="E230" t="str">
        <f t="shared" si="3"/>
        <v>ia.assorted_string like '%40548-10-2023%' or</v>
      </c>
    </row>
    <row r="231" spans="1:5" x14ac:dyDescent="0.25">
      <c r="A231" t="s">
        <v>246</v>
      </c>
      <c r="B231" t="s">
        <v>2335</v>
      </c>
      <c r="C231" t="s">
        <v>2385</v>
      </c>
      <c r="D231">
        <v>15058</v>
      </c>
      <c r="E231" t="str">
        <f t="shared" si="3"/>
        <v>ia.assorted_string like '%15058-07-2022%' or</v>
      </c>
    </row>
    <row r="232" spans="1:5" x14ac:dyDescent="0.25">
      <c r="A232" t="s">
        <v>247</v>
      </c>
      <c r="B232" t="s">
        <v>2337</v>
      </c>
      <c r="C232" t="s">
        <v>2385</v>
      </c>
      <c r="D232">
        <v>39052</v>
      </c>
      <c r="E232" t="str">
        <f t="shared" si="3"/>
        <v>ia.assorted_string like '%39052-02-2023%' or</v>
      </c>
    </row>
    <row r="233" spans="1:5" x14ac:dyDescent="0.25">
      <c r="A233" t="s">
        <v>248</v>
      </c>
      <c r="B233" t="s">
        <v>2336</v>
      </c>
      <c r="C233" t="s">
        <v>2385</v>
      </c>
      <c r="D233">
        <v>17943</v>
      </c>
      <c r="E233" t="str">
        <f t="shared" si="3"/>
        <v>ia.assorted_string like '%17943-03-2023%' or</v>
      </c>
    </row>
    <row r="234" spans="1:5" x14ac:dyDescent="0.25">
      <c r="A234" t="s">
        <v>249</v>
      </c>
      <c r="B234" t="s">
        <v>2337</v>
      </c>
      <c r="C234" t="s">
        <v>2385</v>
      </c>
      <c r="D234">
        <v>39055</v>
      </c>
      <c r="E234" t="str">
        <f t="shared" si="3"/>
        <v>ia.assorted_string like '%39055-02-2023%' or</v>
      </c>
    </row>
    <row r="235" spans="1:5" x14ac:dyDescent="0.25">
      <c r="A235" t="s">
        <v>250</v>
      </c>
      <c r="B235" t="s">
        <v>2353</v>
      </c>
      <c r="C235" t="s">
        <v>2385</v>
      </c>
      <c r="D235">
        <v>16801</v>
      </c>
      <c r="E235" t="str">
        <f t="shared" si="3"/>
        <v>ia.assorted_string like '%16801-11-2022%' or</v>
      </c>
    </row>
    <row r="236" spans="1:5" x14ac:dyDescent="0.25">
      <c r="A236" t="s">
        <v>251</v>
      </c>
      <c r="B236" t="s">
        <v>2337</v>
      </c>
      <c r="C236" t="s">
        <v>2385</v>
      </c>
      <c r="D236">
        <v>39057</v>
      </c>
      <c r="E236" t="str">
        <f t="shared" si="3"/>
        <v>ia.assorted_string like '%39057-02-2023%' or</v>
      </c>
    </row>
    <row r="237" spans="1:5" x14ac:dyDescent="0.25">
      <c r="A237" t="s">
        <v>252</v>
      </c>
      <c r="B237" t="s">
        <v>2344</v>
      </c>
      <c r="C237" t="s">
        <v>2385</v>
      </c>
      <c r="D237">
        <v>9924</v>
      </c>
      <c r="E237" t="str">
        <f t="shared" si="3"/>
        <v>ia.assorted_string like '%9924-07-2023%' or</v>
      </c>
    </row>
    <row r="238" spans="1:5" x14ac:dyDescent="0.25">
      <c r="A238" t="s">
        <v>253</v>
      </c>
      <c r="B238" t="s">
        <v>2348</v>
      </c>
      <c r="C238" t="s">
        <v>2385</v>
      </c>
      <c r="D238">
        <v>7727</v>
      </c>
      <c r="E238" t="str">
        <f t="shared" si="3"/>
        <v>ia.assorted_string like '%7727-12-2022%' or</v>
      </c>
    </row>
    <row r="239" spans="1:5" x14ac:dyDescent="0.25">
      <c r="A239" t="s">
        <v>254</v>
      </c>
      <c r="B239" t="s">
        <v>2348</v>
      </c>
      <c r="C239" t="s">
        <v>2385</v>
      </c>
      <c r="D239">
        <v>7839</v>
      </c>
      <c r="E239" t="str">
        <f t="shared" si="3"/>
        <v>ia.assorted_string like '%7839-12-2022%' or</v>
      </c>
    </row>
    <row r="240" spans="1:5" x14ac:dyDescent="0.25">
      <c r="A240" t="s">
        <v>255</v>
      </c>
      <c r="B240" t="s">
        <v>2358</v>
      </c>
      <c r="C240" t="s">
        <v>2385</v>
      </c>
      <c r="D240">
        <v>6052</v>
      </c>
      <c r="E240" t="str">
        <f t="shared" si="3"/>
        <v>ia.assorted_string like '%6052-10-2022%' or</v>
      </c>
    </row>
    <row r="241" spans="1:5" x14ac:dyDescent="0.25">
      <c r="A241" t="s">
        <v>256</v>
      </c>
      <c r="B241" t="s">
        <v>2337</v>
      </c>
      <c r="C241" t="s">
        <v>2385</v>
      </c>
      <c r="D241">
        <v>9140</v>
      </c>
      <c r="E241" t="str">
        <f t="shared" si="3"/>
        <v>ia.assorted_string like '%9140-02-2023%' or</v>
      </c>
    </row>
    <row r="242" spans="1:5" x14ac:dyDescent="0.25">
      <c r="A242" t="s">
        <v>257</v>
      </c>
      <c r="B242" t="s">
        <v>2348</v>
      </c>
      <c r="C242" t="s">
        <v>2385</v>
      </c>
      <c r="D242">
        <v>7726</v>
      </c>
      <c r="E242" t="str">
        <f t="shared" si="3"/>
        <v>ia.assorted_string like '%7726-12-2022%' or</v>
      </c>
    </row>
    <row r="243" spans="1:5" x14ac:dyDescent="0.25">
      <c r="A243" t="s">
        <v>258</v>
      </c>
      <c r="B243" t="s">
        <v>2351</v>
      </c>
      <c r="C243" t="s">
        <v>2385</v>
      </c>
      <c r="D243">
        <v>4194</v>
      </c>
      <c r="E243" t="str">
        <f t="shared" si="3"/>
        <v>ia.assorted_string like '%4194-08-2022%' or</v>
      </c>
    </row>
    <row r="244" spans="1:5" x14ac:dyDescent="0.25">
      <c r="A244" t="s">
        <v>259</v>
      </c>
      <c r="B244" t="s">
        <v>2345</v>
      </c>
      <c r="C244" t="s">
        <v>2385</v>
      </c>
      <c r="D244">
        <v>9853</v>
      </c>
      <c r="E244" t="str">
        <f t="shared" si="3"/>
        <v>ia.assorted_string like '%9853-06-2023%' or</v>
      </c>
    </row>
    <row r="245" spans="1:5" x14ac:dyDescent="0.25">
      <c r="A245" t="s">
        <v>260</v>
      </c>
      <c r="B245" t="s">
        <v>2358</v>
      </c>
      <c r="C245" t="s">
        <v>2385</v>
      </c>
      <c r="D245">
        <v>6045</v>
      </c>
      <c r="E245" t="str">
        <f t="shared" si="3"/>
        <v>ia.assorted_string like '%6045-10-2022%' or</v>
      </c>
    </row>
    <row r="246" spans="1:5" x14ac:dyDescent="0.25">
      <c r="A246" t="s">
        <v>261</v>
      </c>
      <c r="B246" t="s">
        <v>2346</v>
      </c>
      <c r="C246" t="s">
        <v>2385</v>
      </c>
      <c r="D246">
        <v>10385</v>
      </c>
      <c r="E246" t="str">
        <f t="shared" si="3"/>
        <v>ia.assorted_string like '%10385-08-2024%' or</v>
      </c>
    </row>
    <row r="247" spans="1:5" x14ac:dyDescent="0.25">
      <c r="A247" t="s">
        <v>262</v>
      </c>
      <c r="B247" t="s">
        <v>2338</v>
      </c>
      <c r="C247" t="s">
        <v>2385</v>
      </c>
      <c r="D247">
        <v>9758</v>
      </c>
      <c r="E247" t="str">
        <f t="shared" si="3"/>
        <v>ia.assorted_string like '%9758-05-2023%' or</v>
      </c>
    </row>
    <row r="248" spans="1:5" x14ac:dyDescent="0.25">
      <c r="A248" t="s">
        <v>263</v>
      </c>
      <c r="B248" t="s">
        <v>2353</v>
      </c>
      <c r="C248" t="s">
        <v>2385</v>
      </c>
      <c r="D248">
        <v>6511</v>
      </c>
      <c r="E248" t="str">
        <f t="shared" si="3"/>
        <v>ia.assorted_string like '%6511-11-2022%' or</v>
      </c>
    </row>
    <row r="249" spans="1:5" x14ac:dyDescent="0.25">
      <c r="A249" t="s">
        <v>264</v>
      </c>
      <c r="B249" t="s">
        <v>2368</v>
      </c>
      <c r="C249" t="s">
        <v>2385</v>
      </c>
      <c r="D249">
        <v>92269</v>
      </c>
      <c r="E249" t="str">
        <f t="shared" si="3"/>
        <v>ia.assorted_string like '%92269-07-2024%' or</v>
      </c>
    </row>
    <row r="250" spans="1:5" x14ac:dyDescent="0.25">
      <c r="A250" t="s">
        <v>265</v>
      </c>
      <c r="B250" t="s">
        <v>2346</v>
      </c>
      <c r="C250" t="s">
        <v>2385</v>
      </c>
      <c r="D250">
        <v>94397</v>
      </c>
      <c r="E250" t="str">
        <f t="shared" si="3"/>
        <v>ia.assorted_string like '%94397-08-2024%' or</v>
      </c>
    </row>
    <row r="251" spans="1:5" x14ac:dyDescent="0.25">
      <c r="A251" t="s">
        <v>266</v>
      </c>
      <c r="B251" t="s">
        <v>2346</v>
      </c>
      <c r="C251" t="s">
        <v>2385</v>
      </c>
      <c r="D251">
        <v>94398</v>
      </c>
      <c r="E251" t="str">
        <f t="shared" si="3"/>
        <v>ia.assorted_string like '%94398-08-2024%' or</v>
      </c>
    </row>
    <row r="252" spans="1:5" x14ac:dyDescent="0.25">
      <c r="A252" t="s">
        <v>267</v>
      </c>
      <c r="B252" t="s">
        <v>2369</v>
      </c>
      <c r="C252" t="s">
        <v>2385</v>
      </c>
      <c r="D252">
        <v>9754</v>
      </c>
      <c r="E252" t="str">
        <f t="shared" si="3"/>
        <v>ia.assorted_string like '%9754-02-2020%' or</v>
      </c>
    </row>
    <row r="253" spans="1:5" x14ac:dyDescent="0.25">
      <c r="A253" t="s">
        <v>268</v>
      </c>
      <c r="B253" t="s">
        <v>2346</v>
      </c>
      <c r="C253" t="s">
        <v>2385</v>
      </c>
      <c r="D253">
        <v>94405</v>
      </c>
      <c r="E253" t="str">
        <f t="shared" si="3"/>
        <v>ia.assorted_string like '%94405-08-2024%' or</v>
      </c>
    </row>
    <row r="254" spans="1:5" x14ac:dyDescent="0.25">
      <c r="A254" t="s">
        <v>269</v>
      </c>
      <c r="B254" t="s">
        <v>2337</v>
      </c>
      <c r="C254" t="s">
        <v>2385</v>
      </c>
      <c r="D254">
        <v>67</v>
      </c>
      <c r="E254" t="str">
        <f t="shared" si="3"/>
        <v>ia.assorted_string like '%67-02-2023%' or</v>
      </c>
    </row>
    <row r="255" spans="1:5" x14ac:dyDescent="0.25">
      <c r="A255" t="s">
        <v>270</v>
      </c>
      <c r="B255" t="s">
        <v>2346</v>
      </c>
      <c r="C255" t="s">
        <v>2385</v>
      </c>
      <c r="D255">
        <v>94416</v>
      </c>
      <c r="E255" t="str">
        <f t="shared" si="3"/>
        <v>ia.assorted_string like '%94416-08-2024%' or</v>
      </c>
    </row>
    <row r="256" spans="1:5" x14ac:dyDescent="0.25">
      <c r="A256" t="s">
        <v>271</v>
      </c>
      <c r="B256" t="s">
        <v>2370</v>
      </c>
      <c r="C256" t="s">
        <v>2385</v>
      </c>
      <c r="D256">
        <v>1489</v>
      </c>
      <c r="E256" t="str">
        <f t="shared" si="3"/>
        <v>ia.assorted_string like '%1489-12-2019%' or</v>
      </c>
    </row>
    <row r="257" spans="1:5" x14ac:dyDescent="0.25">
      <c r="A257" t="s">
        <v>272</v>
      </c>
      <c r="B257" t="s">
        <v>2346</v>
      </c>
      <c r="C257" t="s">
        <v>2385</v>
      </c>
      <c r="D257">
        <v>94417</v>
      </c>
      <c r="E257" t="str">
        <f t="shared" si="3"/>
        <v>ia.assorted_string like '%94417-08-2024%' or</v>
      </c>
    </row>
    <row r="258" spans="1:5" x14ac:dyDescent="0.25">
      <c r="A258" t="s">
        <v>273</v>
      </c>
      <c r="B258" t="s">
        <v>2336</v>
      </c>
      <c r="C258" t="s">
        <v>2385</v>
      </c>
      <c r="D258">
        <v>2636</v>
      </c>
      <c r="E258" t="str">
        <f t="shared" si="3"/>
        <v>ia.assorted_string like '%2636-03-2023%' or</v>
      </c>
    </row>
    <row r="259" spans="1:5" x14ac:dyDescent="0.25">
      <c r="A259" t="s">
        <v>274</v>
      </c>
      <c r="B259" t="s">
        <v>2346</v>
      </c>
      <c r="C259" t="s">
        <v>2385</v>
      </c>
      <c r="D259">
        <v>94432</v>
      </c>
      <c r="E259" t="str">
        <f t="shared" ref="E259:E322" si="4">"ia.assorted_string like '%"&amp;D259&amp;B259&amp;"%' or"</f>
        <v>ia.assorted_string like '%94432-08-2024%' or</v>
      </c>
    </row>
    <row r="260" spans="1:5" x14ac:dyDescent="0.25">
      <c r="A260" t="s">
        <v>275</v>
      </c>
      <c r="B260" t="s">
        <v>2335</v>
      </c>
      <c r="C260" t="s">
        <v>2385</v>
      </c>
      <c r="D260">
        <v>1694</v>
      </c>
      <c r="E260" t="str">
        <f t="shared" si="4"/>
        <v>ia.assorted_string like '%1694-07-2022%' or</v>
      </c>
    </row>
    <row r="261" spans="1:5" x14ac:dyDescent="0.25">
      <c r="A261" t="s">
        <v>276</v>
      </c>
      <c r="B261" t="s">
        <v>2346</v>
      </c>
      <c r="C261" t="s">
        <v>2385</v>
      </c>
      <c r="D261">
        <v>94433</v>
      </c>
      <c r="E261" t="str">
        <f t="shared" si="4"/>
        <v>ia.assorted_string like '%94433-08-2024%' or</v>
      </c>
    </row>
    <row r="262" spans="1:5" x14ac:dyDescent="0.25">
      <c r="A262" t="s">
        <v>277</v>
      </c>
      <c r="B262" t="s">
        <v>2350</v>
      </c>
      <c r="C262" t="s">
        <v>2385</v>
      </c>
      <c r="D262">
        <v>2058</v>
      </c>
      <c r="E262" t="str">
        <f t="shared" si="4"/>
        <v>ia.assorted_string like '%2058-01-2023%' or</v>
      </c>
    </row>
    <row r="263" spans="1:5" x14ac:dyDescent="0.25">
      <c r="A263" t="s">
        <v>278</v>
      </c>
      <c r="B263" t="s">
        <v>2346</v>
      </c>
      <c r="C263" t="s">
        <v>2385</v>
      </c>
      <c r="D263">
        <v>94437</v>
      </c>
      <c r="E263" t="str">
        <f t="shared" si="4"/>
        <v>ia.assorted_string like '%94437-08-2024%' or</v>
      </c>
    </row>
    <row r="264" spans="1:5" x14ac:dyDescent="0.25">
      <c r="A264" t="s">
        <v>279</v>
      </c>
      <c r="B264" t="s">
        <v>2337</v>
      </c>
      <c r="C264" t="s">
        <v>2385</v>
      </c>
      <c r="D264">
        <v>2354</v>
      </c>
      <c r="E264" t="str">
        <f t="shared" si="4"/>
        <v>ia.assorted_string like '%2354-02-2023%' or</v>
      </c>
    </row>
    <row r="265" spans="1:5" x14ac:dyDescent="0.25">
      <c r="A265" t="s">
        <v>280</v>
      </c>
      <c r="B265" t="s">
        <v>2346</v>
      </c>
      <c r="C265" t="s">
        <v>2385</v>
      </c>
      <c r="D265">
        <v>94438</v>
      </c>
      <c r="E265" t="str">
        <f t="shared" si="4"/>
        <v>ia.assorted_string like '%94438-08-2024%' or</v>
      </c>
    </row>
    <row r="266" spans="1:5" x14ac:dyDescent="0.25">
      <c r="A266" t="s">
        <v>281</v>
      </c>
      <c r="B266" t="s">
        <v>2345</v>
      </c>
      <c r="C266" t="s">
        <v>2385</v>
      </c>
      <c r="D266">
        <v>2554</v>
      </c>
      <c r="E266" t="str">
        <f t="shared" si="4"/>
        <v>ia.assorted_string like '%2554-06-2023%' or</v>
      </c>
    </row>
    <row r="267" spans="1:5" x14ac:dyDescent="0.25">
      <c r="A267" t="s">
        <v>282</v>
      </c>
      <c r="B267" t="s">
        <v>2346</v>
      </c>
      <c r="C267" t="s">
        <v>2385</v>
      </c>
      <c r="D267">
        <v>94461</v>
      </c>
      <c r="E267" t="str">
        <f t="shared" si="4"/>
        <v>ia.assorted_string like '%94461-08-2024%' or</v>
      </c>
    </row>
    <row r="268" spans="1:5" x14ac:dyDescent="0.25">
      <c r="A268" t="s">
        <v>283</v>
      </c>
      <c r="B268" t="s">
        <v>2354</v>
      </c>
      <c r="C268" t="s">
        <v>2385</v>
      </c>
      <c r="D268">
        <v>2638</v>
      </c>
      <c r="E268" t="str">
        <f t="shared" si="4"/>
        <v>ia.assorted_string like '%2638-08-2023%' or</v>
      </c>
    </row>
    <row r="269" spans="1:5" x14ac:dyDescent="0.25">
      <c r="A269" t="s">
        <v>284</v>
      </c>
      <c r="B269" t="s">
        <v>2346</v>
      </c>
      <c r="C269" t="s">
        <v>2385</v>
      </c>
      <c r="D269">
        <v>94462</v>
      </c>
      <c r="E269" t="str">
        <f t="shared" si="4"/>
        <v>ia.assorted_string like '%94462-08-2024%' or</v>
      </c>
    </row>
    <row r="270" spans="1:5" x14ac:dyDescent="0.25">
      <c r="A270" t="s">
        <v>285</v>
      </c>
      <c r="B270" t="s">
        <v>2340</v>
      </c>
      <c r="C270" t="s">
        <v>2385</v>
      </c>
      <c r="D270">
        <v>2679</v>
      </c>
      <c r="E270" t="str">
        <f t="shared" si="4"/>
        <v>ia.assorted_string like '%2679-09-2023%' or</v>
      </c>
    </row>
    <row r="271" spans="1:5" x14ac:dyDescent="0.25">
      <c r="A271" t="s">
        <v>286</v>
      </c>
      <c r="B271" t="s">
        <v>2346</v>
      </c>
      <c r="C271" t="s">
        <v>2385</v>
      </c>
      <c r="D271">
        <v>94463</v>
      </c>
      <c r="E271" t="str">
        <f t="shared" si="4"/>
        <v>ia.assorted_string like '%94463-08-2024%' or</v>
      </c>
    </row>
    <row r="272" spans="1:5" x14ac:dyDescent="0.25">
      <c r="A272" t="s">
        <v>287</v>
      </c>
      <c r="B272" t="s">
        <v>2368</v>
      </c>
      <c r="C272" t="s">
        <v>2385</v>
      </c>
      <c r="D272">
        <v>3256</v>
      </c>
      <c r="E272" t="str">
        <f t="shared" si="4"/>
        <v>ia.assorted_string like '%3256-07-2024%' or</v>
      </c>
    </row>
    <row r="273" spans="1:5" x14ac:dyDescent="0.25">
      <c r="A273" t="s">
        <v>288</v>
      </c>
      <c r="B273" t="s">
        <v>2346</v>
      </c>
      <c r="C273" t="s">
        <v>2385</v>
      </c>
      <c r="D273">
        <v>94467</v>
      </c>
      <c r="E273" t="str">
        <f t="shared" si="4"/>
        <v>ia.assorted_string like '%94467-08-2024%' or</v>
      </c>
    </row>
    <row r="274" spans="1:5" x14ac:dyDescent="0.25">
      <c r="A274" t="s">
        <v>289</v>
      </c>
      <c r="B274" t="s">
        <v>2369</v>
      </c>
      <c r="C274" t="s">
        <v>2385</v>
      </c>
      <c r="D274">
        <v>503</v>
      </c>
      <c r="E274" t="str">
        <f t="shared" si="4"/>
        <v>ia.assorted_string like '%503-02-2020%' or</v>
      </c>
    </row>
    <row r="275" spans="1:5" x14ac:dyDescent="0.25">
      <c r="A275" t="s">
        <v>290</v>
      </c>
      <c r="B275" t="s">
        <v>2346</v>
      </c>
      <c r="C275" t="s">
        <v>2385</v>
      </c>
      <c r="D275">
        <v>94468</v>
      </c>
      <c r="E275" t="str">
        <f t="shared" si="4"/>
        <v>ia.assorted_string like '%94468-08-2024%' or</v>
      </c>
    </row>
    <row r="276" spans="1:5" x14ac:dyDescent="0.25">
      <c r="A276" t="s">
        <v>291</v>
      </c>
      <c r="B276" t="s">
        <v>2346</v>
      </c>
      <c r="C276" t="s">
        <v>2385</v>
      </c>
      <c r="D276">
        <v>94469</v>
      </c>
      <c r="E276" t="str">
        <f t="shared" si="4"/>
        <v>ia.assorted_string like '%94469-08-2024%' or</v>
      </c>
    </row>
    <row r="277" spans="1:5" x14ac:dyDescent="0.25">
      <c r="A277" t="s">
        <v>292</v>
      </c>
      <c r="B277" t="s">
        <v>2346</v>
      </c>
      <c r="C277" t="s">
        <v>2385</v>
      </c>
      <c r="D277">
        <v>94470</v>
      </c>
      <c r="E277" t="str">
        <f t="shared" si="4"/>
        <v>ia.assorted_string like '%94470-08-2024%' or</v>
      </c>
    </row>
    <row r="278" spans="1:5" x14ac:dyDescent="0.25">
      <c r="A278" t="s">
        <v>293</v>
      </c>
      <c r="B278" t="s">
        <v>2361</v>
      </c>
      <c r="C278" t="s">
        <v>2385</v>
      </c>
      <c r="D278">
        <v>10258</v>
      </c>
      <c r="E278" t="str">
        <f t="shared" si="4"/>
        <v>ia.assorted_string like '%10258-01-2024%' or</v>
      </c>
    </row>
    <row r="279" spans="1:5" x14ac:dyDescent="0.25">
      <c r="A279" t="s">
        <v>294</v>
      </c>
      <c r="B279" t="s">
        <v>2346</v>
      </c>
      <c r="C279" t="s">
        <v>2385</v>
      </c>
      <c r="D279">
        <v>94473</v>
      </c>
      <c r="E279" t="str">
        <f t="shared" si="4"/>
        <v>ia.assorted_string like '%94473-08-2024%' or</v>
      </c>
    </row>
    <row r="280" spans="1:5" x14ac:dyDescent="0.25">
      <c r="A280" t="s">
        <v>295</v>
      </c>
      <c r="B280" t="s">
        <v>2361</v>
      </c>
      <c r="C280" t="s">
        <v>2385</v>
      </c>
      <c r="D280">
        <v>10260</v>
      </c>
      <c r="E280" t="str">
        <f t="shared" si="4"/>
        <v>ia.assorted_string like '%10260-01-2024%' or</v>
      </c>
    </row>
    <row r="281" spans="1:5" x14ac:dyDescent="0.25">
      <c r="A281" t="s">
        <v>296</v>
      </c>
      <c r="B281" t="s">
        <v>2346</v>
      </c>
      <c r="C281" t="s">
        <v>2385</v>
      </c>
      <c r="D281">
        <v>94474</v>
      </c>
      <c r="E281" t="str">
        <f t="shared" si="4"/>
        <v>ia.assorted_string like '%94474-08-2024%' or</v>
      </c>
    </row>
    <row r="282" spans="1:5" x14ac:dyDescent="0.25">
      <c r="A282" t="s">
        <v>297</v>
      </c>
      <c r="B282" t="s">
        <v>2361</v>
      </c>
      <c r="C282" t="s">
        <v>2385</v>
      </c>
      <c r="D282">
        <v>10262</v>
      </c>
      <c r="E282" t="str">
        <f t="shared" si="4"/>
        <v>ia.assorted_string like '%10262-01-2024%' or</v>
      </c>
    </row>
    <row r="283" spans="1:5" x14ac:dyDescent="0.25">
      <c r="A283" t="s">
        <v>298</v>
      </c>
      <c r="B283" t="s">
        <v>2346</v>
      </c>
      <c r="C283" t="s">
        <v>2385</v>
      </c>
      <c r="D283">
        <v>94486</v>
      </c>
      <c r="E283" t="str">
        <f t="shared" si="4"/>
        <v>ia.assorted_string like '%94486-08-2024%' or</v>
      </c>
    </row>
    <row r="284" spans="1:5" x14ac:dyDescent="0.25">
      <c r="A284" t="s">
        <v>299</v>
      </c>
      <c r="B284" t="s">
        <v>2361</v>
      </c>
      <c r="C284" t="s">
        <v>2385</v>
      </c>
      <c r="D284">
        <v>10264</v>
      </c>
      <c r="E284" t="str">
        <f t="shared" si="4"/>
        <v>ia.assorted_string like '%10264-01-2024%' or</v>
      </c>
    </row>
    <row r="285" spans="1:5" x14ac:dyDescent="0.25">
      <c r="A285" t="s">
        <v>300</v>
      </c>
      <c r="B285" t="s">
        <v>2346</v>
      </c>
      <c r="C285" t="s">
        <v>2385</v>
      </c>
      <c r="D285">
        <v>94492</v>
      </c>
      <c r="E285" t="str">
        <f t="shared" si="4"/>
        <v>ia.assorted_string like '%94492-08-2024%' or</v>
      </c>
    </row>
    <row r="286" spans="1:5" x14ac:dyDescent="0.25">
      <c r="A286" t="s">
        <v>301</v>
      </c>
      <c r="B286" t="s">
        <v>2361</v>
      </c>
      <c r="C286" t="s">
        <v>2385</v>
      </c>
      <c r="D286">
        <v>10266</v>
      </c>
      <c r="E286" t="str">
        <f t="shared" si="4"/>
        <v>ia.assorted_string like '%10266-01-2024%' or</v>
      </c>
    </row>
    <row r="287" spans="1:5" x14ac:dyDescent="0.25">
      <c r="A287" t="s">
        <v>302</v>
      </c>
      <c r="B287" t="s">
        <v>2346</v>
      </c>
      <c r="C287" t="s">
        <v>2385</v>
      </c>
      <c r="D287">
        <v>94493</v>
      </c>
      <c r="E287" t="str">
        <f t="shared" si="4"/>
        <v>ia.assorted_string like '%94493-08-2024%' or</v>
      </c>
    </row>
    <row r="288" spans="1:5" x14ac:dyDescent="0.25">
      <c r="A288" t="s">
        <v>303</v>
      </c>
      <c r="B288" t="s">
        <v>2361</v>
      </c>
      <c r="C288" t="s">
        <v>2385</v>
      </c>
      <c r="D288">
        <v>10268</v>
      </c>
      <c r="E288" t="str">
        <f t="shared" si="4"/>
        <v>ia.assorted_string like '%10268-01-2024%' or</v>
      </c>
    </row>
    <row r="289" spans="1:5" x14ac:dyDescent="0.25">
      <c r="A289" t="s">
        <v>304</v>
      </c>
      <c r="B289" t="s">
        <v>2346</v>
      </c>
      <c r="C289" t="s">
        <v>2385</v>
      </c>
      <c r="D289">
        <v>94497</v>
      </c>
      <c r="E289" t="str">
        <f t="shared" si="4"/>
        <v>ia.assorted_string like '%94497-08-2024%' or</v>
      </c>
    </row>
    <row r="290" spans="1:5" x14ac:dyDescent="0.25">
      <c r="A290" t="s">
        <v>305</v>
      </c>
      <c r="B290" t="s">
        <v>2361</v>
      </c>
      <c r="C290" t="s">
        <v>2385</v>
      </c>
      <c r="D290">
        <v>10270</v>
      </c>
      <c r="E290" t="str">
        <f t="shared" si="4"/>
        <v>ia.assorted_string like '%10270-01-2024%' or</v>
      </c>
    </row>
    <row r="291" spans="1:5" x14ac:dyDescent="0.25">
      <c r="A291" t="s">
        <v>306</v>
      </c>
      <c r="B291" t="s">
        <v>2346</v>
      </c>
      <c r="C291" t="s">
        <v>2385</v>
      </c>
      <c r="D291">
        <v>94498</v>
      </c>
      <c r="E291" t="str">
        <f t="shared" si="4"/>
        <v>ia.assorted_string like '%94498-08-2024%' or</v>
      </c>
    </row>
    <row r="292" spans="1:5" x14ac:dyDescent="0.25">
      <c r="A292" t="s">
        <v>307</v>
      </c>
      <c r="B292" t="s">
        <v>2361</v>
      </c>
      <c r="C292" t="s">
        <v>2385</v>
      </c>
      <c r="D292">
        <v>10272</v>
      </c>
      <c r="E292" t="str">
        <f t="shared" si="4"/>
        <v>ia.assorted_string like '%10272-01-2024%' or</v>
      </c>
    </row>
    <row r="293" spans="1:5" x14ac:dyDescent="0.25">
      <c r="A293" t="s">
        <v>308</v>
      </c>
      <c r="B293" t="s">
        <v>2346</v>
      </c>
      <c r="C293" t="s">
        <v>2385</v>
      </c>
      <c r="D293">
        <v>94520</v>
      </c>
      <c r="E293" t="str">
        <f t="shared" si="4"/>
        <v>ia.assorted_string like '%94520-08-2024%' or</v>
      </c>
    </row>
    <row r="294" spans="1:5" x14ac:dyDescent="0.25">
      <c r="A294" t="s">
        <v>309</v>
      </c>
      <c r="B294" t="s">
        <v>2359</v>
      </c>
      <c r="C294" t="s">
        <v>2385</v>
      </c>
      <c r="D294">
        <v>10290</v>
      </c>
      <c r="E294" t="str">
        <f t="shared" si="4"/>
        <v>ia.assorted_string like '%10290-02-2024%' or</v>
      </c>
    </row>
    <row r="295" spans="1:5" x14ac:dyDescent="0.25">
      <c r="A295" t="s">
        <v>310</v>
      </c>
      <c r="B295" t="s">
        <v>2346</v>
      </c>
      <c r="C295" t="s">
        <v>2385</v>
      </c>
      <c r="D295">
        <v>94521</v>
      </c>
      <c r="E295" t="str">
        <f t="shared" si="4"/>
        <v>ia.assorted_string like '%94521-08-2024%' or</v>
      </c>
    </row>
    <row r="296" spans="1:5" x14ac:dyDescent="0.25">
      <c r="A296" t="s">
        <v>311</v>
      </c>
      <c r="B296" t="s">
        <v>2351</v>
      </c>
      <c r="C296" t="s">
        <v>2385</v>
      </c>
      <c r="D296">
        <v>3430</v>
      </c>
      <c r="E296" t="str">
        <f t="shared" si="4"/>
        <v>ia.assorted_string like '%3430-08-2022%' or</v>
      </c>
    </row>
    <row r="297" spans="1:5" x14ac:dyDescent="0.25">
      <c r="A297" t="s">
        <v>313</v>
      </c>
      <c r="B297" t="s">
        <v>2346</v>
      </c>
      <c r="C297" t="s">
        <v>2385</v>
      </c>
      <c r="D297">
        <v>94522</v>
      </c>
      <c r="E297" t="str">
        <f t="shared" si="4"/>
        <v>ia.assorted_string like '%94522-08-2024%' or</v>
      </c>
    </row>
    <row r="298" spans="1:5" x14ac:dyDescent="0.25">
      <c r="A298" t="s">
        <v>314</v>
      </c>
      <c r="B298" t="s">
        <v>2360</v>
      </c>
      <c r="C298" t="s">
        <v>2385</v>
      </c>
      <c r="D298">
        <v>4438</v>
      </c>
      <c r="E298" t="str">
        <f t="shared" si="4"/>
        <v>ia.assorted_string like '%4438-09-2022%' or</v>
      </c>
    </row>
    <row r="299" spans="1:5" x14ac:dyDescent="0.25">
      <c r="A299" t="s">
        <v>315</v>
      </c>
      <c r="B299" t="s">
        <v>2346</v>
      </c>
      <c r="C299" t="s">
        <v>2385</v>
      </c>
      <c r="D299">
        <v>94523</v>
      </c>
      <c r="E299" t="str">
        <f t="shared" si="4"/>
        <v>ia.assorted_string like '%94523-08-2024%' or</v>
      </c>
    </row>
    <row r="300" spans="1:5" x14ac:dyDescent="0.25">
      <c r="A300" t="s">
        <v>316</v>
      </c>
      <c r="B300" t="s">
        <v>2362</v>
      </c>
      <c r="C300" t="s">
        <v>2385</v>
      </c>
      <c r="D300">
        <v>2006</v>
      </c>
      <c r="E300" t="str">
        <f t="shared" si="4"/>
        <v>ia.assorted_string like '%2006-02-2022%' or</v>
      </c>
    </row>
    <row r="301" spans="1:5" x14ac:dyDescent="0.25">
      <c r="A301" t="s">
        <v>317</v>
      </c>
      <c r="B301" t="s">
        <v>2346</v>
      </c>
      <c r="C301" t="s">
        <v>2385</v>
      </c>
      <c r="D301">
        <v>94524</v>
      </c>
      <c r="E301" t="str">
        <f t="shared" si="4"/>
        <v>ia.assorted_string like '%94524-08-2024%' or</v>
      </c>
    </row>
    <row r="302" spans="1:5" x14ac:dyDescent="0.25">
      <c r="A302" t="s">
        <v>318</v>
      </c>
      <c r="B302" t="s">
        <v>2353</v>
      </c>
      <c r="C302" t="s">
        <v>2385</v>
      </c>
      <c r="D302">
        <v>6310</v>
      </c>
      <c r="E302" t="str">
        <f t="shared" si="4"/>
        <v>ia.assorted_string like '%6310-11-2022%' or</v>
      </c>
    </row>
    <row r="303" spans="1:5" x14ac:dyDescent="0.25">
      <c r="A303" t="s">
        <v>319</v>
      </c>
      <c r="B303" t="s">
        <v>2346</v>
      </c>
      <c r="C303" t="s">
        <v>2385</v>
      </c>
      <c r="D303">
        <v>94525</v>
      </c>
      <c r="E303" t="str">
        <f t="shared" si="4"/>
        <v>ia.assorted_string like '%94525-08-2024%' or</v>
      </c>
    </row>
    <row r="304" spans="1:5" x14ac:dyDescent="0.25">
      <c r="A304" t="s">
        <v>320</v>
      </c>
      <c r="B304" t="s">
        <v>2353</v>
      </c>
      <c r="C304" t="s">
        <v>2385</v>
      </c>
      <c r="D304">
        <v>6433</v>
      </c>
      <c r="E304" t="str">
        <f t="shared" si="4"/>
        <v>ia.assorted_string like '%6433-11-2022%' or</v>
      </c>
    </row>
    <row r="305" spans="1:5" x14ac:dyDescent="0.25">
      <c r="A305" t="s">
        <v>321</v>
      </c>
      <c r="B305" t="s">
        <v>2346</v>
      </c>
      <c r="C305" t="s">
        <v>2385</v>
      </c>
      <c r="D305">
        <v>94529</v>
      </c>
      <c r="E305" t="str">
        <f t="shared" si="4"/>
        <v>ia.assorted_string like '%94529-08-2024%' or</v>
      </c>
    </row>
    <row r="306" spans="1:5" x14ac:dyDescent="0.25">
      <c r="A306" t="s">
        <v>322</v>
      </c>
      <c r="B306" t="s">
        <v>2353</v>
      </c>
      <c r="C306" t="s">
        <v>2385</v>
      </c>
      <c r="D306">
        <v>6933</v>
      </c>
      <c r="E306" t="str">
        <f t="shared" si="4"/>
        <v>ia.assorted_string like '%6933-11-2022%' or</v>
      </c>
    </row>
    <row r="307" spans="1:5" x14ac:dyDescent="0.25">
      <c r="A307" t="s">
        <v>323</v>
      </c>
      <c r="B307" t="s">
        <v>2346</v>
      </c>
      <c r="C307" t="s">
        <v>2385</v>
      </c>
      <c r="D307">
        <v>94531</v>
      </c>
      <c r="E307" t="str">
        <f t="shared" si="4"/>
        <v>ia.assorted_string like '%94531-08-2024%' or</v>
      </c>
    </row>
    <row r="308" spans="1:5" x14ac:dyDescent="0.25">
      <c r="A308" t="s">
        <v>324</v>
      </c>
      <c r="B308" t="s">
        <v>2353</v>
      </c>
      <c r="C308" t="s">
        <v>2385</v>
      </c>
      <c r="D308">
        <v>6983</v>
      </c>
      <c r="E308" t="str">
        <f t="shared" si="4"/>
        <v>ia.assorted_string like '%6983-11-2022%' or</v>
      </c>
    </row>
    <row r="309" spans="1:5" x14ac:dyDescent="0.25">
      <c r="A309" t="s">
        <v>325</v>
      </c>
      <c r="B309" t="s">
        <v>2346</v>
      </c>
      <c r="C309" t="s">
        <v>2385</v>
      </c>
      <c r="D309">
        <v>94532</v>
      </c>
      <c r="E309" t="str">
        <f t="shared" si="4"/>
        <v>ia.assorted_string like '%94532-08-2024%' or</v>
      </c>
    </row>
    <row r="310" spans="1:5" x14ac:dyDescent="0.25">
      <c r="A310" t="s">
        <v>326</v>
      </c>
      <c r="B310" t="s">
        <v>2353</v>
      </c>
      <c r="C310" t="s">
        <v>2385</v>
      </c>
      <c r="D310">
        <v>7054</v>
      </c>
      <c r="E310" t="str">
        <f t="shared" si="4"/>
        <v>ia.assorted_string like '%7054-11-2022%' or</v>
      </c>
    </row>
    <row r="311" spans="1:5" x14ac:dyDescent="0.25">
      <c r="A311" t="s">
        <v>327</v>
      </c>
      <c r="B311" t="s">
        <v>2346</v>
      </c>
      <c r="C311" t="s">
        <v>2385</v>
      </c>
      <c r="D311">
        <v>94534</v>
      </c>
      <c r="E311" t="str">
        <f t="shared" si="4"/>
        <v>ia.assorted_string like '%94534-08-2024%' or</v>
      </c>
    </row>
    <row r="312" spans="1:5" x14ac:dyDescent="0.25">
      <c r="A312" t="s">
        <v>328</v>
      </c>
      <c r="B312" t="s">
        <v>2353</v>
      </c>
      <c r="C312" t="s">
        <v>2385</v>
      </c>
      <c r="D312">
        <v>7069</v>
      </c>
      <c r="E312" t="str">
        <f t="shared" si="4"/>
        <v>ia.assorted_string like '%7069-11-2022%' or</v>
      </c>
    </row>
    <row r="313" spans="1:5" x14ac:dyDescent="0.25">
      <c r="A313" t="s">
        <v>329</v>
      </c>
      <c r="B313" t="s">
        <v>2346</v>
      </c>
      <c r="C313" t="s">
        <v>2385</v>
      </c>
      <c r="D313">
        <v>94535</v>
      </c>
      <c r="E313" t="str">
        <f t="shared" si="4"/>
        <v>ia.assorted_string like '%94535-08-2024%' or</v>
      </c>
    </row>
    <row r="314" spans="1:5" x14ac:dyDescent="0.25">
      <c r="A314" t="s">
        <v>330</v>
      </c>
      <c r="B314" t="s">
        <v>2353</v>
      </c>
      <c r="C314" t="s">
        <v>2385</v>
      </c>
      <c r="D314">
        <v>7110</v>
      </c>
      <c r="E314" t="str">
        <f t="shared" si="4"/>
        <v>ia.assorted_string like '%7110-11-2022%' or</v>
      </c>
    </row>
    <row r="315" spans="1:5" x14ac:dyDescent="0.25">
      <c r="A315" t="s">
        <v>331</v>
      </c>
      <c r="B315" t="s">
        <v>2346</v>
      </c>
      <c r="C315" t="s">
        <v>2385</v>
      </c>
      <c r="D315">
        <v>94537</v>
      </c>
      <c r="E315" t="str">
        <f t="shared" si="4"/>
        <v>ia.assorted_string like '%94537-08-2024%' or</v>
      </c>
    </row>
    <row r="316" spans="1:5" x14ac:dyDescent="0.25">
      <c r="A316" t="s">
        <v>332</v>
      </c>
      <c r="B316" t="s">
        <v>2353</v>
      </c>
      <c r="C316" t="s">
        <v>2385</v>
      </c>
      <c r="D316">
        <v>7224</v>
      </c>
      <c r="E316" t="str">
        <f t="shared" si="4"/>
        <v>ia.assorted_string like '%7224-11-2022%' or</v>
      </c>
    </row>
    <row r="317" spans="1:5" x14ac:dyDescent="0.25">
      <c r="A317" t="s">
        <v>333</v>
      </c>
      <c r="B317" t="s">
        <v>2346</v>
      </c>
      <c r="C317" t="s">
        <v>2385</v>
      </c>
      <c r="D317">
        <v>94541</v>
      </c>
      <c r="E317" t="str">
        <f t="shared" si="4"/>
        <v>ia.assorted_string like '%94541-08-2024%' or</v>
      </c>
    </row>
    <row r="318" spans="1:5" x14ac:dyDescent="0.25">
      <c r="A318" t="s">
        <v>334</v>
      </c>
      <c r="B318" t="s">
        <v>2353</v>
      </c>
      <c r="C318" t="s">
        <v>2385</v>
      </c>
      <c r="D318">
        <v>7305</v>
      </c>
      <c r="E318" t="str">
        <f t="shared" si="4"/>
        <v>ia.assorted_string like '%7305-11-2022%' or</v>
      </c>
    </row>
    <row r="319" spans="1:5" x14ac:dyDescent="0.25">
      <c r="A319" t="s">
        <v>335</v>
      </c>
      <c r="B319" t="s">
        <v>2346</v>
      </c>
      <c r="C319" t="s">
        <v>2385</v>
      </c>
      <c r="D319">
        <v>94542</v>
      </c>
      <c r="E319" t="str">
        <f t="shared" si="4"/>
        <v>ia.assorted_string like '%94542-08-2024%' or</v>
      </c>
    </row>
    <row r="320" spans="1:5" x14ac:dyDescent="0.25">
      <c r="A320" t="s">
        <v>336</v>
      </c>
      <c r="B320" t="s">
        <v>2353</v>
      </c>
      <c r="C320" t="s">
        <v>2385</v>
      </c>
      <c r="D320">
        <v>7328</v>
      </c>
      <c r="E320" t="str">
        <f t="shared" si="4"/>
        <v>ia.assorted_string like '%7328-11-2022%' or</v>
      </c>
    </row>
    <row r="321" spans="1:5" x14ac:dyDescent="0.25">
      <c r="A321" t="s">
        <v>337</v>
      </c>
      <c r="B321" t="s">
        <v>2346</v>
      </c>
      <c r="C321" t="s">
        <v>2385</v>
      </c>
      <c r="D321">
        <v>94545</v>
      </c>
      <c r="E321" t="str">
        <f t="shared" si="4"/>
        <v>ia.assorted_string like '%94545-08-2024%' or</v>
      </c>
    </row>
    <row r="322" spans="1:5" x14ac:dyDescent="0.25">
      <c r="A322" t="s">
        <v>338</v>
      </c>
      <c r="B322" t="s">
        <v>2348</v>
      </c>
      <c r="C322" t="s">
        <v>2385</v>
      </c>
      <c r="D322">
        <v>7373</v>
      </c>
      <c r="E322" t="str">
        <f t="shared" si="4"/>
        <v>ia.assorted_string like '%7373-12-2022%' or</v>
      </c>
    </row>
    <row r="323" spans="1:5" x14ac:dyDescent="0.25">
      <c r="A323" t="s">
        <v>339</v>
      </c>
      <c r="B323" t="s">
        <v>2346</v>
      </c>
      <c r="C323" t="s">
        <v>2385</v>
      </c>
      <c r="D323">
        <v>94546</v>
      </c>
      <c r="E323" t="str">
        <f t="shared" ref="E323:E386" si="5">"ia.assorted_string like '%"&amp;D323&amp;B323&amp;"%' or"</f>
        <v>ia.assorted_string like '%94546-08-2024%' or</v>
      </c>
    </row>
    <row r="324" spans="1:5" x14ac:dyDescent="0.25">
      <c r="A324" t="s">
        <v>340</v>
      </c>
      <c r="B324" t="s">
        <v>2348</v>
      </c>
      <c r="C324" t="s">
        <v>2385</v>
      </c>
      <c r="D324">
        <v>7409</v>
      </c>
      <c r="E324" t="str">
        <f t="shared" si="5"/>
        <v>ia.assorted_string like '%7409-12-2022%' or</v>
      </c>
    </row>
    <row r="325" spans="1:5" x14ac:dyDescent="0.25">
      <c r="A325" t="s">
        <v>341</v>
      </c>
      <c r="B325" t="s">
        <v>2346</v>
      </c>
      <c r="C325" t="s">
        <v>2385</v>
      </c>
      <c r="D325">
        <v>94547</v>
      </c>
      <c r="E325" t="str">
        <f t="shared" si="5"/>
        <v>ia.assorted_string like '%94547-08-2024%' or</v>
      </c>
    </row>
    <row r="326" spans="1:5" x14ac:dyDescent="0.25">
      <c r="A326" t="s">
        <v>342</v>
      </c>
      <c r="B326" t="s">
        <v>2348</v>
      </c>
      <c r="C326" t="s">
        <v>2385</v>
      </c>
      <c r="D326">
        <v>7541</v>
      </c>
      <c r="E326" t="str">
        <f t="shared" si="5"/>
        <v>ia.assorted_string like '%7541-12-2022%' or</v>
      </c>
    </row>
    <row r="327" spans="1:5" x14ac:dyDescent="0.25">
      <c r="A327" t="s">
        <v>343</v>
      </c>
      <c r="B327" t="s">
        <v>2346</v>
      </c>
      <c r="C327" t="s">
        <v>2385</v>
      </c>
      <c r="D327">
        <v>94548</v>
      </c>
      <c r="E327" t="str">
        <f t="shared" si="5"/>
        <v>ia.assorted_string like '%94548-08-2024%' or</v>
      </c>
    </row>
    <row r="328" spans="1:5" x14ac:dyDescent="0.25">
      <c r="A328" t="s">
        <v>344</v>
      </c>
      <c r="B328" t="s">
        <v>2348</v>
      </c>
      <c r="C328" t="s">
        <v>2385</v>
      </c>
      <c r="D328">
        <v>7662</v>
      </c>
      <c r="E328" t="str">
        <f t="shared" si="5"/>
        <v>ia.assorted_string like '%7662-12-2022%' or</v>
      </c>
    </row>
    <row r="329" spans="1:5" x14ac:dyDescent="0.25">
      <c r="A329" t="s">
        <v>345</v>
      </c>
      <c r="B329" t="s">
        <v>2346</v>
      </c>
      <c r="C329" t="s">
        <v>2385</v>
      </c>
      <c r="D329">
        <v>94549</v>
      </c>
      <c r="E329" t="str">
        <f t="shared" si="5"/>
        <v>ia.assorted_string like '%94549-08-2024%' or</v>
      </c>
    </row>
    <row r="330" spans="1:5" x14ac:dyDescent="0.25">
      <c r="A330" t="s">
        <v>346</v>
      </c>
      <c r="B330" t="s">
        <v>2344</v>
      </c>
      <c r="C330" t="s">
        <v>2385</v>
      </c>
      <c r="D330">
        <v>19457</v>
      </c>
      <c r="E330" t="str">
        <f t="shared" si="5"/>
        <v>ia.assorted_string like '%19457-07-2023%' or</v>
      </c>
    </row>
    <row r="331" spans="1:5" x14ac:dyDescent="0.25">
      <c r="A331" t="s">
        <v>347</v>
      </c>
      <c r="B331" t="s">
        <v>2346</v>
      </c>
      <c r="C331" t="s">
        <v>2385</v>
      </c>
      <c r="D331">
        <v>94550</v>
      </c>
      <c r="E331" t="str">
        <f t="shared" si="5"/>
        <v>ia.assorted_string like '%94550-08-2024%' or</v>
      </c>
    </row>
    <row r="332" spans="1:5" x14ac:dyDescent="0.25">
      <c r="A332" t="s">
        <v>348</v>
      </c>
      <c r="B332" t="s">
        <v>2348</v>
      </c>
      <c r="C332" t="s">
        <v>2385</v>
      </c>
      <c r="D332">
        <v>7859</v>
      </c>
      <c r="E332" t="str">
        <f t="shared" si="5"/>
        <v>ia.assorted_string like '%7859-12-2022%' or</v>
      </c>
    </row>
    <row r="333" spans="1:5" x14ac:dyDescent="0.25">
      <c r="A333" t="s">
        <v>349</v>
      </c>
      <c r="B333" t="s">
        <v>2346</v>
      </c>
      <c r="C333" t="s">
        <v>2385</v>
      </c>
      <c r="D333">
        <v>94551</v>
      </c>
      <c r="E333" t="str">
        <f t="shared" si="5"/>
        <v>ia.assorted_string like '%94551-08-2024%' or</v>
      </c>
    </row>
    <row r="334" spans="1:5" x14ac:dyDescent="0.25">
      <c r="A334" t="s">
        <v>350</v>
      </c>
      <c r="B334" t="s">
        <v>2348</v>
      </c>
      <c r="C334" t="s">
        <v>2385</v>
      </c>
      <c r="D334">
        <v>7923</v>
      </c>
      <c r="E334" t="str">
        <f t="shared" si="5"/>
        <v>ia.assorted_string like '%7923-12-2022%' or</v>
      </c>
    </row>
    <row r="335" spans="1:5" x14ac:dyDescent="0.25">
      <c r="A335" t="s">
        <v>351</v>
      </c>
      <c r="B335" t="s">
        <v>2346</v>
      </c>
      <c r="C335" t="s">
        <v>2385</v>
      </c>
      <c r="D335">
        <v>94552</v>
      </c>
      <c r="E335" t="str">
        <f t="shared" si="5"/>
        <v>ia.assorted_string like '%94552-08-2024%' or</v>
      </c>
    </row>
    <row r="336" spans="1:5" x14ac:dyDescent="0.25">
      <c r="A336" t="s">
        <v>352</v>
      </c>
      <c r="B336" t="s">
        <v>2350</v>
      </c>
      <c r="C336" t="s">
        <v>2385</v>
      </c>
      <c r="D336">
        <v>8204</v>
      </c>
      <c r="E336" t="str">
        <f t="shared" si="5"/>
        <v>ia.assorted_string like '%8204-01-2023%' or</v>
      </c>
    </row>
    <row r="337" spans="1:5" x14ac:dyDescent="0.25">
      <c r="A337" t="s">
        <v>353</v>
      </c>
      <c r="B337" t="s">
        <v>2346</v>
      </c>
      <c r="C337" t="s">
        <v>2385</v>
      </c>
      <c r="D337">
        <v>94554</v>
      </c>
      <c r="E337" t="str">
        <f t="shared" si="5"/>
        <v>ia.assorted_string like '%94554-08-2024%' or</v>
      </c>
    </row>
    <row r="338" spans="1:5" x14ac:dyDescent="0.25">
      <c r="A338" t="s">
        <v>354</v>
      </c>
      <c r="B338" t="s">
        <v>2350</v>
      </c>
      <c r="C338" t="s">
        <v>2385</v>
      </c>
      <c r="D338">
        <v>8210</v>
      </c>
      <c r="E338" t="str">
        <f t="shared" si="5"/>
        <v>ia.assorted_string like '%8210-01-2023%' or</v>
      </c>
    </row>
    <row r="339" spans="1:5" x14ac:dyDescent="0.25">
      <c r="A339" t="s">
        <v>355</v>
      </c>
      <c r="B339" t="s">
        <v>2346</v>
      </c>
      <c r="C339" t="s">
        <v>2385</v>
      </c>
      <c r="D339">
        <v>94555</v>
      </c>
      <c r="E339" t="str">
        <f t="shared" si="5"/>
        <v>ia.assorted_string like '%94555-08-2024%' or</v>
      </c>
    </row>
    <row r="340" spans="1:5" x14ac:dyDescent="0.25">
      <c r="A340" t="s">
        <v>356</v>
      </c>
      <c r="B340" t="s">
        <v>2350</v>
      </c>
      <c r="C340" t="s">
        <v>2385</v>
      </c>
      <c r="D340">
        <v>8216</v>
      </c>
      <c r="E340" t="str">
        <f t="shared" si="5"/>
        <v>ia.assorted_string like '%8216-01-2023%' or</v>
      </c>
    </row>
    <row r="341" spans="1:5" x14ac:dyDescent="0.25">
      <c r="A341" t="s">
        <v>357</v>
      </c>
      <c r="B341" t="s">
        <v>2346</v>
      </c>
      <c r="C341" t="s">
        <v>2385</v>
      </c>
      <c r="D341">
        <v>94591</v>
      </c>
      <c r="E341" t="str">
        <f t="shared" si="5"/>
        <v>ia.assorted_string like '%94591-08-2024%' or</v>
      </c>
    </row>
    <row r="342" spans="1:5" x14ac:dyDescent="0.25">
      <c r="A342" t="s">
        <v>358</v>
      </c>
      <c r="B342" t="s">
        <v>2350</v>
      </c>
      <c r="C342" t="s">
        <v>2385</v>
      </c>
      <c r="D342">
        <v>8243</v>
      </c>
      <c r="E342" t="str">
        <f t="shared" si="5"/>
        <v>ia.assorted_string like '%8243-01-2023%' or</v>
      </c>
    </row>
    <row r="343" spans="1:5" x14ac:dyDescent="0.25">
      <c r="A343" t="s">
        <v>359</v>
      </c>
      <c r="B343" t="s">
        <v>2346</v>
      </c>
      <c r="C343" t="s">
        <v>2385</v>
      </c>
      <c r="D343">
        <v>94592</v>
      </c>
      <c r="E343" t="str">
        <f t="shared" si="5"/>
        <v>ia.assorted_string like '%94592-08-2024%' or</v>
      </c>
    </row>
    <row r="344" spans="1:5" x14ac:dyDescent="0.25">
      <c r="A344" t="s">
        <v>360</v>
      </c>
      <c r="B344" t="s">
        <v>2350</v>
      </c>
      <c r="C344" t="s">
        <v>2385</v>
      </c>
      <c r="D344">
        <v>8314</v>
      </c>
      <c r="E344" t="str">
        <f t="shared" si="5"/>
        <v>ia.assorted_string like '%8314-01-2023%' or</v>
      </c>
    </row>
    <row r="345" spans="1:5" x14ac:dyDescent="0.25">
      <c r="A345" t="s">
        <v>361</v>
      </c>
      <c r="B345" t="s">
        <v>2346</v>
      </c>
      <c r="C345" t="s">
        <v>2385</v>
      </c>
      <c r="D345">
        <v>94593</v>
      </c>
      <c r="E345" t="str">
        <f t="shared" si="5"/>
        <v>ia.assorted_string like '%94593-08-2024%' or</v>
      </c>
    </row>
    <row r="346" spans="1:5" x14ac:dyDescent="0.25">
      <c r="A346" t="s">
        <v>362</v>
      </c>
      <c r="B346" t="s">
        <v>2350</v>
      </c>
      <c r="C346" t="s">
        <v>2385</v>
      </c>
      <c r="D346">
        <v>8380</v>
      </c>
      <c r="E346" t="str">
        <f t="shared" si="5"/>
        <v>ia.assorted_string like '%8380-01-2023%' or</v>
      </c>
    </row>
    <row r="347" spans="1:5" x14ac:dyDescent="0.25">
      <c r="A347" t="s">
        <v>363</v>
      </c>
      <c r="B347" t="s">
        <v>2346</v>
      </c>
      <c r="C347" t="s">
        <v>2385</v>
      </c>
      <c r="D347">
        <v>94595</v>
      </c>
      <c r="E347" t="str">
        <f t="shared" si="5"/>
        <v>ia.assorted_string like '%94595-08-2024%' or</v>
      </c>
    </row>
    <row r="348" spans="1:5" x14ac:dyDescent="0.25">
      <c r="A348" t="s">
        <v>364</v>
      </c>
      <c r="B348" t="s">
        <v>2350</v>
      </c>
      <c r="C348" t="s">
        <v>2385</v>
      </c>
      <c r="D348">
        <v>8658</v>
      </c>
      <c r="E348" t="str">
        <f t="shared" si="5"/>
        <v>ia.assorted_string like '%8658-01-2023%' or</v>
      </c>
    </row>
    <row r="349" spans="1:5" x14ac:dyDescent="0.25">
      <c r="A349" t="s">
        <v>365</v>
      </c>
      <c r="B349" t="s">
        <v>2346</v>
      </c>
      <c r="C349" t="s">
        <v>2385</v>
      </c>
      <c r="D349">
        <v>94598</v>
      </c>
      <c r="E349" t="str">
        <f t="shared" si="5"/>
        <v>ia.assorted_string like '%94598-08-2024%' or</v>
      </c>
    </row>
    <row r="350" spans="1:5" x14ac:dyDescent="0.25">
      <c r="A350" t="s">
        <v>366</v>
      </c>
      <c r="B350" t="s">
        <v>2350</v>
      </c>
      <c r="C350" t="s">
        <v>2385</v>
      </c>
      <c r="D350">
        <v>8668</v>
      </c>
      <c r="E350" t="str">
        <f t="shared" si="5"/>
        <v>ia.assorted_string like '%8668-01-2023%' or</v>
      </c>
    </row>
    <row r="351" spans="1:5" x14ac:dyDescent="0.25">
      <c r="A351" t="s">
        <v>367</v>
      </c>
      <c r="B351" t="s">
        <v>2346</v>
      </c>
      <c r="C351" t="s">
        <v>2385</v>
      </c>
      <c r="D351">
        <v>94599</v>
      </c>
      <c r="E351" t="str">
        <f t="shared" si="5"/>
        <v>ia.assorted_string like '%94599-08-2024%' or</v>
      </c>
    </row>
    <row r="352" spans="1:5" x14ac:dyDescent="0.25">
      <c r="A352" t="s">
        <v>368</v>
      </c>
      <c r="B352" t="s">
        <v>2350</v>
      </c>
      <c r="C352" t="s">
        <v>2385</v>
      </c>
      <c r="D352">
        <v>8742</v>
      </c>
      <c r="E352" t="str">
        <f t="shared" si="5"/>
        <v>ia.assorted_string like '%8742-01-2023%' or</v>
      </c>
    </row>
    <row r="353" spans="1:5" x14ac:dyDescent="0.25">
      <c r="A353" t="s">
        <v>369</v>
      </c>
      <c r="B353" t="s">
        <v>2346</v>
      </c>
      <c r="C353" t="s">
        <v>2385</v>
      </c>
      <c r="D353">
        <v>94634</v>
      </c>
      <c r="E353" t="str">
        <f t="shared" si="5"/>
        <v>ia.assorted_string like '%94634-08-2024%' or</v>
      </c>
    </row>
    <row r="354" spans="1:5" x14ac:dyDescent="0.25">
      <c r="A354" t="s">
        <v>370</v>
      </c>
      <c r="B354" t="s">
        <v>2350</v>
      </c>
      <c r="C354" t="s">
        <v>2385</v>
      </c>
      <c r="D354">
        <v>8808</v>
      </c>
      <c r="E354" t="str">
        <f t="shared" si="5"/>
        <v>ia.assorted_string like '%8808-01-2023%' or</v>
      </c>
    </row>
    <row r="355" spans="1:5" x14ac:dyDescent="0.25">
      <c r="A355" t="s">
        <v>371</v>
      </c>
      <c r="B355" t="s">
        <v>2346</v>
      </c>
      <c r="C355" t="s">
        <v>2385</v>
      </c>
      <c r="D355">
        <v>94646</v>
      </c>
      <c r="E355" t="str">
        <f t="shared" si="5"/>
        <v>ia.assorted_string like '%94646-08-2024%' or</v>
      </c>
    </row>
    <row r="356" spans="1:5" x14ac:dyDescent="0.25">
      <c r="A356" t="s">
        <v>372</v>
      </c>
      <c r="B356" t="s">
        <v>2350</v>
      </c>
      <c r="C356" t="s">
        <v>2385</v>
      </c>
      <c r="D356">
        <v>8812</v>
      </c>
      <c r="E356" t="str">
        <f t="shared" si="5"/>
        <v>ia.assorted_string like '%8812-01-2023%' or</v>
      </c>
    </row>
    <row r="357" spans="1:5" x14ac:dyDescent="0.25">
      <c r="A357" t="s">
        <v>373</v>
      </c>
      <c r="B357" t="s">
        <v>2346</v>
      </c>
      <c r="C357" t="s">
        <v>2385</v>
      </c>
      <c r="D357">
        <v>94650</v>
      </c>
      <c r="E357" t="str">
        <f t="shared" si="5"/>
        <v>ia.assorted_string like '%94650-08-2024%' or</v>
      </c>
    </row>
    <row r="358" spans="1:5" x14ac:dyDescent="0.25">
      <c r="A358" t="s">
        <v>374</v>
      </c>
      <c r="B358" t="s">
        <v>2337</v>
      </c>
      <c r="C358" t="s">
        <v>2385</v>
      </c>
      <c r="D358">
        <v>9024</v>
      </c>
      <c r="E358" t="str">
        <f t="shared" si="5"/>
        <v>ia.assorted_string like '%9024-02-2023%' or</v>
      </c>
    </row>
    <row r="359" spans="1:5" x14ac:dyDescent="0.25">
      <c r="A359" t="s">
        <v>375</v>
      </c>
      <c r="B359" t="s">
        <v>2346</v>
      </c>
      <c r="C359" t="s">
        <v>2385</v>
      </c>
      <c r="D359">
        <v>94658</v>
      </c>
      <c r="E359" t="str">
        <f t="shared" si="5"/>
        <v>ia.assorted_string like '%94658-08-2024%' or</v>
      </c>
    </row>
    <row r="360" spans="1:5" x14ac:dyDescent="0.25">
      <c r="A360" t="s">
        <v>376</v>
      </c>
      <c r="B360" t="s">
        <v>2337</v>
      </c>
      <c r="C360" t="s">
        <v>2385</v>
      </c>
      <c r="D360">
        <v>9066</v>
      </c>
      <c r="E360" t="str">
        <f t="shared" si="5"/>
        <v>ia.assorted_string like '%9066-02-2023%' or</v>
      </c>
    </row>
    <row r="361" spans="1:5" x14ac:dyDescent="0.25">
      <c r="A361" t="s">
        <v>377</v>
      </c>
      <c r="B361" t="s">
        <v>2346</v>
      </c>
      <c r="C361" t="s">
        <v>2385</v>
      </c>
      <c r="D361">
        <v>94659</v>
      </c>
      <c r="E361" t="str">
        <f t="shared" si="5"/>
        <v>ia.assorted_string like '%94659-08-2024%' or</v>
      </c>
    </row>
    <row r="362" spans="1:5" x14ac:dyDescent="0.25">
      <c r="A362" t="s">
        <v>378</v>
      </c>
      <c r="B362" t="s">
        <v>2371</v>
      </c>
      <c r="C362" t="s">
        <v>2385</v>
      </c>
      <c r="D362">
        <v>2771</v>
      </c>
      <c r="E362" t="str">
        <f t="shared" si="5"/>
        <v>ia.assorted_string like '%2771-10-2024%' or</v>
      </c>
    </row>
    <row r="363" spans="1:5" x14ac:dyDescent="0.25">
      <c r="A363" t="s">
        <v>379</v>
      </c>
      <c r="B363" t="s">
        <v>2346</v>
      </c>
      <c r="C363" t="s">
        <v>2385</v>
      </c>
      <c r="D363">
        <v>94660</v>
      </c>
      <c r="E363" t="str">
        <f t="shared" si="5"/>
        <v>ia.assorted_string like '%94660-08-2024%' or</v>
      </c>
    </row>
    <row r="364" spans="1:5" x14ac:dyDescent="0.25">
      <c r="A364" t="s">
        <v>380</v>
      </c>
      <c r="B364" t="s">
        <v>2337</v>
      </c>
      <c r="C364" t="s">
        <v>2385</v>
      </c>
      <c r="D364">
        <v>9318</v>
      </c>
      <c r="E364" t="str">
        <f t="shared" si="5"/>
        <v>ia.assorted_string like '%9318-02-2023%' or</v>
      </c>
    </row>
    <row r="365" spans="1:5" x14ac:dyDescent="0.25">
      <c r="A365" t="s">
        <v>381</v>
      </c>
      <c r="B365" t="s">
        <v>2346</v>
      </c>
      <c r="C365" t="s">
        <v>2385</v>
      </c>
      <c r="D365">
        <v>94661</v>
      </c>
      <c r="E365" t="str">
        <f t="shared" si="5"/>
        <v>ia.assorted_string like '%94661-08-2024%' or</v>
      </c>
    </row>
    <row r="366" spans="1:5" x14ac:dyDescent="0.25">
      <c r="A366" t="s">
        <v>382</v>
      </c>
      <c r="B366" t="s">
        <v>2337</v>
      </c>
      <c r="C366" t="s">
        <v>2385</v>
      </c>
      <c r="D366">
        <v>9337</v>
      </c>
      <c r="E366" t="str">
        <f t="shared" si="5"/>
        <v>ia.assorted_string like '%9337-02-2023%' or</v>
      </c>
    </row>
    <row r="367" spans="1:5" x14ac:dyDescent="0.25">
      <c r="A367" t="s">
        <v>383</v>
      </c>
      <c r="B367" t="s">
        <v>2346</v>
      </c>
      <c r="C367" t="s">
        <v>2385</v>
      </c>
      <c r="D367">
        <v>94662</v>
      </c>
      <c r="E367" t="str">
        <f t="shared" si="5"/>
        <v>ia.assorted_string like '%94662-08-2024%' or</v>
      </c>
    </row>
    <row r="368" spans="1:5" x14ac:dyDescent="0.25">
      <c r="A368" t="s">
        <v>384</v>
      </c>
      <c r="B368" t="s">
        <v>2337</v>
      </c>
      <c r="C368" t="s">
        <v>2385</v>
      </c>
      <c r="D368">
        <v>9405</v>
      </c>
      <c r="E368" t="str">
        <f t="shared" si="5"/>
        <v>ia.assorted_string like '%9405-02-2023%' or</v>
      </c>
    </row>
    <row r="369" spans="1:5" x14ac:dyDescent="0.25">
      <c r="A369" t="s">
        <v>385</v>
      </c>
      <c r="B369" t="s">
        <v>2346</v>
      </c>
      <c r="C369" t="s">
        <v>2385</v>
      </c>
      <c r="D369">
        <v>94663</v>
      </c>
      <c r="E369" t="str">
        <f t="shared" si="5"/>
        <v>ia.assorted_string like '%94663-08-2024%' or</v>
      </c>
    </row>
    <row r="370" spans="1:5" x14ac:dyDescent="0.25">
      <c r="A370" t="s">
        <v>386</v>
      </c>
      <c r="B370" t="s">
        <v>2337</v>
      </c>
      <c r="C370" t="s">
        <v>2385</v>
      </c>
      <c r="D370">
        <v>9440</v>
      </c>
      <c r="E370" t="str">
        <f t="shared" si="5"/>
        <v>ia.assorted_string like '%9440-02-2023%' or</v>
      </c>
    </row>
    <row r="371" spans="1:5" x14ac:dyDescent="0.25">
      <c r="A371" t="s">
        <v>387</v>
      </c>
      <c r="B371" t="s">
        <v>2346</v>
      </c>
      <c r="C371" t="s">
        <v>2385</v>
      </c>
      <c r="D371">
        <v>94664</v>
      </c>
      <c r="E371" t="str">
        <f t="shared" si="5"/>
        <v>ia.assorted_string like '%94664-08-2024%' or</v>
      </c>
    </row>
    <row r="372" spans="1:5" x14ac:dyDescent="0.25">
      <c r="A372" t="s">
        <v>388</v>
      </c>
      <c r="B372" t="s">
        <v>2337</v>
      </c>
      <c r="C372" t="s">
        <v>2385</v>
      </c>
      <c r="D372">
        <v>9603</v>
      </c>
      <c r="E372" t="str">
        <f t="shared" si="5"/>
        <v>ia.assorted_string like '%9603-02-2023%' or</v>
      </c>
    </row>
    <row r="373" spans="1:5" x14ac:dyDescent="0.25">
      <c r="A373" t="s">
        <v>389</v>
      </c>
      <c r="B373" t="s">
        <v>2346</v>
      </c>
      <c r="C373" t="s">
        <v>2385</v>
      </c>
      <c r="D373">
        <v>94665</v>
      </c>
      <c r="E373" t="str">
        <f t="shared" si="5"/>
        <v>ia.assorted_string like '%94665-08-2024%' or</v>
      </c>
    </row>
    <row r="374" spans="1:5" x14ac:dyDescent="0.25">
      <c r="A374" t="s">
        <v>390</v>
      </c>
      <c r="B374" t="s">
        <v>2337</v>
      </c>
      <c r="C374" t="s">
        <v>2385</v>
      </c>
      <c r="D374">
        <v>9646</v>
      </c>
      <c r="E374" t="str">
        <f t="shared" si="5"/>
        <v>ia.assorted_string like '%9646-02-2023%' or</v>
      </c>
    </row>
    <row r="375" spans="1:5" x14ac:dyDescent="0.25">
      <c r="A375" t="s">
        <v>391</v>
      </c>
      <c r="B375" t="s">
        <v>2346</v>
      </c>
      <c r="C375" t="s">
        <v>2385</v>
      </c>
      <c r="D375">
        <v>94666</v>
      </c>
      <c r="E375" t="str">
        <f t="shared" si="5"/>
        <v>ia.assorted_string like '%94666-08-2024%' or</v>
      </c>
    </row>
    <row r="376" spans="1:5" x14ac:dyDescent="0.25">
      <c r="A376" t="s">
        <v>392</v>
      </c>
      <c r="B376" t="s">
        <v>2336</v>
      </c>
      <c r="C376" t="s">
        <v>2385</v>
      </c>
      <c r="D376">
        <v>9694</v>
      </c>
      <c r="E376" t="str">
        <f t="shared" si="5"/>
        <v>ia.assorted_string like '%9694-03-2023%' or</v>
      </c>
    </row>
    <row r="377" spans="1:5" x14ac:dyDescent="0.25">
      <c r="A377" t="s">
        <v>393</v>
      </c>
      <c r="B377" t="s">
        <v>2346</v>
      </c>
      <c r="C377" t="s">
        <v>2385</v>
      </c>
      <c r="D377">
        <v>94669</v>
      </c>
      <c r="E377" t="str">
        <f t="shared" si="5"/>
        <v>ia.assorted_string like '%94669-08-2024%' or</v>
      </c>
    </row>
    <row r="378" spans="1:5" x14ac:dyDescent="0.25">
      <c r="A378" t="s">
        <v>394</v>
      </c>
      <c r="B378" t="s">
        <v>2336</v>
      </c>
      <c r="C378" t="s">
        <v>2385</v>
      </c>
      <c r="D378">
        <v>9698</v>
      </c>
      <c r="E378" t="str">
        <f t="shared" si="5"/>
        <v>ia.assorted_string like '%9698-03-2023%' or</v>
      </c>
    </row>
    <row r="379" spans="1:5" x14ac:dyDescent="0.25">
      <c r="A379" t="s">
        <v>395</v>
      </c>
      <c r="B379" t="s">
        <v>2346</v>
      </c>
      <c r="C379" t="s">
        <v>2385</v>
      </c>
      <c r="D379">
        <v>94670</v>
      </c>
      <c r="E379" t="str">
        <f t="shared" si="5"/>
        <v>ia.assorted_string like '%94670-08-2024%' or</v>
      </c>
    </row>
    <row r="380" spans="1:5" x14ac:dyDescent="0.25">
      <c r="A380" t="s">
        <v>396</v>
      </c>
      <c r="B380" t="s">
        <v>2336</v>
      </c>
      <c r="C380" t="s">
        <v>2385</v>
      </c>
      <c r="D380">
        <v>9708</v>
      </c>
      <c r="E380" t="str">
        <f t="shared" si="5"/>
        <v>ia.assorted_string like '%9708-03-2023%' or</v>
      </c>
    </row>
    <row r="381" spans="1:5" x14ac:dyDescent="0.25">
      <c r="A381" t="s">
        <v>397</v>
      </c>
      <c r="B381" t="s">
        <v>2346</v>
      </c>
      <c r="C381" t="s">
        <v>2385</v>
      </c>
      <c r="D381">
        <v>94672</v>
      </c>
      <c r="E381" t="str">
        <f t="shared" si="5"/>
        <v>ia.assorted_string like '%94672-08-2024%' or</v>
      </c>
    </row>
    <row r="382" spans="1:5" x14ac:dyDescent="0.25">
      <c r="A382" t="s">
        <v>398</v>
      </c>
      <c r="B382" t="s">
        <v>2336</v>
      </c>
      <c r="C382" t="s">
        <v>2385</v>
      </c>
      <c r="D382">
        <v>9711</v>
      </c>
      <c r="E382" t="str">
        <f t="shared" si="5"/>
        <v>ia.assorted_string like '%9711-03-2023%' or</v>
      </c>
    </row>
    <row r="383" spans="1:5" x14ac:dyDescent="0.25">
      <c r="A383" t="s">
        <v>399</v>
      </c>
      <c r="B383" t="s">
        <v>2346</v>
      </c>
      <c r="C383" t="s">
        <v>2385</v>
      </c>
      <c r="D383">
        <v>94673</v>
      </c>
      <c r="E383" t="str">
        <f t="shared" si="5"/>
        <v>ia.assorted_string like '%94673-08-2024%' or</v>
      </c>
    </row>
    <row r="384" spans="1:5" x14ac:dyDescent="0.25">
      <c r="A384" t="s">
        <v>400</v>
      </c>
      <c r="B384" t="s">
        <v>2336</v>
      </c>
      <c r="C384" t="s">
        <v>2385</v>
      </c>
      <c r="D384">
        <v>9713</v>
      </c>
      <c r="E384" t="str">
        <f t="shared" si="5"/>
        <v>ia.assorted_string like '%9713-03-2023%' or</v>
      </c>
    </row>
    <row r="385" spans="1:5" x14ac:dyDescent="0.25">
      <c r="A385" t="s">
        <v>401</v>
      </c>
      <c r="B385" t="s">
        <v>2346</v>
      </c>
      <c r="C385" t="s">
        <v>2385</v>
      </c>
      <c r="D385">
        <v>94674</v>
      </c>
      <c r="E385" t="str">
        <f t="shared" si="5"/>
        <v>ia.assorted_string like '%94674-08-2024%' or</v>
      </c>
    </row>
    <row r="386" spans="1:5" x14ac:dyDescent="0.25">
      <c r="A386" t="s">
        <v>402</v>
      </c>
      <c r="B386" t="s">
        <v>2336</v>
      </c>
      <c r="C386" t="s">
        <v>2385</v>
      </c>
      <c r="D386">
        <v>9715</v>
      </c>
      <c r="E386" t="str">
        <f t="shared" si="5"/>
        <v>ia.assorted_string like '%9715-03-2023%' or</v>
      </c>
    </row>
    <row r="387" spans="1:5" x14ac:dyDescent="0.25">
      <c r="A387" t="s">
        <v>403</v>
      </c>
      <c r="B387" t="s">
        <v>2346</v>
      </c>
      <c r="C387" t="s">
        <v>2385</v>
      </c>
      <c r="D387">
        <v>94675</v>
      </c>
      <c r="E387" t="str">
        <f t="shared" ref="E387:E450" si="6">"ia.assorted_string like '%"&amp;D387&amp;B387&amp;"%' or"</f>
        <v>ia.assorted_string like '%94675-08-2024%' or</v>
      </c>
    </row>
    <row r="388" spans="1:5" x14ac:dyDescent="0.25">
      <c r="A388" t="s">
        <v>404</v>
      </c>
      <c r="B388" t="s">
        <v>2336</v>
      </c>
      <c r="C388" t="s">
        <v>2385</v>
      </c>
      <c r="D388">
        <v>9717</v>
      </c>
      <c r="E388" t="str">
        <f t="shared" si="6"/>
        <v>ia.assorted_string like '%9717-03-2023%' or</v>
      </c>
    </row>
    <row r="389" spans="1:5" x14ac:dyDescent="0.25">
      <c r="A389" t="s">
        <v>405</v>
      </c>
      <c r="B389" t="s">
        <v>2346</v>
      </c>
      <c r="C389" t="s">
        <v>2385</v>
      </c>
      <c r="D389">
        <v>94676</v>
      </c>
      <c r="E389" t="str">
        <f t="shared" si="6"/>
        <v>ia.assorted_string like '%94676-08-2024%' or</v>
      </c>
    </row>
    <row r="390" spans="1:5" x14ac:dyDescent="0.25">
      <c r="A390" t="s">
        <v>406</v>
      </c>
      <c r="B390" t="s">
        <v>2336</v>
      </c>
      <c r="C390" t="s">
        <v>2385</v>
      </c>
      <c r="D390">
        <v>9719</v>
      </c>
      <c r="E390" t="str">
        <f t="shared" si="6"/>
        <v>ia.assorted_string like '%9719-03-2023%' or</v>
      </c>
    </row>
    <row r="391" spans="1:5" x14ac:dyDescent="0.25">
      <c r="A391" t="s">
        <v>407</v>
      </c>
      <c r="B391" t="s">
        <v>2346</v>
      </c>
      <c r="C391" t="s">
        <v>2385</v>
      </c>
      <c r="D391">
        <v>94677</v>
      </c>
      <c r="E391" t="str">
        <f t="shared" si="6"/>
        <v>ia.assorted_string like '%94677-08-2024%' or</v>
      </c>
    </row>
    <row r="392" spans="1:5" x14ac:dyDescent="0.25">
      <c r="A392" t="s">
        <v>408</v>
      </c>
      <c r="B392" t="s">
        <v>2336</v>
      </c>
      <c r="C392" t="s">
        <v>2385</v>
      </c>
      <c r="D392">
        <v>9731</v>
      </c>
      <c r="E392" t="str">
        <f t="shared" si="6"/>
        <v>ia.assorted_string like '%9731-03-2023%' or</v>
      </c>
    </row>
    <row r="393" spans="1:5" x14ac:dyDescent="0.25">
      <c r="A393" t="s">
        <v>409</v>
      </c>
      <c r="B393" t="s">
        <v>2346</v>
      </c>
      <c r="C393" t="s">
        <v>2385</v>
      </c>
      <c r="D393">
        <v>94678</v>
      </c>
      <c r="E393" t="str">
        <f t="shared" si="6"/>
        <v>ia.assorted_string like '%94678-08-2024%' or</v>
      </c>
    </row>
    <row r="394" spans="1:5" x14ac:dyDescent="0.25">
      <c r="A394" t="s">
        <v>410</v>
      </c>
      <c r="B394" t="s">
        <v>2371</v>
      </c>
      <c r="C394" t="s">
        <v>2385</v>
      </c>
      <c r="D394">
        <v>2809</v>
      </c>
      <c r="E394" t="str">
        <f t="shared" si="6"/>
        <v>ia.assorted_string like '%2809-10-2024%' or</v>
      </c>
    </row>
    <row r="395" spans="1:5" x14ac:dyDescent="0.25">
      <c r="A395" t="s">
        <v>411</v>
      </c>
      <c r="B395" t="s">
        <v>2346</v>
      </c>
      <c r="C395" t="s">
        <v>2385</v>
      </c>
      <c r="D395">
        <v>94679</v>
      </c>
      <c r="E395" t="str">
        <f t="shared" si="6"/>
        <v>ia.assorted_string like '%94679-08-2024%' or</v>
      </c>
    </row>
    <row r="396" spans="1:5" x14ac:dyDescent="0.25">
      <c r="A396" t="s">
        <v>412</v>
      </c>
      <c r="B396" t="s">
        <v>2345</v>
      </c>
      <c r="C396" t="s">
        <v>2385</v>
      </c>
      <c r="D396">
        <v>9899</v>
      </c>
      <c r="E396" t="str">
        <f t="shared" si="6"/>
        <v>ia.assorted_string like '%9899-06-2023%' or</v>
      </c>
    </row>
    <row r="397" spans="1:5" x14ac:dyDescent="0.25">
      <c r="A397" t="s">
        <v>413</v>
      </c>
      <c r="B397" t="s">
        <v>2346</v>
      </c>
      <c r="C397" t="s">
        <v>2385</v>
      </c>
      <c r="D397">
        <v>94680</v>
      </c>
      <c r="E397" t="str">
        <f t="shared" si="6"/>
        <v>ia.assorted_string like '%94680-08-2024%' or</v>
      </c>
    </row>
    <row r="398" spans="1:5" x14ac:dyDescent="0.25">
      <c r="A398" t="s">
        <v>414</v>
      </c>
      <c r="B398" t="s">
        <v>2361</v>
      </c>
      <c r="C398" t="s">
        <v>2385</v>
      </c>
      <c r="D398">
        <v>3817</v>
      </c>
      <c r="E398" t="str">
        <f t="shared" si="6"/>
        <v>ia.assorted_string like '%3817-01-2024%' or</v>
      </c>
    </row>
    <row r="399" spans="1:5" x14ac:dyDescent="0.25">
      <c r="A399" t="s">
        <v>415</v>
      </c>
      <c r="B399" t="s">
        <v>2346</v>
      </c>
      <c r="C399" t="s">
        <v>2385</v>
      </c>
      <c r="D399">
        <v>94681</v>
      </c>
      <c r="E399" t="str">
        <f t="shared" si="6"/>
        <v>ia.assorted_string like '%94681-08-2024%' or</v>
      </c>
    </row>
    <row r="400" spans="1:5" x14ac:dyDescent="0.25">
      <c r="A400" t="s">
        <v>416</v>
      </c>
      <c r="B400" t="s">
        <v>2344</v>
      </c>
      <c r="C400" t="s">
        <v>2385</v>
      </c>
      <c r="D400">
        <v>9974</v>
      </c>
      <c r="E400" t="str">
        <f t="shared" si="6"/>
        <v>ia.assorted_string like '%9974-07-2023%' or</v>
      </c>
    </row>
    <row r="401" spans="1:5" x14ac:dyDescent="0.25">
      <c r="A401" t="s">
        <v>417</v>
      </c>
      <c r="B401" t="s">
        <v>2346</v>
      </c>
      <c r="C401" t="s">
        <v>2385</v>
      </c>
      <c r="D401">
        <v>94682</v>
      </c>
      <c r="E401" t="str">
        <f t="shared" si="6"/>
        <v>ia.assorted_string like '%94682-08-2024%' or</v>
      </c>
    </row>
    <row r="402" spans="1:5" x14ac:dyDescent="0.25">
      <c r="A402" t="s">
        <v>418</v>
      </c>
      <c r="B402" t="s">
        <v>2345</v>
      </c>
      <c r="C402" t="s">
        <v>2385</v>
      </c>
      <c r="D402">
        <v>227</v>
      </c>
      <c r="E402" t="str">
        <f t="shared" si="6"/>
        <v>ia.assorted_string like '%227-06-2023%' or</v>
      </c>
    </row>
    <row r="403" spans="1:5" x14ac:dyDescent="0.25">
      <c r="A403" t="s">
        <v>419</v>
      </c>
      <c r="B403" t="s">
        <v>2346</v>
      </c>
      <c r="C403" t="s">
        <v>2385</v>
      </c>
      <c r="D403">
        <v>94683</v>
      </c>
      <c r="E403" t="str">
        <f t="shared" si="6"/>
        <v>ia.assorted_string like '%94683-08-2024%' or</v>
      </c>
    </row>
    <row r="404" spans="1:5" x14ac:dyDescent="0.25">
      <c r="A404" t="s">
        <v>420</v>
      </c>
      <c r="B404" t="s">
        <v>2372</v>
      </c>
      <c r="C404" t="s">
        <v>2385</v>
      </c>
      <c r="D404">
        <v>259</v>
      </c>
      <c r="E404" t="str">
        <f t="shared" si="6"/>
        <v>ia.assorted_string like '%259-12-2023%' or</v>
      </c>
    </row>
    <row r="405" spans="1:5" x14ac:dyDescent="0.25">
      <c r="A405" t="s">
        <v>421</v>
      </c>
      <c r="B405" t="s">
        <v>2346</v>
      </c>
      <c r="C405" t="s">
        <v>2385</v>
      </c>
      <c r="D405">
        <v>94684</v>
      </c>
      <c r="E405" t="str">
        <f t="shared" si="6"/>
        <v>ia.assorted_string like '%94684-08-2024%' or</v>
      </c>
    </row>
    <row r="406" spans="1:5" x14ac:dyDescent="0.25">
      <c r="A406" t="s">
        <v>422</v>
      </c>
      <c r="B406" t="s">
        <v>2337</v>
      </c>
      <c r="C406" t="s">
        <v>2385</v>
      </c>
      <c r="D406">
        <v>68105</v>
      </c>
      <c r="E406" t="str">
        <f t="shared" si="6"/>
        <v>ia.assorted_string like '%68105-02-2023%' or</v>
      </c>
    </row>
    <row r="407" spans="1:5" x14ac:dyDescent="0.25">
      <c r="A407" t="s">
        <v>423</v>
      </c>
      <c r="B407" t="s">
        <v>2346</v>
      </c>
      <c r="C407" t="s">
        <v>2385</v>
      </c>
      <c r="D407">
        <v>94685</v>
      </c>
      <c r="E407" t="str">
        <f t="shared" si="6"/>
        <v>ia.assorted_string like '%94685-08-2024%' or</v>
      </c>
    </row>
    <row r="408" spans="1:5" x14ac:dyDescent="0.25">
      <c r="A408" t="s">
        <v>424</v>
      </c>
      <c r="B408" t="s">
        <v>2356</v>
      </c>
      <c r="C408" t="s">
        <v>2385</v>
      </c>
      <c r="D408">
        <v>70153</v>
      </c>
      <c r="E408" t="str">
        <f t="shared" si="6"/>
        <v>ia.assorted_string like '%70153-04-2023%' or</v>
      </c>
    </row>
    <row r="409" spans="1:5" x14ac:dyDescent="0.25">
      <c r="A409" t="s">
        <v>425</v>
      </c>
      <c r="B409" t="s">
        <v>2346</v>
      </c>
      <c r="C409" t="s">
        <v>2385</v>
      </c>
      <c r="D409">
        <v>94686</v>
      </c>
      <c r="E409" t="str">
        <f t="shared" si="6"/>
        <v>ia.assorted_string like '%94686-08-2024%' or</v>
      </c>
    </row>
    <row r="410" spans="1:5" x14ac:dyDescent="0.25">
      <c r="A410" t="s">
        <v>427</v>
      </c>
      <c r="B410" t="s">
        <v>2346</v>
      </c>
      <c r="C410" t="s">
        <v>2385</v>
      </c>
      <c r="D410">
        <v>94687</v>
      </c>
      <c r="E410" t="str">
        <f t="shared" si="6"/>
        <v>ia.assorted_string like '%94687-08-2024%' or</v>
      </c>
    </row>
    <row r="411" spans="1:5" x14ac:dyDescent="0.25">
      <c r="A411" t="s">
        <v>428</v>
      </c>
      <c r="B411" t="s">
        <v>2368</v>
      </c>
      <c r="C411" t="s">
        <v>2385</v>
      </c>
      <c r="D411">
        <v>92683</v>
      </c>
      <c r="E411" t="str">
        <f t="shared" si="6"/>
        <v>ia.assorted_string like '%92683-07-2024%' or</v>
      </c>
    </row>
    <row r="412" spans="1:5" x14ac:dyDescent="0.25">
      <c r="A412" t="s">
        <v>429</v>
      </c>
      <c r="B412" t="s">
        <v>2346</v>
      </c>
      <c r="C412" t="s">
        <v>2385</v>
      </c>
      <c r="D412">
        <v>94688</v>
      </c>
      <c r="E412" t="str">
        <f t="shared" si="6"/>
        <v>ia.assorted_string like '%94688-08-2024%' or</v>
      </c>
    </row>
    <row r="413" spans="1:5" x14ac:dyDescent="0.25">
      <c r="A413" t="s">
        <v>430</v>
      </c>
      <c r="B413" t="s">
        <v>2368</v>
      </c>
      <c r="C413" t="s">
        <v>2385</v>
      </c>
      <c r="D413">
        <v>92785</v>
      </c>
      <c r="E413" t="str">
        <f t="shared" si="6"/>
        <v>ia.assorted_string like '%92785-07-2024%' or</v>
      </c>
    </row>
    <row r="414" spans="1:5" x14ac:dyDescent="0.25">
      <c r="A414" t="s">
        <v>431</v>
      </c>
      <c r="B414" t="s">
        <v>2346</v>
      </c>
      <c r="C414" t="s">
        <v>2385</v>
      </c>
      <c r="D414">
        <v>94689</v>
      </c>
      <c r="E414" t="str">
        <f t="shared" si="6"/>
        <v>ia.assorted_string like '%94689-08-2024%' or</v>
      </c>
    </row>
    <row r="415" spans="1:5" x14ac:dyDescent="0.25">
      <c r="A415" t="s">
        <v>432</v>
      </c>
      <c r="B415" t="s">
        <v>2368</v>
      </c>
      <c r="C415" t="s">
        <v>2385</v>
      </c>
      <c r="D415">
        <v>93082</v>
      </c>
      <c r="E415" t="str">
        <f t="shared" si="6"/>
        <v>ia.assorted_string like '%93082-07-2024%' or</v>
      </c>
    </row>
    <row r="416" spans="1:5" x14ac:dyDescent="0.25">
      <c r="A416" t="s">
        <v>433</v>
      </c>
      <c r="B416" t="s">
        <v>2346</v>
      </c>
      <c r="C416" t="s">
        <v>2385</v>
      </c>
      <c r="D416">
        <v>94690</v>
      </c>
      <c r="E416" t="str">
        <f t="shared" si="6"/>
        <v>ia.assorted_string like '%94690-08-2024%' or</v>
      </c>
    </row>
    <row r="417" spans="1:5" x14ac:dyDescent="0.25">
      <c r="A417" t="s">
        <v>434</v>
      </c>
      <c r="B417" t="s">
        <v>2368</v>
      </c>
      <c r="C417" t="s">
        <v>2385</v>
      </c>
      <c r="D417">
        <v>93518</v>
      </c>
      <c r="E417" t="str">
        <f t="shared" si="6"/>
        <v>ia.assorted_string like '%93518-07-2024%' or</v>
      </c>
    </row>
    <row r="418" spans="1:5" x14ac:dyDescent="0.25">
      <c r="A418" t="s">
        <v>435</v>
      </c>
      <c r="B418" t="s">
        <v>2346</v>
      </c>
      <c r="C418" t="s">
        <v>2385</v>
      </c>
      <c r="D418">
        <v>94691</v>
      </c>
      <c r="E418" t="str">
        <f t="shared" si="6"/>
        <v>ia.assorted_string like '%94691-08-2024%' or</v>
      </c>
    </row>
    <row r="419" spans="1:5" x14ac:dyDescent="0.25">
      <c r="A419" t="s">
        <v>436</v>
      </c>
      <c r="B419" t="s">
        <v>2346</v>
      </c>
      <c r="C419" t="s">
        <v>2385</v>
      </c>
      <c r="D419">
        <v>94382</v>
      </c>
      <c r="E419" t="str">
        <f t="shared" si="6"/>
        <v>ia.assorted_string like '%94382-08-2024%' or</v>
      </c>
    </row>
    <row r="420" spans="1:5" x14ac:dyDescent="0.25">
      <c r="A420" t="s">
        <v>437</v>
      </c>
      <c r="B420" t="s">
        <v>2346</v>
      </c>
      <c r="C420" t="s">
        <v>2385</v>
      </c>
      <c r="D420">
        <v>94692</v>
      </c>
      <c r="E420" t="str">
        <f t="shared" si="6"/>
        <v>ia.assorted_string like '%94692-08-2024%' or</v>
      </c>
    </row>
    <row r="421" spans="1:5" x14ac:dyDescent="0.25">
      <c r="A421" t="s">
        <v>438</v>
      </c>
      <c r="B421" t="s">
        <v>2346</v>
      </c>
      <c r="C421" t="s">
        <v>2385</v>
      </c>
      <c r="D421">
        <v>94385</v>
      </c>
      <c r="E421" t="str">
        <f t="shared" si="6"/>
        <v>ia.assorted_string like '%94385-08-2024%' or</v>
      </c>
    </row>
    <row r="422" spans="1:5" x14ac:dyDescent="0.25">
      <c r="A422" t="s">
        <v>439</v>
      </c>
      <c r="B422" t="s">
        <v>2346</v>
      </c>
      <c r="C422" t="s">
        <v>2385</v>
      </c>
      <c r="D422">
        <v>94693</v>
      </c>
      <c r="E422" t="str">
        <f t="shared" si="6"/>
        <v>ia.assorted_string like '%94693-08-2024%' or</v>
      </c>
    </row>
    <row r="423" spans="1:5" x14ac:dyDescent="0.25">
      <c r="A423" t="s">
        <v>440</v>
      </c>
      <c r="B423" t="s">
        <v>2346</v>
      </c>
      <c r="C423" t="s">
        <v>2385</v>
      </c>
      <c r="D423">
        <v>94388</v>
      </c>
      <c r="E423" t="str">
        <f t="shared" si="6"/>
        <v>ia.assorted_string like '%94388-08-2024%' or</v>
      </c>
    </row>
    <row r="424" spans="1:5" x14ac:dyDescent="0.25">
      <c r="A424" t="s">
        <v>441</v>
      </c>
      <c r="B424" t="s">
        <v>2346</v>
      </c>
      <c r="C424" t="s">
        <v>2385</v>
      </c>
      <c r="D424">
        <v>94750</v>
      </c>
      <c r="E424" t="str">
        <f t="shared" si="6"/>
        <v>ia.assorted_string like '%94750-08-2024%' or</v>
      </c>
    </row>
    <row r="425" spans="1:5" x14ac:dyDescent="0.25">
      <c r="A425" t="s">
        <v>442</v>
      </c>
      <c r="B425" t="s">
        <v>2346</v>
      </c>
      <c r="C425" t="s">
        <v>2385</v>
      </c>
      <c r="D425">
        <v>94391</v>
      </c>
      <c r="E425" t="str">
        <f t="shared" si="6"/>
        <v>ia.assorted_string like '%94391-08-2024%' or</v>
      </c>
    </row>
    <row r="426" spans="1:5" x14ac:dyDescent="0.25">
      <c r="A426" t="s">
        <v>443</v>
      </c>
      <c r="B426" t="s">
        <v>2346</v>
      </c>
      <c r="C426" t="s">
        <v>2385</v>
      </c>
      <c r="D426">
        <v>94751</v>
      </c>
      <c r="E426" t="str">
        <f t="shared" si="6"/>
        <v>ia.assorted_string like '%94751-08-2024%' or</v>
      </c>
    </row>
    <row r="427" spans="1:5" x14ac:dyDescent="0.25">
      <c r="A427" t="s">
        <v>444</v>
      </c>
      <c r="B427" t="s">
        <v>2346</v>
      </c>
      <c r="C427" t="s">
        <v>2385</v>
      </c>
      <c r="D427">
        <v>94396</v>
      </c>
      <c r="E427" t="str">
        <f t="shared" si="6"/>
        <v>ia.assorted_string like '%94396-08-2024%' or</v>
      </c>
    </row>
    <row r="428" spans="1:5" x14ac:dyDescent="0.25">
      <c r="A428" t="s">
        <v>445</v>
      </c>
      <c r="B428" t="s">
        <v>2346</v>
      </c>
      <c r="C428" t="s">
        <v>2385</v>
      </c>
      <c r="D428">
        <v>94752</v>
      </c>
      <c r="E428" t="str">
        <f t="shared" si="6"/>
        <v>ia.assorted_string like '%94752-08-2024%' or</v>
      </c>
    </row>
    <row r="429" spans="1:5" x14ac:dyDescent="0.25">
      <c r="A429" t="s">
        <v>446</v>
      </c>
      <c r="B429" t="s">
        <v>2351</v>
      </c>
      <c r="C429" t="s">
        <v>2385</v>
      </c>
      <c r="D429">
        <v>48</v>
      </c>
      <c r="E429" t="str">
        <f t="shared" si="6"/>
        <v>ia.assorted_string like '%48-08-2022%' or</v>
      </c>
    </row>
    <row r="430" spans="1:5" x14ac:dyDescent="0.25">
      <c r="A430" t="s">
        <v>447</v>
      </c>
      <c r="B430" t="s">
        <v>2346</v>
      </c>
      <c r="C430" t="s">
        <v>2385</v>
      </c>
      <c r="D430">
        <v>94770</v>
      </c>
      <c r="E430" t="str">
        <f t="shared" si="6"/>
        <v>ia.assorted_string like '%94770-08-2024%' or</v>
      </c>
    </row>
    <row r="431" spans="1:5" x14ac:dyDescent="0.25">
      <c r="A431" t="s">
        <v>448</v>
      </c>
      <c r="B431" t="s">
        <v>2336</v>
      </c>
      <c r="C431" t="s">
        <v>2385</v>
      </c>
      <c r="D431">
        <v>2589</v>
      </c>
      <c r="E431" t="str">
        <f t="shared" si="6"/>
        <v>ia.assorted_string like '%2589-03-2023%' or</v>
      </c>
    </row>
    <row r="432" spans="1:5" x14ac:dyDescent="0.25">
      <c r="A432" t="s">
        <v>449</v>
      </c>
      <c r="B432" t="s">
        <v>2346</v>
      </c>
      <c r="C432" t="s">
        <v>2385</v>
      </c>
      <c r="D432">
        <v>94771</v>
      </c>
      <c r="E432" t="str">
        <f t="shared" si="6"/>
        <v>ia.assorted_string like '%94771-08-2024%' or</v>
      </c>
    </row>
    <row r="433" spans="1:5" x14ac:dyDescent="0.25">
      <c r="A433" t="s">
        <v>450</v>
      </c>
      <c r="B433" t="s">
        <v>2348</v>
      </c>
      <c r="C433" t="s">
        <v>2385</v>
      </c>
      <c r="D433">
        <v>2020</v>
      </c>
      <c r="E433" t="str">
        <f t="shared" si="6"/>
        <v>ia.assorted_string like '%2020-12-2022%' or</v>
      </c>
    </row>
    <row r="434" spans="1:5" x14ac:dyDescent="0.25">
      <c r="A434" t="s">
        <v>451</v>
      </c>
      <c r="B434" t="s">
        <v>2346</v>
      </c>
      <c r="C434" t="s">
        <v>2385</v>
      </c>
      <c r="D434">
        <v>94772</v>
      </c>
      <c r="E434" t="str">
        <f t="shared" si="6"/>
        <v>ia.assorted_string like '%94772-08-2024%' or</v>
      </c>
    </row>
    <row r="435" spans="1:5" x14ac:dyDescent="0.25">
      <c r="A435" t="s">
        <v>452</v>
      </c>
      <c r="B435" t="s">
        <v>2345</v>
      </c>
      <c r="C435" t="s">
        <v>2385</v>
      </c>
      <c r="D435">
        <v>2553</v>
      </c>
      <c r="E435" t="str">
        <f t="shared" si="6"/>
        <v>ia.assorted_string like '%2553-06-2023%' or</v>
      </c>
    </row>
    <row r="436" spans="1:5" x14ac:dyDescent="0.25">
      <c r="A436" t="s">
        <v>453</v>
      </c>
      <c r="B436" t="s">
        <v>2346</v>
      </c>
      <c r="C436" t="s">
        <v>2385</v>
      </c>
      <c r="D436">
        <v>94773</v>
      </c>
      <c r="E436" t="str">
        <f t="shared" si="6"/>
        <v>ia.assorted_string like '%94773-08-2024%' or</v>
      </c>
    </row>
    <row r="437" spans="1:5" x14ac:dyDescent="0.25">
      <c r="A437" t="s">
        <v>454</v>
      </c>
      <c r="B437" t="s">
        <v>2354</v>
      </c>
      <c r="C437" t="s">
        <v>2385</v>
      </c>
      <c r="D437">
        <v>2648</v>
      </c>
      <c r="E437" t="str">
        <f t="shared" si="6"/>
        <v>ia.assorted_string like '%2648-08-2023%' or</v>
      </c>
    </row>
    <row r="438" spans="1:5" x14ac:dyDescent="0.25">
      <c r="A438" t="s">
        <v>455</v>
      </c>
      <c r="B438" t="s">
        <v>2346</v>
      </c>
      <c r="C438" t="s">
        <v>2385</v>
      </c>
      <c r="D438">
        <v>94774</v>
      </c>
      <c r="E438" t="str">
        <f t="shared" si="6"/>
        <v>ia.assorted_string like '%94774-08-2024%' or</v>
      </c>
    </row>
    <row r="439" spans="1:5" x14ac:dyDescent="0.25">
      <c r="A439" t="s">
        <v>456</v>
      </c>
      <c r="B439" t="s">
        <v>2350</v>
      </c>
      <c r="C439" t="s">
        <v>2385</v>
      </c>
      <c r="D439">
        <v>17403</v>
      </c>
      <c r="E439" t="str">
        <f t="shared" si="6"/>
        <v>ia.assorted_string like '%17403-01-2023%' or</v>
      </c>
    </row>
    <row r="440" spans="1:5" x14ac:dyDescent="0.25">
      <c r="A440" t="s">
        <v>457</v>
      </c>
      <c r="B440" t="s">
        <v>2346</v>
      </c>
      <c r="C440" t="s">
        <v>2385</v>
      </c>
      <c r="D440">
        <v>95024</v>
      </c>
      <c r="E440" t="str">
        <f t="shared" si="6"/>
        <v>ia.assorted_string like '%95024-08-2024%' or</v>
      </c>
    </row>
    <row r="441" spans="1:5" x14ac:dyDescent="0.25">
      <c r="A441" t="s">
        <v>458</v>
      </c>
      <c r="B441" t="s">
        <v>2361</v>
      </c>
      <c r="C441" t="s">
        <v>2385</v>
      </c>
      <c r="D441">
        <v>10257</v>
      </c>
      <c r="E441" t="str">
        <f t="shared" si="6"/>
        <v>ia.assorted_string like '%10257-01-2024%' or</v>
      </c>
    </row>
    <row r="442" spans="1:5" x14ac:dyDescent="0.25">
      <c r="A442" t="s">
        <v>459</v>
      </c>
      <c r="B442" t="s">
        <v>2346</v>
      </c>
      <c r="C442" t="s">
        <v>2385</v>
      </c>
      <c r="D442">
        <v>95025</v>
      </c>
      <c r="E442" t="str">
        <f t="shared" si="6"/>
        <v>ia.assorted_string like '%95025-08-2024%' or</v>
      </c>
    </row>
    <row r="443" spans="1:5" x14ac:dyDescent="0.25">
      <c r="A443" t="s">
        <v>460</v>
      </c>
      <c r="B443" t="s">
        <v>2361</v>
      </c>
      <c r="C443" t="s">
        <v>2385</v>
      </c>
      <c r="D443">
        <v>10259</v>
      </c>
      <c r="E443" t="str">
        <f t="shared" si="6"/>
        <v>ia.assorted_string like '%10259-01-2024%' or</v>
      </c>
    </row>
    <row r="444" spans="1:5" x14ac:dyDescent="0.25">
      <c r="A444" t="s">
        <v>461</v>
      </c>
      <c r="B444" t="s">
        <v>2346</v>
      </c>
      <c r="C444" t="s">
        <v>2385</v>
      </c>
      <c r="D444">
        <v>95068</v>
      </c>
      <c r="E444" t="str">
        <f t="shared" si="6"/>
        <v>ia.assorted_string like '%95068-08-2024%' or</v>
      </c>
    </row>
    <row r="445" spans="1:5" x14ac:dyDescent="0.25">
      <c r="A445" t="s">
        <v>462</v>
      </c>
      <c r="B445" t="s">
        <v>2361</v>
      </c>
      <c r="C445" t="s">
        <v>2385</v>
      </c>
      <c r="D445">
        <v>10263</v>
      </c>
      <c r="E445" t="str">
        <f t="shared" si="6"/>
        <v>ia.assorted_string like '%10263-01-2024%' or</v>
      </c>
    </row>
    <row r="446" spans="1:5" x14ac:dyDescent="0.25">
      <c r="A446" t="s">
        <v>463</v>
      </c>
      <c r="B446" t="s">
        <v>2346</v>
      </c>
      <c r="C446" t="s">
        <v>2385</v>
      </c>
      <c r="D446">
        <v>95069</v>
      </c>
      <c r="E446" t="str">
        <f t="shared" si="6"/>
        <v>ia.assorted_string like '%95069-08-2024%' or</v>
      </c>
    </row>
    <row r="447" spans="1:5" x14ac:dyDescent="0.25">
      <c r="A447" t="s">
        <v>464</v>
      </c>
      <c r="B447" t="s">
        <v>2361</v>
      </c>
      <c r="C447" t="s">
        <v>2385</v>
      </c>
      <c r="D447">
        <v>10267</v>
      </c>
      <c r="E447" t="str">
        <f t="shared" si="6"/>
        <v>ia.assorted_string like '%10267-01-2024%' or</v>
      </c>
    </row>
    <row r="448" spans="1:5" x14ac:dyDescent="0.25">
      <c r="A448" t="s">
        <v>465</v>
      </c>
      <c r="B448" t="s">
        <v>2342</v>
      </c>
      <c r="C448" t="s">
        <v>2385</v>
      </c>
      <c r="D448">
        <v>98385</v>
      </c>
      <c r="E448" t="str">
        <f t="shared" si="6"/>
        <v>ia.assorted_string like '%98385-09-2024%' or</v>
      </c>
    </row>
    <row r="449" spans="1:5" x14ac:dyDescent="0.25">
      <c r="A449" t="s">
        <v>466</v>
      </c>
      <c r="B449" t="s">
        <v>2361</v>
      </c>
      <c r="C449" t="s">
        <v>2385</v>
      </c>
      <c r="D449">
        <v>10271</v>
      </c>
      <c r="E449" t="str">
        <f t="shared" si="6"/>
        <v>ia.assorted_string like '%10271-01-2024%' or</v>
      </c>
    </row>
    <row r="450" spans="1:5" x14ac:dyDescent="0.25">
      <c r="A450" t="s">
        <v>467</v>
      </c>
      <c r="B450" t="s">
        <v>2342</v>
      </c>
      <c r="C450" t="s">
        <v>2385</v>
      </c>
      <c r="D450">
        <v>98386</v>
      </c>
      <c r="E450" t="str">
        <f t="shared" si="6"/>
        <v>ia.assorted_string like '%98386-09-2024%' or</v>
      </c>
    </row>
    <row r="451" spans="1:5" x14ac:dyDescent="0.25">
      <c r="A451" t="s">
        <v>468</v>
      </c>
      <c r="B451" t="s">
        <v>2369</v>
      </c>
      <c r="C451" t="s">
        <v>2385</v>
      </c>
      <c r="D451">
        <v>585</v>
      </c>
      <c r="E451" t="str">
        <f t="shared" ref="E451:E603" si="7">"ia.assorted_string like '%"&amp;D451&amp;B451&amp;"%' or"</f>
        <v>ia.assorted_string like '%585-02-2020%' or</v>
      </c>
    </row>
    <row r="452" spans="1:5" x14ac:dyDescent="0.25">
      <c r="A452" t="s">
        <v>469</v>
      </c>
      <c r="B452" t="s">
        <v>2342</v>
      </c>
      <c r="C452" t="s">
        <v>2385</v>
      </c>
      <c r="D452">
        <v>98570</v>
      </c>
      <c r="E452" t="str">
        <f t="shared" si="7"/>
        <v>ia.assorted_string like '%98570-09-2024%' or</v>
      </c>
    </row>
    <row r="453" spans="1:5" x14ac:dyDescent="0.25">
      <c r="A453" t="s">
        <v>470</v>
      </c>
      <c r="B453" t="s">
        <v>2358</v>
      </c>
      <c r="C453" t="s">
        <v>2385</v>
      </c>
      <c r="D453">
        <v>5644</v>
      </c>
      <c r="E453" t="str">
        <f t="shared" si="7"/>
        <v>ia.assorted_string like '%5644-10-2022%' or</v>
      </c>
    </row>
    <row r="454" spans="1:5" x14ac:dyDescent="0.25">
      <c r="A454" t="s">
        <v>471</v>
      </c>
      <c r="B454" t="s">
        <v>2366</v>
      </c>
      <c r="C454" t="s">
        <v>2385</v>
      </c>
      <c r="D454">
        <v>56682</v>
      </c>
      <c r="E454" t="str">
        <f t="shared" si="7"/>
        <v>ia.assorted_string like '%56682-11-2021%' or</v>
      </c>
    </row>
    <row r="455" spans="1:5" x14ac:dyDescent="0.25">
      <c r="A455" t="s">
        <v>472</v>
      </c>
      <c r="B455" t="s">
        <v>2353</v>
      </c>
      <c r="C455" t="s">
        <v>2385</v>
      </c>
      <c r="D455">
        <v>6373</v>
      </c>
      <c r="E455" t="str">
        <f t="shared" si="7"/>
        <v>ia.assorted_string like '%6373-11-2022%' or</v>
      </c>
    </row>
    <row r="456" spans="1:5" x14ac:dyDescent="0.25">
      <c r="A456" t="s">
        <v>473</v>
      </c>
      <c r="B456" t="s">
        <v>2357</v>
      </c>
      <c r="C456" t="s">
        <v>2385</v>
      </c>
      <c r="D456">
        <v>61515</v>
      </c>
      <c r="E456" t="str">
        <f t="shared" si="7"/>
        <v>ia.assorted_string like '%61515-06-2022%' or</v>
      </c>
    </row>
    <row r="457" spans="1:5" x14ac:dyDescent="0.25">
      <c r="A457" t="s">
        <v>474</v>
      </c>
      <c r="B457" t="s">
        <v>2353</v>
      </c>
      <c r="C457" t="s">
        <v>2385</v>
      </c>
      <c r="D457">
        <v>6941</v>
      </c>
      <c r="E457" t="str">
        <f t="shared" si="7"/>
        <v>ia.assorted_string like '%6941-11-2022%' or</v>
      </c>
    </row>
    <row r="458" spans="1:5" x14ac:dyDescent="0.25">
      <c r="A458" t="s">
        <v>475</v>
      </c>
      <c r="B458" t="s">
        <v>2360</v>
      </c>
      <c r="C458" t="s">
        <v>2385</v>
      </c>
      <c r="D458">
        <v>63322</v>
      </c>
      <c r="E458" t="str">
        <f t="shared" si="7"/>
        <v>ia.assorted_string like '%63322-09-2022%' or</v>
      </c>
    </row>
    <row r="459" spans="1:5" x14ac:dyDescent="0.25">
      <c r="A459" t="s">
        <v>476</v>
      </c>
      <c r="B459" t="s">
        <v>2353</v>
      </c>
      <c r="C459" t="s">
        <v>2385</v>
      </c>
      <c r="D459">
        <v>7058</v>
      </c>
      <c r="E459" t="str">
        <f t="shared" si="7"/>
        <v>ia.assorted_string like '%7058-11-2022%' or</v>
      </c>
    </row>
    <row r="460" spans="1:5" x14ac:dyDescent="0.25">
      <c r="A460" t="s">
        <v>477</v>
      </c>
      <c r="B460" t="s">
        <v>2353</v>
      </c>
      <c r="C460" t="s">
        <v>2385</v>
      </c>
      <c r="D460">
        <v>65358</v>
      </c>
      <c r="E460" t="str">
        <f t="shared" si="7"/>
        <v>ia.assorted_string like '%65358-11-2022%' or</v>
      </c>
    </row>
    <row r="461" spans="1:5" x14ac:dyDescent="0.25">
      <c r="A461" t="s">
        <v>478</v>
      </c>
      <c r="B461" t="s">
        <v>2353</v>
      </c>
      <c r="C461" t="s">
        <v>2385</v>
      </c>
      <c r="D461">
        <v>7217</v>
      </c>
      <c r="E461" t="str">
        <f t="shared" si="7"/>
        <v>ia.assorted_string like '%7217-11-2022%' or</v>
      </c>
    </row>
    <row r="462" spans="1:5" x14ac:dyDescent="0.25">
      <c r="A462" t="s">
        <v>479</v>
      </c>
      <c r="B462" t="s">
        <v>2347</v>
      </c>
      <c r="C462" t="s">
        <v>2385</v>
      </c>
      <c r="D462">
        <v>87609</v>
      </c>
      <c r="E462" t="str">
        <f t="shared" si="7"/>
        <v>ia.assorted_string like '%87609-04-2024%' or</v>
      </c>
    </row>
    <row r="463" spans="1:5" x14ac:dyDescent="0.25">
      <c r="A463" t="s">
        <v>480</v>
      </c>
      <c r="B463" t="s">
        <v>2353</v>
      </c>
      <c r="C463" t="s">
        <v>2385</v>
      </c>
      <c r="D463">
        <v>7327</v>
      </c>
      <c r="E463" t="str">
        <f t="shared" si="7"/>
        <v>ia.assorted_string like '%7327-11-2022%' or</v>
      </c>
    </row>
    <row r="464" spans="1:5" x14ac:dyDescent="0.25">
      <c r="A464" t="s">
        <v>481</v>
      </c>
      <c r="B464" t="s">
        <v>2368</v>
      </c>
      <c r="C464" t="s">
        <v>2385</v>
      </c>
      <c r="D464">
        <v>92448</v>
      </c>
      <c r="E464" t="str">
        <f t="shared" si="7"/>
        <v>ia.assorted_string like '%92448-07-2024%' or</v>
      </c>
    </row>
    <row r="465" spans="1:5" x14ac:dyDescent="0.25">
      <c r="A465" t="s">
        <v>482</v>
      </c>
      <c r="B465" t="s">
        <v>2348</v>
      </c>
      <c r="C465" t="s">
        <v>2385</v>
      </c>
      <c r="D465">
        <v>7407</v>
      </c>
      <c r="E465" t="str">
        <f t="shared" si="7"/>
        <v>ia.assorted_string like '%7407-12-2022%' or</v>
      </c>
    </row>
    <row r="466" spans="1:5" x14ac:dyDescent="0.25">
      <c r="A466" t="s">
        <v>484</v>
      </c>
      <c r="B466" t="s">
        <v>2348</v>
      </c>
      <c r="C466" t="s">
        <v>2385</v>
      </c>
      <c r="D466">
        <v>7561</v>
      </c>
      <c r="E466" t="str">
        <f t="shared" si="7"/>
        <v>ia.assorted_string like '%7561-12-2022%' or</v>
      </c>
    </row>
    <row r="467" spans="1:5" x14ac:dyDescent="0.25">
      <c r="A467" t="s">
        <v>486</v>
      </c>
      <c r="B467" t="s">
        <v>2371</v>
      </c>
      <c r="C467" t="s">
        <v>2385</v>
      </c>
      <c r="D467">
        <v>2770</v>
      </c>
      <c r="E467" t="str">
        <f t="shared" si="7"/>
        <v>ia.assorted_string like '%2770-10-2024%' or</v>
      </c>
    </row>
    <row r="468" spans="1:5" x14ac:dyDescent="0.25">
      <c r="A468" t="s">
        <v>487</v>
      </c>
      <c r="B468" t="s">
        <v>2335</v>
      </c>
      <c r="C468" t="s">
        <v>2385</v>
      </c>
      <c r="D468">
        <v>39</v>
      </c>
      <c r="E468" t="str">
        <f t="shared" si="7"/>
        <v>ia.assorted_string like '%39-07-2022%' or</v>
      </c>
    </row>
    <row r="469" spans="1:5" x14ac:dyDescent="0.25">
      <c r="A469" t="s">
        <v>488</v>
      </c>
      <c r="B469" t="s">
        <v>2350</v>
      </c>
      <c r="C469" t="s">
        <v>2385</v>
      </c>
      <c r="D469">
        <v>8200</v>
      </c>
      <c r="E469" t="str">
        <f t="shared" si="7"/>
        <v>ia.assorted_string like '%8200-01-2023%' or</v>
      </c>
    </row>
    <row r="470" spans="1:5" x14ac:dyDescent="0.25">
      <c r="A470" t="s">
        <v>490</v>
      </c>
      <c r="B470" t="s">
        <v>2350</v>
      </c>
      <c r="C470" t="s">
        <v>2385</v>
      </c>
      <c r="D470">
        <v>8213</v>
      </c>
      <c r="E470" t="str">
        <f t="shared" si="7"/>
        <v>ia.assorted_string like '%8213-01-2023%' or</v>
      </c>
    </row>
    <row r="471" spans="1:5" x14ac:dyDescent="0.25">
      <c r="A471" t="s">
        <v>492</v>
      </c>
      <c r="B471" t="s">
        <v>2350</v>
      </c>
      <c r="C471" t="s">
        <v>2385</v>
      </c>
      <c r="D471">
        <v>8313</v>
      </c>
      <c r="E471" t="str">
        <f t="shared" si="7"/>
        <v>ia.assorted_string like '%8313-01-2023%' or</v>
      </c>
    </row>
    <row r="472" spans="1:5" x14ac:dyDescent="0.25">
      <c r="A472" t="s">
        <v>494</v>
      </c>
      <c r="B472" t="s">
        <v>2350</v>
      </c>
      <c r="C472" t="s">
        <v>2385</v>
      </c>
      <c r="D472">
        <v>8596</v>
      </c>
      <c r="E472" t="str">
        <f t="shared" si="7"/>
        <v>ia.assorted_string like '%8596-01-2023%' or</v>
      </c>
    </row>
    <row r="473" spans="1:5" x14ac:dyDescent="0.25">
      <c r="A473" t="s">
        <v>496</v>
      </c>
      <c r="B473" t="s">
        <v>2350</v>
      </c>
      <c r="C473" t="s">
        <v>2385</v>
      </c>
      <c r="D473">
        <v>8708</v>
      </c>
      <c r="E473" t="str">
        <f t="shared" si="7"/>
        <v>ia.assorted_string like '%8708-01-2023%' or</v>
      </c>
    </row>
    <row r="474" spans="1:5" x14ac:dyDescent="0.25">
      <c r="A474" t="s">
        <v>498</v>
      </c>
      <c r="B474" t="s">
        <v>2350</v>
      </c>
      <c r="C474" t="s">
        <v>2385</v>
      </c>
      <c r="D474">
        <v>8809</v>
      </c>
      <c r="E474" t="str">
        <f t="shared" si="7"/>
        <v>ia.assorted_string like '%8809-01-2023%' or</v>
      </c>
    </row>
    <row r="475" spans="1:5" x14ac:dyDescent="0.25">
      <c r="A475" t="s">
        <v>500</v>
      </c>
      <c r="B475" t="s">
        <v>2337</v>
      </c>
      <c r="C475" t="s">
        <v>2385</v>
      </c>
      <c r="D475">
        <v>9030</v>
      </c>
      <c r="E475" t="str">
        <f t="shared" si="7"/>
        <v>ia.assorted_string like '%9030-02-2023%' or</v>
      </c>
    </row>
    <row r="476" spans="1:5" x14ac:dyDescent="0.25">
      <c r="A476" t="s">
        <v>504</v>
      </c>
      <c r="B476" t="s">
        <v>2337</v>
      </c>
      <c r="C476" t="s">
        <v>2385</v>
      </c>
      <c r="D476">
        <v>9370</v>
      </c>
      <c r="E476" t="str">
        <f t="shared" si="7"/>
        <v>ia.assorted_string like '%9370-02-2023%' or</v>
      </c>
    </row>
    <row r="477" spans="1:5" x14ac:dyDescent="0.25">
      <c r="A477" t="s">
        <v>506</v>
      </c>
      <c r="B477" t="s">
        <v>2337</v>
      </c>
      <c r="C477" t="s">
        <v>2385</v>
      </c>
      <c r="D477">
        <v>9479</v>
      </c>
      <c r="E477" t="str">
        <f t="shared" si="7"/>
        <v>ia.assorted_string like '%9479-02-2023%' or</v>
      </c>
    </row>
    <row r="478" spans="1:5" x14ac:dyDescent="0.25">
      <c r="A478" t="s">
        <v>508</v>
      </c>
      <c r="B478" t="s">
        <v>2337</v>
      </c>
      <c r="C478" t="s">
        <v>2385</v>
      </c>
      <c r="D478">
        <v>9648</v>
      </c>
      <c r="E478" t="str">
        <f t="shared" si="7"/>
        <v>ia.assorted_string like '%9648-02-2023%' or</v>
      </c>
    </row>
    <row r="479" spans="1:5" x14ac:dyDescent="0.25">
      <c r="A479" t="s">
        <v>510</v>
      </c>
      <c r="B479" t="s">
        <v>2371</v>
      </c>
      <c r="C479" t="s">
        <v>2385</v>
      </c>
      <c r="D479">
        <v>2808</v>
      </c>
      <c r="E479" t="str">
        <f t="shared" si="7"/>
        <v>ia.assorted_string like '%2808-10-2024%' or</v>
      </c>
    </row>
    <row r="480" spans="1:5" x14ac:dyDescent="0.25">
      <c r="A480" t="s">
        <v>512</v>
      </c>
      <c r="B480" t="s">
        <v>2336</v>
      </c>
      <c r="C480" t="s">
        <v>2385</v>
      </c>
      <c r="D480">
        <v>9712</v>
      </c>
      <c r="E480" t="str">
        <f t="shared" si="7"/>
        <v>ia.assorted_string like '%9712-03-2023%' or</v>
      </c>
    </row>
    <row r="481" spans="1:5" x14ac:dyDescent="0.25">
      <c r="A481" t="s">
        <v>514</v>
      </c>
      <c r="B481" t="s">
        <v>2336</v>
      </c>
      <c r="C481" t="s">
        <v>2385</v>
      </c>
      <c r="D481">
        <v>9716</v>
      </c>
      <c r="E481" t="str">
        <f t="shared" si="7"/>
        <v>ia.assorted_string like '%9716-03-2023%' or</v>
      </c>
    </row>
    <row r="482" spans="1:5" x14ac:dyDescent="0.25">
      <c r="A482" t="s">
        <v>516</v>
      </c>
      <c r="B482" t="s">
        <v>2336</v>
      </c>
      <c r="C482" t="s">
        <v>2385</v>
      </c>
      <c r="D482">
        <v>9728</v>
      </c>
      <c r="E482" t="str">
        <f t="shared" si="7"/>
        <v>ia.assorted_string like '%9728-03-2023%' or</v>
      </c>
    </row>
    <row r="483" spans="1:5" x14ac:dyDescent="0.25">
      <c r="A483" t="s">
        <v>518</v>
      </c>
      <c r="B483" t="s">
        <v>2371</v>
      </c>
      <c r="C483" t="s">
        <v>2385</v>
      </c>
      <c r="D483">
        <v>2814</v>
      </c>
      <c r="E483" t="str">
        <f t="shared" si="7"/>
        <v>ia.assorted_string like '%2814-10-2024%' or</v>
      </c>
    </row>
    <row r="484" spans="1:5" x14ac:dyDescent="0.25">
      <c r="A484" t="s">
        <v>520</v>
      </c>
      <c r="B484" t="s">
        <v>2344</v>
      </c>
      <c r="C484" t="s">
        <v>2385</v>
      </c>
      <c r="D484">
        <v>9938</v>
      </c>
      <c r="E484" t="str">
        <f t="shared" si="7"/>
        <v>ia.assorted_string like '%9938-07-2023%' or</v>
      </c>
    </row>
    <row r="485" spans="1:5" x14ac:dyDescent="0.25">
      <c r="A485" t="s">
        <v>522</v>
      </c>
      <c r="B485" t="s">
        <v>2344</v>
      </c>
      <c r="C485" t="s">
        <v>2385</v>
      </c>
      <c r="D485">
        <v>238</v>
      </c>
      <c r="E485" t="str">
        <f t="shared" si="7"/>
        <v>ia.assorted_string like '%238-07-2023%' or</v>
      </c>
    </row>
    <row r="486" spans="1:5" x14ac:dyDescent="0.25">
      <c r="A486" t="s">
        <v>524</v>
      </c>
      <c r="B486" t="s">
        <v>2336</v>
      </c>
      <c r="C486" t="s">
        <v>2385</v>
      </c>
      <c r="D486">
        <v>68447</v>
      </c>
      <c r="E486" t="str">
        <f t="shared" si="7"/>
        <v>ia.assorted_string like '%68447-03-2023%' or</v>
      </c>
    </row>
    <row r="487" spans="1:5" x14ac:dyDescent="0.25">
      <c r="A487" t="s">
        <v>526</v>
      </c>
      <c r="B487" t="s">
        <v>2368</v>
      </c>
      <c r="C487" t="s">
        <v>2385</v>
      </c>
      <c r="D487">
        <v>92293</v>
      </c>
      <c r="E487" t="str">
        <f t="shared" si="7"/>
        <v>ia.assorted_string like '%92293-07-2024%' or</v>
      </c>
    </row>
    <row r="488" spans="1:5" x14ac:dyDescent="0.25">
      <c r="A488" t="s">
        <v>528</v>
      </c>
      <c r="B488" t="s">
        <v>2368</v>
      </c>
      <c r="C488" t="s">
        <v>2385</v>
      </c>
      <c r="D488">
        <v>93026</v>
      </c>
      <c r="E488" t="str">
        <f t="shared" si="7"/>
        <v>ia.assorted_string like '%93026-07-2024%' or</v>
      </c>
    </row>
    <row r="489" spans="1:5" x14ac:dyDescent="0.25">
      <c r="A489" t="s">
        <v>530</v>
      </c>
      <c r="B489" t="s">
        <v>2368</v>
      </c>
      <c r="C489" t="s">
        <v>2385</v>
      </c>
      <c r="D489">
        <v>93519</v>
      </c>
      <c r="E489" t="str">
        <f t="shared" si="7"/>
        <v>ia.assorted_string like '%93519-07-2024%' or</v>
      </c>
    </row>
    <row r="490" spans="1:5" x14ac:dyDescent="0.25">
      <c r="A490" t="s">
        <v>532</v>
      </c>
      <c r="B490" t="s">
        <v>2346</v>
      </c>
      <c r="C490" t="s">
        <v>2385</v>
      </c>
      <c r="D490">
        <v>94386</v>
      </c>
      <c r="E490" t="str">
        <f t="shared" si="7"/>
        <v>ia.assorted_string like '%94386-08-2024%' or</v>
      </c>
    </row>
    <row r="491" spans="1:5" x14ac:dyDescent="0.25">
      <c r="A491" t="s">
        <v>534</v>
      </c>
      <c r="B491" t="s">
        <v>2346</v>
      </c>
      <c r="C491" t="s">
        <v>2385</v>
      </c>
      <c r="D491">
        <v>94392</v>
      </c>
      <c r="E491" t="str">
        <f t="shared" si="7"/>
        <v>ia.assorted_string like '%94392-08-2024%' or</v>
      </c>
    </row>
    <row r="492" spans="1:5" x14ac:dyDescent="0.25">
      <c r="A492" t="s">
        <v>536</v>
      </c>
      <c r="B492" t="s">
        <v>2342</v>
      </c>
      <c r="C492" t="s">
        <v>2385</v>
      </c>
      <c r="D492">
        <v>271</v>
      </c>
      <c r="E492" t="str">
        <f t="shared" si="7"/>
        <v>ia.assorted_string like '%271-09-2024%' or</v>
      </c>
    </row>
    <row r="493" spans="1:5" x14ac:dyDescent="0.25">
      <c r="A493" t="s">
        <v>538</v>
      </c>
      <c r="B493" t="s">
        <v>2350</v>
      </c>
      <c r="C493" t="s">
        <v>2385</v>
      </c>
      <c r="D493">
        <v>875</v>
      </c>
      <c r="E493" t="str">
        <f t="shared" si="7"/>
        <v>ia.assorted_string like '%875-01-2023%' or</v>
      </c>
    </row>
    <row r="494" spans="1:5" x14ac:dyDescent="0.25">
      <c r="A494" t="s">
        <v>540</v>
      </c>
      <c r="B494" t="s">
        <v>2364</v>
      </c>
      <c r="C494" t="s">
        <v>2385</v>
      </c>
      <c r="D494">
        <v>708</v>
      </c>
      <c r="E494" t="str">
        <f t="shared" si="7"/>
        <v>ia.assorted_string like '%708-12-2021%' or</v>
      </c>
    </row>
    <row r="495" spans="1:5" x14ac:dyDescent="0.25">
      <c r="A495" t="s">
        <v>544</v>
      </c>
      <c r="B495" t="s">
        <v>2361</v>
      </c>
      <c r="C495" t="s">
        <v>2385</v>
      </c>
      <c r="D495">
        <v>10265</v>
      </c>
      <c r="E495" t="str">
        <f t="shared" si="7"/>
        <v>ia.assorted_string like '%10265-01-2024%' or</v>
      </c>
    </row>
    <row r="496" spans="1:5" x14ac:dyDescent="0.25">
      <c r="A496" t="s">
        <v>546</v>
      </c>
      <c r="B496" t="s">
        <v>2361</v>
      </c>
      <c r="C496" t="s">
        <v>2385</v>
      </c>
      <c r="D496">
        <v>10273</v>
      </c>
      <c r="E496" t="str">
        <f t="shared" si="7"/>
        <v>ia.assorted_string like '%10273-01-2024%' or</v>
      </c>
    </row>
    <row r="497" spans="1:5" x14ac:dyDescent="0.25">
      <c r="A497" t="s">
        <v>548</v>
      </c>
      <c r="B497" t="s">
        <v>2336</v>
      </c>
      <c r="C497" t="s">
        <v>2385</v>
      </c>
      <c r="D497">
        <v>2649</v>
      </c>
      <c r="E497" t="str">
        <f t="shared" si="7"/>
        <v>ia.assorted_string like '%2649-03-2023%' or</v>
      </c>
    </row>
    <row r="498" spans="1:5" x14ac:dyDescent="0.25">
      <c r="A498" t="s">
        <v>550</v>
      </c>
      <c r="B498" t="s">
        <v>2353</v>
      </c>
      <c r="C498" t="s">
        <v>2385</v>
      </c>
      <c r="D498">
        <v>7016</v>
      </c>
      <c r="E498" t="str">
        <f t="shared" si="7"/>
        <v>ia.assorted_string like '%7016-11-2022%' or</v>
      </c>
    </row>
    <row r="499" spans="1:5" x14ac:dyDescent="0.25">
      <c r="A499" t="s">
        <v>552</v>
      </c>
      <c r="B499" t="s">
        <v>2353</v>
      </c>
      <c r="C499" t="s">
        <v>2385</v>
      </c>
      <c r="D499">
        <v>7241</v>
      </c>
      <c r="E499" t="str">
        <f t="shared" si="7"/>
        <v>ia.assorted_string like '%7241-11-2022%' or</v>
      </c>
    </row>
    <row r="500" spans="1:5" x14ac:dyDescent="0.25">
      <c r="A500" t="s">
        <v>554</v>
      </c>
      <c r="B500" t="s">
        <v>2348</v>
      </c>
      <c r="C500" t="s">
        <v>2385</v>
      </c>
      <c r="D500">
        <v>7497</v>
      </c>
      <c r="E500" t="str">
        <f t="shared" si="7"/>
        <v>ia.assorted_string like '%7497-12-2022%' or</v>
      </c>
    </row>
    <row r="501" spans="1:5" x14ac:dyDescent="0.25">
      <c r="A501" t="s">
        <v>556</v>
      </c>
      <c r="B501" t="s">
        <v>2348</v>
      </c>
      <c r="C501" t="s">
        <v>2385</v>
      </c>
      <c r="D501">
        <v>7879</v>
      </c>
      <c r="E501" t="str">
        <f t="shared" si="7"/>
        <v>ia.assorted_string like '%7879-12-2022%' or</v>
      </c>
    </row>
    <row r="502" spans="1:5" x14ac:dyDescent="0.25">
      <c r="A502" t="s">
        <v>558</v>
      </c>
      <c r="B502" t="s">
        <v>2350</v>
      </c>
      <c r="C502" t="s">
        <v>2385</v>
      </c>
      <c r="D502">
        <v>8238</v>
      </c>
      <c r="E502" t="str">
        <f t="shared" si="7"/>
        <v>ia.assorted_string like '%8238-01-2023%' or</v>
      </c>
    </row>
    <row r="503" spans="1:5" x14ac:dyDescent="0.25">
      <c r="A503" t="s">
        <v>560</v>
      </c>
      <c r="B503" t="s">
        <v>2350</v>
      </c>
      <c r="C503" t="s">
        <v>2385</v>
      </c>
      <c r="D503">
        <v>8663</v>
      </c>
      <c r="E503" t="str">
        <f t="shared" si="7"/>
        <v>ia.assorted_string like '%8663-01-2023%' or</v>
      </c>
    </row>
    <row r="504" spans="1:5" x14ac:dyDescent="0.25">
      <c r="A504" t="s">
        <v>562</v>
      </c>
      <c r="B504" t="s">
        <v>2350</v>
      </c>
      <c r="C504" t="s">
        <v>2385</v>
      </c>
      <c r="D504">
        <v>8922</v>
      </c>
      <c r="E504" t="str">
        <f t="shared" si="7"/>
        <v>ia.assorted_string like '%8922-01-2023%' or</v>
      </c>
    </row>
    <row r="505" spans="1:5" x14ac:dyDescent="0.25">
      <c r="A505" t="s">
        <v>564</v>
      </c>
      <c r="B505" t="s">
        <v>2337</v>
      </c>
      <c r="C505" t="s">
        <v>2385</v>
      </c>
      <c r="D505">
        <v>9334</v>
      </c>
      <c r="E505" t="str">
        <f t="shared" si="7"/>
        <v>ia.assorted_string like '%9334-02-2023%' or</v>
      </c>
    </row>
    <row r="506" spans="1:5" x14ac:dyDescent="0.25">
      <c r="A506" t="s">
        <v>566</v>
      </c>
      <c r="B506" t="s">
        <v>2337</v>
      </c>
      <c r="C506" t="s">
        <v>2385</v>
      </c>
      <c r="D506">
        <v>9623</v>
      </c>
      <c r="E506" t="str">
        <f t="shared" si="7"/>
        <v>ia.assorted_string like '%9623-02-2023%' or</v>
      </c>
    </row>
    <row r="507" spans="1:5" x14ac:dyDescent="0.25">
      <c r="A507" t="s">
        <v>568</v>
      </c>
      <c r="B507" t="s">
        <v>2336</v>
      </c>
      <c r="C507" t="s">
        <v>2385</v>
      </c>
      <c r="D507">
        <v>9709</v>
      </c>
      <c r="E507" t="str">
        <f t="shared" si="7"/>
        <v>ia.assorted_string like '%9709-03-2023%' or</v>
      </c>
    </row>
    <row r="508" spans="1:5" x14ac:dyDescent="0.25">
      <c r="A508" t="s">
        <v>570</v>
      </c>
      <c r="B508" t="s">
        <v>2336</v>
      </c>
      <c r="C508" t="s">
        <v>2385</v>
      </c>
      <c r="D508">
        <v>9718</v>
      </c>
      <c r="E508" t="str">
        <f t="shared" si="7"/>
        <v>ia.assorted_string like '%9718-03-2023%' or</v>
      </c>
    </row>
    <row r="509" spans="1:5" x14ac:dyDescent="0.25">
      <c r="A509" t="s">
        <v>572</v>
      </c>
      <c r="B509" t="s">
        <v>2344</v>
      </c>
      <c r="C509" t="s">
        <v>2385</v>
      </c>
      <c r="D509">
        <v>9912</v>
      </c>
      <c r="E509" t="str">
        <f t="shared" si="7"/>
        <v>ia.assorted_string like '%9912-07-2023%' or</v>
      </c>
    </row>
    <row r="510" spans="1:5" x14ac:dyDescent="0.25">
      <c r="A510" t="s">
        <v>574</v>
      </c>
      <c r="B510" t="s">
        <v>2373</v>
      </c>
      <c r="C510" t="s">
        <v>2385</v>
      </c>
      <c r="D510">
        <v>60</v>
      </c>
      <c r="E510" t="str">
        <f t="shared" si="7"/>
        <v>ia.assorted_string like '%60-01-2020%' or</v>
      </c>
    </row>
    <row r="511" spans="1:5" x14ac:dyDescent="0.25">
      <c r="A511" t="s">
        <v>576</v>
      </c>
      <c r="B511" t="s">
        <v>2368</v>
      </c>
      <c r="C511" t="s">
        <v>2385</v>
      </c>
      <c r="D511">
        <v>92784</v>
      </c>
      <c r="E511" t="str">
        <f t="shared" si="7"/>
        <v>ia.assorted_string like '%92784-07-2024%' or</v>
      </c>
    </row>
    <row r="513" spans="1:5" x14ac:dyDescent="0.25">
      <c r="A513" t="s">
        <v>578</v>
      </c>
      <c r="B513" t="s">
        <v>2346</v>
      </c>
      <c r="C513" t="s">
        <v>2385</v>
      </c>
      <c r="D513">
        <v>94383</v>
      </c>
      <c r="E513" t="str">
        <f t="shared" si="7"/>
        <v>ia.assorted_string like '%94383-08-2024%' or</v>
      </c>
    </row>
    <row r="515" spans="1:5" x14ac:dyDescent="0.25">
      <c r="A515" t="s">
        <v>580</v>
      </c>
      <c r="B515" t="s">
        <v>2368</v>
      </c>
      <c r="C515" t="s">
        <v>2385</v>
      </c>
      <c r="D515">
        <v>22772</v>
      </c>
      <c r="E515" t="str">
        <f t="shared" si="7"/>
        <v>ia.assorted_string like '%22772-07-2024%' or</v>
      </c>
    </row>
    <row r="517" spans="1:5" x14ac:dyDescent="0.25">
      <c r="A517" t="s">
        <v>582</v>
      </c>
      <c r="B517" t="s">
        <v>2345</v>
      </c>
      <c r="C517" t="s">
        <v>2385</v>
      </c>
      <c r="D517">
        <v>984</v>
      </c>
      <c r="E517" t="str">
        <f t="shared" si="7"/>
        <v>ia.assorted_string like '%984-06-2023%' or</v>
      </c>
    </row>
    <row r="519" spans="1:5" x14ac:dyDescent="0.25">
      <c r="A519" t="s">
        <v>584</v>
      </c>
      <c r="B519" t="s">
        <v>2361</v>
      </c>
      <c r="C519" t="s">
        <v>2385</v>
      </c>
      <c r="D519">
        <v>10261</v>
      </c>
      <c r="E519" t="str">
        <f t="shared" si="7"/>
        <v>ia.assorted_string like '%10261-01-2024%' or</v>
      </c>
    </row>
    <row r="521" spans="1:5" x14ac:dyDescent="0.25">
      <c r="A521" t="s">
        <v>586</v>
      </c>
      <c r="B521" t="s">
        <v>2345</v>
      </c>
      <c r="C521" t="s">
        <v>2385</v>
      </c>
      <c r="D521">
        <v>19253</v>
      </c>
      <c r="E521" t="str">
        <f t="shared" si="7"/>
        <v>ia.assorted_string like '%19253-06-2023%' or</v>
      </c>
    </row>
    <row r="523" spans="1:5" x14ac:dyDescent="0.25">
      <c r="A523" t="s">
        <v>588</v>
      </c>
      <c r="B523" t="s">
        <v>2353</v>
      </c>
      <c r="C523" t="s">
        <v>2385</v>
      </c>
      <c r="D523">
        <v>7083</v>
      </c>
      <c r="E523" t="str">
        <f t="shared" si="7"/>
        <v>ia.assorted_string like '%7083-11-2022%' or</v>
      </c>
    </row>
    <row r="525" spans="1:5" x14ac:dyDescent="0.25">
      <c r="A525" t="s">
        <v>590</v>
      </c>
      <c r="B525" t="s">
        <v>2340</v>
      </c>
      <c r="C525" t="s">
        <v>2385</v>
      </c>
      <c r="D525">
        <v>1621</v>
      </c>
      <c r="E525" t="str">
        <f t="shared" si="7"/>
        <v>ia.assorted_string like '%1621-09-2023%' or</v>
      </c>
    </row>
    <row r="527" spans="1:5" x14ac:dyDescent="0.25">
      <c r="A527" t="s">
        <v>592</v>
      </c>
      <c r="B527" t="s">
        <v>2350</v>
      </c>
      <c r="C527" t="s">
        <v>2385</v>
      </c>
      <c r="D527">
        <v>8316</v>
      </c>
      <c r="E527" t="str">
        <f t="shared" si="7"/>
        <v>ia.assorted_string like '%8316-01-2023%' or</v>
      </c>
    </row>
    <row r="529" spans="1:5" x14ac:dyDescent="0.25">
      <c r="A529" t="s">
        <v>594</v>
      </c>
      <c r="B529" t="s">
        <v>2337</v>
      </c>
      <c r="C529" t="s">
        <v>2385</v>
      </c>
      <c r="D529">
        <v>9067</v>
      </c>
      <c r="E529" t="str">
        <f t="shared" si="7"/>
        <v>ia.assorted_string like '%9067-02-2023%' or</v>
      </c>
    </row>
    <row r="531" spans="1:5" x14ac:dyDescent="0.25">
      <c r="A531" t="s">
        <v>596</v>
      </c>
      <c r="B531" t="s">
        <v>2336</v>
      </c>
      <c r="C531" t="s">
        <v>2385</v>
      </c>
      <c r="D531">
        <v>9696</v>
      </c>
      <c r="E531" t="str">
        <f t="shared" si="7"/>
        <v>ia.assorted_string like '%9696-03-2023%' or</v>
      </c>
    </row>
    <row r="533" spans="1:5" x14ac:dyDescent="0.25">
      <c r="A533" t="s">
        <v>598</v>
      </c>
      <c r="B533" t="s">
        <v>2338</v>
      </c>
      <c r="C533" t="s">
        <v>2385</v>
      </c>
      <c r="D533">
        <v>9753</v>
      </c>
      <c r="E533" t="str">
        <f t="shared" si="7"/>
        <v>ia.assorted_string like '%9753-05-2023%' or</v>
      </c>
    </row>
    <row r="535" spans="1:5" x14ac:dyDescent="0.25">
      <c r="A535" t="s">
        <v>600</v>
      </c>
      <c r="B535" t="s">
        <v>2343</v>
      </c>
      <c r="C535" t="s">
        <v>2385</v>
      </c>
      <c r="D535">
        <v>90069</v>
      </c>
      <c r="E535" t="str">
        <f t="shared" si="7"/>
        <v>ia.assorted_string like '%90069-06-2024%' or</v>
      </c>
    </row>
    <row r="537" spans="1:5" x14ac:dyDescent="0.25">
      <c r="A537" t="s">
        <v>602</v>
      </c>
      <c r="B537" t="s">
        <v>2346</v>
      </c>
      <c r="C537" t="s">
        <v>2385</v>
      </c>
      <c r="D537">
        <v>94389</v>
      </c>
      <c r="E537" t="str">
        <f t="shared" si="7"/>
        <v>ia.assorted_string like '%94389-08-2024%' or</v>
      </c>
    </row>
    <row r="539" spans="1:5" x14ac:dyDescent="0.25">
      <c r="A539" t="s">
        <v>604</v>
      </c>
      <c r="B539" t="s">
        <v>2354</v>
      </c>
      <c r="C539" t="s">
        <v>2385</v>
      </c>
      <c r="D539">
        <v>10025</v>
      </c>
      <c r="E539" t="str">
        <f t="shared" si="7"/>
        <v>ia.assorted_string like '%10025-08-2023%' or</v>
      </c>
    </row>
    <row r="541" spans="1:5" x14ac:dyDescent="0.25">
      <c r="A541" t="s">
        <v>606</v>
      </c>
      <c r="B541" t="s">
        <v>2340</v>
      </c>
      <c r="C541" t="s">
        <v>2385</v>
      </c>
      <c r="D541">
        <v>1620</v>
      </c>
      <c r="E541" t="str">
        <f t="shared" si="7"/>
        <v>ia.assorted_string like '%1620-09-2023%' or</v>
      </c>
    </row>
    <row r="543" spans="1:5" x14ac:dyDescent="0.25">
      <c r="A543" t="s">
        <v>608</v>
      </c>
      <c r="B543" t="s">
        <v>2350</v>
      </c>
      <c r="C543" t="s">
        <v>2385</v>
      </c>
      <c r="D543">
        <v>8208</v>
      </c>
      <c r="E543" t="str">
        <f t="shared" si="7"/>
        <v>ia.assorted_string like '%8208-01-2023%' or</v>
      </c>
    </row>
    <row r="545" spans="1:5" x14ac:dyDescent="0.25">
      <c r="A545" t="s">
        <v>610</v>
      </c>
      <c r="B545" t="s">
        <v>2337</v>
      </c>
      <c r="C545" t="s">
        <v>2385</v>
      </c>
      <c r="D545">
        <v>9432</v>
      </c>
      <c r="E545" t="str">
        <f t="shared" si="7"/>
        <v>ia.assorted_string like '%9432-02-2023%' or</v>
      </c>
    </row>
    <row r="547" spans="1:5" x14ac:dyDescent="0.25">
      <c r="A547" t="s">
        <v>612</v>
      </c>
      <c r="B547" t="s">
        <v>2350</v>
      </c>
      <c r="C547" t="s">
        <v>2385</v>
      </c>
      <c r="D547">
        <v>200</v>
      </c>
      <c r="E547" t="str">
        <f t="shared" si="7"/>
        <v>ia.assorted_string like '%200-01-2023%' or</v>
      </c>
    </row>
    <row r="549" spans="1:5" x14ac:dyDescent="0.25">
      <c r="A549" t="s">
        <v>614</v>
      </c>
      <c r="B549" t="s">
        <v>2374</v>
      </c>
      <c r="C549" t="s">
        <v>2385</v>
      </c>
      <c r="D549">
        <v>1114</v>
      </c>
      <c r="E549" t="str">
        <f t="shared" si="7"/>
        <v>ia.assorted_string like '%1114-08-2021%' or</v>
      </c>
    </row>
    <row r="551" spans="1:5" x14ac:dyDescent="0.25">
      <c r="A551" t="s">
        <v>616</v>
      </c>
      <c r="B551" t="s">
        <v>2353</v>
      </c>
      <c r="C551" t="s">
        <v>2385</v>
      </c>
      <c r="D551">
        <v>7339</v>
      </c>
      <c r="E551" t="str">
        <f t="shared" si="7"/>
        <v>ia.assorted_string like '%7339-11-2022%' or</v>
      </c>
    </row>
    <row r="553" spans="1:5" x14ac:dyDescent="0.25">
      <c r="A553" t="s">
        <v>618</v>
      </c>
      <c r="B553" t="s">
        <v>2336</v>
      </c>
      <c r="C553" t="s">
        <v>2385</v>
      </c>
      <c r="D553">
        <v>9714</v>
      </c>
      <c r="E553" t="str">
        <f t="shared" si="7"/>
        <v>ia.assorted_string like '%9714-03-2023%' or</v>
      </c>
    </row>
    <row r="555" spans="1:5" x14ac:dyDescent="0.25">
      <c r="A555" t="s">
        <v>620</v>
      </c>
      <c r="B555" t="s">
        <v>2361</v>
      </c>
      <c r="C555" t="s">
        <v>2385</v>
      </c>
      <c r="D555">
        <v>10269</v>
      </c>
      <c r="E555" t="str">
        <f t="shared" si="7"/>
        <v>ia.assorted_string like '%10269-01-2024%' or</v>
      </c>
    </row>
    <row r="557" spans="1:5" x14ac:dyDescent="0.25">
      <c r="A557" t="s">
        <v>622</v>
      </c>
      <c r="B557" t="s">
        <v>2368</v>
      </c>
      <c r="C557" t="s">
        <v>2385</v>
      </c>
      <c r="D557">
        <v>93166</v>
      </c>
      <c r="E557" t="str">
        <f t="shared" si="7"/>
        <v>ia.assorted_string like '%93166-07-2024%' or</v>
      </c>
    </row>
    <row r="559" spans="1:5" x14ac:dyDescent="0.25">
      <c r="A559" t="s">
        <v>624</v>
      </c>
      <c r="B559" t="s">
        <v>2350</v>
      </c>
      <c r="C559" t="s">
        <v>2385</v>
      </c>
      <c r="D559">
        <v>8804</v>
      </c>
      <c r="E559" t="str">
        <f t="shared" si="7"/>
        <v>ia.assorted_string like '%8804-01-2023%' or</v>
      </c>
    </row>
    <row r="561" spans="1:5" x14ac:dyDescent="0.25">
      <c r="A561" t="s">
        <v>626</v>
      </c>
      <c r="B561" t="s">
        <v>2349</v>
      </c>
      <c r="C561" t="s">
        <v>2385</v>
      </c>
      <c r="D561">
        <v>58224</v>
      </c>
      <c r="E561" t="str">
        <f t="shared" si="7"/>
        <v>ia.assorted_string like '%58224-01-2022%' or</v>
      </c>
    </row>
    <row r="562" spans="1:5" x14ac:dyDescent="0.25">
      <c r="A562" t="s">
        <v>627</v>
      </c>
      <c r="B562" t="s">
        <v>2350</v>
      </c>
      <c r="C562" t="s">
        <v>2385</v>
      </c>
      <c r="D562">
        <v>66391</v>
      </c>
      <c r="E562" t="str">
        <f t="shared" si="7"/>
        <v>ia.assorted_string like '%66391-01-2023%' or</v>
      </c>
    </row>
    <row r="563" spans="1:5" x14ac:dyDescent="0.25">
      <c r="A563" t="s">
        <v>628</v>
      </c>
      <c r="B563" t="s">
        <v>2356</v>
      </c>
      <c r="C563" t="s">
        <v>2385</v>
      </c>
      <c r="D563">
        <v>70010</v>
      </c>
      <c r="E563" t="str">
        <f t="shared" si="7"/>
        <v>ia.assorted_string like '%70010-04-2023%' or</v>
      </c>
    </row>
    <row r="565" spans="1:5" x14ac:dyDescent="0.25">
      <c r="A565" t="s">
        <v>630</v>
      </c>
      <c r="B565" t="s">
        <v>2356</v>
      </c>
      <c r="C565" t="s">
        <v>2385</v>
      </c>
      <c r="D565">
        <v>70051</v>
      </c>
      <c r="E565" t="str">
        <f t="shared" si="7"/>
        <v>ia.assorted_string like '%70051-04-2023%' or</v>
      </c>
    </row>
    <row r="567" spans="1:5" x14ac:dyDescent="0.25">
      <c r="A567" t="s">
        <v>632</v>
      </c>
      <c r="B567" t="s">
        <v>2356</v>
      </c>
      <c r="C567" t="s">
        <v>2385</v>
      </c>
      <c r="D567">
        <v>70101</v>
      </c>
      <c r="E567" t="str">
        <f t="shared" si="7"/>
        <v>ia.assorted_string like '%70101-04-2023%' or</v>
      </c>
    </row>
    <row r="569" spans="1:5" x14ac:dyDescent="0.25">
      <c r="A569" t="s">
        <v>634</v>
      </c>
      <c r="B569" t="s">
        <v>2356</v>
      </c>
      <c r="C569" t="s">
        <v>2385</v>
      </c>
      <c r="D569">
        <v>70104</v>
      </c>
      <c r="E569" t="str">
        <f t="shared" si="7"/>
        <v>ia.assorted_string like '%70104-04-2023%' or</v>
      </c>
    </row>
    <row r="571" spans="1:5" x14ac:dyDescent="0.25">
      <c r="A571" t="s">
        <v>636</v>
      </c>
      <c r="B571" t="s">
        <v>2356</v>
      </c>
      <c r="C571" t="s">
        <v>2385</v>
      </c>
      <c r="D571">
        <v>70152</v>
      </c>
      <c r="E571" t="str">
        <f t="shared" si="7"/>
        <v>ia.assorted_string like '%70152-04-2023%' or</v>
      </c>
    </row>
    <row r="573" spans="1:5" x14ac:dyDescent="0.25">
      <c r="A573" t="s">
        <v>638</v>
      </c>
      <c r="B573" t="s">
        <v>2356</v>
      </c>
      <c r="C573" t="s">
        <v>2385</v>
      </c>
      <c r="D573">
        <v>70172</v>
      </c>
      <c r="E573" t="str">
        <f t="shared" si="7"/>
        <v>ia.assorted_string like '%70172-04-2023%' or</v>
      </c>
    </row>
    <row r="575" spans="1:5" x14ac:dyDescent="0.25">
      <c r="A575" t="s">
        <v>640</v>
      </c>
      <c r="B575" t="s">
        <v>2338</v>
      </c>
      <c r="C575" t="s">
        <v>2385</v>
      </c>
      <c r="D575">
        <v>70290</v>
      </c>
      <c r="E575" t="str">
        <f t="shared" si="7"/>
        <v>ia.assorted_string like '%70290-05-2023%' or</v>
      </c>
    </row>
    <row r="577" spans="1:5" x14ac:dyDescent="0.25">
      <c r="A577" t="s">
        <v>642</v>
      </c>
      <c r="B577" t="s">
        <v>2338</v>
      </c>
      <c r="C577" t="s">
        <v>2385</v>
      </c>
      <c r="D577">
        <v>70298</v>
      </c>
      <c r="E577" t="str">
        <f t="shared" si="7"/>
        <v>ia.assorted_string like '%70298-05-2023%' or</v>
      </c>
    </row>
    <row r="579" spans="1:5" x14ac:dyDescent="0.25">
      <c r="A579" t="s">
        <v>644</v>
      </c>
      <c r="B579" t="s">
        <v>2338</v>
      </c>
      <c r="C579" t="s">
        <v>2385</v>
      </c>
      <c r="D579">
        <v>70377</v>
      </c>
      <c r="E579" t="str">
        <f t="shared" si="7"/>
        <v>ia.assorted_string like '%70377-05-2023%' or</v>
      </c>
    </row>
    <row r="581" spans="1:5" x14ac:dyDescent="0.25">
      <c r="A581" t="s">
        <v>646</v>
      </c>
      <c r="B581" t="s">
        <v>2338</v>
      </c>
      <c r="C581" t="s">
        <v>2385</v>
      </c>
      <c r="D581">
        <v>70401</v>
      </c>
      <c r="E581" t="str">
        <f t="shared" si="7"/>
        <v>ia.assorted_string like '%70401-05-2023%' or</v>
      </c>
    </row>
    <row r="583" spans="1:5" x14ac:dyDescent="0.25">
      <c r="A583" t="s">
        <v>648</v>
      </c>
      <c r="B583" t="s">
        <v>2338</v>
      </c>
      <c r="C583" t="s">
        <v>2385</v>
      </c>
      <c r="D583">
        <v>70443</v>
      </c>
      <c r="E583" t="str">
        <f t="shared" si="7"/>
        <v>ia.assorted_string like '%70443-05-2023%' or</v>
      </c>
    </row>
    <row r="584" spans="1:5" x14ac:dyDescent="0.25">
      <c r="A584" t="s">
        <v>649</v>
      </c>
      <c r="B584" t="s">
        <v>2338</v>
      </c>
      <c r="C584" t="s">
        <v>2385</v>
      </c>
      <c r="D584">
        <v>71036</v>
      </c>
      <c r="E584" t="str">
        <f t="shared" si="7"/>
        <v>ia.assorted_string like '%71036-05-2023%' or</v>
      </c>
    </row>
    <row r="585" spans="1:5" x14ac:dyDescent="0.25">
      <c r="A585" t="s">
        <v>650</v>
      </c>
      <c r="B585" t="s">
        <v>2338</v>
      </c>
      <c r="C585" t="s">
        <v>2385</v>
      </c>
      <c r="D585">
        <v>71106</v>
      </c>
      <c r="E585" t="str">
        <f t="shared" si="7"/>
        <v>ia.assorted_string like '%71106-05-2023%' or</v>
      </c>
    </row>
    <row r="587" spans="1:5" x14ac:dyDescent="0.25">
      <c r="A587" t="s">
        <v>652</v>
      </c>
      <c r="B587" t="s">
        <v>2338</v>
      </c>
      <c r="C587" t="s">
        <v>2385</v>
      </c>
      <c r="D587">
        <v>71391</v>
      </c>
      <c r="E587" t="str">
        <f t="shared" si="7"/>
        <v>ia.assorted_string like '%71391-05-2023%' or</v>
      </c>
    </row>
    <row r="589" spans="1:5" x14ac:dyDescent="0.25">
      <c r="A589" t="s">
        <v>654</v>
      </c>
      <c r="B589" t="s">
        <v>2338</v>
      </c>
      <c r="C589" t="s">
        <v>2385</v>
      </c>
      <c r="D589">
        <v>71395</v>
      </c>
      <c r="E589" t="str">
        <f t="shared" si="7"/>
        <v>ia.assorted_string like '%71395-05-2023%' or</v>
      </c>
    </row>
    <row r="591" spans="1:5" x14ac:dyDescent="0.25">
      <c r="A591" t="s">
        <v>656</v>
      </c>
      <c r="B591" t="s">
        <v>2338</v>
      </c>
      <c r="C591" t="s">
        <v>2385</v>
      </c>
      <c r="D591">
        <v>71440</v>
      </c>
      <c r="E591" t="str">
        <f t="shared" si="7"/>
        <v>ia.assorted_string like '%71440-05-2023%' or</v>
      </c>
    </row>
    <row r="593" spans="1:5" x14ac:dyDescent="0.25">
      <c r="A593" t="s">
        <v>658</v>
      </c>
      <c r="B593" t="s">
        <v>2338</v>
      </c>
      <c r="C593" t="s">
        <v>2385</v>
      </c>
      <c r="D593">
        <v>71497</v>
      </c>
      <c r="E593" t="str">
        <f t="shared" si="7"/>
        <v>ia.assorted_string like '%71497-05-2023%' or</v>
      </c>
    </row>
    <row r="595" spans="1:5" x14ac:dyDescent="0.25">
      <c r="A595" t="s">
        <v>660</v>
      </c>
      <c r="B595" t="s">
        <v>2338</v>
      </c>
      <c r="C595" t="s">
        <v>2385</v>
      </c>
      <c r="D595">
        <v>71526</v>
      </c>
      <c r="E595" t="str">
        <f t="shared" si="7"/>
        <v>ia.assorted_string like '%71526-05-2023%' or</v>
      </c>
    </row>
    <row r="597" spans="1:5" x14ac:dyDescent="0.25">
      <c r="A597" t="s">
        <v>662</v>
      </c>
      <c r="B597" t="s">
        <v>2338</v>
      </c>
      <c r="C597" t="s">
        <v>2385</v>
      </c>
      <c r="D597">
        <v>71527</v>
      </c>
      <c r="E597" t="str">
        <f t="shared" si="7"/>
        <v>ia.assorted_string like '%71527-05-2023%' or</v>
      </c>
    </row>
    <row r="599" spans="1:5" x14ac:dyDescent="0.25">
      <c r="A599" t="s">
        <v>664</v>
      </c>
      <c r="B599" t="s">
        <v>2338</v>
      </c>
      <c r="C599" t="s">
        <v>2385</v>
      </c>
      <c r="D599">
        <v>71550</v>
      </c>
      <c r="E599" t="str">
        <f t="shared" si="7"/>
        <v>ia.assorted_string like '%71550-05-2023%' or</v>
      </c>
    </row>
    <row r="601" spans="1:5" x14ac:dyDescent="0.25">
      <c r="A601" t="s">
        <v>666</v>
      </c>
      <c r="B601" t="s">
        <v>2345</v>
      </c>
      <c r="C601" t="s">
        <v>2385</v>
      </c>
      <c r="D601">
        <v>71571</v>
      </c>
      <c r="E601" t="str">
        <f t="shared" si="7"/>
        <v>ia.assorted_string like '%71571-06-2023%' or</v>
      </c>
    </row>
    <row r="603" spans="1:5" x14ac:dyDescent="0.25">
      <c r="A603" t="s">
        <v>668</v>
      </c>
      <c r="B603" t="s">
        <v>2345</v>
      </c>
      <c r="C603" t="s">
        <v>2385</v>
      </c>
      <c r="D603">
        <v>71769</v>
      </c>
      <c r="E603" t="str">
        <f t="shared" si="7"/>
        <v>ia.assorted_string like '%71769-06-2023%' or</v>
      </c>
    </row>
    <row r="604" spans="1:5" x14ac:dyDescent="0.25">
      <c r="A604" t="s">
        <v>669</v>
      </c>
      <c r="B604" t="s">
        <v>2365</v>
      </c>
      <c r="C604" t="s">
        <v>2385</v>
      </c>
      <c r="D604">
        <v>59748</v>
      </c>
      <c r="E604" t="str">
        <f t="shared" ref="E604:E625" si="8">"ia.assorted_string like '%"&amp;D604&amp;B604&amp;"%' or"</f>
        <v>ia.assorted_string like '%59748-03-2022%' or</v>
      </c>
    </row>
    <row r="605" spans="1:5" x14ac:dyDescent="0.25">
      <c r="A605" t="s">
        <v>670</v>
      </c>
      <c r="B605" t="s">
        <v>2345</v>
      </c>
      <c r="C605" t="s">
        <v>2385</v>
      </c>
      <c r="D605">
        <v>71775</v>
      </c>
      <c r="E605" t="str">
        <f t="shared" si="8"/>
        <v>ia.assorted_string like '%71775-06-2023%' or</v>
      </c>
    </row>
    <row r="606" spans="1:5" x14ac:dyDescent="0.25">
      <c r="A606" t="s">
        <v>671</v>
      </c>
      <c r="B606" t="s">
        <v>2357</v>
      </c>
      <c r="C606" t="s">
        <v>2385</v>
      </c>
      <c r="D606">
        <v>61644</v>
      </c>
      <c r="E606" t="str">
        <f t="shared" si="8"/>
        <v>ia.assorted_string like '%61644-06-2022%' or</v>
      </c>
    </row>
    <row r="607" spans="1:5" x14ac:dyDescent="0.25">
      <c r="A607" t="s">
        <v>672</v>
      </c>
      <c r="B607" t="s">
        <v>2345</v>
      </c>
      <c r="C607" t="s">
        <v>2385</v>
      </c>
      <c r="D607">
        <v>71823</v>
      </c>
      <c r="E607" t="str">
        <f t="shared" si="8"/>
        <v>ia.assorted_string like '%71823-06-2023%' or</v>
      </c>
    </row>
    <row r="608" spans="1:5" x14ac:dyDescent="0.25">
      <c r="A608" t="s">
        <v>673</v>
      </c>
      <c r="B608" t="s">
        <v>2351</v>
      </c>
      <c r="C608" t="s">
        <v>2385</v>
      </c>
      <c r="D608">
        <v>62941</v>
      </c>
      <c r="E608" t="str">
        <f t="shared" si="8"/>
        <v>ia.assorted_string like '%62941-08-2022%' or</v>
      </c>
    </row>
    <row r="609" spans="1:5" x14ac:dyDescent="0.25">
      <c r="A609" t="s">
        <v>674</v>
      </c>
      <c r="B609" t="s">
        <v>2345</v>
      </c>
      <c r="C609" t="s">
        <v>2385</v>
      </c>
      <c r="D609">
        <v>71830</v>
      </c>
      <c r="E609" t="str">
        <f t="shared" si="8"/>
        <v>ia.assorted_string like '%71830-06-2023%' or</v>
      </c>
    </row>
    <row r="610" spans="1:5" x14ac:dyDescent="0.25">
      <c r="A610" t="s">
        <v>675</v>
      </c>
      <c r="B610" t="s">
        <v>2358</v>
      </c>
      <c r="C610" t="s">
        <v>2385</v>
      </c>
      <c r="D610">
        <v>64394</v>
      </c>
      <c r="E610" t="str">
        <f t="shared" si="8"/>
        <v>ia.assorted_string like '%64394-10-2022%' or</v>
      </c>
    </row>
    <row r="611" spans="1:5" x14ac:dyDescent="0.25">
      <c r="A611" t="s">
        <v>676</v>
      </c>
      <c r="B611" t="s">
        <v>2345</v>
      </c>
      <c r="C611" t="s">
        <v>2385</v>
      </c>
      <c r="D611">
        <v>71844</v>
      </c>
      <c r="E611" t="str">
        <f t="shared" si="8"/>
        <v>ia.assorted_string like '%71844-06-2023%' or</v>
      </c>
    </row>
    <row r="612" spans="1:5" x14ac:dyDescent="0.25">
      <c r="A612" t="s">
        <v>677</v>
      </c>
      <c r="B612" t="s">
        <v>2350</v>
      </c>
      <c r="C612" t="s">
        <v>2385</v>
      </c>
      <c r="D612">
        <v>66705</v>
      </c>
      <c r="E612" t="str">
        <f t="shared" si="8"/>
        <v>ia.assorted_string like '%66705-01-2023%' or</v>
      </c>
    </row>
    <row r="613" spans="1:5" x14ac:dyDescent="0.25">
      <c r="A613" t="s">
        <v>678</v>
      </c>
      <c r="B613" t="s">
        <v>2345</v>
      </c>
      <c r="C613" t="s">
        <v>2385</v>
      </c>
      <c r="D613">
        <v>71917</v>
      </c>
      <c r="E613" t="str">
        <f t="shared" si="8"/>
        <v>ia.assorted_string like '%71917-06-2023%' or</v>
      </c>
    </row>
    <row r="614" spans="1:5" x14ac:dyDescent="0.25">
      <c r="A614" t="s">
        <v>679</v>
      </c>
      <c r="B614" t="s">
        <v>2336</v>
      </c>
      <c r="C614" t="s">
        <v>2385</v>
      </c>
      <c r="D614">
        <v>69193</v>
      </c>
      <c r="E614" t="str">
        <f t="shared" si="8"/>
        <v>ia.assorted_string like '%69193-03-2023%' or</v>
      </c>
    </row>
    <row r="615" spans="1:5" x14ac:dyDescent="0.25">
      <c r="A615" t="s">
        <v>680</v>
      </c>
      <c r="B615" t="s">
        <v>2345</v>
      </c>
      <c r="C615" t="s">
        <v>2385</v>
      </c>
      <c r="D615">
        <v>72034</v>
      </c>
      <c r="E615" t="str">
        <f t="shared" si="8"/>
        <v>ia.assorted_string like '%72034-06-2023%' or</v>
      </c>
    </row>
    <row r="616" spans="1:5" x14ac:dyDescent="0.25">
      <c r="A616" t="s">
        <v>681</v>
      </c>
      <c r="B616" t="s">
        <v>2344</v>
      </c>
      <c r="C616" t="s">
        <v>2385</v>
      </c>
      <c r="D616">
        <v>73118</v>
      </c>
      <c r="E616" t="str">
        <f t="shared" si="8"/>
        <v>ia.assorted_string like '%73118-07-2023%' or</v>
      </c>
    </row>
    <row r="617" spans="1:5" x14ac:dyDescent="0.25">
      <c r="A617" t="s">
        <v>682</v>
      </c>
      <c r="B617" t="s">
        <v>2345</v>
      </c>
      <c r="C617" t="s">
        <v>2385</v>
      </c>
      <c r="D617">
        <v>72086</v>
      </c>
      <c r="E617" t="str">
        <f t="shared" si="8"/>
        <v>ia.assorted_string like '%72086-06-2023%' or</v>
      </c>
    </row>
    <row r="618" spans="1:5" x14ac:dyDescent="0.25">
      <c r="A618" t="s">
        <v>683</v>
      </c>
      <c r="B618" t="s">
        <v>2367</v>
      </c>
      <c r="C618" t="s">
        <v>2385</v>
      </c>
      <c r="D618">
        <v>76939</v>
      </c>
      <c r="E618" t="str">
        <f t="shared" si="8"/>
        <v>ia.assorted_string like '%76939-10-2023%' or</v>
      </c>
    </row>
    <row r="619" spans="1:5" x14ac:dyDescent="0.25">
      <c r="A619" t="s">
        <v>684</v>
      </c>
      <c r="B619" t="s">
        <v>2345</v>
      </c>
      <c r="C619" t="s">
        <v>2385</v>
      </c>
      <c r="D619">
        <v>72147</v>
      </c>
      <c r="E619" t="str">
        <f t="shared" si="8"/>
        <v>ia.assorted_string like '%72147-06-2023%' or</v>
      </c>
    </row>
    <row r="620" spans="1:5" x14ac:dyDescent="0.25">
      <c r="A620" t="s">
        <v>685</v>
      </c>
      <c r="B620" t="s">
        <v>2372</v>
      </c>
      <c r="C620" t="s">
        <v>2385</v>
      </c>
      <c r="D620">
        <v>79797</v>
      </c>
      <c r="E620" t="str">
        <f t="shared" si="8"/>
        <v>ia.assorted_string like '%79797-12-2023%' or</v>
      </c>
    </row>
    <row r="621" spans="1:5" x14ac:dyDescent="0.25">
      <c r="A621" t="s">
        <v>686</v>
      </c>
      <c r="B621" t="s">
        <v>2345</v>
      </c>
      <c r="C621" t="s">
        <v>2385</v>
      </c>
      <c r="D621">
        <v>72254</v>
      </c>
      <c r="E621" t="str">
        <f t="shared" si="8"/>
        <v>ia.assorted_string like '%72254-06-2023%' or</v>
      </c>
    </row>
    <row r="622" spans="1:5" x14ac:dyDescent="0.25">
      <c r="A622" t="s">
        <v>687</v>
      </c>
      <c r="B622" t="s">
        <v>2355</v>
      </c>
      <c r="C622" t="s">
        <v>2385</v>
      </c>
      <c r="D622">
        <v>89258</v>
      </c>
      <c r="E622" t="str">
        <f t="shared" si="8"/>
        <v>ia.assorted_string like '%89258-05-2024%' or</v>
      </c>
    </row>
    <row r="623" spans="1:5" x14ac:dyDescent="0.25">
      <c r="A623" t="s">
        <v>688</v>
      </c>
      <c r="B623" t="s">
        <v>2345</v>
      </c>
      <c r="C623" t="s">
        <v>2385</v>
      </c>
      <c r="D623">
        <v>72269</v>
      </c>
      <c r="E623" t="str">
        <f t="shared" si="8"/>
        <v>ia.assorted_string like '%72269-06-2023%' or</v>
      </c>
    </row>
    <row r="624" spans="1:5" x14ac:dyDescent="0.25">
      <c r="A624" t="s">
        <v>689</v>
      </c>
      <c r="B624" t="s">
        <v>2368</v>
      </c>
      <c r="C624" t="s">
        <v>2385</v>
      </c>
      <c r="D624">
        <v>92450</v>
      </c>
      <c r="E624" t="str">
        <f t="shared" si="8"/>
        <v>ia.assorted_string like '%92450-07-2024%' or</v>
      </c>
    </row>
    <row r="625" spans="1:5" x14ac:dyDescent="0.25">
      <c r="A625" t="s">
        <v>690</v>
      </c>
      <c r="B625" t="s">
        <v>2345</v>
      </c>
      <c r="C625" t="s">
        <v>2385</v>
      </c>
      <c r="D625">
        <v>72287</v>
      </c>
      <c r="E625" t="str">
        <f t="shared" si="8"/>
        <v>ia.assorted_string like '%72287-06-2023%' or</v>
      </c>
    </row>
    <row r="627" spans="1:5" x14ac:dyDescent="0.25">
      <c r="A627" t="s">
        <v>692</v>
      </c>
      <c r="B627" t="s">
        <v>2345</v>
      </c>
      <c r="C627" t="s">
        <v>2385</v>
      </c>
      <c r="D627">
        <v>72357</v>
      </c>
      <c r="E627" t="str">
        <f t="shared" ref="E627:E690" si="9">"ia.assorted_string like '%"&amp;D627&amp;B627&amp;"%' or"</f>
        <v>ia.assorted_string like '%72357-06-2023%' or</v>
      </c>
    </row>
    <row r="628" spans="1:5" x14ac:dyDescent="0.25">
      <c r="A628" t="s">
        <v>693</v>
      </c>
      <c r="B628" t="s">
        <v>2356</v>
      </c>
      <c r="C628" t="s">
        <v>2385</v>
      </c>
      <c r="D628">
        <v>69945</v>
      </c>
      <c r="E628" t="str">
        <f t="shared" si="9"/>
        <v>ia.assorted_string like '%69945-04-2023%' or</v>
      </c>
    </row>
    <row r="629" spans="1:5" x14ac:dyDescent="0.25">
      <c r="A629" t="s">
        <v>694</v>
      </c>
      <c r="B629" t="s">
        <v>2345</v>
      </c>
      <c r="C629" t="s">
        <v>2385</v>
      </c>
      <c r="D629">
        <v>72374</v>
      </c>
      <c r="E629" t="str">
        <f t="shared" si="9"/>
        <v>ia.assorted_string like '%72374-06-2023%' or</v>
      </c>
    </row>
    <row r="630" spans="1:5" x14ac:dyDescent="0.25">
      <c r="A630" t="s">
        <v>695</v>
      </c>
      <c r="B630" t="s">
        <v>2356</v>
      </c>
      <c r="C630" t="s">
        <v>2385</v>
      </c>
      <c r="D630">
        <v>69949</v>
      </c>
      <c r="E630" t="str">
        <f t="shared" si="9"/>
        <v>ia.assorted_string like '%69949-04-2023%' or</v>
      </c>
    </row>
    <row r="631" spans="1:5" x14ac:dyDescent="0.25">
      <c r="A631" t="s">
        <v>696</v>
      </c>
      <c r="B631" t="s">
        <v>2345</v>
      </c>
      <c r="C631" t="s">
        <v>2385</v>
      </c>
      <c r="D631">
        <v>72452</v>
      </c>
      <c r="E631" t="str">
        <f t="shared" si="9"/>
        <v>ia.assorted_string like '%72452-06-2023%' or</v>
      </c>
    </row>
    <row r="632" spans="1:5" x14ac:dyDescent="0.25">
      <c r="A632" t="s">
        <v>697</v>
      </c>
      <c r="B632" t="s">
        <v>2356</v>
      </c>
      <c r="C632" t="s">
        <v>2385</v>
      </c>
      <c r="D632">
        <v>70126</v>
      </c>
      <c r="E632" t="str">
        <f t="shared" si="9"/>
        <v>ia.assorted_string like '%70126-04-2023%' or</v>
      </c>
    </row>
    <row r="633" spans="1:5" x14ac:dyDescent="0.25">
      <c r="A633" t="s">
        <v>698</v>
      </c>
      <c r="B633" t="s">
        <v>2345</v>
      </c>
      <c r="C633" t="s">
        <v>2385</v>
      </c>
      <c r="D633">
        <v>72453</v>
      </c>
      <c r="E633" t="str">
        <f t="shared" si="9"/>
        <v>ia.assorted_string like '%72453-06-2023%' or</v>
      </c>
    </row>
    <row r="634" spans="1:5" x14ac:dyDescent="0.25">
      <c r="A634" t="s">
        <v>699</v>
      </c>
      <c r="B634" t="s">
        <v>2362</v>
      </c>
      <c r="C634" t="s">
        <v>2385</v>
      </c>
      <c r="D634">
        <v>58677</v>
      </c>
      <c r="E634" t="str">
        <f t="shared" si="9"/>
        <v>ia.assorted_string like '%58677-02-2022%' or</v>
      </c>
    </row>
    <row r="635" spans="1:5" x14ac:dyDescent="0.25">
      <c r="A635" t="s">
        <v>700</v>
      </c>
      <c r="B635" t="s">
        <v>2345</v>
      </c>
      <c r="C635" t="s">
        <v>2385</v>
      </c>
      <c r="D635">
        <v>72496</v>
      </c>
      <c r="E635" t="str">
        <f t="shared" si="9"/>
        <v>ia.assorted_string like '%72496-06-2023%' or</v>
      </c>
    </row>
    <row r="636" spans="1:5" x14ac:dyDescent="0.25">
      <c r="A636" t="s">
        <v>701</v>
      </c>
      <c r="B636" t="s">
        <v>2365</v>
      </c>
      <c r="C636" t="s">
        <v>2385</v>
      </c>
      <c r="D636">
        <v>59606</v>
      </c>
      <c r="E636" t="str">
        <f t="shared" si="9"/>
        <v>ia.assorted_string like '%59606-03-2022%' or</v>
      </c>
    </row>
    <row r="637" spans="1:5" x14ac:dyDescent="0.25">
      <c r="A637" t="s">
        <v>702</v>
      </c>
      <c r="B637" t="s">
        <v>2344</v>
      </c>
      <c r="C637" t="s">
        <v>2385</v>
      </c>
      <c r="D637">
        <v>72544</v>
      </c>
      <c r="E637" t="str">
        <f t="shared" si="9"/>
        <v>ia.assorted_string like '%72544-07-2023%' or</v>
      </c>
    </row>
    <row r="638" spans="1:5" x14ac:dyDescent="0.25">
      <c r="A638" t="s">
        <v>703</v>
      </c>
      <c r="B638" t="s">
        <v>2375</v>
      </c>
      <c r="C638" t="s">
        <v>2385</v>
      </c>
      <c r="D638">
        <v>60538</v>
      </c>
      <c r="E638" t="str">
        <f t="shared" si="9"/>
        <v>ia.assorted_string like '%60538-05-2022%' or</v>
      </c>
    </row>
    <row r="639" spans="1:5" x14ac:dyDescent="0.25">
      <c r="A639" t="s">
        <v>704</v>
      </c>
      <c r="B639" t="s">
        <v>2344</v>
      </c>
      <c r="C639" t="s">
        <v>2385</v>
      </c>
      <c r="D639">
        <v>72630</v>
      </c>
      <c r="E639" t="str">
        <f t="shared" si="9"/>
        <v>ia.assorted_string like '%72630-07-2023%' or</v>
      </c>
    </row>
    <row r="640" spans="1:5" x14ac:dyDescent="0.25">
      <c r="A640" t="s">
        <v>705</v>
      </c>
      <c r="B640" t="s">
        <v>2375</v>
      </c>
      <c r="C640" t="s">
        <v>2385</v>
      </c>
      <c r="D640">
        <v>60632</v>
      </c>
      <c r="E640" t="str">
        <f t="shared" si="9"/>
        <v>ia.assorted_string like '%60632-05-2022%' or</v>
      </c>
    </row>
    <row r="641" spans="1:5" x14ac:dyDescent="0.25">
      <c r="A641" t="s">
        <v>706</v>
      </c>
      <c r="B641" t="s">
        <v>2344</v>
      </c>
      <c r="C641" t="s">
        <v>2385</v>
      </c>
      <c r="D641">
        <v>72637</v>
      </c>
      <c r="E641" t="str">
        <f t="shared" si="9"/>
        <v>ia.assorted_string like '%72637-07-2023%' or</v>
      </c>
    </row>
    <row r="642" spans="1:5" x14ac:dyDescent="0.25">
      <c r="A642" t="s">
        <v>707</v>
      </c>
      <c r="B642" t="s">
        <v>2351</v>
      </c>
      <c r="C642" t="s">
        <v>2385</v>
      </c>
      <c r="D642">
        <v>62694</v>
      </c>
      <c r="E642" t="str">
        <f t="shared" si="9"/>
        <v>ia.assorted_string like '%62694-08-2022%' or</v>
      </c>
    </row>
    <row r="643" spans="1:5" x14ac:dyDescent="0.25">
      <c r="A643" t="s">
        <v>708</v>
      </c>
      <c r="B643" t="s">
        <v>2344</v>
      </c>
      <c r="C643" t="s">
        <v>2385</v>
      </c>
      <c r="D643">
        <v>72640</v>
      </c>
      <c r="E643" t="str">
        <f t="shared" si="9"/>
        <v>ia.assorted_string like '%72640-07-2023%' or</v>
      </c>
    </row>
    <row r="644" spans="1:5" x14ac:dyDescent="0.25">
      <c r="A644" t="s">
        <v>709</v>
      </c>
      <c r="B644" t="s">
        <v>2360</v>
      </c>
      <c r="C644" t="s">
        <v>2385</v>
      </c>
      <c r="D644">
        <v>63305</v>
      </c>
      <c r="E644" t="str">
        <f t="shared" si="9"/>
        <v>ia.assorted_string like '%63305-09-2022%' or</v>
      </c>
    </row>
    <row r="645" spans="1:5" x14ac:dyDescent="0.25">
      <c r="A645" t="s">
        <v>710</v>
      </c>
      <c r="B645" t="s">
        <v>2344</v>
      </c>
      <c r="C645" t="s">
        <v>2385</v>
      </c>
      <c r="D645">
        <v>73026</v>
      </c>
      <c r="E645" t="str">
        <f t="shared" si="9"/>
        <v>ia.assorted_string like '%73026-07-2023%' or</v>
      </c>
    </row>
    <row r="646" spans="1:5" x14ac:dyDescent="0.25">
      <c r="A646" t="s">
        <v>711</v>
      </c>
      <c r="B646" t="s">
        <v>2348</v>
      </c>
      <c r="C646" t="s">
        <v>2385</v>
      </c>
      <c r="D646">
        <v>65852</v>
      </c>
      <c r="E646" t="str">
        <f t="shared" si="9"/>
        <v>ia.assorted_string like '%65852-12-2022%' or</v>
      </c>
    </row>
    <row r="647" spans="1:5" x14ac:dyDescent="0.25">
      <c r="A647" t="s">
        <v>712</v>
      </c>
      <c r="B647" t="s">
        <v>2344</v>
      </c>
      <c r="C647" t="s">
        <v>2385</v>
      </c>
      <c r="D647">
        <v>73090</v>
      </c>
      <c r="E647" t="str">
        <f t="shared" si="9"/>
        <v>ia.assorted_string like '%73090-07-2023%' or</v>
      </c>
    </row>
    <row r="648" spans="1:5" x14ac:dyDescent="0.25">
      <c r="A648" t="s">
        <v>713</v>
      </c>
      <c r="B648" t="s">
        <v>2348</v>
      </c>
      <c r="C648" t="s">
        <v>2385</v>
      </c>
      <c r="D648">
        <v>66188</v>
      </c>
      <c r="E648" t="str">
        <f t="shared" si="9"/>
        <v>ia.assorted_string like '%66188-12-2022%' or</v>
      </c>
    </row>
    <row r="649" spans="1:5" x14ac:dyDescent="0.25">
      <c r="A649" t="s">
        <v>714</v>
      </c>
      <c r="B649" t="s">
        <v>2344</v>
      </c>
      <c r="C649" t="s">
        <v>2385</v>
      </c>
      <c r="D649">
        <v>73243</v>
      </c>
      <c r="E649" t="str">
        <f t="shared" si="9"/>
        <v>ia.assorted_string like '%73243-07-2023%' or</v>
      </c>
    </row>
    <row r="650" spans="1:5" x14ac:dyDescent="0.25">
      <c r="A650" t="s">
        <v>715</v>
      </c>
      <c r="B650" t="s">
        <v>2350</v>
      </c>
      <c r="C650" t="s">
        <v>2385</v>
      </c>
      <c r="D650">
        <v>66493</v>
      </c>
      <c r="E650" t="str">
        <f t="shared" si="9"/>
        <v>ia.assorted_string like '%66493-01-2023%' or</v>
      </c>
    </row>
    <row r="651" spans="1:5" x14ac:dyDescent="0.25">
      <c r="A651" t="s">
        <v>716</v>
      </c>
      <c r="B651" t="s">
        <v>2354</v>
      </c>
      <c r="C651" t="s">
        <v>2385</v>
      </c>
      <c r="D651">
        <v>73674</v>
      </c>
      <c r="E651" t="str">
        <f t="shared" si="9"/>
        <v>ia.assorted_string like '%73674-08-2023%' or</v>
      </c>
    </row>
    <row r="652" spans="1:5" x14ac:dyDescent="0.25">
      <c r="A652" t="s">
        <v>717</v>
      </c>
      <c r="B652" t="s">
        <v>2350</v>
      </c>
      <c r="C652" t="s">
        <v>2385</v>
      </c>
      <c r="D652">
        <v>66635</v>
      </c>
      <c r="E652" t="str">
        <f t="shared" si="9"/>
        <v>ia.assorted_string like '%66635-01-2023%' or</v>
      </c>
    </row>
    <row r="653" spans="1:5" x14ac:dyDescent="0.25">
      <c r="A653" t="s">
        <v>718</v>
      </c>
      <c r="B653" t="s">
        <v>2354</v>
      </c>
      <c r="C653" t="s">
        <v>2385</v>
      </c>
      <c r="D653">
        <v>73715</v>
      </c>
      <c r="E653" t="str">
        <f t="shared" si="9"/>
        <v>ia.assorted_string like '%73715-08-2023%' or</v>
      </c>
    </row>
    <row r="654" spans="1:5" x14ac:dyDescent="0.25">
      <c r="A654" t="s">
        <v>719</v>
      </c>
      <c r="B654" t="s">
        <v>2350</v>
      </c>
      <c r="C654" t="s">
        <v>2385</v>
      </c>
      <c r="D654">
        <v>66820</v>
      </c>
      <c r="E654" t="str">
        <f t="shared" si="9"/>
        <v>ia.assorted_string like '%66820-01-2023%' or</v>
      </c>
    </row>
    <row r="655" spans="1:5" x14ac:dyDescent="0.25">
      <c r="A655" t="s">
        <v>720</v>
      </c>
      <c r="B655" t="s">
        <v>2354</v>
      </c>
      <c r="C655" t="s">
        <v>2385</v>
      </c>
      <c r="D655">
        <v>73717</v>
      </c>
      <c r="E655" t="str">
        <f t="shared" si="9"/>
        <v>ia.assorted_string like '%73717-08-2023%' or</v>
      </c>
    </row>
    <row r="656" spans="1:5" x14ac:dyDescent="0.25">
      <c r="A656" t="s">
        <v>721</v>
      </c>
      <c r="B656" t="s">
        <v>2350</v>
      </c>
      <c r="C656" t="s">
        <v>2385</v>
      </c>
      <c r="D656">
        <v>66907</v>
      </c>
      <c r="E656" t="str">
        <f t="shared" si="9"/>
        <v>ia.assorted_string like '%66907-01-2023%' or</v>
      </c>
    </row>
    <row r="657" spans="1:5" x14ac:dyDescent="0.25">
      <c r="A657" t="s">
        <v>722</v>
      </c>
      <c r="B657" t="s">
        <v>2354</v>
      </c>
      <c r="C657" t="s">
        <v>2385</v>
      </c>
      <c r="D657">
        <v>73754</v>
      </c>
      <c r="E657" t="str">
        <f t="shared" si="9"/>
        <v>ia.assorted_string like '%73754-08-2023%' or</v>
      </c>
    </row>
    <row r="658" spans="1:5" x14ac:dyDescent="0.25">
      <c r="A658" t="s">
        <v>723</v>
      </c>
      <c r="B658" t="s">
        <v>2350</v>
      </c>
      <c r="C658" t="s">
        <v>2385</v>
      </c>
      <c r="D658">
        <v>66962</v>
      </c>
      <c r="E658" t="str">
        <f t="shared" si="9"/>
        <v>ia.assorted_string like '%66962-01-2023%' or</v>
      </c>
    </row>
    <row r="659" spans="1:5" x14ac:dyDescent="0.25">
      <c r="A659" t="s">
        <v>724</v>
      </c>
      <c r="B659" t="s">
        <v>2354</v>
      </c>
      <c r="C659" t="s">
        <v>2385</v>
      </c>
      <c r="D659">
        <v>73801</v>
      </c>
      <c r="E659" t="str">
        <f t="shared" si="9"/>
        <v>ia.assorted_string like '%73801-08-2023%' or</v>
      </c>
    </row>
    <row r="660" spans="1:5" x14ac:dyDescent="0.25">
      <c r="A660" t="s">
        <v>725</v>
      </c>
      <c r="B660" t="s">
        <v>2350</v>
      </c>
      <c r="C660" t="s">
        <v>2385</v>
      </c>
      <c r="D660">
        <v>66983</v>
      </c>
      <c r="E660" t="str">
        <f t="shared" si="9"/>
        <v>ia.assorted_string like '%66983-01-2023%' or</v>
      </c>
    </row>
    <row r="661" spans="1:5" x14ac:dyDescent="0.25">
      <c r="A661" t="s">
        <v>726</v>
      </c>
      <c r="B661" t="s">
        <v>2354</v>
      </c>
      <c r="C661" t="s">
        <v>2385</v>
      </c>
      <c r="D661">
        <v>73868</v>
      </c>
      <c r="E661" t="str">
        <f t="shared" si="9"/>
        <v>ia.assorted_string like '%73868-08-2023%' or</v>
      </c>
    </row>
    <row r="662" spans="1:5" x14ac:dyDescent="0.25">
      <c r="A662" t="s">
        <v>727</v>
      </c>
      <c r="B662" t="s">
        <v>2350</v>
      </c>
      <c r="C662" t="s">
        <v>2385</v>
      </c>
      <c r="D662">
        <v>67193</v>
      </c>
      <c r="E662" t="str">
        <f t="shared" si="9"/>
        <v>ia.assorted_string like '%67193-01-2023%' or</v>
      </c>
    </row>
    <row r="663" spans="1:5" x14ac:dyDescent="0.25">
      <c r="A663" t="s">
        <v>728</v>
      </c>
      <c r="B663" t="s">
        <v>2354</v>
      </c>
      <c r="C663" t="s">
        <v>2385</v>
      </c>
      <c r="D663">
        <v>73919</v>
      </c>
      <c r="E663" t="str">
        <f t="shared" si="9"/>
        <v>ia.assorted_string like '%73919-08-2023%' or</v>
      </c>
    </row>
    <row r="664" spans="1:5" x14ac:dyDescent="0.25">
      <c r="A664" t="s">
        <v>729</v>
      </c>
      <c r="B664" t="s">
        <v>2337</v>
      </c>
      <c r="C664" t="s">
        <v>2385</v>
      </c>
      <c r="D664">
        <v>67420</v>
      </c>
      <c r="E664" t="str">
        <f t="shared" si="9"/>
        <v>ia.assorted_string like '%67420-02-2023%' or</v>
      </c>
    </row>
    <row r="665" spans="1:5" x14ac:dyDescent="0.25">
      <c r="A665" t="s">
        <v>730</v>
      </c>
      <c r="B665" t="s">
        <v>2354</v>
      </c>
      <c r="C665" t="s">
        <v>2385</v>
      </c>
      <c r="D665">
        <v>74078</v>
      </c>
      <c r="E665" t="str">
        <f t="shared" si="9"/>
        <v>ia.assorted_string like '%74078-08-2023%' or</v>
      </c>
    </row>
    <row r="666" spans="1:5" x14ac:dyDescent="0.25">
      <c r="A666" t="s">
        <v>731</v>
      </c>
      <c r="B666" t="s">
        <v>2337</v>
      </c>
      <c r="C666" t="s">
        <v>2385</v>
      </c>
      <c r="D666">
        <v>67577</v>
      </c>
      <c r="E666" t="str">
        <f t="shared" si="9"/>
        <v>ia.assorted_string like '%67577-02-2023%' or</v>
      </c>
    </row>
    <row r="667" spans="1:5" x14ac:dyDescent="0.25">
      <c r="A667" t="s">
        <v>732</v>
      </c>
      <c r="B667" t="s">
        <v>2354</v>
      </c>
      <c r="C667" t="s">
        <v>2385</v>
      </c>
      <c r="D667">
        <v>74086</v>
      </c>
      <c r="E667" t="str">
        <f t="shared" si="9"/>
        <v>ia.assorted_string like '%74086-08-2023%' or</v>
      </c>
    </row>
    <row r="668" spans="1:5" x14ac:dyDescent="0.25">
      <c r="A668" t="s">
        <v>733</v>
      </c>
      <c r="B668" t="s">
        <v>2337</v>
      </c>
      <c r="C668" t="s">
        <v>2385</v>
      </c>
      <c r="D668">
        <v>68015</v>
      </c>
      <c r="E668" t="str">
        <f t="shared" si="9"/>
        <v>ia.assorted_string like '%68015-02-2023%' or</v>
      </c>
    </row>
    <row r="669" spans="1:5" x14ac:dyDescent="0.25">
      <c r="A669" t="s">
        <v>734</v>
      </c>
      <c r="B669" t="s">
        <v>2354</v>
      </c>
      <c r="C669" t="s">
        <v>2385</v>
      </c>
      <c r="D669">
        <v>74186</v>
      </c>
      <c r="E669" t="str">
        <f t="shared" si="9"/>
        <v>ia.assorted_string like '%74186-08-2023%' or</v>
      </c>
    </row>
    <row r="670" spans="1:5" x14ac:dyDescent="0.25">
      <c r="A670" t="s">
        <v>735</v>
      </c>
      <c r="B670" t="s">
        <v>2337</v>
      </c>
      <c r="C670" t="s">
        <v>2385</v>
      </c>
      <c r="D670">
        <v>68197</v>
      </c>
      <c r="E670" t="str">
        <f t="shared" si="9"/>
        <v>ia.assorted_string like '%68197-02-2023%' or</v>
      </c>
    </row>
    <row r="671" spans="1:5" x14ac:dyDescent="0.25">
      <c r="A671" t="s">
        <v>736</v>
      </c>
      <c r="B671" t="s">
        <v>2354</v>
      </c>
      <c r="C671" t="s">
        <v>2385</v>
      </c>
      <c r="D671">
        <v>74210</v>
      </c>
      <c r="E671" t="str">
        <f t="shared" si="9"/>
        <v>ia.assorted_string like '%74210-08-2023%' or</v>
      </c>
    </row>
    <row r="672" spans="1:5" x14ac:dyDescent="0.25">
      <c r="A672" t="s">
        <v>737</v>
      </c>
      <c r="B672" t="s">
        <v>2336</v>
      </c>
      <c r="C672" t="s">
        <v>2385</v>
      </c>
      <c r="D672">
        <v>68479</v>
      </c>
      <c r="E672" t="str">
        <f t="shared" si="9"/>
        <v>ia.assorted_string like '%68479-03-2023%' or</v>
      </c>
    </row>
    <row r="673" spans="1:5" x14ac:dyDescent="0.25">
      <c r="A673" t="s">
        <v>738</v>
      </c>
      <c r="B673" t="s">
        <v>2354</v>
      </c>
      <c r="C673" t="s">
        <v>2385</v>
      </c>
      <c r="D673">
        <v>74216</v>
      </c>
      <c r="E673" t="str">
        <f t="shared" si="9"/>
        <v>ia.assorted_string like '%74216-08-2023%' or</v>
      </c>
    </row>
    <row r="674" spans="1:5" x14ac:dyDescent="0.25">
      <c r="A674" t="s">
        <v>739</v>
      </c>
      <c r="B674" t="s">
        <v>2336</v>
      </c>
      <c r="C674" t="s">
        <v>2385</v>
      </c>
      <c r="D674">
        <v>68658</v>
      </c>
      <c r="E674" t="str">
        <f t="shared" si="9"/>
        <v>ia.assorted_string like '%68658-03-2023%' or</v>
      </c>
    </row>
    <row r="675" spans="1:5" x14ac:dyDescent="0.25">
      <c r="A675" t="s">
        <v>740</v>
      </c>
      <c r="B675" t="s">
        <v>2354</v>
      </c>
      <c r="C675" t="s">
        <v>2385</v>
      </c>
      <c r="D675">
        <v>74543</v>
      </c>
      <c r="E675" t="str">
        <f t="shared" si="9"/>
        <v>ia.assorted_string like '%74543-08-2023%' or</v>
      </c>
    </row>
    <row r="676" spans="1:5" x14ac:dyDescent="0.25">
      <c r="A676" t="s">
        <v>741</v>
      </c>
      <c r="B676" t="s">
        <v>2336</v>
      </c>
      <c r="C676" t="s">
        <v>2385</v>
      </c>
      <c r="D676">
        <v>68763</v>
      </c>
      <c r="E676" t="str">
        <f t="shared" si="9"/>
        <v>ia.assorted_string like '%68763-03-2023%' or</v>
      </c>
    </row>
    <row r="677" spans="1:5" x14ac:dyDescent="0.25">
      <c r="A677" t="s">
        <v>742</v>
      </c>
      <c r="B677" t="s">
        <v>2340</v>
      </c>
      <c r="C677" t="s">
        <v>2385</v>
      </c>
      <c r="D677">
        <v>74810</v>
      </c>
      <c r="E677" t="str">
        <f t="shared" si="9"/>
        <v>ia.assorted_string like '%74810-09-2023%' or</v>
      </c>
    </row>
    <row r="678" spans="1:5" x14ac:dyDescent="0.25">
      <c r="A678" t="s">
        <v>743</v>
      </c>
      <c r="B678" t="s">
        <v>2336</v>
      </c>
      <c r="C678" t="s">
        <v>2385</v>
      </c>
      <c r="D678">
        <v>68829</v>
      </c>
      <c r="E678" t="str">
        <f t="shared" si="9"/>
        <v>ia.assorted_string like '%68829-03-2023%' or</v>
      </c>
    </row>
    <row r="679" spans="1:5" x14ac:dyDescent="0.25">
      <c r="A679" t="s">
        <v>744</v>
      </c>
      <c r="B679" t="s">
        <v>2340</v>
      </c>
      <c r="C679" t="s">
        <v>2385</v>
      </c>
      <c r="D679">
        <v>74876</v>
      </c>
      <c r="E679" t="str">
        <f t="shared" si="9"/>
        <v>ia.assorted_string like '%74876-09-2023%' or</v>
      </c>
    </row>
    <row r="680" spans="1:5" x14ac:dyDescent="0.25">
      <c r="A680" t="s">
        <v>745</v>
      </c>
      <c r="B680" t="s">
        <v>2336</v>
      </c>
      <c r="C680" t="s">
        <v>2385</v>
      </c>
      <c r="D680">
        <v>68970</v>
      </c>
      <c r="E680" t="str">
        <f t="shared" si="9"/>
        <v>ia.assorted_string like '%68970-03-2023%' or</v>
      </c>
    </row>
    <row r="681" spans="1:5" x14ac:dyDescent="0.25">
      <c r="A681" t="s">
        <v>746</v>
      </c>
      <c r="B681" t="s">
        <v>2340</v>
      </c>
      <c r="C681" t="s">
        <v>2385</v>
      </c>
      <c r="D681">
        <v>74894</v>
      </c>
      <c r="E681" t="str">
        <f t="shared" si="9"/>
        <v>ia.assorted_string like '%74894-09-2023%' or</v>
      </c>
    </row>
    <row r="682" spans="1:5" x14ac:dyDescent="0.25">
      <c r="A682" t="s">
        <v>747</v>
      </c>
      <c r="B682" t="s">
        <v>2336</v>
      </c>
      <c r="C682" t="s">
        <v>2385</v>
      </c>
      <c r="D682">
        <v>69016</v>
      </c>
      <c r="E682" t="str">
        <f t="shared" si="9"/>
        <v>ia.assorted_string like '%69016-03-2023%' or</v>
      </c>
    </row>
    <row r="683" spans="1:5" x14ac:dyDescent="0.25">
      <c r="A683" t="s">
        <v>748</v>
      </c>
      <c r="B683" t="s">
        <v>2340</v>
      </c>
      <c r="C683" t="s">
        <v>2385</v>
      </c>
      <c r="D683">
        <v>74911</v>
      </c>
      <c r="E683" t="str">
        <f t="shared" si="9"/>
        <v>ia.assorted_string like '%74911-09-2023%' or</v>
      </c>
    </row>
    <row r="684" spans="1:5" x14ac:dyDescent="0.25">
      <c r="A684" t="s">
        <v>749</v>
      </c>
      <c r="B684" t="s">
        <v>2336</v>
      </c>
      <c r="C684" t="s">
        <v>2385</v>
      </c>
      <c r="D684">
        <v>69082</v>
      </c>
      <c r="E684" t="str">
        <f t="shared" si="9"/>
        <v>ia.assorted_string like '%69082-03-2023%' or</v>
      </c>
    </row>
    <row r="685" spans="1:5" x14ac:dyDescent="0.25">
      <c r="A685" t="s">
        <v>750</v>
      </c>
      <c r="B685" t="s">
        <v>2340</v>
      </c>
      <c r="C685" t="s">
        <v>2385</v>
      </c>
      <c r="D685">
        <v>75012</v>
      </c>
      <c r="E685" t="str">
        <f t="shared" si="9"/>
        <v>ia.assorted_string like '%75012-09-2023%' or</v>
      </c>
    </row>
    <row r="686" spans="1:5" x14ac:dyDescent="0.25">
      <c r="A686" t="s">
        <v>751</v>
      </c>
      <c r="B686" t="s">
        <v>2336</v>
      </c>
      <c r="C686" t="s">
        <v>2385</v>
      </c>
      <c r="D686">
        <v>69179</v>
      </c>
      <c r="E686" t="str">
        <f t="shared" si="9"/>
        <v>ia.assorted_string like '%69179-03-2023%' or</v>
      </c>
    </row>
    <row r="687" spans="1:5" x14ac:dyDescent="0.25">
      <c r="A687" t="s">
        <v>752</v>
      </c>
      <c r="B687" t="s">
        <v>2340</v>
      </c>
      <c r="C687" t="s">
        <v>2385</v>
      </c>
      <c r="D687">
        <v>75077</v>
      </c>
      <c r="E687" t="str">
        <f t="shared" si="9"/>
        <v>ia.assorted_string like '%75077-09-2023%' or</v>
      </c>
    </row>
    <row r="688" spans="1:5" x14ac:dyDescent="0.25">
      <c r="A688" t="s">
        <v>753</v>
      </c>
      <c r="B688" t="s">
        <v>2356</v>
      </c>
      <c r="C688" t="s">
        <v>2385</v>
      </c>
      <c r="D688">
        <v>69456</v>
      </c>
      <c r="E688" t="str">
        <f t="shared" si="9"/>
        <v>ia.assorted_string like '%69456-04-2023%' or</v>
      </c>
    </row>
    <row r="689" spans="1:5" x14ac:dyDescent="0.25">
      <c r="A689" t="s">
        <v>754</v>
      </c>
      <c r="B689" t="s">
        <v>2340</v>
      </c>
      <c r="C689" t="s">
        <v>2385</v>
      </c>
      <c r="D689">
        <v>75107</v>
      </c>
      <c r="E689" t="str">
        <f t="shared" si="9"/>
        <v>ia.assorted_string like '%75107-09-2023%' or</v>
      </c>
    </row>
    <row r="690" spans="1:5" x14ac:dyDescent="0.25">
      <c r="A690" t="s">
        <v>755</v>
      </c>
      <c r="B690" t="s">
        <v>2356</v>
      </c>
      <c r="C690" t="s">
        <v>2385</v>
      </c>
      <c r="D690">
        <v>69489</v>
      </c>
      <c r="E690" t="str">
        <f t="shared" si="9"/>
        <v>ia.assorted_string like '%69489-04-2023%' or</v>
      </c>
    </row>
    <row r="691" spans="1:5" x14ac:dyDescent="0.25">
      <c r="A691" t="s">
        <v>756</v>
      </c>
      <c r="B691" t="s">
        <v>2340</v>
      </c>
      <c r="C691" t="s">
        <v>2385</v>
      </c>
      <c r="D691">
        <v>75196</v>
      </c>
      <c r="E691" t="str">
        <f t="shared" ref="E691:E697" si="10">"ia.assorted_string like '%"&amp;D691&amp;B691&amp;"%' or"</f>
        <v>ia.assorted_string like '%75196-09-2023%' or</v>
      </c>
    </row>
    <row r="692" spans="1:5" x14ac:dyDescent="0.25">
      <c r="A692" t="s">
        <v>757</v>
      </c>
      <c r="B692" t="s">
        <v>2356</v>
      </c>
      <c r="C692" t="s">
        <v>2385</v>
      </c>
      <c r="D692">
        <v>69672</v>
      </c>
      <c r="E692" t="str">
        <f t="shared" si="10"/>
        <v>ia.assorted_string like '%69672-04-2023%' or</v>
      </c>
    </row>
    <row r="693" spans="1:5" x14ac:dyDescent="0.25">
      <c r="A693" t="s">
        <v>758</v>
      </c>
      <c r="B693" t="s">
        <v>2340</v>
      </c>
      <c r="C693" t="s">
        <v>2385</v>
      </c>
      <c r="D693">
        <v>75280</v>
      </c>
      <c r="E693" t="str">
        <f t="shared" si="10"/>
        <v>ia.assorted_string like '%75280-09-2023%' or</v>
      </c>
    </row>
    <row r="694" spans="1:5" x14ac:dyDescent="0.25">
      <c r="A694" t="s">
        <v>759</v>
      </c>
      <c r="B694" t="s">
        <v>2356</v>
      </c>
      <c r="C694" t="s">
        <v>2385</v>
      </c>
      <c r="D694">
        <v>69859</v>
      </c>
      <c r="E694" t="str">
        <f t="shared" si="10"/>
        <v>ia.assorted_string like '%69859-04-2023%' or</v>
      </c>
    </row>
    <row r="695" spans="1:5" x14ac:dyDescent="0.25">
      <c r="A695" t="s">
        <v>760</v>
      </c>
      <c r="B695" t="s">
        <v>2340</v>
      </c>
      <c r="C695" t="s">
        <v>2385</v>
      </c>
      <c r="D695">
        <v>75338</v>
      </c>
      <c r="E695" t="str">
        <f t="shared" si="10"/>
        <v>ia.assorted_string like '%75338-09-2023%' or</v>
      </c>
    </row>
    <row r="696" spans="1:5" x14ac:dyDescent="0.25">
      <c r="A696" t="s">
        <v>761</v>
      </c>
      <c r="B696" t="s">
        <v>2356</v>
      </c>
      <c r="C696" t="s">
        <v>2385</v>
      </c>
      <c r="D696">
        <v>69941</v>
      </c>
      <c r="E696" t="str">
        <f t="shared" si="10"/>
        <v>ia.assorted_string like '%69941-04-2023%' or</v>
      </c>
    </row>
    <row r="697" spans="1:5" x14ac:dyDescent="0.25">
      <c r="A697" t="s">
        <v>762</v>
      </c>
      <c r="B697" t="s">
        <v>2340</v>
      </c>
      <c r="C697" t="s">
        <v>2385</v>
      </c>
      <c r="D697">
        <v>75393</v>
      </c>
      <c r="E697" t="str">
        <f t="shared" si="10"/>
        <v>ia.assorted_string like '%75393-09-2023%' or</v>
      </c>
    </row>
    <row r="699" spans="1:5" x14ac:dyDescent="0.25">
      <c r="A699" t="s">
        <v>764</v>
      </c>
      <c r="B699" t="s">
        <v>2340</v>
      </c>
      <c r="C699" t="s">
        <v>2385</v>
      </c>
      <c r="D699">
        <v>75398</v>
      </c>
      <c r="E699" t="str">
        <f t="shared" ref="E699" si="11">"ia.assorted_string like '%"&amp;D699&amp;B699&amp;"%' or"</f>
        <v>ia.assorted_string like '%75398-09-2023%' or</v>
      </c>
    </row>
    <row r="701" spans="1:5" x14ac:dyDescent="0.25">
      <c r="A701" t="s">
        <v>766</v>
      </c>
      <c r="B701" t="s">
        <v>2340</v>
      </c>
      <c r="C701" t="s">
        <v>2385</v>
      </c>
      <c r="D701">
        <v>75461</v>
      </c>
      <c r="E701" t="str">
        <f t="shared" ref="E701" si="12">"ia.assorted_string like '%"&amp;D701&amp;B701&amp;"%' or"</f>
        <v>ia.assorted_string like '%75461-09-2023%' or</v>
      </c>
    </row>
    <row r="703" spans="1:5" x14ac:dyDescent="0.25">
      <c r="A703" t="s">
        <v>768</v>
      </c>
      <c r="B703" t="s">
        <v>2340</v>
      </c>
      <c r="C703" t="s">
        <v>2385</v>
      </c>
      <c r="D703">
        <v>75467</v>
      </c>
      <c r="E703" t="str">
        <f t="shared" ref="E703" si="13">"ia.assorted_string like '%"&amp;D703&amp;B703&amp;"%' or"</f>
        <v>ia.assorted_string like '%75467-09-2023%' or</v>
      </c>
    </row>
    <row r="705" spans="1:5" x14ac:dyDescent="0.25">
      <c r="A705" t="s">
        <v>770</v>
      </c>
      <c r="B705" t="s">
        <v>2340</v>
      </c>
      <c r="C705" t="s">
        <v>2385</v>
      </c>
      <c r="D705">
        <v>75482</v>
      </c>
      <c r="E705" t="str">
        <f t="shared" ref="E705:E768" si="14">"ia.assorted_string like '%"&amp;D705&amp;B705&amp;"%' or"</f>
        <v>ia.assorted_string like '%75482-09-2023%' or</v>
      </c>
    </row>
    <row r="706" spans="1:5" x14ac:dyDescent="0.25">
      <c r="A706" t="s">
        <v>771</v>
      </c>
      <c r="B706" t="s">
        <v>2338</v>
      </c>
      <c r="C706" t="s">
        <v>2385</v>
      </c>
      <c r="D706">
        <v>70465</v>
      </c>
      <c r="E706" t="str">
        <f t="shared" si="14"/>
        <v>ia.assorted_string like '%70465-05-2023%' or</v>
      </c>
    </row>
    <row r="707" spans="1:5" x14ac:dyDescent="0.25">
      <c r="A707" t="s">
        <v>772</v>
      </c>
      <c r="B707" t="s">
        <v>2340</v>
      </c>
      <c r="C707" t="s">
        <v>2385</v>
      </c>
      <c r="D707">
        <v>75557</v>
      </c>
      <c r="E707" t="str">
        <f t="shared" si="14"/>
        <v>ia.assorted_string like '%75557-09-2023%' or</v>
      </c>
    </row>
    <row r="708" spans="1:5" x14ac:dyDescent="0.25">
      <c r="A708" t="s">
        <v>773</v>
      </c>
      <c r="B708" t="s">
        <v>2338</v>
      </c>
      <c r="C708" t="s">
        <v>2385</v>
      </c>
      <c r="D708">
        <v>70540</v>
      </c>
      <c r="E708" t="str">
        <f t="shared" si="14"/>
        <v>ia.assorted_string like '%70540-05-2023%' or</v>
      </c>
    </row>
    <row r="709" spans="1:5" x14ac:dyDescent="0.25">
      <c r="A709" t="s">
        <v>774</v>
      </c>
      <c r="B709" t="s">
        <v>2340</v>
      </c>
      <c r="C709" t="s">
        <v>2385</v>
      </c>
      <c r="D709">
        <v>75612</v>
      </c>
      <c r="E709" t="str">
        <f t="shared" si="14"/>
        <v>ia.assorted_string like '%75612-09-2023%' or</v>
      </c>
    </row>
    <row r="710" spans="1:5" x14ac:dyDescent="0.25">
      <c r="A710" t="s">
        <v>775</v>
      </c>
      <c r="B710" t="s">
        <v>2338</v>
      </c>
      <c r="C710" t="s">
        <v>2385</v>
      </c>
      <c r="D710">
        <v>70768</v>
      </c>
      <c r="E710" t="str">
        <f t="shared" si="14"/>
        <v>ia.assorted_string like '%70768-05-2023%' or</v>
      </c>
    </row>
    <row r="711" spans="1:5" x14ac:dyDescent="0.25">
      <c r="A711" t="s">
        <v>776</v>
      </c>
      <c r="B711" t="s">
        <v>2340</v>
      </c>
      <c r="C711" t="s">
        <v>2385</v>
      </c>
      <c r="D711">
        <v>75664</v>
      </c>
      <c r="E711" t="str">
        <f t="shared" si="14"/>
        <v>ia.assorted_string like '%75664-09-2023%' or</v>
      </c>
    </row>
    <row r="712" spans="1:5" x14ac:dyDescent="0.25">
      <c r="A712" t="s">
        <v>777</v>
      </c>
      <c r="B712" t="s">
        <v>2340</v>
      </c>
      <c r="C712" t="s">
        <v>2385</v>
      </c>
      <c r="D712">
        <v>75008</v>
      </c>
      <c r="E712" t="str">
        <f t="shared" si="14"/>
        <v>ia.assorted_string like '%75008-09-2023%' or</v>
      </c>
    </row>
    <row r="713" spans="1:5" x14ac:dyDescent="0.25">
      <c r="A713" t="s">
        <v>778</v>
      </c>
      <c r="B713" t="s">
        <v>2340</v>
      </c>
      <c r="C713" t="s">
        <v>2385</v>
      </c>
      <c r="D713">
        <v>75686</v>
      </c>
      <c r="E713" t="str">
        <f t="shared" si="14"/>
        <v>ia.assorted_string like '%75686-09-2023%' or</v>
      </c>
    </row>
    <row r="715" spans="1:5" x14ac:dyDescent="0.25">
      <c r="A715" t="s">
        <v>780</v>
      </c>
      <c r="B715" t="s">
        <v>2340</v>
      </c>
      <c r="C715" t="s">
        <v>2385</v>
      </c>
      <c r="D715">
        <v>75766</v>
      </c>
      <c r="E715" t="str">
        <f t="shared" si="14"/>
        <v>ia.assorted_string like '%75766-09-2023%' or</v>
      </c>
    </row>
    <row r="717" spans="1:5" x14ac:dyDescent="0.25">
      <c r="A717" t="s">
        <v>782</v>
      </c>
      <c r="B717" t="s">
        <v>2340</v>
      </c>
      <c r="C717" t="s">
        <v>2385</v>
      </c>
      <c r="D717">
        <v>75790</v>
      </c>
      <c r="E717" t="str">
        <f t="shared" si="14"/>
        <v>ia.assorted_string like '%75790-09-2023%' or</v>
      </c>
    </row>
    <row r="719" spans="1:5" x14ac:dyDescent="0.25">
      <c r="A719" t="s">
        <v>784</v>
      </c>
      <c r="B719" t="s">
        <v>2340</v>
      </c>
      <c r="C719" t="s">
        <v>2385</v>
      </c>
      <c r="D719">
        <v>75813</v>
      </c>
      <c r="E719" t="str">
        <f t="shared" si="14"/>
        <v>ia.assorted_string like '%75813-09-2023%' or</v>
      </c>
    </row>
    <row r="721" spans="1:5" x14ac:dyDescent="0.25">
      <c r="A721" t="s">
        <v>786</v>
      </c>
      <c r="B721" t="s">
        <v>2340</v>
      </c>
      <c r="C721" t="s">
        <v>2385</v>
      </c>
      <c r="D721">
        <v>75904</v>
      </c>
      <c r="E721" t="str">
        <f t="shared" si="14"/>
        <v>ia.assorted_string like '%75904-09-2023%' or</v>
      </c>
    </row>
    <row r="723" spans="1:5" x14ac:dyDescent="0.25">
      <c r="A723" t="s">
        <v>788</v>
      </c>
      <c r="B723" t="s">
        <v>2340</v>
      </c>
      <c r="C723" t="s">
        <v>2385</v>
      </c>
      <c r="D723">
        <v>75909</v>
      </c>
      <c r="E723" t="str">
        <f t="shared" si="14"/>
        <v>ia.assorted_string like '%75909-09-2023%' or</v>
      </c>
    </row>
    <row r="724" spans="1:5" x14ac:dyDescent="0.25">
      <c r="A724" t="s">
        <v>789</v>
      </c>
      <c r="B724" t="s">
        <v>2360</v>
      </c>
      <c r="C724" t="s">
        <v>2385</v>
      </c>
      <c r="D724">
        <v>63320</v>
      </c>
      <c r="E724" t="str">
        <f t="shared" si="14"/>
        <v>ia.assorted_string like '%63320-09-2022%' or</v>
      </c>
    </row>
    <row r="725" spans="1:5" x14ac:dyDescent="0.25">
      <c r="A725" t="s">
        <v>790</v>
      </c>
      <c r="B725" t="s">
        <v>2340</v>
      </c>
      <c r="C725" t="s">
        <v>2385</v>
      </c>
      <c r="D725">
        <v>75922</v>
      </c>
      <c r="E725" t="str">
        <f t="shared" si="14"/>
        <v>ia.assorted_string like '%75922-09-2023%' or</v>
      </c>
    </row>
    <row r="726" spans="1:5" x14ac:dyDescent="0.25">
      <c r="A726" t="s">
        <v>791</v>
      </c>
      <c r="B726" t="s">
        <v>2350</v>
      </c>
      <c r="C726" t="s">
        <v>2385</v>
      </c>
      <c r="D726">
        <v>66872</v>
      </c>
      <c r="E726" t="str">
        <f t="shared" si="14"/>
        <v>ia.assorted_string like '%66872-01-2023%' or</v>
      </c>
    </row>
    <row r="727" spans="1:5" x14ac:dyDescent="0.25">
      <c r="A727" t="s">
        <v>792</v>
      </c>
      <c r="B727" t="s">
        <v>2367</v>
      </c>
      <c r="C727" t="s">
        <v>2385</v>
      </c>
      <c r="D727">
        <v>76064</v>
      </c>
      <c r="E727" t="str">
        <f t="shared" si="14"/>
        <v>ia.assorted_string like '%76064-10-2023%' or</v>
      </c>
    </row>
    <row r="728" spans="1:5" x14ac:dyDescent="0.25">
      <c r="A728" t="s">
        <v>793</v>
      </c>
      <c r="B728" t="s">
        <v>2354</v>
      </c>
      <c r="C728" t="s">
        <v>2385</v>
      </c>
      <c r="D728">
        <v>74222</v>
      </c>
      <c r="E728" t="str">
        <f t="shared" si="14"/>
        <v>ia.assorted_string like '%74222-08-2023%' or</v>
      </c>
    </row>
    <row r="729" spans="1:5" x14ac:dyDescent="0.25">
      <c r="A729" t="s">
        <v>794</v>
      </c>
      <c r="B729" t="s">
        <v>2367</v>
      </c>
      <c r="C729" t="s">
        <v>2385</v>
      </c>
      <c r="D729">
        <v>76102</v>
      </c>
      <c r="E729" t="str">
        <f t="shared" si="14"/>
        <v>ia.assorted_string like '%76102-10-2023%' or</v>
      </c>
    </row>
    <row r="730" spans="1:5" x14ac:dyDescent="0.25">
      <c r="A730" t="s">
        <v>795</v>
      </c>
      <c r="B730" t="s">
        <v>2361</v>
      </c>
      <c r="C730" t="s">
        <v>2385</v>
      </c>
      <c r="D730">
        <v>82392</v>
      </c>
      <c r="E730" t="str">
        <f t="shared" si="14"/>
        <v>ia.assorted_string like '%82392-01-2024%' or</v>
      </c>
    </row>
    <row r="731" spans="1:5" x14ac:dyDescent="0.25">
      <c r="A731" t="s">
        <v>796</v>
      </c>
      <c r="B731" t="s">
        <v>2367</v>
      </c>
      <c r="C731" t="s">
        <v>2385</v>
      </c>
      <c r="D731">
        <v>76133</v>
      </c>
      <c r="E731" t="str">
        <f t="shared" si="14"/>
        <v>ia.assorted_string like '%76133-10-2023%' or</v>
      </c>
    </row>
    <row r="732" spans="1:5" x14ac:dyDescent="0.25">
      <c r="A732" t="s">
        <v>797</v>
      </c>
      <c r="B732" t="s">
        <v>2368</v>
      </c>
      <c r="C732" t="s">
        <v>2385</v>
      </c>
      <c r="D732">
        <v>92452</v>
      </c>
      <c r="E732" t="str">
        <f t="shared" si="14"/>
        <v>ia.assorted_string like '%92452-07-2024%' or</v>
      </c>
    </row>
    <row r="733" spans="1:5" x14ac:dyDescent="0.25">
      <c r="A733" t="s">
        <v>798</v>
      </c>
      <c r="B733" t="s">
        <v>2367</v>
      </c>
      <c r="C733" t="s">
        <v>2385</v>
      </c>
      <c r="D733">
        <v>76244</v>
      </c>
      <c r="E733" t="str">
        <f t="shared" si="14"/>
        <v>ia.assorted_string like '%76244-10-2023%' or</v>
      </c>
    </row>
    <row r="734" spans="1:5" x14ac:dyDescent="0.25">
      <c r="A734" t="s">
        <v>799</v>
      </c>
      <c r="B734" t="s">
        <v>2356</v>
      </c>
      <c r="C734" t="s">
        <v>2385</v>
      </c>
      <c r="D734">
        <v>69947</v>
      </c>
      <c r="E734" t="str">
        <f t="shared" si="14"/>
        <v>ia.assorted_string like '%69947-04-2023%' or</v>
      </c>
    </row>
    <row r="735" spans="1:5" x14ac:dyDescent="0.25">
      <c r="A735" t="s">
        <v>800</v>
      </c>
      <c r="B735" t="s">
        <v>2367</v>
      </c>
      <c r="C735" t="s">
        <v>2385</v>
      </c>
      <c r="D735">
        <v>76260</v>
      </c>
      <c r="E735" t="str">
        <f t="shared" si="14"/>
        <v>ia.assorted_string like '%76260-10-2023%' or</v>
      </c>
    </row>
    <row r="736" spans="1:5" x14ac:dyDescent="0.25">
      <c r="A736" t="s">
        <v>801</v>
      </c>
      <c r="B736" t="s">
        <v>2366</v>
      </c>
      <c r="C736" t="s">
        <v>2385</v>
      </c>
      <c r="D736">
        <v>56936</v>
      </c>
      <c r="E736" t="str">
        <f t="shared" si="14"/>
        <v>ia.assorted_string like '%56936-11-2021%' or</v>
      </c>
    </row>
    <row r="737" spans="1:5" x14ac:dyDescent="0.25">
      <c r="A737" t="s">
        <v>802</v>
      </c>
      <c r="B737" t="s">
        <v>2367</v>
      </c>
      <c r="C737" t="s">
        <v>2385</v>
      </c>
      <c r="D737">
        <v>76396</v>
      </c>
      <c r="E737" t="str">
        <f t="shared" si="14"/>
        <v>ia.assorted_string like '%76396-10-2023%' or</v>
      </c>
    </row>
    <row r="738" spans="1:5" x14ac:dyDescent="0.25">
      <c r="A738" t="s">
        <v>803</v>
      </c>
      <c r="B738" t="s">
        <v>2363</v>
      </c>
      <c r="C738" t="s">
        <v>2385</v>
      </c>
      <c r="D738">
        <v>60210</v>
      </c>
      <c r="E738" t="str">
        <f t="shared" si="14"/>
        <v>ia.assorted_string like '%60210-04-2022%' or</v>
      </c>
    </row>
    <row r="739" spans="1:5" x14ac:dyDescent="0.25">
      <c r="A739" t="s">
        <v>804</v>
      </c>
      <c r="B739" t="s">
        <v>2367</v>
      </c>
      <c r="C739" t="s">
        <v>2385</v>
      </c>
      <c r="D739">
        <v>76483</v>
      </c>
      <c r="E739" t="str">
        <f t="shared" si="14"/>
        <v>ia.assorted_string like '%76483-10-2023%' or</v>
      </c>
    </row>
    <row r="740" spans="1:5" x14ac:dyDescent="0.25">
      <c r="A740" t="s">
        <v>805</v>
      </c>
      <c r="B740" t="s">
        <v>2357</v>
      </c>
      <c r="C740" t="s">
        <v>2385</v>
      </c>
      <c r="D740">
        <v>61418</v>
      </c>
      <c r="E740" t="str">
        <f t="shared" si="14"/>
        <v>ia.assorted_string like '%61418-06-2022%' or</v>
      </c>
    </row>
    <row r="741" spans="1:5" x14ac:dyDescent="0.25">
      <c r="A741" t="s">
        <v>806</v>
      </c>
      <c r="B741" t="s">
        <v>2367</v>
      </c>
      <c r="C741" t="s">
        <v>2385</v>
      </c>
      <c r="D741">
        <v>76741</v>
      </c>
      <c r="E741" t="str">
        <f t="shared" si="14"/>
        <v>ia.assorted_string like '%76741-10-2023%' or</v>
      </c>
    </row>
    <row r="742" spans="1:5" x14ac:dyDescent="0.25">
      <c r="A742" t="s">
        <v>807</v>
      </c>
      <c r="B742" t="s">
        <v>2360</v>
      </c>
      <c r="C742" t="s">
        <v>2385</v>
      </c>
      <c r="D742">
        <v>63469</v>
      </c>
      <c r="E742" t="str">
        <f t="shared" si="14"/>
        <v>ia.assorted_string like '%63469-09-2022%' or</v>
      </c>
    </row>
    <row r="743" spans="1:5" x14ac:dyDescent="0.25">
      <c r="A743" t="s">
        <v>808</v>
      </c>
      <c r="B743" t="s">
        <v>2367</v>
      </c>
      <c r="C743" t="s">
        <v>2385</v>
      </c>
      <c r="D743">
        <v>77184</v>
      </c>
      <c r="E743" t="str">
        <f t="shared" si="14"/>
        <v>ia.assorted_string like '%77184-10-2023%' or</v>
      </c>
    </row>
    <row r="744" spans="1:5" x14ac:dyDescent="0.25">
      <c r="A744" t="s">
        <v>809</v>
      </c>
      <c r="B744" t="s">
        <v>2350</v>
      </c>
      <c r="C744" t="s">
        <v>2385</v>
      </c>
      <c r="D744">
        <v>66476</v>
      </c>
      <c r="E744" t="str">
        <f t="shared" si="14"/>
        <v>ia.assorted_string like '%66476-01-2023%' or</v>
      </c>
    </row>
    <row r="745" spans="1:5" x14ac:dyDescent="0.25">
      <c r="A745" t="s">
        <v>810</v>
      </c>
      <c r="B745" t="s">
        <v>2376</v>
      </c>
      <c r="C745" t="s">
        <v>2385</v>
      </c>
      <c r="D745">
        <v>77505</v>
      </c>
      <c r="E745" t="str">
        <f t="shared" si="14"/>
        <v>ia.assorted_string like '%77505-11-2023%' or</v>
      </c>
    </row>
    <row r="746" spans="1:5" x14ac:dyDescent="0.25">
      <c r="A746" t="s">
        <v>811</v>
      </c>
      <c r="B746" t="s">
        <v>2350</v>
      </c>
      <c r="C746" t="s">
        <v>2385</v>
      </c>
      <c r="D746">
        <v>66812</v>
      </c>
      <c r="E746" t="str">
        <f t="shared" si="14"/>
        <v>ia.assorted_string like '%66812-01-2023%' or</v>
      </c>
    </row>
    <row r="747" spans="1:5" x14ac:dyDescent="0.25">
      <c r="A747" t="s">
        <v>812</v>
      </c>
      <c r="B747" t="s">
        <v>2376</v>
      </c>
      <c r="C747" t="s">
        <v>2385</v>
      </c>
      <c r="D747">
        <v>77728</v>
      </c>
      <c r="E747" t="str">
        <f t="shared" si="14"/>
        <v>ia.assorted_string like '%77728-11-2023%' or</v>
      </c>
    </row>
    <row r="748" spans="1:5" x14ac:dyDescent="0.25">
      <c r="A748" t="s">
        <v>813</v>
      </c>
      <c r="B748" t="s">
        <v>2350</v>
      </c>
      <c r="C748" t="s">
        <v>2385</v>
      </c>
      <c r="D748">
        <v>66955</v>
      </c>
      <c r="E748" t="str">
        <f t="shared" si="14"/>
        <v>ia.assorted_string like '%66955-01-2023%' or</v>
      </c>
    </row>
    <row r="749" spans="1:5" x14ac:dyDescent="0.25">
      <c r="A749" t="s">
        <v>814</v>
      </c>
      <c r="B749" t="s">
        <v>2376</v>
      </c>
      <c r="C749" t="s">
        <v>2385</v>
      </c>
      <c r="D749">
        <v>78627</v>
      </c>
      <c r="E749" t="str">
        <f t="shared" si="14"/>
        <v>ia.assorted_string like '%78627-11-2023%' or</v>
      </c>
    </row>
    <row r="750" spans="1:5" x14ac:dyDescent="0.25">
      <c r="A750" t="s">
        <v>815</v>
      </c>
      <c r="B750" t="s">
        <v>2350</v>
      </c>
      <c r="C750" t="s">
        <v>2385</v>
      </c>
      <c r="D750">
        <v>67015</v>
      </c>
      <c r="E750" t="str">
        <f t="shared" si="14"/>
        <v>ia.assorted_string like '%67015-01-2023%' or</v>
      </c>
    </row>
    <row r="751" spans="1:5" x14ac:dyDescent="0.25">
      <c r="A751" t="s">
        <v>816</v>
      </c>
      <c r="B751" t="s">
        <v>2372</v>
      </c>
      <c r="C751" t="s">
        <v>2385</v>
      </c>
      <c r="D751">
        <v>79264</v>
      </c>
      <c r="E751" t="str">
        <f t="shared" si="14"/>
        <v>ia.assorted_string like '%79264-12-2023%' or</v>
      </c>
    </row>
    <row r="752" spans="1:5" x14ac:dyDescent="0.25">
      <c r="A752" t="s">
        <v>817</v>
      </c>
      <c r="B752" t="s">
        <v>2337</v>
      </c>
      <c r="C752" t="s">
        <v>2385</v>
      </c>
      <c r="D752">
        <v>67508</v>
      </c>
      <c r="E752" t="str">
        <f t="shared" si="14"/>
        <v>ia.assorted_string like '%67508-02-2023%' or</v>
      </c>
    </row>
    <row r="753" spans="1:5" x14ac:dyDescent="0.25">
      <c r="A753" t="s">
        <v>818</v>
      </c>
      <c r="B753" t="s">
        <v>2372</v>
      </c>
      <c r="C753" t="s">
        <v>2385</v>
      </c>
      <c r="D753">
        <v>79346</v>
      </c>
      <c r="E753" t="str">
        <f t="shared" si="14"/>
        <v>ia.assorted_string like '%79346-12-2023%' or</v>
      </c>
    </row>
    <row r="754" spans="1:5" x14ac:dyDescent="0.25">
      <c r="A754" t="s">
        <v>819</v>
      </c>
      <c r="B754" t="s">
        <v>2337</v>
      </c>
      <c r="C754" t="s">
        <v>2385</v>
      </c>
      <c r="D754">
        <v>68043</v>
      </c>
      <c r="E754" t="str">
        <f t="shared" si="14"/>
        <v>ia.assorted_string like '%68043-02-2023%' or</v>
      </c>
    </row>
    <row r="755" spans="1:5" x14ac:dyDescent="0.25">
      <c r="A755" t="s">
        <v>820</v>
      </c>
      <c r="B755" t="s">
        <v>2372</v>
      </c>
      <c r="C755" t="s">
        <v>2385</v>
      </c>
      <c r="D755">
        <v>79777</v>
      </c>
      <c r="E755" t="str">
        <f t="shared" si="14"/>
        <v>ia.assorted_string like '%79777-12-2023%' or</v>
      </c>
    </row>
    <row r="756" spans="1:5" x14ac:dyDescent="0.25">
      <c r="A756" t="s">
        <v>821</v>
      </c>
      <c r="B756" t="s">
        <v>2336</v>
      </c>
      <c r="C756" t="s">
        <v>2385</v>
      </c>
      <c r="D756">
        <v>68491</v>
      </c>
      <c r="E756" t="str">
        <f t="shared" si="14"/>
        <v>ia.assorted_string like '%68491-03-2023%' or</v>
      </c>
    </row>
    <row r="757" spans="1:5" x14ac:dyDescent="0.25">
      <c r="A757" t="s">
        <v>822</v>
      </c>
      <c r="B757" t="s">
        <v>2372</v>
      </c>
      <c r="C757" t="s">
        <v>2385</v>
      </c>
      <c r="D757">
        <v>79778</v>
      </c>
      <c r="E757" t="str">
        <f t="shared" si="14"/>
        <v>ia.assorted_string like '%79778-12-2023%' or</v>
      </c>
    </row>
    <row r="758" spans="1:5" x14ac:dyDescent="0.25">
      <c r="A758" t="s">
        <v>823</v>
      </c>
      <c r="B758" t="s">
        <v>2336</v>
      </c>
      <c r="C758" t="s">
        <v>2385</v>
      </c>
      <c r="D758">
        <v>68786</v>
      </c>
      <c r="E758" t="str">
        <f t="shared" si="14"/>
        <v>ia.assorted_string like '%68786-03-2023%' or</v>
      </c>
    </row>
    <row r="759" spans="1:5" x14ac:dyDescent="0.25">
      <c r="A759" t="s">
        <v>824</v>
      </c>
      <c r="B759" t="s">
        <v>2372</v>
      </c>
      <c r="C759" t="s">
        <v>2385</v>
      </c>
      <c r="D759">
        <v>79786</v>
      </c>
      <c r="E759" t="str">
        <f t="shared" si="14"/>
        <v>ia.assorted_string like '%79786-12-2023%' or</v>
      </c>
    </row>
    <row r="760" spans="1:5" x14ac:dyDescent="0.25">
      <c r="A760" t="s">
        <v>825</v>
      </c>
      <c r="B760" t="s">
        <v>2336</v>
      </c>
      <c r="C760" t="s">
        <v>2385</v>
      </c>
      <c r="D760">
        <v>68985</v>
      </c>
      <c r="E760" t="str">
        <f t="shared" si="14"/>
        <v>ia.assorted_string like '%68985-03-2023%' or</v>
      </c>
    </row>
    <row r="761" spans="1:5" x14ac:dyDescent="0.25">
      <c r="A761" t="s">
        <v>826</v>
      </c>
      <c r="B761" t="s">
        <v>2372</v>
      </c>
      <c r="C761" t="s">
        <v>2385</v>
      </c>
      <c r="D761">
        <v>79995</v>
      </c>
      <c r="E761" t="str">
        <f t="shared" si="14"/>
        <v>ia.assorted_string like '%79995-12-2023%' or</v>
      </c>
    </row>
    <row r="762" spans="1:5" x14ac:dyDescent="0.25">
      <c r="A762" t="s">
        <v>827</v>
      </c>
      <c r="B762" t="s">
        <v>2336</v>
      </c>
      <c r="C762" t="s">
        <v>2385</v>
      </c>
      <c r="D762">
        <v>69150</v>
      </c>
      <c r="E762" t="str">
        <f t="shared" si="14"/>
        <v>ia.assorted_string like '%69150-03-2023%' or</v>
      </c>
    </row>
    <row r="763" spans="1:5" x14ac:dyDescent="0.25">
      <c r="A763" t="s">
        <v>828</v>
      </c>
      <c r="B763" t="s">
        <v>2372</v>
      </c>
      <c r="C763" t="s">
        <v>2385</v>
      </c>
      <c r="D763">
        <v>80099</v>
      </c>
      <c r="E763" t="str">
        <f t="shared" si="14"/>
        <v>ia.assorted_string like '%80099-12-2023%' or</v>
      </c>
    </row>
    <row r="764" spans="1:5" x14ac:dyDescent="0.25">
      <c r="A764" t="s">
        <v>829</v>
      </c>
      <c r="B764" t="s">
        <v>2356</v>
      </c>
      <c r="C764" t="s">
        <v>2385</v>
      </c>
      <c r="D764">
        <v>69487</v>
      </c>
      <c r="E764" t="str">
        <f t="shared" si="14"/>
        <v>ia.assorted_string like '%69487-04-2023%' or</v>
      </c>
    </row>
    <row r="765" spans="1:5" x14ac:dyDescent="0.25">
      <c r="A765" t="s">
        <v>830</v>
      </c>
      <c r="B765" t="s">
        <v>2372</v>
      </c>
      <c r="C765" t="s">
        <v>2385</v>
      </c>
      <c r="D765">
        <v>80386</v>
      </c>
      <c r="E765" t="str">
        <f t="shared" si="14"/>
        <v>ia.assorted_string like '%80386-12-2023%' or</v>
      </c>
    </row>
    <row r="766" spans="1:5" x14ac:dyDescent="0.25">
      <c r="A766" t="s">
        <v>831</v>
      </c>
      <c r="B766" t="s">
        <v>2356</v>
      </c>
      <c r="C766" t="s">
        <v>2385</v>
      </c>
      <c r="D766">
        <v>69754</v>
      </c>
      <c r="E766" t="str">
        <f t="shared" si="14"/>
        <v>ia.assorted_string like '%69754-04-2023%' or</v>
      </c>
    </row>
    <row r="767" spans="1:5" x14ac:dyDescent="0.25">
      <c r="A767" t="s">
        <v>832</v>
      </c>
      <c r="B767" t="s">
        <v>2372</v>
      </c>
      <c r="C767" t="s">
        <v>2385</v>
      </c>
      <c r="D767">
        <v>80398</v>
      </c>
      <c r="E767" t="str">
        <f t="shared" si="14"/>
        <v>ia.assorted_string like '%80398-12-2023%' or</v>
      </c>
    </row>
    <row r="768" spans="1:5" x14ac:dyDescent="0.25">
      <c r="A768" t="s">
        <v>833</v>
      </c>
      <c r="B768" t="s">
        <v>2356</v>
      </c>
      <c r="C768" t="s">
        <v>2385</v>
      </c>
      <c r="D768">
        <v>69965</v>
      </c>
      <c r="E768" t="str">
        <f t="shared" si="14"/>
        <v>ia.assorted_string like '%69965-04-2023%' or</v>
      </c>
    </row>
    <row r="769" spans="1:5" x14ac:dyDescent="0.25">
      <c r="A769" t="s">
        <v>834</v>
      </c>
      <c r="B769" t="s">
        <v>2372</v>
      </c>
      <c r="C769" t="s">
        <v>2385</v>
      </c>
      <c r="D769">
        <v>80460</v>
      </c>
      <c r="E769" t="str">
        <f t="shared" ref="E769" si="15">"ia.assorted_string like '%"&amp;D769&amp;B769&amp;"%' or"</f>
        <v>ia.assorted_string like '%80460-12-2023%' or</v>
      </c>
    </row>
    <row r="771" spans="1:5" x14ac:dyDescent="0.25">
      <c r="A771" t="s">
        <v>836</v>
      </c>
      <c r="B771" t="s">
        <v>2361</v>
      </c>
      <c r="C771" t="s">
        <v>2385</v>
      </c>
      <c r="D771">
        <v>82038</v>
      </c>
      <c r="E771" t="str">
        <f t="shared" ref="E771" si="16">"ia.assorted_string like '%"&amp;D771&amp;B771&amp;"%' or"</f>
        <v>ia.assorted_string like '%82038-01-2024%' or</v>
      </c>
    </row>
    <row r="773" spans="1:5" x14ac:dyDescent="0.25">
      <c r="A773" t="s">
        <v>838</v>
      </c>
      <c r="B773" t="s">
        <v>2361</v>
      </c>
      <c r="C773" t="s">
        <v>2385</v>
      </c>
      <c r="D773">
        <v>82341</v>
      </c>
      <c r="E773" t="str">
        <f t="shared" ref="E773:E775" si="17">"ia.assorted_string like '%"&amp;D773&amp;B773&amp;"%' or"</f>
        <v>ia.assorted_string like '%82341-01-2024%' or</v>
      </c>
    </row>
    <row r="774" spans="1:5" x14ac:dyDescent="0.25">
      <c r="A774" t="s">
        <v>839</v>
      </c>
      <c r="B774" t="s">
        <v>2338</v>
      </c>
      <c r="C774" t="s">
        <v>2385</v>
      </c>
      <c r="D774">
        <v>70759</v>
      </c>
      <c r="E774" t="str">
        <f t="shared" si="17"/>
        <v>ia.assorted_string like '%70759-05-2023%' or</v>
      </c>
    </row>
    <row r="775" spans="1:5" x14ac:dyDescent="0.25">
      <c r="A775" t="s">
        <v>840</v>
      </c>
      <c r="B775" t="s">
        <v>2359</v>
      </c>
      <c r="C775" t="s">
        <v>2385</v>
      </c>
      <c r="D775">
        <v>83084</v>
      </c>
      <c r="E775" t="str">
        <f t="shared" si="17"/>
        <v>ia.assorted_string like '%83084-02-2024%' or</v>
      </c>
    </row>
    <row r="777" spans="1:5" x14ac:dyDescent="0.25">
      <c r="A777" t="s">
        <v>842</v>
      </c>
      <c r="B777" t="s">
        <v>2359</v>
      </c>
      <c r="C777" t="s">
        <v>2385</v>
      </c>
      <c r="D777">
        <v>83150</v>
      </c>
      <c r="E777" t="str">
        <f t="shared" ref="E777" si="18">"ia.assorted_string like '%"&amp;D777&amp;B777&amp;"%' or"</f>
        <v>ia.assorted_string like '%83150-02-2024%' or</v>
      </c>
    </row>
    <row r="779" spans="1:5" x14ac:dyDescent="0.25">
      <c r="A779" t="s">
        <v>844</v>
      </c>
      <c r="B779" t="s">
        <v>2359</v>
      </c>
      <c r="C779" t="s">
        <v>2385</v>
      </c>
      <c r="D779">
        <v>83798</v>
      </c>
      <c r="E779" t="str">
        <f t="shared" ref="E779" si="19">"ia.assorted_string like '%"&amp;D779&amp;B779&amp;"%' or"</f>
        <v>ia.assorted_string like '%83798-02-2024%' or</v>
      </c>
    </row>
    <row r="781" spans="1:5" x14ac:dyDescent="0.25">
      <c r="A781" t="s">
        <v>846</v>
      </c>
      <c r="B781" t="s">
        <v>2359</v>
      </c>
      <c r="C781" t="s">
        <v>2385</v>
      </c>
      <c r="D781">
        <v>84310</v>
      </c>
      <c r="E781" t="str">
        <f t="shared" ref="E781:E803" si="20">"ia.assorted_string like '%"&amp;D781&amp;B781&amp;"%' or"</f>
        <v>ia.assorted_string like '%84310-02-2024%' or</v>
      </c>
    </row>
    <row r="782" spans="1:5" x14ac:dyDescent="0.25">
      <c r="A782" t="s">
        <v>847</v>
      </c>
      <c r="B782" t="s">
        <v>2350</v>
      </c>
      <c r="C782" t="s">
        <v>2385</v>
      </c>
      <c r="D782">
        <v>66675</v>
      </c>
      <c r="E782" t="str">
        <f t="shared" si="20"/>
        <v>ia.assorted_string like '%66675-01-2023%' or</v>
      </c>
    </row>
    <row r="783" spans="1:5" x14ac:dyDescent="0.25">
      <c r="A783" t="s">
        <v>848</v>
      </c>
      <c r="B783" t="s">
        <v>2359</v>
      </c>
      <c r="C783" t="s">
        <v>2385</v>
      </c>
      <c r="D783">
        <v>84474</v>
      </c>
      <c r="E783" t="str">
        <f t="shared" si="20"/>
        <v>ia.assorted_string like '%84474-02-2024%' or</v>
      </c>
    </row>
    <row r="784" spans="1:5" x14ac:dyDescent="0.25">
      <c r="A784" t="s">
        <v>849</v>
      </c>
      <c r="B784" t="s">
        <v>2372</v>
      </c>
      <c r="C784" t="s">
        <v>2385</v>
      </c>
      <c r="D784">
        <v>79517</v>
      </c>
      <c r="E784" t="str">
        <f t="shared" si="20"/>
        <v>ia.assorted_string like '%79517-12-2023%' or</v>
      </c>
    </row>
    <row r="785" spans="1:5" x14ac:dyDescent="0.25">
      <c r="A785" t="s">
        <v>850</v>
      </c>
      <c r="B785" t="s">
        <v>2339</v>
      </c>
      <c r="C785" t="s">
        <v>2385</v>
      </c>
      <c r="D785">
        <v>85404</v>
      </c>
      <c r="E785" t="str">
        <f t="shared" si="20"/>
        <v>ia.assorted_string like '%85404-03-2024%' or</v>
      </c>
    </row>
    <row r="786" spans="1:5" x14ac:dyDescent="0.25">
      <c r="A786" t="s">
        <v>851</v>
      </c>
      <c r="B786" t="s">
        <v>2350</v>
      </c>
      <c r="C786" t="s">
        <v>2385</v>
      </c>
      <c r="D786">
        <v>66544</v>
      </c>
      <c r="E786" t="str">
        <f t="shared" si="20"/>
        <v>ia.assorted_string like '%66544-01-2023%' or</v>
      </c>
    </row>
    <row r="787" spans="1:5" x14ac:dyDescent="0.25">
      <c r="A787" t="s">
        <v>852</v>
      </c>
      <c r="B787" t="s">
        <v>2339</v>
      </c>
      <c r="C787" t="s">
        <v>2385</v>
      </c>
      <c r="D787">
        <v>85659</v>
      </c>
      <c r="E787" t="str">
        <f t="shared" si="20"/>
        <v>ia.assorted_string like '%85659-03-2024%' or</v>
      </c>
    </row>
    <row r="788" spans="1:5" x14ac:dyDescent="0.25">
      <c r="A788" t="s">
        <v>853</v>
      </c>
      <c r="B788" t="s">
        <v>2362</v>
      </c>
      <c r="C788" t="s">
        <v>2385</v>
      </c>
      <c r="D788">
        <v>58795</v>
      </c>
      <c r="E788" t="str">
        <f t="shared" si="20"/>
        <v>ia.assorted_string like '%58795-02-2022%' or</v>
      </c>
    </row>
    <row r="789" spans="1:5" x14ac:dyDescent="0.25">
      <c r="A789" t="s">
        <v>854</v>
      </c>
      <c r="B789" t="s">
        <v>2339</v>
      </c>
      <c r="C789" t="s">
        <v>2385</v>
      </c>
      <c r="D789">
        <v>85957</v>
      </c>
      <c r="E789" t="str">
        <f t="shared" si="20"/>
        <v>ia.assorted_string like '%85957-03-2024%' or</v>
      </c>
    </row>
    <row r="790" spans="1:5" x14ac:dyDescent="0.25">
      <c r="A790" t="s">
        <v>855</v>
      </c>
      <c r="B790" t="s">
        <v>2351</v>
      </c>
      <c r="C790" t="s">
        <v>2385</v>
      </c>
      <c r="D790">
        <v>62893</v>
      </c>
      <c r="E790" t="str">
        <f t="shared" si="20"/>
        <v>ia.assorted_string like '%62893-08-2022%' or</v>
      </c>
    </row>
    <row r="791" spans="1:5" x14ac:dyDescent="0.25">
      <c r="A791" t="s">
        <v>856</v>
      </c>
      <c r="B791" t="s">
        <v>2347</v>
      </c>
      <c r="C791" t="s">
        <v>2385</v>
      </c>
      <c r="D791">
        <v>87330</v>
      </c>
      <c r="E791" t="str">
        <f t="shared" si="20"/>
        <v>ia.assorted_string like '%87330-04-2024%' or</v>
      </c>
    </row>
    <row r="792" spans="1:5" x14ac:dyDescent="0.25">
      <c r="A792" t="s">
        <v>857</v>
      </c>
      <c r="B792" t="s">
        <v>2350</v>
      </c>
      <c r="C792" t="s">
        <v>2385</v>
      </c>
      <c r="D792">
        <v>66530</v>
      </c>
      <c r="E792" t="str">
        <f t="shared" si="20"/>
        <v>ia.assorted_string like '%66530-01-2023%' or</v>
      </c>
    </row>
    <row r="793" spans="1:5" x14ac:dyDescent="0.25">
      <c r="A793" t="s">
        <v>858</v>
      </c>
      <c r="B793" t="s">
        <v>2347</v>
      </c>
      <c r="C793" t="s">
        <v>2385</v>
      </c>
      <c r="D793">
        <v>87332</v>
      </c>
      <c r="E793" t="str">
        <f t="shared" si="20"/>
        <v>ia.assorted_string like '%87332-04-2024%' or</v>
      </c>
    </row>
    <row r="794" spans="1:5" x14ac:dyDescent="0.25">
      <c r="A794" t="s">
        <v>859</v>
      </c>
      <c r="B794" t="s">
        <v>2350</v>
      </c>
      <c r="C794" t="s">
        <v>2385</v>
      </c>
      <c r="D794">
        <v>66982</v>
      </c>
      <c r="E794" t="str">
        <f t="shared" si="20"/>
        <v>ia.assorted_string like '%66982-01-2023%' or</v>
      </c>
    </row>
    <row r="795" spans="1:5" x14ac:dyDescent="0.25">
      <c r="A795" t="s">
        <v>860</v>
      </c>
      <c r="B795" t="s">
        <v>2347</v>
      </c>
      <c r="C795" t="s">
        <v>2385</v>
      </c>
      <c r="D795">
        <v>87773</v>
      </c>
      <c r="E795" t="str">
        <f t="shared" si="20"/>
        <v>ia.assorted_string like '%87773-04-2024%' or</v>
      </c>
    </row>
    <row r="796" spans="1:5" x14ac:dyDescent="0.25">
      <c r="A796" t="s">
        <v>861</v>
      </c>
      <c r="B796" t="s">
        <v>2337</v>
      </c>
      <c r="C796" t="s">
        <v>2385</v>
      </c>
      <c r="D796">
        <v>67752</v>
      </c>
      <c r="E796" t="str">
        <f t="shared" si="20"/>
        <v>ia.assorted_string like '%67752-02-2023%' or</v>
      </c>
    </row>
    <row r="797" spans="1:5" x14ac:dyDescent="0.25">
      <c r="A797" t="s">
        <v>862</v>
      </c>
      <c r="B797" t="s">
        <v>2347</v>
      </c>
      <c r="C797" t="s">
        <v>2385</v>
      </c>
      <c r="D797">
        <v>88019</v>
      </c>
      <c r="E797" t="str">
        <f t="shared" si="20"/>
        <v>ia.assorted_string like '%88019-04-2024%' or</v>
      </c>
    </row>
    <row r="798" spans="1:5" x14ac:dyDescent="0.25">
      <c r="A798" t="s">
        <v>863</v>
      </c>
      <c r="B798" t="s">
        <v>2336</v>
      </c>
      <c r="C798" t="s">
        <v>2385</v>
      </c>
      <c r="D798">
        <v>68755</v>
      </c>
      <c r="E798" t="str">
        <f t="shared" si="20"/>
        <v>ia.assorted_string like '%68755-03-2023%' or</v>
      </c>
    </row>
    <row r="799" spans="1:5" x14ac:dyDescent="0.25">
      <c r="A799" t="s">
        <v>864</v>
      </c>
      <c r="B799" t="s">
        <v>2355</v>
      </c>
      <c r="C799" t="s">
        <v>2385</v>
      </c>
      <c r="D799">
        <v>88233</v>
      </c>
      <c r="E799" t="str">
        <f t="shared" si="20"/>
        <v>ia.assorted_string like '%88233-05-2024%' or</v>
      </c>
    </row>
    <row r="800" spans="1:5" x14ac:dyDescent="0.25">
      <c r="A800" t="s">
        <v>865</v>
      </c>
      <c r="B800" t="s">
        <v>2336</v>
      </c>
      <c r="C800" t="s">
        <v>2385</v>
      </c>
      <c r="D800">
        <v>69075</v>
      </c>
      <c r="E800" t="str">
        <f t="shared" si="20"/>
        <v>ia.assorted_string like '%69075-03-2023%' or</v>
      </c>
    </row>
    <row r="801" spans="1:5" x14ac:dyDescent="0.25">
      <c r="A801" t="s">
        <v>866</v>
      </c>
      <c r="B801" t="s">
        <v>2355</v>
      </c>
      <c r="C801" t="s">
        <v>2385</v>
      </c>
      <c r="D801">
        <v>88544</v>
      </c>
      <c r="E801" t="str">
        <f t="shared" si="20"/>
        <v>ia.assorted_string like '%88544-05-2024%' or</v>
      </c>
    </row>
    <row r="802" spans="1:5" x14ac:dyDescent="0.25">
      <c r="A802" t="s">
        <v>867</v>
      </c>
      <c r="B802" t="s">
        <v>2356</v>
      </c>
      <c r="C802" t="s">
        <v>2385</v>
      </c>
      <c r="D802">
        <v>69644</v>
      </c>
      <c r="E802" t="str">
        <f t="shared" si="20"/>
        <v>ia.assorted_string like '%69644-04-2023%' or</v>
      </c>
    </row>
    <row r="803" spans="1:5" x14ac:dyDescent="0.25">
      <c r="A803" t="s">
        <v>868</v>
      </c>
      <c r="B803" t="s">
        <v>2355</v>
      </c>
      <c r="C803" t="s">
        <v>2385</v>
      </c>
      <c r="D803">
        <v>88809</v>
      </c>
      <c r="E803" t="str">
        <f t="shared" si="20"/>
        <v>ia.assorted_string like '%88809-05-2024%' or</v>
      </c>
    </row>
    <row r="805" spans="1:5" x14ac:dyDescent="0.25">
      <c r="A805" t="s">
        <v>870</v>
      </c>
      <c r="B805" t="s">
        <v>2355</v>
      </c>
      <c r="C805" t="s">
        <v>2385</v>
      </c>
      <c r="D805">
        <v>90023</v>
      </c>
      <c r="E805" t="str">
        <f t="shared" ref="E805:E807" si="21">"ia.assorted_string like '%"&amp;D805&amp;B805&amp;"%' or"</f>
        <v>ia.assorted_string like '%90023-05-2024%' or</v>
      </c>
    </row>
    <row r="806" spans="1:5" x14ac:dyDescent="0.25">
      <c r="A806" t="s">
        <v>871</v>
      </c>
      <c r="B806" t="s">
        <v>2338</v>
      </c>
      <c r="C806" t="s">
        <v>2385</v>
      </c>
      <c r="D806">
        <v>70476</v>
      </c>
      <c r="E806" t="str">
        <f t="shared" si="21"/>
        <v>ia.assorted_string like '%70476-05-2023%' or</v>
      </c>
    </row>
    <row r="807" spans="1:5" x14ac:dyDescent="0.25">
      <c r="A807" t="s">
        <v>872</v>
      </c>
      <c r="B807" t="s">
        <v>2343</v>
      </c>
      <c r="C807" t="s">
        <v>2385</v>
      </c>
      <c r="D807">
        <v>90147</v>
      </c>
      <c r="E807" t="str">
        <f t="shared" si="21"/>
        <v>ia.assorted_string like '%90147-06-2024%' or</v>
      </c>
    </row>
    <row r="809" spans="1:5" x14ac:dyDescent="0.25">
      <c r="A809" t="s">
        <v>874</v>
      </c>
      <c r="B809" t="s">
        <v>2343</v>
      </c>
      <c r="C809" t="s">
        <v>2385</v>
      </c>
      <c r="D809">
        <v>90772</v>
      </c>
      <c r="E809" t="str">
        <f t="shared" ref="E809:E821" si="22">"ia.assorted_string like '%"&amp;D809&amp;B809&amp;"%' or"</f>
        <v>ia.assorted_string like '%90772-06-2024%' or</v>
      </c>
    </row>
    <row r="810" spans="1:5" x14ac:dyDescent="0.25">
      <c r="A810" t="s">
        <v>875</v>
      </c>
      <c r="B810" t="s">
        <v>2335</v>
      </c>
      <c r="C810" t="s">
        <v>2385</v>
      </c>
      <c r="D810">
        <v>62558</v>
      </c>
      <c r="E810" t="str">
        <f t="shared" si="22"/>
        <v>ia.assorted_string like '%62558-07-2022%' or</v>
      </c>
    </row>
    <row r="811" spans="1:5" x14ac:dyDescent="0.25">
      <c r="A811" t="s">
        <v>876</v>
      </c>
      <c r="B811" t="s">
        <v>2368</v>
      </c>
      <c r="C811" t="s">
        <v>2385</v>
      </c>
      <c r="D811">
        <v>92076</v>
      </c>
      <c r="E811" t="str">
        <f t="shared" si="22"/>
        <v>ia.assorted_string like '%92076-07-2024%' or</v>
      </c>
    </row>
    <row r="812" spans="1:5" x14ac:dyDescent="0.25">
      <c r="A812" t="s">
        <v>877</v>
      </c>
      <c r="B812" t="s">
        <v>2368</v>
      </c>
      <c r="C812" t="s">
        <v>2385</v>
      </c>
      <c r="D812">
        <v>92449</v>
      </c>
      <c r="E812" t="str">
        <f t="shared" si="22"/>
        <v>ia.assorted_string like '%92449-07-2024%' or</v>
      </c>
    </row>
    <row r="813" spans="1:5" x14ac:dyDescent="0.25">
      <c r="A813" t="s">
        <v>878</v>
      </c>
      <c r="B813" t="s">
        <v>2368</v>
      </c>
      <c r="C813" t="s">
        <v>2385</v>
      </c>
      <c r="D813">
        <v>93592</v>
      </c>
      <c r="E813" t="str">
        <f t="shared" si="22"/>
        <v>ia.assorted_string like '%93592-07-2024%' or</v>
      </c>
    </row>
    <row r="814" spans="1:5" x14ac:dyDescent="0.25">
      <c r="A814" t="s">
        <v>879</v>
      </c>
      <c r="B814" t="s">
        <v>2375</v>
      </c>
      <c r="C814" t="s">
        <v>2385</v>
      </c>
      <c r="D814">
        <v>60617</v>
      </c>
      <c r="E814" t="str">
        <f t="shared" si="22"/>
        <v>ia.assorted_string like '%60617-05-2022%' or</v>
      </c>
    </row>
    <row r="815" spans="1:5" x14ac:dyDescent="0.25">
      <c r="A815" t="s">
        <v>880</v>
      </c>
      <c r="B815" t="s">
        <v>2348</v>
      </c>
      <c r="C815" t="s">
        <v>2385</v>
      </c>
      <c r="D815">
        <v>38469</v>
      </c>
      <c r="E815" t="str">
        <f t="shared" si="22"/>
        <v>ia.assorted_string like '%38469-12-2022%' or</v>
      </c>
    </row>
    <row r="816" spans="1:5" x14ac:dyDescent="0.25">
      <c r="A816" t="s">
        <v>881</v>
      </c>
      <c r="B816" t="s">
        <v>2350</v>
      </c>
      <c r="C816" t="s">
        <v>2385</v>
      </c>
      <c r="D816">
        <v>66853</v>
      </c>
      <c r="E816" t="str">
        <f t="shared" si="22"/>
        <v>ia.assorted_string like '%66853-01-2023%' or</v>
      </c>
    </row>
    <row r="817" spans="1:5" x14ac:dyDescent="0.25">
      <c r="A817" t="s">
        <v>882</v>
      </c>
      <c r="B817" t="s">
        <v>2367</v>
      </c>
      <c r="C817" t="s">
        <v>2385</v>
      </c>
      <c r="D817">
        <v>40543</v>
      </c>
      <c r="E817" t="str">
        <f t="shared" si="22"/>
        <v>ia.assorted_string like '%40543-10-2023%' or</v>
      </c>
    </row>
    <row r="818" spans="1:5" x14ac:dyDescent="0.25">
      <c r="A818" t="s">
        <v>883</v>
      </c>
      <c r="B818" t="s">
        <v>2336</v>
      </c>
      <c r="C818" t="s">
        <v>2385</v>
      </c>
      <c r="D818">
        <v>68451</v>
      </c>
      <c r="E818" t="str">
        <f t="shared" si="22"/>
        <v>ia.assorted_string like '%68451-03-2023%' or</v>
      </c>
    </row>
    <row r="819" spans="1:5" x14ac:dyDescent="0.25">
      <c r="A819" t="s">
        <v>884</v>
      </c>
      <c r="B819" t="s">
        <v>2346</v>
      </c>
      <c r="C819" t="s">
        <v>2385</v>
      </c>
      <c r="D819">
        <v>43341</v>
      </c>
      <c r="E819" t="str">
        <f t="shared" si="22"/>
        <v>ia.assorted_string like '%43341-08-2024%' or</v>
      </c>
    </row>
    <row r="820" spans="1:5" x14ac:dyDescent="0.25">
      <c r="A820" t="s">
        <v>885</v>
      </c>
      <c r="B820" t="s">
        <v>2336</v>
      </c>
      <c r="C820" t="s">
        <v>2385</v>
      </c>
      <c r="D820">
        <v>69313</v>
      </c>
      <c r="E820" t="str">
        <f t="shared" si="22"/>
        <v>ia.assorted_string like '%69313-03-2023%' or</v>
      </c>
    </row>
    <row r="821" spans="1:5" x14ac:dyDescent="0.25">
      <c r="A821" t="s">
        <v>886</v>
      </c>
      <c r="B821" t="s">
        <v>2342</v>
      </c>
      <c r="C821" t="s">
        <v>2385</v>
      </c>
      <c r="D821">
        <v>43517</v>
      </c>
      <c r="E821" t="str">
        <f t="shared" si="22"/>
        <v>ia.assorted_string like '%43517-09-2024%' or</v>
      </c>
    </row>
    <row r="823" spans="1:5" x14ac:dyDescent="0.25">
      <c r="A823" t="s">
        <v>888</v>
      </c>
      <c r="B823" t="s">
        <v>2345</v>
      </c>
      <c r="C823" t="s">
        <v>2385</v>
      </c>
      <c r="D823">
        <v>18263</v>
      </c>
      <c r="E823" t="str">
        <f t="shared" ref="E823" si="23">"ia.assorted_string like '%"&amp;D823&amp;B823&amp;"%' or"</f>
        <v>ia.assorted_string like '%18263-06-2023%' or</v>
      </c>
    </row>
    <row r="826" spans="1:5" x14ac:dyDescent="0.25">
      <c r="A826" t="s">
        <v>891</v>
      </c>
      <c r="B826" t="s">
        <v>2356</v>
      </c>
      <c r="C826" t="s">
        <v>2385</v>
      </c>
      <c r="D826">
        <v>69968</v>
      </c>
      <c r="E826" t="str">
        <f t="shared" ref="E826" si="24">"ia.assorted_string like '%"&amp;D826&amp;B826&amp;"%' or"</f>
        <v>ia.assorted_string like '%69968-04-2023%' or</v>
      </c>
    </row>
    <row r="828" spans="1:5" x14ac:dyDescent="0.25">
      <c r="A828" t="s">
        <v>893</v>
      </c>
      <c r="B828" t="s">
        <v>2350</v>
      </c>
      <c r="C828" t="s">
        <v>2385</v>
      </c>
      <c r="D828">
        <v>67223</v>
      </c>
      <c r="E828" t="str">
        <f t="shared" ref="E828" si="25">"ia.assorted_string like '%"&amp;D828&amp;B828&amp;"%' or"</f>
        <v>ia.assorted_string like '%67223-01-2023%' or</v>
      </c>
    </row>
    <row r="830" spans="1:5" x14ac:dyDescent="0.25">
      <c r="A830" t="s">
        <v>895</v>
      </c>
      <c r="B830" t="s">
        <v>2356</v>
      </c>
      <c r="C830" t="s">
        <v>2385</v>
      </c>
      <c r="D830">
        <v>69889</v>
      </c>
      <c r="E830" t="str">
        <f t="shared" ref="E830:E893" si="26">"ia.assorted_string like '%"&amp;D830&amp;B830&amp;"%' or"</f>
        <v>ia.assorted_string like '%69889-04-2023%' or</v>
      </c>
    </row>
    <row r="831" spans="1:5" x14ac:dyDescent="0.25">
      <c r="A831" t="s">
        <v>896</v>
      </c>
      <c r="B831" t="s">
        <v>2355</v>
      </c>
      <c r="C831" t="s">
        <v>2385</v>
      </c>
      <c r="D831">
        <v>19670</v>
      </c>
      <c r="E831" t="str">
        <f t="shared" si="26"/>
        <v>ia.assorted_string like '%19670-05-2024%' or</v>
      </c>
    </row>
    <row r="832" spans="1:5" x14ac:dyDescent="0.25">
      <c r="A832" t="s">
        <v>897</v>
      </c>
      <c r="B832" t="s">
        <v>2356</v>
      </c>
      <c r="C832" t="s">
        <v>2385</v>
      </c>
      <c r="D832">
        <v>69597</v>
      </c>
      <c r="E832" t="str">
        <f t="shared" si="26"/>
        <v>ia.assorted_string like '%69597-04-2023%' or</v>
      </c>
    </row>
    <row r="833" spans="1:5" x14ac:dyDescent="0.25">
      <c r="A833" t="s">
        <v>898</v>
      </c>
      <c r="B833" t="s">
        <v>2356</v>
      </c>
      <c r="C833" t="s">
        <v>2385</v>
      </c>
      <c r="D833">
        <v>39344</v>
      </c>
      <c r="E833" t="str">
        <f t="shared" si="26"/>
        <v>ia.assorted_string like '%39344-04-2023%' or</v>
      </c>
    </row>
    <row r="834" spans="1:5" x14ac:dyDescent="0.25">
      <c r="A834" t="s">
        <v>899</v>
      </c>
      <c r="B834" t="s">
        <v>2336</v>
      </c>
      <c r="C834" t="s">
        <v>2385</v>
      </c>
      <c r="D834">
        <v>68967</v>
      </c>
      <c r="E834" t="str">
        <f t="shared" si="26"/>
        <v>ia.assorted_string like '%68967-03-2023%' or</v>
      </c>
    </row>
    <row r="835" spans="1:5" x14ac:dyDescent="0.25">
      <c r="A835" t="s">
        <v>900</v>
      </c>
      <c r="B835" t="s">
        <v>2371</v>
      </c>
      <c r="C835" t="s">
        <v>2385</v>
      </c>
      <c r="D835">
        <v>43618</v>
      </c>
      <c r="E835" t="str">
        <f t="shared" si="26"/>
        <v>ia.assorted_string like '%43618-10-2024%' or</v>
      </c>
    </row>
    <row r="836" spans="1:5" x14ac:dyDescent="0.25">
      <c r="A836" t="s">
        <v>901</v>
      </c>
      <c r="B836" t="s">
        <v>2348</v>
      </c>
      <c r="C836" t="s">
        <v>2385</v>
      </c>
      <c r="D836">
        <v>66045</v>
      </c>
      <c r="E836" t="str">
        <f t="shared" si="26"/>
        <v>ia.assorted_string like '%66045-12-2022%' or</v>
      </c>
    </row>
    <row r="837" spans="1:5" x14ac:dyDescent="0.25">
      <c r="A837" t="s">
        <v>902</v>
      </c>
      <c r="B837" t="s">
        <v>2350</v>
      </c>
      <c r="C837" t="s">
        <v>2385</v>
      </c>
      <c r="D837">
        <v>17656</v>
      </c>
      <c r="E837" t="str">
        <f t="shared" si="26"/>
        <v>ia.assorted_string like '%17656-01-2023%' or</v>
      </c>
    </row>
    <row r="838" spans="1:5" x14ac:dyDescent="0.25">
      <c r="A838" t="s">
        <v>903</v>
      </c>
      <c r="B838" t="s">
        <v>2338</v>
      </c>
      <c r="C838" t="s">
        <v>2385</v>
      </c>
      <c r="D838">
        <v>70921</v>
      </c>
      <c r="E838" t="str">
        <f t="shared" si="26"/>
        <v>ia.assorted_string like '%70921-05-2023%' or</v>
      </c>
    </row>
    <row r="839" spans="1:5" x14ac:dyDescent="0.25">
      <c r="A839" t="s">
        <v>904</v>
      </c>
      <c r="B839" t="s">
        <v>2356</v>
      </c>
      <c r="C839" t="s">
        <v>2385</v>
      </c>
      <c r="D839">
        <v>17959</v>
      </c>
      <c r="E839" t="str">
        <f t="shared" si="26"/>
        <v>ia.assorted_string like '%17959-04-2023%' or</v>
      </c>
    </row>
    <row r="840" spans="1:5" x14ac:dyDescent="0.25">
      <c r="A840" t="s">
        <v>905</v>
      </c>
      <c r="B840" t="s">
        <v>2357</v>
      </c>
      <c r="C840" t="s">
        <v>2385</v>
      </c>
      <c r="D840">
        <v>61769</v>
      </c>
      <c r="E840" t="str">
        <f t="shared" si="26"/>
        <v>ia.assorted_string like '%61769-06-2022%' or</v>
      </c>
    </row>
    <row r="841" spans="1:5" x14ac:dyDescent="0.25">
      <c r="A841" t="s">
        <v>906</v>
      </c>
      <c r="B841" t="s">
        <v>2344</v>
      </c>
      <c r="C841" t="s">
        <v>2385</v>
      </c>
      <c r="D841">
        <v>39992</v>
      </c>
      <c r="E841" t="str">
        <f t="shared" si="26"/>
        <v>ia.assorted_string like '%39992-07-2023%' or</v>
      </c>
    </row>
    <row r="842" spans="1:5" x14ac:dyDescent="0.25">
      <c r="A842" t="s">
        <v>907</v>
      </c>
      <c r="B842" t="s">
        <v>2366</v>
      </c>
      <c r="C842" t="s">
        <v>2385</v>
      </c>
      <c r="D842">
        <v>679</v>
      </c>
      <c r="E842" t="str">
        <f t="shared" si="26"/>
        <v>ia.assorted_string like '%679-11-2021%' or</v>
      </c>
    </row>
    <row r="843" spans="1:5" x14ac:dyDescent="0.25">
      <c r="A843" t="s">
        <v>908</v>
      </c>
      <c r="B843" t="s">
        <v>2366</v>
      </c>
      <c r="C843" t="s">
        <v>2385</v>
      </c>
      <c r="D843">
        <v>56991</v>
      </c>
      <c r="E843" t="str">
        <f t="shared" si="26"/>
        <v>ia.assorted_string like '%56991-11-2021%' or</v>
      </c>
    </row>
    <row r="844" spans="1:5" x14ac:dyDescent="0.25">
      <c r="A844" t="s">
        <v>909</v>
      </c>
      <c r="B844" t="s">
        <v>2366</v>
      </c>
      <c r="C844" t="s">
        <v>2385</v>
      </c>
      <c r="D844">
        <v>683</v>
      </c>
      <c r="E844" t="str">
        <f t="shared" si="26"/>
        <v>ia.assorted_string like '%683-11-2021%' or</v>
      </c>
    </row>
    <row r="845" spans="1:5" x14ac:dyDescent="0.25">
      <c r="A845" t="s">
        <v>910</v>
      </c>
      <c r="B845" t="s">
        <v>2366</v>
      </c>
      <c r="C845" t="s">
        <v>2385</v>
      </c>
      <c r="D845">
        <v>57034</v>
      </c>
      <c r="E845" t="str">
        <f t="shared" si="26"/>
        <v>ia.assorted_string like '%57034-11-2021%' or</v>
      </c>
    </row>
    <row r="846" spans="1:5" x14ac:dyDescent="0.25">
      <c r="A846" t="s">
        <v>911</v>
      </c>
      <c r="B846" t="s">
        <v>2366</v>
      </c>
      <c r="C846" t="s">
        <v>2385</v>
      </c>
      <c r="D846">
        <v>689</v>
      </c>
      <c r="E846" t="str">
        <f t="shared" si="26"/>
        <v>ia.assorted_string like '%689-11-2021%' or</v>
      </c>
    </row>
    <row r="847" spans="1:5" x14ac:dyDescent="0.25">
      <c r="A847" t="s">
        <v>912</v>
      </c>
      <c r="B847" t="s">
        <v>2349</v>
      </c>
      <c r="C847" t="s">
        <v>2385</v>
      </c>
      <c r="D847">
        <v>58282</v>
      </c>
      <c r="E847" t="str">
        <f t="shared" si="26"/>
        <v>ia.assorted_string like '%58282-01-2022%' or</v>
      </c>
    </row>
    <row r="848" spans="1:5" x14ac:dyDescent="0.25">
      <c r="A848" t="s">
        <v>913</v>
      </c>
      <c r="B848" t="s">
        <v>2336</v>
      </c>
      <c r="C848" t="s">
        <v>2385</v>
      </c>
      <c r="D848">
        <v>69245</v>
      </c>
      <c r="E848" t="str">
        <f t="shared" si="26"/>
        <v>ia.assorted_string like '%69245-03-2023%' or</v>
      </c>
    </row>
    <row r="849" spans="1:5" x14ac:dyDescent="0.25">
      <c r="A849" t="s">
        <v>914</v>
      </c>
      <c r="B849" t="s">
        <v>2362</v>
      </c>
      <c r="C849" t="s">
        <v>2385</v>
      </c>
      <c r="D849">
        <v>58637</v>
      </c>
      <c r="E849" t="str">
        <f t="shared" si="26"/>
        <v>ia.assorted_string like '%58637-02-2022%' or</v>
      </c>
    </row>
    <row r="850" spans="1:5" x14ac:dyDescent="0.25">
      <c r="A850" t="s">
        <v>915</v>
      </c>
      <c r="B850" t="s">
        <v>2363</v>
      </c>
      <c r="C850" t="s">
        <v>2385</v>
      </c>
      <c r="D850">
        <v>769</v>
      </c>
      <c r="E850" t="str">
        <f t="shared" si="26"/>
        <v>ia.assorted_string like '%769-04-2022%' or</v>
      </c>
    </row>
    <row r="851" spans="1:5" x14ac:dyDescent="0.25">
      <c r="A851" t="s">
        <v>916</v>
      </c>
      <c r="B851" t="s">
        <v>2365</v>
      </c>
      <c r="C851" t="s">
        <v>2385</v>
      </c>
      <c r="D851">
        <v>59448</v>
      </c>
      <c r="E851" t="str">
        <f t="shared" si="26"/>
        <v>ia.assorted_string like '%59448-03-2022%' or</v>
      </c>
    </row>
    <row r="852" spans="1:5" x14ac:dyDescent="0.25">
      <c r="A852" t="s">
        <v>917</v>
      </c>
      <c r="B852" t="s">
        <v>2342</v>
      </c>
      <c r="C852" t="s">
        <v>2385</v>
      </c>
      <c r="D852">
        <v>22949</v>
      </c>
      <c r="E852" t="str">
        <f t="shared" si="26"/>
        <v>ia.assorted_string like '%22949-09-2024%' or</v>
      </c>
    </row>
    <row r="853" spans="1:5" x14ac:dyDescent="0.25">
      <c r="A853" t="s">
        <v>918</v>
      </c>
      <c r="B853" t="s">
        <v>2365</v>
      </c>
      <c r="C853" t="s">
        <v>2385</v>
      </c>
      <c r="D853">
        <v>59633</v>
      </c>
      <c r="E853" t="str">
        <f t="shared" si="26"/>
        <v>ia.assorted_string like '%59633-03-2022%' or</v>
      </c>
    </row>
    <row r="854" spans="1:5" x14ac:dyDescent="0.25">
      <c r="A854" t="s">
        <v>919</v>
      </c>
      <c r="B854" t="s">
        <v>2371</v>
      </c>
      <c r="C854" t="s">
        <v>2385</v>
      </c>
      <c r="D854">
        <v>99222</v>
      </c>
      <c r="E854" t="str">
        <f t="shared" si="26"/>
        <v>ia.assorted_string like '%99222-10-2024%' or</v>
      </c>
    </row>
    <row r="855" spans="1:5" x14ac:dyDescent="0.25">
      <c r="A855" t="s">
        <v>920</v>
      </c>
      <c r="B855" t="s">
        <v>2365</v>
      </c>
      <c r="C855" t="s">
        <v>2385</v>
      </c>
      <c r="D855">
        <v>59766</v>
      </c>
      <c r="E855" t="str">
        <f t="shared" si="26"/>
        <v>ia.assorted_string like '%59766-03-2022%' or</v>
      </c>
    </row>
    <row r="856" spans="1:5" x14ac:dyDescent="0.25">
      <c r="A856" t="s">
        <v>921</v>
      </c>
      <c r="B856" t="s">
        <v>2345</v>
      </c>
      <c r="C856" t="s">
        <v>2385</v>
      </c>
      <c r="D856">
        <v>72469</v>
      </c>
      <c r="E856" t="str">
        <f t="shared" si="26"/>
        <v>ia.assorted_string like '%72469-06-2023%' or</v>
      </c>
    </row>
    <row r="857" spans="1:5" x14ac:dyDescent="0.25">
      <c r="A857" t="s">
        <v>922</v>
      </c>
      <c r="B857" t="s">
        <v>2365</v>
      </c>
      <c r="C857" t="s">
        <v>2385</v>
      </c>
      <c r="D857">
        <v>59778</v>
      </c>
      <c r="E857" t="str">
        <f t="shared" si="26"/>
        <v>ia.assorted_string like '%59778-03-2022%' or</v>
      </c>
    </row>
    <row r="858" spans="1:5" x14ac:dyDescent="0.25">
      <c r="A858" t="s">
        <v>923</v>
      </c>
      <c r="B858" t="s">
        <v>2354</v>
      </c>
      <c r="C858" t="s">
        <v>2385</v>
      </c>
      <c r="D858">
        <v>1008</v>
      </c>
      <c r="E858" t="str">
        <f t="shared" si="26"/>
        <v>ia.assorted_string like '%1008-08-2023%' or</v>
      </c>
    </row>
    <row r="859" spans="1:5" x14ac:dyDescent="0.25">
      <c r="A859" t="s">
        <v>924</v>
      </c>
      <c r="B859" t="s">
        <v>2365</v>
      </c>
      <c r="C859" t="s">
        <v>2385</v>
      </c>
      <c r="D859">
        <v>59788</v>
      </c>
      <c r="E859" t="str">
        <f t="shared" si="26"/>
        <v>ia.assorted_string like '%59788-03-2022%' or</v>
      </c>
    </row>
    <row r="860" spans="1:5" x14ac:dyDescent="0.25">
      <c r="A860" t="s">
        <v>925</v>
      </c>
      <c r="B860" t="s">
        <v>2354</v>
      </c>
      <c r="C860" t="s">
        <v>2385</v>
      </c>
      <c r="D860">
        <v>1010</v>
      </c>
      <c r="E860" t="str">
        <f t="shared" si="26"/>
        <v>ia.assorted_string like '%1010-08-2023%' or</v>
      </c>
    </row>
    <row r="861" spans="1:5" x14ac:dyDescent="0.25">
      <c r="A861" t="s">
        <v>926</v>
      </c>
      <c r="B861" t="s">
        <v>2365</v>
      </c>
      <c r="C861" t="s">
        <v>2385</v>
      </c>
      <c r="D861">
        <v>59796</v>
      </c>
      <c r="E861" t="str">
        <f t="shared" si="26"/>
        <v>ia.assorted_string like '%59796-03-2022%' or</v>
      </c>
    </row>
    <row r="862" spans="1:5" x14ac:dyDescent="0.25">
      <c r="A862" t="s">
        <v>927</v>
      </c>
      <c r="B862" t="s">
        <v>2340</v>
      </c>
      <c r="C862" t="s">
        <v>2385</v>
      </c>
      <c r="D862">
        <v>1024</v>
      </c>
      <c r="E862" t="str">
        <f t="shared" si="26"/>
        <v>ia.assorted_string like '%1024-09-2023%' or</v>
      </c>
    </row>
    <row r="863" spans="1:5" x14ac:dyDescent="0.25">
      <c r="A863" t="s">
        <v>928</v>
      </c>
      <c r="B863" t="s">
        <v>2363</v>
      </c>
      <c r="C863" t="s">
        <v>2385</v>
      </c>
      <c r="D863">
        <v>60042</v>
      </c>
      <c r="E863" t="str">
        <f t="shared" si="26"/>
        <v>ia.assorted_string like '%60042-04-2022%' or</v>
      </c>
    </row>
    <row r="864" spans="1:5" x14ac:dyDescent="0.25">
      <c r="A864" t="s">
        <v>929</v>
      </c>
      <c r="B864" t="s">
        <v>2359</v>
      </c>
      <c r="C864" t="s">
        <v>2385</v>
      </c>
      <c r="D864">
        <v>1141</v>
      </c>
      <c r="E864" t="str">
        <f t="shared" si="26"/>
        <v>ia.assorted_string like '%1141-02-2024%' or</v>
      </c>
    </row>
    <row r="865" spans="1:5" x14ac:dyDescent="0.25">
      <c r="A865" t="s">
        <v>930</v>
      </c>
      <c r="B865" t="s">
        <v>2363</v>
      </c>
      <c r="C865" t="s">
        <v>2385</v>
      </c>
      <c r="D865">
        <v>60076</v>
      </c>
      <c r="E865" t="str">
        <f t="shared" si="26"/>
        <v>ia.assorted_string like '%60076-04-2022%' or</v>
      </c>
    </row>
    <row r="866" spans="1:5" x14ac:dyDescent="0.25">
      <c r="A866" t="s">
        <v>931</v>
      </c>
      <c r="B866" t="s">
        <v>2359</v>
      </c>
      <c r="C866" t="s">
        <v>2385</v>
      </c>
      <c r="D866">
        <v>1157</v>
      </c>
      <c r="E866" t="str">
        <f t="shared" si="26"/>
        <v>ia.assorted_string like '%1157-02-2024%' or</v>
      </c>
    </row>
    <row r="867" spans="1:5" x14ac:dyDescent="0.25">
      <c r="A867" t="s">
        <v>932</v>
      </c>
      <c r="B867" t="s">
        <v>2375</v>
      </c>
      <c r="C867" t="s">
        <v>2385</v>
      </c>
      <c r="D867">
        <v>60872</v>
      </c>
      <c r="E867" t="str">
        <f t="shared" si="26"/>
        <v>ia.assorted_string like '%60872-05-2022%' or</v>
      </c>
    </row>
    <row r="868" spans="1:5" x14ac:dyDescent="0.25">
      <c r="A868" t="s">
        <v>933</v>
      </c>
      <c r="B868" t="s">
        <v>2366</v>
      </c>
      <c r="C868" t="s">
        <v>2385</v>
      </c>
      <c r="D868">
        <v>682</v>
      </c>
      <c r="E868" t="str">
        <f t="shared" si="26"/>
        <v>ia.assorted_string like '%682-11-2021%' or</v>
      </c>
    </row>
    <row r="869" spans="1:5" x14ac:dyDescent="0.25">
      <c r="A869" t="s">
        <v>934</v>
      </c>
      <c r="B869" t="s">
        <v>2357</v>
      </c>
      <c r="C869" t="s">
        <v>2385</v>
      </c>
      <c r="D869">
        <v>61369</v>
      </c>
      <c r="E869" t="str">
        <f t="shared" si="26"/>
        <v>ia.assorted_string like '%61369-06-2022%' or</v>
      </c>
    </row>
    <row r="870" spans="1:5" x14ac:dyDescent="0.25">
      <c r="A870" t="s">
        <v>935</v>
      </c>
      <c r="B870" t="s">
        <v>2366</v>
      </c>
      <c r="C870" t="s">
        <v>2385</v>
      </c>
      <c r="D870">
        <v>684</v>
      </c>
      <c r="E870" t="str">
        <f t="shared" si="26"/>
        <v>ia.assorted_string like '%684-11-2021%' or</v>
      </c>
    </row>
    <row r="871" spans="1:5" x14ac:dyDescent="0.25">
      <c r="A871" t="s">
        <v>936</v>
      </c>
      <c r="B871" t="s">
        <v>2357</v>
      </c>
      <c r="C871" t="s">
        <v>2385</v>
      </c>
      <c r="D871">
        <v>61724</v>
      </c>
      <c r="E871" t="str">
        <f t="shared" si="26"/>
        <v>ia.assorted_string like '%61724-06-2022%' or</v>
      </c>
    </row>
    <row r="872" spans="1:5" x14ac:dyDescent="0.25">
      <c r="A872" t="s">
        <v>937</v>
      </c>
      <c r="B872" t="s">
        <v>2366</v>
      </c>
      <c r="C872" t="s">
        <v>2385</v>
      </c>
      <c r="D872">
        <v>688</v>
      </c>
      <c r="E872" t="str">
        <f t="shared" si="26"/>
        <v>ia.assorted_string like '%688-11-2021%' or</v>
      </c>
    </row>
    <row r="873" spans="1:5" x14ac:dyDescent="0.25">
      <c r="A873" t="s">
        <v>938</v>
      </c>
      <c r="B873" t="s">
        <v>2335</v>
      </c>
      <c r="C873" t="s">
        <v>2385</v>
      </c>
      <c r="D873">
        <v>62222</v>
      </c>
      <c r="E873" t="str">
        <f t="shared" si="26"/>
        <v>ia.assorted_string like '%62222-07-2022%' or</v>
      </c>
    </row>
    <row r="874" spans="1:5" x14ac:dyDescent="0.25">
      <c r="A874" t="s">
        <v>939</v>
      </c>
      <c r="B874" t="s">
        <v>2364</v>
      </c>
      <c r="C874" t="s">
        <v>2385</v>
      </c>
      <c r="D874">
        <v>701</v>
      </c>
      <c r="E874" t="str">
        <f t="shared" si="26"/>
        <v>ia.assorted_string like '%701-12-2021%' or</v>
      </c>
    </row>
    <row r="875" spans="1:5" x14ac:dyDescent="0.25">
      <c r="A875" t="s">
        <v>940</v>
      </c>
      <c r="B875" t="s">
        <v>2335</v>
      </c>
      <c r="C875" t="s">
        <v>2385</v>
      </c>
      <c r="D875">
        <v>62634</v>
      </c>
      <c r="E875" t="str">
        <f t="shared" si="26"/>
        <v>ia.assorted_string like '%62634-07-2022%' or</v>
      </c>
    </row>
    <row r="876" spans="1:5" x14ac:dyDescent="0.25">
      <c r="A876" t="s">
        <v>941</v>
      </c>
      <c r="B876" t="s">
        <v>2364</v>
      </c>
      <c r="C876" t="s">
        <v>2385</v>
      </c>
      <c r="D876">
        <v>702</v>
      </c>
      <c r="E876" t="str">
        <f t="shared" si="26"/>
        <v>ia.assorted_string like '%702-12-2021%' or</v>
      </c>
    </row>
    <row r="877" spans="1:5" x14ac:dyDescent="0.25">
      <c r="A877" t="s">
        <v>942</v>
      </c>
      <c r="B877" t="s">
        <v>2360</v>
      </c>
      <c r="C877" t="s">
        <v>2385</v>
      </c>
      <c r="D877">
        <v>63760</v>
      </c>
      <c r="E877" t="str">
        <f t="shared" si="26"/>
        <v>ia.assorted_string like '%63760-09-2022%' or</v>
      </c>
    </row>
    <row r="878" spans="1:5" x14ac:dyDescent="0.25">
      <c r="A878" t="s">
        <v>943</v>
      </c>
      <c r="B878" t="s">
        <v>2349</v>
      </c>
      <c r="C878" t="s">
        <v>2385</v>
      </c>
      <c r="D878">
        <v>723</v>
      </c>
      <c r="E878" t="str">
        <f t="shared" si="26"/>
        <v>ia.assorted_string like '%723-01-2022%' or</v>
      </c>
    </row>
    <row r="879" spans="1:5" x14ac:dyDescent="0.25">
      <c r="A879" t="s">
        <v>944</v>
      </c>
      <c r="B879" t="s">
        <v>2335</v>
      </c>
      <c r="C879" t="s">
        <v>2385</v>
      </c>
      <c r="D879">
        <v>62461</v>
      </c>
      <c r="E879" t="str">
        <f t="shared" si="26"/>
        <v>ia.assorted_string like '%62461-07-2022%' or</v>
      </c>
    </row>
    <row r="880" spans="1:5" x14ac:dyDescent="0.25">
      <c r="A880" t="s">
        <v>945</v>
      </c>
      <c r="B880" t="s">
        <v>2349</v>
      </c>
      <c r="C880" t="s">
        <v>2385</v>
      </c>
      <c r="D880">
        <v>732</v>
      </c>
      <c r="E880" t="str">
        <f t="shared" si="26"/>
        <v>ia.assorted_string like '%732-01-2022%' or</v>
      </c>
    </row>
    <row r="881" spans="1:5" x14ac:dyDescent="0.25">
      <c r="A881" t="s">
        <v>946</v>
      </c>
      <c r="B881" t="s">
        <v>2338</v>
      </c>
      <c r="C881" t="s">
        <v>2385</v>
      </c>
      <c r="D881">
        <v>70483</v>
      </c>
      <c r="E881" t="str">
        <f t="shared" si="26"/>
        <v>ia.assorted_string like '%70483-05-2023%' or</v>
      </c>
    </row>
    <row r="882" spans="1:5" x14ac:dyDescent="0.25">
      <c r="A882" t="s">
        <v>947</v>
      </c>
      <c r="B882" t="s">
        <v>2349</v>
      </c>
      <c r="C882" t="s">
        <v>2385</v>
      </c>
      <c r="D882">
        <v>737</v>
      </c>
      <c r="E882" t="str">
        <f t="shared" si="26"/>
        <v>ia.assorted_string like '%737-01-2022%' or</v>
      </c>
    </row>
    <row r="883" spans="1:5" x14ac:dyDescent="0.25">
      <c r="A883" t="s">
        <v>948</v>
      </c>
      <c r="B883" t="s">
        <v>2335</v>
      </c>
      <c r="C883" t="s">
        <v>2385</v>
      </c>
      <c r="D883">
        <v>62467</v>
      </c>
      <c r="E883" t="str">
        <f t="shared" si="26"/>
        <v>ia.assorted_string like '%62467-07-2022%' or</v>
      </c>
    </row>
    <row r="884" spans="1:5" x14ac:dyDescent="0.25">
      <c r="A884" t="s">
        <v>949</v>
      </c>
      <c r="B884" t="s">
        <v>2349</v>
      </c>
      <c r="C884" t="s">
        <v>2385</v>
      </c>
      <c r="D884">
        <v>746</v>
      </c>
      <c r="E884" t="str">
        <f t="shared" si="26"/>
        <v>ia.assorted_string like '%746-01-2022%' or</v>
      </c>
    </row>
    <row r="885" spans="1:5" x14ac:dyDescent="0.25">
      <c r="A885" t="s">
        <v>950</v>
      </c>
      <c r="B885" t="s">
        <v>2335</v>
      </c>
      <c r="C885" t="s">
        <v>2385</v>
      </c>
      <c r="D885">
        <v>62472</v>
      </c>
      <c r="E885" t="str">
        <f t="shared" si="26"/>
        <v>ia.assorted_string like '%62472-07-2022%' or</v>
      </c>
    </row>
    <row r="886" spans="1:5" x14ac:dyDescent="0.25">
      <c r="A886" t="s">
        <v>951</v>
      </c>
      <c r="B886" t="s">
        <v>2347</v>
      </c>
      <c r="C886" t="s">
        <v>2385</v>
      </c>
      <c r="D886">
        <v>1176</v>
      </c>
      <c r="E886" t="str">
        <f t="shared" si="26"/>
        <v>ia.assorted_string like '%1176-04-2024%' or</v>
      </c>
    </row>
    <row r="887" spans="1:5" x14ac:dyDescent="0.25">
      <c r="A887" t="s">
        <v>952</v>
      </c>
      <c r="B887" t="s">
        <v>2377</v>
      </c>
      <c r="C887" t="s">
        <v>2385</v>
      </c>
      <c r="D887">
        <v>54995</v>
      </c>
      <c r="E887" t="str">
        <f t="shared" si="26"/>
        <v>ia.assorted_string like '%54995-06-2021%' or</v>
      </c>
    </row>
    <row r="888" spans="1:5" x14ac:dyDescent="0.25">
      <c r="A888" t="s">
        <v>953</v>
      </c>
      <c r="B888" t="s">
        <v>2375</v>
      </c>
      <c r="C888" t="s">
        <v>2385</v>
      </c>
      <c r="D888">
        <v>780</v>
      </c>
      <c r="E888" t="str">
        <f t="shared" si="26"/>
        <v>ia.assorted_string like '%780-05-2022%' or</v>
      </c>
    </row>
    <row r="889" spans="1:5" x14ac:dyDescent="0.25">
      <c r="A889" t="s">
        <v>954</v>
      </c>
      <c r="B889" t="s">
        <v>2335</v>
      </c>
      <c r="C889" t="s">
        <v>2385</v>
      </c>
      <c r="D889">
        <v>62463</v>
      </c>
      <c r="E889" t="str">
        <f t="shared" si="26"/>
        <v>ia.assorted_string like '%62463-07-2022%' or</v>
      </c>
    </row>
    <row r="890" spans="1:5" x14ac:dyDescent="0.25">
      <c r="A890" t="s">
        <v>955</v>
      </c>
      <c r="B890" t="s">
        <v>2375</v>
      </c>
      <c r="C890" t="s">
        <v>2385</v>
      </c>
      <c r="D890">
        <v>789</v>
      </c>
      <c r="E890" t="str">
        <f t="shared" si="26"/>
        <v>ia.assorted_string like '%789-05-2022%' or</v>
      </c>
    </row>
    <row r="891" spans="1:5" x14ac:dyDescent="0.25">
      <c r="A891" t="s">
        <v>956</v>
      </c>
      <c r="B891" t="s">
        <v>2335</v>
      </c>
      <c r="C891" t="s">
        <v>2385</v>
      </c>
      <c r="D891">
        <v>62469</v>
      </c>
      <c r="E891" t="str">
        <f t="shared" si="26"/>
        <v>ia.assorted_string like '%62469-07-2022%' or</v>
      </c>
    </row>
    <row r="892" spans="1:5" x14ac:dyDescent="0.25">
      <c r="A892" t="s">
        <v>957</v>
      </c>
      <c r="B892" t="s">
        <v>2360</v>
      </c>
      <c r="C892" t="s">
        <v>2385</v>
      </c>
      <c r="D892">
        <v>820</v>
      </c>
      <c r="E892" t="str">
        <f t="shared" si="26"/>
        <v>ia.assorted_string like '%820-09-2022%' or</v>
      </c>
    </row>
    <row r="893" spans="1:5" x14ac:dyDescent="0.25">
      <c r="A893" t="s">
        <v>958</v>
      </c>
      <c r="B893" t="s">
        <v>2336</v>
      </c>
      <c r="C893" t="s">
        <v>2385</v>
      </c>
      <c r="D893">
        <v>39205</v>
      </c>
      <c r="E893" t="str">
        <f t="shared" si="26"/>
        <v>ia.assorted_string like '%39205-03-2023%' or</v>
      </c>
    </row>
    <row r="894" spans="1:5" x14ac:dyDescent="0.25">
      <c r="A894" t="s">
        <v>959</v>
      </c>
      <c r="B894" t="s">
        <v>2360</v>
      </c>
      <c r="C894" t="s">
        <v>2385</v>
      </c>
      <c r="D894">
        <v>826</v>
      </c>
      <c r="E894" t="str">
        <f t="shared" ref="E894:E957" si="27">"ia.assorted_string like '%"&amp;D894&amp;B894&amp;"%' or"</f>
        <v>ia.assorted_string like '%826-09-2022%' or</v>
      </c>
    </row>
    <row r="895" spans="1:5" x14ac:dyDescent="0.25">
      <c r="A895" t="s">
        <v>960</v>
      </c>
      <c r="B895" t="s">
        <v>2356</v>
      </c>
      <c r="C895" t="s">
        <v>2385</v>
      </c>
      <c r="D895">
        <v>39322</v>
      </c>
      <c r="E895" t="str">
        <f t="shared" si="27"/>
        <v>ia.assorted_string like '%39322-04-2023%' or</v>
      </c>
    </row>
    <row r="896" spans="1:5" x14ac:dyDescent="0.25">
      <c r="A896" t="s">
        <v>961</v>
      </c>
      <c r="B896" t="s">
        <v>2351</v>
      </c>
      <c r="C896" t="s">
        <v>2385</v>
      </c>
      <c r="D896">
        <v>15329</v>
      </c>
      <c r="E896" t="str">
        <f t="shared" si="27"/>
        <v>ia.assorted_string like '%15329-08-2022%' or</v>
      </c>
    </row>
    <row r="897" spans="1:5" x14ac:dyDescent="0.25">
      <c r="A897" t="s">
        <v>962</v>
      </c>
      <c r="B897" t="s">
        <v>2345</v>
      </c>
      <c r="C897" t="s">
        <v>2385</v>
      </c>
      <c r="D897">
        <v>39751</v>
      </c>
      <c r="E897" t="str">
        <f t="shared" si="27"/>
        <v>ia.assorted_string like '%39751-06-2023%' or</v>
      </c>
    </row>
    <row r="898" spans="1:5" x14ac:dyDescent="0.25">
      <c r="A898" t="s">
        <v>963</v>
      </c>
      <c r="B898" t="s">
        <v>2347</v>
      </c>
      <c r="C898" t="s">
        <v>2385</v>
      </c>
      <c r="D898">
        <v>22062</v>
      </c>
      <c r="E898" t="str">
        <f t="shared" si="27"/>
        <v>ia.assorted_string like '%22062-04-2024%' or</v>
      </c>
    </row>
    <row r="899" spans="1:5" x14ac:dyDescent="0.25">
      <c r="A899" t="s">
        <v>964</v>
      </c>
      <c r="B899" t="s">
        <v>2359</v>
      </c>
      <c r="C899" t="s">
        <v>2385</v>
      </c>
      <c r="D899">
        <v>83704</v>
      </c>
      <c r="E899" t="str">
        <f t="shared" si="27"/>
        <v>ia.assorted_string like '%83704-02-2024%' or</v>
      </c>
    </row>
    <row r="900" spans="1:5" x14ac:dyDescent="0.25">
      <c r="A900" t="s">
        <v>965</v>
      </c>
      <c r="B900" t="s">
        <v>2378</v>
      </c>
      <c r="C900" t="s">
        <v>2385</v>
      </c>
      <c r="D900">
        <v>10325</v>
      </c>
      <c r="E900" t="str">
        <f t="shared" si="27"/>
        <v>ia.assorted_string like '%10325-07-2020%' or</v>
      </c>
    </row>
    <row r="901" spans="1:5" x14ac:dyDescent="0.25">
      <c r="A901" t="s">
        <v>966</v>
      </c>
      <c r="B901" t="s">
        <v>2359</v>
      </c>
      <c r="C901" t="s">
        <v>2385</v>
      </c>
      <c r="D901">
        <v>83921</v>
      </c>
      <c r="E901" t="str">
        <f t="shared" si="27"/>
        <v>ia.assorted_string like '%83921-02-2024%' or</v>
      </c>
    </row>
    <row r="902" spans="1:5" x14ac:dyDescent="0.25">
      <c r="A902" t="s">
        <v>967</v>
      </c>
      <c r="B902" t="s">
        <v>2335</v>
      </c>
      <c r="C902" t="s">
        <v>2385</v>
      </c>
      <c r="D902">
        <v>15136</v>
      </c>
      <c r="E902" t="str">
        <f t="shared" si="27"/>
        <v>ia.assorted_string like '%15136-07-2022%' or</v>
      </c>
    </row>
    <row r="903" spans="1:5" x14ac:dyDescent="0.25">
      <c r="A903" t="s">
        <v>968</v>
      </c>
      <c r="B903" t="s">
        <v>2359</v>
      </c>
      <c r="C903" t="s">
        <v>2385</v>
      </c>
      <c r="D903">
        <v>83926</v>
      </c>
      <c r="E903" t="str">
        <f t="shared" si="27"/>
        <v>ia.assorted_string like '%83926-02-2024%' or</v>
      </c>
    </row>
    <row r="904" spans="1:5" x14ac:dyDescent="0.25">
      <c r="A904" t="s">
        <v>969</v>
      </c>
      <c r="B904" t="s">
        <v>2374</v>
      </c>
      <c r="C904" t="s">
        <v>2385</v>
      </c>
      <c r="D904">
        <v>12118</v>
      </c>
      <c r="E904" t="str">
        <f t="shared" si="27"/>
        <v>ia.assorted_string like '%12118-08-2021%' or</v>
      </c>
    </row>
    <row r="905" spans="1:5" x14ac:dyDescent="0.25">
      <c r="A905" t="s">
        <v>970</v>
      </c>
      <c r="B905" t="s">
        <v>2344</v>
      </c>
      <c r="C905" t="s">
        <v>2385</v>
      </c>
      <c r="D905">
        <v>39996</v>
      </c>
      <c r="E905" t="str">
        <f t="shared" si="27"/>
        <v>ia.assorted_string like '%39996-07-2023%' or</v>
      </c>
    </row>
    <row r="906" spans="1:5" x14ac:dyDescent="0.25">
      <c r="A906" t="s">
        <v>971</v>
      </c>
      <c r="B906" t="s">
        <v>2379</v>
      </c>
      <c r="C906" t="s">
        <v>2385</v>
      </c>
      <c r="D906">
        <v>12450</v>
      </c>
      <c r="E906" t="str">
        <f t="shared" si="27"/>
        <v>ia.assorted_string like '%12450-09-2021%' or</v>
      </c>
    </row>
    <row r="907" spans="1:5" x14ac:dyDescent="0.25">
      <c r="A907" t="s">
        <v>972</v>
      </c>
      <c r="B907" t="s">
        <v>2339</v>
      </c>
      <c r="C907" t="s">
        <v>2385</v>
      </c>
      <c r="D907">
        <v>85876</v>
      </c>
      <c r="E907" t="str">
        <f t="shared" si="27"/>
        <v>ia.assorted_string like '%85876-03-2024%' or</v>
      </c>
    </row>
    <row r="908" spans="1:5" x14ac:dyDescent="0.25">
      <c r="A908" t="s">
        <v>973</v>
      </c>
      <c r="B908" t="s">
        <v>2379</v>
      </c>
      <c r="C908" t="s">
        <v>2385</v>
      </c>
      <c r="D908">
        <v>12471</v>
      </c>
      <c r="E908" t="str">
        <f t="shared" si="27"/>
        <v>ia.assorted_string like '%12471-09-2021%' or</v>
      </c>
    </row>
    <row r="909" spans="1:5" x14ac:dyDescent="0.25">
      <c r="A909" t="s">
        <v>974</v>
      </c>
      <c r="B909" t="s">
        <v>2347</v>
      </c>
      <c r="C909" t="s">
        <v>2385</v>
      </c>
      <c r="D909">
        <v>86502</v>
      </c>
      <c r="E909" t="str">
        <f t="shared" si="27"/>
        <v>ia.assorted_string like '%86502-04-2024%' or</v>
      </c>
    </row>
    <row r="910" spans="1:5" x14ac:dyDescent="0.25">
      <c r="A910" t="s">
        <v>975</v>
      </c>
      <c r="B910" t="s">
        <v>2379</v>
      </c>
      <c r="C910" t="s">
        <v>2385</v>
      </c>
      <c r="D910">
        <v>12500</v>
      </c>
      <c r="E910" t="str">
        <f t="shared" si="27"/>
        <v>ia.assorted_string like '%12500-09-2021%' or</v>
      </c>
    </row>
    <row r="911" spans="1:5" x14ac:dyDescent="0.25">
      <c r="A911" t="s">
        <v>976</v>
      </c>
      <c r="B911" t="s">
        <v>2343</v>
      </c>
      <c r="C911" t="s">
        <v>2385</v>
      </c>
      <c r="D911">
        <v>91240</v>
      </c>
      <c r="E911" t="str">
        <f t="shared" si="27"/>
        <v>ia.assorted_string like '%91240-06-2024%' or</v>
      </c>
    </row>
    <row r="912" spans="1:5" x14ac:dyDescent="0.25">
      <c r="A912" t="s">
        <v>977</v>
      </c>
      <c r="B912" t="s">
        <v>2366</v>
      </c>
      <c r="C912" t="s">
        <v>2385</v>
      </c>
      <c r="D912">
        <v>12968</v>
      </c>
      <c r="E912" t="str">
        <f t="shared" si="27"/>
        <v>ia.assorted_string like '%12968-11-2021%' or</v>
      </c>
    </row>
    <row r="913" spans="1:5" x14ac:dyDescent="0.25">
      <c r="A913" t="s">
        <v>978</v>
      </c>
      <c r="B913" t="s">
        <v>2343</v>
      </c>
      <c r="C913" t="s">
        <v>2385</v>
      </c>
      <c r="D913">
        <v>91385</v>
      </c>
      <c r="E913" t="str">
        <f t="shared" si="27"/>
        <v>ia.assorted_string like '%91385-06-2024%' or</v>
      </c>
    </row>
    <row r="914" spans="1:5" x14ac:dyDescent="0.25">
      <c r="A914" t="s">
        <v>979</v>
      </c>
      <c r="B914" t="s">
        <v>2366</v>
      </c>
      <c r="C914" t="s">
        <v>2385</v>
      </c>
      <c r="D914">
        <v>13087</v>
      </c>
      <c r="E914" t="str">
        <f t="shared" si="27"/>
        <v>ia.assorted_string like '%13087-11-2021%' or</v>
      </c>
    </row>
    <row r="915" spans="1:5" x14ac:dyDescent="0.25">
      <c r="A915" t="s">
        <v>980</v>
      </c>
      <c r="B915" t="s">
        <v>2368</v>
      </c>
      <c r="C915" t="s">
        <v>2385</v>
      </c>
      <c r="D915">
        <v>92309</v>
      </c>
      <c r="E915" t="str">
        <f t="shared" si="27"/>
        <v>ia.assorted_string like '%92309-07-2024%' or</v>
      </c>
    </row>
    <row r="916" spans="1:5" x14ac:dyDescent="0.25">
      <c r="A916" t="s">
        <v>981</v>
      </c>
      <c r="B916" t="s">
        <v>2366</v>
      </c>
      <c r="C916" t="s">
        <v>2385</v>
      </c>
      <c r="D916">
        <v>13120</v>
      </c>
      <c r="E916" t="str">
        <f t="shared" si="27"/>
        <v>ia.assorted_string like '%13120-11-2021%' or</v>
      </c>
    </row>
    <row r="917" spans="1:5" x14ac:dyDescent="0.25">
      <c r="A917" t="s">
        <v>982</v>
      </c>
      <c r="B917" t="s">
        <v>2368</v>
      </c>
      <c r="C917" t="s">
        <v>2385</v>
      </c>
      <c r="D917">
        <v>92374</v>
      </c>
      <c r="E917" t="str">
        <f t="shared" si="27"/>
        <v>ia.assorted_string like '%92374-07-2024%' or</v>
      </c>
    </row>
    <row r="918" spans="1:5" x14ac:dyDescent="0.25">
      <c r="A918" t="s">
        <v>983</v>
      </c>
      <c r="B918" t="s">
        <v>2364</v>
      </c>
      <c r="C918" t="s">
        <v>2385</v>
      </c>
      <c r="D918">
        <v>13230</v>
      </c>
      <c r="E918" t="str">
        <f t="shared" si="27"/>
        <v>ia.assorted_string like '%13230-12-2021%' or</v>
      </c>
    </row>
    <row r="919" spans="1:5" x14ac:dyDescent="0.25">
      <c r="A919" t="s">
        <v>984</v>
      </c>
      <c r="B919" t="s">
        <v>2342</v>
      </c>
      <c r="C919" t="s">
        <v>2385</v>
      </c>
      <c r="D919">
        <v>97507</v>
      </c>
      <c r="E919" t="str">
        <f t="shared" si="27"/>
        <v>ia.assorted_string like '%97507-09-2024%' or</v>
      </c>
    </row>
    <row r="920" spans="1:5" x14ac:dyDescent="0.25">
      <c r="A920" t="s">
        <v>985</v>
      </c>
      <c r="B920" t="s">
        <v>2364</v>
      </c>
      <c r="C920" t="s">
        <v>2385</v>
      </c>
      <c r="D920">
        <v>13247</v>
      </c>
      <c r="E920" t="str">
        <f t="shared" si="27"/>
        <v>ia.assorted_string like '%13247-12-2021%' or</v>
      </c>
    </row>
    <row r="921" spans="1:5" x14ac:dyDescent="0.25">
      <c r="A921" t="s">
        <v>986</v>
      </c>
      <c r="B921" t="s">
        <v>2348</v>
      </c>
      <c r="C921" t="s">
        <v>2385</v>
      </c>
      <c r="D921">
        <v>38354</v>
      </c>
      <c r="E921" t="str">
        <f t="shared" si="27"/>
        <v>ia.assorted_string like '%38354-12-2022%' or</v>
      </c>
    </row>
    <row r="922" spans="1:5" x14ac:dyDescent="0.25">
      <c r="A922" t="s">
        <v>987</v>
      </c>
      <c r="B922" t="s">
        <v>2364</v>
      </c>
      <c r="C922" t="s">
        <v>2385</v>
      </c>
      <c r="D922">
        <v>13571</v>
      </c>
      <c r="E922" t="str">
        <f t="shared" si="27"/>
        <v>ia.assorted_string like '%13571-12-2021%' or</v>
      </c>
    </row>
    <row r="923" spans="1:5" x14ac:dyDescent="0.25">
      <c r="A923" t="s">
        <v>988</v>
      </c>
      <c r="B923" t="s">
        <v>2366</v>
      </c>
      <c r="C923" t="s">
        <v>2385</v>
      </c>
      <c r="D923">
        <v>57015</v>
      </c>
      <c r="E923" t="str">
        <f t="shared" si="27"/>
        <v>ia.assorted_string like '%57015-11-2021%' or</v>
      </c>
    </row>
    <row r="924" spans="1:5" x14ac:dyDescent="0.25">
      <c r="A924" t="s">
        <v>989</v>
      </c>
      <c r="B924" t="s">
        <v>2364</v>
      </c>
      <c r="C924" t="s">
        <v>2385</v>
      </c>
      <c r="D924">
        <v>13572</v>
      </c>
      <c r="E924" t="str">
        <f t="shared" si="27"/>
        <v>ia.assorted_string like '%13572-12-2021%' or</v>
      </c>
    </row>
    <row r="925" spans="1:5" x14ac:dyDescent="0.25">
      <c r="A925" t="s">
        <v>990</v>
      </c>
      <c r="B925" t="s">
        <v>2362</v>
      </c>
      <c r="C925" t="s">
        <v>2385</v>
      </c>
      <c r="D925">
        <v>58613</v>
      </c>
      <c r="E925" t="str">
        <f t="shared" si="27"/>
        <v>ia.assorted_string like '%58613-02-2022%' or</v>
      </c>
    </row>
    <row r="926" spans="1:5" x14ac:dyDescent="0.25">
      <c r="A926" t="s">
        <v>991</v>
      </c>
      <c r="B926" t="s">
        <v>2364</v>
      </c>
      <c r="C926" t="s">
        <v>2385</v>
      </c>
      <c r="D926">
        <v>13574</v>
      </c>
      <c r="E926" t="str">
        <f t="shared" si="27"/>
        <v>ia.assorted_string like '%13574-12-2021%' or</v>
      </c>
    </row>
    <row r="927" spans="1:5" x14ac:dyDescent="0.25">
      <c r="A927" t="s">
        <v>992</v>
      </c>
      <c r="B927" t="s">
        <v>2365</v>
      </c>
      <c r="C927" t="s">
        <v>2385</v>
      </c>
      <c r="D927">
        <v>59629</v>
      </c>
      <c r="E927" t="str">
        <f t="shared" si="27"/>
        <v>ia.assorted_string like '%59629-03-2022%' or</v>
      </c>
    </row>
    <row r="928" spans="1:5" x14ac:dyDescent="0.25">
      <c r="A928" t="s">
        <v>993</v>
      </c>
      <c r="B928" t="s">
        <v>2342</v>
      </c>
      <c r="C928" t="s">
        <v>2385</v>
      </c>
      <c r="D928">
        <v>22950</v>
      </c>
      <c r="E928" t="str">
        <f t="shared" si="27"/>
        <v>ia.assorted_string like '%22950-09-2024%' or</v>
      </c>
    </row>
    <row r="929" spans="1:5" x14ac:dyDescent="0.25">
      <c r="A929" t="s">
        <v>994</v>
      </c>
      <c r="B929" t="s">
        <v>2365</v>
      </c>
      <c r="C929" t="s">
        <v>2385</v>
      </c>
      <c r="D929">
        <v>59768</v>
      </c>
      <c r="E929" t="str">
        <f t="shared" si="27"/>
        <v>ia.assorted_string like '%59768-03-2022%' or</v>
      </c>
    </row>
    <row r="930" spans="1:5" x14ac:dyDescent="0.25">
      <c r="A930" t="s">
        <v>995</v>
      </c>
      <c r="B930" t="s">
        <v>2363</v>
      </c>
      <c r="C930" t="s">
        <v>2385</v>
      </c>
      <c r="D930">
        <v>13817</v>
      </c>
      <c r="E930" t="str">
        <f t="shared" si="27"/>
        <v>ia.assorted_string like '%13817-04-2022%' or</v>
      </c>
    </row>
    <row r="931" spans="1:5" x14ac:dyDescent="0.25">
      <c r="A931" t="s">
        <v>996</v>
      </c>
      <c r="B931" t="s">
        <v>2365</v>
      </c>
      <c r="C931" t="s">
        <v>2385</v>
      </c>
      <c r="D931">
        <v>59789</v>
      </c>
      <c r="E931" t="str">
        <f t="shared" si="27"/>
        <v>ia.assorted_string like '%59789-03-2022%' or</v>
      </c>
    </row>
    <row r="932" spans="1:5" x14ac:dyDescent="0.25">
      <c r="A932" t="s">
        <v>997</v>
      </c>
      <c r="B932" t="s">
        <v>2363</v>
      </c>
      <c r="C932" t="s">
        <v>2385</v>
      </c>
      <c r="D932">
        <v>13882</v>
      </c>
      <c r="E932" t="str">
        <f t="shared" si="27"/>
        <v>ia.assorted_string like '%13882-04-2022%' or</v>
      </c>
    </row>
    <row r="933" spans="1:5" x14ac:dyDescent="0.25">
      <c r="A933" t="s">
        <v>998</v>
      </c>
      <c r="B933" t="s">
        <v>2363</v>
      </c>
      <c r="C933" t="s">
        <v>2385</v>
      </c>
      <c r="D933">
        <v>60052</v>
      </c>
      <c r="E933" t="str">
        <f t="shared" si="27"/>
        <v>ia.assorted_string like '%60052-04-2022%' or</v>
      </c>
    </row>
    <row r="934" spans="1:5" x14ac:dyDescent="0.25">
      <c r="A934" t="s">
        <v>999</v>
      </c>
      <c r="B934" t="s">
        <v>2375</v>
      </c>
      <c r="C934" t="s">
        <v>2385</v>
      </c>
      <c r="D934">
        <v>13939</v>
      </c>
      <c r="E934" t="str">
        <f t="shared" si="27"/>
        <v>ia.assorted_string like '%13939-05-2022%' or</v>
      </c>
    </row>
    <row r="935" spans="1:5" x14ac:dyDescent="0.25">
      <c r="A935" t="s">
        <v>1000</v>
      </c>
      <c r="B935" t="s">
        <v>2375</v>
      </c>
      <c r="C935" t="s">
        <v>2385</v>
      </c>
      <c r="D935">
        <v>61034</v>
      </c>
      <c r="E935" t="str">
        <f t="shared" si="27"/>
        <v>ia.assorted_string like '%61034-05-2022%' or</v>
      </c>
    </row>
    <row r="936" spans="1:5" x14ac:dyDescent="0.25">
      <c r="A936" t="s">
        <v>1001</v>
      </c>
      <c r="B936" t="s">
        <v>2375</v>
      </c>
      <c r="C936" t="s">
        <v>2385</v>
      </c>
      <c r="D936">
        <v>13942</v>
      </c>
      <c r="E936" t="str">
        <f t="shared" si="27"/>
        <v>ia.assorted_string like '%13942-05-2022%' or</v>
      </c>
    </row>
    <row r="937" spans="1:5" x14ac:dyDescent="0.25">
      <c r="A937" t="s">
        <v>1002</v>
      </c>
      <c r="B937" t="s">
        <v>2380</v>
      </c>
      <c r="C937" t="s">
        <v>2385</v>
      </c>
      <c r="D937">
        <v>11990</v>
      </c>
      <c r="E937" t="str">
        <f t="shared" si="27"/>
        <v>ia.assorted_string like '%11990-07-2021%' or</v>
      </c>
    </row>
    <row r="938" spans="1:5" x14ac:dyDescent="0.25">
      <c r="A938" t="s">
        <v>1003</v>
      </c>
      <c r="B938" t="s">
        <v>2375</v>
      </c>
      <c r="C938" t="s">
        <v>2385</v>
      </c>
      <c r="D938">
        <v>13980</v>
      </c>
      <c r="E938" t="str">
        <f t="shared" si="27"/>
        <v>ia.assorted_string like '%13980-05-2022%' or</v>
      </c>
    </row>
    <row r="939" spans="1:5" x14ac:dyDescent="0.25">
      <c r="A939" t="s">
        <v>1004</v>
      </c>
      <c r="B939" t="s">
        <v>2360</v>
      </c>
      <c r="C939" t="s">
        <v>2385</v>
      </c>
      <c r="D939">
        <v>63701</v>
      </c>
      <c r="E939" t="str">
        <f t="shared" si="27"/>
        <v>ia.assorted_string like '%63701-09-2022%' or</v>
      </c>
    </row>
    <row r="940" spans="1:5" x14ac:dyDescent="0.25">
      <c r="A940" t="s">
        <v>1005</v>
      </c>
      <c r="B940" t="s">
        <v>2367</v>
      </c>
      <c r="C940" t="s">
        <v>2385</v>
      </c>
      <c r="D940">
        <v>20388</v>
      </c>
      <c r="E940" t="str">
        <f t="shared" si="27"/>
        <v>ia.assorted_string like '%20388-10-2023%' or</v>
      </c>
    </row>
    <row r="941" spans="1:5" x14ac:dyDescent="0.25">
      <c r="A941" t="s">
        <v>1006</v>
      </c>
      <c r="B941" t="s">
        <v>2335</v>
      </c>
      <c r="C941" t="s">
        <v>2385</v>
      </c>
      <c r="D941">
        <v>62466</v>
      </c>
      <c r="E941" t="str">
        <f t="shared" si="27"/>
        <v>ia.assorted_string like '%62466-07-2022%' or</v>
      </c>
    </row>
    <row r="942" spans="1:5" x14ac:dyDescent="0.25">
      <c r="A942" t="s">
        <v>1007</v>
      </c>
      <c r="B942" t="s">
        <v>2351</v>
      </c>
      <c r="C942" t="s">
        <v>2385</v>
      </c>
      <c r="D942">
        <v>15217</v>
      </c>
      <c r="E942" t="str">
        <f t="shared" si="27"/>
        <v>ia.assorted_string like '%15217-08-2022%' or</v>
      </c>
    </row>
    <row r="943" spans="1:5" x14ac:dyDescent="0.25">
      <c r="A943" t="s">
        <v>1008</v>
      </c>
      <c r="B943" t="s">
        <v>2335</v>
      </c>
      <c r="C943" t="s">
        <v>2385</v>
      </c>
      <c r="D943">
        <v>62468</v>
      </c>
      <c r="E943" t="str">
        <f t="shared" si="27"/>
        <v>ia.assorted_string like '%62468-07-2022%' or</v>
      </c>
    </row>
    <row r="944" spans="1:5" x14ac:dyDescent="0.25">
      <c r="A944" t="s">
        <v>1009</v>
      </c>
      <c r="B944" t="s">
        <v>2351</v>
      </c>
      <c r="C944" t="s">
        <v>2385</v>
      </c>
      <c r="D944">
        <v>15319</v>
      </c>
      <c r="E944" t="str">
        <f t="shared" si="27"/>
        <v>ia.assorted_string like '%15319-08-2022%' or</v>
      </c>
    </row>
    <row r="945" spans="1:5" x14ac:dyDescent="0.25">
      <c r="A945" t="s">
        <v>1010</v>
      </c>
      <c r="B945" t="s">
        <v>2377</v>
      </c>
      <c r="C945" t="s">
        <v>2385</v>
      </c>
      <c r="D945">
        <v>55040</v>
      </c>
      <c r="E945" t="str">
        <f t="shared" si="27"/>
        <v>ia.assorted_string like '%55040-06-2021%' or</v>
      </c>
    </row>
    <row r="946" spans="1:5" x14ac:dyDescent="0.25">
      <c r="A946" t="s">
        <v>1011</v>
      </c>
      <c r="B946" t="s">
        <v>2351</v>
      </c>
      <c r="C946" t="s">
        <v>2385</v>
      </c>
      <c r="D946">
        <v>15565</v>
      </c>
      <c r="E946" t="str">
        <f t="shared" si="27"/>
        <v>ia.assorted_string like '%15565-08-2022%' or</v>
      </c>
    </row>
    <row r="947" spans="1:5" x14ac:dyDescent="0.25">
      <c r="A947" t="s">
        <v>1012</v>
      </c>
      <c r="B947" t="s">
        <v>2344</v>
      </c>
      <c r="C947" t="s">
        <v>2385</v>
      </c>
      <c r="D947">
        <v>73050</v>
      </c>
      <c r="E947" t="str">
        <f t="shared" si="27"/>
        <v>ia.assorted_string like '%73050-07-2023%' or</v>
      </c>
    </row>
    <row r="948" spans="1:5" x14ac:dyDescent="0.25">
      <c r="A948" t="s">
        <v>1013</v>
      </c>
      <c r="B948" t="s">
        <v>2360</v>
      </c>
      <c r="C948" t="s">
        <v>2385</v>
      </c>
      <c r="D948">
        <v>15811</v>
      </c>
      <c r="E948" t="str">
        <f t="shared" si="27"/>
        <v>ia.assorted_string like '%15811-09-2022%' or</v>
      </c>
    </row>
    <row r="949" spans="1:5" x14ac:dyDescent="0.25">
      <c r="A949" t="s">
        <v>1014</v>
      </c>
      <c r="B949" t="s">
        <v>2356</v>
      </c>
      <c r="C949" t="s">
        <v>2385</v>
      </c>
      <c r="D949">
        <v>39414</v>
      </c>
      <c r="E949" t="str">
        <f t="shared" si="27"/>
        <v>ia.assorted_string like '%39414-04-2023%' or</v>
      </c>
    </row>
    <row r="950" spans="1:5" x14ac:dyDescent="0.25">
      <c r="A950" t="s">
        <v>1015</v>
      </c>
      <c r="B950" t="s">
        <v>2360</v>
      </c>
      <c r="C950" t="s">
        <v>2385</v>
      </c>
      <c r="D950">
        <v>15812</v>
      </c>
      <c r="E950" t="str">
        <f t="shared" si="27"/>
        <v>ia.assorted_string like '%15812-09-2022%' or</v>
      </c>
    </row>
    <row r="951" spans="1:5" x14ac:dyDescent="0.25">
      <c r="A951" t="s">
        <v>1016</v>
      </c>
      <c r="B951" t="s">
        <v>2345</v>
      </c>
      <c r="C951" t="s">
        <v>2385</v>
      </c>
      <c r="D951">
        <v>39752</v>
      </c>
      <c r="E951" t="str">
        <f t="shared" si="27"/>
        <v>ia.assorted_string like '%39752-06-2023%' or</v>
      </c>
    </row>
    <row r="952" spans="1:5" x14ac:dyDescent="0.25">
      <c r="A952" t="s">
        <v>1017</v>
      </c>
      <c r="B952" t="s">
        <v>2360</v>
      </c>
      <c r="C952" t="s">
        <v>2385</v>
      </c>
      <c r="D952">
        <v>16122</v>
      </c>
      <c r="E952" t="str">
        <f t="shared" si="27"/>
        <v>ia.assorted_string like '%16122-09-2022%' or</v>
      </c>
    </row>
    <row r="953" spans="1:5" x14ac:dyDescent="0.25">
      <c r="A953" t="s">
        <v>1018</v>
      </c>
      <c r="B953" t="s">
        <v>2375</v>
      </c>
      <c r="C953" t="s">
        <v>2385</v>
      </c>
      <c r="D953">
        <v>60625</v>
      </c>
      <c r="E953" t="str">
        <f t="shared" si="27"/>
        <v>ia.assorted_string like '%60625-05-2022%' or</v>
      </c>
    </row>
    <row r="954" spans="1:5" x14ac:dyDescent="0.25">
      <c r="A954" t="s">
        <v>1019</v>
      </c>
      <c r="B954" t="s">
        <v>2342</v>
      </c>
      <c r="C954" t="s">
        <v>2385</v>
      </c>
      <c r="D954">
        <v>22951</v>
      </c>
      <c r="E954" t="str">
        <f t="shared" si="27"/>
        <v>ia.assorted_string like '%22951-09-2024%' or</v>
      </c>
    </row>
    <row r="955" spans="1:5" x14ac:dyDescent="0.25">
      <c r="A955" t="s">
        <v>1020</v>
      </c>
      <c r="B955" t="s">
        <v>2347</v>
      </c>
      <c r="C955" t="s">
        <v>2385</v>
      </c>
      <c r="D955">
        <v>86486</v>
      </c>
      <c r="E955" t="str">
        <f t="shared" si="27"/>
        <v>ia.assorted_string like '%86486-04-2024%' or</v>
      </c>
    </row>
    <row r="956" spans="1:5" x14ac:dyDescent="0.25">
      <c r="A956" t="s">
        <v>1021</v>
      </c>
      <c r="B956" t="s">
        <v>2366</v>
      </c>
      <c r="C956" t="s">
        <v>2385</v>
      </c>
      <c r="D956">
        <v>57024</v>
      </c>
      <c r="E956" t="str">
        <f t="shared" si="27"/>
        <v>ia.assorted_string like '%57024-11-2021%' or</v>
      </c>
    </row>
    <row r="957" spans="1:5" x14ac:dyDescent="0.25">
      <c r="A957" t="s">
        <v>1022</v>
      </c>
      <c r="B957" t="s">
        <v>2343</v>
      </c>
      <c r="C957" t="s">
        <v>2385</v>
      </c>
      <c r="D957">
        <v>91328</v>
      </c>
      <c r="E957" t="str">
        <f t="shared" si="27"/>
        <v>ia.assorted_string like '%91328-06-2024%' or</v>
      </c>
    </row>
    <row r="958" spans="1:5" x14ac:dyDescent="0.25">
      <c r="A958" t="s">
        <v>1023</v>
      </c>
      <c r="B958" t="s">
        <v>2362</v>
      </c>
      <c r="C958" t="s">
        <v>2385</v>
      </c>
      <c r="D958">
        <v>59121</v>
      </c>
      <c r="E958" t="str">
        <f t="shared" ref="E958:E1021" si="28">"ia.assorted_string like '%"&amp;D958&amp;B958&amp;"%' or"</f>
        <v>ia.assorted_string like '%59121-02-2022%' or</v>
      </c>
    </row>
    <row r="959" spans="1:5" x14ac:dyDescent="0.25">
      <c r="A959" t="s">
        <v>1024</v>
      </c>
      <c r="B959" t="s">
        <v>2368</v>
      </c>
      <c r="C959" t="s">
        <v>2385</v>
      </c>
      <c r="D959">
        <v>92338</v>
      </c>
      <c r="E959" t="str">
        <f t="shared" si="28"/>
        <v>ia.assorted_string like '%92338-07-2024%' or</v>
      </c>
    </row>
    <row r="960" spans="1:5" x14ac:dyDescent="0.25">
      <c r="A960" t="s">
        <v>1025</v>
      </c>
      <c r="B960" t="s">
        <v>2353</v>
      </c>
      <c r="C960" t="s">
        <v>2385</v>
      </c>
      <c r="D960">
        <v>16648</v>
      </c>
      <c r="E960" t="str">
        <f t="shared" si="28"/>
        <v>ia.assorted_string like '%16648-11-2022%' or</v>
      </c>
    </row>
    <row r="961" spans="1:5" x14ac:dyDescent="0.25">
      <c r="A961" t="s">
        <v>1026</v>
      </c>
      <c r="B961" t="s">
        <v>2342</v>
      </c>
      <c r="C961" t="s">
        <v>2385</v>
      </c>
      <c r="D961">
        <v>97607</v>
      </c>
      <c r="E961" t="str">
        <f t="shared" si="28"/>
        <v>ia.assorted_string like '%97607-09-2024%' or</v>
      </c>
    </row>
    <row r="962" spans="1:5" x14ac:dyDescent="0.25">
      <c r="A962" t="s">
        <v>1027</v>
      </c>
      <c r="B962" t="s">
        <v>2362</v>
      </c>
      <c r="C962" t="s">
        <v>2385</v>
      </c>
      <c r="D962">
        <v>59147</v>
      </c>
      <c r="E962" t="str">
        <f t="shared" si="28"/>
        <v>ia.assorted_string like '%59147-02-2022%' or</v>
      </c>
    </row>
    <row r="963" spans="1:5" x14ac:dyDescent="0.25">
      <c r="A963" t="s">
        <v>1028</v>
      </c>
      <c r="B963" t="s">
        <v>2349</v>
      </c>
      <c r="C963" t="s">
        <v>2385</v>
      </c>
      <c r="D963">
        <v>58092</v>
      </c>
      <c r="E963" t="str">
        <f t="shared" si="28"/>
        <v>ia.assorted_string like '%58092-01-2022%' or</v>
      </c>
    </row>
    <row r="964" spans="1:5" x14ac:dyDescent="0.25">
      <c r="A964" t="s">
        <v>1029</v>
      </c>
      <c r="B964" t="s">
        <v>2338</v>
      </c>
      <c r="C964" t="s">
        <v>2385</v>
      </c>
      <c r="D964">
        <v>70880</v>
      </c>
      <c r="E964" t="str">
        <f t="shared" si="28"/>
        <v>ia.assorted_string like '%70880-05-2023%' or</v>
      </c>
    </row>
    <row r="965" spans="1:5" x14ac:dyDescent="0.25">
      <c r="A965" t="s">
        <v>1030</v>
      </c>
      <c r="B965" t="s">
        <v>2365</v>
      </c>
      <c r="C965" t="s">
        <v>2385</v>
      </c>
      <c r="D965">
        <v>59713</v>
      </c>
      <c r="E965" t="str">
        <f t="shared" si="28"/>
        <v>ia.assorted_string like '%59713-03-2022%' or</v>
      </c>
    </row>
    <row r="966" spans="1:5" x14ac:dyDescent="0.25">
      <c r="A966" t="s">
        <v>1031</v>
      </c>
      <c r="B966" t="s">
        <v>2375</v>
      </c>
      <c r="C966" t="s">
        <v>2385</v>
      </c>
      <c r="D966">
        <v>2053</v>
      </c>
      <c r="E966" t="str">
        <f t="shared" si="28"/>
        <v>ia.assorted_string like '%2053-05-2022%' or</v>
      </c>
    </row>
    <row r="967" spans="1:5" x14ac:dyDescent="0.25">
      <c r="A967" t="s">
        <v>1032</v>
      </c>
      <c r="B967" t="s">
        <v>2363</v>
      </c>
      <c r="C967" t="s">
        <v>2385</v>
      </c>
      <c r="D967">
        <v>60028</v>
      </c>
      <c r="E967" t="str">
        <f t="shared" si="28"/>
        <v>ia.assorted_string like '%60028-04-2022%' or</v>
      </c>
    </row>
    <row r="968" spans="1:5" x14ac:dyDescent="0.25">
      <c r="A968" t="s">
        <v>1033</v>
      </c>
      <c r="B968" t="s">
        <v>2335</v>
      </c>
      <c r="C968" t="s">
        <v>2385</v>
      </c>
      <c r="D968">
        <v>62457</v>
      </c>
      <c r="E968" t="str">
        <f t="shared" si="28"/>
        <v>ia.assorted_string like '%62457-07-2022%' or</v>
      </c>
    </row>
    <row r="969" spans="1:5" x14ac:dyDescent="0.25">
      <c r="A969" t="s">
        <v>1034</v>
      </c>
      <c r="B969" t="s">
        <v>2357</v>
      </c>
      <c r="C969" t="s">
        <v>2385</v>
      </c>
      <c r="D969">
        <v>61714</v>
      </c>
      <c r="E969" t="str">
        <f t="shared" si="28"/>
        <v>ia.assorted_string like '%61714-06-2022%' or</v>
      </c>
    </row>
    <row r="970" spans="1:5" x14ac:dyDescent="0.25">
      <c r="A970" t="s">
        <v>1035</v>
      </c>
      <c r="B970" t="s">
        <v>2342</v>
      </c>
      <c r="C970" t="s">
        <v>2385</v>
      </c>
      <c r="D970">
        <v>97459</v>
      </c>
      <c r="E970" t="str">
        <f t="shared" si="28"/>
        <v>ia.assorted_string like '%97459-09-2024%' or</v>
      </c>
    </row>
    <row r="971" spans="1:5" x14ac:dyDescent="0.25">
      <c r="A971" t="s">
        <v>1036</v>
      </c>
      <c r="B971" t="s">
        <v>2360</v>
      </c>
      <c r="C971" t="s">
        <v>2385</v>
      </c>
      <c r="D971">
        <v>63835</v>
      </c>
      <c r="E971" t="str">
        <f t="shared" si="28"/>
        <v>ia.assorted_string like '%63835-09-2022%' or</v>
      </c>
    </row>
    <row r="972" spans="1:5" x14ac:dyDescent="0.25">
      <c r="A972" t="s">
        <v>1037</v>
      </c>
      <c r="B972" t="s">
        <v>2352</v>
      </c>
      <c r="C972" t="s">
        <v>2385</v>
      </c>
      <c r="D972">
        <v>56338</v>
      </c>
      <c r="E972" t="str">
        <f t="shared" si="28"/>
        <v>ia.assorted_string like '%56338-10-2021%' or</v>
      </c>
    </row>
    <row r="973" spans="1:5" x14ac:dyDescent="0.25">
      <c r="A973" t="s">
        <v>1038</v>
      </c>
      <c r="B973" t="s">
        <v>2335</v>
      </c>
      <c r="C973" t="s">
        <v>2385</v>
      </c>
      <c r="D973">
        <v>62473</v>
      </c>
      <c r="E973" t="str">
        <f t="shared" si="28"/>
        <v>ia.assorted_string like '%62473-07-2022%' or</v>
      </c>
    </row>
    <row r="974" spans="1:5" x14ac:dyDescent="0.25">
      <c r="A974" t="s">
        <v>1039</v>
      </c>
      <c r="B974" t="s">
        <v>2366</v>
      </c>
      <c r="C974" t="s">
        <v>2385</v>
      </c>
      <c r="D974">
        <v>56604</v>
      </c>
      <c r="E974" t="str">
        <f t="shared" si="28"/>
        <v>ia.assorted_string like '%56604-11-2021%' or</v>
      </c>
    </row>
    <row r="975" spans="1:5" x14ac:dyDescent="0.25">
      <c r="A975" t="s">
        <v>1040</v>
      </c>
      <c r="B975" t="s">
        <v>2356</v>
      </c>
      <c r="C975" t="s">
        <v>2385</v>
      </c>
      <c r="D975">
        <v>39320</v>
      </c>
      <c r="E975" t="str">
        <f t="shared" si="28"/>
        <v>ia.assorted_string like '%39320-04-2023%' or</v>
      </c>
    </row>
    <row r="976" spans="1:5" x14ac:dyDescent="0.25">
      <c r="A976" t="s">
        <v>1041</v>
      </c>
      <c r="B976" t="s">
        <v>2354</v>
      </c>
      <c r="C976" t="s">
        <v>2385</v>
      </c>
      <c r="D976">
        <v>19625</v>
      </c>
      <c r="E976" t="str">
        <f t="shared" si="28"/>
        <v>ia.assorted_string like '%19625-08-2023%' or</v>
      </c>
    </row>
    <row r="977" spans="1:5" x14ac:dyDescent="0.25">
      <c r="A977" t="s">
        <v>1042</v>
      </c>
      <c r="B977" t="s">
        <v>2340</v>
      </c>
      <c r="C977" t="s">
        <v>2385</v>
      </c>
      <c r="D977">
        <v>40255</v>
      </c>
      <c r="E977" t="str">
        <f t="shared" si="28"/>
        <v>ia.assorted_string like '%40255-09-2023%' or</v>
      </c>
    </row>
    <row r="978" spans="1:5" x14ac:dyDescent="0.25">
      <c r="A978" t="s">
        <v>1043</v>
      </c>
      <c r="B978" t="s">
        <v>2354</v>
      </c>
      <c r="C978" t="s">
        <v>2385</v>
      </c>
      <c r="D978">
        <v>19627</v>
      </c>
      <c r="E978" t="str">
        <f t="shared" si="28"/>
        <v>ia.assorted_string like '%19627-08-2023%' or</v>
      </c>
    </row>
    <row r="979" spans="1:5" x14ac:dyDescent="0.25">
      <c r="A979" t="s">
        <v>1044</v>
      </c>
      <c r="B979" t="s">
        <v>2343</v>
      </c>
      <c r="C979" t="s">
        <v>2385</v>
      </c>
      <c r="D979">
        <v>90640</v>
      </c>
      <c r="E979" t="str">
        <f t="shared" si="28"/>
        <v>ia.assorted_string like '%90640-06-2024%' or</v>
      </c>
    </row>
    <row r="980" spans="1:5" x14ac:dyDescent="0.25">
      <c r="A980" t="s">
        <v>1045</v>
      </c>
      <c r="B980" t="s">
        <v>2372</v>
      </c>
      <c r="C980" t="s">
        <v>2385</v>
      </c>
      <c r="D980">
        <v>20919</v>
      </c>
      <c r="E980" t="str">
        <f t="shared" si="28"/>
        <v>ia.assorted_string like '%20919-12-2023%' or</v>
      </c>
    </row>
    <row r="981" spans="1:5" x14ac:dyDescent="0.25">
      <c r="A981" t="s">
        <v>1046</v>
      </c>
      <c r="B981" t="s">
        <v>2342</v>
      </c>
      <c r="C981" t="s">
        <v>2385</v>
      </c>
      <c r="D981">
        <v>97397</v>
      </c>
      <c r="E981" t="str">
        <f t="shared" si="28"/>
        <v>ia.assorted_string like '%97397-09-2024%' or</v>
      </c>
    </row>
    <row r="982" spans="1:5" x14ac:dyDescent="0.25">
      <c r="A982" t="s">
        <v>1047</v>
      </c>
      <c r="B982" t="s">
        <v>2372</v>
      </c>
      <c r="C982" t="s">
        <v>2385</v>
      </c>
      <c r="D982">
        <v>20926</v>
      </c>
      <c r="E982" t="str">
        <f t="shared" si="28"/>
        <v>ia.assorted_string like '%20926-12-2023%' or</v>
      </c>
    </row>
    <row r="983" spans="1:5" x14ac:dyDescent="0.25">
      <c r="A983" t="s">
        <v>1048</v>
      </c>
      <c r="B983" t="s">
        <v>2362</v>
      </c>
      <c r="C983" t="s">
        <v>2385</v>
      </c>
      <c r="D983">
        <v>59068</v>
      </c>
      <c r="E983" t="str">
        <f t="shared" si="28"/>
        <v>ia.assorted_string like '%59068-02-2022%' or</v>
      </c>
    </row>
    <row r="984" spans="1:5" x14ac:dyDescent="0.25">
      <c r="A984" t="s">
        <v>1049</v>
      </c>
      <c r="B984" t="s">
        <v>2377</v>
      </c>
      <c r="C984" t="s">
        <v>2385</v>
      </c>
      <c r="D984">
        <v>11683</v>
      </c>
      <c r="E984" t="str">
        <f t="shared" si="28"/>
        <v>ia.assorted_string like '%11683-06-2021%' or</v>
      </c>
    </row>
    <row r="985" spans="1:5" x14ac:dyDescent="0.25">
      <c r="A985" t="s">
        <v>1050</v>
      </c>
      <c r="B985" t="s">
        <v>2375</v>
      </c>
      <c r="C985" t="s">
        <v>2385</v>
      </c>
      <c r="D985">
        <v>60870</v>
      </c>
      <c r="E985" t="str">
        <f t="shared" si="28"/>
        <v>ia.assorted_string like '%60870-05-2022%' or</v>
      </c>
    </row>
    <row r="986" spans="1:5" x14ac:dyDescent="0.25">
      <c r="A986" t="s">
        <v>1051</v>
      </c>
      <c r="B986" t="s">
        <v>2377</v>
      </c>
      <c r="C986" t="s">
        <v>2385</v>
      </c>
      <c r="D986">
        <v>11686</v>
      </c>
      <c r="E986" t="str">
        <f t="shared" si="28"/>
        <v>ia.assorted_string like '%11686-06-2021%' or</v>
      </c>
    </row>
    <row r="987" spans="1:5" x14ac:dyDescent="0.25">
      <c r="A987" t="s">
        <v>1052</v>
      </c>
      <c r="B987" t="s">
        <v>2338</v>
      </c>
      <c r="C987" t="s">
        <v>2385</v>
      </c>
      <c r="D987">
        <v>70549</v>
      </c>
      <c r="E987" t="str">
        <f t="shared" si="28"/>
        <v>ia.assorted_string like '%70549-05-2023%' or</v>
      </c>
    </row>
    <row r="988" spans="1:5" x14ac:dyDescent="0.25">
      <c r="A988" t="s">
        <v>1053</v>
      </c>
      <c r="B988" t="s">
        <v>2377</v>
      </c>
      <c r="C988" t="s">
        <v>2385</v>
      </c>
      <c r="D988">
        <v>11688</v>
      </c>
      <c r="E988" t="str">
        <f t="shared" si="28"/>
        <v>ia.assorted_string like '%11688-06-2021%' or</v>
      </c>
    </row>
    <row r="989" spans="1:5" x14ac:dyDescent="0.25">
      <c r="A989" t="s">
        <v>1054</v>
      </c>
      <c r="B989" t="s">
        <v>2359</v>
      </c>
      <c r="C989" t="s">
        <v>2385</v>
      </c>
      <c r="D989">
        <v>83689</v>
      </c>
      <c r="E989" t="str">
        <f t="shared" si="28"/>
        <v>ia.assorted_string like '%83689-02-2024%' or</v>
      </c>
    </row>
    <row r="990" spans="1:5" x14ac:dyDescent="0.25">
      <c r="A990" t="s">
        <v>1055</v>
      </c>
      <c r="B990" t="s">
        <v>2377</v>
      </c>
      <c r="C990" t="s">
        <v>2385</v>
      </c>
      <c r="D990">
        <v>11706</v>
      </c>
      <c r="E990" t="str">
        <f t="shared" si="28"/>
        <v>ia.assorted_string like '%11706-06-2021%' or</v>
      </c>
    </row>
    <row r="991" spans="1:5" x14ac:dyDescent="0.25">
      <c r="A991" t="s">
        <v>1056</v>
      </c>
      <c r="B991" t="s">
        <v>2368</v>
      </c>
      <c r="C991" t="s">
        <v>2385</v>
      </c>
      <c r="D991">
        <v>92302</v>
      </c>
      <c r="E991" t="str">
        <f t="shared" si="28"/>
        <v>ia.assorted_string like '%92302-07-2024%' or</v>
      </c>
    </row>
    <row r="992" spans="1:5" x14ac:dyDescent="0.25">
      <c r="A992" t="s">
        <v>1057</v>
      </c>
      <c r="B992" t="s">
        <v>2377</v>
      </c>
      <c r="C992" t="s">
        <v>2385</v>
      </c>
      <c r="D992">
        <v>11709</v>
      </c>
      <c r="E992" t="str">
        <f t="shared" si="28"/>
        <v>ia.assorted_string like '%11709-06-2021%' or</v>
      </c>
    </row>
    <row r="993" spans="1:5" x14ac:dyDescent="0.25">
      <c r="A993" t="s">
        <v>1058</v>
      </c>
      <c r="B993" t="s">
        <v>2365</v>
      </c>
      <c r="C993" t="s">
        <v>2385</v>
      </c>
      <c r="D993">
        <v>59785</v>
      </c>
      <c r="E993" t="str">
        <f t="shared" si="28"/>
        <v>ia.assorted_string like '%59785-03-2022%' or</v>
      </c>
    </row>
    <row r="994" spans="1:5" x14ac:dyDescent="0.25">
      <c r="A994" t="s">
        <v>1059</v>
      </c>
      <c r="B994" t="s">
        <v>2377</v>
      </c>
      <c r="C994" t="s">
        <v>2385</v>
      </c>
      <c r="D994">
        <v>11713</v>
      </c>
      <c r="E994" t="str">
        <f t="shared" si="28"/>
        <v>ia.assorted_string like '%11713-06-2021%' or</v>
      </c>
    </row>
    <row r="995" spans="1:5" x14ac:dyDescent="0.25">
      <c r="A995" t="s">
        <v>1060</v>
      </c>
      <c r="B995" t="s">
        <v>2335</v>
      </c>
      <c r="C995" t="s">
        <v>2385</v>
      </c>
      <c r="D995">
        <v>62464</v>
      </c>
      <c r="E995" t="str">
        <f t="shared" si="28"/>
        <v>ia.assorted_string like '%62464-07-2022%' or</v>
      </c>
    </row>
    <row r="996" spans="1:5" x14ac:dyDescent="0.25">
      <c r="A996" t="s">
        <v>1061</v>
      </c>
      <c r="B996" t="s">
        <v>2380</v>
      </c>
      <c r="C996" t="s">
        <v>2385</v>
      </c>
      <c r="D996">
        <v>11983</v>
      </c>
      <c r="E996" t="str">
        <f t="shared" si="28"/>
        <v>ia.assorted_string like '%11983-07-2021%' or</v>
      </c>
    </row>
    <row r="997" spans="1:5" x14ac:dyDescent="0.25">
      <c r="A997" t="s">
        <v>1062</v>
      </c>
      <c r="B997" t="s">
        <v>2366</v>
      </c>
      <c r="C997" t="s">
        <v>2385</v>
      </c>
      <c r="D997">
        <v>56651</v>
      </c>
      <c r="E997" t="str">
        <f t="shared" si="28"/>
        <v>ia.assorted_string like '%56651-11-2021%' or</v>
      </c>
    </row>
    <row r="998" spans="1:5" x14ac:dyDescent="0.25">
      <c r="A998" t="s">
        <v>1063</v>
      </c>
      <c r="B998" t="s">
        <v>2380</v>
      </c>
      <c r="C998" t="s">
        <v>2385</v>
      </c>
      <c r="D998">
        <v>11984</v>
      </c>
      <c r="E998" t="str">
        <f t="shared" si="28"/>
        <v>ia.assorted_string like '%11984-07-2021%' or</v>
      </c>
    </row>
    <row r="999" spans="1:5" x14ac:dyDescent="0.25">
      <c r="A999" t="s">
        <v>1064</v>
      </c>
      <c r="B999" t="s">
        <v>2339</v>
      </c>
      <c r="C999" t="s">
        <v>2385</v>
      </c>
      <c r="D999">
        <v>85414</v>
      </c>
      <c r="E999" t="str">
        <f t="shared" si="28"/>
        <v>ia.assorted_string like '%85414-03-2024%' or</v>
      </c>
    </row>
    <row r="1000" spans="1:5" x14ac:dyDescent="0.25">
      <c r="A1000" t="s">
        <v>1065</v>
      </c>
      <c r="B1000" t="s">
        <v>2380</v>
      </c>
      <c r="C1000" t="s">
        <v>2385</v>
      </c>
      <c r="D1000">
        <v>11985</v>
      </c>
      <c r="E1000" t="str">
        <f t="shared" si="28"/>
        <v>ia.assorted_string like '%11985-07-2021%' or</v>
      </c>
    </row>
    <row r="1001" spans="1:5" x14ac:dyDescent="0.25">
      <c r="A1001" t="s">
        <v>1066</v>
      </c>
      <c r="B1001" t="s">
        <v>2335</v>
      </c>
      <c r="C1001" t="s">
        <v>2385</v>
      </c>
      <c r="D1001">
        <v>62327</v>
      </c>
      <c r="E1001" t="str">
        <f t="shared" si="28"/>
        <v>ia.assorted_string like '%62327-07-2022%' or</v>
      </c>
    </row>
    <row r="1002" spans="1:5" x14ac:dyDescent="0.25">
      <c r="A1002" t="s">
        <v>1067</v>
      </c>
      <c r="B1002" t="s">
        <v>2380</v>
      </c>
      <c r="C1002" t="s">
        <v>2385</v>
      </c>
      <c r="D1002">
        <v>11989</v>
      </c>
      <c r="E1002" t="str">
        <f t="shared" si="28"/>
        <v>ia.assorted_string like '%11989-07-2021%' or</v>
      </c>
    </row>
    <row r="1003" spans="1:5" x14ac:dyDescent="0.25">
      <c r="A1003" t="s">
        <v>1068</v>
      </c>
      <c r="B1003" t="s">
        <v>2379</v>
      </c>
      <c r="C1003" t="s">
        <v>2385</v>
      </c>
      <c r="D1003">
        <v>12499</v>
      </c>
      <c r="E1003" t="str">
        <f t="shared" si="28"/>
        <v>ia.assorted_string like '%12499-09-2021%' or</v>
      </c>
    </row>
    <row r="1004" spans="1:5" x14ac:dyDescent="0.25">
      <c r="A1004" t="s">
        <v>1069</v>
      </c>
      <c r="B1004" t="s">
        <v>2372</v>
      </c>
      <c r="C1004" t="s">
        <v>2385</v>
      </c>
      <c r="D1004">
        <v>20842</v>
      </c>
      <c r="E1004" t="str">
        <f t="shared" si="28"/>
        <v>ia.assorted_string like '%20842-12-2023%' or</v>
      </c>
    </row>
    <row r="1005" spans="1:5" x14ac:dyDescent="0.25">
      <c r="A1005" t="s">
        <v>1070</v>
      </c>
      <c r="B1005" t="s">
        <v>2372</v>
      </c>
      <c r="C1005" t="s">
        <v>2385</v>
      </c>
      <c r="D1005">
        <v>21068</v>
      </c>
      <c r="E1005" t="str">
        <f t="shared" si="28"/>
        <v>ia.assorted_string like '%21068-12-2023%' or</v>
      </c>
    </row>
    <row r="1006" spans="1:5" x14ac:dyDescent="0.25">
      <c r="A1006" t="s">
        <v>1071</v>
      </c>
      <c r="B1006" t="s">
        <v>2335</v>
      </c>
      <c r="C1006" t="s">
        <v>2385</v>
      </c>
      <c r="D1006">
        <v>15164</v>
      </c>
      <c r="E1006" t="str">
        <f t="shared" si="28"/>
        <v>ia.assorted_string like '%15164-07-2022%' or</v>
      </c>
    </row>
    <row r="1007" spans="1:5" x14ac:dyDescent="0.25">
      <c r="A1007" t="s">
        <v>1072</v>
      </c>
      <c r="B1007" t="s">
        <v>2372</v>
      </c>
      <c r="C1007" t="s">
        <v>2385</v>
      </c>
      <c r="D1007">
        <v>21079</v>
      </c>
      <c r="E1007" t="str">
        <f t="shared" si="28"/>
        <v>ia.assorted_string like '%21079-12-2023%' or</v>
      </c>
    </row>
    <row r="1008" spans="1:5" x14ac:dyDescent="0.25">
      <c r="A1008" t="s">
        <v>1073</v>
      </c>
      <c r="B1008" t="s">
        <v>2351</v>
      </c>
      <c r="C1008" t="s">
        <v>2385</v>
      </c>
      <c r="D1008">
        <v>15188</v>
      </c>
      <c r="E1008" t="str">
        <f t="shared" si="28"/>
        <v>ia.assorted_string like '%15188-08-2022%' or</v>
      </c>
    </row>
    <row r="1009" spans="1:5" x14ac:dyDescent="0.25">
      <c r="A1009" t="s">
        <v>1074</v>
      </c>
      <c r="B1009" t="s">
        <v>2361</v>
      </c>
      <c r="C1009" t="s">
        <v>2385</v>
      </c>
      <c r="D1009">
        <v>21213</v>
      </c>
      <c r="E1009" t="str">
        <f t="shared" si="28"/>
        <v>ia.assorted_string like '%21213-01-2024%' or</v>
      </c>
    </row>
    <row r="1010" spans="1:5" x14ac:dyDescent="0.25">
      <c r="A1010" t="s">
        <v>1075</v>
      </c>
      <c r="B1010" t="s">
        <v>2380</v>
      </c>
      <c r="C1010" t="s">
        <v>2385</v>
      </c>
      <c r="D1010">
        <v>12005</v>
      </c>
      <c r="E1010" t="str">
        <f t="shared" si="28"/>
        <v>ia.assorted_string like '%12005-07-2021%' or</v>
      </c>
    </row>
    <row r="1011" spans="1:5" x14ac:dyDescent="0.25">
      <c r="A1011" t="s">
        <v>1076</v>
      </c>
      <c r="B1011" t="s">
        <v>2361</v>
      </c>
      <c r="C1011" t="s">
        <v>2385</v>
      </c>
      <c r="D1011">
        <v>21214</v>
      </c>
      <c r="E1011" t="str">
        <f t="shared" si="28"/>
        <v>ia.assorted_string like '%21214-01-2024%' or</v>
      </c>
    </row>
    <row r="1012" spans="1:5" x14ac:dyDescent="0.25">
      <c r="A1012" t="s">
        <v>1077</v>
      </c>
      <c r="B1012" t="s">
        <v>2351</v>
      </c>
      <c r="C1012" t="s">
        <v>2385</v>
      </c>
      <c r="D1012">
        <v>15283</v>
      </c>
      <c r="E1012" t="str">
        <f t="shared" si="28"/>
        <v>ia.assorted_string like '%15283-08-2022%' or</v>
      </c>
    </row>
    <row r="1013" spans="1:5" x14ac:dyDescent="0.25">
      <c r="A1013" t="s">
        <v>1078</v>
      </c>
      <c r="B1013" t="s">
        <v>2359</v>
      </c>
      <c r="C1013" t="s">
        <v>2385</v>
      </c>
      <c r="D1013">
        <v>21450</v>
      </c>
      <c r="E1013" t="str">
        <f t="shared" si="28"/>
        <v>ia.assorted_string like '%21450-02-2024%' or</v>
      </c>
    </row>
    <row r="1014" spans="1:5" x14ac:dyDescent="0.25">
      <c r="A1014" t="s">
        <v>1079</v>
      </c>
      <c r="B1014" t="s">
        <v>2351</v>
      </c>
      <c r="C1014" t="s">
        <v>2385</v>
      </c>
      <c r="D1014">
        <v>15299</v>
      </c>
      <c r="E1014" t="str">
        <f t="shared" si="28"/>
        <v>ia.assorted_string like '%15299-08-2022%' or</v>
      </c>
    </row>
    <row r="1015" spans="1:5" x14ac:dyDescent="0.25">
      <c r="A1015" t="s">
        <v>1080</v>
      </c>
      <c r="B1015" t="s">
        <v>2343</v>
      </c>
      <c r="C1015" t="s">
        <v>2385</v>
      </c>
      <c r="D1015">
        <v>22541</v>
      </c>
      <c r="E1015" t="str">
        <f t="shared" si="28"/>
        <v>ia.assorted_string like '%22541-06-2024%' or</v>
      </c>
    </row>
    <row r="1016" spans="1:5" x14ac:dyDescent="0.25">
      <c r="A1016" t="s">
        <v>1081</v>
      </c>
      <c r="B1016" t="s">
        <v>2379</v>
      </c>
      <c r="C1016" t="s">
        <v>2385</v>
      </c>
      <c r="D1016">
        <v>12457</v>
      </c>
      <c r="E1016" t="str">
        <f t="shared" si="28"/>
        <v>ia.assorted_string like '%12457-09-2021%' or</v>
      </c>
    </row>
    <row r="1017" spans="1:5" x14ac:dyDescent="0.25">
      <c r="A1017" t="s">
        <v>1082</v>
      </c>
      <c r="B1017" t="s">
        <v>2362</v>
      </c>
      <c r="C1017" t="s">
        <v>2385</v>
      </c>
      <c r="D1017">
        <v>1995</v>
      </c>
      <c r="E1017" t="str">
        <f t="shared" si="28"/>
        <v>ia.assorted_string like '%1995-02-2022%' or</v>
      </c>
    </row>
    <row r="1018" spans="1:5" x14ac:dyDescent="0.25">
      <c r="A1018" t="s">
        <v>1083</v>
      </c>
      <c r="B1018" t="s">
        <v>2351</v>
      </c>
      <c r="C1018" t="s">
        <v>2385</v>
      </c>
      <c r="D1018">
        <v>15326</v>
      </c>
      <c r="E1018" t="str">
        <f t="shared" si="28"/>
        <v>ia.assorted_string like '%15326-08-2022%' or</v>
      </c>
    </row>
    <row r="1019" spans="1:5" x14ac:dyDescent="0.25">
      <c r="A1019" t="s">
        <v>1084</v>
      </c>
      <c r="B1019" t="s">
        <v>2362</v>
      </c>
      <c r="C1019" t="s">
        <v>2385</v>
      </c>
      <c r="D1019">
        <v>1996</v>
      </c>
      <c r="E1019" t="str">
        <f t="shared" si="28"/>
        <v>ia.assorted_string like '%1996-02-2022%' or</v>
      </c>
    </row>
    <row r="1020" spans="1:5" x14ac:dyDescent="0.25">
      <c r="A1020" t="s">
        <v>1085</v>
      </c>
      <c r="B1020" t="s">
        <v>2351</v>
      </c>
      <c r="C1020" t="s">
        <v>2385</v>
      </c>
      <c r="D1020">
        <v>15336</v>
      </c>
      <c r="E1020" t="str">
        <f t="shared" si="28"/>
        <v>ia.assorted_string like '%15336-08-2022%' or</v>
      </c>
    </row>
    <row r="1021" spans="1:5" x14ac:dyDescent="0.25">
      <c r="A1021" t="s">
        <v>1086</v>
      </c>
      <c r="B1021" t="s">
        <v>2374</v>
      </c>
      <c r="C1021" t="s">
        <v>2385</v>
      </c>
      <c r="D1021">
        <v>1706</v>
      </c>
      <c r="E1021" t="str">
        <f t="shared" si="28"/>
        <v>ia.assorted_string like '%1706-08-2021%' or</v>
      </c>
    </row>
    <row r="1022" spans="1:5" x14ac:dyDescent="0.25">
      <c r="A1022" t="s">
        <v>1087</v>
      </c>
      <c r="B1022" t="s">
        <v>2360</v>
      </c>
      <c r="C1022" t="s">
        <v>2385</v>
      </c>
      <c r="D1022">
        <v>15755</v>
      </c>
      <c r="E1022" t="str">
        <f t="shared" ref="E1022:E1085" si="29">"ia.assorted_string like '%"&amp;D1022&amp;B1022&amp;"%' or"</f>
        <v>ia.assorted_string like '%15755-09-2022%' or</v>
      </c>
    </row>
    <row r="1023" spans="1:5" x14ac:dyDescent="0.25">
      <c r="A1023" t="s">
        <v>1088</v>
      </c>
      <c r="B1023" t="s">
        <v>2374</v>
      </c>
      <c r="C1023" t="s">
        <v>2385</v>
      </c>
      <c r="D1023">
        <v>1743</v>
      </c>
      <c r="E1023" t="str">
        <f t="shared" si="29"/>
        <v>ia.assorted_string like '%1743-08-2021%' or</v>
      </c>
    </row>
    <row r="1024" spans="1:5" x14ac:dyDescent="0.25">
      <c r="A1024" t="s">
        <v>1089</v>
      </c>
      <c r="B1024" t="s">
        <v>2360</v>
      </c>
      <c r="C1024" t="s">
        <v>2385</v>
      </c>
      <c r="D1024">
        <v>15825</v>
      </c>
      <c r="E1024" t="str">
        <f t="shared" si="29"/>
        <v>ia.assorted_string like '%15825-09-2022%' or</v>
      </c>
    </row>
    <row r="1025" spans="1:5" x14ac:dyDescent="0.25">
      <c r="A1025" t="s">
        <v>1090</v>
      </c>
      <c r="B1025" t="s">
        <v>2374</v>
      </c>
      <c r="C1025" t="s">
        <v>2385</v>
      </c>
      <c r="D1025">
        <v>1744</v>
      </c>
      <c r="E1025" t="str">
        <f t="shared" si="29"/>
        <v>ia.assorted_string like '%1744-08-2021%' or</v>
      </c>
    </row>
    <row r="1026" spans="1:5" x14ac:dyDescent="0.25">
      <c r="A1026" t="s">
        <v>1091</v>
      </c>
      <c r="B1026" t="s">
        <v>2352</v>
      </c>
      <c r="C1026" t="s">
        <v>2385</v>
      </c>
      <c r="D1026">
        <v>12629</v>
      </c>
      <c r="E1026" t="str">
        <f t="shared" si="29"/>
        <v>ia.assorted_string like '%12629-10-2021%' or</v>
      </c>
    </row>
    <row r="1027" spans="1:5" x14ac:dyDescent="0.25">
      <c r="A1027" t="s">
        <v>1092</v>
      </c>
      <c r="B1027" t="s">
        <v>2374</v>
      </c>
      <c r="C1027" t="s">
        <v>2385</v>
      </c>
      <c r="D1027">
        <v>1745</v>
      </c>
      <c r="E1027" t="str">
        <f t="shared" si="29"/>
        <v>ia.assorted_string like '%1745-08-2021%' or</v>
      </c>
    </row>
    <row r="1028" spans="1:5" x14ac:dyDescent="0.25">
      <c r="A1028" t="s">
        <v>1093</v>
      </c>
      <c r="B1028" t="s">
        <v>2360</v>
      </c>
      <c r="C1028" t="s">
        <v>2385</v>
      </c>
      <c r="D1028">
        <v>15909</v>
      </c>
      <c r="E1028" t="str">
        <f t="shared" si="29"/>
        <v>ia.assorted_string like '%15909-09-2022%' or</v>
      </c>
    </row>
    <row r="1029" spans="1:5" x14ac:dyDescent="0.25">
      <c r="A1029" t="s">
        <v>1094</v>
      </c>
      <c r="B1029" t="s">
        <v>2374</v>
      </c>
      <c r="C1029" t="s">
        <v>2385</v>
      </c>
      <c r="D1029">
        <v>1750</v>
      </c>
      <c r="E1029" t="str">
        <f t="shared" si="29"/>
        <v>ia.assorted_string like '%1750-08-2021%' or</v>
      </c>
    </row>
    <row r="1030" spans="1:5" x14ac:dyDescent="0.25">
      <c r="A1030" t="s">
        <v>1095</v>
      </c>
      <c r="B1030" t="s">
        <v>2360</v>
      </c>
      <c r="C1030" t="s">
        <v>2385</v>
      </c>
      <c r="D1030">
        <v>15918</v>
      </c>
      <c r="E1030" t="str">
        <f t="shared" si="29"/>
        <v>ia.assorted_string like '%15918-09-2022%' or</v>
      </c>
    </row>
    <row r="1031" spans="1:5" x14ac:dyDescent="0.25">
      <c r="A1031" t="s">
        <v>1096</v>
      </c>
      <c r="B1031" t="s">
        <v>2374</v>
      </c>
      <c r="C1031" t="s">
        <v>2385</v>
      </c>
      <c r="D1031">
        <v>1754</v>
      </c>
      <c r="E1031" t="str">
        <f t="shared" si="29"/>
        <v>ia.assorted_string like '%1754-08-2021%' or</v>
      </c>
    </row>
    <row r="1032" spans="1:5" x14ac:dyDescent="0.25">
      <c r="A1032" t="s">
        <v>1097</v>
      </c>
      <c r="B1032" t="s">
        <v>2360</v>
      </c>
      <c r="C1032" t="s">
        <v>2385</v>
      </c>
      <c r="D1032">
        <v>15954</v>
      </c>
      <c r="E1032" t="str">
        <f t="shared" si="29"/>
        <v>ia.assorted_string like '%15954-09-2022%' or</v>
      </c>
    </row>
    <row r="1033" spans="1:5" x14ac:dyDescent="0.25">
      <c r="A1033" t="s">
        <v>1098</v>
      </c>
      <c r="B1033" t="s">
        <v>2379</v>
      </c>
      <c r="C1033" t="s">
        <v>2385</v>
      </c>
      <c r="D1033">
        <v>1792</v>
      </c>
      <c r="E1033" t="str">
        <f t="shared" si="29"/>
        <v>ia.assorted_string like '%1792-09-2021%' or</v>
      </c>
    </row>
    <row r="1034" spans="1:5" x14ac:dyDescent="0.25">
      <c r="A1034" t="s">
        <v>1099</v>
      </c>
      <c r="B1034" t="s">
        <v>2352</v>
      </c>
      <c r="C1034" t="s">
        <v>2385</v>
      </c>
      <c r="D1034">
        <v>12635</v>
      </c>
      <c r="E1034" t="str">
        <f t="shared" si="29"/>
        <v>ia.assorted_string like '%12635-10-2021%' or</v>
      </c>
    </row>
    <row r="1035" spans="1:5" x14ac:dyDescent="0.25">
      <c r="A1035" t="s">
        <v>1100</v>
      </c>
      <c r="B1035" t="s">
        <v>2379</v>
      </c>
      <c r="C1035" t="s">
        <v>2385</v>
      </c>
      <c r="D1035">
        <v>1796</v>
      </c>
      <c r="E1035" t="str">
        <f t="shared" si="29"/>
        <v>ia.assorted_string like '%1796-09-2021%' or</v>
      </c>
    </row>
    <row r="1036" spans="1:5" x14ac:dyDescent="0.25">
      <c r="A1036" t="s">
        <v>1101</v>
      </c>
      <c r="B1036" t="s">
        <v>2366</v>
      </c>
      <c r="C1036" t="s">
        <v>2385</v>
      </c>
      <c r="D1036">
        <v>12963</v>
      </c>
      <c r="E1036" t="str">
        <f t="shared" si="29"/>
        <v>ia.assorted_string like '%12963-11-2021%' or</v>
      </c>
    </row>
    <row r="1037" spans="1:5" x14ac:dyDescent="0.25">
      <c r="A1037" t="s">
        <v>1102</v>
      </c>
      <c r="B1037" t="s">
        <v>2366</v>
      </c>
      <c r="C1037" t="s">
        <v>2385</v>
      </c>
      <c r="D1037">
        <v>1854</v>
      </c>
      <c r="E1037" t="str">
        <f t="shared" si="29"/>
        <v>ia.assorted_string like '%1854-11-2021%' or</v>
      </c>
    </row>
    <row r="1038" spans="1:5" x14ac:dyDescent="0.25">
      <c r="A1038" t="s">
        <v>1103</v>
      </c>
      <c r="B1038" t="s">
        <v>2360</v>
      </c>
      <c r="C1038" t="s">
        <v>2385</v>
      </c>
      <c r="D1038">
        <v>16139</v>
      </c>
      <c r="E1038" t="str">
        <f t="shared" si="29"/>
        <v>ia.assorted_string like '%16139-09-2022%' or</v>
      </c>
    </row>
    <row r="1039" spans="1:5" x14ac:dyDescent="0.25">
      <c r="A1039" t="s">
        <v>1104</v>
      </c>
      <c r="B1039" t="s">
        <v>2364</v>
      </c>
      <c r="C1039" t="s">
        <v>2385</v>
      </c>
      <c r="D1039">
        <v>1880</v>
      </c>
      <c r="E1039" t="str">
        <f t="shared" si="29"/>
        <v>ia.assorted_string like '%1880-12-2021%' or</v>
      </c>
    </row>
    <row r="1040" spans="1:5" x14ac:dyDescent="0.25">
      <c r="A1040" t="s">
        <v>1105</v>
      </c>
      <c r="B1040" t="s">
        <v>2360</v>
      </c>
      <c r="C1040" t="s">
        <v>2385</v>
      </c>
      <c r="D1040">
        <v>16147</v>
      </c>
      <c r="E1040" t="str">
        <f t="shared" si="29"/>
        <v>ia.assorted_string like '%16147-09-2022%' or</v>
      </c>
    </row>
    <row r="1041" spans="1:5" x14ac:dyDescent="0.25">
      <c r="A1041" t="s">
        <v>1106</v>
      </c>
      <c r="B1041" t="s">
        <v>2379</v>
      </c>
      <c r="C1041" t="s">
        <v>2385</v>
      </c>
      <c r="D1041">
        <v>12494</v>
      </c>
      <c r="E1041" t="str">
        <f t="shared" si="29"/>
        <v>ia.assorted_string like '%12494-09-2021%' or</v>
      </c>
    </row>
    <row r="1042" spans="1:5" x14ac:dyDescent="0.25">
      <c r="A1042" t="s">
        <v>1107</v>
      </c>
      <c r="B1042" t="s">
        <v>2366</v>
      </c>
      <c r="C1042" t="s">
        <v>2385</v>
      </c>
      <c r="D1042">
        <v>12966</v>
      </c>
      <c r="E1042" t="str">
        <f t="shared" si="29"/>
        <v>ia.assorted_string like '%12966-11-2021%' or</v>
      </c>
    </row>
    <row r="1043" spans="1:5" x14ac:dyDescent="0.25">
      <c r="A1043" t="s">
        <v>1108</v>
      </c>
      <c r="B1043" t="s">
        <v>2362</v>
      </c>
      <c r="C1043" t="s">
        <v>2385</v>
      </c>
      <c r="D1043">
        <v>1984</v>
      </c>
      <c r="E1043" t="str">
        <f t="shared" si="29"/>
        <v>ia.assorted_string like '%1984-02-2022%' or</v>
      </c>
    </row>
    <row r="1044" spans="1:5" x14ac:dyDescent="0.25">
      <c r="A1044" t="s">
        <v>1109</v>
      </c>
      <c r="B1044" t="s">
        <v>2366</v>
      </c>
      <c r="C1044" t="s">
        <v>2385</v>
      </c>
      <c r="D1044">
        <v>12969</v>
      </c>
      <c r="E1044" t="str">
        <f t="shared" si="29"/>
        <v>ia.assorted_string like '%12969-11-2021%' or</v>
      </c>
    </row>
    <row r="1045" spans="1:5" x14ac:dyDescent="0.25">
      <c r="A1045" t="s">
        <v>1110</v>
      </c>
      <c r="B1045" t="s">
        <v>2351</v>
      </c>
      <c r="C1045" t="s">
        <v>2385</v>
      </c>
      <c r="D1045">
        <v>2120</v>
      </c>
      <c r="E1045" t="str">
        <f t="shared" si="29"/>
        <v>ia.assorted_string like '%2120-08-2022%' or</v>
      </c>
    </row>
    <row r="1046" spans="1:5" x14ac:dyDescent="0.25">
      <c r="A1046" t="s">
        <v>1111</v>
      </c>
      <c r="B1046" t="s">
        <v>2353</v>
      </c>
      <c r="C1046" t="s">
        <v>2385</v>
      </c>
      <c r="D1046">
        <v>16599</v>
      </c>
      <c r="E1046" t="str">
        <f t="shared" si="29"/>
        <v>ia.assorted_string like '%16599-11-2022%' or</v>
      </c>
    </row>
    <row r="1047" spans="1:5" x14ac:dyDescent="0.25">
      <c r="A1047" t="s">
        <v>1112</v>
      </c>
      <c r="B1047" t="s">
        <v>2351</v>
      </c>
      <c r="C1047" t="s">
        <v>2385</v>
      </c>
      <c r="D1047">
        <v>2138</v>
      </c>
      <c r="E1047" t="str">
        <f t="shared" si="29"/>
        <v>ia.assorted_string like '%2138-08-2022%' or</v>
      </c>
    </row>
    <row r="1048" spans="1:5" x14ac:dyDescent="0.25">
      <c r="A1048" t="s">
        <v>1113</v>
      </c>
      <c r="B1048" t="s">
        <v>2353</v>
      </c>
      <c r="C1048" t="s">
        <v>2385</v>
      </c>
      <c r="D1048">
        <v>16604</v>
      </c>
      <c r="E1048" t="str">
        <f t="shared" si="29"/>
        <v>ia.assorted_string like '%16604-11-2022%' or</v>
      </c>
    </row>
    <row r="1049" spans="1:5" x14ac:dyDescent="0.25">
      <c r="A1049" t="s">
        <v>1114</v>
      </c>
      <c r="B1049" t="s">
        <v>2351</v>
      </c>
      <c r="C1049" t="s">
        <v>2385</v>
      </c>
      <c r="D1049">
        <v>2170</v>
      </c>
      <c r="E1049" t="str">
        <f t="shared" si="29"/>
        <v>ia.assorted_string like '%2170-08-2022%' or</v>
      </c>
    </row>
    <row r="1050" spans="1:5" x14ac:dyDescent="0.25">
      <c r="A1050" t="s">
        <v>1115</v>
      </c>
      <c r="B1050" t="s">
        <v>2366</v>
      </c>
      <c r="C1050" t="s">
        <v>2385</v>
      </c>
      <c r="D1050">
        <v>12988</v>
      </c>
      <c r="E1050" t="str">
        <f t="shared" si="29"/>
        <v>ia.assorted_string like '%12988-11-2021%' or</v>
      </c>
    </row>
    <row r="1051" spans="1:5" x14ac:dyDescent="0.25">
      <c r="A1051" t="s">
        <v>1116</v>
      </c>
      <c r="B1051" t="s">
        <v>2360</v>
      </c>
      <c r="C1051" t="s">
        <v>2385</v>
      </c>
      <c r="D1051">
        <v>2219</v>
      </c>
      <c r="E1051" t="str">
        <f t="shared" si="29"/>
        <v>ia.assorted_string like '%2219-09-2022%' or</v>
      </c>
    </row>
    <row r="1052" spans="1:5" x14ac:dyDescent="0.25">
      <c r="A1052" t="s">
        <v>1117</v>
      </c>
      <c r="B1052" t="s">
        <v>2379</v>
      </c>
      <c r="C1052" t="s">
        <v>2385</v>
      </c>
      <c r="D1052">
        <v>12458</v>
      </c>
      <c r="E1052" t="str">
        <f t="shared" si="29"/>
        <v>ia.assorted_string like '%12458-09-2021%' or</v>
      </c>
    </row>
    <row r="1053" spans="1:5" x14ac:dyDescent="0.25">
      <c r="A1053" t="s">
        <v>1118</v>
      </c>
      <c r="B1053" t="s">
        <v>2358</v>
      </c>
      <c r="C1053" t="s">
        <v>2385</v>
      </c>
      <c r="D1053">
        <v>2249</v>
      </c>
      <c r="E1053" t="str">
        <f t="shared" si="29"/>
        <v>ia.assorted_string like '%2249-10-2022%' or</v>
      </c>
    </row>
    <row r="1054" spans="1:5" x14ac:dyDescent="0.25">
      <c r="A1054" t="s">
        <v>1119</v>
      </c>
      <c r="B1054" t="s">
        <v>2366</v>
      </c>
      <c r="C1054" t="s">
        <v>2385</v>
      </c>
      <c r="D1054">
        <v>12994</v>
      </c>
      <c r="E1054" t="str">
        <f t="shared" si="29"/>
        <v>ia.assorted_string like '%12994-11-2021%' or</v>
      </c>
    </row>
    <row r="1055" spans="1:5" x14ac:dyDescent="0.25">
      <c r="A1055" t="s">
        <v>1120</v>
      </c>
      <c r="B1055" t="s">
        <v>2379</v>
      </c>
      <c r="C1055" t="s">
        <v>2385</v>
      </c>
      <c r="D1055">
        <v>12524</v>
      </c>
      <c r="E1055" t="str">
        <f t="shared" si="29"/>
        <v>ia.assorted_string like '%12524-09-2021%' or</v>
      </c>
    </row>
    <row r="1056" spans="1:5" x14ac:dyDescent="0.25">
      <c r="A1056" t="s">
        <v>1121</v>
      </c>
      <c r="B1056" t="s">
        <v>2366</v>
      </c>
      <c r="C1056" t="s">
        <v>2385</v>
      </c>
      <c r="D1056">
        <v>13000</v>
      </c>
      <c r="E1056" t="str">
        <f t="shared" si="29"/>
        <v>ia.assorted_string like '%13000-11-2021%' or</v>
      </c>
    </row>
    <row r="1057" spans="1:5" x14ac:dyDescent="0.25">
      <c r="A1057" t="s">
        <v>1122</v>
      </c>
      <c r="B1057" t="s">
        <v>2348</v>
      </c>
      <c r="C1057" t="s">
        <v>2385</v>
      </c>
      <c r="D1057">
        <v>2313</v>
      </c>
      <c r="E1057" t="str">
        <f t="shared" si="29"/>
        <v>ia.assorted_string like '%2313-12-2022%' or</v>
      </c>
    </row>
    <row r="1058" spans="1:5" x14ac:dyDescent="0.25">
      <c r="A1058" t="s">
        <v>1123</v>
      </c>
      <c r="B1058" t="s">
        <v>2366</v>
      </c>
      <c r="C1058" t="s">
        <v>2385</v>
      </c>
      <c r="D1058">
        <v>13004</v>
      </c>
      <c r="E1058" t="str">
        <f t="shared" si="29"/>
        <v>ia.assorted_string like '%13004-11-2021%' or</v>
      </c>
    </row>
    <row r="1059" spans="1:5" x14ac:dyDescent="0.25">
      <c r="A1059" t="s">
        <v>1124</v>
      </c>
      <c r="B1059" t="s">
        <v>2350</v>
      </c>
      <c r="C1059" t="s">
        <v>2385</v>
      </c>
      <c r="D1059">
        <v>2455</v>
      </c>
      <c r="E1059" t="str">
        <f t="shared" si="29"/>
        <v>ia.assorted_string like '%2455-01-2023%' or</v>
      </c>
    </row>
    <row r="1060" spans="1:5" x14ac:dyDescent="0.25">
      <c r="A1060" t="s">
        <v>1125</v>
      </c>
      <c r="B1060" t="s">
        <v>2366</v>
      </c>
      <c r="C1060" t="s">
        <v>2385</v>
      </c>
      <c r="D1060">
        <v>13013</v>
      </c>
      <c r="E1060" t="str">
        <f t="shared" si="29"/>
        <v>ia.assorted_string like '%13013-11-2021%' or</v>
      </c>
    </row>
    <row r="1061" spans="1:5" x14ac:dyDescent="0.25">
      <c r="A1061" t="s">
        <v>1126</v>
      </c>
      <c r="B1061" t="s">
        <v>2364</v>
      </c>
      <c r="C1061" t="s">
        <v>2385</v>
      </c>
      <c r="D1061">
        <v>13252</v>
      </c>
      <c r="E1061" t="str">
        <f t="shared" si="29"/>
        <v>ia.assorted_string like '%13252-12-2021%' or</v>
      </c>
    </row>
    <row r="1062" spans="1:5" x14ac:dyDescent="0.25">
      <c r="A1062" t="s">
        <v>1127</v>
      </c>
      <c r="B1062" t="s">
        <v>2348</v>
      </c>
      <c r="C1062" t="s">
        <v>2385</v>
      </c>
      <c r="D1062">
        <v>17080</v>
      </c>
      <c r="E1062" t="str">
        <f t="shared" si="29"/>
        <v>ia.assorted_string like '%17080-12-2022%' or</v>
      </c>
    </row>
    <row r="1063" spans="1:5" x14ac:dyDescent="0.25">
      <c r="A1063" t="s">
        <v>1128</v>
      </c>
      <c r="B1063" t="s">
        <v>2364</v>
      </c>
      <c r="C1063" t="s">
        <v>2385</v>
      </c>
      <c r="D1063">
        <v>13256</v>
      </c>
      <c r="E1063" t="str">
        <f t="shared" si="29"/>
        <v>ia.assorted_string like '%13256-12-2021%' or</v>
      </c>
    </row>
    <row r="1064" spans="1:5" x14ac:dyDescent="0.25">
      <c r="A1064" t="s">
        <v>1129</v>
      </c>
      <c r="B1064" t="s">
        <v>2366</v>
      </c>
      <c r="C1064" t="s">
        <v>2385</v>
      </c>
      <c r="D1064">
        <v>13023</v>
      </c>
      <c r="E1064" t="str">
        <f t="shared" si="29"/>
        <v>ia.assorted_string like '%13023-11-2021%' or</v>
      </c>
    </row>
    <row r="1065" spans="1:5" x14ac:dyDescent="0.25">
      <c r="A1065" t="s">
        <v>1130</v>
      </c>
      <c r="B1065" t="s">
        <v>2344</v>
      </c>
      <c r="C1065" t="s">
        <v>2385</v>
      </c>
      <c r="D1065">
        <v>2989</v>
      </c>
      <c r="E1065" t="str">
        <f t="shared" si="29"/>
        <v>ia.assorted_string like '%2989-07-2023%' or</v>
      </c>
    </row>
    <row r="1066" spans="1:5" x14ac:dyDescent="0.25">
      <c r="A1066" t="s">
        <v>1131</v>
      </c>
      <c r="B1066" t="s">
        <v>2366</v>
      </c>
      <c r="C1066" t="s">
        <v>2385</v>
      </c>
      <c r="D1066">
        <v>13057</v>
      </c>
      <c r="E1066" t="str">
        <f t="shared" si="29"/>
        <v>ia.assorted_string like '%13057-11-2021%' or</v>
      </c>
    </row>
    <row r="1067" spans="1:5" x14ac:dyDescent="0.25">
      <c r="A1067" t="s">
        <v>1132</v>
      </c>
      <c r="B1067" t="s">
        <v>2344</v>
      </c>
      <c r="C1067" t="s">
        <v>2385</v>
      </c>
      <c r="D1067">
        <v>2990</v>
      </c>
      <c r="E1067" t="str">
        <f t="shared" si="29"/>
        <v>ia.assorted_string like '%2990-07-2023%' or</v>
      </c>
    </row>
    <row r="1068" spans="1:5" x14ac:dyDescent="0.25">
      <c r="A1068" t="s">
        <v>1133</v>
      </c>
      <c r="B1068" t="s">
        <v>2380</v>
      </c>
      <c r="C1068" t="s">
        <v>2385</v>
      </c>
      <c r="D1068">
        <v>11992</v>
      </c>
      <c r="E1068" t="str">
        <f t="shared" si="29"/>
        <v>ia.assorted_string like '%11992-07-2021%' or</v>
      </c>
    </row>
    <row r="1069" spans="1:5" x14ac:dyDescent="0.25">
      <c r="A1069" t="s">
        <v>1134</v>
      </c>
      <c r="B1069" t="s">
        <v>2344</v>
      </c>
      <c r="C1069" t="s">
        <v>2385</v>
      </c>
      <c r="D1069">
        <v>2993</v>
      </c>
      <c r="E1069" t="str">
        <f t="shared" si="29"/>
        <v>ia.assorted_string like '%2993-07-2023%' or</v>
      </c>
    </row>
    <row r="1070" spans="1:5" x14ac:dyDescent="0.25">
      <c r="A1070" t="s">
        <v>1135</v>
      </c>
      <c r="B1070" t="s">
        <v>2366</v>
      </c>
      <c r="C1070" t="s">
        <v>2385</v>
      </c>
      <c r="D1070">
        <v>13060</v>
      </c>
      <c r="E1070" t="str">
        <f t="shared" si="29"/>
        <v>ia.assorted_string like '%13060-11-2021%' or</v>
      </c>
    </row>
    <row r="1071" spans="1:5" x14ac:dyDescent="0.25">
      <c r="A1071" t="s">
        <v>1136</v>
      </c>
      <c r="B1071" t="s">
        <v>2344</v>
      </c>
      <c r="C1071" t="s">
        <v>2385</v>
      </c>
      <c r="D1071">
        <v>2998</v>
      </c>
      <c r="E1071" t="str">
        <f t="shared" si="29"/>
        <v>ia.assorted_string like '%2998-07-2023%' or</v>
      </c>
    </row>
    <row r="1072" spans="1:5" x14ac:dyDescent="0.25">
      <c r="A1072" t="s">
        <v>1137</v>
      </c>
      <c r="B1072" t="s">
        <v>2366</v>
      </c>
      <c r="C1072" t="s">
        <v>2385</v>
      </c>
      <c r="D1072">
        <v>13063</v>
      </c>
      <c r="E1072" t="str">
        <f t="shared" si="29"/>
        <v>ia.assorted_string like '%13063-11-2021%' or</v>
      </c>
    </row>
    <row r="1073" spans="1:5" x14ac:dyDescent="0.25">
      <c r="A1073" t="s">
        <v>1138</v>
      </c>
      <c r="B1073" t="s">
        <v>2344</v>
      </c>
      <c r="C1073" t="s">
        <v>2385</v>
      </c>
      <c r="D1073">
        <v>2999</v>
      </c>
      <c r="E1073" t="str">
        <f t="shared" si="29"/>
        <v>ia.assorted_string like '%2999-07-2023%' or</v>
      </c>
    </row>
    <row r="1074" spans="1:5" x14ac:dyDescent="0.25">
      <c r="A1074" t="s">
        <v>1139</v>
      </c>
      <c r="B1074" t="s">
        <v>2350</v>
      </c>
      <c r="C1074" t="s">
        <v>2385</v>
      </c>
      <c r="D1074">
        <v>17397</v>
      </c>
      <c r="E1074" t="str">
        <f t="shared" si="29"/>
        <v>ia.assorted_string like '%17397-01-2023%' or</v>
      </c>
    </row>
    <row r="1075" spans="1:5" x14ac:dyDescent="0.25">
      <c r="A1075" t="s">
        <v>1140</v>
      </c>
      <c r="B1075" t="s">
        <v>2380</v>
      </c>
      <c r="C1075" t="s">
        <v>2385</v>
      </c>
      <c r="D1075">
        <v>1703</v>
      </c>
      <c r="E1075" t="str">
        <f t="shared" si="29"/>
        <v>ia.assorted_string like '%1703-07-2021%' or</v>
      </c>
    </row>
    <row r="1076" spans="1:5" x14ac:dyDescent="0.25">
      <c r="A1076" t="s">
        <v>1141</v>
      </c>
      <c r="B1076" t="s">
        <v>2366</v>
      </c>
      <c r="C1076" t="s">
        <v>2385</v>
      </c>
      <c r="D1076">
        <v>13066</v>
      </c>
      <c r="E1076" t="str">
        <f t="shared" si="29"/>
        <v>ia.assorted_string like '%13066-11-2021%' or</v>
      </c>
    </row>
    <row r="1077" spans="1:5" x14ac:dyDescent="0.25">
      <c r="A1077" t="s">
        <v>1142</v>
      </c>
      <c r="B1077" t="s">
        <v>2374</v>
      </c>
      <c r="C1077" t="s">
        <v>2385</v>
      </c>
      <c r="D1077">
        <v>1741</v>
      </c>
      <c r="E1077" t="str">
        <f t="shared" si="29"/>
        <v>ia.assorted_string like '%1741-08-2021%' or</v>
      </c>
    </row>
    <row r="1078" spans="1:5" x14ac:dyDescent="0.25">
      <c r="A1078" t="s">
        <v>1143</v>
      </c>
      <c r="B1078" t="s">
        <v>2366</v>
      </c>
      <c r="C1078" t="s">
        <v>2385</v>
      </c>
      <c r="D1078">
        <v>13067</v>
      </c>
      <c r="E1078" t="str">
        <f t="shared" si="29"/>
        <v>ia.assorted_string like '%13067-11-2021%' or</v>
      </c>
    </row>
    <row r="1079" spans="1:5" x14ac:dyDescent="0.25">
      <c r="A1079" t="s">
        <v>1144</v>
      </c>
      <c r="B1079" t="s">
        <v>2379</v>
      </c>
      <c r="C1079" t="s">
        <v>2385</v>
      </c>
      <c r="D1079">
        <v>1794</v>
      </c>
      <c r="E1079" t="str">
        <f t="shared" si="29"/>
        <v>ia.assorted_string like '%1794-09-2021%' or</v>
      </c>
    </row>
    <row r="1080" spans="1:5" x14ac:dyDescent="0.25">
      <c r="A1080" t="s">
        <v>1145</v>
      </c>
      <c r="B1080" t="s">
        <v>2336</v>
      </c>
      <c r="C1080" t="s">
        <v>2385</v>
      </c>
      <c r="D1080">
        <v>17935</v>
      </c>
      <c r="E1080" t="str">
        <f t="shared" si="29"/>
        <v>ia.assorted_string like '%17935-03-2023%' or</v>
      </c>
    </row>
    <row r="1081" spans="1:5" x14ac:dyDescent="0.25">
      <c r="A1081" t="s">
        <v>1146</v>
      </c>
      <c r="B1081" t="s">
        <v>2364</v>
      </c>
      <c r="C1081" t="s">
        <v>2385</v>
      </c>
      <c r="D1081">
        <v>1874</v>
      </c>
      <c r="E1081" t="str">
        <f t="shared" si="29"/>
        <v>ia.assorted_string like '%1874-12-2021%' or</v>
      </c>
    </row>
    <row r="1082" spans="1:5" x14ac:dyDescent="0.25">
      <c r="A1082" t="s">
        <v>1147</v>
      </c>
      <c r="B1082" t="s">
        <v>2366</v>
      </c>
      <c r="C1082" t="s">
        <v>2385</v>
      </c>
      <c r="D1082">
        <v>13084</v>
      </c>
      <c r="E1082" t="str">
        <f t="shared" si="29"/>
        <v>ia.assorted_string like '%13084-11-2021%' or</v>
      </c>
    </row>
    <row r="1083" spans="1:5" x14ac:dyDescent="0.25">
      <c r="A1083" t="s">
        <v>1148</v>
      </c>
      <c r="B1083" t="s">
        <v>2364</v>
      </c>
      <c r="C1083" t="s">
        <v>2385</v>
      </c>
      <c r="D1083">
        <v>1881</v>
      </c>
      <c r="E1083" t="str">
        <f t="shared" si="29"/>
        <v>ia.assorted_string like '%1881-12-2021%' or</v>
      </c>
    </row>
    <row r="1084" spans="1:5" x14ac:dyDescent="0.25">
      <c r="A1084" t="s">
        <v>1149</v>
      </c>
      <c r="B1084" t="s">
        <v>2379</v>
      </c>
      <c r="C1084" t="s">
        <v>2385</v>
      </c>
      <c r="D1084">
        <v>12481</v>
      </c>
      <c r="E1084" t="str">
        <f t="shared" si="29"/>
        <v>ia.assorted_string like '%12481-09-2021%' or</v>
      </c>
    </row>
    <row r="1085" spans="1:5" x14ac:dyDescent="0.25">
      <c r="A1085" t="s">
        <v>1150</v>
      </c>
      <c r="B1085" t="s">
        <v>2364</v>
      </c>
      <c r="C1085" t="s">
        <v>2385</v>
      </c>
      <c r="D1085">
        <v>1882</v>
      </c>
      <c r="E1085" t="str">
        <f t="shared" si="29"/>
        <v>ia.assorted_string like '%1882-12-2021%' or</v>
      </c>
    </row>
    <row r="1086" spans="1:5" x14ac:dyDescent="0.25">
      <c r="A1086" t="s">
        <v>1151</v>
      </c>
      <c r="B1086" t="s">
        <v>2366</v>
      </c>
      <c r="C1086" t="s">
        <v>2385</v>
      </c>
      <c r="D1086">
        <v>13094</v>
      </c>
      <c r="E1086" t="str">
        <f t="shared" ref="E1086:E1149" si="30">"ia.assorted_string like '%"&amp;D1086&amp;B1086&amp;"%' or"</f>
        <v>ia.assorted_string like '%13094-11-2021%' or</v>
      </c>
    </row>
    <row r="1087" spans="1:5" x14ac:dyDescent="0.25">
      <c r="A1087" t="s">
        <v>1152</v>
      </c>
      <c r="B1087" t="s">
        <v>2364</v>
      </c>
      <c r="C1087" t="s">
        <v>2385</v>
      </c>
      <c r="D1087">
        <v>1884</v>
      </c>
      <c r="E1087" t="str">
        <f t="shared" si="30"/>
        <v>ia.assorted_string like '%1884-12-2021%' or</v>
      </c>
    </row>
    <row r="1088" spans="1:5" x14ac:dyDescent="0.25">
      <c r="A1088" t="s">
        <v>1153</v>
      </c>
      <c r="B1088" t="s">
        <v>2366</v>
      </c>
      <c r="C1088" t="s">
        <v>2385</v>
      </c>
      <c r="D1088">
        <v>13098</v>
      </c>
      <c r="E1088" t="str">
        <f t="shared" si="30"/>
        <v>ia.assorted_string like '%13098-11-2021%' or</v>
      </c>
    </row>
    <row r="1089" spans="1:5" x14ac:dyDescent="0.25">
      <c r="A1089" t="s">
        <v>1154</v>
      </c>
      <c r="B1089" t="s">
        <v>2364</v>
      </c>
      <c r="C1089" t="s">
        <v>2385</v>
      </c>
      <c r="D1089">
        <v>1885</v>
      </c>
      <c r="E1089" t="str">
        <f t="shared" si="30"/>
        <v>ia.assorted_string like '%1885-12-2021%' or</v>
      </c>
    </row>
    <row r="1090" spans="1:5" x14ac:dyDescent="0.25">
      <c r="A1090" t="s">
        <v>1155</v>
      </c>
      <c r="B1090" t="s">
        <v>2366</v>
      </c>
      <c r="C1090" t="s">
        <v>2385</v>
      </c>
      <c r="D1090">
        <v>13110</v>
      </c>
      <c r="E1090" t="str">
        <f t="shared" si="30"/>
        <v>ia.assorted_string like '%13110-11-2021%' or</v>
      </c>
    </row>
    <row r="1091" spans="1:5" x14ac:dyDescent="0.25">
      <c r="A1091" t="s">
        <v>1156</v>
      </c>
      <c r="B1091" t="s">
        <v>2364</v>
      </c>
      <c r="C1091" t="s">
        <v>2385</v>
      </c>
      <c r="D1091">
        <v>1889</v>
      </c>
      <c r="E1091" t="str">
        <f t="shared" si="30"/>
        <v>ia.assorted_string like '%1889-12-2021%' or</v>
      </c>
    </row>
    <row r="1092" spans="1:5" x14ac:dyDescent="0.25">
      <c r="A1092" t="s">
        <v>1157</v>
      </c>
      <c r="B1092" t="s">
        <v>2379</v>
      </c>
      <c r="C1092" t="s">
        <v>2385</v>
      </c>
      <c r="D1092">
        <v>12522</v>
      </c>
      <c r="E1092" t="str">
        <f t="shared" si="30"/>
        <v>ia.assorted_string like '%12522-09-2021%' or</v>
      </c>
    </row>
    <row r="1093" spans="1:5" x14ac:dyDescent="0.25">
      <c r="A1093" t="s">
        <v>1158</v>
      </c>
      <c r="B1093" t="s">
        <v>2364</v>
      </c>
      <c r="C1093" t="s">
        <v>2385</v>
      </c>
      <c r="D1093">
        <v>1902</v>
      </c>
      <c r="E1093" t="str">
        <f t="shared" si="30"/>
        <v>ia.assorted_string like '%1902-12-2021%' or</v>
      </c>
    </row>
    <row r="1094" spans="1:5" x14ac:dyDescent="0.25">
      <c r="A1094" t="s">
        <v>1159</v>
      </c>
      <c r="B1094" t="s">
        <v>2366</v>
      </c>
      <c r="C1094" t="s">
        <v>2385</v>
      </c>
      <c r="D1094">
        <v>13113</v>
      </c>
      <c r="E1094" t="str">
        <f t="shared" si="30"/>
        <v>ia.assorted_string like '%13113-11-2021%' or</v>
      </c>
    </row>
    <row r="1095" spans="1:5" x14ac:dyDescent="0.25">
      <c r="A1095" t="s">
        <v>1160</v>
      </c>
      <c r="B1095" t="s">
        <v>2364</v>
      </c>
      <c r="C1095" t="s">
        <v>2385</v>
      </c>
      <c r="D1095">
        <v>1925</v>
      </c>
      <c r="E1095" t="str">
        <f t="shared" si="30"/>
        <v>ia.assorted_string like '%1925-12-2021%' or</v>
      </c>
    </row>
    <row r="1096" spans="1:5" x14ac:dyDescent="0.25">
      <c r="A1096" t="s">
        <v>1161</v>
      </c>
      <c r="B1096" t="s">
        <v>2366</v>
      </c>
      <c r="C1096" t="s">
        <v>2385</v>
      </c>
      <c r="D1096">
        <v>13115</v>
      </c>
      <c r="E1096" t="str">
        <f t="shared" si="30"/>
        <v>ia.assorted_string like '%13115-11-2021%' or</v>
      </c>
    </row>
    <row r="1097" spans="1:5" x14ac:dyDescent="0.25">
      <c r="A1097" t="s">
        <v>1162</v>
      </c>
      <c r="B1097" t="s">
        <v>2344</v>
      </c>
      <c r="C1097" t="s">
        <v>2385</v>
      </c>
      <c r="D1097">
        <v>2984</v>
      </c>
      <c r="E1097" t="str">
        <f t="shared" si="30"/>
        <v>ia.assorted_string like '%2984-07-2023%' or</v>
      </c>
    </row>
    <row r="1098" spans="1:5" x14ac:dyDescent="0.25">
      <c r="A1098" t="s">
        <v>1163</v>
      </c>
      <c r="B1098" t="s">
        <v>2366</v>
      </c>
      <c r="C1098" t="s">
        <v>2385</v>
      </c>
      <c r="D1098">
        <v>13118</v>
      </c>
      <c r="E1098" t="str">
        <f t="shared" si="30"/>
        <v>ia.assorted_string like '%13118-11-2021%' or</v>
      </c>
    </row>
    <row r="1099" spans="1:5" x14ac:dyDescent="0.25">
      <c r="A1099" t="s">
        <v>1164</v>
      </c>
      <c r="B1099" t="s">
        <v>2344</v>
      </c>
      <c r="C1099" t="s">
        <v>2385</v>
      </c>
      <c r="D1099">
        <v>2985</v>
      </c>
      <c r="E1099" t="str">
        <f t="shared" si="30"/>
        <v>ia.assorted_string like '%2985-07-2023%' or</v>
      </c>
    </row>
    <row r="1100" spans="1:5" x14ac:dyDescent="0.25">
      <c r="A1100" t="s">
        <v>1165</v>
      </c>
      <c r="B1100" t="s">
        <v>2366</v>
      </c>
      <c r="C1100" t="s">
        <v>2385</v>
      </c>
      <c r="D1100">
        <v>13124</v>
      </c>
      <c r="E1100" t="str">
        <f t="shared" si="30"/>
        <v>ia.assorted_string like '%13124-11-2021%' or</v>
      </c>
    </row>
    <row r="1101" spans="1:5" x14ac:dyDescent="0.25">
      <c r="A1101" t="s">
        <v>1166</v>
      </c>
      <c r="B1101" t="s">
        <v>2344</v>
      </c>
      <c r="C1101" t="s">
        <v>2385</v>
      </c>
      <c r="D1101">
        <v>2986</v>
      </c>
      <c r="E1101" t="str">
        <f t="shared" si="30"/>
        <v>ia.assorted_string like '%2986-07-2023%' or</v>
      </c>
    </row>
    <row r="1102" spans="1:5" x14ac:dyDescent="0.25">
      <c r="A1102" t="s">
        <v>1167</v>
      </c>
      <c r="B1102" t="s">
        <v>2364</v>
      </c>
      <c r="C1102" t="s">
        <v>2385</v>
      </c>
      <c r="D1102">
        <v>13195</v>
      </c>
      <c r="E1102" t="str">
        <f t="shared" si="30"/>
        <v>ia.assorted_string like '%13195-12-2021%' or</v>
      </c>
    </row>
    <row r="1103" spans="1:5" x14ac:dyDescent="0.25">
      <c r="A1103" t="s">
        <v>1168</v>
      </c>
      <c r="B1103" t="s">
        <v>2344</v>
      </c>
      <c r="C1103" t="s">
        <v>2385</v>
      </c>
      <c r="D1103">
        <v>2988</v>
      </c>
      <c r="E1103" t="str">
        <f t="shared" si="30"/>
        <v>ia.assorted_string like '%2988-07-2023%' or</v>
      </c>
    </row>
    <row r="1104" spans="1:5" x14ac:dyDescent="0.25">
      <c r="A1104" t="s">
        <v>1169</v>
      </c>
      <c r="B1104" t="s">
        <v>2338</v>
      </c>
      <c r="C1104" t="s">
        <v>2385</v>
      </c>
      <c r="D1104">
        <v>18524</v>
      </c>
      <c r="E1104" t="str">
        <f t="shared" si="30"/>
        <v>ia.assorted_string like '%18524-05-2023%' or</v>
      </c>
    </row>
    <row r="1105" spans="1:5" x14ac:dyDescent="0.25">
      <c r="A1105" t="s">
        <v>1170</v>
      </c>
      <c r="B1105" t="s">
        <v>2344</v>
      </c>
      <c r="C1105" t="s">
        <v>2385</v>
      </c>
      <c r="D1105">
        <v>2992</v>
      </c>
      <c r="E1105" t="str">
        <f t="shared" si="30"/>
        <v>ia.assorted_string like '%2992-07-2023%' or</v>
      </c>
    </row>
    <row r="1106" spans="1:5" x14ac:dyDescent="0.25">
      <c r="A1106" t="s">
        <v>1171</v>
      </c>
      <c r="B1106" t="s">
        <v>2364</v>
      </c>
      <c r="C1106" t="s">
        <v>2385</v>
      </c>
      <c r="D1106">
        <v>13212</v>
      </c>
      <c r="E1106" t="str">
        <f t="shared" si="30"/>
        <v>ia.assorted_string like '%13212-12-2021%' or</v>
      </c>
    </row>
    <row r="1107" spans="1:5" x14ac:dyDescent="0.25">
      <c r="A1107" t="s">
        <v>1172</v>
      </c>
      <c r="B1107" t="s">
        <v>2374</v>
      </c>
      <c r="C1107" t="s">
        <v>2385</v>
      </c>
      <c r="D1107">
        <v>1716</v>
      </c>
      <c r="E1107" t="str">
        <f t="shared" si="30"/>
        <v>ia.assorted_string like '%1716-08-2021%' or</v>
      </c>
    </row>
    <row r="1108" spans="1:5" x14ac:dyDescent="0.25">
      <c r="A1108" t="s">
        <v>1173</v>
      </c>
      <c r="B1108" t="s">
        <v>2345</v>
      </c>
      <c r="C1108" t="s">
        <v>2385</v>
      </c>
      <c r="D1108">
        <v>18831</v>
      </c>
      <c r="E1108" t="str">
        <f t="shared" si="30"/>
        <v>ia.assorted_string like '%18831-06-2023%' or</v>
      </c>
    </row>
    <row r="1109" spans="1:5" x14ac:dyDescent="0.25">
      <c r="A1109" t="s">
        <v>1174</v>
      </c>
      <c r="B1109" t="s">
        <v>2364</v>
      </c>
      <c r="C1109" t="s">
        <v>2385</v>
      </c>
      <c r="D1109">
        <v>1871</v>
      </c>
      <c r="E1109" t="str">
        <f t="shared" si="30"/>
        <v>ia.assorted_string like '%1871-12-2021%' or</v>
      </c>
    </row>
    <row r="1110" spans="1:5" x14ac:dyDescent="0.25">
      <c r="A1110" t="s">
        <v>1175</v>
      </c>
      <c r="B1110" t="s">
        <v>2345</v>
      </c>
      <c r="C1110" t="s">
        <v>2385</v>
      </c>
      <c r="D1110">
        <v>19019</v>
      </c>
      <c r="E1110" t="str">
        <f t="shared" si="30"/>
        <v>ia.assorted_string like '%19019-06-2023%' or</v>
      </c>
    </row>
    <row r="1111" spans="1:5" x14ac:dyDescent="0.25">
      <c r="A1111" t="s">
        <v>1176</v>
      </c>
      <c r="B1111" t="s">
        <v>2360</v>
      </c>
      <c r="C1111" t="s">
        <v>2385</v>
      </c>
      <c r="D1111">
        <v>2216</v>
      </c>
      <c r="E1111" t="str">
        <f t="shared" si="30"/>
        <v>ia.assorted_string like '%2216-09-2022%' or</v>
      </c>
    </row>
    <row r="1112" spans="1:5" x14ac:dyDescent="0.25">
      <c r="A1112" t="s">
        <v>1177</v>
      </c>
      <c r="B1112" t="s">
        <v>2354</v>
      </c>
      <c r="C1112" t="s">
        <v>2385</v>
      </c>
      <c r="D1112">
        <v>19480</v>
      </c>
      <c r="E1112" t="str">
        <f t="shared" si="30"/>
        <v>ia.assorted_string like '%19480-08-2023%' or</v>
      </c>
    </row>
    <row r="1113" spans="1:5" x14ac:dyDescent="0.25">
      <c r="A1113" t="s">
        <v>1178</v>
      </c>
      <c r="B1113" t="s">
        <v>2364</v>
      </c>
      <c r="C1113" t="s">
        <v>2385</v>
      </c>
      <c r="D1113">
        <v>13561</v>
      </c>
      <c r="E1113" t="str">
        <f t="shared" si="30"/>
        <v>ia.assorted_string like '%13561-12-2021%' or</v>
      </c>
    </row>
    <row r="1114" spans="1:5" x14ac:dyDescent="0.25">
      <c r="A1114" t="s">
        <v>1179</v>
      </c>
      <c r="B1114" t="s">
        <v>2354</v>
      </c>
      <c r="C1114" t="s">
        <v>2385</v>
      </c>
      <c r="D1114">
        <v>19484</v>
      </c>
      <c r="E1114" t="str">
        <f t="shared" si="30"/>
        <v>ia.assorted_string like '%19484-08-2023%' or</v>
      </c>
    </row>
    <row r="1115" spans="1:5" x14ac:dyDescent="0.25">
      <c r="A1115" t="s">
        <v>1180</v>
      </c>
      <c r="B1115" t="s">
        <v>2350</v>
      </c>
      <c r="C1115" t="s">
        <v>2385</v>
      </c>
      <c r="D1115">
        <v>2454</v>
      </c>
      <c r="E1115" t="str">
        <f t="shared" si="30"/>
        <v>ia.assorted_string like '%2454-01-2023%' or</v>
      </c>
    </row>
    <row r="1116" spans="1:5" x14ac:dyDescent="0.25">
      <c r="A1116" t="s">
        <v>1181</v>
      </c>
      <c r="B1116" t="s">
        <v>2354</v>
      </c>
      <c r="C1116" t="s">
        <v>2385</v>
      </c>
      <c r="D1116">
        <v>19488</v>
      </c>
      <c r="E1116" t="str">
        <f t="shared" si="30"/>
        <v>ia.assorted_string like '%19488-08-2023%' or</v>
      </c>
    </row>
    <row r="1117" spans="1:5" x14ac:dyDescent="0.25">
      <c r="A1117" t="s">
        <v>1182</v>
      </c>
      <c r="B1117" t="s">
        <v>2364</v>
      </c>
      <c r="C1117" t="s">
        <v>2385</v>
      </c>
      <c r="D1117">
        <v>13565</v>
      </c>
      <c r="E1117" t="str">
        <f t="shared" si="30"/>
        <v>ia.assorted_string like '%13565-12-2021%' or</v>
      </c>
    </row>
    <row r="1118" spans="1:5" x14ac:dyDescent="0.25">
      <c r="A1118" t="s">
        <v>1183</v>
      </c>
      <c r="B1118" t="s">
        <v>2354</v>
      </c>
      <c r="C1118" t="s">
        <v>2385</v>
      </c>
      <c r="D1118">
        <v>19491</v>
      </c>
      <c r="E1118" t="str">
        <f t="shared" si="30"/>
        <v>ia.assorted_string like '%19491-08-2023%' or</v>
      </c>
    </row>
    <row r="1119" spans="1:5" x14ac:dyDescent="0.25">
      <c r="A1119" t="s">
        <v>1184</v>
      </c>
      <c r="B1119" t="s">
        <v>2379</v>
      </c>
      <c r="C1119" t="s">
        <v>2385</v>
      </c>
      <c r="D1119">
        <v>12430</v>
      </c>
      <c r="E1119" t="str">
        <f t="shared" si="30"/>
        <v>ia.assorted_string like '%12430-09-2021%' or</v>
      </c>
    </row>
    <row r="1120" spans="1:5" x14ac:dyDescent="0.25">
      <c r="A1120" t="s">
        <v>1185</v>
      </c>
      <c r="B1120" t="s">
        <v>2354</v>
      </c>
      <c r="C1120" t="s">
        <v>2385</v>
      </c>
      <c r="D1120">
        <v>19511</v>
      </c>
      <c r="E1120" t="str">
        <f t="shared" si="30"/>
        <v>ia.assorted_string like '%19511-08-2023%' or</v>
      </c>
    </row>
    <row r="1121" spans="1:5" x14ac:dyDescent="0.25">
      <c r="A1121" t="s">
        <v>1186</v>
      </c>
      <c r="B1121" t="s">
        <v>2343</v>
      </c>
      <c r="C1121" t="s">
        <v>2385</v>
      </c>
      <c r="D1121">
        <v>4463</v>
      </c>
      <c r="E1121" t="str">
        <f t="shared" si="30"/>
        <v>ia.assorted_string like '%4463-06-2024%' or</v>
      </c>
    </row>
    <row r="1122" spans="1:5" x14ac:dyDescent="0.25">
      <c r="A1122" t="s">
        <v>1187</v>
      </c>
      <c r="B1122" t="s">
        <v>2354</v>
      </c>
      <c r="C1122" t="s">
        <v>2385</v>
      </c>
      <c r="D1122">
        <v>19628</v>
      </c>
      <c r="E1122" t="str">
        <f t="shared" si="30"/>
        <v>ia.assorted_string like '%19628-08-2023%' or</v>
      </c>
    </row>
    <row r="1123" spans="1:5" x14ac:dyDescent="0.25">
      <c r="A1123" t="s">
        <v>1188</v>
      </c>
      <c r="B1123" t="s">
        <v>2349</v>
      </c>
      <c r="C1123" t="s">
        <v>2385</v>
      </c>
      <c r="D1123">
        <v>13622</v>
      </c>
      <c r="E1123" t="str">
        <f t="shared" si="30"/>
        <v>ia.assorted_string like '%13622-01-2022%' or</v>
      </c>
    </row>
    <row r="1124" spans="1:5" x14ac:dyDescent="0.25">
      <c r="A1124" t="s">
        <v>1189</v>
      </c>
      <c r="B1124" t="s">
        <v>2354</v>
      </c>
      <c r="C1124" t="s">
        <v>2385</v>
      </c>
      <c r="D1124">
        <v>19631</v>
      </c>
      <c r="E1124" t="str">
        <f t="shared" si="30"/>
        <v>ia.assorted_string like '%19631-08-2023%' or</v>
      </c>
    </row>
    <row r="1125" spans="1:5" x14ac:dyDescent="0.25">
      <c r="A1125" t="s">
        <v>1190</v>
      </c>
      <c r="B1125" t="s">
        <v>2364</v>
      </c>
      <c r="C1125" t="s">
        <v>2385</v>
      </c>
      <c r="D1125">
        <v>35566</v>
      </c>
      <c r="E1125" t="str">
        <f t="shared" si="30"/>
        <v>ia.assorted_string like '%35566-12-2021%' or</v>
      </c>
    </row>
    <row r="1126" spans="1:5" x14ac:dyDescent="0.25">
      <c r="A1126" t="s">
        <v>1191</v>
      </c>
      <c r="B1126" t="s">
        <v>2340</v>
      </c>
      <c r="C1126" t="s">
        <v>2385</v>
      </c>
      <c r="D1126">
        <v>20157</v>
      </c>
      <c r="E1126" t="str">
        <f t="shared" si="30"/>
        <v>ia.assorted_string like '%20157-09-2023%' or</v>
      </c>
    </row>
    <row r="1127" spans="1:5" x14ac:dyDescent="0.25">
      <c r="A1127" t="s">
        <v>1192</v>
      </c>
      <c r="B1127" t="s">
        <v>2364</v>
      </c>
      <c r="C1127" t="s">
        <v>2385</v>
      </c>
      <c r="D1127">
        <v>35654</v>
      </c>
      <c r="E1127" t="str">
        <f t="shared" si="30"/>
        <v>ia.assorted_string like '%35654-12-2021%' or</v>
      </c>
    </row>
    <row r="1128" spans="1:5" x14ac:dyDescent="0.25">
      <c r="A1128" t="s">
        <v>1193</v>
      </c>
      <c r="B1128" t="s">
        <v>2367</v>
      </c>
      <c r="C1128" t="s">
        <v>2385</v>
      </c>
      <c r="D1128">
        <v>20316</v>
      </c>
      <c r="E1128" t="str">
        <f t="shared" si="30"/>
        <v>ia.assorted_string like '%20316-10-2023%' or</v>
      </c>
    </row>
    <row r="1129" spans="1:5" x14ac:dyDescent="0.25">
      <c r="A1129" t="s">
        <v>1194</v>
      </c>
      <c r="B1129" t="s">
        <v>2364</v>
      </c>
      <c r="C1129" t="s">
        <v>2385</v>
      </c>
      <c r="D1129">
        <v>35655</v>
      </c>
      <c r="E1129" t="str">
        <f t="shared" si="30"/>
        <v>ia.assorted_string like '%35655-12-2021%' or</v>
      </c>
    </row>
    <row r="1130" spans="1:5" x14ac:dyDescent="0.25">
      <c r="A1130" t="s">
        <v>1195</v>
      </c>
      <c r="B1130" t="s">
        <v>2367</v>
      </c>
      <c r="C1130" t="s">
        <v>2385</v>
      </c>
      <c r="D1130">
        <v>20342</v>
      </c>
      <c r="E1130" t="str">
        <f t="shared" si="30"/>
        <v>ia.assorted_string like '%20342-10-2023%' or</v>
      </c>
    </row>
    <row r="1131" spans="1:5" x14ac:dyDescent="0.25">
      <c r="A1131" t="s">
        <v>1196</v>
      </c>
      <c r="B1131" t="s">
        <v>2362</v>
      </c>
      <c r="C1131" t="s">
        <v>2385</v>
      </c>
      <c r="D1131">
        <v>36128</v>
      </c>
      <c r="E1131" t="str">
        <f t="shared" si="30"/>
        <v>ia.assorted_string like '%36128-02-2022%' or</v>
      </c>
    </row>
    <row r="1132" spans="1:5" x14ac:dyDescent="0.25">
      <c r="A1132" t="s">
        <v>1197</v>
      </c>
      <c r="B1132" t="s">
        <v>2367</v>
      </c>
      <c r="C1132" t="s">
        <v>2385</v>
      </c>
      <c r="D1132">
        <v>20383</v>
      </c>
      <c r="E1132" t="str">
        <f t="shared" si="30"/>
        <v>ia.assorted_string like '%20383-10-2023%' or</v>
      </c>
    </row>
    <row r="1133" spans="1:5" x14ac:dyDescent="0.25">
      <c r="A1133" t="s">
        <v>1198</v>
      </c>
      <c r="B1133" t="s">
        <v>2357</v>
      </c>
      <c r="C1133" t="s">
        <v>2385</v>
      </c>
      <c r="D1133">
        <v>36772</v>
      </c>
      <c r="E1133" t="str">
        <f t="shared" si="30"/>
        <v>ia.assorted_string like '%36772-06-2022%' or</v>
      </c>
    </row>
    <row r="1134" spans="1:5" x14ac:dyDescent="0.25">
      <c r="A1134" t="s">
        <v>1199</v>
      </c>
      <c r="B1134" t="s">
        <v>2376</v>
      </c>
      <c r="C1134" t="s">
        <v>2385</v>
      </c>
      <c r="D1134">
        <v>20618</v>
      </c>
      <c r="E1134" t="str">
        <f t="shared" si="30"/>
        <v>ia.assorted_string like '%20618-11-2023%' or</v>
      </c>
    </row>
    <row r="1135" spans="1:5" x14ac:dyDescent="0.25">
      <c r="A1135" t="s">
        <v>1200</v>
      </c>
      <c r="B1135" t="s">
        <v>2357</v>
      </c>
      <c r="C1135" t="s">
        <v>2385</v>
      </c>
      <c r="D1135">
        <v>36773</v>
      </c>
      <c r="E1135" t="str">
        <f t="shared" si="30"/>
        <v>ia.assorted_string like '%36773-06-2022%' or</v>
      </c>
    </row>
    <row r="1136" spans="1:5" x14ac:dyDescent="0.25">
      <c r="A1136" t="s">
        <v>1201</v>
      </c>
      <c r="B1136" t="s">
        <v>2335</v>
      </c>
      <c r="C1136" t="s">
        <v>2385</v>
      </c>
      <c r="D1136">
        <v>15151</v>
      </c>
      <c r="E1136" t="str">
        <f t="shared" si="30"/>
        <v>ia.assorted_string like '%15151-07-2022%' or</v>
      </c>
    </row>
    <row r="1137" spans="1:5" x14ac:dyDescent="0.25">
      <c r="A1137" t="s">
        <v>1202</v>
      </c>
      <c r="B1137" t="s">
        <v>2357</v>
      </c>
      <c r="C1137" t="s">
        <v>2385</v>
      </c>
      <c r="D1137">
        <v>37052</v>
      </c>
      <c r="E1137" t="str">
        <f t="shared" si="30"/>
        <v>ia.assorted_string like '%37052-06-2022%' or</v>
      </c>
    </row>
    <row r="1138" spans="1:5" x14ac:dyDescent="0.25">
      <c r="A1138" t="s">
        <v>1203</v>
      </c>
      <c r="B1138" t="s">
        <v>2351</v>
      </c>
      <c r="C1138" t="s">
        <v>2385</v>
      </c>
      <c r="D1138">
        <v>15209</v>
      </c>
      <c r="E1138" t="str">
        <f t="shared" si="30"/>
        <v>ia.assorted_string like '%15209-08-2022%' or</v>
      </c>
    </row>
    <row r="1139" spans="1:5" x14ac:dyDescent="0.25">
      <c r="A1139" t="s">
        <v>1204</v>
      </c>
      <c r="B1139" t="s">
        <v>2351</v>
      </c>
      <c r="C1139" t="s">
        <v>2385</v>
      </c>
      <c r="D1139">
        <v>37275</v>
      </c>
      <c r="E1139" t="str">
        <f t="shared" si="30"/>
        <v>ia.assorted_string like '%37275-08-2022%' or</v>
      </c>
    </row>
    <row r="1140" spans="1:5" x14ac:dyDescent="0.25">
      <c r="A1140" t="s">
        <v>1205</v>
      </c>
      <c r="B1140" t="s">
        <v>2351</v>
      </c>
      <c r="C1140" t="s">
        <v>2385</v>
      </c>
      <c r="D1140">
        <v>15284</v>
      </c>
      <c r="E1140" t="str">
        <f t="shared" si="30"/>
        <v>ia.assorted_string like '%15284-08-2022%' or</v>
      </c>
    </row>
    <row r="1141" spans="1:5" x14ac:dyDescent="0.25">
      <c r="A1141" t="s">
        <v>1206</v>
      </c>
      <c r="B1141" t="s">
        <v>2360</v>
      </c>
      <c r="C1141" t="s">
        <v>2385</v>
      </c>
      <c r="D1141">
        <v>37461</v>
      </c>
      <c r="E1141" t="str">
        <f t="shared" si="30"/>
        <v>ia.assorted_string like '%37461-09-2022%' or</v>
      </c>
    </row>
    <row r="1142" spans="1:5" x14ac:dyDescent="0.25">
      <c r="A1142" t="s">
        <v>1207</v>
      </c>
      <c r="B1142" t="s">
        <v>2351</v>
      </c>
      <c r="C1142" t="s">
        <v>2385</v>
      </c>
      <c r="D1142">
        <v>15323</v>
      </c>
      <c r="E1142" t="str">
        <f t="shared" si="30"/>
        <v>ia.assorted_string like '%15323-08-2022%' or</v>
      </c>
    </row>
    <row r="1143" spans="1:5" x14ac:dyDescent="0.25">
      <c r="A1143" t="s">
        <v>1208</v>
      </c>
      <c r="B1143" t="s">
        <v>2360</v>
      </c>
      <c r="C1143" t="s">
        <v>2385</v>
      </c>
      <c r="D1143">
        <v>37480</v>
      </c>
      <c r="E1143" t="str">
        <f t="shared" si="30"/>
        <v>ia.assorted_string like '%37480-09-2022%' or</v>
      </c>
    </row>
    <row r="1144" spans="1:5" x14ac:dyDescent="0.25">
      <c r="A1144" t="s">
        <v>1209</v>
      </c>
      <c r="B1144" t="s">
        <v>2351</v>
      </c>
      <c r="C1144" t="s">
        <v>2385</v>
      </c>
      <c r="D1144">
        <v>15377</v>
      </c>
      <c r="E1144" t="str">
        <f t="shared" si="30"/>
        <v>ia.assorted_string like '%15377-08-2022%' or</v>
      </c>
    </row>
    <row r="1145" spans="1:5" x14ac:dyDescent="0.25">
      <c r="A1145" t="s">
        <v>1210</v>
      </c>
      <c r="B1145" t="s">
        <v>2360</v>
      </c>
      <c r="C1145" t="s">
        <v>2385</v>
      </c>
      <c r="D1145">
        <v>37481</v>
      </c>
      <c r="E1145" t="str">
        <f t="shared" si="30"/>
        <v>ia.assorted_string like '%37481-09-2022%' or</v>
      </c>
    </row>
    <row r="1146" spans="1:5" x14ac:dyDescent="0.25">
      <c r="A1146" t="s">
        <v>1211</v>
      </c>
      <c r="B1146" t="s">
        <v>2352</v>
      </c>
      <c r="C1146" t="s">
        <v>2385</v>
      </c>
      <c r="D1146">
        <v>12619</v>
      </c>
      <c r="E1146" t="str">
        <f t="shared" si="30"/>
        <v>ia.assorted_string like '%12619-10-2021%' or</v>
      </c>
    </row>
    <row r="1147" spans="1:5" x14ac:dyDescent="0.25">
      <c r="A1147" t="s">
        <v>1212</v>
      </c>
      <c r="B1147" t="s">
        <v>2360</v>
      </c>
      <c r="C1147" t="s">
        <v>2385</v>
      </c>
      <c r="D1147">
        <v>37521</v>
      </c>
      <c r="E1147" t="str">
        <f t="shared" si="30"/>
        <v>ia.assorted_string like '%37521-09-2022%' or</v>
      </c>
    </row>
    <row r="1148" spans="1:5" x14ac:dyDescent="0.25">
      <c r="A1148" t="s">
        <v>1213</v>
      </c>
      <c r="B1148" t="s">
        <v>2352</v>
      </c>
      <c r="C1148" t="s">
        <v>2385</v>
      </c>
      <c r="D1148">
        <v>12634</v>
      </c>
      <c r="E1148" t="str">
        <f t="shared" si="30"/>
        <v>ia.assorted_string like '%12634-10-2021%' or</v>
      </c>
    </row>
    <row r="1149" spans="1:5" x14ac:dyDescent="0.25">
      <c r="A1149" t="s">
        <v>1214</v>
      </c>
      <c r="B1149" t="s">
        <v>2360</v>
      </c>
      <c r="C1149" t="s">
        <v>2385</v>
      </c>
      <c r="D1149">
        <v>37525</v>
      </c>
      <c r="E1149" t="str">
        <f t="shared" si="30"/>
        <v>ia.assorted_string like '%37525-09-2022%' or</v>
      </c>
    </row>
    <row r="1150" spans="1:5" x14ac:dyDescent="0.25">
      <c r="A1150" t="s">
        <v>1215</v>
      </c>
      <c r="B1150" t="s">
        <v>2360</v>
      </c>
      <c r="C1150" t="s">
        <v>2385</v>
      </c>
      <c r="D1150">
        <v>15960</v>
      </c>
      <c r="E1150" t="str">
        <f t="shared" ref="E1150:E1213" si="31">"ia.assorted_string like '%"&amp;D1150&amp;B1150&amp;"%' or"</f>
        <v>ia.assorted_string like '%15960-09-2022%' or</v>
      </c>
    </row>
    <row r="1151" spans="1:5" x14ac:dyDescent="0.25">
      <c r="A1151" t="s">
        <v>1216</v>
      </c>
      <c r="B1151" t="s">
        <v>2349</v>
      </c>
      <c r="C1151" t="s">
        <v>2385</v>
      </c>
      <c r="D1151">
        <v>13623</v>
      </c>
      <c r="E1151" t="str">
        <f t="shared" si="31"/>
        <v>ia.assorted_string like '%13623-01-2022%' or</v>
      </c>
    </row>
    <row r="1152" spans="1:5" x14ac:dyDescent="0.25">
      <c r="A1152" t="s">
        <v>1217</v>
      </c>
      <c r="B1152" t="s">
        <v>2360</v>
      </c>
      <c r="C1152" t="s">
        <v>2385</v>
      </c>
      <c r="D1152">
        <v>16135</v>
      </c>
      <c r="E1152" t="str">
        <f t="shared" si="31"/>
        <v>ia.assorted_string like '%16135-09-2022%' or</v>
      </c>
    </row>
    <row r="1153" spans="1:5" x14ac:dyDescent="0.25">
      <c r="A1153" t="s">
        <v>1218</v>
      </c>
      <c r="B1153" t="s">
        <v>2379</v>
      </c>
      <c r="C1153" t="s">
        <v>2385</v>
      </c>
      <c r="D1153">
        <v>12455</v>
      </c>
      <c r="E1153" t="str">
        <f t="shared" si="31"/>
        <v>ia.assorted_string like '%12455-09-2021%' or</v>
      </c>
    </row>
    <row r="1154" spans="1:5" x14ac:dyDescent="0.25">
      <c r="A1154" t="s">
        <v>1219</v>
      </c>
      <c r="B1154" t="s">
        <v>2360</v>
      </c>
      <c r="C1154" t="s">
        <v>2385</v>
      </c>
      <c r="D1154">
        <v>16182</v>
      </c>
      <c r="E1154" t="str">
        <f t="shared" si="31"/>
        <v>ia.assorted_string like '%16182-09-2022%' or</v>
      </c>
    </row>
    <row r="1155" spans="1:5" x14ac:dyDescent="0.25">
      <c r="A1155" t="s">
        <v>1220</v>
      </c>
      <c r="B1155" t="s">
        <v>2349</v>
      </c>
      <c r="C1155" t="s">
        <v>2385</v>
      </c>
      <c r="D1155">
        <v>13632</v>
      </c>
      <c r="E1155" t="str">
        <f t="shared" si="31"/>
        <v>ia.assorted_string like '%13632-01-2022%' or</v>
      </c>
    </row>
    <row r="1156" spans="1:5" x14ac:dyDescent="0.25">
      <c r="A1156" t="s">
        <v>1221</v>
      </c>
      <c r="B1156" t="s">
        <v>2366</v>
      </c>
      <c r="C1156" t="s">
        <v>2385</v>
      </c>
      <c r="D1156">
        <v>12980</v>
      </c>
      <c r="E1156" t="str">
        <f t="shared" si="31"/>
        <v>ia.assorted_string like '%12980-11-2021%' or</v>
      </c>
    </row>
    <row r="1157" spans="1:5" x14ac:dyDescent="0.25">
      <c r="A1157" t="s">
        <v>1222</v>
      </c>
      <c r="B1157" t="s">
        <v>2349</v>
      </c>
      <c r="C1157" t="s">
        <v>2385</v>
      </c>
      <c r="D1157">
        <v>13635</v>
      </c>
      <c r="E1157" t="str">
        <f t="shared" si="31"/>
        <v>ia.assorted_string like '%13635-01-2022%' or</v>
      </c>
    </row>
    <row r="1158" spans="1:5" x14ac:dyDescent="0.25">
      <c r="A1158" t="s">
        <v>1223</v>
      </c>
      <c r="B1158" t="s">
        <v>2366</v>
      </c>
      <c r="C1158" t="s">
        <v>2385</v>
      </c>
      <c r="D1158">
        <v>12985</v>
      </c>
      <c r="E1158" t="str">
        <f t="shared" si="31"/>
        <v>ia.assorted_string like '%12985-11-2021%' or</v>
      </c>
    </row>
    <row r="1159" spans="1:5" x14ac:dyDescent="0.25">
      <c r="A1159" t="s">
        <v>1224</v>
      </c>
      <c r="B1159" t="s">
        <v>2349</v>
      </c>
      <c r="C1159" t="s">
        <v>2385</v>
      </c>
      <c r="D1159">
        <v>13654</v>
      </c>
      <c r="E1159" t="str">
        <f t="shared" si="31"/>
        <v>ia.assorted_string like '%13654-01-2022%' or</v>
      </c>
    </row>
    <row r="1160" spans="1:5" x14ac:dyDescent="0.25">
      <c r="A1160" t="s">
        <v>1225</v>
      </c>
      <c r="B1160" t="s">
        <v>2366</v>
      </c>
      <c r="C1160" t="s">
        <v>2385</v>
      </c>
      <c r="D1160">
        <v>12993</v>
      </c>
      <c r="E1160" t="str">
        <f t="shared" si="31"/>
        <v>ia.assorted_string like '%12993-11-2021%' or</v>
      </c>
    </row>
    <row r="1161" spans="1:5" x14ac:dyDescent="0.25">
      <c r="A1161" t="s">
        <v>1226</v>
      </c>
      <c r="B1161" t="s">
        <v>2379</v>
      </c>
      <c r="C1161" t="s">
        <v>2385</v>
      </c>
      <c r="D1161">
        <v>12529</v>
      </c>
      <c r="E1161" t="str">
        <f t="shared" si="31"/>
        <v>ia.assorted_string like '%12529-09-2021%' or</v>
      </c>
    </row>
    <row r="1162" spans="1:5" x14ac:dyDescent="0.25">
      <c r="A1162" t="s">
        <v>1227</v>
      </c>
      <c r="B1162" t="s">
        <v>2353</v>
      </c>
      <c r="C1162" t="s">
        <v>2385</v>
      </c>
      <c r="D1162">
        <v>16826</v>
      </c>
      <c r="E1162" t="str">
        <f t="shared" si="31"/>
        <v>ia.assorted_string like '%16826-11-2022%' or</v>
      </c>
    </row>
    <row r="1163" spans="1:5" x14ac:dyDescent="0.25">
      <c r="A1163" t="s">
        <v>1228</v>
      </c>
      <c r="B1163" t="s">
        <v>2362</v>
      </c>
      <c r="C1163" t="s">
        <v>2385</v>
      </c>
      <c r="D1163">
        <v>13674</v>
      </c>
      <c r="E1163" t="str">
        <f t="shared" si="31"/>
        <v>ia.assorted_string like '%13674-02-2022%' or</v>
      </c>
    </row>
    <row r="1164" spans="1:5" x14ac:dyDescent="0.25">
      <c r="A1164" t="s">
        <v>1229</v>
      </c>
      <c r="B1164" t="s">
        <v>2366</v>
      </c>
      <c r="C1164" t="s">
        <v>2385</v>
      </c>
      <c r="D1164">
        <v>13018</v>
      </c>
      <c r="E1164" t="str">
        <f t="shared" si="31"/>
        <v>ia.assorted_string like '%13018-11-2021%' or</v>
      </c>
    </row>
    <row r="1165" spans="1:5" x14ac:dyDescent="0.25">
      <c r="A1165" t="s">
        <v>1230</v>
      </c>
      <c r="B1165" t="s">
        <v>2362</v>
      </c>
      <c r="C1165" t="s">
        <v>2385</v>
      </c>
      <c r="D1165">
        <v>13687</v>
      </c>
      <c r="E1165" t="str">
        <f t="shared" si="31"/>
        <v>ia.assorted_string like '%13687-02-2022%' or</v>
      </c>
    </row>
    <row r="1166" spans="1:5" x14ac:dyDescent="0.25">
      <c r="A1166" t="s">
        <v>1231</v>
      </c>
      <c r="B1166" t="s">
        <v>2366</v>
      </c>
      <c r="C1166" t="s">
        <v>2385</v>
      </c>
      <c r="D1166">
        <v>13025</v>
      </c>
      <c r="E1166" t="str">
        <f t="shared" si="31"/>
        <v>ia.assorted_string like '%13025-11-2021%' or</v>
      </c>
    </row>
    <row r="1167" spans="1:5" x14ac:dyDescent="0.25">
      <c r="A1167" t="s">
        <v>1232</v>
      </c>
      <c r="B1167" t="s">
        <v>2362</v>
      </c>
      <c r="C1167" t="s">
        <v>2385</v>
      </c>
      <c r="D1167">
        <v>13688</v>
      </c>
      <c r="E1167" t="str">
        <f t="shared" si="31"/>
        <v>ia.assorted_string like '%13688-02-2022%' or</v>
      </c>
    </row>
    <row r="1168" spans="1:5" x14ac:dyDescent="0.25">
      <c r="A1168" t="s">
        <v>1233</v>
      </c>
      <c r="B1168" t="s">
        <v>2348</v>
      </c>
      <c r="C1168" t="s">
        <v>2385</v>
      </c>
      <c r="D1168">
        <v>17162</v>
      </c>
      <c r="E1168" t="str">
        <f t="shared" si="31"/>
        <v>ia.assorted_string like '%17162-12-2022%' or</v>
      </c>
    </row>
    <row r="1169" spans="1:5" x14ac:dyDescent="0.25">
      <c r="A1169" t="s">
        <v>1234</v>
      </c>
      <c r="B1169" t="s">
        <v>2352</v>
      </c>
      <c r="C1169" t="s">
        <v>2385</v>
      </c>
      <c r="D1169">
        <v>12597</v>
      </c>
      <c r="E1169" t="str">
        <f t="shared" si="31"/>
        <v>ia.assorted_string like '%12597-10-2021%' or</v>
      </c>
    </row>
    <row r="1170" spans="1:5" x14ac:dyDescent="0.25">
      <c r="A1170" t="s">
        <v>1235</v>
      </c>
      <c r="B1170" t="s">
        <v>2350</v>
      </c>
      <c r="C1170" t="s">
        <v>2385</v>
      </c>
      <c r="D1170">
        <v>17396</v>
      </c>
      <c r="E1170" t="str">
        <f t="shared" si="31"/>
        <v>ia.assorted_string like '%17396-01-2023%' or</v>
      </c>
    </row>
    <row r="1171" spans="1:5" x14ac:dyDescent="0.25">
      <c r="A1171" t="s">
        <v>1236</v>
      </c>
      <c r="B1171" t="s">
        <v>2365</v>
      </c>
      <c r="C1171" t="s">
        <v>2385</v>
      </c>
      <c r="D1171">
        <v>13737</v>
      </c>
      <c r="E1171" t="str">
        <f t="shared" si="31"/>
        <v>ia.assorted_string like '%13737-03-2022%' or</v>
      </c>
    </row>
    <row r="1172" spans="1:5" x14ac:dyDescent="0.25">
      <c r="A1172" t="s">
        <v>1237</v>
      </c>
      <c r="B1172" t="s">
        <v>2337</v>
      </c>
      <c r="C1172" t="s">
        <v>2385</v>
      </c>
      <c r="D1172">
        <v>17591</v>
      </c>
      <c r="E1172" t="str">
        <f t="shared" si="31"/>
        <v>ia.assorted_string like '%17591-02-2023%' or</v>
      </c>
    </row>
    <row r="1173" spans="1:5" x14ac:dyDescent="0.25">
      <c r="A1173" t="s">
        <v>1238</v>
      </c>
      <c r="B1173" t="s">
        <v>2365</v>
      </c>
      <c r="C1173" t="s">
        <v>2385</v>
      </c>
      <c r="D1173">
        <v>13745</v>
      </c>
      <c r="E1173" t="str">
        <f t="shared" si="31"/>
        <v>ia.assorted_string like '%13745-03-2022%' or</v>
      </c>
    </row>
    <row r="1174" spans="1:5" x14ac:dyDescent="0.25">
      <c r="A1174" t="s">
        <v>1239</v>
      </c>
      <c r="B1174" t="s">
        <v>2336</v>
      </c>
      <c r="C1174" t="s">
        <v>2385</v>
      </c>
      <c r="D1174">
        <v>17936</v>
      </c>
      <c r="E1174" t="str">
        <f t="shared" si="31"/>
        <v>ia.assorted_string like '%17936-03-2023%' or</v>
      </c>
    </row>
    <row r="1175" spans="1:5" x14ac:dyDescent="0.25">
      <c r="A1175" t="s">
        <v>1240</v>
      </c>
      <c r="B1175" t="s">
        <v>2365</v>
      </c>
      <c r="C1175" t="s">
        <v>2385</v>
      </c>
      <c r="D1175">
        <v>13775</v>
      </c>
      <c r="E1175" t="str">
        <f t="shared" si="31"/>
        <v>ia.assorted_string like '%13775-03-2022%' or</v>
      </c>
    </row>
    <row r="1176" spans="1:5" x14ac:dyDescent="0.25">
      <c r="A1176" t="s">
        <v>1241</v>
      </c>
      <c r="B1176" t="s">
        <v>2366</v>
      </c>
      <c r="C1176" t="s">
        <v>2385</v>
      </c>
      <c r="D1176">
        <v>13092</v>
      </c>
      <c r="E1176" t="str">
        <f t="shared" si="31"/>
        <v>ia.assorted_string like '%13092-11-2021%' or</v>
      </c>
    </row>
    <row r="1177" spans="1:5" x14ac:dyDescent="0.25">
      <c r="A1177" t="s">
        <v>1242</v>
      </c>
      <c r="B1177" t="s">
        <v>2365</v>
      </c>
      <c r="C1177" t="s">
        <v>2385</v>
      </c>
      <c r="D1177">
        <v>13783</v>
      </c>
      <c r="E1177" t="str">
        <f t="shared" si="31"/>
        <v>ia.assorted_string like '%13783-03-2022%' or</v>
      </c>
    </row>
    <row r="1178" spans="1:5" x14ac:dyDescent="0.25">
      <c r="A1178" t="s">
        <v>1243</v>
      </c>
      <c r="B1178" t="s">
        <v>2366</v>
      </c>
      <c r="C1178" t="s">
        <v>2385</v>
      </c>
      <c r="D1178">
        <v>13103</v>
      </c>
      <c r="E1178" t="str">
        <f t="shared" si="31"/>
        <v>ia.assorted_string like '%13103-11-2021%' or</v>
      </c>
    </row>
    <row r="1179" spans="1:5" x14ac:dyDescent="0.25">
      <c r="A1179" t="s">
        <v>1244</v>
      </c>
      <c r="B1179" t="s">
        <v>2363</v>
      </c>
      <c r="C1179" t="s">
        <v>2385</v>
      </c>
      <c r="D1179">
        <v>13855</v>
      </c>
      <c r="E1179" t="str">
        <f t="shared" si="31"/>
        <v>ia.assorted_string like '%13855-04-2022%' or</v>
      </c>
    </row>
    <row r="1180" spans="1:5" x14ac:dyDescent="0.25">
      <c r="A1180" t="s">
        <v>1245</v>
      </c>
      <c r="B1180" t="s">
        <v>2336</v>
      </c>
      <c r="C1180" t="s">
        <v>2385</v>
      </c>
      <c r="D1180">
        <v>18201</v>
      </c>
      <c r="E1180" t="str">
        <f t="shared" si="31"/>
        <v>ia.assorted_string like '%18201-03-2023%' or</v>
      </c>
    </row>
    <row r="1181" spans="1:5" x14ac:dyDescent="0.25">
      <c r="A1181" t="s">
        <v>1246</v>
      </c>
      <c r="B1181" t="s">
        <v>2338</v>
      </c>
      <c r="C1181" t="s">
        <v>2385</v>
      </c>
      <c r="D1181">
        <v>39616</v>
      </c>
      <c r="E1181" t="str">
        <f t="shared" si="31"/>
        <v>ia.assorted_string like '%39616-05-2023%' or</v>
      </c>
    </row>
    <row r="1182" spans="1:5" x14ac:dyDescent="0.25">
      <c r="A1182" t="s">
        <v>1247</v>
      </c>
      <c r="B1182" t="s">
        <v>2366</v>
      </c>
      <c r="C1182" t="s">
        <v>2385</v>
      </c>
      <c r="D1182">
        <v>13116</v>
      </c>
      <c r="E1182" t="str">
        <f t="shared" si="31"/>
        <v>ia.assorted_string like '%13116-11-2021%' or</v>
      </c>
    </row>
    <row r="1183" spans="1:5" x14ac:dyDescent="0.25">
      <c r="A1183" t="s">
        <v>1248</v>
      </c>
      <c r="B1183" t="s">
        <v>2338</v>
      </c>
      <c r="C1183" t="s">
        <v>2385</v>
      </c>
      <c r="D1183">
        <v>39617</v>
      </c>
      <c r="E1183" t="str">
        <f t="shared" si="31"/>
        <v>ia.assorted_string like '%39617-05-2023%' or</v>
      </c>
    </row>
    <row r="1184" spans="1:5" x14ac:dyDescent="0.25">
      <c r="A1184" t="s">
        <v>1249</v>
      </c>
      <c r="B1184" t="s">
        <v>2366</v>
      </c>
      <c r="C1184" t="s">
        <v>2385</v>
      </c>
      <c r="D1184">
        <v>13125</v>
      </c>
      <c r="E1184" t="str">
        <f t="shared" si="31"/>
        <v>ia.assorted_string like '%13125-11-2021%' or</v>
      </c>
    </row>
    <row r="1185" spans="1:5" x14ac:dyDescent="0.25">
      <c r="A1185" t="s">
        <v>1250</v>
      </c>
      <c r="B1185" t="s">
        <v>2338</v>
      </c>
      <c r="C1185" t="s">
        <v>2385</v>
      </c>
      <c r="D1185">
        <v>39619</v>
      </c>
      <c r="E1185" t="str">
        <f t="shared" si="31"/>
        <v>ia.assorted_string like '%39619-05-2023%' or</v>
      </c>
    </row>
    <row r="1186" spans="1:5" x14ac:dyDescent="0.25">
      <c r="A1186" t="s">
        <v>1251</v>
      </c>
      <c r="B1186" t="s">
        <v>2364</v>
      </c>
      <c r="C1186" t="s">
        <v>2385</v>
      </c>
      <c r="D1186">
        <v>13205</v>
      </c>
      <c r="E1186" t="str">
        <f t="shared" si="31"/>
        <v>ia.assorted_string like '%13205-12-2021%' or</v>
      </c>
    </row>
    <row r="1187" spans="1:5" x14ac:dyDescent="0.25">
      <c r="A1187" t="s">
        <v>1252</v>
      </c>
      <c r="B1187" t="s">
        <v>2338</v>
      </c>
      <c r="C1187" t="s">
        <v>2385</v>
      </c>
      <c r="D1187">
        <v>39630</v>
      </c>
      <c r="E1187" t="str">
        <f t="shared" si="31"/>
        <v>ia.assorted_string like '%39630-05-2023%' or</v>
      </c>
    </row>
    <row r="1188" spans="1:5" x14ac:dyDescent="0.25">
      <c r="A1188" t="s">
        <v>1253</v>
      </c>
      <c r="B1188" t="s">
        <v>2364</v>
      </c>
      <c r="C1188" t="s">
        <v>2385</v>
      </c>
      <c r="D1188">
        <v>13240</v>
      </c>
      <c r="E1188" t="str">
        <f t="shared" si="31"/>
        <v>ia.assorted_string like '%13240-12-2021%' or</v>
      </c>
    </row>
    <row r="1189" spans="1:5" x14ac:dyDescent="0.25">
      <c r="A1189" t="s">
        <v>1254</v>
      </c>
      <c r="B1189" t="s">
        <v>2338</v>
      </c>
      <c r="C1189" t="s">
        <v>2385</v>
      </c>
      <c r="D1189">
        <v>39642</v>
      </c>
      <c r="E1189" t="str">
        <f t="shared" si="31"/>
        <v>ia.assorted_string like '%39642-05-2023%' or</v>
      </c>
    </row>
    <row r="1190" spans="1:5" x14ac:dyDescent="0.25">
      <c r="A1190" t="s">
        <v>1255</v>
      </c>
      <c r="B1190" t="s">
        <v>2354</v>
      </c>
      <c r="C1190" t="s">
        <v>2385</v>
      </c>
      <c r="D1190">
        <v>19481</v>
      </c>
      <c r="E1190" t="str">
        <f t="shared" si="31"/>
        <v>ia.assorted_string like '%19481-08-2023%' or</v>
      </c>
    </row>
    <row r="1191" spans="1:5" x14ac:dyDescent="0.25">
      <c r="A1191" t="s">
        <v>1256</v>
      </c>
      <c r="B1191" t="s">
        <v>2338</v>
      </c>
      <c r="C1191" t="s">
        <v>2385</v>
      </c>
      <c r="D1191">
        <v>39643</v>
      </c>
      <c r="E1191" t="str">
        <f t="shared" si="31"/>
        <v>ia.assorted_string like '%39643-05-2023%' or</v>
      </c>
    </row>
    <row r="1192" spans="1:5" x14ac:dyDescent="0.25">
      <c r="A1192" t="s">
        <v>1257</v>
      </c>
      <c r="B1192" t="s">
        <v>2354</v>
      </c>
      <c r="C1192" t="s">
        <v>2385</v>
      </c>
      <c r="D1192">
        <v>19489</v>
      </c>
      <c r="E1192" t="str">
        <f t="shared" si="31"/>
        <v>ia.assorted_string like '%19489-08-2023%' or</v>
      </c>
    </row>
    <row r="1193" spans="1:5" x14ac:dyDescent="0.25">
      <c r="A1193" t="s">
        <v>1258</v>
      </c>
      <c r="B1193" t="s">
        <v>2338</v>
      </c>
      <c r="C1193" t="s">
        <v>2385</v>
      </c>
      <c r="D1193">
        <v>39644</v>
      </c>
      <c r="E1193" t="str">
        <f t="shared" si="31"/>
        <v>ia.assorted_string like '%39644-05-2023%' or</v>
      </c>
    </row>
    <row r="1194" spans="1:5" x14ac:dyDescent="0.25">
      <c r="A1194" t="s">
        <v>1259</v>
      </c>
      <c r="B1194" t="s">
        <v>2354</v>
      </c>
      <c r="C1194" t="s">
        <v>2385</v>
      </c>
      <c r="D1194">
        <v>19516</v>
      </c>
      <c r="E1194" t="str">
        <f t="shared" si="31"/>
        <v>ia.assorted_string like '%19516-08-2023%' or</v>
      </c>
    </row>
    <row r="1195" spans="1:5" x14ac:dyDescent="0.25">
      <c r="A1195" t="s">
        <v>1260</v>
      </c>
      <c r="B1195" t="s">
        <v>2338</v>
      </c>
      <c r="C1195" t="s">
        <v>2385</v>
      </c>
      <c r="D1195">
        <v>39646</v>
      </c>
      <c r="E1195" t="str">
        <f t="shared" si="31"/>
        <v>ia.assorted_string like '%39646-05-2023%' or</v>
      </c>
    </row>
    <row r="1196" spans="1:5" x14ac:dyDescent="0.25">
      <c r="A1196" t="s">
        <v>1261</v>
      </c>
      <c r="B1196" t="s">
        <v>2340</v>
      </c>
      <c r="C1196" t="s">
        <v>2385</v>
      </c>
      <c r="D1196">
        <v>20154</v>
      </c>
      <c r="E1196" t="str">
        <f t="shared" si="31"/>
        <v>ia.assorted_string like '%20154-09-2023%' or</v>
      </c>
    </row>
    <row r="1197" spans="1:5" x14ac:dyDescent="0.25">
      <c r="A1197" t="s">
        <v>1262</v>
      </c>
      <c r="B1197" t="s">
        <v>2344</v>
      </c>
      <c r="C1197" t="s">
        <v>2385</v>
      </c>
      <c r="D1197">
        <v>40013</v>
      </c>
      <c r="E1197" t="str">
        <f t="shared" si="31"/>
        <v>ia.assorted_string like '%40013-07-2023%' or</v>
      </c>
    </row>
    <row r="1198" spans="1:5" x14ac:dyDescent="0.25">
      <c r="A1198" t="s">
        <v>1263</v>
      </c>
      <c r="B1198" t="s">
        <v>2367</v>
      </c>
      <c r="C1198" t="s">
        <v>2385</v>
      </c>
      <c r="D1198">
        <v>20318</v>
      </c>
      <c r="E1198" t="str">
        <f t="shared" si="31"/>
        <v>ia.assorted_string like '%20318-10-2023%' or</v>
      </c>
    </row>
    <row r="1199" spans="1:5" x14ac:dyDescent="0.25">
      <c r="A1199" t="s">
        <v>1264</v>
      </c>
      <c r="B1199" t="s">
        <v>2344</v>
      </c>
      <c r="C1199" t="s">
        <v>2385</v>
      </c>
      <c r="D1199">
        <v>40014</v>
      </c>
      <c r="E1199" t="str">
        <f t="shared" si="31"/>
        <v>ia.assorted_string like '%40014-07-2023%' or</v>
      </c>
    </row>
    <row r="1200" spans="1:5" x14ac:dyDescent="0.25">
      <c r="A1200" t="s">
        <v>1265</v>
      </c>
      <c r="B1200" t="s">
        <v>2376</v>
      </c>
      <c r="C1200" t="s">
        <v>2385</v>
      </c>
      <c r="D1200">
        <v>20601</v>
      </c>
      <c r="E1200" t="str">
        <f t="shared" si="31"/>
        <v>ia.assorted_string like '%20601-11-2023%' or</v>
      </c>
    </row>
    <row r="1201" spans="1:5" x14ac:dyDescent="0.25">
      <c r="A1201" t="s">
        <v>1266</v>
      </c>
      <c r="B1201" t="s">
        <v>2363</v>
      </c>
      <c r="C1201" t="s">
        <v>2385</v>
      </c>
      <c r="D1201">
        <v>13889</v>
      </c>
      <c r="E1201" t="str">
        <f t="shared" si="31"/>
        <v>ia.assorted_string like '%13889-04-2022%' or</v>
      </c>
    </row>
    <row r="1202" spans="1:5" x14ac:dyDescent="0.25">
      <c r="A1202" t="s">
        <v>1267</v>
      </c>
      <c r="B1202" t="s">
        <v>2335</v>
      </c>
      <c r="C1202" t="s">
        <v>2385</v>
      </c>
      <c r="D1202">
        <v>15167</v>
      </c>
      <c r="E1202" t="str">
        <f t="shared" si="31"/>
        <v>ia.assorted_string like '%15167-07-2022%' or</v>
      </c>
    </row>
    <row r="1203" spans="1:5" x14ac:dyDescent="0.25">
      <c r="A1203" t="s">
        <v>1268</v>
      </c>
      <c r="B1203" t="s">
        <v>2363</v>
      </c>
      <c r="C1203" t="s">
        <v>2385</v>
      </c>
      <c r="D1203">
        <v>13896</v>
      </c>
      <c r="E1203" t="str">
        <f t="shared" si="31"/>
        <v>ia.assorted_string like '%13896-04-2022%' or</v>
      </c>
    </row>
    <row r="1204" spans="1:5" x14ac:dyDescent="0.25">
      <c r="A1204" t="s">
        <v>1269</v>
      </c>
      <c r="B1204" t="s">
        <v>2351</v>
      </c>
      <c r="C1204" t="s">
        <v>2385</v>
      </c>
      <c r="D1204">
        <v>15318</v>
      </c>
      <c r="E1204" t="str">
        <f t="shared" si="31"/>
        <v>ia.assorted_string like '%15318-08-2022%' or</v>
      </c>
    </row>
    <row r="1205" spans="1:5" x14ac:dyDescent="0.25">
      <c r="A1205" t="s">
        <v>1270</v>
      </c>
      <c r="B1205" t="s">
        <v>2357</v>
      </c>
      <c r="C1205" t="s">
        <v>2385</v>
      </c>
      <c r="D1205">
        <v>15016</v>
      </c>
      <c r="E1205" t="str">
        <f t="shared" si="31"/>
        <v>ia.assorted_string like '%15016-06-2022%' or</v>
      </c>
    </row>
    <row r="1206" spans="1:5" x14ac:dyDescent="0.25">
      <c r="A1206" t="s">
        <v>1271</v>
      </c>
      <c r="B1206" t="s">
        <v>2360</v>
      </c>
      <c r="C1206" t="s">
        <v>2385</v>
      </c>
      <c r="D1206">
        <v>15756</v>
      </c>
      <c r="E1206" t="str">
        <f t="shared" si="31"/>
        <v>ia.assorted_string like '%15756-09-2022%' or</v>
      </c>
    </row>
    <row r="1207" spans="1:5" x14ac:dyDescent="0.25">
      <c r="A1207" t="s">
        <v>1272</v>
      </c>
      <c r="B1207" t="s">
        <v>2335</v>
      </c>
      <c r="C1207" t="s">
        <v>2385</v>
      </c>
      <c r="D1207">
        <v>15046</v>
      </c>
      <c r="E1207" t="str">
        <f t="shared" si="31"/>
        <v>ia.assorted_string like '%15046-07-2022%' or</v>
      </c>
    </row>
    <row r="1208" spans="1:5" x14ac:dyDescent="0.25">
      <c r="A1208" t="s">
        <v>1273</v>
      </c>
      <c r="B1208" t="s">
        <v>2360</v>
      </c>
      <c r="C1208" t="s">
        <v>2385</v>
      </c>
      <c r="D1208">
        <v>15924</v>
      </c>
      <c r="E1208" t="str">
        <f t="shared" si="31"/>
        <v>ia.assorted_string like '%15924-09-2022%' or</v>
      </c>
    </row>
    <row r="1209" spans="1:5" x14ac:dyDescent="0.25">
      <c r="A1209" t="s">
        <v>1274</v>
      </c>
      <c r="B1209" t="s">
        <v>2380</v>
      </c>
      <c r="C1209" t="s">
        <v>2385</v>
      </c>
      <c r="D1209">
        <v>34687</v>
      </c>
      <c r="E1209" t="str">
        <f t="shared" si="31"/>
        <v>ia.assorted_string like '%34687-07-2021%' or</v>
      </c>
    </row>
    <row r="1210" spans="1:5" x14ac:dyDescent="0.25">
      <c r="A1210" t="s">
        <v>1275</v>
      </c>
      <c r="B1210" t="s">
        <v>2366</v>
      </c>
      <c r="C1210" t="s">
        <v>2385</v>
      </c>
      <c r="D1210">
        <v>12964</v>
      </c>
      <c r="E1210" t="str">
        <f t="shared" si="31"/>
        <v>ia.assorted_string like '%12964-11-2021%' or</v>
      </c>
    </row>
    <row r="1211" spans="1:5" x14ac:dyDescent="0.25">
      <c r="A1211" t="s">
        <v>1276</v>
      </c>
      <c r="B1211" t="s">
        <v>2374</v>
      </c>
      <c r="C1211" t="s">
        <v>2385</v>
      </c>
      <c r="D1211">
        <v>34776</v>
      </c>
      <c r="E1211" t="str">
        <f t="shared" si="31"/>
        <v>ia.assorted_string like '%34776-08-2021%' or</v>
      </c>
    </row>
    <row r="1212" spans="1:5" x14ac:dyDescent="0.25">
      <c r="A1212" t="s">
        <v>1277</v>
      </c>
      <c r="B1212" t="s">
        <v>2379</v>
      </c>
      <c r="C1212" t="s">
        <v>2385</v>
      </c>
      <c r="D1212">
        <v>12523</v>
      </c>
      <c r="E1212" t="str">
        <f t="shared" si="31"/>
        <v>ia.assorted_string like '%12523-09-2021%' or</v>
      </c>
    </row>
    <row r="1213" spans="1:5" x14ac:dyDescent="0.25">
      <c r="A1213" t="s">
        <v>1278</v>
      </c>
      <c r="B1213" t="s">
        <v>2366</v>
      </c>
      <c r="C1213" t="s">
        <v>2385</v>
      </c>
      <c r="D1213">
        <v>35393</v>
      </c>
      <c r="E1213" t="str">
        <f t="shared" si="31"/>
        <v>ia.assorted_string like '%35393-11-2021%' or</v>
      </c>
    </row>
    <row r="1214" spans="1:5" x14ac:dyDescent="0.25">
      <c r="A1214" t="s">
        <v>1279</v>
      </c>
      <c r="B1214" t="s">
        <v>2353</v>
      </c>
      <c r="C1214" t="s">
        <v>2385</v>
      </c>
      <c r="D1214">
        <v>16818</v>
      </c>
      <c r="E1214" t="str">
        <f t="shared" ref="E1214:E1271" si="32">"ia.assorted_string like '%"&amp;D1214&amp;B1214&amp;"%' or"</f>
        <v>ia.assorted_string like '%16818-11-2022%' or</v>
      </c>
    </row>
    <row r="1215" spans="1:5" x14ac:dyDescent="0.25">
      <c r="A1215" t="s">
        <v>1280</v>
      </c>
      <c r="B1215" t="s">
        <v>2364</v>
      </c>
      <c r="C1215" t="s">
        <v>2385</v>
      </c>
      <c r="D1215">
        <v>35558</v>
      </c>
      <c r="E1215" t="str">
        <f t="shared" si="32"/>
        <v>ia.assorted_string like '%35558-12-2021%' or</v>
      </c>
    </row>
    <row r="1216" spans="1:5" x14ac:dyDescent="0.25">
      <c r="A1216" t="s">
        <v>1281</v>
      </c>
      <c r="B1216" t="s">
        <v>2379</v>
      </c>
      <c r="C1216" t="s">
        <v>2385</v>
      </c>
      <c r="D1216">
        <v>12465</v>
      </c>
      <c r="E1216" t="str">
        <f t="shared" si="32"/>
        <v>ia.assorted_string like '%12465-09-2021%' or</v>
      </c>
    </row>
    <row r="1217" spans="1:5" x14ac:dyDescent="0.25">
      <c r="A1217" t="s">
        <v>1282</v>
      </c>
      <c r="B1217" t="s">
        <v>2364</v>
      </c>
      <c r="C1217" t="s">
        <v>2385</v>
      </c>
      <c r="D1217">
        <v>35562</v>
      </c>
      <c r="E1217" t="str">
        <f t="shared" si="32"/>
        <v>ia.assorted_string like '%35562-12-2021%' or</v>
      </c>
    </row>
    <row r="1218" spans="1:5" x14ac:dyDescent="0.25">
      <c r="A1218" t="s">
        <v>1283</v>
      </c>
      <c r="B1218" t="s">
        <v>2350</v>
      </c>
      <c r="C1218" t="s">
        <v>2385</v>
      </c>
      <c r="D1218">
        <v>17391</v>
      </c>
      <c r="E1218" t="str">
        <f t="shared" si="32"/>
        <v>ia.assorted_string like '%17391-01-2023%' or</v>
      </c>
    </row>
    <row r="1219" spans="1:5" x14ac:dyDescent="0.25">
      <c r="A1219" t="s">
        <v>1284</v>
      </c>
      <c r="B1219" t="s">
        <v>2364</v>
      </c>
      <c r="C1219" t="s">
        <v>2385</v>
      </c>
      <c r="D1219">
        <v>35564</v>
      </c>
      <c r="E1219" t="str">
        <f t="shared" si="32"/>
        <v>ia.assorted_string like '%35564-12-2021%' or</v>
      </c>
    </row>
    <row r="1220" spans="1:5" x14ac:dyDescent="0.25">
      <c r="A1220" t="s">
        <v>1285</v>
      </c>
      <c r="B1220" t="s">
        <v>2366</v>
      </c>
      <c r="C1220" t="s">
        <v>2385</v>
      </c>
      <c r="D1220">
        <v>13081</v>
      </c>
      <c r="E1220" t="str">
        <f t="shared" si="32"/>
        <v>ia.assorted_string like '%13081-11-2021%' or</v>
      </c>
    </row>
    <row r="1221" spans="1:5" x14ac:dyDescent="0.25">
      <c r="A1221" t="s">
        <v>1286</v>
      </c>
      <c r="B1221" t="s">
        <v>2364</v>
      </c>
      <c r="C1221" t="s">
        <v>2385</v>
      </c>
      <c r="D1221">
        <v>35565</v>
      </c>
      <c r="E1221" t="str">
        <f t="shared" si="32"/>
        <v>ia.assorted_string like '%35565-12-2021%' or</v>
      </c>
    </row>
    <row r="1222" spans="1:5" x14ac:dyDescent="0.25">
      <c r="A1222" t="s">
        <v>1287</v>
      </c>
      <c r="B1222" t="s">
        <v>2336</v>
      </c>
      <c r="C1222" t="s">
        <v>2385</v>
      </c>
      <c r="D1222">
        <v>17985</v>
      </c>
      <c r="E1222" t="str">
        <f t="shared" si="32"/>
        <v>ia.assorted_string like '%17985-03-2023%' or</v>
      </c>
    </row>
    <row r="1223" spans="1:5" x14ac:dyDescent="0.25">
      <c r="A1223" t="s">
        <v>1288</v>
      </c>
      <c r="B1223" t="s">
        <v>2349</v>
      </c>
      <c r="C1223" t="s">
        <v>2385</v>
      </c>
      <c r="D1223">
        <v>35946</v>
      </c>
      <c r="E1223" t="str">
        <f t="shared" si="32"/>
        <v>ia.assorted_string like '%35946-01-2022%' or</v>
      </c>
    </row>
    <row r="1224" spans="1:5" x14ac:dyDescent="0.25">
      <c r="A1224" t="s">
        <v>1289</v>
      </c>
      <c r="B1224" t="s">
        <v>2366</v>
      </c>
      <c r="C1224" t="s">
        <v>2385</v>
      </c>
      <c r="D1224">
        <v>13114</v>
      </c>
      <c r="E1224" t="str">
        <f t="shared" si="32"/>
        <v>ia.assorted_string like '%13114-11-2021%' or</v>
      </c>
    </row>
    <row r="1225" spans="1:5" x14ac:dyDescent="0.25">
      <c r="A1225" t="s">
        <v>1290</v>
      </c>
      <c r="B1225" t="s">
        <v>2349</v>
      </c>
      <c r="C1225" t="s">
        <v>2385</v>
      </c>
      <c r="D1225">
        <v>36031</v>
      </c>
      <c r="E1225" t="str">
        <f t="shared" si="32"/>
        <v>ia.assorted_string like '%36031-01-2022%' or</v>
      </c>
    </row>
    <row r="1226" spans="1:5" x14ac:dyDescent="0.25">
      <c r="A1226" t="s">
        <v>1291</v>
      </c>
      <c r="B1226" t="s">
        <v>2364</v>
      </c>
      <c r="C1226" t="s">
        <v>2385</v>
      </c>
      <c r="D1226">
        <v>13196</v>
      </c>
      <c r="E1226" t="str">
        <f t="shared" si="32"/>
        <v>ia.assorted_string like '%13196-12-2021%' or</v>
      </c>
    </row>
    <row r="1227" spans="1:5" x14ac:dyDescent="0.25">
      <c r="A1227" t="s">
        <v>1292</v>
      </c>
      <c r="B1227" t="s">
        <v>2349</v>
      </c>
      <c r="C1227" t="s">
        <v>2385</v>
      </c>
      <c r="D1227">
        <v>36034</v>
      </c>
      <c r="E1227" t="str">
        <f t="shared" si="32"/>
        <v>ia.assorted_string like '%36034-01-2022%' or</v>
      </c>
    </row>
    <row r="1228" spans="1:5" x14ac:dyDescent="0.25">
      <c r="A1228" t="s">
        <v>1293</v>
      </c>
      <c r="B1228" t="s">
        <v>2344</v>
      </c>
      <c r="C1228" t="s">
        <v>2385</v>
      </c>
      <c r="D1228">
        <v>19251</v>
      </c>
      <c r="E1228" t="str">
        <f t="shared" si="32"/>
        <v>ia.assorted_string like '%19251-07-2023%' or</v>
      </c>
    </row>
    <row r="1229" spans="1:5" x14ac:dyDescent="0.25">
      <c r="A1229" t="s">
        <v>1294</v>
      </c>
      <c r="B1229" t="s">
        <v>2349</v>
      </c>
      <c r="C1229" t="s">
        <v>2385</v>
      </c>
      <c r="D1229">
        <v>36040</v>
      </c>
      <c r="E1229" t="str">
        <f t="shared" si="32"/>
        <v>ia.assorted_string like '%36040-01-2022%' or</v>
      </c>
    </row>
    <row r="1230" spans="1:5" x14ac:dyDescent="0.25">
      <c r="A1230" t="s">
        <v>1295</v>
      </c>
      <c r="B1230" t="s">
        <v>2354</v>
      </c>
      <c r="C1230" t="s">
        <v>2385</v>
      </c>
      <c r="D1230">
        <v>19508</v>
      </c>
      <c r="E1230" t="str">
        <f t="shared" si="32"/>
        <v>ia.assorted_string like '%19508-08-2023%' or</v>
      </c>
    </row>
    <row r="1231" spans="1:5" x14ac:dyDescent="0.25">
      <c r="A1231" t="s">
        <v>1296</v>
      </c>
      <c r="B1231" t="s">
        <v>2362</v>
      </c>
      <c r="C1231" t="s">
        <v>2385</v>
      </c>
      <c r="D1231">
        <v>36151</v>
      </c>
      <c r="E1231" t="str">
        <f t="shared" si="32"/>
        <v>ia.assorted_string like '%36151-02-2022%' or</v>
      </c>
    </row>
    <row r="1232" spans="1:5" x14ac:dyDescent="0.25">
      <c r="A1232" t="s">
        <v>1297</v>
      </c>
      <c r="B1232" t="s">
        <v>2340</v>
      </c>
      <c r="C1232" t="s">
        <v>2385</v>
      </c>
      <c r="D1232">
        <v>20286</v>
      </c>
      <c r="E1232" t="str">
        <f t="shared" si="32"/>
        <v>ia.assorted_string like '%20286-09-2023%' or</v>
      </c>
    </row>
    <row r="1233" spans="1:5" x14ac:dyDescent="0.25">
      <c r="A1233" t="s">
        <v>1298</v>
      </c>
      <c r="B1233" t="s">
        <v>2351</v>
      </c>
      <c r="C1233" t="s">
        <v>2385</v>
      </c>
      <c r="D1233">
        <v>37277</v>
      </c>
      <c r="E1233" t="str">
        <f t="shared" si="32"/>
        <v>ia.assorted_string like '%37277-08-2022%' or</v>
      </c>
    </row>
    <row r="1234" spans="1:5" x14ac:dyDescent="0.25">
      <c r="A1234" t="s">
        <v>1299</v>
      </c>
      <c r="B1234" t="s">
        <v>2376</v>
      </c>
      <c r="C1234" t="s">
        <v>2385</v>
      </c>
      <c r="D1234">
        <v>20822</v>
      </c>
      <c r="E1234" t="str">
        <f t="shared" si="32"/>
        <v>ia.assorted_string like '%20822-11-2023%' or</v>
      </c>
    </row>
    <row r="1235" spans="1:5" x14ac:dyDescent="0.25">
      <c r="A1235" t="s">
        <v>1300</v>
      </c>
      <c r="B1235" t="s">
        <v>2351</v>
      </c>
      <c r="C1235" t="s">
        <v>2385</v>
      </c>
      <c r="D1235">
        <v>37289</v>
      </c>
      <c r="E1235" t="str">
        <f t="shared" si="32"/>
        <v>ia.assorted_string like '%37289-08-2022%' or</v>
      </c>
    </row>
    <row r="1236" spans="1:5" x14ac:dyDescent="0.25">
      <c r="A1236" t="s">
        <v>1301</v>
      </c>
      <c r="B1236" t="s">
        <v>2352</v>
      </c>
      <c r="C1236" t="s">
        <v>2385</v>
      </c>
      <c r="D1236">
        <v>12611</v>
      </c>
      <c r="E1236" t="str">
        <f t="shared" si="32"/>
        <v>ia.assorted_string like '%12611-10-2021%' or</v>
      </c>
    </row>
    <row r="1237" spans="1:5" x14ac:dyDescent="0.25">
      <c r="A1237" t="s">
        <v>1302</v>
      </c>
      <c r="B1237" t="s">
        <v>2351</v>
      </c>
      <c r="C1237" t="s">
        <v>2385</v>
      </c>
      <c r="D1237">
        <v>37291</v>
      </c>
      <c r="E1237" t="str">
        <f t="shared" si="32"/>
        <v>ia.assorted_string like '%37291-08-2022%' or</v>
      </c>
    </row>
    <row r="1238" spans="1:5" x14ac:dyDescent="0.25">
      <c r="A1238" t="s">
        <v>1303</v>
      </c>
      <c r="B1238" t="s">
        <v>2352</v>
      </c>
      <c r="C1238" t="s">
        <v>2385</v>
      </c>
      <c r="D1238">
        <v>12637</v>
      </c>
      <c r="E1238" t="str">
        <f t="shared" si="32"/>
        <v>ia.assorted_string like '%12637-10-2021%' or</v>
      </c>
    </row>
    <row r="1239" spans="1:5" x14ac:dyDescent="0.25">
      <c r="A1239" t="s">
        <v>1304</v>
      </c>
      <c r="B1239" t="s">
        <v>2351</v>
      </c>
      <c r="C1239" t="s">
        <v>2385</v>
      </c>
      <c r="D1239">
        <v>37296</v>
      </c>
      <c r="E1239" t="str">
        <f t="shared" si="32"/>
        <v>ia.assorted_string like '%37296-08-2022%' or</v>
      </c>
    </row>
    <row r="1240" spans="1:5" x14ac:dyDescent="0.25">
      <c r="A1240" t="s">
        <v>1305</v>
      </c>
      <c r="B1240" t="s">
        <v>2353</v>
      </c>
      <c r="C1240" t="s">
        <v>2385</v>
      </c>
      <c r="D1240">
        <v>16647</v>
      </c>
      <c r="E1240" t="str">
        <f t="shared" si="32"/>
        <v>ia.assorted_string like '%16647-11-2022%' or</v>
      </c>
    </row>
    <row r="1241" spans="1:5" x14ac:dyDescent="0.25">
      <c r="A1241" t="s">
        <v>1306</v>
      </c>
      <c r="B1241" t="s">
        <v>2351</v>
      </c>
      <c r="C1241" t="s">
        <v>2385</v>
      </c>
      <c r="D1241">
        <v>37366</v>
      </c>
      <c r="E1241" t="str">
        <f t="shared" si="32"/>
        <v>ia.assorted_string like '%37366-08-2022%' or</v>
      </c>
    </row>
    <row r="1242" spans="1:5" x14ac:dyDescent="0.25">
      <c r="A1242" t="s">
        <v>1307</v>
      </c>
      <c r="B1242" t="s">
        <v>2366</v>
      </c>
      <c r="C1242" t="s">
        <v>2385</v>
      </c>
      <c r="D1242">
        <v>13059</v>
      </c>
      <c r="E1242" t="str">
        <f t="shared" si="32"/>
        <v>ia.assorted_string like '%13059-11-2021%' or</v>
      </c>
    </row>
    <row r="1243" spans="1:5" x14ac:dyDescent="0.25">
      <c r="A1243" t="s">
        <v>1308</v>
      </c>
      <c r="B1243" t="s">
        <v>2337</v>
      </c>
      <c r="C1243" t="s">
        <v>2385</v>
      </c>
      <c r="D1243">
        <v>39040</v>
      </c>
      <c r="E1243" t="str">
        <f t="shared" si="32"/>
        <v>ia.assorted_string like '%39040-02-2023%' or</v>
      </c>
    </row>
    <row r="1244" spans="1:5" x14ac:dyDescent="0.25">
      <c r="A1244" t="s">
        <v>1309</v>
      </c>
      <c r="B1244" t="s">
        <v>2366</v>
      </c>
      <c r="C1244" t="s">
        <v>2385</v>
      </c>
      <c r="D1244">
        <v>13086</v>
      </c>
      <c r="E1244" t="str">
        <f t="shared" si="32"/>
        <v>ia.assorted_string like '%13086-11-2021%' or</v>
      </c>
    </row>
    <row r="1245" spans="1:5" x14ac:dyDescent="0.25">
      <c r="A1245" t="s">
        <v>1310</v>
      </c>
      <c r="B1245" t="s">
        <v>2337</v>
      </c>
      <c r="C1245" t="s">
        <v>2385</v>
      </c>
      <c r="D1245">
        <v>39041</v>
      </c>
      <c r="E1245" t="str">
        <f t="shared" si="32"/>
        <v>ia.assorted_string like '%39041-02-2023%' or</v>
      </c>
    </row>
    <row r="1246" spans="1:5" x14ac:dyDescent="0.25">
      <c r="A1246" t="s">
        <v>1311</v>
      </c>
      <c r="B1246" t="s">
        <v>2366</v>
      </c>
      <c r="C1246" t="s">
        <v>2385</v>
      </c>
      <c r="D1246">
        <v>13122</v>
      </c>
      <c r="E1246" t="str">
        <f t="shared" si="32"/>
        <v>ia.assorted_string like '%13122-11-2021%' or</v>
      </c>
    </row>
    <row r="1247" spans="1:5" x14ac:dyDescent="0.25">
      <c r="A1247" t="s">
        <v>1312</v>
      </c>
      <c r="B1247" t="s">
        <v>2352</v>
      </c>
      <c r="C1247" t="s">
        <v>2385</v>
      </c>
      <c r="D1247">
        <v>12598</v>
      </c>
      <c r="E1247" t="str">
        <f t="shared" si="32"/>
        <v>ia.assorted_string like '%12598-10-2021%' or</v>
      </c>
    </row>
    <row r="1248" spans="1:5" x14ac:dyDescent="0.25">
      <c r="A1248" t="s">
        <v>1313</v>
      </c>
      <c r="B1248" t="s">
        <v>2354</v>
      </c>
      <c r="C1248" t="s">
        <v>2385</v>
      </c>
      <c r="D1248">
        <v>19487</v>
      </c>
      <c r="E1248" t="str">
        <f t="shared" si="32"/>
        <v>ia.assorted_string like '%19487-08-2023%' or</v>
      </c>
    </row>
    <row r="1249" spans="1:5" x14ac:dyDescent="0.25">
      <c r="A1249" t="s">
        <v>1314</v>
      </c>
      <c r="B1249" t="s">
        <v>2335</v>
      </c>
      <c r="C1249" t="s">
        <v>2385</v>
      </c>
      <c r="D1249">
        <v>15083</v>
      </c>
      <c r="E1249" t="str">
        <f t="shared" si="32"/>
        <v>ia.assorted_string like '%15083-07-2022%' or</v>
      </c>
    </row>
    <row r="1250" spans="1:5" x14ac:dyDescent="0.25">
      <c r="A1250" t="s">
        <v>1315</v>
      </c>
      <c r="B1250" t="s">
        <v>2367</v>
      </c>
      <c r="C1250" t="s">
        <v>2385</v>
      </c>
      <c r="D1250">
        <v>20343</v>
      </c>
      <c r="E1250" t="str">
        <f t="shared" si="32"/>
        <v>ia.assorted_string like '%20343-10-2023%' or</v>
      </c>
    </row>
    <row r="1251" spans="1:5" x14ac:dyDescent="0.25">
      <c r="A1251" t="s">
        <v>1316</v>
      </c>
      <c r="B1251" t="s">
        <v>2335</v>
      </c>
      <c r="C1251" t="s">
        <v>2385</v>
      </c>
      <c r="D1251">
        <v>15094</v>
      </c>
      <c r="E1251" t="str">
        <f t="shared" si="32"/>
        <v>ia.assorted_string like '%15094-07-2022%' or</v>
      </c>
    </row>
    <row r="1252" spans="1:5" x14ac:dyDescent="0.25">
      <c r="A1252" t="s">
        <v>1317</v>
      </c>
      <c r="B1252" t="s">
        <v>2360</v>
      </c>
      <c r="C1252" t="s">
        <v>2385</v>
      </c>
      <c r="D1252">
        <v>15901</v>
      </c>
      <c r="E1252" t="str">
        <f t="shared" si="32"/>
        <v>ia.assorted_string like '%15901-09-2022%' or</v>
      </c>
    </row>
    <row r="1253" spans="1:5" x14ac:dyDescent="0.25">
      <c r="A1253" t="s">
        <v>1318</v>
      </c>
      <c r="B1253" t="s">
        <v>2335</v>
      </c>
      <c r="C1253" t="s">
        <v>2385</v>
      </c>
      <c r="D1253">
        <v>15109</v>
      </c>
      <c r="E1253" t="str">
        <f t="shared" si="32"/>
        <v>ia.assorted_string like '%15109-07-2022%' or</v>
      </c>
    </row>
    <row r="1254" spans="1:5" x14ac:dyDescent="0.25">
      <c r="A1254" t="s">
        <v>1319</v>
      </c>
      <c r="B1254" t="s">
        <v>2366</v>
      </c>
      <c r="C1254" t="s">
        <v>2385</v>
      </c>
      <c r="D1254">
        <v>13007</v>
      </c>
      <c r="E1254" t="str">
        <f t="shared" si="32"/>
        <v>ia.assorted_string like '%13007-11-2021%' or</v>
      </c>
    </row>
    <row r="1255" spans="1:5" x14ac:dyDescent="0.25">
      <c r="A1255" t="s">
        <v>1320</v>
      </c>
      <c r="B1255" t="s">
        <v>2344</v>
      </c>
      <c r="C1255" t="s">
        <v>2385</v>
      </c>
      <c r="D1255">
        <v>39961</v>
      </c>
      <c r="E1255" t="str">
        <f t="shared" si="32"/>
        <v>ia.assorted_string like '%39961-07-2023%' or</v>
      </c>
    </row>
    <row r="1256" spans="1:5" x14ac:dyDescent="0.25">
      <c r="A1256" t="s">
        <v>1321</v>
      </c>
      <c r="B1256" t="s">
        <v>2366</v>
      </c>
      <c r="C1256" t="s">
        <v>2385</v>
      </c>
      <c r="D1256">
        <v>13112</v>
      </c>
      <c r="E1256" t="str">
        <f t="shared" si="32"/>
        <v>ia.assorted_string like '%13112-11-2021%' or</v>
      </c>
    </row>
    <row r="1257" spans="1:5" x14ac:dyDescent="0.25">
      <c r="A1257" t="s">
        <v>1322</v>
      </c>
      <c r="B1257" t="s">
        <v>2354</v>
      </c>
      <c r="C1257" t="s">
        <v>2385</v>
      </c>
      <c r="D1257">
        <v>40079</v>
      </c>
      <c r="E1257" t="str">
        <f t="shared" si="32"/>
        <v>ia.assorted_string like '%40079-08-2023%' or</v>
      </c>
    </row>
    <row r="1258" spans="1:5" x14ac:dyDescent="0.25">
      <c r="A1258" t="s">
        <v>1323</v>
      </c>
      <c r="B1258" t="s">
        <v>2354</v>
      </c>
      <c r="C1258" t="s">
        <v>2385</v>
      </c>
      <c r="D1258">
        <v>19630</v>
      </c>
      <c r="E1258" t="str">
        <f t="shared" si="32"/>
        <v>ia.assorted_string like '%19630-08-2023%' or</v>
      </c>
    </row>
    <row r="1259" spans="1:5" x14ac:dyDescent="0.25">
      <c r="A1259" t="s">
        <v>1324</v>
      </c>
      <c r="B1259" t="s">
        <v>2367</v>
      </c>
      <c r="C1259" t="s">
        <v>2385</v>
      </c>
      <c r="D1259">
        <v>40492</v>
      </c>
      <c r="E1259" t="str">
        <f t="shared" si="32"/>
        <v>ia.assorted_string like '%40492-10-2023%' or</v>
      </c>
    </row>
    <row r="1260" spans="1:5" x14ac:dyDescent="0.25">
      <c r="A1260" t="s">
        <v>1325</v>
      </c>
      <c r="B1260" t="s">
        <v>2358</v>
      </c>
      <c r="C1260" t="s">
        <v>2385</v>
      </c>
      <c r="D1260">
        <v>16543</v>
      </c>
      <c r="E1260" t="str">
        <f t="shared" si="32"/>
        <v>ia.assorted_string like '%16543-10-2022%' or</v>
      </c>
    </row>
    <row r="1261" spans="1:5" x14ac:dyDescent="0.25">
      <c r="A1261" t="s">
        <v>1326</v>
      </c>
      <c r="B1261" t="s">
        <v>2367</v>
      </c>
      <c r="C1261" t="s">
        <v>2385</v>
      </c>
      <c r="D1261">
        <v>40577</v>
      </c>
      <c r="E1261" t="str">
        <f t="shared" si="32"/>
        <v>ia.assorted_string like '%40577-10-2023%' or</v>
      </c>
    </row>
    <row r="1262" spans="1:5" x14ac:dyDescent="0.25">
      <c r="A1262" t="s">
        <v>1327</v>
      </c>
      <c r="B1262" t="s">
        <v>2379</v>
      </c>
      <c r="C1262" t="s">
        <v>2385</v>
      </c>
      <c r="D1262">
        <v>12487</v>
      </c>
      <c r="E1262" t="str">
        <f t="shared" si="32"/>
        <v>ia.assorted_string like '%12487-09-2021%' or</v>
      </c>
    </row>
    <row r="1263" spans="1:5" x14ac:dyDescent="0.25">
      <c r="A1263" t="s">
        <v>1328</v>
      </c>
      <c r="B1263" t="s">
        <v>2345</v>
      </c>
      <c r="C1263" t="s">
        <v>2385</v>
      </c>
      <c r="D1263">
        <v>19217</v>
      </c>
      <c r="E1263" t="str">
        <f t="shared" si="32"/>
        <v>ia.assorted_string like '%19217-06-2023%' or</v>
      </c>
    </row>
    <row r="1264" spans="1:5" x14ac:dyDescent="0.25">
      <c r="A1264" t="s">
        <v>1329</v>
      </c>
      <c r="B1264" t="s">
        <v>2337</v>
      </c>
      <c r="C1264" t="s">
        <v>2385</v>
      </c>
      <c r="D1264">
        <v>17583</v>
      </c>
      <c r="E1264" t="str">
        <f t="shared" si="32"/>
        <v>ia.assorted_string like '%17583-02-2023%' or</v>
      </c>
    </row>
    <row r="1265" spans="1:5" x14ac:dyDescent="0.25">
      <c r="A1265" t="s">
        <v>1330</v>
      </c>
      <c r="B1265" t="s">
        <v>2345</v>
      </c>
      <c r="C1265" t="s">
        <v>2385</v>
      </c>
      <c r="D1265">
        <v>2871</v>
      </c>
      <c r="E1265" t="str">
        <f t="shared" si="32"/>
        <v>ia.assorted_string like '%2871-06-2023%' or</v>
      </c>
    </row>
    <row r="1266" spans="1:5" x14ac:dyDescent="0.25">
      <c r="A1266" t="s">
        <v>1331</v>
      </c>
      <c r="B1266" t="s">
        <v>2351</v>
      </c>
      <c r="C1266" t="s">
        <v>2385</v>
      </c>
      <c r="D1266">
        <v>15282</v>
      </c>
      <c r="E1266" t="str">
        <f t="shared" si="32"/>
        <v>ia.assorted_string like '%15282-08-2022%' or</v>
      </c>
    </row>
    <row r="1267" spans="1:5" x14ac:dyDescent="0.25">
      <c r="A1267" t="s">
        <v>1332</v>
      </c>
      <c r="B1267" t="s">
        <v>2342</v>
      </c>
      <c r="C1267" t="s">
        <v>2385</v>
      </c>
      <c r="D1267">
        <v>43444</v>
      </c>
      <c r="E1267" t="str">
        <f t="shared" si="32"/>
        <v>ia.assorted_string like '%43444-09-2024%' or</v>
      </c>
    </row>
    <row r="1268" spans="1:5" x14ac:dyDescent="0.25">
      <c r="A1268" t="s">
        <v>1333</v>
      </c>
      <c r="B1268" t="s">
        <v>2377</v>
      </c>
      <c r="C1268" t="s">
        <v>2385</v>
      </c>
      <c r="D1268">
        <v>54805</v>
      </c>
      <c r="E1268" t="str">
        <f t="shared" si="32"/>
        <v>ia.assorted_string like '%54805-06-2021%' or</v>
      </c>
    </row>
    <row r="1269" spans="1:5" x14ac:dyDescent="0.25">
      <c r="A1269" t="s">
        <v>1334</v>
      </c>
      <c r="B1269" t="s">
        <v>2337</v>
      </c>
      <c r="C1269" t="s">
        <v>2385</v>
      </c>
      <c r="D1269">
        <v>9106</v>
      </c>
      <c r="E1269" t="str">
        <f t="shared" si="32"/>
        <v>ia.assorted_string like '%9106-02-2023%' or</v>
      </c>
    </row>
    <row r="1270" spans="1:5" x14ac:dyDescent="0.25">
      <c r="A1270" t="s">
        <v>1335</v>
      </c>
      <c r="B1270" t="s">
        <v>2344</v>
      </c>
      <c r="C1270" t="s">
        <v>2385</v>
      </c>
      <c r="D1270">
        <v>9995</v>
      </c>
      <c r="E1270" t="str">
        <f t="shared" si="32"/>
        <v>ia.assorted_string like '%9995-07-2023%' or</v>
      </c>
    </row>
    <row r="1271" spans="1:5" x14ac:dyDescent="0.25">
      <c r="A1271" t="s">
        <v>1336</v>
      </c>
      <c r="B1271" t="s">
        <v>2345</v>
      </c>
      <c r="C1271" t="s">
        <v>2385</v>
      </c>
      <c r="D1271">
        <v>9837</v>
      </c>
      <c r="E1271" t="str">
        <f t="shared" si="32"/>
        <v>ia.assorted_string like '%9837-06-2023%' or</v>
      </c>
    </row>
    <row r="1274" spans="1:5" x14ac:dyDescent="0.25">
      <c r="A1274" t="s">
        <v>1339</v>
      </c>
      <c r="B1274" t="s">
        <v>2342</v>
      </c>
      <c r="C1274" t="s">
        <v>2385</v>
      </c>
      <c r="D1274">
        <v>10421</v>
      </c>
      <c r="E1274" t="str">
        <f t="shared" ref="E1274" si="33">"ia.assorted_string like '%"&amp;D1274&amp;B1274&amp;"%' or"</f>
        <v>ia.assorted_string like '%10421-09-2024%' or</v>
      </c>
    </row>
    <row r="1277" spans="1:5" x14ac:dyDescent="0.25">
      <c r="A1277" t="s">
        <v>1342</v>
      </c>
      <c r="B1277" t="s">
        <v>2354</v>
      </c>
      <c r="C1277" t="s">
        <v>2385</v>
      </c>
      <c r="D1277">
        <v>10035</v>
      </c>
      <c r="E1277" t="str">
        <f t="shared" ref="E1277" si="34">"ia.assorted_string like '%"&amp;D1277&amp;B1277&amp;"%' or"</f>
        <v>ia.assorted_string like '%10035-08-2023%' or</v>
      </c>
    </row>
    <row r="1282" spans="1:5" x14ac:dyDescent="0.25">
      <c r="A1282" t="s">
        <v>1347</v>
      </c>
      <c r="B1282" t="s">
        <v>2345</v>
      </c>
      <c r="C1282" t="s">
        <v>2385</v>
      </c>
      <c r="D1282">
        <v>9857</v>
      </c>
      <c r="E1282" t="str">
        <f t="shared" ref="E1282" si="35">"ia.assorted_string like '%"&amp;D1282&amp;B1282&amp;"%' or"</f>
        <v>ia.assorted_string like '%9857-06-2023%' or</v>
      </c>
    </row>
    <row r="1284" spans="1:5" x14ac:dyDescent="0.25">
      <c r="A1284" t="s">
        <v>1349</v>
      </c>
      <c r="B1284" t="s">
        <v>2353</v>
      </c>
      <c r="C1284" t="s">
        <v>2385</v>
      </c>
      <c r="D1284">
        <v>6418</v>
      </c>
      <c r="E1284" t="str">
        <f t="shared" ref="E1284:E1287" si="36">"ia.assorted_string like '%"&amp;D1284&amp;B1284&amp;"%' or"</f>
        <v>ia.assorted_string like '%6418-11-2022%' or</v>
      </c>
    </row>
    <row r="1285" spans="1:5" x14ac:dyDescent="0.25">
      <c r="A1285" t="s">
        <v>1350</v>
      </c>
      <c r="B1285" t="s">
        <v>2353</v>
      </c>
      <c r="C1285" t="s">
        <v>2385</v>
      </c>
      <c r="D1285">
        <v>6417</v>
      </c>
      <c r="E1285" t="str">
        <f t="shared" si="36"/>
        <v>ia.assorted_string like '%6417-11-2022%' or</v>
      </c>
    </row>
    <row r="1286" spans="1:5" x14ac:dyDescent="0.25">
      <c r="A1286" t="s">
        <v>1351</v>
      </c>
      <c r="B1286" t="s">
        <v>2353</v>
      </c>
      <c r="C1286" t="s">
        <v>2385</v>
      </c>
      <c r="D1286">
        <v>6416</v>
      </c>
      <c r="E1286" t="str">
        <f t="shared" si="36"/>
        <v>ia.assorted_string like '%6416-11-2022%' or</v>
      </c>
    </row>
    <row r="1287" spans="1:5" x14ac:dyDescent="0.25">
      <c r="A1287" t="s">
        <v>1352</v>
      </c>
      <c r="B1287" t="s">
        <v>2345</v>
      </c>
      <c r="C1287" t="s">
        <v>2385</v>
      </c>
      <c r="D1287">
        <v>9910</v>
      </c>
      <c r="E1287" t="str">
        <f t="shared" si="36"/>
        <v>ia.assorted_string like '%9910-06-2023%' or</v>
      </c>
    </row>
    <row r="1290" spans="1:5" x14ac:dyDescent="0.25">
      <c r="A1290" t="s">
        <v>1355</v>
      </c>
      <c r="B1290" t="s">
        <v>2345</v>
      </c>
      <c r="C1290" t="s">
        <v>2385</v>
      </c>
      <c r="D1290">
        <v>9868</v>
      </c>
      <c r="E1290" t="str">
        <f t="shared" ref="E1290:E1291" si="37">"ia.assorted_string like '%"&amp;D1290&amp;B1290&amp;"%' or"</f>
        <v>ia.assorted_string like '%9868-06-2023%' or</v>
      </c>
    </row>
    <row r="1291" spans="1:5" x14ac:dyDescent="0.25">
      <c r="A1291" t="s">
        <v>1356</v>
      </c>
      <c r="B1291" t="s">
        <v>2345</v>
      </c>
      <c r="C1291" t="s">
        <v>2385</v>
      </c>
      <c r="D1291">
        <v>9867</v>
      </c>
      <c r="E1291" t="str">
        <f t="shared" si="37"/>
        <v>ia.assorted_string like '%9867-06-2023%' or</v>
      </c>
    </row>
    <row r="1303" spans="1:5" x14ac:dyDescent="0.25">
      <c r="A1303" t="s">
        <v>1368</v>
      </c>
      <c r="B1303" t="s">
        <v>2357</v>
      </c>
      <c r="C1303" t="s">
        <v>2385</v>
      </c>
      <c r="D1303">
        <v>1565</v>
      </c>
      <c r="E1303" t="str">
        <f t="shared" ref="E1303" si="38">"ia.assorted_string like '%"&amp;D1303&amp;B1303&amp;"%' or"</f>
        <v>ia.assorted_string like '%1565-06-2022%' or</v>
      </c>
    </row>
    <row r="1307" spans="1:5" x14ac:dyDescent="0.25">
      <c r="A1307" t="s">
        <v>1372</v>
      </c>
      <c r="B1307" t="s">
        <v>2363</v>
      </c>
      <c r="C1307" t="s">
        <v>2385</v>
      </c>
      <c r="D1307">
        <v>1529</v>
      </c>
      <c r="E1307" t="str">
        <f t="shared" ref="E1307" si="39">"ia.assorted_string like '%"&amp;D1307&amp;B1307&amp;"%' or"</f>
        <v>ia.assorted_string like '%1529-04-2022%' or</v>
      </c>
    </row>
    <row r="1309" spans="1:5" x14ac:dyDescent="0.25">
      <c r="A1309" t="s">
        <v>1374</v>
      </c>
      <c r="B1309" t="s">
        <v>2340</v>
      </c>
      <c r="C1309" t="s">
        <v>2385</v>
      </c>
      <c r="D1309">
        <v>2682</v>
      </c>
      <c r="E1309" t="str">
        <f t="shared" ref="E1309:E1310" si="40">"ia.assorted_string like '%"&amp;D1309&amp;B1309&amp;"%' or"</f>
        <v>ia.assorted_string like '%2682-09-2023%' or</v>
      </c>
    </row>
    <row r="1310" spans="1:5" x14ac:dyDescent="0.25">
      <c r="A1310" t="s">
        <v>1375</v>
      </c>
      <c r="B1310" t="s">
        <v>2347</v>
      </c>
      <c r="C1310" t="s">
        <v>2385</v>
      </c>
      <c r="D1310">
        <v>22067</v>
      </c>
      <c r="E1310" t="str">
        <f t="shared" si="40"/>
        <v>ia.assorted_string like '%22067-04-2024%' or</v>
      </c>
    </row>
    <row r="1312" spans="1:5" x14ac:dyDescent="0.25">
      <c r="A1312" t="s">
        <v>1377</v>
      </c>
      <c r="B1312" t="s">
        <v>2343</v>
      </c>
      <c r="C1312" t="s">
        <v>2385</v>
      </c>
      <c r="D1312">
        <v>22513</v>
      </c>
      <c r="E1312" t="str">
        <f t="shared" ref="E1312" si="41">"ia.assorted_string like '%"&amp;D1312&amp;B1312&amp;"%' or"</f>
        <v>ia.assorted_string like '%22513-06-2024%' or</v>
      </c>
    </row>
    <row r="1316" spans="1:5" x14ac:dyDescent="0.25">
      <c r="A1316" t="s">
        <v>1381</v>
      </c>
      <c r="B1316" t="s">
        <v>2342</v>
      </c>
      <c r="C1316" t="s">
        <v>2385</v>
      </c>
      <c r="D1316">
        <v>43371</v>
      </c>
      <c r="E1316" t="str">
        <f t="shared" ref="E1316" si="42">"ia.assorted_string like '%"&amp;D1316&amp;B1316&amp;"%' or"</f>
        <v>ia.assorted_string like '%43371-09-2024%' or</v>
      </c>
    </row>
    <row r="1318" spans="1:5" x14ac:dyDescent="0.25">
      <c r="A1318" t="s">
        <v>1383</v>
      </c>
      <c r="B1318" t="s">
        <v>2348</v>
      </c>
      <c r="C1318" t="s">
        <v>2385</v>
      </c>
      <c r="D1318">
        <v>17171</v>
      </c>
      <c r="E1318" t="str">
        <f t="shared" ref="E1318" si="43">"ia.assorted_string like '%"&amp;D1318&amp;B1318&amp;"%' or"</f>
        <v>ia.assorted_string like '%17171-12-2022%' or</v>
      </c>
    </row>
    <row r="1320" spans="1:5" x14ac:dyDescent="0.25">
      <c r="A1320" t="s">
        <v>1385</v>
      </c>
      <c r="B1320" t="s">
        <v>2362</v>
      </c>
      <c r="C1320" t="s">
        <v>2385</v>
      </c>
      <c r="D1320">
        <v>1430</v>
      </c>
      <c r="E1320" t="str">
        <f t="shared" ref="E1320" si="44">"ia.assorted_string like '%"&amp;D1320&amp;B1320&amp;"%' or"</f>
        <v>ia.assorted_string like '%1430-02-2022%' or</v>
      </c>
    </row>
    <row r="1322" spans="1:5" x14ac:dyDescent="0.25">
      <c r="A1322" t="s">
        <v>1387</v>
      </c>
      <c r="B1322" t="s">
        <v>2335</v>
      </c>
      <c r="C1322" t="s">
        <v>2385</v>
      </c>
      <c r="D1322">
        <v>1679</v>
      </c>
      <c r="E1322" t="str">
        <f t="shared" ref="E1322" si="45">"ia.assorted_string like '%"&amp;D1322&amp;B1322&amp;"%' or"</f>
        <v>ia.assorted_string like '%1679-07-2022%' or</v>
      </c>
    </row>
    <row r="1329" spans="1:5" x14ac:dyDescent="0.25">
      <c r="A1329" t="s">
        <v>1394</v>
      </c>
      <c r="B1329" t="s">
        <v>2359</v>
      </c>
      <c r="C1329" t="s">
        <v>2385</v>
      </c>
      <c r="D1329">
        <v>3072</v>
      </c>
      <c r="E1329" t="str">
        <f t="shared" ref="E1329" si="46">"ia.assorted_string like '%"&amp;D1329&amp;B1329&amp;"%' or"</f>
        <v>ia.assorted_string like '%3072-02-2024%' or</v>
      </c>
    </row>
    <row r="1331" spans="1:5" x14ac:dyDescent="0.25">
      <c r="A1331" t="s">
        <v>1396</v>
      </c>
      <c r="B1331" t="s">
        <v>2351</v>
      </c>
      <c r="C1331" t="s">
        <v>2385</v>
      </c>
      <c r="D1331">
        <v>1731</v>
      </c>
      <c r="E1331" t="str">
        <f t="shared" ref="E1331" si="47">"ia.assorted_string like '%"&amp;D1331&amp;B1331&amp;"%' or"</f>
        <v>ia.assorted_string like '%1731-08-2022%' or</v>
      </c>
    </row>
    <row r="1342" spans="1:5" x14ac:dyDescent="0.25">
      <c r="A1342" t="s">
        <v>1407</v>
      </c>
      <c r="B1342" t="s">
        <v>2336</v>
      </c>
      <c r="C1342" t="s">
        <v>2385</v>
      </c>
      <c r="D1342">
        <v>17967</v>
      </c>
      <c r="E1342" t="str">
        <f t="shared" ref="E1342:E1343" si="48">"ia.assorted_string like '%"&amp;D1342&amp;B1342&amp;"%' or"</f>
        <v>ia.assorted_string like '%17967-03-2023%' or</v>
      </c>
    </row>
    <row r="1343" spans="1:5" x14ac:dyDescent="0.25">
      <c r="A1343" t="s">
        <v>1408</v>
      </c>
      <c r="B1343" t="s">
        <v>2360</v>
      </c>
      <c r="C1343" t="s">
        <v>2385</v>
      </c>
      <c r="D1343">
        <v>1747</v>
      </c>
      <c r="E1343" t="str">
        <f t="shared" si="48"/>
        <v>ia.assorted_string like '%1747-09-2022%' or</v>
      </c>
    </row>
    <row r="1348" spans="1:5" x14ac:dyDescent="0.25">
      <c r="A1348" t="s">
        <v>1413</v>
      </c>
      <c r="B1348" t="s">
        <v>2354</v>
      </c>
      <c r="C1348" t="s">
        <v>2385</v>
      </c>
      <c r="D1348">
        <v>3082</v>
      </c>
      <c r="E1348" t="str">
        <f t="shared" ref="E1348" si="49">"ia.assorted_string like '%"&amp;D1348&amp;B1348&amp;"%' or"</f>
        <v>ia.assorted_string like '%3082-08-2023%' or</v>
      </c>
    </row>
    <row r="1350" spans="1:5" x14ac:dyDescent="0.25">
      <c r="A1350" t="s">
        <v>1415</v>
      </c>
      <c r="B1350" t="s">
        <v>2343</v>
      </c>
      <c r="C1350" t="s">
        <v>2385</v>
      </c>
      <c r="D1350">
        <v>91660</v>
      </c>
      <c r="E1350" t="str">
        <f t="shared" ref="E1350" si="50">"ia.assorted_string like '%"&amp;D1350&amp;B1350&amp;"%' or"</f>
        <v>ia.assorted_string like '%91660-06-2024%' or</v>
      </c>
    </row>
    <row r="1362" spans="1:5" x14ac:dyDescent="0.25">
      <c r="A1362" t="s">
        <v>1427</v>
      </c>
      <c r="B1362" t="s">
        <v>2347</v>
      </c>
      <c r="C1362" t="s">
        <v>2385</v>
      </c>
      <c r="D1362">
        <v>22080</v>
      </c>
      <c r="E1362" t="str">
        <f t="shared" ref="E1362" si="51">"ia.assorted_string like '%"&amp;D1362&amp;B1362&amp;"%' or"</f>
        <v>ia.assorted_string like '%22080-04-2024%' or</v>
      </c>
    </row>
    <row r="1366" spans="1:5" x14ac:dyDescent="0.25">
      <c r="A1366" t="s">
        <v>1431</v>
      </c>
      <c r="B1366" t="s">
        <v>2346</v>
      </c>
      <c r="C1366" t="s">
        <v>2385</v>
      </c>
      <c r="D1366">
        <v>4626</v>
      </c>
      <c r="E1366" t="str">
        <f t="shared" ref="E1366" si="52">"ia.assorted_string like '%"&amp;D1366&amp;B1366&amp;"%' or"</f>
        <v>ia.assorted_string like '%4626-08-2024%' or</v>
      </c>
    </row>
    <row r="1369" spans="1:5" x14ac:dyDescent="0.25">
      <c r="A1369" t="s">
        <v>1434</v>
      </c>
      <c r="B1369" t="s">
        <v>2353</v>
      </c>
      <c r="C1369" t="s">
        <v>2385</v>
      </c>
      <c r="D1369">
        <v>16850</v>
      </c>
      <c r="E1369" t="str">
        <f t="shared" ref="E1369" si="53">"ia.assorted_string like '%"&amp;D1369&amp;B1369&amp;"%' or"</f>
        <v>ia.assorted_string like '%16850-11-2022%' or</v>
      </c>
    </row>
    <row r="1371" spans="1:5" x14ac:dyDescent="0.25">
      <c r="A1371" t="s">
        <v>1436</v>
      </c>
      <c r="B1371" t="s">
        <v>2363</v>
      </c>
      <c r="C1371" t="s">
        <v>2385</v>
      </c>
      <c r="D1371">
        <v>13831</v>
      </c>
      <c r="E1371" t="str">
        <f t="shared" ref="E1371" si="54">"ia.assorted_string like '%"&amp;D1371&amp;B1371&amp;"%' or"</f>
        <v>ia.assorted_string like '%13831-04-2022%' or</v>
      </c>
    </row>
    <row r="1374" spans="1:5" x14ac:dyDescent="0.25">
      <c r="A1374" t="s">
        <v>1439</v>
      </c>
      <c r="B1374" t="s">
        <v>2346</v>
      </c>
      <c r="C1374" t="s">
        <v>2385</v>
      </c>
      <c r="D1374">
        <v>2713</v>
      </c>
      <c r="E1374" t="str">
        <f t="shared" ref="E1374" si="55">"ia.assorted_string like '%"&amp;D1374&amp;B1374&amp;"%' or"</f>
        <v>ia.assorted_string like '%2713-08-2024%' or</v>
      </c>
    </row>
    <row r="1376" spans="1:5" x14ac:dyDescent="0.25">
      <c r="A1376" t="s">
        <v>1441</v>
      </c>
      <c r="B1376" t="s">
        <v>2346</v>
      </c>
      <c r="C1376" t="s">
        <v>2385</v>
      </c>
      <c r="D1376">
        <v>2715</v>
      </c>
      <c r="E1376" t="str">
        <f t="shared" ref="E1376:E1377" si="56">"ia.assorted_string like '%"&amp;D1376&amp;B1376&amp;"%' or"</f>
        <v>ia.assorted_string like '%2715-08-2024%' or</v>
      </c>
    </row>
    <row r="1377" spans="1:5" x14ac:dyDescent="0.25">
      <c r="A1377" t="s">
        <v>1442</v>
      </c>
      <c r="B1377" t="s">
        <v>2345</v>
      </c>
      <c r="C1377" t="s">
        <v>2385</v>
      </c>
      <c r="D1377">
        <v>2542</v>
      </c>
      <c r="E1377" t="str">
        <f t="shared" si="56"/>
        <v>ia.assorted_string like '%2542-06-2023%' or</v>
      </c>
    </row>
    <row r="1379" spans="1:5" x14ac:dyDescent="0.25">
      <c r="A1379" t="s">
        <v>1444</v>
      </c>
      <c r="B1379" t="s">
        <v>2356</v>
      </c>
      <c r="C1379" t="s">
        <v>2385</v>
      </c>
      <c r="D1379">
        <v>18020</v>
      </c>
      <c r="E1379" t="str">
        <f t="shared" ref="E1379" si="57">"ia.assorted_string like '%"&amp;D1379&amp;B1379&amp;"%' or"</f>
        <v>ia.assorted_string like '%18020-04-2023%' or</v>
      </c>
    </row>
    <row r="1400" spans="1:5" x14ac:dyDescent="0.25">
      <c r="A1400" t="s">
        <v>1465</v>
      </c>
      <c r="B1400" t="s">
        <v>2347</v>
      </c>
      <c r="C1400" t="s">
        <v>2385</v>
      </c>
      <c r="D1400">
        <v>87881</v>
      </c>
      <c r="E1400" t="str">
        <f t="shared" ref="E1400" si="58">"ia.assorted_string like '%"&amp;D1400&amp;B1400&amp;"%' or"</f>
        <v>ia.assorted_string like '%87881-04-2024%' or</v>
      </c>
    </row>
    <row r="1416" spans="1:5" x14ac:dyDescent="0.25">
      <c r="A1416" t="s">
        <v>1481</v>
      </c>
      <c r="B1416" t="s">
        <v>2346</v>
      </c>
      <c r="C1416" t="s">
        <v>2385</v>
      </c>
      <c r="D1416">
        <v>95752</v>
      </c>
      <c r="E1416" t="str">
        <f t="shared" ref="E1416" si="59">"ia.assorted_string like '%"&amp;D1416&amp;B1416&amp;"%' or"</f>
        <v>ia.assorted_string like '%95752-08-2024%' or</v>
      </c>
    </row>
    <row r="1456" spans="1:5" x14ac:dyDescent="0.25">
      <c r="A1456" t="s">
        <v>1521</v>
      </c>
      <c r="B1456" t="s">
        <v>2340</v>
      </c>
      <c r="C1456" t="s">
        <v>2385</v>
      </c>
      <c r="D1456">
        <v>40332</v>
      </c>
      <c r="E1456" t="str">
        <f t="shared" ref="E1456" si="60">"ia.assorted_string like '%"&amp;D1456&amp;B1456&amp;"%' or"</f>
        <v>ia.assorted_string like '%40332-09-2023%' or</v>
      </c>
    </row>
    <row r="1470" spans="1:5" x14ac:dyDescent="0.25">
      <c r="A1470" t="s">
        <v>1535</v>
      </c>
      <c r="B1470" t="s">
        <v>2350</v>
      </c>
      <c r="C1470" t="s">
        <v>2385</v>
      </c>
      <c r="D1470">
        <v>38798</v>
      </c>
      <c r="E1470" t="str">
        <f t="shared" ref="E1470:E1471" si="61">"ia.assorted_string like '%"&amp;D1470&amp;B1470&amp;"%' or"</f>
        <v>ia.assorted_string like '%38798-01-2023%' or</v>
      </c>
    </row>
    <row r="1471" spans="1:5" x14ac:dyDescent="0.25">
      <c r="A1471" t="s">
        <v>1536</v>
      </c>
      <c r="B1471" t="s">
        <v>2348</v>
      </c>
      <c r="C1471" t="s">
        <v>2385</v>
      </c>
      <c r="D1471">
        <v>66017</v>
      </c>
      <c r="E1471" t="str">
        <f t="shared" si="61"/>
        <v>ia.assorted_string like '%66017-12-2022%' or</v>
      </c>
    </row>
    <row r="1473" spans="1:5" x14ac:dyDescent="0.25">
      <c r="A1473" t="s">
        <v>1538</v>
      </c>
      <c r="B1473" t="s">
        <v>2376</v>
      </c>
      <c r="C1473" t="s">
        <v>2385</v>
      </c>
      <c r="D1473">
        <v>40949</v>
      </c>
      <c r="E1473" t="str">
        <f t="shared" ref="E1473" si="62">"ia.assorted_string like '%"&amp;D1473&amp;B1473&amp;"%' or"</f>
        <v>ia.assorted_string like '%40949-11-2023%' or</v>
      </c>
    </row>
    <row r="1477" spans="1:5" x14ac:dyDescent="0.25">
      <c r="A1477" t="s">
        <v>1542</v>
      </c>
      <c r="B1477" t="s">
        <v>2371</v>
      </c>
      <c r="C1477" t="s">
        <v>2385</v>
      </c>
      <c r="D1477">
        <v>43657</v>
      </c>
      <c r="E1477" t="str">
        <f t="shared" ref="E1477" si="63">"ia.assorted_string like '%"&amp;D1477&amp;B1477&amp;"%' or"</f>
        <v>ia.assorted_string like '%43657-10-2024%' or</v>
      </c>
    </row>
    <row r="1482" spans="1:5" x14ac:dyDescent="0.25">
      <c r="A1482" t="s">
        <v>1547</v>
      </c>
      <c r="B1482" t="s">
        <v>2340</v>
      </c>
      <c r="C1482" t="s">
        <v>2385</v>
      </c>
      <c r="D1482">
        <v>1018</v>
      </c>
      <c r="E1482" t="str">
        <f t="shared" ref="E1482" si="64">"ia.assorted_string like '%"&amp;D1482&amp;B1482&amp;"%' or"</f>
        <v>ia.assorted_string like '%1018-09-2023%' or</v>
      </c>
    </row>
    <row r="1484" spans="1:5" x14ac:dyDescent="0.25">
      <c r="A1484" t="s">
        <v>1549</v>
      </c>
      <c r="B1484" t="s">
        <v>2345</v>
      </c>
      <c r="C1484" t="s">
        <v>2385</v>
      </c>
      <c r="D1484">
        <v>19010</v>
      </c>
      <c r="E1484" t="str">
        <f t="shared" ref="E1484" si="65">"ia.assorted_string like '%"&amp;D1484&amp;B1484&amp;"%' or"</f>
        <v>ia.assorted_string like '%19010-06-2023%' or</v>
      </c>
    </row>
    <row r="1486" spans="1:5" x14ac:dyDescent="0.25">
      <c r="A1486" t="s">
        <v>1551</v>
      </c>
      <c r="B1486" t="s">
        <v>2354</v>
      </c>
      <c r="C1486" t="s">
        <v>2385</v>
      </c>
      <c r="D1486">
        <v>242</v>
      </c>
      <c r="E1486" t="str">
        <f t="shared" ref="E1486:E1487" si="66">"ia.assorted_string like '%"&amp;D1486&amp;B1486&amp;"%' or"</f>
        <v>ia.assorted_string like '%242-08-2023%' or</v>
      </c>
    </row>
    <row r="1487" spans="1:5" x14ac:dyDescent="0.25">
      <c r="A1487" t="s">
        <v>1552</v>
      </c>
      <c r="B1487" t="s">
        <v>2375</v>
      </c>
      <c r="C1487" t="s">
        <v>2385</v>
      </c>
      <c r="D1487">
        <v>16841</v>
      </c>
      <c r="E1487" t="str">
        <f t="shared" si="66"/>
        <v>ia.assorted_string like '%16841-05-2022%' or</v>
      </c>
    </row>
    <row r="1491" spans="1:5" x14ac:dyDescent="0.25">
      <c r="A1491" t="s">
        <v>1556</v>
      </c>
      <c r="B1491" t="s">
        <v>2357</v>
      </c>
      <c r="C1491" t="s">
        <v>2385</v>
      </c>
      <c r="D1491">
        <v>16947</v>
      </c>
      <c r="E1491" t="str">
        <f t="shared" ref="E1491:E1554" si="67">"ia.assorted_string like '%"&amp;D1491&amp;B1491&amp;"%' or"</f>
        <v>ia.assorted_string like '%16947-06-2022%' or</v>
      </c>
    </row>
    <row r="1492" spans="1:5" x14ac:dyDescent="0.25">
      <c r="A1492" t="s">
        <v>1557</v>
      </c>
      <c r="B1492" t="s">
        <v>2365</v>
      </c>
      <c r="C1492" t="s">
        <v>2385</v>
      </c>
      <c r="D1492">
        <v>59622</v>
      </c>
      <c r="E1492" t="str">
        <f t="shared" si="67"/>
        <v>ia.assorted_string like '%59622-03-2022%' or</v>
      </c>
    </row>
    <row r="1493" spans="1:5" x14ac:dyDescent="0.25">
      <c r="A1493" t="s">
        <v>1558</v>
      </c>
      <c r="B1493" t="s">
        <v>2359</v>
      </c>
      <c r="C1493" t="s">
        <v>2385</v>
      </c>
      <c r="D1493">
        <v>83701</v>
      </c>
      <c r="E1493" t="str">
        <f t="shared" si="67"/>
        <v>ia.assorted_string like '%83701-02-2024%' or</v>
      </c>
    </row>
    <row r="1494" spans="1:5" x14ac:dyDescent="0.25">
      <c r="A1494" t="s">
        <v>1559</v>
      </c>
      <c r="B1494" t="s">
        <v>2350</v>
      </c>
      <c r="C1494" t="s">
        <v>2385</v>
      </c>
      <c r="D1494">
        <v>38678</v>
      </c>
      <c r="E1494" t="str">
        <f t="shared" si="67"/>
        <v>ia.assorted_string like '%38678-01-2023%' or</v>
      </c>
    </row>
    <row r="1495" spans="1:5" x14ac:dyDescent="0.25">
      <c r="A1495" t="s">
        <v>1560</v>
      </c>
      <c r="B1495" t="s">
        <v>2359</v>
      </c>
      <c r="C1495" t="s">
        <v>2385</v>
      </c>
      <c r="D1495">
        <v>83651</v>
      </c>
      <c r="E1495" t="str">
        <f t="shared" si="67"/>
        <v>ia.assorted_string like '%83651-02-2024%' or</v>
      </c>
    </row>
    <row r="1496" spans="1:5" x14ac:dyDescent="0.25">
      <c r="A1496" t="s">
        <v>1561</v>
      </c>
      <c r="B1496" t="s">
        <v>2359</v>
      </c>
      <c r="C1496" t="s">
        <v>2385</v>
      </c>
      <c r="D1496">
        <v>83675</v>
      </c>
      <c r="E1496" t="str">
        <f t="shared" si="67"/>
        <v>ia.assorted_string like '%83675-02-2024%' or</v>
      </c>
    </row>
    <row r="1497" spans="1:5" x14ac:dyDescent="0.25">
      <c r="A1497" t="s">
        <v>1562</v>
      </c>
      <c r="B1497" t="s">
        <v>2338</v>
      </c>
      <c r="C1497" t="s">
        <v>2385</v>
      </c>
      <c r="D1497">
        <v>39549</v>
      </c>
      <c r="E1497" t="str">
        <f t="shared" si="67"/>
        <v>ia.assorted_string like '%39549-05-2023%' or</v>
      </c>
    </row>
    <row r="1498" spans="1:5" x14ac:dyDescent="0.25">
      <c r="A1498" t="s">
        <v>1563</v>
      </c>
      <c r="B1498" t="s">
        <v>2359</v>
      </c>
      <c r="C1498" t="s">
        <v>2385</v>
      </c>
      <c r="D1498">
        <v>83691</v>
      </c>
      <c r="E1498" t="str">
        <f t="shared" si="67"/>
        <v>ia.assorted_string like '%83691-02-2024%' or</v>
      </c>
    </row>
    <row r="1499" spans="1:5" x14ac:dyDescent="0.25">
      <c r="A1499" t="s">
        <v>1564</v>
      </c>
      <c r="B1499" t="s">
        <v>2346</v>
      </c>
      <c r="C1499" t="s">
        <v>2385</v>
      </c>
      <c r="D1499">
        <v>43196</v>
      </c>
      <c r="E1499" t="str">
        <f t="shared" si="67"/>
        <v>ia.assorted_string like '%43196-08-2024%' or</v>
      </c>
    </row>
    <row r="1500" spans="1:5" x14ac:dyDescent="0.25">
      <c r="A1500" t="s">
        <v>1565</v>
      </c>
      <c r="B1500" t="s">
        <v>2359</v>
      </c>
      <c r="C1500" t="s">
        <v>2385</v>
      </c>
      <c r="D1500">
        <v>83705</v>
      </c>
      <c r="E1500" t="str">
        <f t="shared" si="67"/>
        <v>ia.assorted_string like '%83705-02-2024%' or</v>
      </c>
    </row>
    <row r="1501" spans="1:5" x14ac:dyDescent="0.25">
      <c r="A1501" t="s">
        <v>1566</v>
      </c>
      <c r="B1501" t="s">
        <v>2350</v>
      </c>
      <c r="C1501" t="s">
        <v>2385</v>
      </c>
      <c r="D1501">
        <v>38690</v>
      </c>
      <c r="E1501" t="str">
        <f t="shared" si="67"/>
        <v>ia.assorted_string like '%38690-01-2023%' or</v>
      </c>
    </row>
    <row r="1502" spans="1:5" x14ac:dyDescent="0.25">
      <c r="A1502" t="s">
        <v>1567</v>
      </c>
      <c r="B1502" t="s">
        <v>2359</v>
      </c>
      <c r="C1502" t="s">
        <v>2385</v>
      </c>
      <c r="D1502">
        <v>83929</v>
      </c>
      <c r="E1502" t="str">
        <f t="shared" si="67"/>
        <v>ia.assorted_string like '%83929-02-2024%' or</v>
      </c>
    </row>
    <row r="1503" spans="1:5" x14ac:dyDescent="0.25">
      <c r="A1503" t="s">
        <v>1568</v>
      </c>
      <c r="B1503" t="s">
        <v>2336</v>
      </c>
      <c r="C1503" t="s">
        <v>2385</v>
      </c>
      <c r="D1503">
        <v>17940</v>
      </c>
      <c r="E1503" t="str">
        <f t="shared" si="67"/>
        <v>ia.assorted_string like '%17940-03-2023%' or</v>
      </c>
    </row>
    <row r="1504" spans="1:5" x14ac:dyDescent="0.25">
      <c r="A1504" t="s">
        <v>1569</v>
      </c>
      <c r="B1504" t="s">
        <v>2359</v>
      </c>
      <c r="C1504" t="s">
        <v>2385</v>
      </c>
      <c r="D1504">
        <v>84369</v>
      </c>
      <c r="E1504" t="str">
        <f t="shared" si="67"/>
        <v>ia.assorted_string like '%84369-02-2024%' or</v>
      </c>
    </row>
    <row r="1505" spans="1:5" x14ac:dyDescent="0.25">
      <c r="A1505" t="s">
        <v>1570</v>
      </c>
      <c r="B1505" t="s">
        <v>2350</v>
      </c>
      <c r="C1505" t="s">
        <v>2385</v>
      </c>
      <c r="D1505">
        <v>38705</v>
      </c>
      <c r="E1505" t="str">
        <f t="shared" si="67"/>
        <v>ia.assorted_string like '%38705-01-2023%' or</v>
      </c>
    </row>
    <row r="1506" spans="1:5" x14ac:dyDescent="0.25">
      <c r="A1506" t="s">
        <v>1571</v>
      </c>
      <c r="B1506" t="s">
        <v>2335</v>
      </c>
      <c r="C1506" t="s">
        <v>2385</v>
      </c>
      <c r="D1506">
        <v>15039</v>
      </c>
      <c r="E1506" t="str">
        <f t="shared" si="67"/>
        <v>ia.assorted_string like '%15039-07-2022%' or</v>
      </c>
    </row>
    <row r="1507" spans="1:5" x14ac:dyDescent="0.25">
      <c r="A1507" t="s">
        <v>1572</v>
      </c>
      <c r="B1507" t="s">
        <v>2358</v>
      </c>
      <c r="C1507" t="s">
        <v>2385</v>
      </c>
      <c r="D1507">
        <v>16502</v>
      </c>
      <c r="E1507" t="str">
        <f t="shared" si="67"/>
        <v>ia.assorted_string like '%16502-10-2022%' or</v>
      </c>
    </row>
    <row r="1508" spans="1:5" x14ac:dyDescent="0.25">
      <c r="A1508" t="s">
        <v>1573</v>
      </c>
      <c r="B1508" t="s">
        <v>2344</v>
      </c>
      <c r="C1508" t="s">
        <v>2385</v>
      </c>
      <c r="D1508">
        <v>19299</v>
      </c>
      <c r="E1508" t="str">
        <f t="shared" si="67"/>
        <v>ia.assorted_string like '%19299-07-2023%' or</v>
      </c>
    </row>
    <row r="1509" spans="1:5" x14ac:dyDescent="0.25">
      <c r="A1509" t="s">
        <v>1574</v>
      </c>
      <c r="B1509" t="s">
        <v>2350</v>
      </c>
      <c r="C1509" t="s">
        <v>2385</v>
      </c>
      <c r="D1509">
        <v>38754</v>
      </c>
      <c r="E1509" t="str">
        <f t="shared" si="67"/>
        <v>ia.assorted_string like '%38754-01-2023%' or</v>
      </c>
    </row>
    <row r="1510" spans="1:5" x14ac:dyDescent="0.25">
      <c r="A1510" t="s">
        <v>1575</v>
      </c>
      <c r="B1510" t="s">
        <v>2365</v>
      </c>
      <c r="C1510" t="s">
        <v>2385</v>
      </c>
      <c r="D1510">
        <v>59683</v>
      </c>
      <c r="E1510" t="str">
        <f t="shared" si="67"/>
        <v>ia.assorted_string like '%59683-03-2022%' or</v>
      </c>
    </row>
    <row r="1511" spans="1:5" x14ac:dyDescent="0.25">
      <c r="A1511" t="s">
        <v>1576</v>
      </c>
      <c r="B1511" t="s">
        <v>2367</v>
      </c>
      <c r="C1511" t="s">
        <v>2385</v>
      </c>
      <c r="D1511">
        <v>1052</v>
      </c>
      <c r="E1511" t="str">
        <f t="shared" si="67"/>
        <v>ia.assorted_string like '%1052-10-2023%' or</v>
      </c>
    </row>
    <row r="1512" spans="1:5" x14ac:dyDescent="0.25">
      <c r="A1512" t="s">
        <v>1577</v>
      </c>
      <c r="B1512" t="s">
        <v>2350</v>
      </c>
      <c r="C1512" t="s">
        <v>2385</v>
      </c>
      <c r="D1512">
        <v>38697</v>
      </c>
      <c r="E1512" t="str">
        <f t="shared" si="67"/>
        <v>ia.assorted_string like '%38697-01-2023%' or</v>
      </c>
    </row>
    <row r="1513" spans="1:5" x14ac:dyDescent="0.25">
      <c r="A1513" t="s">
        <v>1578</v>
      </c>
      <c r="B1513" t="s">
        <v>2350</v>
      </c>
      <c r="C1513" t="s">
        <v>2385</v>
      </c>
      <c r="D1513">
        <v>38806</v>
      </c>
      <c r="E1513" t="str">
        <f t="shared" si="67"/>
        <v>ia.assorted_string like '%38806-01-2023%' or</v>
      </c>
    </row>
    <row r="1514" spans="1:5" x14ac:dyDescent="0.25">
      <c r="A1514" t="s">
        <v>1579</v>
      </c>
      <c r="B1514" t="s">
        <v>2350</v>
      </c>
      <c r="C1514" t="s">
        <v>2385</v>
      </c>
      <c r="D1514">
        <v>38698</v>
      </c>
      <c r="E1514" t="str">
        <f t="shared" si="67"/>
        <v>ia.assorted_string like '%38698-01-2023%' or</v>
      </c>
    </row>
    <row r="1515" spans="1:5" x14ac:dyDescent="0.25">
      <c r="A1515" t="s">
        <v>1580</v>
      </c>
      <c r="B1515" t="s">
        <v>2350</v>
      </c>
      <c r="C1515" t="s">
        <v>2385</v>
      </c>
      <c r="D1515">
        <v>38809</v>
      </c>
      <c r="E1515" t="str">
        <f t="shared" si="67"/>
        <v>ia.assorted_string like '%38809-01-2023%' or</v>
      </c>
    </row>
    <row r="1516" spans="1:5" x14ac:dyDescent="0.25">
      <c r="A1516" t="s">
        <v>1581</v>
      </c>
      <c r="B1516" t="s">
        <v>2358</v>
      </c>
      <c r="C1516" t="s">
        <v>2385</v>
      </c>
      <c r="D1516">
        <v>16501</v>
      </c>
      <c r="E1516" t="str">
        <f t="shared" si="67"/>
        <v>ia.assorted_string like '%16501-10-2022%' or</v>
      </c>
    </row>
    <row r="1517" spans="1:5" x14ac:dyDescent="0.25">
      <c r="A1517" t="s">
        <v>1582</v>
      </c>
      <c r="B1517" t="s">
        <v>2367</v>
      </c>
      <c r="C1517" t="s">
        <v>2385</v>
      </c>
      <c r="D1517">
        <v>77385</v>
      </c>
      <c r="E1517" t="str">
        <f t="shared" si="67"/>
        <v>ia.assorted_string like '%77385-10-2023%' or</v>
      </c>
    </row>
    <row r="1518" spans="1:5" x14ac:dyDescent="0.25">
      <c r="A1518" t="s">
        <v>1583</v>
      </c>
      <c r="B1518" t="s">
        <v>2350</v>
      </c>
      <c r="C1518" t="s">
        <v>2385</v>
      </c>
      <c r="D1518">
        <v>38808</v>
      </c>
      <c r="E1518" t="str">
        <f t="shared" si="67"/>
        <v>ia.assorted_string like '%38808-01-2023%' or</v>
      </c>
    </row>
    <row r="1519" spans="1:5" x14ac:dyDescent="0.25">
      <c r="A1519" t="s">
        <v>1584</v>
      </c>
      <c r="B1519" t="s">
        <v>2343</v>
      </c>
      <c r="C1519" t="s">
        <v>2385</v>
      </c>
      <c r="D1519">
        <v>42894</v>
      </c>
      <c r="E1519" t="str">
        <f t="shared" si="67"/>
        <v>ia.assorted_string like '%42894-06-2024%' or</v>
      </c>
    </row>
    <row r="1520" spans="1:5" x14ac:dyDescent="0.25">
      <c r="A1520" t="s">
        <v>1585</v>
      </c>
      <c r="B1520" t="s">
        <v>2343</v>
      </c>
      <c r="C1520" t="s">
        <v>2385</v>
      </c>
      <c r="D1520">
        <v>42815</v>
      </c>
      <c r="E1520" t="str">
        <f t="shared" si="67"/>
        <v>ia.assorted_string like '%42815-06-2024%' or</v>
      </c>
    </row>
    <row r="1521" spans="1:5" x14ac:dyDescent="0.25">
      <c r="A1521" t="s">
        <v>1586</v>
      </c>
      <c r="B1521" t="s">
        <v>2343</v>
      </c>
      <c r="C1521" t="s">
        <v>2385</v>
      </c>
      <c r="D1521">
        <v>42915</v>
      </c>
      <c r="E1521" t="str">
        <f t="shared" si="67"/>
        <v>ia.assorted_string like '%42915-06-2024%' or</v>
      </c>
    </row>
    <row r="1522" spans="1:5" x14ac:dyDescent="0.25">
      <c r="A1522" t="s">
        <v>1587</v>
      </c>
      <c r="B1522" t="s">
        <v>2350</v>
      </c>
      <c r="C1522" t="s">
        <v>2385</v>
      </c>
      <c r="D1522">
        <v>38753</v>
      </c>
      <c r="E1522" t="str">
        <f t="shared" si="67"/>
        <v>ia.assorted_string like '%38753-01-2023%' or</v>
      </c>
    </row>
    <row r="1523" spans="1:5" x14ac:dyDescent="0.25">
      <c r="A1523" t="s">
        <v>1588</v>
      </c>
      <c r="B1523" t="s">
        <v>2343</v>
      </c>
      <c r="C1523" t="s">
        <v>2385</v>
      </c>
      <c r="D1523">
        <v>42921</v>
      </c>
      <c r="E1523" t="str">
        <f t="shared" si="67"/>
        <v>ia.assorted_string like '%42921-06-2024%' or</v>
      </c>
    </row>
    <row r="1524" spans="1:5" x14ac:dyDescent="0.25">
      <c r="A1524" t="s">
        <v>1589</v>
      </c>
      <c r="B1524" t="s">
        <v>2365</v>
      </c>
      <c r="C1524" t="s">
        <v>2385</v>
      </c>
      <c r="D1524">
        <v>59679</v>
      </c>
      <c r="E1524" t="str">
        <f t="shared" si="67"/>
        <v>ia.assorted_string like '%59679-03-2022%' or</v>
      </c>
    </row>
    <row r="1525" spans="1:5" x14ac:dyDescent="0.25">
      <c r="A1525" t="s">
        <v>1590</v>
      </c>
      <c r="B1525" t="s">
        <v>2343</v>
      </c>
      <c r="C1525" t="s">
        <v>2385</v>
      </c>
      <c r="D1525">
        <v>42940</v>
      </c>
      <c r="E1525" t="str">
        <f t="shared" si="67"/>
        <v>ia.assorted_string like '%42940-06-2024%' or</v>
      </c>
    </row>
    <row r="1526" spans="1:5" x14ac:dyDescent="0.25">
      <c r="A1526" t="s">
        <v>1591</v>
      </c>
      <c r="B1526" t="s">
        <v>2359</v>
      </c>
      <c r="C1526" t="s">
        <v>2385</v>
      </c>
      <c r="D1526">
        <v>84237</v>
      </c>
      <c r="E1526" t="str">
        <f t="shared" si="67"/>
        <v>ia.assorted_string like '%84237-02-2024%' or</v>
      </c>
    </row>
    <row r="1527" spans="1:5" x14ac:dyDescent="0.25">
      <c r="A1527" t="s">
        <v>1592</v>
      </c>
      <c r="B1527" t="s">
        <v>2343</v>
      </c>
      <c r="C1527" t="s">
        <v>2385</v>
      </c>
      <c r="D1527">
        <v>42950</v>
      </c>
      <c r="E1527" t="str">
        <f t="shared" si="67"/>
        <v>ia.assorted_string like '%42950-06-2024%' or</v>
      </c>
    </row>
    <row r="1528" spans="1:5" x14ac:dyDescent="0.25">
      <c r="A1528" t="s">
        <v>1593</v>
      </c>
      <c r="B1528" t="s">
        <v>2381</v>
      </c>
      <c r="C1528" t="s">
        <v>2385</v>
      </c>
      <c r="D1528">
        <v>4563</v>
      </c>
      <c r="E1528" t="str">
        <f t="shared" si="67"/>
        <v>ia.assorted_string like '%4563-06-2010%' or</v>
      </c>
    </row>
    <row r="1529" spans="1:5" x14ac:dyDescent="0.25">
      <c r="A1529" t="s">
        <v>1594</v>
      </c>
      <c r="B1529" t="s">
        <v>2360</v>
      </c>
      <c r="C1529" t="s">
        <v>2385</v>
      </c>
      <c r="D1529">
        <v>63771</v>
      </c>
      <c r="E1529" t="str">
        <f t="shared" si="67"/>
        <v>ia.assorted_string like '%63771-09-2022%' or</v>
      </c>
    </row>
    <row r="1530" spans="1:5" x14ac:dyDescent="0.25">
      <c r="A1530" t="s">
        <v>1595</v>
      </c>
      <c r="B1530" t="s">
        <v>2344</v>
      </c>
      <c r="C1530" t="s">
        <v>2385</v>
      </c>
      <c r="D1530">
        <v>73470</v>
      </c>
      <c r="E1530" t="str">
        <f t="shared" si="67"/>
        <v>ia.assorted_string like '%73470-07-2023%' or</v>
      </c>
    </row>
    <row r="1531" spans="1:5" x14ac:dyDescent="0.25">
      <c r="A1531" t="s">
        <v>1596</v>
      </c>
      <c r="B1531" t="s">
        <v>2360</v>
      </c>
      <c r="C1531" t="s">
        <v>2385</v>
      </c>
      <c r="D1531">
        <v>63959</v>
      </c>
      <c r="E1531" t="str">
        <f t="shared" si="67"/>
        <v>ia.assorted_string like '%63959-09-2022%' or</v>
      </c>
    </row>
    <row r="1532" spans="1:5" x14ac:dyDescent="0.25">
      <c r="A1532" t="s">
        <v>1597</v>
      </c>
      <c r="B1532" t="s">
        <v>2349</v>
      </c>
      <c r="C1532" t="s">
        <v>2385</v>
      </c>
      <c r="D1532">
        <v>741</v>
      </c>
      <c r="E1532" t="str">
        <f t="shared" si="67"/>
        <v>ia.assorted_string like '%741-01-2022%' or</v>
      </c>
    </row>
    <row r="1533" spans="1:5" x14ac:dyDescent="0.25">
      <c r="A1533" t="s">
        <v>1598</v>
      </c>
      <c r="B1533" t="s">
        <v>2360</v>
      </c>
      <c r="C1533" t="s">
        <v>2385</v>
      </c>
      <c r="D1533">
        <v>63961</v>
      </c>
      <c r="E1533" t="str">
        <f t="shared" si="67"/>
        <v>ia.assorted_string like '%63961-09-2022%' or</v>
      </c>
    </row>
    <row r="1534" spans="1:5" x14ac:dyDescent="0.25">
      <c r="A1534" t="s">
        <v>1599</v>
      </c>
      <c r="B1534" t="s">
        <v>2358</v>
      </c>
      <c r="C1534" t="s">
        <v>2385</v>
      </c>
      <c r="D1534">
        <v>846</v>
      </c>
      <c r="E1534" t="str">
        <f t="shared" si="67"/>
        <v>ia.assorted_string like '%846-10-2022%' or</v>
      </c>
    </row>
    <row r="1535" spans="1:5" x14ac:dyDescent="0.25">
      <c r="A1535" t="s">
        <v>1600</v>
      </c>
      <c r="B1535" t="s">
        <v>2337</v>
      </c>
      <c r="C1535" t="s">
        <v>2385</v>
      </c>
      <c r="D1535">
        <v>68117</v>
      </c>
      <c r="E1535" t="str">
        <f t="shared" si="67"/>
        <v>ia.assorted_string like '%68117-02-2023%' or</v>
      </c>
    </row>
    <row r="1536" spans="1:5" x14ac:dyDescent="0.25">
      <c r="A1536" t="s">
        <v>1601</v>
      </c>
      <c r="B1536" t="s">
        <v>2336</v>
      </c>
      <c r="C1536" t="s">
        <v>2385</v>
      </c>
      <c r="D1536">
        <v>908</v>
      </c>
      <c r="E1536" t="str">
        <f t="shared" si="67"/>
        <v>ia.assorted_string like '%908-03-2023%' or</v>
      </c>
    </row>
    <row r="1537" spans="1:5" x14ac:dyDescent="0.25">
      <c r="A1537" t="s">
        <v>1602</v>
      </c>
      <c r="B1537" t="s">
        <v>2356</v>
      </c>
      <c r="C1537" t="s">
        <v>2385</v>
      </c>
      <c r="D1537">
        <v>69708</v>
      </c>
      <c r="E1537" t="str">
        <f t="shared" si="67"/>
        <v>ia.assorted_string like '%69708-04-2023%' or</v>
      </c>
    </row>
    <row r="1538" spans="1:5" x14ac:dyDescent="0.25">
      <c r="A1538" t="s">
        <v>1603</v>
      </c>
      <c r="B1538" t="s">
        <v>2336</v>
      </c>
      <c r="C1538" t="s">
        <v>2385</v>
      </c>
      <c r="D1538">
        <v>924</v>
      </c>
      <c r="E1538" t="str">
        <f t="shared" si="67"/>
        <v>ia.assorted_string like '%924-03-2023%' or</v>
      </c>
    </row>
    <row r="1539" spans="1:5" x14ac:dyDescent="0.25">
      <c r="A1539" t="s">
        <v>1604</v>
      </c>
      <c r="B1539" t="s">
        <v>2338</v>
      </c>
      <c r="C1539" t="s">
        <v>2385</v>
      </c>
      <c r="D1539">
        <v>70283</v>
      </c>
      <c r="E1539" t="str">
        <f t="shared" si="67"/>
        <v>ia.assorted_string like '%70283-05-2023%' or</v>
      </c>
    </row>
    <row r="1540" spans="1:5" x14ac:dyDescent="0.25">
      <c r="A1540" t="s">
        <v>1605</v>
      </c>
      <c r="B1540" t="s">
        <v>2354</v>
      </c>
      <c r="C1540" t="s">
        <v>2385</v>
      </c>
      <c r="D1540">
        <v>995</v>
      </c>
      <c r="E1540" t="str">
        <f t="shared" si="67"/>
        <v>ia.assorted_string like '%995-08-2023%' or</v>
      </c>
    </row>
    <row r="1541" spans="1:5" x14ac:dyDescent="0.25">
      <c r="A1541" t="s">
        <v>1606</v>
      </c>
      <c r="B1541" t="s">
        <v>2338</v>
      </c>
      <c r="C1541" t="s">
        <v>2385</v>
      </c>
      <c r="D1541">
        <v>70294</v>
      </c>
      <c r="E1541" t="str">
        <f t="shared" si="67"/>
        <v>ia.assorted_string like '%70294-05-2023%' or</v>
      </c>
    </row>
    <row r="1542" spans="1:5" x14ac:dyDescent="0.25">
      <c r="A1542" t="s">
        <v>1607</v>
      </c>
      <c r="B1542" t="s">
        <v>2344</v>
      </c>
      <c r="C1542" t="s">
        <v>2385</v>
      </c>
      <c r="D1542">
        <v>530</v>
      </c>
      <c r="E1542" t="str">
        <f t="shared" si="67"/>
        <v>ia.assorted_string like '%530-07-2023%' or</v>
      </c>
    </row>
    <row r="1543" spans="1:5" x14ac:dyDescent="0.25">
      <c r="A1543" t="s">
        <v>1608</v>
      </c>
      <c r="B1543" t="s">
        <v>2338</v>
      </c>
      <c r="C1543" t="s">
        <v>2385</v>
      </c>
      <c r="D1543">
        <v>70479</v>
      </c>
      <c r="E1543" t="str">
        <f t="shared" si="67"/>
        <v>ia.assorted_string like '%70479-05-2023%' or</v>
      </c>
    </row>
    <row r="1544" spans="1:5" x14ac:dyDescent="0.25">
      <c r="A1544" t="s">
        <v>1609</v>
      </c>
      <c r="B1544" t="s">
        <v>2349</v>
      </c>
      <c r="C1544" t="s">
        <v>2385</v>
      </c>
      <c r="D1544">
        <v>736</v>
      </c>
      <c r="E1544" t="str">
        <f t="shared" si="67"/>
        <v>ia.assorted_string like '%736-01-2022%' or</v>
      </c>
    </row>
    <row r="1545" spans="1:5" x14ac:dyDescent="0.25">
      <c r="A1545" t="s">
        <v>1610</v>
      </c>
      <c r="B1545" t="s">
        <v>2338</v>
      </c>
      <c r="C1545" t="s">
        <v>2385</v>
      </c>
      <c r="D1545">
        <v>70504</v>
      </c>
      <c r="E1545" t="str">
        <f t="shared" si="67"/>
        <v>ia.assorted_string like '%70504-05-2023%' or</v>
      </c>
    </row>
    <row r="1546" spans="1:5" x14ac:dyDescent="0.25">
      <c r="A1546" t="s">
        <v>1611</v>
      </c>
      <c r="B1546" t="s">
        <v>2344</v>
      </c>
      <c r="C1546" t="s">
        <v>2385</v>
      </c>
      <c r="D1546">
        <v>544</v>
      </c>
      <c r="E1546" t="str">
        <f t="shared" si="67"/>
        <v>ia.assorted_string like '%544-07-2023%' or</v>
      </c>
    </row>
    <row r="1547" spans="1:5" x14ac:dyDescent="0.25">
      <c r="A1547" t="s">
        <v>1612</v>
      </c>
      <c r="B1547" t="s">
        <v>2338</v>
      </c>
      <c r="C1547" t="s">
        <v>2385</v>
      </c>
      <c r="D1547">
        <v>70786</v>
      </c>
      <c r="E1547" t="str">
        <f t="shared" si="67"/>
        <v>ia.assorted_string like '%70786-05-2023%' or</v>
      </c>
    </row>
    <row r="1548" spans="1:5" x14ac:dyDescent="0.25">
      <c r="A1548" t="s">
        <v>1613</v>
      </c>
      <c r="B1548" t="s">
        <v>2344</v>
      </c>
      <c r="C1548" t="s">
        <v>2385</v>
      </c>
      <c r="D1548">
        <v>545</v>
      </c>
      <c r="E1548" t="str">
        <f t="shared" si="67"/>
        <v>ia.assorted_string like '%545-07-2023%' or</v>
      </c>
    </row>
    <row r="1549" spans="1:5" x14ac:dyDescent="0.25">
      <c r="A1549" t="s">
        <v>1614</v>
      </c>
      <c r="B1549" t="s">
        <v>2338</v>
      </c>
      <c r="C1549" t="s">
        <v>2385</v>
      </c>
      <c r="D1549">
        <v>70871</v>
      </c>
      <c r="E1549" t="str">
        <f t="shared" si="67"/>
        <v>ia.assorted_string like '%70871-05-2023%' or</v>
      </c>
    </row>
    <row r="1550" spans="1:5" x14ac:dyDescent="0.25">
      <c r="A1550" t="s">
        <v>1615</v>
      </c>
      <c r="B1550" t="s">
        <v>2344</v>
      </c>
      <c r="C1550" t="s">
        <v>2385</v>
      </c>
      <c r="D1550">
        <v>547</v>
      </c>
      <c r="E1550" t="str">
        <f t="shared" si="67"/>
        <v>ia.assorted_string like '%547-07-2023%' or</v>
      </c>
    </row>
    <row r="1551" spans="1:5" x14ac:dyDescent="0.25">
      <c r="A1551" t="s">
        <v>1616</v>
      </c>
      <c r="B1551" t="s">
        <v>2338</v>
      </c>
      <c r="C1551" t="s">
        <v>2385</v>
      </c>
      <c r="D1551">
        <v>70873</v>
      </c>
      <c r="E1551" t="str">
        <f t="shared" si="67"/>
        <v>ia.assorted_string like '%70873-05-2023%' or</v>
      </c>
    </row>
    <row r="1552" spans="1:5" x14ac:dyDescent="0.25">
      <c r="A1552" t="s">
        <v>1617</v>
      </c>
      <c r="B1552" t="s">
        <v>2344</v>
      </c>
      <c r="C1552" t="s">
        <v>2385</v>
      </c>
      <c r="D1552">
        <v>552</v>
      </c>
      <c r="E1552" t="str">
        <f t="shared" si="67"/>
        <v>ia.assorted_string like '%552-07-2023%' or</v>
      </c>
    </row>
    <row r="1553" spans="1:5" x14ac:dyDescent="0.25">
      <c r="A1553" t="s">
        <v>1618</v>
      </c>
      <c r="B1553" t="s">
        <v>2338</v>
      </c>
      <c r="C1553" t="s">
        <v>2385</v>
      </c>
      <c r="D1553">
        <v>71148</v>
      </c>
      <c r="E1553" t="str">
        <f t="shared" si="67"/>
        <v>ia.assorted_string like '%71148-05-2023%' or</v>
      </c>
    </row>
    <row r="1554" spans="1:5" x14ac:dyDescent="0.25">
      <c r="A1554" t="s">
        <v>1619</v>
      </c>
      <c r="B1554" t="s">
        <v>2351</v>
      </c>
      <c r="C1554" t="s">
        <v>2385</v>
      </c>
      <c r="D1554">
        <v>804</v>
      </c>
      <c r="E1554" t="str">
        <f t="shared" si="67"/>
        <v>ia.assorted_string like '%804-08-2022%' or</v>
      </c>
    </row>
    <row r="1555" spans="1:5" x14ac:dyDescent="0.25">
      <c r="A1555" t="s">
        <v>1620</v>
      </c>
      <c r="B1555" t="s">
        <v>2338</v>
      </c>
      <c r="C1555" t="s">
        <v>2385</v>
      </c>
      <c r="D1555">
        <v>71231</v>
      </c>
      <c r="E1555" t="str">
        <f t="shared" ref="E1555:E1618" si="68">"ia.assorted_string like '%"&amp;D1555&amp;B1555&amp;"%' or"</f>
        <v>ia.assorted_string like '%71231-05-2023%' or</v>
      </c>
    </row>
    <row r="1556" spans="1:5" x14ac:dyDescent="0.25">
      <c r="A1556" t="s">
        <v>1621</v>
      </c>
      <c r="B1556" t="s">
        <v>2360</v>
      </c>
      <c r="C1556" t="s">
        <v>2385</v>
      </c>
      <c r="D1556">
        <v>811</v>
      </c>
      <c r="E1556" t="str">
        <f t="shared" si="68"/>
        <v>ia.assorted_string like '%811-09-2022%' or</v>
      </c>
    </row>
    <row r="1557" spans="1:5" x14ac:dyDescent="0.25">
      <c r="A1557" t="s">
        <v>1622</v>
      </c>
      <c r="B1557" t="s">
        <v>2338</v>
      </c>
      <c r="C1557" t="s">
        <v>2385</v>
      </c>
      <c r="D1557">
        <v>71385</v>
      </c>
      <c r="E1557" t="str">
        <f t="shared" si="68"/>
        <v>ia.assorted_string like '%71385-05-2023%' or</v>
      </c>
    </row>
    <row r="1558" spans="1:5" x14ac:dyDescent="0.25">
      <c r="A1558" t="s">
        <v>1623</v>
      </c>
      <c r="B1558" t="s">
        <v>2344</v>
      </c>
      <c r="C1558" t="s">
        <v>2385</v>
      </c>
      <c r="D1558">
        <v>554</v>
      </c>
      <c r="E1558" t="str">
        <f t="shared" si="68"/>
        <v>ia.assorted_string like '%554-07-2023%' or</v>
      </c>
    </row>
    <row r="1559" spans="1:5" x14ac:dyDescent="0.25">
      <c r="A1559" t="s">
        <v>1624</v>
      </c>
      <c r="B1559" t="s">
        <v>2338</v>
      </c>
      <c r="C1559" t="s">
        <v>2385</v>
      </c>
      <c r="D1559">
        <v>71450</v>
      </c>
      <c r="E1559" t="str">
        <f t="shared" si="68"/>
        <v>ia.assorted_string like '%71450-05-2023%' or</v>
      </c>
    </row>
    <row r="1560" spans="1:5" x14ac:dyDescent="0.25">
      <c r="A1560" t="s">
        <v>1625</v>
      </c>
      <c r="B1560" t="s">
        <v>2358</v>
      </c>
      <c r="C1560" t="s">
        <v>2385</v>
      </c>
      <c r="D1560">
        <v>834</v>
      </c>
      <c r="E1560" t="str">
        <f t="shared" si="68"/>
        <v>ia.assorted_string like '%834-10-2022%' or</v>
      </c>
    </row>
    <row r="1561" spans="1:5" x14ac:dyDescent="0.25">
      <c r="A1561" t="s">
        <v>1626</v>
      </c>
      <c r="B1561" t="s">
        <v>2338</v>
      </c>
      <c r="C1561" t="s">
        <v>2385</v>
      </c>
      <c r="D1561">
        <v>71453</v>
      </c>
      <c r="E1561" t="str">
        <f t="shared" si="68"/>
        <v>ia.assorted_string like '%71453-05-2023%' or</v>
      </c>
    </row>
    <row r="1562" spans="1:5" x14ac:dyDescent="0.25">
      <c r="A1562" t="s">
        <v>1627</v>
      </c>
      <c r="B1562" t="s">
        <v>2358</v>
      </c>
      <c r="C1562" t="s">
        <v>2385</v>
      </c>
      <c r="D1562">
        <v>835</v>
      </c>
      <c r="E1562" t="str">
        <f t="shared" si="68"/>
        <v>ia.assorted_string like '%835-10-2022%' or</v>
      </c>
    </row>
    <row r="1563" spans="1:5" x14ac:dyDescent="0.25">
      <c r="A1563" t="s">
        <v>1628</v>
      </c>
      <c r="B1563" t="s">
        <v>2345</v>
      </c>
      <c r="C1563" t="s">
        <v>2385</v>
      </c>
      <c r="D1563">
        <v>71819</v>
      </c>
      <c r="E1563" t="str">
        <f t="shared" si="68"/>
        <v>ia.assorted_string like '%71819-06-2023%' or</v>
      </c>
    </row>
    <row r="1564" spans="1:5" x14ac:dyDescent="0.25">
      <c r="A1564" t="s">
        <v>1629</v>
      </c>
      <c r="B1564" t="s">
        <v>2344</v>
      </c>
      <c r="C1564" t="s">
        <v>2385</v>
      </c>
      <c r="D1564">
        <v>555</v>
      </c>
      <c r="E1564" t="str">
        <f t="shared" si="68"/>
        <v>ia.assorted_string like '%555-07-2023%' or</v>
      </c>
    </row>
    <row r="1565" spans="1:5" x14ac:dyDescent="0.25">
      <c r="A1565" t="s">
        <v>1630</v>
      </c>
      <c r="B1565" t="s">
        <v>2345</v>
      </c>
      <c r="C1565" t="s">
        <v>2385</v>
      </c>
      <c r="D1565">
        <v>71891</v>
      </c>
      <c r="E1565" t="str">
        <f t="shared" si="68"/>
        <v>ia.assorted_string like '%71891-06-2023%' or</v>
      </c>
    </row>
    <row r="1566" spans="1:5" x14ac:dyDescent="0.25">
      <c r="A1566" t="s">
        <v>1631</v>
      </c>
      <c r="B1566" t="s">
        <v>2348</v>
      </c>
      <c r="C1566" t="s">
        <v>2385</v>
      </c>
      <c r="D1566">
        <v>862</v>
      </c>
      <c r="E1566" t="str">
        <f t="shared" si="68"/>
        <v>ia.assorted_string like '%862-12-2022%' or</v>
      </c>
    </row>
    <row r="1567" spans="1:5" x14ac:dyDescent="0.25">
      <c r="A1567" t="s">
        <v>1632</v>
      </c>
      <c r="B1567" t="s">
        <v>2345</v>
      </c>
      <c r="C1567" t="s">
        <v>2385</v>
      </c>
      <c r="D1567">
        <v>72122</v>
      </c>
      <c r="E1567" t="str">
        <f t="shared" si="68"/>
        <v>ia.assorted_string like '%72122-06-2023%' or</v>
      </c>
    </row>
    <row r="1568" spans="1:5" x14ac:dyDescent="0.25">
      <c r="A1568" t="s">
        <v>1633</v>
      </c>
      <c r="B1568" t="s">
        <v>2344</v>
      </c>
      <c r="C1568" t="s">
        <v>2385</v>
      </c>
      <c r="D1568">
        <v>558</v>
      </c>
      <c r="E1568" t="str">
        <f t="shared" si="68"/>
        <v>ia.assorted_string like '%558-07-2023%' or</v>
      </c>
    </row>
    <row r="1569" spans="1:5" x14ac:dyDescent="0.25">
      <c r="A1569" t="s">
        <v>1634</v>
      </c>
      <c r="B1569" t="s">
        <v>2344</v>
      </c>
      <c r="C1569" t="s">
        <v>2385</v>
      </c>
      <c r="D1569">
        <v>73013</v>
      </c>
      <c r="E1569" t="str">
        <f t="shared" si="68"/>
        <v>ia.assorted_string like '%73013-07-2023%' or</v>
      </c>
    </row>
    <row r="1570" spans="1:5" x14ac:dyDescent="0.25">
      <c r="A1570" t="s">
        <v>1635</v>
      </c>
      <c r="B1570" t="s">
        <v>2336</v>
      </c>
      <c r="C1570" t="s">
        <v>2385</v>
      </c>
      <c r="D1570">
        <v>895</v>
      </c>
      <c r="E1570" t="str">
        <f t="shared" si="68"/>
        <v>ia.assorted_string like '%895-03-2023%' or</v>
      </c>
    </row>
    <row r="1571" spans="1:5" x14ac:dyDescent="0.25">
      <c r="A1571" t="s">
        <v>1636</v>
      </c>
      <c r="B1571" t="s">
        <v>2359</v>
      </c>
      <c r="C1571" t="s">
        <v>2385</v>
      </c>
      <c r="D1571">
        <v>82974</v>
      </c>
      <c r="E1571" t="str">
        <f t="shared" si="68"/>
        <v>ia.assorted_string like '%82974-02-2024%' or</v>
      </c>
    </row>
    <row r="1572" spans="1:5" x14ac:dyDescent="0.25">
      <c r="A1572" t="s">
        <v>1637</v>
      </c>
      <c r="B1572" t="s">
        <v>2336</v>
      </c>
      <c r="C1572" t="s">
        <v>2385</v>
      </c>
      <c r="D1572">
        <v>896</v>
      </c>
      <c r="E1572" t="str">
        <f t="shared" si="68"/>
        <v>ia.assorted_string like '%896-03-2023%' or</v>
      </c>
    </row>
    <row r="1573" spans="1:5" x14ac:dyDescent="0.25">
      <c r="A1573" t="s">
        <v>1638</v>
      </c>
      <c r="B1573" t="s">
        <v>2359</v>
      </c>
      <c r="C1573" t="s">
        <v>2385</v>
      </c>
      <c r="D1573">
        <v>83365</v>
      </c>
      <c r="E1573" t="str">
        <f t="shared" si="68"/>
        <v>ia.assorted_string like '%83365-02-2024%' or</v>
      </c>
    </row>
    <row r="1574" spans="1:5" x14ac:dyDescent="0.25">
      <c r="A1574" t="s">
        <v>1639</v>
      </c>
      <c r="B1574" t="s">
        <v>2336</v>
      </c>
      <c r="C1574" t="s">
        <v>2385</v>
      </c>
      <c r="D1574">
        <v>902</v>
      </c>
      <c r="E1574" t="str">
        <f t="shared" si="68"/>
        <v>ia.assorted_string like '%902-03-2023%' or</v>
      </c>
    </row>
    <row r="1575" spans="1:5" x14ac:dyDescent="0.25">
      <c r="A1575" t="s">
        <v>1640</v>
      </c>
      <c r="B1575" t="s">
        <v>2359</v>
      </c>
      <c r="C1575" t="s">
        <v>2385</v>
      </c>
      <c r="D1575">
        <v>83574</v>
      </c>
      <c r="E1575" t="str">
        <f t="shared" si="68"/>
        <v>ia.assorted_string like '%83574-02-2024%' or</v>
      </c>
    </row>
    <row r="1576" spans="1:5" x14ac:dyDescent="0.25">
      <c r="A1576" t="s">
        <v>1641</v>
      </c>
      <c r="B1576" t="s">
        <v>2336</v>
      </c>
      <c r="C1576" t="s">
        <v>2385</v>
      </c>
      <c r="D1576">
        <v>904</v>
      </c>
      <c r="E1576" t="str">
        <f t="shared" si="68"/>
        <v>ia.assorted_string like '%904-03-2023%' or</v>
      </c>
    </row>
    <row r="1577" spans="1:5" x14ac:dyDescent="0.25">
      <c r="A1577" t="s">
        <v>1642</v>
      </c>
      <c r="B1577" t="s">
        <v>2359</v>
      </c>
      <c r="C1577" t="s">
        <v>2385</v>
      </c>
      <c r="D1577">
        <v>83581</v>
      </c>
      <c r="E1577" t="str">
        <f t="shared" si="68"/>
        <v>ia.assorted_string like '%83581-02-2024%' or</v>
      </c>
    </row>
    <row r="1578" spans="1:5" x14ac:dyDescent="0.25">
      <c r="A1578" t="s">
        <v>1643</v>
      </c>
      <c r="B1578" t="s">
        <v>2336</v>
      </c>
      <c r="C1578" t="s">
        <v>2385</v>
      </c>
      <c r="D1578">
        <v>912</v>
      </c>
      <c r="E1578" t="str">
        <f t="shared" si="68"/>
        <v>ia.assorted_string like '%912-03-2023%' or</v>
      </c>
    </row>
    <row r="1579" spans="1:5" x14ac:dyDescent="0.25">
      <c r="A1579" t="s">
        <v>1644</v>
      </c>
      <c r="B1579" t="s">
        <v>2359</v>
      </c>
      <c r="C1579" t="s">
        <v>2385</v>
      </c>
      <c r="D1579">
        <v>83616</v>
      </c>
      <c r="E1579" t="str">
        <f t="shared" si="68"/>
        <v>ia.assorted_string like '%83616-02-2024%' or</v>
      </c>
    </row>
    <row r="1580" spans="1:5" x14ac:dyDescent="0.25">
      <c r="A1580" t="s">
        <v>1645</v>
      </c>
      <c r="B1580" t="s">
        <v>2336</v>
      </c>
      <c r="C1580" t="s">
        <v>2385</v>
      </c>
      <c r="D1580">
        <v>916</v>
      </c>
      <c r="E1580" t="str">
        <f t="shared" si="68"/>
        <v>ia.assorted_string like '%916-03-2023%' or</v>
      </c>
    </row>
    <row r="1581" spans="1:5" x14ac:dyDescent="0.25">
      <c r="A1581" t="s">
        <v>1646</v>
      </c>
      <c r="B1581" t="s">
        <v>2359</v>
      </c>
      <c r="C1581" t="s">
        <v>2385</v>
      </c>
      <c r="D1581">
        <v>83618</v>
      </c>
      <c r="E1581" t="str">
        <f t="shared" si="68"/>
        <v>ia.assorted_string like '%83618-02-2024%' or</v>
      </c>
    </row>
    <row r="1582" spans="1:5" x14ac:dyDescent="0.25">
      <c r="A1582" t="s">
        <v>1647</v>
      </c>
      <c r="B1582" t="s">
        <v>2336</v>
      </c>
      <c r="C1582" t="s">
        <v>2385</v>
      </c>
      <c r="D1582">
        <v>932</v>
      </c>
      <c r="E1582" t="str">
        <f t="shared" si="68"/>
        <v>ia.assorted_string like '%932-03-2023%' or</v>
      </c>
    </row>
    <row r="1583" spans="1:5" x14ac:dyDescent="0.25">
      <c r="A1583" t="s">
        <v>1648</v>
      </c>
      <c r="B1583" t="s">
        <v>2359</v>
      </c>
      <c r="C1583" t="s">
        <v>2385</v>
      </c>
      <c r="D1583">
        <v>83647</v>
      </c>
      <c r="E1583" t="str">
        <f t="shared" si="68"/>
        <v>ia.assorted_string like '%83647-02-2024%' or</v>
      </c>
    </row>
    <row r="1584" spans="1:5" x14ac:dyDescent="0.25">
      <c r="A1584" t="s">
        <v>1649</v>
      </c>
      <c r="B1584" t="s">
        <v>2345</v>
      </c>
      <c r="C1584" t="s">
        <v>2385</v>
      </c>
      <c r="D1584">
        <v>975</v>
      </c>
      <c r="E1584" t="str">
        <f t="shared" si="68"/>
        <v>ia.assorted_string like '%975-06-2023%' or</v>
      </c>
    </row>
    <row r="1585" spans="1:5" x14ac:dyDescent="0.25">
      <c r="A1585" t="s">
        <v>1650</v>
      </c>
      <c r="B1585" t="s">
        <v>2350</v>
      </c>
      <c r="C1585" t="s">
        <v>2385</v>
      </c>
      <c r="D1585">
        <v>38668</v>
      </c>
      <c r="E1585" t="str">
        <f t="shared" si="68"/>
        <v>ia.assorted_string like '%38668-01-2023%' or</v>
      </c>
    </row>
    <row r="1586" spans="1:5" x14ac:dyDescent="0.25">
      <c r="A1586" t="s">
        <v>1651</v>
      </c>
      <c r="B1586" t="s">
        <v>2344</v>
      </c>
      <c r="C1586" t="s">
        <v>2385</v>
      </c>
      <c r="D1586">
        <v>565</v>
      </c>
      <c r="E1586" t="str">
        <f t="shared" si="68"/>
        <v>ia.assorted_string like '%565-07-2023%' or</v>
      </c>
    </row>
    <row r="1587" spans="1:5" x14ac:dyDescent="0.25">
      <c r="A1587" t="s">
        <v>1652</v>
      </c>
      <c r="B1587" t="s">
        <v>2343</v>
      </c>
      <c r="C1587" t="s">
        <v>2385</v>
      </c>
      <c r="D1587">
        <v>42916</v>
      </c>
      <c r="E1587" t="str">
        <f t="shared" si="68"/>
        <v>ia.assorted_string like '%42916-06-2024%' or</v>
      </c>
    </row>
    <row r="1588" spans="1:5" x14ac:dyDescent="0.25">
      <c r="A1588" t="s">
        <v>1653</v>
      </c>
      <c r="B1588" t="s">
        <v>2344</v>
      </c>
      <c r="C1588" t="s">
        <v>2385</v>
      </c>
      <c r="D1588">
        <v>571</v>
      </c>
      <c r="E1588" t="str">
        <f t="shared" si="68"/>
        <v>ia.assorted_string like '%571-07-2023%' or</v>
      </c>
    </row>
    <row r="1589" spans="1:5" x14ac:dyDescent="0.25">
      <c r="A1589" t="s">
        <v>1654</v>
      </c>
      <c r="B1589" t="s">
        <v>2343</v>
      </c>
      <c r="C1589" t="s">
        <v>2385</v>
      </c>
      <c r="D1589">
        <v>42941</v>
      </c>
      <c r="E1589" t="str">
        <f t="shared" si="68"/>
        <v>ia.assorted_string like '%42941-06-2024%' or</v>
      </c>
    </row>
    <row r="1590" spans="1:5" x14ac:dyDescent="0.25">
      <c r="A1590" t="s">
        <v>1655</v>
      </c>
      <c r="B1590" t="s">
        <v>2344</v>
      </c>
      <c r="C1590" t="s">
        <v>2385</v>
      </c>
      <c r="D1590">
        <v>580</v>
      </c>
      <c r="E1590" t="str">
        <f t="shared" si="68"/>
        <v>ia.assorted_string like '%580-07-2023%' or</v>
      </c>
    </row>
    <row r="1591" spans="1:5" x14ac:dyDescent="0.25">
      <c r="A1591" t="s">
        <v>1656</v>
      </c>
      <c r="B1591" t="s">
        <v>2343</v>
      </c>
      <c r="C1591" t="s">
        <v>2385</v>
      </c>
      <c r="D1591">
        <v>42953</v>
      </c>
      <c r="E1591" t="str">
        <f t="shared" si="68"/>
        <v>ia.assorted_string like '%42953-06-2024%' or</v>
      </c>
    </row>
    <row r="1592" spans="1:5" x14ac:dyDescent="0.25">
      <c r="A1592" t="s">
        <v>1657</v>
      </c>
      <c r="B1592" t="s">
        <v>2344</v>
      </c>
      <c r="C1592" t="s">
        <v>2385</v>
      </c>
      <c r="D1592">
        <v>584</v>
      </c>
      <c r="E1592" t="str">
        <f t="shared" si="68"/>
        <v>ia.assorted_string like '%584-07-2023%' or</v>
      </c>
    </row>
    <row r="1593" spans="1:5" x14ac:dyDescent="0.25">
      <c r="A1593" t="s">
        <v>1658</v>
      </c>
      <c r="B1593" t="s">
        <v>2337</v>
      </c>
      <c r="C1593" t="s">
        <v>2385</v>
      </c>
      <c r="D1593">
        <v>67651</v>
      </c>
      <c r="E1593" t="str">
        <f t="shared" si="68"/>
        <v>ia.assorted_string like '%67651-02-2023%' or</v>
      </c>
    </row>
    <row r="1594" spans="1:5" x14ac:dyDescent="0.25">
      <c r="A1594" t="s">
        <v>1659</v>
      </c>
      <c r="B1594" t="s">
        <v>2344</v>
      </c>
      <c r="C1594" t="s">
        <v>2385</v>
      </c>
      <c r="D1594">
        <v>592</v>
      </c>
      <c r="E1594" t="str">
        <f t="shared" si="68"/>
        <v>ia.assorted_string like '%592-07-2023%' or</v>
      </c>
    </row>
    <row r="1595" spans="1:5" x14ac:dyDescent="0.25">
      <c r="A1595" t="s">
        <v>1660</v>
      </c>
      <c r="B1595" t="s">
        <v>2356</v>
      </c>
      <c r="C1595" t="s">
        <v>2385</v>
      </c>
      <c r="D1595">
        <v>69858</v>
      </c>
      <c r="E1595" t="str">
        <f t="shared" si="68"/>
        <v>ia.assorted_string like '%69858-04-2023%' or</v>
      </c>
    </row>
    <row r="1596" spans="1:5" x14ac:dyDescent="0.25">
      <c r="A1596" t="s">
        <v>1661</v>
      </c>
      <c r="B1596" t="s">
        <v>2344</v>
      </c>
      <c r="C1596" t="s">
        <v>2385</v>
      </c>
      <c r="D1596">
        <v>596</v>
      </c>
      <c r="E1596" t="str">
        <f t="shared" si="68"/>
        <v>ia.assorted_string like '%596-07-2023%' or</v>
      </c>
    </row>
    <row r="1597" spans="1:5" x14ac:dyDescent="0.25">
      <c r="A1597" t="s">
        <v>1662</v>
      </c>
      <c r="B1597" t="s">
        <v>2338</v>
      </c>
      <c r="C1597" t="s">
        <v>2385</v>
      </c>
      <c r="D1597">
        <v>70468</v>
      </c>
      <c r="E1597" t="str">
        <f t="shared" si="68"/>
        <v>ia.assorted_string like '%70468-05-2023%' or</v>
      </c>
    </row>
    <row r="1598" spans="1:5" x14ac:dyDescent="0.25">
      <c r="A1598" t="s">
        <v>1663</v>
      </c>
      <c r="B1598" t="s">
        <v>2344</v>
      </c>
      <c r="C1598" t="s">
        <v>2385</v>
      </c>
      <c r="D1598">
        <v>598</v>
      </c>
      <c r="E1598" t="str">
        <f t="shared" si="68"/>
        <v>ia.assorted_string like '%598-07-2023%' or</v>
      </c>
    </row>
    <row r="1599" spans="1:5" x14ac:dyDescent="0.25">
      <c r="A1599" t="s">
        <v>1664</v>
      </c>
      <c r="B1599" t="s">
        <v>2338</v>
      </c>
      <c r="C1599" t="s">
        <v>2385</v>
      </c>
      <c r="D1599">
        <v>70785</v>
      </c>
      <c r="E1599" t="str">
        <f t="shared" si="68"/>
        <v>ia.assorted_string like '%70785-05-2023%' or</v>
      </c>
    </row>
    <row r="1600" spans="1:5" x14ac:dyDescent="0.25">
      <c r="A1600" t="s">
        <v>1665</v>
      </c>
      <c r="B1600" t="s">
        <v>2363</v>
      </c>
      <c r="C1600" t="s">
        <v>2385</v>
      </c>
      <c r="D1600">
        <v>13813</v>
      </c>
      <c r="E1600" t="str">
        <f t="shared" si="68"/>
        <v>ia.assorted_string like '%13813-04-2022%' or</v>
      </c>
    </row>
    <row r="1601" spans="1:5" x14ac:dyDescent="0.25">
      <c r="A1601" t="s">
        <v>1666</v>
      </c>
      <c r="B1601" t="s">
        <v>2338</v>
      </c>
      <c r="C1601" t="s">
        <v>2385</v>
      </c>
      <c r="D1601">
        <v>70872</v>
      </c>
      <c r="E1601" t="str">
        <f t="shared" si="68"/>
        <v>ia.assorted_string like '%70872-05-2023%' or</v>
      </c>
    </row>
    <row r="1602" spans="1:5" x14ac:dyDescent="0.25">
      <c r="A1602" t="s">
        <v>1667</v>
      </c>
      <c r="B1602" t="s">
        <v>2363</v>
      </c>
      <c r="C1602" t="s">
        <v>2385</v>
      </c>
      <c r="D1602">
        <v>13863</v>
      </c>
      <c r="E1602" t="str">
        <f t="shared" si="68"/>
        <v>ia.assorted_string like '%13863-04-2022%' or</v>
      </c>
    </row>
    <row r="1603" spans="1:5" x14ac:dyDescent="0.25">
      <c r="A1603" t="s">
        <v>1668</v>
      </c>
      <c r="B1603" t="s">
        <v>2338</v>
      </c>
      <c r="C1603" t="s">
        <v>2385</v>
      </c>
      <c r="D1603">
        <v>71149</v>
      </c>
      <c r="E1603" t="str">
        <f t="shared" si="68"/>
        <v>ia.assorted_string like '%71149-05-2023%' or</v>
      </c>
    </row>
    <row r="1604" spans="1:5" x14ac:dyDescent="0.25">
      <c r="A1604" t="s">
        <v>1669</v>
      </c>
      <c r="B1604" t="s">
        <v>2344</v>
      </c>
      <c r="C1604" t="s">
        <v>2385</v>
      </c>
      <c r="D1604">
        <v>602</v>
      </c>
      <c r="E1604" t="str">
        <f t="shared" si="68"/>
        <v>ia.assorted_string like '%602-07-2023%' or</v>
      </c>
    </row>
    <row r="1605" spans="1:5" x14ac:dyDescent="0.25">
      <c r="A1605" t="s">
        <v>1670</v>
      </c>
      <c r="B1605" t="s">
        <v>2338</v>
      </c>
      <c r="C1605" t="s">
        <v>2385</v>
      </c>
      <c r="D1605">
        <v>71448</v>
      </c>
      <c r="E1605" t="str">
        <f t="shared" si="68"/>
        <v>ia.assorted_string like '%71448-05-2023%' or</v>
      </c>
    </row>
    <row r="1606" spans="1:5" x14ac:dyDescent="0.25">
      <c r="A1606" t="s">
        <v>1671</v>
      </c>
      <c r="B1606" t="s">
        <v>2344</v>
      </c>
      <c r="C1606" t="s">
        <v>2385</v>
      </c>
      <c r="D1606">
        <v>604</v>
      </c>
      <c r="E1606" t="str">
        <f t="shared" si="68"/>
        <v>ia.assorted_string like '%604-07-2023%' or</v>
      </c>
    </row>
    <row r="1607" spans="1:5" x14ac:dyDescent="0.25">
      <c r="A1607" t="s">
        <v>1672</v>
      </c>
      <c r="B1607" t="s">
        <v>2338</v>
      </c>
      <c r="C1607" t="s">
        <v>2385</v>
      </c>
      <c r="D1607">
        <v>71474</v>
      </c>
      <c r="E1607" t="str">
        <f t="shared" si="68"/>
        <v>ia.assorted_string like '%71474-05-2023%' or</v>
      </c>
    </row>
    <row r="1608" spans="1:5" x14ac:dyDescent="0.25">
      <c r="A1608" t="s">
        <v>1673</v>
      </c>
      <c r="B1608" t="s">
        <v>2357</v>
      </c>
      <c r="C1608" t="s">
        <v>2385</v>
      </c>
      <c r="D1608">
        <v>14054</v>
      </c>
      <c r="E1608" t="str">
        <f t="shared" si="68"/>
        <v>ia.assorted_string like '%14054-06-2022%' or</v>
      </c>
    </row>
    <row r="1609" spans="1:5" x14ac:dyDescent="0.25">
      <c r="A1609" t="s">
        <v>1674</v>
      </c>
      <c r="B1609" t="s">
        <v>2345</v>
      </c>
      <c r="C1609" t="s">
        <v>2385</v>
      </c>
      <c r="D1609">
        <v>71900</v>
      </c>
      <c r="E1609" t="str">
        <f t="shared" si="68"/>
        <v>ia.assorted_string like '%71900-06-2023%' or</v>
      </c>
    </row>
    <row r="1610" spans="1:5" x14ac:dyDescent="0.25">
      <c r="A1610" t="s">
        <v>1675</v>
      </c>
      <c r="B1610" t="s">
        <v>2344</v>
      </c>
      <c r="C1610" t="s">
        <v>2385</v>
      </c>
      <c r="D1610">
        <v>607</v>
      </c>
      <c r="E1610" t="str">
        <f t="shared" si="68"/>
        <v>ia.assorted_string like '%607-07-2023%' or</v>
      </c>
    </row>
    <row r="1611" spans="1:5" x14ac:dyDescent="0.25">
      <c r="A1611" t="s">
        <v>1676</v>
      </c>
      <c r="B1611" t="s">
        <v>2359</v>
      </c>
      <c r="C1611" t="s">
        <v>2385</v>
      </c>
      <c r="D1611">
        <v>82972</v>
      </c>
      <c r="E1611" t="str">
        <f t="shared" si="68"/>
        <v>ia.assorted_string like '%82972-02-2024%' or</v>
      </c>
    </row>
    <row r="1612" spans="1:5" x14ac:dyDescent="0.25">
      <c r="A1612" t="s">
        <v>1677</v>
      </c>
      <c r="B1612" t="s">
        <v>2335</v>
      </c>
      <c r="C1612" t="s">
        <v>2385</v>
      </c>
      <c r="D1612">
        <v>15142</v>
      </c>
      <c r="E1612" t="str">
        <f t="shared" si="68"/>
        <v>ia.assorted_string like '%15142-07-2022%' or</v>
      </c>
    </row>
    <row r="1613" spans="1:5" x14ac:dyDescent="0.25">
      <c r="A1613" t="s">
        <v>1678</v>
      </c>
      <c r="B1613" t="s">
        <v>2359</v>
      </c>
      <c r="C1613" t="s">
        <v>2385</v>
      </c>
      <c r="D1613">
        <v>83571</v>
      </c>
      <c r="E1613" t="str">
        <f t="shared" si="68"/>
        <v>ia.assorted_string like '%83571-02-2024%' or</v>
      </c>
    </row>
    <row r="1614" spans="1:5" x14ac:dyDescent="0.25">
      <c r="A1614" t="s">
        <v>1679</v>
      </c>
      <c r="B1614" t="s">
        <v>2344</v>
      </c>
      <c r="C1614" t="s">
        <v>2385</v>
      </c>
      <c r="D1614">
        <v>610</v>
      </c>
      <c r="E1614" t="str">
        <f t="shared" si="68"/>
        <v>ia.assorted_string like '%610-07-2023%' or</v>
      </c>
    </row>
    <row r="1615" spans="1:5" x14ac:dyDescent="0.25">
      <c r="A1615" t="s">
        <v>1680</v>
      </c>
      <c r="B1615" t="s">
        <v>2359</v>
      </c>
      <c r="C1615" t="s">
        <v>2385</v>
      </c>
      <c r="D1615">
        <v>83603</v>
      </c>
      <c r="E1615" t="str">
        <f t="shared" si="68"/>
        <v>ia.assorted_string like '%83603-02-2024%' or</v>
      </c>
    </row>
    <row r="1616" spans="1:5" x14ac:dyDescent="0.25">
      <c r="A1616" t="s">
        <v>1681</v>
      </c>
      <c r="B1616" t="s">
        <v>2344</v>
      </c>
      <c r="C1616" t="s">
        <v>2385</v>
      </c>
      <c r="D1616">
        <v>611</v>
      </c>
      <c r="E1616" t="str">
        <f t="shared" si="68"/>
        <v>ia.assorted_string like '%611-07-2023%' or</v>
      </c>
    </row>
    <row r="1617" spans="1:5" x14ac:dyDescent="0.25">
      <c r="A1617" t="s">
        <v>1682</v>
      </c>
      <c r="B1617" t="s">
        <v>2359</v>
      </c>
      <c r="C1617" t="s">
        <v>2385</v>
      </c>
      <c r="D1617">
        <v>83620</v>
      </c>
      <c r="E1617" t="str">
        <f t="shared" si="68"/>
        <v>ia.assorted_string like '%83620-02-2024%' or</v>
      </c>
    </row>
    <row r="1618" spans="1:5" x14ac:dyDescent="0.25">
      <c r="A1618" t="s">
        <v>1683</v>
      </c>
      <c r="B1618" t="s">
        <v>2344</v>
      </c>
      <c r="C1618" t="s">
        <v>2385</v>
      </c>
      <c r="D1618">
        <v>612</v>
      </c>
      <c r="E1618" t="str">
        <f t="shared" si="68"/>
        <v>ia.assorted_string like '%612-07-2023%' or</v>
      </c>
    </row>
    <row r="1619" spans="1:5" x14ac:dyDescent="0.25">
      <c r="A1619" t="s">
        <v>1684</v>
      </c>
      <c r="B1619" t="s">
        <v>2343</v>
      </c>
      <c r="C1619" t="s">
        <v>2385</v>
      </c>
      <c r="D1619">
        <v>42911</v>
      </c>
      <c r="E1619" t="str">
        <f t="shared" ref="E1619:E1682" si="69">"ia.assorted_string like '%"&amp;D1619&amp;B1619&amp;"%' or"</f>
        <v>ia.assorted_string like '%42911-06-2024%' or</v>
      </c>
    </row>
    <row r="1620" spans="1:5" x14ac:dyDescent="0.25">
      <c r="A1620" t="s">
        <v>1685</v>
      </c>
      <c r="B1620" t="s">
        <v>2344</v>
      </c>
      <c r="C1620" t="s">
        <v>2385</v>
      </c>
      <c r="D1620">
        <v>616</v>
      </c>
      <c r="E1620" t="str">
        <f t="shared" si="69"/>
        <v>ia.assorted_string like '%616-07-2023%' or</v>
      </c>
    </row>
    <row r="1621" spans="1:5" x14ac:dyDescent="0.25">
      <c r="A1621" t="s">
        <v>1686</v>
      </c>
      <c r="B1621" t="s">
        <v>2343</v>
      </c>
      <c r="C1621" t="s">
        <v>2385</v>
      </c>
      <c r="D1621">
        <v>42951</v>
      </c>
      <c r="E1621" t="str">
        <f t="shared" si="69"/>
        <v>ia.assorted_string like '%42951-06-2024%' or</v>
      </c>
    </row>
    <row r="1622" spans="1:5" x14ac:dyDescent="0.25">
      <c r="A1622" t="s">
        <v>1687</v>
      </c>
      <c r="B1622" t="s">
        <v>2344</v>
      </c>
      <c r="C1622" t="s">
        <v>2385</v>
      </c>
      <c r="D1622">
        <v>617</v>
      </c>
      <c r="E1622" t="str">
        <f t="shared" si="69"/>
        <v>ia.assorted_string like '%617-07-2023%' or</v>
      </c>
    </row>
    <row r="1623" spans="1:5" x14ac:dyDescent="0.25">
      <c r="A1623" t="s">
        <v>1688</v>
      </c>
      <c r="B1623" t="s">
        <v>2356</v>
      </c>
      <c r="C1623" t="s">
        <v>2385</v>
      </c>
      <c r="D1623">
        <v>69670</v>
      </c>
      <c r="E1623" t="str">
        <f t="shared" si="69"/>
        <v>ia.assorted_string like '%69670-04-2023%' or</v>
      </c>
    </row>
    <row r="1624" spans="1:5" x14ac:dyDescent="0.25">
      <c r="A1624" t="s">
        <v>1689</v>
      </c>
      <c r="B1624" t="s">
        <v>2344</v>
      </c>
      <c r="C1624" t="s">
        <v>2385</v>
      </c>
      <c r="D1624">
        <v>619</v>
      </c>
      <c r="E1624" t="str">
        <f t="shared" si="69"/>
        <v>ia.assorted_string like '%619-07-2023%' or</v>
      </c>
    </row>
    <row r="1625" spans="1:5" x14ac:dyDescent="0.25">
      <c r="A1625" t="s">
        <v>1690</v>
      </c>
      <c r="B1625" t="s">
        <v>2343</v>
      </c>
      <c r="C1625" t="s">
        <v>2385</v>
      </c>
      <c r="D1625">
        <v>42959</v>
      </c>
      <c r="E1625" t="str">
        <f t="shared" si="69"/>
        <v>ia.assorted_string like '%42959-06-2024%' or</v>
      </c>
    </row>
    <row r="1626" spans="1:5" x14ac:dyDescent="0.25">
      <c r="A1626" t="s">
        <v>1691</v>
      </c>
      <c r="B1626" t="s">
        <v>2348</v>
      </c>
      <c r="C1626" t="s">
        <v>2385</v>
      </c>
      <c r="D1626">
        <v>17177</v>
      </c>
      <c r="E1626" t="str">
        <f t="shared" si="69"/>
        <v>ia.assorted_string like '%17177-12-2022%' or</v>
      </c>
    </row>
    <row r="1627" spans="1:5" x14ac:dyDescent="0.25">
      <c r="A1627" t="s">
        <v>1692</v>
      </c>
      <c r="B1627" t="s">
        <v>2338</v>
      </c>
      <c r="C1627" t="s">
        <v>2385</v>
      </c>
      <c r="D1627">
        <v>71136</v>
      </c>
      <c r="E1627" t="str">
        <f t="shared" si="69"/>
        <v>ia.assorted_string like '%71136-05-2023%' or</v>
      </c>
    </row>
    <row r="1628" spans="1:5" x14ac:dyDescent="0.25">
      <c r="A1628" t="s">
        <v>1693</v>
      </c>
      <c r="B1628" t="s">
        <v>2337</v>
      </c>
      <c r="C1628" t="s">
        <v>2385</v>
      </c>
      <c r="D1628">
        <v>17880</v>
      </c>
      <c r="E1628" t="str">
        <f t="shared" si="69"/>
        <v>ia.assorted_string like '%17880-02-2023%' or</v>
      </c>
    </row>
    <row r="1629" spans="1:5" x14ac:dyDescent="0.25">
      <c r="A1629" t="s">
        <v>1694</v>
      </c>
      <c r="B1629" t="s">
        <v>2338</v>
      </c>
      <c r="C1629" t="s">
        <v>2385</v>
      </c>
      <c r="D1629">
        <v>71451</v>
      </c>
      <c r="E1629" t="str">
        <f t="shared" si="69"/>
        <v>ia.assorted_string like '%71451-05-2023%' or</v>
      </c>
    </row>
    <row r="1630" spans="1:5" x14ac:dyDescent="0.25">
      <c r="A1630" t="s">
        <v>1695</v>
      </c>
      <c r="B1630" t="s">
        <v>2344</v>
      </c>
      <c r="C1630" t="s">
        <v>2385</v>
      </c>
      <c r="D1630">
        <v>658</v>
      </c>
      <c r="E1630" t="str">
        <f t="shared" si="69"/>
        <v>ia.assorted_string like '%658-07-2023%' or</v>
      </c>
    </row>
    <row r="1631" spans="1:5" x14ac:dyDescent="0.25">
      <c r="A1631" t="s">
        <v>1696</v>
      </c>
      <c r="B1631" t="s">
        <v>2345</v>
      </c>
      <c r="C1631" t="s">
        <v>2385</v>
      </c>
      <c r="D1631">
        <v>72192</v>
      </c>
      <c r="E1631" t="str">
        <f t="shared" si="69"/>
        <v>ia.assorted_string like '%72192-06-2023%' or</v>
      </c>
    </row>
    <row r="1632" spans="1:5" x14ac:dyDescent="0.25">
      <c r="A1632" t="s">
        <v>1697</v>
      </c>
      <c r="B1632" t="s">
        <v>2344</v>
      </c>
      <c r="C1632" t="s">
        <v>2385</v>
      </c>
      <c r="D1632">
        <v>660</v>
      </c>
      <c r="E1632" t="str">
        <f t="shared" si="69"/>
        <v>ia.assorted_string like '%660-07-2023%' or</v>
      </c>
    </row>
    <row r="1633" spans="1:5" x14ac:dyDescent="0.25">
      <c r="A1633" t="s">
        <v>1698</v>
      </c>
      <c r="B1633" t="s">
        <v>2359</v>
      </c>
      <c r="C1633" t="s">
        <v>2385</v>
      </c>
      <c r="D1633">
        <v>83576</v>
      </c>
      <c r="E1633" t="str">
        <f t="shared" si="69"/>
        <v>ia.assorted_string like '%83576-02-2024%' or</v>
      </c>
    </row>
    <row r="1634" spans="1:5" x14ac:dyDescent="0.25">
      <c r="A1634" t="s">
        <v>1699</v>
      </c>
      <c r="B1634" t="s">
        <v>2336</v>
      </c>
      <c r="C1634" t="s">
        <v>2385</v>
      </c>
      <c r="D1634">
        <v>17949</v>
      </c>
      <c r="E1634" t="str">
        <f t="shared" si="69"/>
        <v>ia.assorted_string like '%17949-03-2023%' or</v>
      </c>
    </row>
    <row r="1635" spans="1:5" x14ac:dyDescent="0.25">
      <c r="A1635" t="s">
        <v>1700</v>
      </c>
      <c r="B1635" t="s">
        <v>2338</v>
      </c>
      <c r="C1635" t="s">
        <v>2385</v>
      </c>
      <c r="D1635">
        <v>39550</v>
      </c>
      <c r="E1635" t="str">
        <f t="shared" si="69"/>
        <v>ia.assorted_string like '%39550-05-2023%' or</v>
      </c>
    </row>
    <row r="1636" spans="1:5" x14ac:dyDescent="0.25">
      <c r="A1636" t="s">
        <v>1701</v>
      </c>
      <c r="B1636" t="s">
        <v>2336</v>
      </c>
      <c r="C1636" t="s">
        <v>2385</v>
      </c>
      <c r="D1636">
        <v>17950</v>
      </c>
      <c r="E1636" t="str">
        <f t="shared" si="69"/>
        <v>ia.assorted_string like '%17950-03-2023%' or</v>
      </c>
    </row>
    <row r="1637" spans="1:5" x14ac:dyDescent="0.25">
      <c r="A1637" t="s">
        <v>1702</v>
      </c>
      <c r="B1637" t="s">
        <v>2360</v>
      </c>
      <c r="C1637" t="s">
        <v>2385</v>
      </c>
      <c r="D1637">
        <v>63960</v>
      </c>
      <c r="E1637" t="str">
        <f t="shared" si="69"/>
        <v>ia.assorted_string like '%63960-09-2022%' or</v>
      </c>
    </row>
    <row r="1638" spans="1:5" x14ac:dyDescent="0.25">
      <c r="A1638" t="s">
        <v>1703</v>
      </c>
      <c r="B1638" t="s">
        <v>2344</v>
      </c>
      <c r="C1638" t="s">
        <v>2385</v>
      </c>
      <c r="D1638">
        <v>661</v>
      </c>
      <c r="E1638" t="str">
        <f t="shared" si="69"/>
        <v>ia.assorted_string like '%661-07-2023%' or</v>
      </c>
    </row>
    <row r="1639" spans="1:5" x14ac:dyDescent="0.25">
      <c r="A1639" t="s">
        <v>1704</v>
      </c>
      <c r="B1639" t="s">
        <v>2338</v>
      </c>
      <c r="C1639" t="s">
        <v>2385</v>
      </c>
      <c r="D1639">
        <v>70869</v>
      </c>
      <c r="E1639" t="str">
        <f t="shared" si="69"/>
        <v>ia.assorted_string like '%70869-05-2023%' or</v>
      </c>
    </row>
    <row r="1640" spans="1:5" x14ac:dyDescent="0.25">
      <c r="A1640" t="s">
        <v>1705</v>
      </c>
      <c r="B1640" t="s">
        <v>2344</v>
      </c>
      <c r="C1640" t="s">
        <v>2385</v>
      </c>
      <c r="D1640">
        <v>670</v>
      </c>
      <c r="E1640" t="str">
        <f t="shared" si="69"/>
        <v>ia.assorted_string like '%670-07-2023%' or</v>
      </c>
    </row>
    <row r="1641" spans="1:5" x14ac:dyDescent="0.25">
      <c r="A1641" t="s">
        <v>1706</v>
      </c>
      <c r="B1641" t="s">
        <v>2345</v>
      </c>
      <c r="C1641" t="s">
        <v>2385</v>
      </c>
      <c r="D1641">
        <v>71825</v>
      </c>
      <c r="E1641" t="str">
        <f t="shared" si="69"/>
        <v>ia.assorted_string like '%71825-06-2023%' or</v>
      </c>
    </row>
    <row r="1642" spans="1:5" x14ac:dyDescent="0.25">
      <c r="A1642" t="s">
        <v>1707</v>
      </c>
      <c r="B1642" t="s">
        <v>2356</v>
      </c>
      <c r="C1642" t="s">
        <v>2385</v>
      </c>
      <c r="D1642">
        <v>18257</v>
      </c>
      <c r="E1642" t="str">
        <f t="shared" si="69"/>
        <v>ia.assorted_string like '%18257-04-2023%' or</v>
      </c>
    </row>
    <row r="1643" spans="1:5" x14ac:dyDescent="0.25">
      <c r="A1643" t="s">
        <v>1708</v>
      </c>
      <c r="B1643" t="s">
        <v>2359</v>
      </c>
      <c r="C1643" t="s">
        <v>2385</v>
      </c>
      <c r="D1643">
        <v>83617</v>
      </c>
      <c r="E1643" t="str">
        <f t="shared" si="69"/>
        <v>ia.assorted_string like '%83617-02-2024%' or</v>
      </c>
    </row>
    <row r="1644" spans="1:5" x14ac:dyDescent="0.25">
      <c r="A1644" t="s">
        <v>1709</v>
      </c>
      <c r="B1644" t="s">
        <v>2338</v>
      </c>
      <c r="C1644" t="s">
        <v>2385</v>
      </c>
      <c r="D1644">
        <v>18795</v>
      </c>
      <c r="E1644" t="str">
        <f t="shared" si="69"/>
        <v>ia.assorted_string like '%18795-05-2023%' or</v>
      </c>
    </row>
    <row r="1645" spans="1:5" x14ac:dyDescent="0.25">
      <c r="A1645" t="s">
        <v>1710</v>
      </c>
      <c r="B1645" t="s">
        <v>2338</v>
      </c>
      <c r="C1645" t="s">
        <v>2385</v>
      </c>
      <c r="D1645">
        <v>70289</v>
      </c>
      <c r="E1645" t="str">
        <f t="shared" si="69"/>
        <v>ia.assorted_string like '%70289-05-2023%' or</v>
      </c>
    </row>
    <row r="1646" spans="1:5" x14ac:dyDescent="0.25">
      <c r="A1646" t="s">
        <v>1711</v>
      </c>
      <c r="B1646" t="s">
        <v>2344</v>
      </c>
      <c r="C1646" t="s">
        <v>2385</v>
      </c>
      <c r="D1646">
        <v>674</v>
      </c>
      <c r="E1646" t="str">
        <f t="shared" si="69"/>
        <v>ia.assorted_string like '%674-07-2023%' or</v>
      </c>
    </row>
    <row r="1647" spans="1:5" x14ac:dyDescent="0.25">
      <c r="A1647" t="s">
        <v>1712</v>
      </c>
      <c r="B1647" t="s">
        <v>2359</v>
      </c>
      <c r="C1647" t="s">
        <v>2385</v>
      </c>
      <c r="D1647">
        <v>82977</v>
      </c>
      <c r="E1647" t="str">
        <f t="shared" si="69"/>
        <v>ia.assorted_string like '%82977-02-2024%' or</v>
      </c>
    </row>
    <row r="1648" spans="1:5" x14ac:dyDescent="0.25">
      <c r="A1648" t="s">
        <v>1713</v>
      </c>
      <c r="B1648" t="s">
        <v>2338</v>
      </c>
      <c r="C1648" t="s">
        <v>2385</v>
      </c>
      <c r="D1648">
        <v>71384</v>
      </c>
      <c r="E1648" t="str">
        <f t="shared" si="69"/>
        <v>ia.assorted_string like '%71384-05-2023%' or</v>
      </c>
    </row>
    <row r="1649" spans="1:5" x14ac:dyDescent="0.25">
      <c r="A1649" t="s">
        <v>1714</v>
      </c>
      <c r="B1649" t="s">
        <v>2335</v>
      </c>
      <c r="C1649" t="s">
        <v>2385</v>
      </c>
      <c r="D1649">
        <v>62102</v>
      </c>
      <c r="E1649" t="str">
        <f t="shared" si="69"/>
        <v>ia.assorted_string like '%62102-07-2022%' or</v>
      </c>
    </row>
    <row r="1650" spans="1:5" x14ac:dyDescent="0.25">
      <c r="A1650" t="s">
        <v>1715</v>
      </c>
      <c r="B1650" t="s">
        <v>2358</v>
      </c>
      <c r="C1650" t="s">
        <v>2385</v>
      </c>
      <c r="D1650">
        <v>64140</v>
      </c>
      <c r="E1650" t="str">
        <f t="shared" si="69"/>
        <v>ia.assorted_string like '%64140-10-2022%' or</v>
      </c>
    </row>
    <row r="1651" spans="1:5" x14ac:dyDescent="0.25">
      <c r="A1651" t="s">
        <v>1716</v>
      </c>
      <c r="B1651" t="s">
        <v>2348</v>
      </c>
      <c r="C1651" t="s">
        <v>2385</v>
      </c>
      <c r="D1651">
        <v>17153</v>
      </c>
      <c r="E1651" t="str">
        <f t="shared" si="69"/>
        <v>ia.assorted_string like '%17153-12-2022%' or</v>
      </c>
    </row>
    <row r="1652" spans="1:5" x14ac:dyDescent="0.25">
      <c r="A1652" t="s">
        <v>1717</v>
      </c>
      <c r="B1652" t="s">
        <v>2353</v>
      </c>
      <c r="C1652" t="s">
        <v>2385</v>
      </c>
      <c r="D1652">
        <v>16642</v>
      </c>
      <c r="E1652" t="str">
        <f t="shared" si="69"/>
        <v>ia.assorted_string like '%16642-11-2022%' or</v>
      </c>
    </row>
    <row r="1653" spans="1:5" x14ac:dyDescent="0.25">
      <c r="A1653" t="s">
        <v>1718</v>
      </c>
      <c r="B1653" t="s">
        <v>2360</v>
      </c>
      <c r="C1653" t="s">
        <v>2385</v>
      </c>
      <c r="D1653">
        <v>2224</v>
      </c>
      <c r="E1653" t="str">
        <f t="shared" si="69"/>
        <v>ia.assorted_string like '%2224-09-2022%' or</v>
      </c>
    </row>
    <row r="1654" spans="1:5" x14ac:dyDescent="0.25">
      <c r="A1654" t="s">
        <v>1719</v>
      </c>
      <c r="B1654" t="s">
        <v>2335</v>
      </c>
      <c r="C1654" t="s">
        <v>2385</v>
      </c>
      <c r="D1654">
        <v>15161</v>
      </c>
      <c r="E1654" t="str">
        <f t="shared" si="69"/>
        <v>ia.assorted_string like '%15161-07-2022%' or</v>
      </c>
    </row>
    <row r="1655" spans="1:5" x14ac:dyDescent="0.25">
      <c r="A1655" t="s">
        <v>1720</v>
      </c>
      <c r="B1655" t="s">
        <v>2338</v>
      </c>
      <c r="C1655" t="s">
        <v>2385</v>
      </c>
      <c r="D1655">
        <v>18497</v>
      </c>
      <c r="E1655" t="str">
        <f t="shared" si="69"/>
        <v>ia.assorted_string like '%18497-05-2023%' or</v>
      </c>
    </row>
    <row r="1656" spans="1:5" x14ac:dyDescent="0.25">
      <c r="A1656" t="s">
        <v>1721</v>
      </c>
      <c r="B1656" t="s">
        <v>2338</v>
      </c>
      <c r="C1656" t="s">
        <v>2385</v>
      </c>
      <c r="D1656">
        <v>18519</v>
      </c>
      <c r="E1656" t="str">
        <f t="shared" si="69"/>
        <v>ia.assorted_string like '%18519-05-2023%' or</v>
      </c>
    </row>
    <row r="1657" spans="1:5" x14ac:dyDescent="0.25">
      <c r="A1657" t="s">
        <v>1722</v>
      </c>
      <c r="B1657" t="s">
        <v>2353</v>
      </c>
      <c r="C1657" t="s">
        <v>2385</v>
      </c>
      <c r="D1657">
        <v>16797</v>
      </c>
      <c r="E1657" t="str">
        <f t="shared" si="69"/>
        <v>ia.assorted_string like '%16797-11-2022%' or</v>
      </c>
    </row>
    <row r="1658" spans="1:5" x14ac:dyDescent="0.25">
      <c r="A1658" t="s">
        <v>1723</v>
      </c>
      <c r="B1658" t="s">
        <v>2375</v>
      </c>
      <c r="C1658" t="s">
        <v>2385</v>
      </c>
      <c r="D1658">
        <v>13899</v>
      </c>
      <c r="E1658" t="str">
        <f t="shared" si="69"/>
        <v>ia.assorted_string like '%13899-05-2022%' or</v>
      </c>
    </row>
    <row r="1659" spans="1:5" x14ac:dyDescent="0.25">
      <c r="A1659" t="s">
        <v>1724</v>
      </c>
      <c r="B1659" t="s">
        <v>2351</v>
      </c>
      <c r="C1659" t="s">
        <v>2385</v>
      </c>
      <c r="D1659">
        <v>15206</v>
      </c>
      <c r="E1659" t="str">
        <f t="shared" si="69"/>
        <v>ia.assorted_string like '%15206-08-2022%' or</v>
      </c>
    </row>
    <row r="1660" spans="1:5" x14ac:dyDescent="0.25">
      <c r="A1660" t="s">
        <v>1725</v>
      </c>
      <c r="B1660" t="s">
        <v>2375</v>
      </c>
      <c r="C1660" t="s">
        <v>2385</v>
      </c>
      <c r="D1660">
        <v>13908</v>
      </c>
      <c r="E1660" t="str">
        <f t="shared" si="69"/>
        <v>ia.assorted_string like '%13908-05-2022%' or</v>
      </c>
    </row>
    <row r="1661" spans="1:5" x14ac:dyDescent="0.25">
      <c r="A1661" t="s">
        <v>1726</v>
      </c>
      <c r="B1661" t="s">
        <v>2338</v>
      </c>
      <c r="C1661" t="s">
        <v>2385</v>
      </c>
      <c r="D1661">
        <v>18642</v>
      </c>
      <c r="E1661" t="str">
        <f t="shared" si="69"/>
        <v>ia.assorted_string like '%18642-05-2023%' or</v>
      </c>
    </row>
    <row r="1662" spans="1:5" x14ac:dyDescent="0.25">
      <c r="A1662" t="s">
        <v>1727</v>
      </c>
      <c r="B1662" t="s">
        <v>2353</v>
      </c>
      <c r="C1662" t="s">
        <v>2385</v>
      </c>
      <c r="D1662">
        <v>16813</v>
      </c>
      <c r="E1662" t="str">
        <f t="shared" si="69"/>
        <v>ia.assorted_string like '%16813-11-2022%' or</v>
      </c>
    </row>
    <row r="1663" spans="1:5" x14ac:dyDescent="0.25">
      <c r="A1663" t="s">
        <v>1728</v>
      </c>
      <c r="B1663" t="s">
        <v>2351</v>
      </c>
      <c r="C1663" t="s">
        <v>2385</v>
      </c>
      <c r="D1663">
        <v>15225</v>
      </c>
      <c r="E1663" t="str">
        <f t="shared" si="69"/>
        <v>ia.assorted_string like '%15225-08-2022%' or</v>
      </c>
    </row>
    <row r="1664" spans="1:5" x14ac:dyDescent="0.25">
      <c r="A1664" t="s">
        <v>1729</v>
      </c>
      <c r="B1664" t="s">
        <v>2348</v>
      </c>
      <c r="C1664" t="s">
        <v>2385</v>
      </c>
      <c r="D1664">
        <v>2337</v>
      </c>
      <c r="E1664" t="str">
        <f t="shared" si="69"/>
        <v>ia.assorted_string like '%2337-12-2022%' or</v>
      </c>
    </row>
    <row r="1665" spans="1:5" x14ac:dyDescent="0.25">
      <c r="A1665" t="s">
        <v>1730</v>
      </c>
      <c r="B1665" t="s">
        <v>2351</v>
      </c>
      <c r="C1665" t="s">
        <v>2385</v>
      </c>
      <c r="D1665">
        <v>15251</v>
      </c>
      <c r="E1665" t="str">
        <f t="shared" si="69"/>
        <v>ia.assorted_string like '%15251-08-2022%' or</v>
      </c>
    </row>
    <row r="1666" spans="1:5" x14ac:dyDescent="0.25">
      <c r="A1666" t="s">
        <v>1731</v>
      </c>
      <c r="B1666" t="s">
        <v>2375</v>
      </c>
      <c r="C1666" t="s">
        <v>2385</v>
      </c>
      <c r="D1666">
        <v>13920</v>
      </c>
      <c r="E1666" t="str">
        <f t="shared" si="69"/>
        <v>ia.assorted_string like '%13920-05-2022%' or</v>
      </c>
    </row>
    <row r="1667" spans="1:5" x14ac:dyDescent="0.25">
      <c r="A1667" t="s">
        <v>1732</v>
      </c>
      <c r="B1667" t="s">
        <v>2344</v>
      </c>
      <c r="C1667" t="s">
        <v>2385</v>
      </c>
      <c r="D1667">
        <v>19474</v>
      </c>
      <c r="E1667" t="str">
        <f t="shared" si="69"/>
        <v>ia.assorted_string like '%19474-07-2023%' or</v>
      </c>
    </row>
    <row r="1668" spans="1:5" x14ac:dyDescent="0.25">
      <c r="A1668" t="s">
        <v>1733</v>
      </c>
      <c r="B1668" t="s">
        <v>2356</v>
      </c>
      <c r="C1668" t="s">
        <v>2385</v>
      </c>
      <c r="D1668">
        <v>2720</v>
      </c>
      <c r="E1668" t="str">
        <f t="shared" si="69"/>
        <v>ia.assorted_string like '%2720-04-2023%' or</v>
      </c>
    </row>
    <row r="1669" spans="1:5" x14ac:dyDescent="0.25">
      <c r="A1669" t="s">
        <v>1734</v>
      </c>
      <c r="B1669" t="s">
        <v>2351</v>
      </c>
      <c r="C1669" t="s">
        <v>2385</v>
      </c>
      <c r="D1669">
        <v>15264</v>
      </c>
      <c r="E1669" t="str">
        <f t="shared" si="69"/>
        <v>ia.assorted_string like '%15264-08-2022%' or</v>
      </c>
    </row>
    <row r="1670" spans="1:5" x14ac:dyDescent="0.25">
      <c r="A1670" t="s">
        <v>1735</v>
      </c>
      <c r="B1670" t="s">
        <v>2358</v>
      </c>
      <c r="C1670" t="s">
        <v>2385</v>
      </c>
      <c r="D1670">
        <v>2245</v>
      </c>
      <c r="E1670" t="str">
        <f t="shared" si="69"/>
        <v>ia.assorted_string like '%2245-10-2022%' or</v>
      </c>
    </row>
    <row r="1671" spans="1:5" x14ac:dyDescent="0.25">
      <c r="A1671" t="s">
        <v>1736</v>
      </c>
      <c r="B1671" t="s">
        <v>2351</v>
      </c>
      <c r="C1671" t="s">
        <v>2385</v>
      </c>
      <c r="D1671">
        <v>15278</v>
      </c>
      <c r="E1671" t="str">
        <f t="shared" si="69"/>
        <v>ia.assorted_string like '%15278-08-2022%' or</v>
      </c>
    </row>
    <row r="1672" spans="1:5" x14ac:dyDescent="0.25">
      <c r="A1672" t="s">
        <v>1737</v>
      </c>
      <c r="B1672" t="s">
        <v>2336</v>
      </c>
      <c r="C1672" t="s">
        <v>2385</v>
      </c>
      <c r="D1672">
        <v>2626</v>
      </c>
      <c r="E1672" t="str">
        <f t="shared" si="69"/>
        <v>ia.assorted_string like '%2626-03-2023%' or</v>
      </c>
    </row>
    <row r="1673" spans="1:5" x14ac:dyDescent="0.25">
      <c r="A1673" t="s">
        <v>1738</v>
      </c>
      <c r="B1673" t="s">
        <v>2354</v>
      </c>
      <c r="C1673" t="s">
        <v>2385</v>
      </c>
      <c r="D1673">
        <v>19500</v>
      </c>
      <c r="E1673" t="str">
        <f t="shared" si="69"/>
        <v>ia.assorted_string like '%19500-08-2023%' or</v>
      </c>
    </row>
    <row r="1674" spans="1:5" x14ac:dyDescent="0.25">
      <c r="A1674" t="s">
        <v>1739</v>
      </c>
      <c r="B1674" t="s">
        <v>2375</v>
      </c>
      <c r="C1674" t="s">
        <v>2385</v>
      </c>
      <c r="D1674">
        <v>13947</v>
      </c>
      <c r="E1674" t="str">
        <f t="shared" si="69"/>
        <v>ia.assorted_string like '%13947-05-2022%' or</v>
      </c>
    </row>
    <row r="1675" spans="1:5" x14ac:dyDescent="0.25">
      <c r="A1675" t="s">
        <v>1740</v>
      </c>
      <c r="B1675" t="s">
        <v>2349</v>
      </c>
      <c r="C1675" t="s">
        <v>2385</v>
      </c>
      <c r="D1675">
        <v>13619</v>
      </c>
      <c r="E1675" t="str">
        <f t="shared" si="69"/>
        <v>ia.assorted_string like '%13619-01-2022%' or</v>
      </c>
    </row>
    <row r="1676" spans="1:5" x14ac:dyDescent="0.25">
      <c r="A1676" t="s">
        <v>1741</v>
      </c>
      <c r="B1676" t="s">
        <v>2348</v>
      </c>
      <c r="C1676" t="s">
        <v>2385</v>
      </c>
      <c r="D1676">
        <v>16881</v>
      </c>
      <c r="E1676" t="str">
        <f t="shared" si="69"/>
        <v>ia.assorted_string like '%16881-12-2022%' or</v>
      </c>
    </row>
    <row r="1677" spans="1:5" x14ac:dyDescent="0.25">
      <c r="A1677" t="s">
        <v>1742</v>
      </c>
      <c r="B1677" t="s">
        <v>2364</v>
      </c>
      <c r="C1677" t="s">
        <v>2385</v>
      </c>
      <c r="D1677">
        <v>13194</v>
      </c>
      <c r="E1677" t="str">
        <f t="shared" si="69"/>
        <v>ia.assorted_string like '%13194-12-2021%' or</v>
      </c>
    </row>
    <row r="1678" spans="1:5" x14ac:dyDescent="0.25">
      <c r="A1678" t="s">
        <v>1743</v>
      </c>
      <c r="B1678" t="s">
        <v>2375</v>
      </c>
      <c r="C1678" t="s">
        <v>2385</v>
      </c>
      <c r="D1678">
        <v>13954</v>
      </c>
      <c r="E1678" t="str">
        <f t="shared" si="69"/>
        <v>ia.assorted_string like '%13954-05-2022%' or</v>
      </c>
    </row>
    <row r="1679" spans="1:5" x14ac:dyDescent="0.25">
      <c r="A1679" t="s">
        <v>1744</v>
      </c>
      <c r="B1679" t="s">
        <v>2366</v>
      </c>
      <c r="C1679" t="s">
        <v>2385</v>
      </c>
      <c r="D1679">
        <v>13065</v>
      </c>
      <c r="E1679" t="str">
        <f t="shared" si="69"/>
        <v>ia.assorted_string like '%13065-11-2021%' or</v>
      </c>
    </row>
    <row r="1680" spans="1:5" x14ac:dyDescent="0.25">
      <c r="A1680" t="s">
        <v>1745</v>
      </c>
      <c r="B1680" t="s">
        <v>2348</v>
      </c>
      <c r="C1680" t="s">
        <v>2385</v>
      </c>
      <c r="D1680">
        <v>17079</v>
      </c>
      <c r="E1680" t="str">
        <f t="shared" si="69"/>
        <v>ia.assorted_string like '%17079-12-2022%' or</v>
      </c>
    </row>
    <row r="1681" spans="1:5" x14ac:dyDescent="0.25">
      <c r="A1681" t="s">
        <v>1746</v>
      </c>
      <c r="B1681" t="s">
        <v>2372</v>
      </c>
      <c r="C1681" t="s">
        <v>2385</v>
      </c>
      <c r="D1681">
        <v>20846</v>
      </c>
      <c r="E1681" t="str">
        <f t="shared" si="69"/>
        <v>ia.assorted_string like '%20846-12-2023%' or</v>
      </c>
    </row>
    <row r="1682" spans="1:5" x14ac:dyDescent="0.25">
      <c r="A1682" t="s">
        <v>1747</v>
      </c>
      <c r="B1682" t="s">
        <v>2357</v>
      </c>
      <c r="C1682" t="s">
        <v>2385</v>
      </c>
      <c r="D1682">
        <v>36778</v>
      </c>
      <c r="E1682" t="str">
        <f t="shared" si="69"/>
        <v>ia.assorted_string like '%36778-06-2022%' or</v>
      </c>
    </row>
    <row r="1683" spans="1:5" x14ac:dyDescent="0.25">
      <c r="A1683" t="s">
        <v>1748</v>
      </c>
      <c r="B1683" t="s">
        <v>2360</v>
      </c>
      <c r="C1683" t="s">
        <v>2385</v>
      </c>
      <c r="D1683">
        <v>15833</v>
      </c>
      <c r="E1683" t="str">
        <f t="shared" ref="E1683:E1746" si="70">"ia.assorted_string like '%"&amp;D1683&amp;B1683&amp;"%' or"</f>
        <v>ia.assorted_string like '%15833-09-2022%' or</v>
      </c>
    </row>
    <row r="1684" spans="1:5" x14ac:dyDescent="0.25">
      <c r="A1684" t="s">
        <v>1749</v>
      </c>
      <c r="B1684" t="s">
        <v>2357</v>
      </c>
      <c r="C1684" t="s">
        <v>2385</v>
      </c>
      <c r="D1684">
        <v>36861</v>
      </c>
      <c r="E1684" t="str">
        <f t="shared" si="70"/>
        <v>ia.assorted_string like '%36861-06-2022%' or</v>
      </c>
    </row>
    <row r="1685" spans="1:5" x14ac:dyDescent="0.25">
      <c r="A1685" t="s">
        <v>1750</v>
      </c>
      <c r="B1685" t="s">
        <v>2360</v>
      </c>
      <c r="C1685" t="s">
        <v>2385</v>
      </c>
      <c r="D1685">
        <v>15907</v>
      </c>
      <c r="E1685" t="str">
        <f t="shared" si="70"/>
        <v>ia.assorted_string like '%15907-09-2022%' or</v>
      </c>
    </row>
    <row r="1686" spans="1:5" x14ac:dyDescent="0.25">
      <c r="A1686" t="s">
        <v>1751</v>
      </c>
      <c r="B1686" t="s">
        <v>2351</v>
      </c>
      <c r="C1686" t="s">
        <v>2385</v>
      </c>
      <c r="D1686">
        <v>37285</v>
      </c>
      <c r="E1686" t="str">
        <f t="shared" si="70"/>
        <v>ia.assorted_string like '%37285-08-2022%' or</v>
      </c>
    </row>
    <row r="1687" spans="1:5" x14ac:dyDescent="0.25">
      <c r="A1687" t="s">
        <v>1752</v>
      </c>
      <c r="B1687" t="s">
        <v>2366</v>
      </c>
      <c r="C1687" t="s">
        <v>2385</v>
      </c>
      <c r="D1687">
        <v>1852</v>
      </c>
      <c r="E1687" t="str">
        <f t="shared" si="70"/>
        <v>ia.assorted_string like '%1852-11-2021%' or</v>
      </c>
    </row>
    <row r="1688" spans="1:5" x14ac:dyDescent="0.25">
      <c r="A1688" t="s">
        <v>1753</v>
      </c>
      <c r="B1688" t="s">
        <v>2360</v>
      </c>
      <c r="C1688" t="s">
        <v>2385</v>
      </c>
      <c r="D1688">
        <v>37464</v>
      </c>
      <c r="E1688" t="str">
        <f t="shared" si="70"/>
        <v>ia.assorted_string like '%37464-09-2022%' or</v>
      </c>
    </row>
    <row r="1689" spans="1:5" x14ac:dyDescent="0.25">
      <c r="A1689" t="s">
        <v>1754</v>
      </c>
      <c r="B1689" t="s">
        <v>2349</v>
      </c>
      <c r="C1689" t="s">
        <v>2385</v>
      </c>
      <c r="D1689">
        <v>1953</v>
      </c>
      <c r="E1689" t="str">
        <f t="shared" si="70"/>
        <v>ia.assorted_string like '%1953-01-2022%' or</v>
      </c>
    </row>
    <row r="1690" spans="1:5" x14ac:dyDescent="0.25">
      <c r="A1690" t="s">
        <v>1755</v>
      </c>
      <c r="B1690" t="s">
        <v>2348</v>
      </c>
      <c r="C1690" t="s">
        <v>2385</v>
      </c>
      <c r="D1690">
        <v>17122</v>
      </c>
      <c r="E1690" t="str">
        <f t="shared" si="70"/>
        <v>ia.assorted_string like '%17122-12-2022%' or</v>
      </c>
    </row>
    <row r="1691" spans="1:5" x14ac:dyDescent="0.25">
      <c r="A1691" t="s">
        <v>1756</v>
      </c>
      <c r="B1691" t="s">
        <v>2335</v>
      </c>
      <c r="C1691" t="s">
        <v>2385</v>
      </c>
      <c r="D1691">
        <v>2102</v>
      </c>
      <c r="E1691" t="str">
        <f t="shared" si="70"/>
        <v>ia.assorted_string like '%2102-07-2022%' or</v>
      </c>
    </row>
    <row r="1692" spans="1:5" x14ac:dyDescent="0.25">
      <c r="A1692" t="s">
        <v>1757</v>
      </c>
      <c r="B1692" t="s">
        <v>2360</v>
      </c>
      <c r="C1692" t="s">
        <v>2385</v>
      </c>
      <c r="D1692">
        <v>37520</v>
      </c>
      <c r="E1692" t="str">
        <f t="shared" si="70"/>
        <v>ia.assorted_string like '%37520-09-2022%' or</v>
      </c>
    </row>
    <row r="1693" spans="1:5" x14ac:dyDescent="0.25">
      <c r="A1693" t="s">
        <v>1758</v>
      </c>
      <c r="B1693" t="s">
        <v>2358</v>
      </c>
      <c r="C1693" t="s">
        <v>2385</v>
      </c>
      <c r="D1693">
        <v>2251</v>
      </c>
      <c r="E1693" t="str">
        <f t="shared" si="70"/>
        <v>ia.assorted_string like '%2251-10-2022%' or</v>
      </c>
    </row>
    <row r="1694" spans="1:5" x14ac:dyDescent="0.25">
      <c r="A1694" t="s">
        <v>1759</v>
      </c>
      <c r="B1694" t="s">
        <v>2358</v>
      </c>
      <c r="C1694" t="s">
        <v>2385</v>
      </c>
      <c r="D1694">
        <v>37549</v>
      </c>
      <c r="E1694" t="str">
        <f t="shared" si="70"/>
        <v>ia.assorted_string like '%37549-10-2022%' or</v>
      </c>
    </row>
    <row r="1695" spans="1:5" x14ac:dyDescent="0.25">
      <c r="A1695" t="s">
        <v>1760</v>
      </c>
      <c r="B1695" t="s">
        <v>2336</v>
      </c>
      <c r="C1695" t="s">
        <v>2385</v>
      </c>
      <c r="D1695">
        <v>2596</v>
      </c>
      <c r="E1695" t="str">
        <f t="shared" si="70"/>
        <v>ia.assorted_string like '%2596-03-2023%' or</v>
      </c>
    </row>
    <row r="1696" spans="1:5" x14ac:dyDescent="0.25">
      <c r="A1696" t="s">
        <v>1761</v>
      </c>
      <c r="B1696" t="s">
        <v>2358</v>
      </c>
      <c r="C1696" t="s">
        <v>2385</v>
      </c>
      <c r="D1696">
        <v>37552</v>
      </c>
      <c r="E1696" t="str">
        <f t="shared" si="70"/>
        <v>ia.assorted_string like '%37552-10-2022%' or</v>
      </c>
    </row>
    <row r="1697" spans="1:5" x14ac:dyDescent="0.25">
      <c r="A1697" t="s">
        <v>1762</v>
      </c>
      <c r="B1697" t="s">
        <v>2336</v>
      </c>
      <c r="C1697" t="s">
        <v>2385</v>
      </c>
      <c r="D1697">
        <v>2628</v>
      </c>
      <c r="E1697" t="str">
        <f t="shared" si="70"/>
        <v>ia.assorted_string like '%2628-03-2023%' or</v>
      </c>
    </row>
    <row r="1698" spans="1:5" x14ac:dyDescent="0.25">
      <c r="A1698" t="s">
        <v>1763</v>
      </c>
      <c r="B1698" t="s">
        <v>2357</v>
      </c>
      <c r="C1698" t="s">
        <v>2385</v>
      </c>
      <c r="D1698">
        <v>14033</v>
      </c>
      <c r="E1698" t="str">
        <f t="shared" si="70"/>
        <v>ia.assorted_string like '%14033-06-2022%' or</v>
      </c>
    </row>
    <row r="1699" spans="1:5" x14ac:dyDescent="0.25">
      <c r="A1699" t="s">
        <v>1764</v>
      </c>
      <c r="B1699" t="s">
        <v>2363</v>
      </c>
      <c r="C1699" t="s">
        <v>2385</v>
      </c>
      <c r="D1699">
        <v>13845</v>
      </c>
      <c r="E1699" t="str">
        <f t="shared" si="70"/>
        <v>ia.assorted_string like '%13845-04-2022%' or</v>
      </c>
    </row>
    <row r="1700" spans="1:5" x14ac:dyDescent="0.25">
      <c r="A1700" t="s">
        <v>1765</v>
      </c>
      <c r="B1700" t="s">
        <v>2358</v>
      </c>
      <c r="C1700" t="s">
        <v>2385</v>
      </c>
      <c r="D1700">
        <v>37708</v>
      </c>
      <c r="E1700" t="str">
        <f t="shared" si="70"/>
        <v>ia.assorted_string like '%37708-10-2022%' or</v>
      </c>
    </row>
    <row r="1701" spans="1:5" x14ac:dyDescent="0.25">
      <c r="A1701" t="s">
        <v>1766</v>
      </c>
      <c r="B1701" t="s">
        <v>2344</v>
      </c>
      <c r="C1701" t="s">
        <v>2385</v>
      </c>
      <c r="D1701">
        <v>3008</v>
      </c>
      <c r="E1701" t="str">
        <f t="shared" si="70"/>
        <v>ia.assorted_string like '%3008-07-2023%' or</v>
      </c>
    </row>
    <row r="1702" spans="1:5" x14ac:dyDescent="0.25">
      <c r="A1702" t="s">
        <v>1767</v>
      </c>
      <c r="B1702" t="s">
        <v>2358</v>
      </c>
      <c r="C1702" t="s">
        <v>2385</v>
      </c>
      <c r="D1702">
        <v>37716</v>
      </c>
      <c r="E1702" t="str">
        <f t="shared" si="70"/>
        <v>ia.assorted_string like '%37716-10-2022%' or</v>
      </c>
    </row>
    <row r="1703" spans="1:5" x14ac:dyDescent="0.25">
      <c r="A1703" t="s">
        <v>1768</v>
      </c>
      <c r="B1703" t="s">
        <v>2363</v>
      </c>
      <c r="C1703" t="s">
        <v>2385</v>
      </c>
      <c r="D1703">
        <v>13867</v>
      </c>
      <c r="E1703" t="str">
        <f t="shared" si="70"/>
        <v>ia.assorted_string like '%13867-04-2022%' or</v>
      </c>
    </row>
    <row r="1704" spans="1:5" x14ac:dyDescent="0.25">
      <c r="A1704" t="s">
        <v>1769</v>
      </c>
      <c r="B1704" t="s">
        <v>2358</v>
      </c>
      <c r="C1704" t="s">
        <v>2385</v>
      </c>
      <c r="D1704">
        <v>37720</v>
      </c>
      <c r="E1704" t="str">
        <f t="shared" si="70"/>
        <v>ia.assorted_string like '%37720-10-2022%' or</v>
      </c>
    </row>
    <row r="1705" spans="1:5" x14ac:dyDescent="0.25">
      <c r="A1705" t="s">
        <v>1770</v>
      </c>
      <c r="B1705" t="s">
        <v>2366</v>
      </c>
      <c r="C1705" t="s">
        <v>2385</v>
      </c>
      <c r="D1705">
        <v>1851</v>
      </c>
      <c r="E1705" t="str">
        <f t="shared" si="70"/>
        <v>ia.assorted_string like '%1851-11-2021%' or</v>
      </c>
    </row>
    <row r="1706" spans="1:5" x14ac:dyDescent="0.25">
      <c r="A1706" t="s">
        <v>1771</v>
      </c>
      <c r="B1706" t="s">
        <v>2353</v>
      </c>
      <c r="C1706" t="s">
        <v>2385</v>
      </c>
      <c r="D1706">
        <v>37853</v>
      </c>
      <c r="E1706" t="str">
        <f t="shared" si="70"/>
        <v>ia.assorted_string like '%37853-11-2022%' or</v>
      </c>
    </row>
    <row r="1707" spans="1:5" x14ac:dyDescent="0.25">
      <c r="A1707" t="s">
        <v>1772</v>
      </c>
      <c r="B1707" t="s">
        <v>2364</v>
      </c>
      <c r="C1707" t="s">
        <v>2385</v>
      </c>
      <c r="D1707">
        <v>1878</v>
      </c>
      <c r="E1707" t="str">
        <f t="shared" si="70"/>
        <v>ia.assorted_string like '%1878-12-2021%' or</v>
      </c>
    </row>
    <row r="1708" spans="1:5" x14ac:dyDescent="0.25">
      <c r="A1708" t="s">
        <v>1773</v>
      </c>
      <c r="B1708" t="s">
        <v>2353</v>
      </c>
      <c r="C1708" t="s">
        <v>2385</v>
      </c>
      <c r="D1708">
        <v>38051</v>
      </c>
      <c r="E1708" t="str">
        <f t="shared" si="70"/>
        <v>ia.assorted_string like '%38051-11-2022%' or</v>
      </c>
    </row>
    <row r="1709" spans="1:5" x14ac:dyDescent="0.25">
      <c r="A1709" t="s">
        <v>1774</v>
      </c>
      <c r="B1709" t="s">
        <v>2364</v>
      </c>
      <c r="C1709" t="s">
        <v>2385</v>
      </c>
      <c r="D1709">
        <v>1887</v>
      </c>
      <c r="E1709" t="str">
        <f t="shared" si="70"/>
        <v>ia.assorted_string like '%1887-12-2021%' or</v>
      </c>
    </row>
    <row r="1710" spans="1:5" x14ac:dyDescent="0.25">
      <c r="A1710" t="s">
        <v>1775</v>
      </c>
      <c r="B1710" t="s">
        <v>2348</v>
      </c>
      <c r="C1710" t="s">
        <v>2385</v>
      </c>
      <c r="D1710">
        <v>17142</v>
      </c>
      <c r="E1710" t="str">
        <f t="shared" si="70"/>
        <v>ia.assorted_string like '%17142-12-2022%' or</v>
      </c>
    </row>
    <row r="1711" spans="1:5" x14ac:dyDescent="0.25">
      <c r="A1711" t="s">
        <v>1776</v>
      </c>
      <c r="B1711" t="s">
        <v>2364</v>
      </c>
      <c r="C1711" t="s">
        <v>2385</v>
      </c>
      <c r="D1711">
        <v>1900</v>
      </c>
      <c r="E1711" t="str">
        <f t="shared" si="70"/>
        <v>ia.assorted_string like '%1900-12-2021%' or</v>
      </c>
    </row>
    <row r="1712" spans="1:5" x14ac:dyDescent="0.25">
      <c r="A1712" t="s">
        <v>1777</v>
      </c>
      <c r="B1712" t="s">
        <v>2353</v>
      </c>
      <c r="C1712" t="s">
        <v>2385</v>
      </c>
      <c r="D1712">
        <v>38148</v>
      </c>
      <c r="E1712" t="str">
        <f t="shared" si="70"/>
        <v>ia.assorted_string like '%38148-11-2022%' or</v>
      </c>
    </row>
    <row r="1713" spans="1:5" x14ac:dyDescent="0.25">
      <c r="A1713" t="s">
        <v>1778</v>
      </c>
      <c r="B1713" t="s">
        <v>2366</v>
      </c>
      <c r="C1713" t="s">
        <v>2385</v>
      </c>
      <c r="D1713">
        <v>12986</v>
      </c>
      <c r="E1713" t="str">
        <f t="shared" si="70"/>
        <v>ia.assorted_string like '%12986-11-2021%' or</v>
      </c>
    </row>
    <row r="1714" spans="1:5" x14ac:dyDescent="0.25">
      <c r="A1714" t="s">
        <v>1779</v>
      </c>
      <c r="B1714" t="s">
        <v>2353</v>
      </c>
      <c r="C1714" t="s">
        <v>2385</v>
      </c>
      <c r="D1714">
        <v>38149</v>
      </c>
      <c r="E1714" t="str">
        <f t="shared" si="70"/>
        <v>ia.assorted_string like '%38149-11-2022%' or</v>
      </c>
    </row>
    <row r="1715" spans="1:5" x14ac:dyDescent="0.25">
      <c r="A1715" t="s">
        <v>1780</v>
      </c>
      <c r="B1715" t="s">
        <v>2338</v>
      </c>
      <c r="C1715" t="s">
        <v>2385</v>
      </c>
      <c r="D1715">
        <v>18516</v>
      </c>
      <c r="E1715" t="str">
        <f t="shared" si="70"/>
        <v>ia.assorted_string like '%18516-05-2023%' or</v>
      </c>
    </row>
    <row r="1716" spans="1:5" x14ac:dyDescent="0.25">
      <c r="A1716" t="s">
        <v>1781</v>
      </c>
      <c r="B1716" t="s">
        <v>2353</v>
      </c>
      <c r="C1716" t="s">
        <v>2385</v>
      </c>
      <c r="D1716">
        <v>38157</v>
      </c>
      <c r="E1716" t="str">
        <f t="shared" si="70"/>
        <v>ia.assorted_string like '%38157-11-2022%' or</v>
      </c>
    </row>
    <row r="1717" spans="1:5" x14ac:dyDescent="0.25">
      <c r="A1717" t="s">
        <v>1782</v>
      </c>
      <c r="B1717" t="s">
        <v>2364</v>
      </c>
      <c r="C1717" t="s">
        <v>2385</v>
      </c>
      <c r="D1717">
        <v>13560</v>
      </c>
      <c r="E1717" t="str">
        <f t="shared" si="70"/>
        <v>ia.assorted_string like '%13560-12-2021%' or</v>
      </c>
    </row>
    <row r="1718" spans="1:5" x14ac:dyDescent="0.25">
      <c r="A1718" t="s">
        <v>1783</v>
      </c>
      <c r="B1718" t="s">
        <v>2357</v>
      </c>
      <c r="C1718" t="s">
        <v>2385</v>
      </c>
      <c r="D1718">
        <v>14044</v>
      </c>
      <c r="E1718" t="str">
        <f t="shared" si="70"/>
        <v>ia.assorted_string like '%14044-06-2022%' or</v>
      </c>
    </row>
    <row r="1719" spans="1:5" x14ac:dyDescent="0.25">
      <c r="A1719" t="s">
        <v>1784</v>
      </c>
      <c r="B1719" t="s">
        <v>2335</v>
      </c>
      <c r="C1719" t="s">
        <v>2385</v>
      </c>
      <c r="D1719">
        <v>15159</v>
      </c>
      <c r="E1719" t="str">
        <f t="shared" si="70"/>
        <v>ia.assorted_string like '%15159-07-2022%' or</v>
      </c>
    </row>
    <row r="1720" spans="1:5" x14ac:dyDescent="0.25">
      <c r="A1720" t="s">
        <v>1785</v>
      </c>
      <c r="B1720" t="s">
        <v>2353</v>
      </c>
      <c r="C1720" t="s">
        <v>2385</v>
      </c>
      <c r="D1720">
        <v>38182</v>
      </c>
      <c r="E1720" t="str">
        <f t="shared" si="70"/>
        <v>ia.assorted_string like '%38182-11-2022%' or</v>
      </c>
    </row>
    <row r="1721" spans="1:5" x14ac:dyDescent="0.25">
      <c r="A1721" t="s">
        <v>1786</v>
      </c>
      <c r="B1721" t="s">
        <v>2345</v>
      </c>
      <c r="C1721" t="s">
        <v>2385</v>
      </c>
      <c r="D1721">
        <v>18811</v>
      </c>
      <c r="E1721" t="str">
        <f t="shared" si="70"/>
        <v>ia.assorted_string like '%18811-06-2023%' or</v>
      </c>
    </row>
    <row r="1722" spans="1:5" x14ac:dyDescent="0.25">
      <c r="A1722" t="s">
        <v>1787</v>
      </c>
      <c r="B1722" t="s">
        <v>2353</v>
      </c>
      <c r="C1722" t="s">
        <v>2385</v>
      </c>
      <c r="D1722">
        <v>38184</v>
      </c>
      <c r="E1722" t="str">
        <f t="shared" si="70"/>
        <v>ia.assorted_string like '%38184-11-2022%' or</v>
      </c>
    </row>
    <row r="1723" spans="1:5" x14ac:dyDescent="0.25">
      <c r="A1723" t="s">
        <v>1788</v>
      </c>
      <c r="B1723" t="s">
        <v>2344</v>
      </c>
      <c r="C1723" t="s">
        <v>2385</v>
      </c>
      <c r="D1723">
        <v>19283</v>
      </c>
      <c r="E1723" t="str">
        <f t="shared" si="70"/>
        <v>ia.assorted_string like '%19283-07-2023%' or</v>
      </c>
    </row>
    <row r="1724" spans="1:5" x14ac:dyDescent="0.25">
      <c r="A1724" t="s">
        <v>1789</v>
      </c>
      <c r="B1724" t="s">
        <v>2348</v>
      </c>
      <c r="C1724" t="s">
        <v>2385</v>
      </c>
      <c r="D1724">
        <v>17149</v>
      </c>
      <c r="E1724" t="str">
        <f t="shared" si="70"/>
        <v>ia.assorted_string like '%17149-12-2022%' or</v>
      </c>
    </row>
    <row r="1725" spans="1:5" x14ac:dyDescent="0.25">
      <c r="A1725" t="s">
        <v>1790</v>
      </c>
      <c r="B1725" t="s">
        <v>2351</v>
      </c>
      <c r="C1725" t="s">
        <v>2385</v>
      </c>
      <c r="D1725">
        <v>15277</v>
      </c>
      <c r="E1725" t="str">
        <f t="shared" si="70"/>
        <v>ia.assorted_string like '%15277-08-2022%' or</v>
      </c>
    </row>
    <row r="1726" spans="1:5" x14ac:dyDescent="0.25">
      <c r="A1726" t="s">
        <v>1791</v>
      </c>
      <c r="B1726" t="s">
        <v>2353</v>
      </c>
      <c r="C1726" t="s">
        <v>2385</v>
      </c>
      <c r="D1726">
        <v>38195</v>
      </c>
      <c r="E1726" t="str">
        <f t="shared" si="70"/>
        <v>ia.assorted_string like '%38195-11-2022%' or</v>
      </c>
    </row>
    <row r="1727" spans="1:5" x14ac:dyDescent="0.25">
      <c r="A1727" t="s">
        <v>1792</v>
      </c>
      <c r="B1727" t="s">
        <v>2366</v>
      </c>
      <c r="C1727" t="s">
        <v>2385</v>
      </c>
      <c r="D1727">
        <v>13100</v>
      </c>
      <c r="E1727" t="str">
        <f t="shared" si="70"/>
        <v>ia.assorted_string like '%13100-11-2021%' or</v>
      </c>
    </row>
    <row r="1728" spans="1:5" x14ac:dyDescent="0.25">
      <c r="A1728" t="s">
        <v>1793</v>
      </c>
      <c r="B1728" t="s">
        <v>2357</v>
      </c>
      <c r="C1728" t="s">
        <v>2385</v>
      </c>
      <c r="D1728">
        <v>14053</v>
      </c>
      <c r="E1728" t="str">
        <f t="shared" si="70"/>
        <v>ia.assorted_string like '%14053-06-2022%' or</v>
      </c>
    </row>
    <row r="1729" spans="1:5" x14ac:dyDescent="0.25">
      <c r="A1729" t="s">
        <v>1794</v>
      </c>
      <c r="B1729" t="s">
        <v>2349</v>
      </c>
      <c r="C1729" t="s">
        <v>2385</v>
      </c>
      <c r="D1729">
        <v>13626</v>
      </c>
      <c r="E1729" t="str">
        <f t="shared" si="70"/>
        <v>ia.assorted_string like '%13626-01-2022%' or</v>
      </c>
    </row>
    <row r="1730" spans="1:5" x14ac:dyDescent="0.25">
      <c r="A1730" t="s">
        <v>1795</v>
      </c>
      <c r="B1730" t="s">
        <v>2348</v>
      </c>
      <c r="C1730" t="s">
        <v>2385</v>
      </c>
      <c r="D1730">
        <v>17156</v>
      </c>
      <c r="E1730" t="str">
        <f t="shared" si="70"/>
        <v>ia.assorted_string like '%17156-12-2022%' or</v>
      </c>
    </row>
    <row r="1731" spans="1:5" x14ac:dyDescent="0.25">
      <c r="A1731" t="s">
        <v>1796</v>
      </c>
      <c r="B1731" t="s">
        <v>2360</v>
      </c>
      <c r="C1731" t="s">
        <v>2385</v>
      </c>
      <c r="D1731">
        <v>15817</v>
      </c>
      <c r="E1731" t="str">
        <f t="shared" si="70"/>
        <v>ia.assorted_string like '%15817-09-2022%' or</v>
      </c>
    </row>
    <row r="1732" spans="1:5" x14ac:dyDescent="0.25">
      <c r="A1732" t="s">
        <v>1797</v>
      </c>
      <c r="B1732" t="s">
        <v>2357</v>
      </c>
      <c r="C1732" t="s">
        <v>2385</v>
      </c>
      <c r="D1732">
        <v>15012</v>
      </c>
      <c r="E1732" t="str">
        <f t="shared" si="70"/>
        <v>ia.assorted_string like '%15012-06-2022%' or</v>
      </c>
    </row>
    <row r="1733" spans="1:5" x14ac:dyDescent="0.25">
      <c r="A1733" t="s">
        <v>1798</v>
      </c>
      <c r="B1733" t="s">
        <v>2360</v>
      </c>
      <c r="C1733" t="s">
        <v>2385</v>
      </c>
      <c r="D1733">
        <v>15936</v>
      </c>
      <c r="E1733" t="str">
        <f t="shared" si="70"/>
        <v>ia.assorted_string like '%15936-09-2022%' or</v>
      </c>
    </row>
    <row r="1734" spans="1:5" x14ac:dyDescent="0.25">
      <c r="A1734" t="s">
        <v>1799</v>
      </c>
      <c r="B1734" t="s">
        <v>2348</v>
      </c>
      <c r="C1734" t="s">
        <v>2385</v>
      </c>
      <c r="D1734">
        <v>17163</v>
      </c>
      <c r="E1734" t="str">
        <f t="shared" si="70"/>
        <v>ia.assorted_string like '%17163-12-2022%' or</v>
      </c>
    </row>
    <row r="1735" spans="1:5" x14ac:dyDescent="0.25">
      <c r="A1735" t="s">
        <v>1800</v>
      </c>
      <c r="B1735" t="s">
        <v>2365</v>
      </c>
      <c r="C1735" t="s">
        <v>2385</v>
      </c>
      <c r="D1735">
        <v>2033</v>
      </c>
      <c r="E1735" t="str">
        <f t="shared" si="70"/>
        <v>ia.assorted_string like '%2033-03-2022%' or</v>
      </c>
    </row>
    <row r="1736" spans="1:5" x14ac:dyDescent="0.25">
      <c r="A1736" t="s">
        <v>1801</v>
      </c>
      <c r="B1736" t="s">
        <v>2348</v>
      </c>
      <c r="C1736" t="s">
        <v>2385</v>
      </c>
      <c r="D1736">
        <v>17184</v>
      </c>
      <c r="E1736" t="str">
        <f t="shared" si="70"/>
        <v>ia.assorted_string like '%17184-12-2022%' or</v>
      </c>
    </row>
    <row r="1737" spans="1:5" x14ac:dyDescent="0.25">
      <c r="A1737" t="s">
        <v>1802</v>
      </c>
      <c r="B1737" t="s">
        <v>2363</v>
      </c>
      <c r="C1737" t="s">
        <v>2385</v>
      </c>
      <c r="D1737">
        <v>13806</v>
      </c>
      <c r="E1737" t="str">
        <f t="shared" si="70"/>
        <v>ia.assorted_string like '%13806-04-2022%' or</v>
      </c>
    </row>
    <row r="1738" spans="1:5" x14ac:dyDescent="0.25">
      <c r="A1738" t="s">
        <v>1803</v>
      </c>
      <c r="B1738" t="s">
        <v>2337</v>
      </c>
      <c r="C1738" t="s">
        <v>2385</v>
      </c>
      <c r="D1738">
        <v>39044</v>
      </c>
      <c r="E1738" t="str">
        <f t="shared" si="70"/>
        <v>ia.assorted_string like '%39044-02-2023%' or</v>
      </c>
    </row>
    <row r="1739" spans="1:5" x14ac:dyDescent="0.25">
      <c r="A1739" t="s">
        <v>1804</v>
      </c>
      <c r="B1739" t="s">
        <v>2336</v>
      </c>
      <c r="C1739" t="s">
        <v>2385</v>
      </c>
      <c r="D1739">
        <v>2631</v>
      </c>
      <c r="E1739" t="str">
        <f t="shared" si="70"/>
        <v>ia.assorted_string like '%2631-03-2023%' or</v>
      </c>
    </row>
    <row r="1740" spans="1:5" x14ac:dyDescent="0.25">
      <c r="A1740" t="s">
        <v>1805</v>
      </c>
      <c r="B1740" t="s">
        <v>2348</v>
      </c>
      <c r="C1740" t="s">
        <v>2385</v>
      </c>
      <c r="D1740">
        <v>17188</v>
      </c>
      <c r="E1740" t="str">
        <f t="shared" si="70"/>
        <v>ia.assorted_string like '%17188-12-2022%' or</v>
      </c>
    </row>
    <row r="1741" spans="1:5" x14ac:dyDescent="0.25">
      <c r="A1741" t="s">
        <v>1806</v>
      </c>
      <c r="B1741" t="s">
        <v>2354</v>
      </c>
      <c r="C1741" t="s">
        <v>2385</v>
      </c>
      <c r="D1741">
        <v>3041</v>
      </c>
      <c r="E1741" t="str">
        <f t="shared" si="70"/>
        <v>ia.assorted_string like '%3041-08-2023%' or</v>
      </c>
    </row>
    <row r="1742" spans="1:5" x14ac:dyDescent="0.25">
      <c r="A1742" t="s">
        <v>1807</v>
      </c>
      <c r="B1742" t="s">
        <v>2357</v>
      </c>
      <c r="C1742" t="s">
        <v>2385</v>
      </c>
      <c r="D1742">
        <v>15025</v>
      </c>
      <c r="E1742" t="str">
        <f t="shared" si="70"/>
        <v>ia.assorted_string like '%15025-06-2022%' or</v>
      </c>
    </row>
    <row r="1743" spans="1:5" x14ac:dyDescent="0.25">
      <c r="A1743" t="s">
        <v>1808</v>
      </c>
      <c r="B1743" t="s">
        <v>2353</v>
      </c>
      <c r="C1743" t="s">
        <v>2385</v>
      </c>
      <c r="D1743">
        <v>16602</v>
      </c>
      <c r="E1743" t="str">
        <f t="shared" si="70"/>
        <v>ia.assorted_string like '%16602-11-2022%' or</v>
      </c>
    </row>
    <row r="1744" spans="1:5" x14ac:dyDescent="0.25">
      <c r="A1744" t="s">
        <v>1809</v>
      </c>
      <c r="B1744" t="s">
        <v>2356</v>
      </c>
      <c r="C1744" t="s">
        <v>2385</v>
      </c>
      <c r="D1744">
        <v>39422</v>
      </c>
      <c r="E1744" t="str">
        <f t="shared" si="70"/>
        <v>ia.assorted_string like '%39422-04-2023%' or</v>
      </c>
    </row>
    <row r="1745" spans="1:5" x14ac:dyDescent="0.25">
      <c r="A1745" t="s">
        <v>1810</v>
      </c>
      <c r="B1745" t="s">
        <v>2364</v>
      </c>
      <c r="C1745" t="s">
        <v>2385</v>
      </c>
      <c r="D1745">
        <v>1898</v>
      </c>
      <c r="E1745" t="str">
        <f t="shared" si="70"/>
        <v>ia.assorted_string like '%1898-12-2021%' or</v>
      </c>
    </row>
    <row r="1746" spans="1:5" x14ac:dyDescent="0.25">
      <c r="A1746" t="s">
        <v>1811</v>
      </c>
      <c r="B1746" t="s">
        <v>2338</v>
      </c>
      <c r="C1746" t="s">
        <v>2385</v>
      </c>
      <c r="D1746">
        <v>39606</v>
      </c>
      <c r="E1746" t="str">
        <f t="shared" si="70"/>
        <v>ia.assorted_string like '%39606-05-2023%' or</v>
      </c>
    </row>
    <row r="1747" spans="1:5" x14ac:dyDescent="0.25">
      <c r="A1747" t="s">
        <v>1812</v>
      </c>
      <c r="B1747" t="s">
        <v>2360</v>
      </c>
      <c r="C1747" t="s">
        <v>2385</v>
      </c>
      <c r="D1747">
        <v>2205</v>
      </c>
      <c r="E1747" t="str">
        <f t="shared" ref="E1747:E1780" si="71">"ia.assorted_string like '%"&amp;D1747&amp;B1747&amp;"%' or"</f>
        <v>ia.assorted_string like '%2205-09-2022%' or</v>
      </c>
    </row>
    <row r="1748" spans="1:5" x14ac:dyDescent="0.25">
      <c r="A1748" t="s">
        <v>1813</v>
      </c>
      <c r="B1748" t="s">
        <v>2338</v>
      </c>
      <c r="C1748" t="s">
        <v>2385</v>
      </c>
      <c r="D1748">
        <v>39615</v>
      </c>
      <c r="E1748" t="str">
        <f t="shared" si="71"/>
        <v>ia.assorted_string like '%39615-05-2023%' or</v>
      </c>
    </row>
    <row r="1749" spans="1:5" x14ac:dyDescent="0.25">
      <c r="A1749" t="s">
        <v>1814</v>
      </c>
      <c r="B1749" t="s">
        <v>2353</v>
      </c>
      <c r="C1749" t="s">
        <v>2385</v>
      </c>
      <c r="D1749">
        <v>16791</v>
      </c>
      <c r="E1749" t="str">
        <f t="shared" si="71"/>
        <v>ia.assorted_string like '%16791-11-2022%' or</v>
      </c>
    </row>
    <row r="1750" spans="1:5" x14ac:dyDescent="0.25">
      <c r="A1750" t="s">
        <v>1815</v>
      </c>
      <c r="B1750" t="s">
        <v>2350</v>
      </c>
      <c r="C1750" t="s">
        <v>2385</v>
      </c>
      <c r="D1750">
        <v>17399</v>
      </c>
      <c r="E1750" t="str">
        <f t="shared" si="71"/>
        <v>ia.assorted_string like '%17399-01-2023%' or</v>
      </c>
    </row>
    <row r="1751" spans="1:5" x14ac:dyDescent="0.25">
      <c r="A1751" t="s">
        <v>1816</v>
      </c>
      <c r="B1751" t="s">
        <v>2351</v>
      </c>
      <c r="C1751" t="s">
        <v>2385</v>
      </c>
      <c r="D1751">
        <v>15248</v>
      </c>
      <c r="E1751" t="str">
        <f t="shared" si="71"/>
        <v>ia.assorted_string like '%15248-08-2022%' or</v>
      </c>
    </row>
    <row r="1752" spans="1:5" x14ac:dyDescent="0.25">
      <c r="A1752" t="s">
        <v>1817</v>
      </c>
      <c r="B1752" t="s">
        <v>2335</v>
      </c>
      <c r="C1752" t="s">
        <v>2385</v>
      </c>
      <c r="D1752">
        <v>15052</v>
      </c>
      <c r="E1752" t="str">
        <f t="shared" si="71"/>
        <v>ia.assorted_string like '%15052-07-2022%' or</v>
      </c>
    </row>
    <row r="1753" spans="1:5" x14ac:dyDescent="0.25">
      <c r="A1753" t="s">
        <v>1818</v>
      </c>
      <c r="B1753" t="s">
        <v>2364</v>
      </c>
      <c r="C1753" t="s">
        <v>2385</v>
      </c>
      <c r="D1753">
        <v>13567</v>
      </c>
      <c r="E1753" t="str">
        <f t="shared" si="71"/>
        <v>ia.assorted_string like '%13567-12-2021%' or</v>
      </c>
    </row>
    <row r="1754" spans="1:5" x14ac:dyDescent="0.25">
      <c r="A1754" t="s">
        <v>1819</v>
      </c>
      <c r="B1754" t="s">
        <v>2337</v>
      </c>
      <c r="C1754" t="s">
        <v>2385</v>
      </c>
      <c r="D1754">
        <v>17671</v>
      </c>
      <c r="E1754" t="str">
        <f t="shared" si="71"/>
        <v>ia.assorted_string like '%17671-02-2023%' or</v>
      </c>
    </row>
    <row r="1755" spans="1:5" x14ac:dyDescent="0.25">
      <c r="A1755" t="s">
        <v>1820</v>
      </c>
      <c r="B1755" t="s">
        <v>2364</v>
      </c>
      <c r="C1755" t="s">
        <v>2385</v>
      </c>
      <c r="D1755">
        <v>13211</v>
      </c>
      <c r="E1755" t="str">
        <f t="shared" si="71"/>
        <v>ia.assorted_string like '%13211-12-2021%' or</v>
      </c>
    </row>
    <row r="1756" spans="1:5" x14ac:dyDescent="0.25">
      <c r="A1756" t="s">
        <v>1821</v>
      </c>
      <c r="B1756" t="s">
        <v>2337</v>
      </c>
      <c r="C1756" t="s">
        <v>2385</v>
      </c>
      <c r="D1756">
        <v>17886</v>
      </c>
      <c r="E1756" t="str">
        <f t="shared" si="71"/>
        <v>ia.assorted_string like '%17886-02-2023%' or</v>
      </c>
    </row>
    <row r="1757" spans="1:5" x14ac:dyDescent="0.25">
      <c r="A1757" t="s">
        <v>1822</v>
      </c>
      <c r="B1757" t="s">
        <v>2365</v>
      </c>
      <c r="C1757" t="s">
        <v>2385</v>
      </c>
      <c r="D1757">
        <v>13733</v>
      </c>
      <c r="E1757" t="str">
        <f t="shared" si="71"/>
        <v>ia.assorted_string like '%13733-03-2022%' or</v>
      </c>
    </row>
    <row r="1758" spans="1:5" x14ac:dyDescent="0.25">
      <c r="A1758" t="s">
        <v>1823</v>
      </c>
      <c r="B1758" t="s">
        <v>2336</v>
      </c>
      <c r="C1758" t="s">
        <v>2385</v>
      </c>
      <c r="D1758">
        <v>17892</v>
      </c>
      <c r="E1758" t="str">
        <f t="shared" si="71"/>
        <v>ia.assorted_string like '%17892-03-2023%' or</v>
      </c>
    </row>
    <row r="1759" spans="1:5" x14ac:dyDescent="0.25">
      <c r="A1759" t="s">
        <v>1824</v>
      </c>
      <c r="B1759" t="s">
        <v>2336</v>
      </c>
      <c r="C1759" t="s">
        <v>2385</v>
      </c>
      <c r="D1759">
        <v>2627</v>
      </c>
      <c r="E1759" t="str">
        <f t="shared" si="71"/>
        <v>ia.assorted_string like '%2627-03-2023%' or</v>
      </c>
    </row>
    <row r="1760" spans="1:5" x14ac:dyDescent="0.25">
      <c r="A1760" t="s">
        <v>1825</v>
      </c>
      <c r="B1760" t="s">
        <v>2336</v>
      </c>
      <c r="C1760" t="s">
        <v>2385</v>
      </c>
      <c r="D1760">
        <v>17893</v>
      </c>
      <c r="E1760" t="str">
        <f t="shared" si="71"/>
        <v>ia.assorted_string like '%17893-03-2023%' or</v>
      </c>
    </row>
    <row r="1761" spans="1:5" x14ac:dyDescent="0.25">
      <c r="A1761" t="s">
        <v>1826</v>
      </c>
      <c r="B1761" t="s">
        <v>2363</v>
      </c>
      <c r="C1761" t="s">
        <v>2385</v>
      </c>
      <c r="D1761">
        <v>13868</v>
      </c>
      <c r="E1761" t="str">
        <f t="shared" si="71"/>
        <v>ia.assorted_string like '%13868-04-2022%' or</v>
      </c>
    </row>
    <row r="1762" spans="1:5" x14ac:dyDescent="0.25">
      <c r="A1762" t="s">
        <v>1827</v>
      </c>
      <c r="B1762" t="s">
        <v>2335</v>
      </c>
      <c r="C1762" t="s">
        <v>2385</v>
      </c>
      <c r="D1762">
        <v>15076</v>
      </c>
      <c r="E1762" t="str">
        <f t="shared" si="71"/>
        <v>ia.assorted_string like '%15076-07-2022%' or</v>
      </c>
    </row>
    <row r="1763" spans="1:5" x14ac:dyDescent="0.25">
      <c r="A1763" t="s">
        <v>1828</v>
      </c>
      <c r="B1763" t="s">
        <v>2351</v>
      </c>
      <c r="C1763" t="s">
        <v>2385</v>
      </c>
      <c r="D1763">
        <v>2157</v>
      </c>
      <c r="E1763" t="str">
        <f t="shared" si="71"/>
        <v>ia.assorted_string like '%2157-08-2022%' or</v>
      </c>
    </row>
    <row r="1764" spans="1:5" x14ac:dyDescent="0.25">
      <c r="A1764" t="s">
        <v>1829</v>
      </c>
      <c r="B1764" t="s">
        <v>2336</v>
      </c>
      <c r="C1764" t="s">
        <v>2385</v>
      </c>
      <c r="D1764">
        <v>17951</v>
      </c>
      <c r="E1764" t="str">
        <f t="shared" si="71"/>
        <v>ia.assorted_string like '%17951-03-2023%' or</v>
      </c>
    </row>
    <row r="1765" spans="1:5" x14ac:dyDescent="0.25">
      <c r="A1765" t="s">
        <v>1830</v>
      </c>
      <c r="B1765" t="s">
        <v>2351</v>
      </c>
      <c r="C1765" t="s">
        <v>2385</v>
      </c>
      <c r="D1765">
        <v>15207</v>
      </c>
      <c r="E1765" t="str">
        <f t="shared" si="71"/>
        <v>ia.assorted_string like '%15207-08-2022%' or</v>
      </c>
    </row>
    <row r="1766" spans="1:5" x14ac:dyDescent="0.25">
      <c r="A1766" t="s">
        <v>1831</v>
      </c>
      <c r="B1766" t="s">
        <v>2335</v>
      </c>
      <c r="C1766" t="s">
        <v>2385</v>
      </c>
      <c r="D1766">
        <v>15096</v>
      </c>
      <c r="E1766" t="str">
        <f t="shared" si="71"/>
        <v>ia.assorted_string like '%15096-07-2022%' or</v>
      </c>
    </row>
    <row r="1767" spans="1:5" x14ac:dyDescent="0.25">
      <c r="A1767" t="s">
        <v>1832</v>
      </c>
      <c r="B1767" t="s">
        <v>2351</v>
      </c>
      <c r="C1767" t="s">
        <v>2385</v>
      </c>
      <c r="D1767">
        <v>15293</v>
      </c>
      <c r="E1767" t="str">
        <f t="shared" si="71"/>
        <v>ia.assorted_string like '%15293-08-2022%' or</v>
      </c>
    </row>
    <row r="1768" spans="1:5" x14ac:dyDescent="0.25">
      <c r="A1768" t="s">
        <v>1833</v>
      </c>
      <c r="B1768" t="s">
        <v>2351</v>
      </c>
      <c r="C1768" t="s">
        <v>2385</v>
      </c>
      <c r="D1768">
        <v>37365</v>
      </c>
      <c r="E1768" t="str">
        <f t="shared" si="71"/>
        <v>ia.assorted_string like '%37365-08-2022%' or</v>
      </c>
    </row>
    <row r="1769" spans="1:5" x14ac:dyDescent="0.25">
      <c r="A1769" t="s">
        <v>1834</v>
      </c>
      <c r="B1769" t="s">
        <v>2365</v>
      </c>
      <c r="C1769" t="s">
        <v>2385</v>
      </c>
      <c r="D1769">
        <v>13773</v>
      </c>
      <c r="E1769" t="str">
        <f t="shared" si="71"/>
        <v>ia.assorted_string like '%13773-03-2022%' or</v>
      </c>
    </row>
    <row r="1770" spans="1:5" x14ac:dyDescent="0.25">
      <c r="A1770" t="s">
        <v>1835</v>
      </c>
      <c r="B1770" t="s">
        <v>2360</v>
      </c>
      <c r="C1770" t="s">
        <v>2385</v>
      </c>
      <c r="D1770">
        <v>37462</v>
      </c>
      <c r="E1770" t="str">
        <f t="shared" si="71"/>
        <v>ia.assorted_string like '%37462-09-2022%' or</v>
      </c>
    </row>
    <row r="1771" spans="1:5" x14ac:dyDescent="0.25">
      <c r="A1771" t="s">
        <v>1836</v>
      </c>
      <c r="B1771" t="s">
        <v>2353</v>
      </c>
      <c r="C1771" t="s">
        <v>2385</v>
      </c>
      <c r="D1771">
        <v>16603</v>
      </c>
      <c r="E1771" t="str">
        <f t="shared" si="71"/>
        <v>ia.assorted_string like '%16603-11-2022%' or</v>
      </c>
    </row>
    <row r="1772" spans="1:5" x14ac:dyDescent="0.25">
      <c r="A1772" t="s">
        <v>1837</v>
      </c>
      <c r="B1772" t="s">
        <v>2336</v>
      </c>
      <c r="C1772" t="s">
        <v>2385</v>
      </c>
      <c r="D1772">
        <v>18016</v>
      </c>
      <c r="E1772" t="str">
        <f t="shared" si="71"/>
        <v>ia.assorted_string like '%18016-03-2023%' or</v>
      </c>
    </row>
    <row r="1773" spans="1:5" x14ac:dyDescent="0.25">
      <c r="A1773" t="s">
        <v>1838</v>
      </c>
      <c r="B1773" t="s">
        <v>2351</v>
      </c>
      <c r="C1773" t="s">
        <v>2385</v>
      </c>
      <c r="D1773">
        <v>15252</v>
      </c>
      <c r="E1773" t="str">
        <f t="shared" si="71"/>
        <v>ia.assorted_string like '%15252-08-2022%' or</v>
      </c>
    </row>
    <row r="1774" spans="1:5" x14ac:dyDescent="0.25">
      <c r="A1774" t="s">
        <v>1839</v>
      </c>
      <c r="B1774" t="s">
        <v>2337</v>
      </c>
      <c r="C1774" t="s">
        <v>2385</v>
      </c>
      <c r="D1774">
        <v>39060</v>
      </c>
      <c r="E1774" t="str">
        <f t="shared" si="71"/>
        <v>ia.assorted_string like '%39060-02-2023%' or</v>
      </c>
    </row>
    <row r="1775" spans="1:5" x14ac:dyDescent="0.25">
      <c r="A1775" t="s">
        <v>1840</v>
      </c>
      <c r="B1775" t="s">
        <v>2363</v>
      </c>
      <c r="C1775" t="s">
        <v>2385</v>
      </c>
      <c r="D1775">
        <v>13864</v>
      </c>
      <c r="E1775" t="str">
        <f t="shared" si="71"/>
        <v>ia.assorted_string like '%13864-04-2022%' or</v>
      </c>
    </row>
    <row r="1776" spans="1:5" x14ac:dyDescent="0.25">
      <c r="A1776" t="s">
        <v>1841</v>
      </c>
      <c r="B1776" t="s">
        <v>2356</v>
      </c>
      <c r="C1776" t="s">
        <v>2385</v>
      </c>
      <c r="D1776">
        <v>18241</v>
      </c>
      <c r="E1776" t="str">
        <f t="shared" si="71"/>
        <v>ia.assorted_string like '%18241-04-2023%' or</v>
      </c>
    </row>
    <row r="1777" spans="1:5" x14ac:dyDescent="0.25">
      <c r="A1777" t="s">
        <v>1842</v>
      </c>
      <c r="B1777" t="s">
        <v>2360</v>
      </c>
      <c r="C1777" t="s">
        <v>2385</v>
      </c>
      <c r="D1777">
        <v>15899</v>
      </c>
      <c r="E1777" t="str">
        <f t="shared" si="71"/>
        <v>ia.assorted_string like '%15899-09-2022%' or</v>
      </c>
    </row>
    <row r="1778" spans="1:5" x14ac:dyDescent="0.25">
      <c r="A1778" t="s">
        <v>1843</v>
      </c>
      <c r="B1778" t="s">
        <v>2335</v>
      </c>
      <c r="C1778" t="s">
        <v>2385</v>
      </c>
      <c r="D1778">
        <v>15149</v>
      </c>
      <c r="E1778" t="str">
        <f t="shared" si="71"/>
        <v>ia.assorted_string like '%15149-07-2022%' or</v>
      </c>
    </row>
    <row r="1779" spans="1:5" x14ac:dyDescent="0.25">
      <c r="A1779" t="s">
        <v>1844</v>
      </c>
      <c r="B1779" t="s">
        <v>2351</v>
      </c>
      <c r="C1779" t="s">
        <v>2385</v>
      </c>
      <c r="D1779">
        <v>15186</v>
      </c>
      <c r="E1779" t="str">
        <f t="shared" si="71"/>
        <v>ia.assorted_string like '%15186-08-2022%' or</v>
      </c>
    </row>
    <row r="1780" spans="1:5" x14ac:dyDescent="0.25">
      <c r="A1780" t="s">
        <v>1845</v>
      </c>
      <c r="B1780" t="s">
        <v>2335</v>
      </c>
      <c r="C1780" t="s">
        <v>2385</v>
      </c>
      <c r="D1780">
        <v>15158</v>
      </c>
      <c r="E1780" t="str">
        <f t="shared" si="71"/>
        <v>ia.assorted_string like '%15158-07-2022%' or</v>
      </c>
    </row>
    <row r="1783" spans="1:5" x14ac:dyDescent="0.25">
      <c r="A1783" t="s">
        <v>1848</v>
      </c>
      <c r="B1783" t="s">
        <v>2345</v>
      </c>
      <c r="C1783" t="s">
        <v>2385</v>
      </c>
      <c r="D1783">
        <v>18994</v>
      </c>
      <c r="E1783" t="str">
        <f t="shared" ref="E1783" si="72">"ia.assorted_string like '%"&amp;D1783&amp;B1783&amp;"%' or"</f>
        <v>ia.assorted_string like '%18994-06-2023%' or</v>
      </c>
    </row>
    <row r="1785" spans="1:5" x14ac:dyDescent="0.25">
      <c r="A1785" t="s">
        <v>1850</v>
      </c>
      <c r="B1785" t="s">
        <v>2367</v>
      </c>
      <c r="C1785" t="s">
        <v>2385</v>
      </c>
      <c r="D1785">
        <v>20372</v>
      </c>
      <c r="E1785" t="str">
        <f t="shared" ref="E1785:E1787" si="73">"ia.assorted_string like '%"&amp;D1785&amp;B1785&amp;"%' or"</f>
        <v>ia.assorted_string like '%20372-10-2023%' or</v>
      </c>
    </row>
    <row r="1786" spans="1:5" x14ac:dyDescent="0.25">
      <c r="A1786" t="s">
        <v>1851</v>
      </c>
      <c r="B1786" t="s">
        <v>2353</v>
      </c>
      <c r="C1786" t="s">
        <v>2385</v>
      </c>
      <c r="D1786">
        <v>1880</v>
      </c>
      <c r="E1786" t="str">
        <f t="shared" si="73"/>
        <v>ia.assorted_string like '%1880-11-2022%' or</v>
      </c>
    </row>
    <row r="1787" spans="1:5" x14ac:dyDescent="0.25">
      <c r="A1787" t="s">
        <v>1852</v>
      </c>
      <c r="B1787" t="s">
        <v>2342</v>
      </c>
      <c r="C1787" t="s">
        <v>2385</v>
      </c>
      <c r="D1787">
        <v>30</v>
      </c>
      <c r="E1787" t="str">
        <f t="shared" si="73"/>
        <v>ia.assorted_string like '%30-09-2024%' or</v>
      </c>
    </row>
    <row r="1789" spans="1:5" x14ac:dyDescent="0.25">
      <c r="A1789" t="s">
        <v>1854</v>
      </c>
      <c r="B1789" t="s">
        <v>2361</v>
      </c>
      <c r="C1789" t="s">
        <v>2385</v>
      </c>
      <c r="D1789">
        <v>21146</v>
      </c>
      <c r="E1789" t="str">
        <f t="shared" ref="E1789:E1791" si="74">"ia.assorted_string like '%"&amp;D1789&amp;B1789&amp;"%' or"</f>
        <v>ia.assorted_string like '%21146-01-2024%' or</v>
      </c>
    </row>
    <row r="1790" spans="1:5" x14ac:dyDescent="0.25">
      <c r="A1790" t="s">
        <v>1855</v>
      </c>
      <c r="B1790" t="s">
        <v>2337</v>
      </c>
      <c r="C1790" t="s">
        <v>2385</v>
      </c>
      <c r="D1790">
        <v>17789</v>
      </c>
      <c r="E1790" t="str">
        <f t="shared" si="74"/>
        <v>ia.assorted_string like '%17789-02-2023%' or</v>
      </c>
    </row>
    <row r="1791" spans="1:5" x14ac:dyDescent="0.25">
      <c r="A1791" t="s">
        <v>1856</v>
      </c>
      <c r="B1791" t="s">
        <v>2350</v>
      </c>
      <c r="C1791" t="s">
        <v>2385</v>
      </c>
      <c r="D1791">
        <v>66986</v>
      </c>
      <c r="E1791" t="str">
        <f t="shared" si="74"/>
        <v>ia.assorted_string like '%66986-01-2023%' or</v>
      </c>
    </row>
    <row r="1793" spans="1:5" x14ac:dyDescent="0.25">
      <c r="A1793" t="s">
        <v>1858</v>
      </c>
      <c r="B1793" t="s">
        <v>2338</v>
      </c>
      <c r="C1793" t="s">
        <v>2385</v>
      </c>
      <c r="D1793">
        <v>71235</v>
      </c>
      <c r="E1793" t="str">
        <f t="shared" ref="E1793" si="75">"ia.assorted_string like '%"&amp;D1793&amp;B1793&amp;"%' or"</f>
        <v>ia.assorted_string like '%71235-05-2023%' or</v>
      </c>
    </row>
    <row r="1795" spans="1:5" x14ac:dyDescent="0.25">
      <c r="A1795" t="s">
        <v>1860</v>
      </c>
      <c r="B1795" t="s">
        <v>2362</v>
      </c>
      <c r="C1795" t="s">
        <v>2385</v>
      </c>
      <c r="D1795">
        <v>59063</v>
      </c>
      <c r="E1795" t="str">
        <f t="shared" ref="E1795:E1858" si="76">"ia.assorted_string like '%"&amp;D1795&amp;B1795&amp;"%' or"</f>
        <v>ia.assorted_string like '%59063-02-2022%' or</v>
      </c>
    </row>
    <row r="1796" spans="1:5" x14ac:dyDescent="0.25">
      <c r="A1796" t="s">
        <v>1861</v>
      </c>
      <c r="B1796" t="s">
        <v>2375</v>
      </c>
      <c r="C1796" t="s">
        <v>2385</v>
      </c>
      <c r="D1796">
        <v>60577</v>
      </c>
      <c r="E1796" t="str">
        <f t="shared" si="76"/>
        <v>ia.assorted_string like '%60577-05-2022%' or</v>
      </c>
    </row>
    <row r="1797" spans="1:5" x14ac:dyDescent="0.25">
      <c r="A1797" t="s">
        <v>1862</v>
      </c>
      <c r="B1797" t="s">
        <v>2349</v>
      </c>
      <c r="C1797" t="s">
        <v>2385</v>
      </c>
      <c r="D1797">
        <v>727</v>
      </c>
      <c r="E1797" t="str">
        <f t="shared" si="76"/>
        <v>ia.assorted_string like '%727-01-2022%' or</v>
      </c>
    </row>
    <row r="1798" spans="1:5" x14ac:dyDescent="0.25">
      <c r="A1798" t="s">
        <v>1863</v>
      </c>
      <c r="B1798" t="s">
        <v>2351</v>
      </c>
      <c r="C1798" t="s">
        <v>2385</v>
      </c>
      <c r="D1798">
        <v>62736</v>
      </c>
      <c r="E1798" t="str">
        <f t="shared" si="76"/>
        <v>ia.assorted_string like '%62736-08-2022%' or</v>
      </c>
    </row>
    <row r="1799" spans="1:5" x14ac:dyDescent="0.25">
      <c r="A1799" t="s">
        <v>1864</v>
      </c>
      <c r="B1799" t="s">
        <v>2357</v>
      </c>
      <c r="C1799" t="s">
        <v>2385</v>
      </c>
      <c r="D1799">
        <v>61370</v>
      </c>
      <c r="E1799" t="str">
        <f t="shared" si="76"/>
        <v>ia.assorted_string like '%61370-06-2022%' or</v>
      </c>
    </row>
    <row r="1800" spans="1:5" x14ac:dyDescent="0.25">
      <c r="A1800" t="s">
        <v>1865</v>
      </c>
      <c r="B1800" t="s">
        <v>2351</v>
      </c>
      <c r="C1800" t="s">
        <v>2385</v>
      </c>
      <c r="D1800">
        <v>15566</v>
      </c>
      <c r="E1800" t="str">
        <f t="shared" si="76"/>
        <v>ia.assorted_string like '%15566-08-2022%' or</v>
      </c>
    </row>
    <row r="1801" spans="1:5" x14ac:dyDescent="0.25">
      <c r="A1801" t="s">
        <v>1866</v>
      </c>
      <c r="B1801" t="s">
        <v>2351</v>
      </c>
      <c r="C1801" t="s">
        <v>2385</v>
      </c>
      <c r="D1801">
        <v>15216</v>
      </c>
      <c r="E1801" t="str">
        <f t="shared" si="76"/>
        <v>ia.assorted_string like '%15216-08-2022%' or</v>
      </c>
    </row>
    <row r="1802" spans="1:5" x14ac:dyDescent="0.25">
      <c r="A1802" t="s">
        <v>1867</v>
      </c>
      <c r="B1802" t="s">
        <v>2363</v>
      </c>
      <c r="C1802" t="s">
        <v>2385</v>
      </c>
      <c r="D1802">
        <v>13883</v>
      </c>
      <c r="E1802" t="str">
        <f t="shared" si="76"/>
        <v>ia.assorted_string like '%13883-04-2022%' or</v>
      </c>
    </row>
    <row r="1803" spans="1:5" x14ac:dyDescent="0.25">
      <c r="A1803" t="s">
        <v>1868</v>
      </c>
      <c r="B1803" t="s">
        <v>2351</v>
      </c>
      <c r="C1803" t="s">
        <v>2385</v>
      </c>
      <c r="D1803">
        <v>15305</v>
      </c>
      <c r="E1803" t="str">
        <f t="shared" si="76"/>
        <v>ia.assorted_string like '%15305-08-2022%' or</v>
      </c>
    </row>
    <row r="1804" spans="1:5" x14ac:dyDescent="0.25">
      <c r="A1804" t="s">
        <v>1869</v>
      </c>
      <c r="B1804" t="s">
        <v>2375</v>
      </c>
      <c r="C1804" t="s">
        <v>2385</v>
      </c>
      <c r="D1804">
        <v>60575</v>
      </c>
      <c r="E1804" t="str">
        <f t="shared" si="76"/>
        <v>ia.assorted_string like '%60575-05-2022%' or</v>
      </c>
    </row>
    <row r="1805" spans="1:5" x14ac:dyDescent="0.25">
      <c r="A1805" t="s">
        <v>1870</v>
      </c>
      <c r="B1805" t="s">
        <v>2360</v>
      </c>
      <c r="C1805" t="s">
        <v>2385</v>
      </c>
      <c r="D1805">
        <v>63766</v>
      </c>
      <c r="E1805" t="str">
        <f t="shared" si="76"/>
        <v>ia.assorted_string like '%63766-09-2022%' or</v>
      </c>
    </row>
    <row r="1806" spans="1:5" x14ac:dyDescent="0.25">
      <c r="A1806" t="s">
        <v>1871</v>
      </c>
      <c r="B1806" t="s">
        <v>2360</v>
      </c>
      <c r="C1806" t="s">
        <v>2385</v>
      </c>
      <c r="D1806">
        <v>15819</v>
      </c>
      <c r="E1806" t="str">
        <f t="shared" si="76"/>
        <v>ia.assorted_string like '%15819-09-2022%' or</v>
      </c>
    </row>
    <row r="1807" spans="1:5" x14ac:dyDescent="0.25">
      <c r="A1807" t="s">
        <v>1872</v>
      </c>
      <c r="B1807" t="s">
        <v>2349</v>
      </c>
      <c r="C1807" t="s">
        <v>2385</v>
      </c>
      <c r="D1807">
        <v>58293</v>
      </c>
      <c r="E1807" t="str">
        <f t="shared" si="76"/>
        <v>ia.assorted_string like '%58293-01-2022%' or</v>
      </c>
    </row>
    <row r="1808" spans="1:5" x14ac:dyDescent="0.25">
      <c r="A1808" t="s">
        <v>1873</v>
      </c>
      <c r="B1808" t="s">
        <v>2360</v>
      </c>
      <c r="C1808" t="s">
        <v>2385</v>
      </c>
      <c r="D1808">
        <v>15959</v>
      </c>
      <c r="E1808" t="str">
        <f t="shared" si="76"/>
        <v>ia.assorted_string like '%15959-09-2022%' or</v>
      </c>
    </row>
    <row r="1809" spans="1:5" x14ac:dyDescent="0.25">
      <c r="A1809" t="s">
        <v>1874</v>
      </c>
      <c r="B1809" t="s">
        <v>2357</v>
      </c>
      <c r="C1809" t="s">
        <v>2385</v>
      </c>
      <c r="D1809">
        <v>61605</v>
      </c>
      <c r="E1809" t="str">
        <f t="shared" si="76"/>
        <v>ia.assorted_string like '%61605-06-2022%' or</v>
      </c>
    </row>
    <row r="1810" spans="1:5" x14ac:dyDescent="0.25">
      <c r="A1810" t="s">
        <v>1875</v>
      </c>
      <c r="B1810" t="s">
        <v>2375</v>
      </c>
      <c r="C1810" t="s">
        <v>2385</v>
      </c>
      <c r="D1810">
        <v>13968</v>
      </c>
      <c r="E1810" t="str">
        <f t="shared" si="76"/>
        <v>ia.assorted_string like '%13968-05-2022%' or</v>
      </c>
    </row>
    <row r="1811" spans="1:5" x14ac:dyDescent="0.25">
      <c r="A1811" t="s">
        <v>1876</v>
      </c>
      <c r="B1811" t="s">
        <v>2364</v>
      </c>
      <c r="C1811" t="s">
        <v>2385</v>
      </c>
      <c r="D1811">
        <v>13239</v>
      </c>
      <c r="E1811" t="str">
        <f t="shared" si="76"/>
        <v>ia.assorted_string like '%13239-12-2021%' or</v>
      </c>
    </row>
    <row r="1812" spans="1:5" x14ac:dyDescent="0.25">
      <c r="A1812" t="s">
        <v>1877</v>
      </c>
      <c r="B1812" t="s">
        <v>2351</v>
      </c>
      <c r="C1812" t="s">
        <v>2385</v>
      </c>
      <c r="D1812">
        <v>2142</v>
      </c>
      <c r="E1812" t="str">
        <f t="shared" si="76"/>
        <v>ia.assorted_string like '%2142-08-2022%' or</v>
      </c>
    </row>
    <row r="1813" spans="1:5" x14ac:dyDescent="0.25">
      <c r="A1813" t="s">
        <v>1878</v>
      </c>
      <c r="B1813" t="s">
        <v>2363</v>
      </c>
      <c r="C1813" t="s">
        <v>2385</v>
      </c>
      <c r="D1813">
        <v>13884</v>
      </c>
      <c r="E1813" t="str">
        <f t="shared" si="76"/>
        <v>ia.assorted_string like '%13884-04-2022%' or</v>
      </c>
    </row>
    <row r="1814" spans="1:5" x14ac:dyDescent="0.25">
      <c r="A1814" t="s">
        <v>1879</v>
      </c>
      <c r="B1814" t="s">
        <v>2364</v>
      </c>
      <c r="C1814" t="s">
        <v>2385</v>
      </c>
      <c r="D1814">
        <v>13225</v>
      </c>
      <c r="E1814" t="str">
        <f t="shared" si="76"/>
        <v>ia.assorted_string like '%13225-12-2021%' or</v>
      </c>
    </row>
    <row r="1815" spans="1:5" x14ac:dyDescent="0.25">
      <c r="A1815" t="s">
        <v>1880</v>
      </c>
      <c r="B1815" t="s">
        <v>2337</v>
      </c>
      <c r="C1815" t="s">
        <v>2385</v>
      </c>
      <c r="D1815">
        <v>17602</v>
      </c>
      <c r="E1815" t="str">
        <f t="shared" si="76"/>
        <v>ia.assorted_string like '%17602-02-2023%' or</v>
      </c>
    </row>
    <row r="1816" spans="1:5" x14ac:dyDescent="0.25">
      <c r="A1816" t="s">
        <v>1881</v>
      </c>
      <c r="B1816" t="s">
        <v>2349</v>
      </c>
      <c r="C1816" t="s">
        <v>2385</v>
      </c>
      <c r="D1816">
        <v>13659</v>
      </c>
      <c r="E1816" t="str">
        <f t="shared" si="76"/>
        <v>ia.assorted_string like '%13659-01-2022%' or</v>
      </c>
    </row>
    <row r="1817" spans="1:5" x14ac:dyDescent="0.25">
      <c r="A1817" t="s">
        <v>1882</v>
      </c>
      <c r="B1817" t="s">
        <v>2348</v>
      </c>
      <c r="C1817" t="s">
        <v>2385</v>
      </c>
      <c r="D1817">
        <v>17108</v>
      </c>
      <c r="E1817" t="str">
        <f t="shared" si="76"/>
        <v>ia.assorted_string like '%17108-12-2022%' or</v>
      </c>
    </row>
    <row r="1818" spans="1:5" x14ac:dyDescent="0.25">
      <c r="A1818" t="s">
        <v>1883</v>
      </c>
      <c r="B1818" t="s">
        <v>2363</v>
      </c>
      <c r="C1818" t="s">
        <v>2385</v>
      </c>
      <c r="D1818">
        <v>13828</v>
      </c>
      <c r="E1818" t="str">
        <f t="shared" si="76"/>
        <v>ia.assorted_string like '%13828-04-2022%' or</v>
      </c>
    </row>
    <row r="1819" spans="1:5" x14ac:dyDescent="0.25">
      <c r="A1819" t="s">
        <v>1884</v>
      </c>
      <c r="B1819" t="s">
        <v>2364</v>
      </c>
      <c r="C1819" t="s">
        <v>2385</v>
      </c>
      <c r="D1819">
        <v>13244</v>
      </c>
      <c r="E1819" t="str">
        <f t="shared" si="76"/>
        <v>ia.assorted_string like '%13244-12-2021%' or</v>
      </c>
    </row>
    <row r="1820" spans="1:5" x14ac:dyDescent="0.25">
      <c r="A1820" t="s">
        <v>1885</v>
      </c>
      <c r="B1820" t="s">
        <v>2364</v>
      </c>
      <c r="C1820" t="s">
        <v>2385</v>
      </c>
      <c r="D1820">
        <v>1899</v>
      </c>
      <c r="E1820" t="str">
        <f t="shared" si="76"/>
        <v>ia.assorted_string like '%1899-12-2021%' or</v>
      </c>
    </row>
    <row r="1821" spans="1:5" x14ac:dyDescent="0.25">
      <c r="A1821" t="s">
        <v>1886</v>
      </c>
      <c r="B1821" t="s">
        <v>2375</v>
      </c>
      <c r="C1821" t="s">
        <v>2385</v>
      </c>
      <c r="D1821">
        <v>13969</v>
      </c>
      <c r="E1821" t="str">
        <f t="shared" si="76"/>
        <v>ia.assorted_string like '%13969-05-2022%' or</v>
      </c>
    </row>
    <row r="1822" spans="1:5" x14ac:dyDescent="0.25">
      <c r="A1822" t="s">
        <v>1887</v>
      </c>
      <c r="B1822" t="s">
        <v>2364</v>
      </c>
      <c r="C1822" t="s">
        <v>2385</v>
      </c>
      <c r="D1822">
        <v>1903</v>
      </c>
      <c r="E1822" t="str">
        <f t="shared" si="76"/>
        <v>ia.assorted_string like '%1903-12-2021%' or</v>
      </c>
    </row>
    <row r="1823" spans="1:5" x14ac:dyDescent="0.25">
      <c r="A1823" t="s">
        <v>1888</v>
      </c>
      <c r="B1823" t="s">
        <v>2351</v>
      </c>
      <c r="C1823" t="s">
        <v>2385</v>
      </c>
      <c r="D1823">
        <v>2160</v>
      </c>
      <c r="E1823" t="str">
        <f t="shared" si="76"/>
        <v>ia.assorted_string like '%2160-08-2022%' or</v>
      </c>
    </row>
    <row r="1824" spans="1:5" x14ac:dyDescent="0.25">
      <c r="A1824" t="s">
        <v>1889</v>
      </c>
      <c r="B1824" t="s">
        <v>2364</v>
      </c>
      <c r="C1824" t="s">
        <v>2385</v>
      </c>
      <c r="D1824">
        <v>13193</v>
      </c>
      <c r="E1824" t="str">
        <f t="shared" si="76"/>
        <v>ia.assorted_string like '%13193-12-2021%' or</v>
      </c>
    </row>
    <row r="1825" spans="1:5" x14ac:dyDescent="0.25">
      <c r="A1825" t="s">
        <v>1890</v>
      </c>
      <c r="B1825" t="s">
        <v>2375</v>
      </c>
      <c r="C1825" t="s">
        <v>2385</v>
      </c>
      <c r="D1825">
        <v>13981</v>
      </c>
      <c r="E1825" t="str">
        <f t="shared" si="76"/>
        <v>ia.assorted_string like '%13981-05-2022%' or</v>
      </c>
    </row>
    <row r="1826" spans="1:5" x14ac:dyDescent="0.25">
      <c r="A1826" t="s">
        <v>1891</v>
      </c>
      <c r="B1826" t="s">
        <v>2364</v>
      </c>
      <c r="C1826" t="s">
        <v>2385</v>
      </c>
      <c r="D1826">
        <v>13227</v>
      </c>
      <c r="E1826" t="str">
        <f t="shared" si="76"/>
        <v>ia.assorted_string like '%13227-12-2021%' or</v>
      </c>
    </row>
    <row r="1827" spans="1:5" x14ac:dyDescent="0.25">
      <c r="A1827" t="s">
        <v>1892</v>
      </c>
      <c r="B1827" t="s">
        <v>2364</v>
      </c>
      <c r="C1827" t="s">
        <v>2385</v>
      </c>
      <c r="D1827">
        <v>13238</v>
      </c>
      <c r="E1827" t="str">
        <f t="shared" si="76"/>
        <v>ia.assorted_string like '%13238-12-2021%' or</v>
      </c>
    </row>
    <row r="1828" spans="1:5" x14ac:dyDescent="0.25">
      <c r="A1828" t="s">
        <v>1893</v>
      </c>
      <c r="B1828" t="s">
        <v>2351</v>
      </c>
      <c r="C1828" t="s">
        <v>2385</v>
      </c>
      <c r="D1828">
        <v>15292</v>
      </c>
      <c r="E1828" t="str">
        <f t="shared" si="76"/>
        <v>ia.assorted_string like '%15292-08-2022%' or</v>
      </c>
    </row>
    <row r="1829" spans="1:5" x14ac:dyDescent="0.25">
      <c r="A1829" t="s">
        <v>1894</v>
      </c>
      <c r="B1829" t="s">
        <v>2364</v>
      </c>
      <c r="C1829" t="s">
        <v>2385</v>
      </c>
      <c r="D1829">
        <v>1892</v>
      </c>
      <c r="E1829" t="str">
        <f t="shared" si="76"/>
        <v>ia.assorted_string like '%1892-12-2021%' or</v>
      </c>
    </row>
    <row r="1830" spans="1:5" x14ac:dyDescent="0.25">
      <c r="A1830" t="s">
        <v>1895</v>
      </c>
      <c r="B1830" t="s">
        <v>2351</v>
      </c>
      <c r="C1830" t="s">
        <v>2385</v>
      </c>
      <c r="D1830">
        <v>15256</v>
      </c>
      <c r="E1830" t="str">
        <f t="shared" si="76"/>
        <v>ia.assorted_string like '%15256-08-2022%' or</v>
      </c>
    </row>
    <row r="1831" spans="1:5" x14ac:dyDescent="0.25">
      <c r="A1831" t="s">
        <v>1896</v>
      </c>
      <c r="B1831" t="s">
        <v>2335</v>
      </c>
      <c r="C1831" t="s">
        <v>2385</v>
      </c>
      <c r="D1831">
        <v>15086</v>
      </c>
      <c r="E1831" t="str">
        <f t="shared" si="76"/>
        <v>ia.assorted_string like '%15086-07-2022%' or</v>
      </c>
    </row>
    <row r="1832" spans="1:5" x14ac:dyDescent="0.25">
      <c r="A1832" t="s">
        <v>1897</v>
      </c>
      <c r="B1832" t="s">
        <v>2360</v>
      </c>
      <c r="C1832" t="s">
        <v>2385</v>
      </c>
      <c r="D1832">
        <v>16118</v>
      </c>
      <c r="E1832" t="str">
        <f t="shared" si="76"/>
        <v>ia.assorted_string like '%16118-09-2022%' or</v>
      </c>
    </row>
    <row r="1833" spans="1:5" x14ac:dyDescent="0.25">
      <c r="A1833" t="s">
        <v>1898</v>
      </c>
      <c r="B1833" t="s">
        <v>2364</v>
      </c>
      <c r="C1833" t="s">
        <v>2385</v>
      </c>
      <c r="D1833">
        <v>13215</v>
      </c>
      <c r="E1833" t="str">
        <f t="shared" si="76"/>
        <v>ia.assorted_string like '%13215-12-2021%' or</v>
      </c>
    </row>
    <row r="1834" spans="1:5" x14ac:dyDescent="0.25">
      <c r="A1834" t="s">
        <v>1899</v>
      </c>
      <c r="B1834" t="s">
        <v>2351</v>
      </c>
      <c r="C1834" t="s">
        <v>2385</v>
      </c>
      <c r="D1834">
        <v>2121</v>
      </c>
      <c r="E1834" t="str">
        <f t="shared" si="76"/>
        <v>ia.assorted_string like '%2121-08-2022%' or</v>
      </c>
    </row>
    <row r="1835" spans="1:5" x14ac:dyDescent="0.25">
      <c r="A1835" t="s">
        <v>1900</v>
      </c>
      <c r="B1835" t="s">
        <v>2335</v>
      </c>
      <c r="C1835" t="s">
        <v>2385</v>
      </c>
      <c r="D1835">
        <v>15102</v>
      </c>
      <c r="E1835" t="str">
        <f t="shared" si="76"/>
        <v>ia.assorted_string like '%15102-07-2022%' or</v>
      </c>
    </row>
    <row r="1836" spans="1:5" x14ac:dyDescent="0.25">
      <c r="A1836" t="s">
        <v>1901</v>
      </c>
      <c r="B1836" t="s">
        <v>2375</v>
      </c>
      <c r="C1836" t="s">
        <v>2385</v>
      </c>
      <c r="D1836">
        <v>13965</v>
      </c>
      <c r="E1836" t="str">
        <f t="shared" si="76"/>
        <v>ia.assorted_string like '%13965-05-2022%' or</v>
      </c>
    </row>
    <row r="1837" spans="1:5" x14ac:dyDescent="0.25">
      <c r="A1837" t="s">
        <v>1902</v>
      </c>
      <c r="B1837" t="s">
        <v>2336</v>
      </c>
      <c r="C1837" t="s">
        <v>2385</v>
      </c>
      <c r="D1837">
        <v>17989</v>
      </c>
      <c r="E1837" t="str">
        <f t="shared" si="76"/>
        <v>ia.assorted_string like '%17989-03-2023%' or</v>
      </c>
    </row>
    <row r="1838" spans="1:5" x14ac:dyDescent="0.25">
      <c r="A1838" t="s">
        <v>1903</v>
      </c>
      <c r="B1838" t="s">
        <v>2349</v>
      </c>
      <c r="C1838" t="s">
        <v>2385</v>
      </c>
      <c r="D1838">
        <v>13630</v>
      </c>
      <c r="E1838" t="str">
        <f t="shared" si="76"/>
        <v>ia.assorted_string like '%13630-01-2022%' or</v>
      </c>
    </row>
    <row r="1839" spans="1:5" x14ac:dyDescent="0.25">
      <c r="A1839" t="s">
        <v>1904</v>
      </c>
      <c r="B1839" t="s">
        <v>2336</v>
      </c>
      <c r="C1839" t="s">
        <v>2385</v>
      </c>
      <c r="D1839">
        <v>18002</v>
      </c>
      <c r="E1839" t="str">
        <f t="shared" si="76"/>
        <v>ia.assorted_string like '%18002-03-2023%' or</v>
      </c>
    </row>
    <row r="1840" spans="1:5" x14ac:dyDescent="0.25">
      <c r="A1840" t="s">
        <v>1905</v>
      </c>
      <c r="B1840" t="s">
        <v>2348</v>
      </c>
      <c r="C1840" t="s">
        <v>2385</v>
      </c>
      <c r="D1840">
        <v>2314</v>
      </c>
      <c r="E1840" t="str">
        <f t="shared" si="76"/>
        <v>ia.assorted_string like '%2314-12-2022%' or</v>
      </c>
    </row>
    <row r="1841" spans="1:5" x14ac:dyDescent="0.25">
      <c r="A1841" t="s">
        <v>1906</v>
      </c>
      <c r="B1841" t="s">
        <v>2348</v>
      </c>
      <c r="C1841" t="s">
        <v>2385</v>
      </c>
      <c r="D1841">
        <v>17135</v>
      </c>
      <c r="E1841" t="str">
        <f t="shared" si="76"/>
        <v>ia.assorted_string like '%17135-12-2022%' or</v>
      </c>
    </row>
    <row r="1842" spans="1:5" x14ac:dyDescent="0.25">
      <c r="A1842" t="s">
        <v>1907</v>
      </c>
      <c r="B1842" t="s">
        <v>2353</v>
      </c>
      <c r="C1842" t="s">
        <v>2385</v>
      </c>
      <c r="D1842">
        <v>16825</v>
      </c>
      <c r="E1842" t="str">
        <f t="shared" si="76"/>
        <v>ia.assorted_string like '%16825-11-2022%' or</v>
      </c>
    </row>
    <row r="1843" spans="1:5" x14ac:dyDescent="0.25">
      <c r="A1843" t="s">
        <v>1908</v>
      </c>
      <c r="B1843" t="s">
        <v>2351</v>
      </c>
      <c r="C1843" t="s">
        <v>2385</v>
      </c>
      <c r="D1843">
        <v>2171</v>
      </c>
      <c r="E1843" t="str">
        <f t="shared" si="76"/>
        <v>ia.assorted_string like '%2171-08-2022%' or</v>
      </c>
    </row>
    <row r="1844" spans="1:5" x14ac:dyDescent="0.25">
      <c r="A1844" t="s">
        <v>1909</v>
      </c>
      <c r="B1844" t="s">
        <v>2364</v>
      </c>
      <c r="C1844" t="s">
        <v>2385</v>
      </c>
      <c r="D1844">
        <v>13231</v>
      </c>
      <c r="E1844" t="str">
        <f t="shared" si="76"/>
        <v>ia.assorted_string like '%13231-12-2021%' or</v>
      </c>
    </row>
    <row r="1845" spans="1:5" x14ac:dyDescent="0.25">
      <c r="A1845" t="s">
        <v>1910</v>
      </c>
      <c r="B1845" t="s">
        <v>2335</v>
      </c>
      <c r="C1845" t="s">
        <v>2385</v>
      </c>
      <c r="D1845">
        <v>15122</v>
      </c>
      <c r="E1845" t="str">
        <f t="shared" si="76"/>
        <v>ia.assorted_string like '%15122-07-2022%' or</v>
      </c>
    </row>
    <row r="1846" spans="1:5" x14ac:dyDescent="0.25">
      <c r="A1846" t="s">
        <v>1911</v>
      </c>
      <c r="B1846" t="s">
        <v>2364</v>
      </c>
      <c r="C1846" t="s">
        <v>2385</v>
      </c>
      <c r="D1846">
        <v>13243</v>
      </c>
      <c r="E1846" t="str">
        <f t="shared" si="76"/>
        <v>ia.assorted_string like '%13243-12-2021%' or</v>
      </c>
    </row>
    <row r="1847" spans="1:5" x14ac:dyDescent="0.25">
      <c r="A1847" t="s">
        <v>1912</v>
      </c>
      <c r="B1847" t="s">
        <v>2363</v>
      </c>
      <c r="C1847" t="s">
        <v>2385</v>
      </c>
      <c r="D1847">
        <v>13892</v>
      </c>
      <c r="E1847" t="str">
        <f t="shared" si="76"/>
        <v>ia.assorted_string like '%13892-04-2022%' or</v>
      </c>
    </row>
    <row r="1848" spans="1:5" x14ac:dyDescent="0.25">
      <c r="A1848" t="s">
        <v>1913</v>
      </c>
      <c r="B1848" t="s">
        <v>2335</v>
      </c>
      <c r="C1848" t="s">
        <v>2385</v>
      </c>
      <c r="D1848">
        <v>15051</v>
      </c>
      <c r="E1848" t="str">
        <f t="shared" si="76"/>
        <v>ia.assorted_string like '%15051-07-2022%' or</v>
      </c>
    </row>
    <row r="1849" spans="1:5" x14ac:dyDescent="0.25">
      <c r="A1849" t="s">
        <v>1914</v>
      </c>
      <c r="B1849" t="s">
        <v>2335</v>
      </c>
      <c r="C1849" t="s">
        <v>2385</v>
      </c>
      <c r="D1849">
        <v>15144</v>
      </c>
      <c r="E1849" t="str">
        <f t="shared" si="76"/>
        <v>ia.assorted_string like '%15144-07-2022%' or</v>
      </c>
    </row>
    <row r="1850" spans="1:5" x14ac:dyDescent="0.25">
      <c r="A1850" t="s">
        <v>1915</v>
      </c>
      <c r="B1850" t="s">
        <v>2349</v>
      </c>
      <c r="C1850" t="s">
        <v>2385</v>
      </c>
      <c r="D1850">
        <v>13663</v>
      </c>
      <c r="E1850" t="str">
        <f t="shared" si="76"/>
        <v>ia.assorted_string like '%13663-01-2022%' or</v>
      </c>
    </row>
    <row r="1851" spans="1:5" x14ac:dyDescent="0.25">
      <c r="A1851" t="s">
        <v>1916</v>
      </c>
      <c r="B1851" t="s">
        <v>2360</v>
      </c>
      <c r="C1851" t="s">
        <v>2385</v>
      </c>
      <c r="D1851">
        <v>2220</v>
      </c>
      <c r="E1851" t="str">
        <f t="shared" si="76"/>
        <v>ia.assorted_string like '%2220-09-2022%' or</v>
      </c>
    </row>
    <row r="1852" spans="1:5" x14ac:dyDescent="0.25">
      <c r="A1852" t="s">
        <v>1917</v>
      </c>
      <c r="B1852" t="s">
        <v>2375</v>
      </c>
      <c r="C1852" t="s">
        <v>2385</v>
      </c>
      <c r="D1852">
        <v>13943</v>
      </c>
      <c r="E1852" t="str">
        <f t="shared" si="76"/>
        <v>ia.assorted_string like '%13943-05-2022%' or</v>
      </c>
    </row>
    <row r="1853" spans="1:5" x14ac:dyDescent="0.25">
      <c r="A1853" t="s">
        <v>1918</v>
      </c>
      <c r="B1853" t="s">
        <v>2360</v>
      </c>
      <c r="C1853" t="s">
        <v>2385</v>
      </c>
      <c r="D1853">
        <v>2223</v>
      </c>
      <c r="E1853" t="str">
        <f t="shared" si="76"/>
        <v>ia.assorted_string like '%2223-09-2022%' or</v>
      </c>
    </row>
    <row r="1854" spans="1:5" x14ac:dyDescent="0.25">
      <c r="A1854" t="s">
        <v>1919</v>
      </c>
      <c r="B1854" t="s">
        <v>2335</v>
      </c>
      <c r="C1854" t="s">
        <v>2385</v>
      </c>
      <c r="D1854">
        <v>15047</v>
      </c>
      <c r="E1854" t="str">
        <f t="shared" si="76"/>
        <v>ia.assorted_string like '%15047-07-2022%' or</v>
      </c>
    </row>
    <row r="1855" spans="1:5" x14ac:dyDescent="0.25">
      <c r="A1855" t="s">
        <v>1920</v>
      </c>
      <c r="B1855" t="s">
        <v>2364</v>
      </c>
      <c r="C1855" t="s">
        <v>2385</v>
      </c>
      <c r="D1855">
        <v>13234</v>
      </c>
      <c r="E1855" t="str">
        <f t="shared" si="76"/>
        <v>ia.assorted_string like '%13234-12-2021%' or</v>
      </c>
    </row>
    <row r="1856" spans="1:5" x14ac:dyDescent="0.25">
      <c r="A1856" t="s">
        <v>1921</v>
      </c>
      <c r="B1856" t="s">
        <v>2353</v>
      </c>
      <c r="C1856" t="s">
        <v>2385</v>
      </c>
      <c r="D1856">
        <v>16819</v>
      </c>
      <c r="E1856" t="str">
        <f t="shared" si="76"/>
        <v>ia.assorted_string like '%16819-11-2022%' or</v>
      </c>
    </row>
    <row r="1857" spans="1:5" x14ac:dyDescent="0.25">
      <c r="A1857" t="s">
        <v>1922</v>
      </c>
      <c r="B1857" t="s">
        <v>2335</v>
      </c>
      <c r="C1857" t="s">
        <v>2385</v>
      </c>
      <c r="D1857">
        <v>15157</v>
      </c>
      <c r="E1857" t="str">
        <f t="shared" si="76"/>
        <v>ia.assorted_string like '%15157-07-2022%' or</v>
      </c>
    </row>
    <row r="1858" spans="1:5" x14ac:dyDescent="0.25">
      <c r="A1858" t="s">
        <v>1923</v>
      </c>
      <c r="B1858" t="s">
        <v>2364</v>
      </c>
      <c r="C1858" t="s">
        <v>2385</v>
      </c>
      <c r="D1858">
        <v>13224</v>
      </c>
      <c r="E1858" t="str">
        <f t="shared" si="76"/>
        <v>ia.assorted_string like '%13224-12-2021%' or</v>
      </c>
    </row>
    <row r="1859" spans="1:5" x14ac:dyDescent="0.25">
      <c r="A1859" t="s">
        <v>1924</v>
      </c>
      <c r="B1859" t="s">
        <v>2364</v>
      </c>
      <c r="C1859" t="s">
        <v>2385</v>
      </c>
      <c r="D1859">
        <v>13223</v>
      </c>
      <c r="E1859" t="str">
        <f t="shared" ref="E1859:E1861" si="77">"ia.assorted_string like '%"&amp;D1859&amp;B1859&amp;"%' or"</f>
        <v>ia.assorted_string like '%13223-12-2021%' or</v>
      </c>
    </row>
    <row r="1860" spans="1:5" x14ac:dyDescent="0.25">
      <c r="A1860" t="s">
        <v>1925</v>
      </c>
      <c r="B1860" t="s">
        <v>2375</v>
      </c>
      <c r="C1860" t="s">
        <v>2385</v>
      </c>
      <c r="D1860">
        <v>13952</v>
      </c>
      <c r="E1860" t="str">
        <f t="shared" si="77"/>
        <v>ia.assorted_string like '%13952-05-2022%' or</v>
      </c>
    </row>
    <row r="1861" spans="1:5" x14ac:dyDescent="0.25">
      <c r="A1861" t="s">
        <v>1926</v>
      </c>
      <c r="B1861" t="s">
        <v>2365</v>
      </c>
      <c r="C1861" t="s">
        <v>2385</v>
      </c>
      <c r="D1861">
        <v>13786</v>
      </c>
      <c r="E1861" t="str">
        <f t="shared" si="77"/>
        <v>ia.assorted_string like '%13786-03-2022%' or</v>
      </c>
    </row>
    <row r="1866" spans="1:5" x14ac:dyDescent="0.25">
      <c r="A1866" t="s">
        <v>1931</v>
      </c>
      <c r="B1866" t="s">
        <v>2358</v>
      </c>
      <c r="C1866" t="s">
        <v>2385</v>
      </c>
      <c r="D1866">
        <v>16204</v>
      </c>
      <c r="E1866" t="str">
        <f t="shared" ref="E1866:E1867" si="78">"ia.assorted_string like '%"&amp;D1866&amp;B1866&amp;"%' or"</f>
        <v>ia.assorted_string like '%16204-10-2022%' or</v>
      </c>
    </row>
    <row r="1867" spans="1:5" x14ac:dyDescent="0.25">
      <c r="A1867" t="s">
        <v>1932</v>
      </c>
      <c r="B1867" t="s">
        <v>2374</v>
      </c>
      <c r="C1867" t="s">
        <v>2385</v>
      </c>
      <c r="D1867">
        <v>1776</v>
      </c>
      <c r="E1867" t="str">
        <f t="shared" si="78"/>
        <v>ia.assorted_string like '%1776-08-2021%' or</v>
      </c>
    </row>
    <row r="1869" spans="1:5" x14ac:dyDescent="0.25">
      <c r="A1869" t="s">
        <v>1934</v>
      </c>
      <c r="B1869" t="s">
        <v>2372</v>
      </c>
      <c r="C1869" t="s">
        <v>2385</v>
      </c>
      <c r="D1869">
        <v>2340</v>
      </c>
      <c r="E1869" t="str">
        <f t="shared" ref="E1869:E1917" si="79">"ia.assorted_string like '%"&amp;D1869&amp;B1869&amp;"%' or"</f>
        <v>ia.assorted_string like '%2340-12-2023%' or</v>
      </c>
    </row>
    <row r="1870" spans="1:5" x14ac:dyDescent="0.25">
      <c r="A1870" t="s">
        <v>1935</v>
      </c>
      <c r="B1870" t="s">
        <v>2335</v>
      </c>
      <c r="C1870" t="s">
        <v>2385</v>
      </c>
      <c r="D1870">
        <v>15059</v>
      </c>
      <c r="E1870" t="str">
        <f t="shared" si="79"/>
        <v>ia.assorted_string like '%15059-07-2022%' or</v>
      </c>
    </row>
    <row r="1871" spans="1:5" x14ac:dyDescent="0.25">
      <c r="A1871" t="s">
        <v>1936</v>
      </c>
      <c r="B1871" t="s">
        <v>2360</v>
      </c>
      <c r="C1871" t="s">
        <v>2385</v>
      </c>
      <c r="D1871">
        <v>15906</v>
      </c>
      <c r="E1871" t="str">
        <f t="shared" si="79"/>
        <v>ia.assorted_string like '%15906-09-2022%' or</v>
      </c>
    </row>
    <row r="1872" spans="1:5" x14ac:dyDescent="0.25">
      <c r="A1872" t="s">
        <v>1937</v>
      </c>
      <c r="B1872" t="s">
        <v>2349</v>
      </c>
      <c r="C1872" t="s">
        <v>2385</v>
      </c>
      <c r="D1872">
        <v>729</v>
      </c>
      <c r="E1872" t="str">
        <f t="shared" si="79"/>
        <v>ia.assorted_string like '%729-01-2022%' or</v>
      </c>
    </row>
    <row r="1873" spans="1:5" x14ac:dyDescent="0.25">
      <c r="A1873" t="s">
        <v>1938</v>
      </c>
      <c r="B1873" t="s">
        <v>2335</v>
      </c>
      <c r="C1873" t="s">
        <v>2385</v>
      </c>
      <c r="D1873">
        <v>15071</v>
      </c>
      <c r="E1873" t="str">
        <f t="shared" si="79"/>
        <v>ia.assorted_string like '%15071-07-2022%' or</v>
      </c>
    </row>
    <row r="1874" spans="1:5" x14ac:dyDescent="0.25">
      <c r="A1874" t="s">
        <v>1939</v>
      </c>
      <c r="B1874" t="s">
        <v>2357</v>
      </c>
      <c r="C1874" t="s">
        <v>2385</v>
      </c>
      <c r="D1874">
        <v>14021</v>
      </c>
      <c r="E1874" t="str">
        <f t="shared" si="79"/>
        <v>ia.assorted_string like '%14021-06-2022%' or</v>
      </c>
    </row>
    <row r="1875" spans="1:5" x14ac:dyDescent="0.25">
      <c r="A1875" t="s">
        <v>1940</v>
      </c>
      <c r="B1875" t="s">
        <v>2363</v>
      </c>
      <c r="C1875" t="s">
        <v>2385</v>
      </c>
      <c r="D1875">
        <v>13874</v>
      </c>
      <c r="E1875" t="str">
        <f t="shared" si="79"/>
        <v>ia.assorted_string like '%13874-04-2022%' or</v>
      </c>
    </row>
    <row r="1876" spans="1:5" x14ac:dyDescent="0.25">
      <c r="A1876" t="s">
        <v>1941</v>
      </c>
      <c r="B1876" t="s">
        <v>2363</v>
      </c>
      <c r="C1876" t="s">
        <v>2385</v>
      </c>
      <c r="D1876">
        <v>13873</v>
      </c>
      <c r="E1876" t="str">
        <f t="shared" si="79"/>
        <v>ia.assorted_string like '%13873-04-2022%' or</v>
      </c>
    </row>
    <row r="1877" spans="1:5" x14ac:dyDescent="0.25">
      <c r="A1877" t="s">
        <v>1942</v>
      </c>
      <c r="B1877" t="s">
        <v>2358</v>
      </c>
      <c r="C1877" t="s">
        <v>2385</v>
      </c>
      <c r="D1877">
        <v>64132</v>
      </c>
      <c r="E1877" t="str">
        <f t="shared" si="79"/>
        <v>ia.assorted_string like '%64132-10-2022%' or</v>
      </c>
    </row>
    <row r="1878" spans="1:5" x14ac:dyDescent="0.25">
      <c r="A1878" t="s">
        <v>1943</v>
      </c>
      <c r="B1878" t="s">
        <v>2363</v>
      </c>
      <c r="C1878" t="s">
        <v>2385</v>
      </c>
      <c r="D1878">
        <v>13869</v>
      </c>
      <c r="E1878" t="str">
        <f t="shared" si="79"/>
        <v>ia.assorted_string like '%13869-04-2022%' or</v>
      </c>
    </row>
    <row r="1879" spans="1:5" x14ac:dyDescent="0.25">
      <c r="A1879" t="s">
        <v>1944</v>
      </c>
      <c r="B1879" t="s">
        <v>2357</v>
      </c>
      <c r="C1879" t="s">
        <v>2385</v>
      </c>
      <c r="D1879">
        <v>14022</v>
      </c>
      <c r="E1879" t="str">
        <f t="shared" si="79"/>
        <v>ia.assorted_string like '%14022-06-2022%' or</v>
      </c>
    </row>
    <row r="1880" spans="1:5" x14ac:dyDescent="0.25">
      <c r="A1880" t="s">
        <v>1945</v>
      </c>
      <c r="B1880" t="s">
        <v>2363</v>
      </c>
      <c r="C1880" t="s">
        <v>2385</v>
      </c>
      <c r="D1880">
        <v>13893</v>
      </c>
      <c r="E1880" t="str">
        <f t="shared" si="79"/>
        <v>ia.assorted_string like '%13893-04-2022%' or</v>
      </c>
    </row>
    <row r="1881" spans="1:5" x14ac:dyDescent="0.25">
      <c r="A1881" t="s">
        <v>1946</v>
      </c>
      <c r="B1881" t="s">
        <v>2357</v>
      </c>
      <c r="C1881" t="s">
        <v>2385</v>
      </c>
      <c r="D1881">
        <v>796</v>
      </c>
      <c r="E1881" t="str">
        <f t="shared" si="79"/>
        <v>ia.assorted_string like '%796-06-2022%' or</v>
      </c>
    </row>
    <row r="1882" spans="1:5" x14ac:dyDescent="0.25">
      <c r="A1882" t="s">
        <v>1947</v>
      </c>
      <c r="B1882" t="s">
        <v>2351</v>
      </c>
      <c r="C1882" t="s">
        <v>2385</v>
      </c>
      <c r="D1882">
        <v>2174</v>
      </c>
      <c r="E1882" t="str">
        <f t="shared" si="79"/>
        <v>ia.assorted_string like '%2174-08-2022%' or</v>
      </c>
    </row>
    <row r="1883" spans="1:5" x14ac:dyDescent="0.25">
      <c r="A1883" t="s">
        <v>1948</v>
      </c>
      <c r="B1883" t="s">
        <v>2364</v>
      </c>
      <c r="C1883" t="s">
        <v>2385</v>
      </c>
      <c r="D1883">
        <v>13236</v>
      </c>
      <c r="E1883" t="str">
        <f t="shared" si="79"/>
        <v>ia.assorted_string like '%13236-12-2021%' or</v>
      </c>
    </row>
    <row r="1884" spans="1:5" x14ac:dyDescent="0.25">
      <c r="A1884" t="s">
        <v>1949</v>
      </c>
      <c r="B1884" t="s">
        <v>2351</v>
      </c>
      <c r="C1884" t="s">
        <v>2385</v>
      </c>
      <c r="D1884">
        <v>2122</v>
      </c>
      <c r="E1884" t="str">
        <f t="shared" si="79"/>
        <v>ia.assorted_string like '%2122-08-2022%' or</v>
      </c>
    </row>
    <row r="1885" spans="1:5" x14ac:dyDescent="0.25">
      <c r="A1885" t="s">
        <v>1950</v>
      </c>
      <c r="B1885" t="s">
        <v>2366</v>
      </c>
      <c r="C1885" t="s">
        <v>2385</v>
      </c>
      <c r="D1885">
        <v>13061</v>
      </c>
      <c r="E1885" t="str">
        <f t="shared" si="79"/>
        <v>ia.assorted_string like '%13061-11-2021%' or</v>
      </c>
    </row>
    <row r="1886" spans="1:5" x14ac:dyDescent="0.25">
      <c r="A1886" t="s">
        <v>1951</v>
      </c>
      <c r="B1886" t="s">
        <v>2349</v>
      </c>
      <c r="C1886" t="s">
        <v>2385</v>
      </c>
      <c r="D1886">
        <v>35881</v>
      </c>
      <c r="E1886" t="str">
        <f t="shared" si="79"/>
        <v>ia.assorted_string like '%35881-01-2022%' or</v>
      </c>
    </row>
    <row r="1887" spans="1:5" x14ac:dyDescent="0.25">
      <c r="A1887" t="s">
        <v>1952</v>
      </c>
      <c r="B1887" t="s">
        <v>2351</v>
      </c>
      <c r="C1887" t="s">
        <v>2385</v>
      </c>
      <c r="D1887">
        <v>15296</v>
      </c>
      <c r="E1887" t="str">
        <f t="shared" si="79"/>
        <v>ia.assorted_string like '%15296-08-2022%' or</v>
      </c>
    </row>
    <row r="1888" spans="1:5" x14ac:dyDescent="0.25">
      <c r="A1888" t="s">
        <v>1953</v>
      </c>
      <c r="B1888" t="s">
        <v>2364</v>
      </c>
      <c r="C1888" t="s">
        <v>2385</v>
      </c>
      <c r="D1888">
        <v>1896</v>
      </c>
      <c r="E1888" t="str">
        <f t="shared" si="79"/>
        <v>ia.assorted_string like '%1896-12-2021%' or</v>
      </c>
    </row>
    <row r="1889" spans="1:5" x14ac:dyDescent="0.25">
      <c r="A1889" t="s">
        <v>1954</v>
      </c>
      <c r="B1889" t="s">
        <v>2364</v>
      </c>
      <c r="C1889" t="s">
        <v>2385</v>
      </c>
      <c r="D1889">
        <v>13249</v>
      </c>
      <c r="E1889" t="str">
        <f t="shared" si="79"/>
        <v>ia.assorted_string like '%13249-12-2021%' or</v>
      </c>
    </row>
    <row r="1890" spans="1:5" x14ac:dyDescent="0.25">
      <c r="A1890" t="s">
        <v>1955</v>
      </c>
      <c r="B1890" t="s">
        <v>2351</v>
      </c>
      <c r="C1890" t="s">
        <v>2385</v>
      </c>
      <c r="D1890">
        <v>15375</v>
      </c>
      <c r="E1890" t="str">
        <f t="shared" si="79"/>
        <v>ia.assorted_string like '%15375-08-2022%' or</v>
      </c>
    </row>
    <row r="1891" spans="1:5" x14ac:dyDescent="0.25">
      <c r="A1891" t="s">
        <v>1956</v>
      </c>
      <c r="B1891" t="s">
        <v>2349</v>
      </c>
      <c r="C1891" t="s">
        <v>2385</v>
      </c>
      <c r="D1891">
        <v>36026</v>
      </c>
      <c r="E1891" t="str">
        <f t="shared" si="79"/>
        <v>ia.assorted_string like '%36026-01-2022%' or</v>
      </c>
    </row>
    <row r="1892" spans="1:5" x14ac:dyDescent="0.25">
      <c r="A1892" t="s">
        <v>1957</v>
      </c>
      <c r="B1892" t="s">
        <v>2351</v>
      </c>
      <c r="C1892" t="s">
        <v>2385</v>
      </c>
      <c r="D1892">
        <v>2129</v>
      </c>
      <c r="E1892" t="str">
        <f t="shared" si="79"/>
        <v>ia.assorted_string like '%2129-08-2022%' or</v>
      </c>
    </row>
    <row r="1893" spans="1:5" x14ac:dyDescent="0.25">
      <c r="A1893" t="s">
        <v>1958</v>
      </c>
      <c r="B1893" t="s">
        <v>2375</v>
      </c>
      <c r="C1893" t="s">
        <v>2385</v>
      </c>
      <c r="D1893">
        <v>13907</v>
      </c>
      <c r="E1893" t="str">
        <f t="shared" si="79"/>
        <v>ia.assorted_string like '%13907-05-2022%' or</v>
      </c>
    </row>
    <row r="1894" spans="1:5" x14ac:dyDescent="0.25">
      <c r="A1894" t="s">
        <v>1959</v>
      </c>
      <c r="B1894" t="s">
        <v>2335</v>
      </c>
      <c r="C1894" t="s">
        <v>2385</v>
      </c>
      <c r="D1894">
        <v>15053</v>
      </c>
      <c r="E1894" t="str">
        <f t="shared" si="79"/>
        <v>ia.assorted_string like '%15053-07-2022%' or</v>
      </c>
    </row>
    <row r="1895" spans="1:5" x14ac:dyDescent="0.25">
      <c r="A1895" t="s">
        <v>1960</v>
      </c>
      <c r="B1895" t="s">
        <v>2360</v>
      </c>
      <c r="C1895" t="s">
        <v>2385</v>
      </c>
      <c r="D1895">
        <v>16119</v>
      </c>
      <c r="E1895" t="str">
        <f t="shared" si="79"/>
        <v>ia.assorted_string like '%16119-09-2022%' or</v>
      </c>
    </row>
    <row r="1896" spans="1:5" x14ac:dyDescent="0.25">
      <c r="A1896" t="s">
        <v>1961</v>
      </c>
      <c r="B1896" t="s">
        <v>2357</v>
      </c>
      <c r="C1896" t="s">
        <v>2385</v>
      </c>
      <c r="D1896">
        <v>14009</v>
      </c>
      <c r="E1896" t="str">
        <f t="shared" si="79"/>
        <v>ia.assorted_string like '%14009-06-2022%' or</v>
      </c>
    </row>
    <row r="1897" spans="1:5" x14ac:dyDescent="0.25">
      <c r="A1897" t="s">
        <v>1962</v>
      </c>
      <c r="B1897" t="s">
        <v>2335</v>
      </c>
      <c r="C1897" t="s">
        <v>2385</v>
      </c>
      <c r="D1897">
        <v>15120</v>
      </c>
      <c r="E1897" t="str">
        <f t="shared" si="79"/>
        <v>ia.assorted_string like '%15120-07-2022%' or</v>
      </c>
    </row>
    <row r="1898" spans="1:5" x14ac:dyDescent="0.25">
      <c r="A1898" t="s">
        <v>1963</v>
      </c>
      <c r="B1898" t="s">
        <v>2363</v>
      </c>
      <c r="C1898" t="s">
        <v>2385</v>
      </c>
      <c r="D1898">
        <v>13832</v>
      </c>
      <c r="E1898" t="str">
        <f t="shared" si="79"/>
        <v>ia.assorted_string like '%13832-04-2022%' or</v>
      </c>
    </row>
    <row r="1899" spans="1:5" x14ac:dyDescent="0.25">
      <c r="A1899" t="s">
        <v>1964</v>
      </c>
      <c r="B1899" t="s">
        <v>2351</v>
      </c>
      <c r="C1899" t="s">
        <v>2385</v>
      </c>
      <c r="D1899">
        <v>15285</v>
      </c>
      <c r="E1899" t="str">
        <f t="shared" si="79"/>
        <v>ia.assorted_string like '%15285-08-2022%' or</v>
      </c>
    </row>
    <row r="1900" spans="1:5" x14ac:dyDescent="0.25">
      <c r="A1900" t="s">
        <v>1965</v>
      </c>
      <c r="B1900" t="s">
        <v>2364</v>
      </c>
      <c r="C1900" t="s">
        <v>2385</v>
      </c>
      <c r="D1900">
        <v>13245</v>
      </c>
      <c r="E1900" t="str">
        <f t="shared" si="79"/>
        <v>ia.assorted_string like '%13245-12-2021%' or</v>
      </c>
    </row>
    <row r="1901" spans="1:5" x14ac:dyDescent="0.25">
      <c r="A1901" t="s">
        <v>1966</v>
      </c>
      <c r="B1901" t="s">
        <v>2351</v>
      </c>
      <c r="C1901" t="s">
        <v>2385</v>
      </c>
      <c r="D1901">
        <v>37290</v>
      </c>
      <c r="E1901" t="str">
        <f t="shared" si="79"/>
        <v>ia.assorted_string like '%37290-08-2022%' or</v>
      </c>
    </row>
    <row r="1902" spans="1:5" x14ac:dyDescent="0.25">
      <c r="A1902" t="s">
        <v>1967</v>
      </c>
      <c r="B1902" t="s">
        <v>2349</v>
      </c>
      <c r="C1902" t="s">
        <v>2385</v>
      </c>
      <c r="D1902">
        <v>13633</v>
      </c>
      <c r="E1902" t="str">
        <f t="shared" si="79"/>
        <v>ia.assorted_string like '%13633-01-2022%' or</v>
      </c>
    </row>
    <row r="1903" spans="1:5" x14ac:dyDescent="0.25">
      <c r="A1903" t="s">
        <v>1968</v>
      </c>
      <c r="B1903" t="s">
        <v>2375</v>
      </c>
      <c r="C1903" t="s">
        <v>2385</v>
      </c>
      <c r="D1903">
        <v>13913</v>
      </c>
      <c r="E1903" t="str">
        <f t="shared" si="79"/>
        <v>ia.assorted_string like '%13913-05-2022%' or</v>
      </c>
    </row>
    <row r="1904" spans="1:5" x14ac:dyDescent="0.25">
      <c r="A1904" t="s">
        <v>1969</v>
      </c>
      <c r="B1904" t="s">
        <v>2349</v>
      </c>
      <c r="C1904" t="s">
        <v>2385</v>
      </c>
      <c r="D1904">
        <v>1962</v>
      </c>
      <c r="E1904" t="str">
        <f t="shared" si="79"/>
        <v>ia.assorted_string like '%1962-01-2022%' or</v>
      </c>
    </row>
    <row r="1905" spans="1:5" x14ac:dyDescent="0.25">
      <c r="A1905" t="s">
        <v>1970</v>
      </c>
      <c r="B1905" t="s">
        <v>2351</v>
      </c>
      <c r="C1905" t="s">
        <v>2385</v>
      </c>
      <c r="D1905">
        <v>2144</v>
      </c>
      <c r="E1905" t="str">
        <f t="shared" si="79"/>
        <v>ia.assorted_string like '%2144-08-2022%' or</v>
      </c>
    </row>
    <row r="1906" spans="1:5" x14ac:dyDescent="0.25">
      <c r="A1906" t="s">
        <v>1971</v>
      </c>
      <c r="B1906" t="s">
        <v>2335</v>
      </c>
      <c r="C1906" t="s">
        <v>2385</v>
      </c>
      <c r="D1906">
        <v>15057</v>
      </c>
      <c r="E1906" t="str">
        <f t="shared" si="79"/>
        <v>ia.assorted_string like '%15057-07-2022%' or</v>
      </c>
    </row>
    <row r="1907" spans="1:5" x14ac:dyDescent="0.25">
      <c r="A1907" t="s">
        <v>1972</v>
      </c>
      <c r="B1907" t="s">
        <v>2335</v>
      </c>
      <c r="C1907" t="s">
        <v>2385</v>
      </c>
      <c r="D1907">
        <v>15126</v>
      </c>
      <c r="E1907" t="str">
        <f t="shared" si="79"/>
        <v>ia.assorted_string like '%15126-07-2022%' or</v>
      </c>
    </row>
    <row r="1908" spans="1:5" x14ac:dyDescent="0.25">
      <c r="A1908" t="s">
        <v>1973</v>
      </c>
      <c r="B1908" t="s">
        <v>2335</v>
      </c>
      <c r="C1908" t="s">
        <v>2385</v>
      </c>
      <c r="D1908">
        <v>15082</v>
      </c>
      <c r="E1908" t="str">
        <f t="shared" si="79"/>
        <v>ia.assorted_string like '%15082-07-2022%' or</v>
      </c>
    </row>
    <row r="1909" spans="1:5" x14ac:dyDescent="0.25">
      <c r="A1909" t="s">
        <v>1974</v>
      </c>
      <c r="B1909" t="s">
        <v>2366</v>
      </c>
      <c r="C1909" t="s">
        <v>2385</v>
      </c>
      <c r="D1909">
        <v>12965</v>
      </c>
      <c r="E1909" t="str">
        <f t="shared" si="79"/>
        <v>ia.assorted_string like '%12965-11-2021%' or</v>
      </c>
    </row>
    <row r="1910" spans="1:5" x14ac:dyDescent="0.25">
      <c r="A1910" t="s">
        <v>1975</v>
      </c>
      <c r="B1910" t="s">
        <v>2360</v>
      </c>
      <c r="C1910" t="s">
        <v>2385</v>
      </c>
      <c r="D1910">
        <v>16142</v>
      </c>
      <c r="E1910" t="str">
        <f t="shared" si="79"/>
        <v>ia.assorted_string like '%16142-09-2022%' or</v>
      </c>
    </row>
    <row r="1911" spans="1:5" x14ac:dyDescent="0.25">
      <c r="A1911" t="s">
        <v>1976</v>
      </c>
      <c r="B1911" t="s">
        <v>2349</v>
      </c>
      <c r="C1911" t="s">
        <v>2385</v>
      </c>
      <c r="D1911">
        <v>13658</v>
      </c>
      <c r="E1911" t="str">
        <f t="shared" si="79"/>
        <v>ia.assorted_string like '%13658-01-2022%' or</v>
      </c>
    </row>
    <row r="1912" spans="1:5" x14ac:dyDescent="0.25">
      <c r="A1912" t="s">
        <v>1977</v>
      </c>
      <c r="B1912" t="s">
        <v>2360</v>
      </c>
      <c r="C1912" t="s">
        <v>2385</v>
      </c>
      <c r="D1912">
        <v>15923</v>
      </c>
      <c r="E1912" t="str">
        <f t="shared" si="79"/>
        <v>ia.assorted_string like '%15923-09-2022%' or</v>
      </c>
    </row>
    <row r="1913" spans="1:5" x14ac:dyDescent="0.25">
      <c r="A1913" t="s">
        <v>1978</v>
      </c>
      <c r="B1913" t="s">
        <v>2364</v>
      </c>
      <c r="C1913" t="s">
        <v>2385</v>
      </c>
      <c r="D1913">
        <v>13233</v>
      </c>
      <c r="E1913" t="str">
        <f t="shared" si="79"/>
        <v>ia.assorted_string like '%13233-12-2021%' or</v>
      </c>
    </row>
    <row r="1914" spans="1:5" x14ac:dyDescent="0.25">
      <c r="A1914" t="s">
        <v>1979</v>
      </c>
      <c r="B1914" t="s">
        <v>2351</v>
      </c>
      <c r="C1914" t="s">
        <v>2385</v>
      </c>
      <c r="D1914">
        <v>2131</v>
      </c>
      <c r="E1914" t="str">
        <f t="shared" si="79"/>
        <v>ia.assorted_string like '%2131-08-2022%' or</v>
      </c>
    </row>
    <row r="1915" spans="1:5" x14ac:dyDescent="0.25">
      <c r="A1915" t="s">
        <v>1980</v>
      </c>
      <c r="B1915" t="s">
        <v>2375</v>
      </c>
      <c r="C1915" t="s">
        <v>2385</v>
      </c>
      <c r="D1915">
        <v>13940</v>
      </c>
      <c r="E1915" t="str">
        <f t="shared" si="79"/>
        <v>ia.assorted_string like '%13940-05-2022%' or</v>
      </c>
    </row>
    <row r="1916" spans="1:5" x14ac:dyDescent="0.25">
      <c r="A1916" t="s">
        <v>1981</v>
      </c>
      <c r="B1916" t="s">
        <v>2360</v>
      </c>
      <c r="C1916" t="s">
        <v>2385</v>
      </c>
      <c r="D1916">
        <v>15955</v>
      </c>
      <c r="E1916" t="str">
        <f t="shared" si="79"/>
        <v>ia.assorted_string like '%15955-09-2022%' or</v>
      </c>
    </row>
    <row r="1917" spans="1:5" x14ac:dyDescent="0.25">
      <c r="A1917" t="s">
        <v>1982</v>
      </c>
      <c r="B1917" t="s">
        <v>2366</v>
      </c>
      <c r="C1917" t="s">
        <v>2385</v>
      </c>
      <c r="D1917">
        <v>13003</v>
      </c>
      <c r="E1917" t="str">
        <f t="shared" si="79"/>
        <v>ia.assorted_string like '%13003-11-2021%' or</v>
      </c>
    </row>
    <row r="1920" spans="1:5" x14ac:dyDescent="0.25">
      <c r="A1920" t="s">
        <v>1985</v>
      </c>
      <c r="B1920" t="s">
        <v>2335</v>
      </c>
      <c r="C1920" t="s">
        <v>2385</v>
      </c>
      <c r="D1920">
        <v>15092</v>
      </c>
      <c r="E1920" t="str">
        <f t="shared" ref="E1920:E1929" si="80">"ia.assorted_string like '%"&amp;D1920&amp;B1920&amp;"%' or"</f>
        <v>ia.assorted_string like '%15092-07-2022%' or</v>
      </c>
    </row>
    <row r="1921" spans="1:5" x14ac:dyDescent="0.25">
      <c r="A1921" t="s">
        <v>1986</v>
      </c>
      <c r="B1921" t="s">
        <v>2349</v>
      </c>
      <c r="C1921" t="s">
        <v>2385</v>
      </c>
      <c r="D1921">
        <v>13642</v>
      </c>
      <c r="E1921" t="str">
        <f t="shared" si="80"/>
        <v>ia.assorted_string like '%13642-01-2022%' or</v>
      </c>
    </row>
    <row r="1922" spans="1:5" x14ac:dyDescent="0.25">
      <c r="A1922" t="s">
        <v>1987</v>
      </c>
      <c r="B1922" t="s">
        <v>2360</v>
      </c>
      <c r="C1922" t="s">
        <v>2385</v>
      </c>
      <c r="D1922">
        <v>15948</v>
      </c>
      <c r="E1922" t="str">
        <f t="shared" si="80"/>
        <v>ia.assorted_string like '%15948-09-2022%' or</v>
      </c>
    </row>
    <row r="1923" spans="1:5" x14ac:dyDescent="0.25">
      <c r="A1923" t="s">
        <v>1988</v>
      </c>
      <c r="B1923" t="s">
        <v>2351</v>
      </c>
      <c r="C1923" t="s">
        <v>2385</v>
      </c>
      <c r="D1923">
        <v>15568</v>
      </c>
      <c r="E1923" t="str">
        <f t="shared" si="80"/>
        <v>ia.assorted_string like '%15568-08-2022%' or</v>
      </c>
    </row>
    <row r="1924" spans="1:5" x14ac:dyDescent="0.25">
      <c r="A1924" t="s">
        <v>1989</v>
      </c>
      <c r="B1924" t="s">
        <v>2353</v>
      </c>
      <c r="C1924" t="s">
        <v>2385</v>
      </c>
      <c r="D1924">
        <v>16605</v>
      </c>
      <c r="E1924" t="str">
        <f t="shared" si="80"/>
        <v>ia.assorted_string like '%16605-11-2022%' or</v>
      </c>
    </row>
    <row r="1925" spans="1:5" x14ac:dyDescent="0.25">
      <c r="A1925" t="s">
        <v>1990</v>
      </c>
      <c r="B1925" t="s">
        <v>2353</v>
      </c>
      <c r="C1925" t="s">
        <v>2385</v>
      </c>
      <c r="D1925">
        <v>16606</v>
      </c>
      <c r="E1925" t="str">
        <f t="shared" si="80"/>
        <v>ia.assorted_string like '%16606-11-2022%' or</v>
      </c>
    </row>
    <row r="1926" spans="1:5" x14ac:dyDescent="0.25">
      <c r="A1926" t="s">
        <v>1991</v>
      </c>
      <c r="B1926" t="s">
        <v>2335</v>
      </c>
      <c r="C1926" t="s">
        <v>2385</v>
      </c>
      <c r="D1926">
        <v>15121</v>
      </c>
      <c r="E1926" t="str">
        <f t="shared" si="80"/>
        <v>ia.assorted_string like '%15121-07-2022%' or</v>
      </c>
    </row>
    <row r="1927" spans="1:5" x14ac:dyDescent="0.25">
      <c r="A1927" t="s">
        <v>1992</v>
      </c>
      <c r="B1927" t="s">
        <v>2351</v>
      </c>
      <c r="C1927" t="s">
        <v>2385</v>
      </c>
      <c r="D1927">
        <v>15215</v>
      </c>
      <c r="E1927" t="str">
        <f t="shared" si="80"/>
        <v>ia.assorted_string like '%15215-08-2022%' or</v>
      </c>
    </row>
    <row r="1928" spans="1:5" x14ac:dyDescent="0.25">
      <c r="A1928" t="s">
        <v>1993</v>
      </c>
      <c r="B1928" t="s">
        <v>2350</v>
      </c>
      <c r="C1928" t="s">
        <v>2385</v>
      </c>
      <c r="D1928">
        <v>17419</v>
      </c>
      <c r="E1928" t="str">
        <f t="shared" si="80"/>
        <v>ia.assorted_string like '%17419-01-2023%' or</v>
      </c>
    </row>
    <row r="1929" spans="1:5" x14ac:dyDescent="0.25">
      <c r="A1929" t="s">
        <v>1994</v>
      </c>
      <c r="B1929" t="s">
        <v>2335</v>
      </c>
      <c r="C1929" t="s">
        <v>2385</v>
      </c>
      <c r="D1929">
        <v>15075</v>
      </c>
      <c r="E1929" t="str">
        <f t="shared" si="80"/>
        <v>ia.assorted_string like '%15075-07-2022%' or</v>
      </c>
    </row>
    <row r="1931" spans="1:5" x14ac:dyDescent="0.25">
      <c r="A1931" t="s">
        <v>1996</v>
      </c>
      <c r="B1931" t="s">
        <v>2344</v>
      </c>
      <c r="C1931" t="s">
        <v>2385</v>
      </c>
      <c r="D1931">
        <v>72999</v>
      </c>
      <c r="E1931" t="str">
        <f t="shared" ref="E1931:E1936" si="81">"ia.assorted_string like '%"&amp;D1931&amp;B1931&amp;"%' or"</f>
        <v>ia.assorted_string like '%72999-07-2023%' or</v>
      </c>
    </row>
    <row r="1932" spans="1:5" x14ac:dyDescent="0.25">
      <c r="A1932" t="s">
        <v>1997</v>
      </c>
      <c r="B1932" t="s">
        <v>2354</v>
      </c>
      <c r="C1932" t="s">
        <v>2385</v>
      </c>
      <c r="D1932">
        <v>19554</v>
      </c>
      <c r="E1932" t="str">
        <f t="shared" si="81"/>
        <v>ia.assorted_string like '%19554-08-2023%' or</v>
      </c>
    </row>
    <row r="1933" spans="1:5" x14ac:dyDescent="0.25">
      <c r="A1933" t="s">
        <v>1998</v>
      </c>
      <c r="B1933" t="s">
        <v>2338</v>
      </c>
      <c r="C1933" t="s">
        <v>2385</v>
      </c>
      <c r="D1933">
        <v>71343</v>
      </c>
      <c r="E1933" t="str">
        <f t="shared" si="81"/>
        <v>ia.assorted_string like '%71343-05-2023%' or</v>
      </c>
    </row>
    <row r="1934" spans="1:5" x14ac:dyDescent="0.25">
      <c r="A1934" t="s">
        <v>1999</v>
      </c>
      <c r="B1934" t="s">
        <v>2368</v>
      </c>
      <c r="C1934" t="s">
        <v>2385</v>
      </c>
      <c r="D1934">
        <v>43110</v>
      </c>
      <c r="E1934" t="str">
        <f t="shared" si="81"/>
        <v>ia.assorted_string like '%43110-07-2024%' or</v>
      </c>
    </row>
    <row r="1935" spans="1:5" x14ac:dyDescent="0.25">
      <c r="A1935" t="s">
        <v>2000</v>
      </c>
      <c r="B1935" t="s">
        <v>2343</v>
      </c>
      <c r="C1935" t="s">
        <v>2385</v>
      </c>
      <c r="D1935">
        <v>19952</v>
      </c>
      <c r="E1935" t="str">
        <f t="shared" si="81"/>
        <v>ia.assorted_string like '%19952-06-2024%' or</v>
      </c>
    </row>
    <row r="1936" spans="1:5" x14ac:dyDescent="0.25">
      <c r="A1936" t="s">
        <v>2001</v>
      </c>
      <c r="B1936" t="s">
        <v>2357</v>
      </c>
      <c r="C1936" t="s">
        <v>2385</v>
      </c>
      <c r="D1936">
        <v>14909</v>
      </c>
      <c r="E1936" t="str">
        <f t="shared" si="81"/>
        <v>ia.assorted_string like '%14909-06-2022%' or</v>
      </c>
    </row>
    <row r="1938" spans="1:5" x14ac:dyDescent="0.25">
      <c r="A1938" t="s">
        <v>2003</v>
      </c>
      <c r="B1938" t="s">
        <v>2361</v>
      </c>
      <c r="C1938" t="s">
        <v>2385</v>
      </c>
      <c r="D1938">
        <v>82827</v>
      </c>
      <c r="E1938" t="str">
        <f t="shared" ref="E1938" si="82">"ia.assorted_string like '%"&amp;D1938&amp;B1938&amp;"%' or"</f>
        <v>ia.assorted_string like '%82827-01-2024%' or</v>
      </c>
    </row>
    <row r="1940" spans="1:5" x14ac:dyDescent="0.25">
      <c r="A1940" t="s">
        <v>2005</v>
      </c>
      <c r="B1940" t="s">
        <v>2350</v>
      </c>
      <c r="C1940" t="s">
        <v>2385</v>
      </c>
      <c r="D1940">
        <v>17400</v>
      </c>
      <c r="E1940" t="str">
        <f t="shared" ref="E1940:E1951" si="83">"ia.assorted_string like '%"&amp;D1940&amp;B1940&amp;"%' or"</f>
        <v>ia.assorted_string like '%17400-01-2023%' or</v>
      </c>
    </row>
    <row r="1941" spans="1:5" x14ac:dyDescent="0.25">
      <c r="A1941" t="s">
        <v>2006</v>
      </c>
      <c r="B1941" t="s">
        <v>2366</v>
      </c>
      <c r="C1941" t="s">
        <v>2385</v>
      </c>
      <c r="D1941">
        <v>12978</v>
      </c>
      <c r="E1941" t="str">
        <f t="shared" si="83"/>
        <v>ia.assorted_string like '%12978-11-2021%' or</v>
      </c>
    </row>
    <row r="1942" spans="1:5" x14ac:dyDescent="0.25">
      <c r="A1942" t="s">
        <v>2007</v>
      </c>
      <c r="B1942" t="s">
        <v>2357</v>
      </c>
      <c r="C1942" t="s">
        <v>2385</v>
      </c>
      <c r="D1942">
        <v>36929</v>
      </c>
      <c r="E1942" t="str">
        <f t="shared" si="83"/>
        <v>ia.assorted_string like '%36929-06-2022%' or</v>
      </c>
    </row>
    <row r="1943" spans="1:5" x14ac:dyDescent="0.25">
      <c r="A1943" t="s">
        <v>2008</v>
      </c>
      <c r="B1943" t="s">
        <v>2360</v>
      </c>
      <c r="C1943" t="s">
        <v>2385</v>
      </c>
      <c r="D1943">
        <v>16160</v>
      </c>
      <c r="E1943" t="str">
        <f t="shared" si="83"/>
        <v>ia.assorted_string like '%16160-09-2022%' or</v>
      </c>
    </row>
    <row r="1944" spans="1:5" x14ac:dyDescent="0.25">
      <c r="A1944" t="s">
        <v>2009</v>
      </c>
      <c r="B1944" t="s">
        <v>2359</v>
      </c>
      <c r="C1944" t="s">
        <v>2385</v>
      </c>
      <c r="D1944">
        <v>3048</v>
      </c>
      <c r="E1944" t="str">
        <f t="shared" si="83"/>
        <v>ia.assorted_string like '%3048-02-2024%' or</v>
      </c>
    </row>
    <row r="1945" spans="1:5" x14ac:dyDescent="0.25">
      <c r="A1945" t="s">
        <v>2010</v>
      </c>
      <c r="B1945" t="s">
        <v>2351</v>
      </c>
      <c r="C1945" t="s">
        <v>2385</v>
      </c>
      <c r="D1945">
        <v>1725</v>
      </c>
      <c r="E1945" t="str">
        <f t="shared" si="83"/>
        <v>ia.assorted_string like '%1725-08-2022%' or</v>
      </c>
    </row>
    <row r="1946" spans="1:5" x14ac:dyDescent="0.25">
      <c r="A1946" t="s">
        <v>2011</v>
      </c>
      <c r="B1946" t="s">
        <v>2359</v>
      </c>
      <c r="C1946" t="s">
        <v>2385</v>
      </c>
      <c r="D1946">
        <v>1161</v>
      </c>
      <c r="E1946" t="str">
        <f t="shared" si="83"/>
        <v>ia.assorted_string like '%1161-02-2024%' or</v>
      </c>
    </row>
    <row r="1947" spans="1:5" x14ac:dyDescent="0.25">
      <c r="A1947" t="s">
        <v>2012</v>
      </c>
      <c r="B1947" t="s">
        <v>2360</v>
      </c>
      <c r="C1947" t="s">
        <v>2385</v>
      </c>
      <c r="D1947">
        <v>15769</v>
      </c>
      <c r="E1947" t="str">
        <f t="shared" si="83"/>
        <v>ia.assorted_string like '%15769-09-2022%' or</v>
      </c>
    </row>
    <row r="1948" spans="1:5" x14ac:dyDescent="0.25">
      <c r="A1948" t="s">
        <v>2013</v>
      </c>
      <c r="B1948" t="s">
        <v>2352</v>
      </c>
      <c r="C1948" t="s">
        <v>2385</v>
      </c>
      <c r="D1948">
        <v>12624</v>
      </c>
      <c r="E1948" t="str">
        <f t="shared" si="83"/>
        <v>ia.assorted_string like '%12624-10-2021%' or</v>
      </c>
    </row>
    <row r="1949" spans="1:5" x14ac:dyDescent="0.25">
      <c r="A1949" t="s">
        <v>2014</v>
      </c>
      <c r="B1949" t="s">
        <v>2357</v>
      </c>
      <c r="C1949" t="s">
        <v>2385</v>
      </c>
      <c r="D1949">
        <v>36931</v>
      </c>
      <c r="E1949" t="str">
        <f t="shared" si="83"/>
        <v>ia.assorted_string like '%36931-06-2022%' or</v>
      </c>
    </row>
    <row r="1950" spans="1:5" x14ac:dyDescent="0.25">
      <c r="A1950" t="s">
        <v>2015</v>
      </c>
      <c r="B1950" t="s">
        <v>2352</v>
      </c>
      <c r="C1950" t="s">
        <v>2385</v>
      </c>
      <c r="D1950">
        <v>12623</v>
      </c>
      <c r="E1950" t="str">
        <f t="shared" si="83"/>
        <v>ia.assorted_string like '%12623-10-2021%' or</v>
      </c>
    </row>
    <row r="1951" spans="1:5" x14ac:dyDescent="0.25">
      <c r="A1951" t="s">
        <v>2016</v>
      </c>
      <c r="B1951" t="s">
        <v>2351</v>
      </c>
      <c r="C1951" t="s">
        <v>2385</v>
      </c>
      <c r="D1951">
        <v>37356</v>
      </c>
      <c r="E1951" t="str">
        <f t="shared" si="83"/>
        <v>ia.assorted_string like '%37356-08-2022%' or</v>
      </c>
    </row>
    <row r="1953" spans="1:5" x14ac:dyDescent="0.25">
      <c r="A1953" t="s">
        <v>2018</v>
      </c>
      <c r="B1953" t="s">
        <v>2351</v>
      </c>
      <c r="C1953" t="s">
        <v>2385</v>
      </c>
      <c r="D1953">
        <v>2137</v>
      </c>
      <c r="E1953" t="str">
        <f t="shared" ref="E1953" si="84">"ia.assorted_string like '%"&amp;D1953&amp;B1953&amp;"%' or"</f>
        <v>ia.assorted_string like '%2137-08-2022%' or</v>
      </c>
    </row>
    <row r="1956" spans="1:5" x14ac:dyDescent="0.25">
      <c r="A1956" t="s">
        <v>2021</v>
      </c>
      <c r="B1956" t="s">
        <v>2371</v>
      </c>
      <c r="C1956" t="s">
        <v>2385</v>
      </c>
      <c r="D1956">
        <v>327</v>
      </c>
      <c r="E1956" t="str">
        <f t="shared" ref="E1956:E1960" si="85">"ia.assorted_string like '%"&amp;D1956&amp;B1956&amp;"%' or"</f>
        <v>ia.assorted_string like '%327-10-2024%' or</v>
      </c>
    </row>
    <row r="1957" spans="1:5" x14ac:dyDescent="0.25">
      <c r="A1957" t="s">
        <v>2022</v>
      </c>
      <c r="B1957" t="s">
        <v>2343</v>
      </c>
      <c r="C1957" t="s">
        <v>2385</v>
      </c>
      <c r="D1957">
        <v>42767</v>
      </c>
      <c r="E1957" t="str">
        <f t="shared" si="85"/>
        <v>ia.assorted_string like '%42767-06-2024%' or</v>
      </c>
    </row>
    <row r="1958" spans="1:5" x14ac:dyDescent="0.25">
      <c r="A1958" t="s">
        <v>2023</v>
      </c>
      <c r="B1958" t="s">
        <v>2346</v>
      </c>
      <c r="C1958" t="s">
        <v>2385</v>
      </c>
      <c r="D1958">
        <v>22866</v>
      </c>
      <c r="E1958" t="str">
        <f t="shared" si="85"/>
        <v>ia.assorted_string like '%22866-08-2024%' or</v>
      </c>
    </row>
    <row r="1959" spans="1:5" x14ac:dyDescent="0.25">
      <c r="A1959" t="s">
        <v>2024</v>
      </c>
      <c r="B1959" t="s">
        <v>2343</v>
      </c>
      <c r="C1959" t="s">
        <v>2385</v>
      </c>
      <c r="D1959">
        <v>2628</v>
      </c>
      <c r="E1959" t="str">
        <f t="shared" si="85"/>
        <v>ia.assorted_string like '%2628-06-2024%' or</v>
      </c>
    </row>
    <row r="1960" spans="1:5" x14ac:dyDescent="0.25">
      <c r="A1960" t="s">
        <v>2025</v>
      </c>
      <c r="B1960" t="s">
        <v>2343</v>
      </c>
      <c r="C1960" t="s">
        <v>2385</v>
      </c>
      <c r="D1960">
        <v>2607</v>
      </c>
      <c r="E1960" t="str">
        <f t="shared" si="85"/>
        <v>ia.assorted_string like '%2607-06-2024%' or</v>
      </c>
    </row>
    <row r="1963" spans="1:5" x14ac:dyDescent="0.25">
      <c r="A1963" t="s">
        <v>2028</v>
      </c>
      <c r="B1963" t="s">
        <v>2368</v>
      </c>
      <c r="C1963" t="s">
        <v>2385</v>
      </c>
      <c r="D1963">
        <v>43119</v>
      </c>
      <c r="E1963" t="str">
        <f t="shared" ref="E1963:E2026" si="86">"ia.assorted_string like '%"&amp;D1963&amp;B1963&amp;"%' or"</f>
        <v>ia.assorted_string like '%43119-07-2024%' or</v>
      </c>
    </row>
    <row r="1964" spans="1:5" x14ac:dyDescent="0.25">
      <c r="A1964" t="s">
        <v>2029</v>
      </c>
      <c r="B1964" t="s">
        <v>2366</v>
      </c>
      <c r="C1964" t="s">
        <v>2385</v>
      </c>
      <c r="D1964">
        <v>12998</v>
      </c>
      <c r="E1964" t="str">
        <f t="shared" si="86"/>
        <v>ia.assorted_string like '%12998-11-2021%' or</v>
      </c>
    </row>
    <row r="1965" spans="1:5" x14ac:dyDescent="0.25">
      <c r="A1965" t="s">
        <v>2030</v>
      </c>
      <c r="B1965" t="s">
        <v>2357</v>
      </c>
      <c r="C1965" t="s">
        <v>2385</v>
      </c>
      <c r="D1965">
        <v>62053</v>
      </c>
      <c r="E1965" t="str">
        <f t="shared" si="86"/>
        <v>ia.assorted_string like '%62053-06-2022%' or</v>
      </c>
    </row>
    <row r="1966" spans="1:5" x14ac:dyDescent="0.25">
      <c r="A1966" t="s">
        <v>2031</v>
      </c>
      <c r="B1966" t="s">
        <v>2343</v>
      </c>
      <c r="C1966" t="s">
        <v>2385</v>
      </c>
      <c r="D1966">
        <v>2594</v>
      </c>
      <c r="E1966" t="str">
        <f t="shared" si="86"/>
        <v>ia.assorted_string like '%2594-06-2024%' or</v>
      </c>
    </row>
    <row r="1967" spans="1:5" x14ac:dyDescent="0.25">
      <c r="A1967" t="s">
        <v>2032</v>
      </c>
      <c r="B1967" t="s">
        <v>2360</v>
      </c>
      <c r="C1967" t="s">
        <v>2385</v>
      </c>
      <c r="D1967">
        <v>63714</v>
      </c>
      <c r="E1967" t="str">
        <f t="shared" si="86"/>
        <v>ia.assorted_string like '%63714-09-2022%' or</v>
      </c>
    </row>
    <row r="1968" spans="1:5" x14ac:dyDescent="0.25">
      <c r="A1968" t="s">
        <v>2033</v>
      </c>
      <c r="B1968" t="s">
        <v>2343</v>
      </c>
      <c r="C1968" t="s">
        <v>2385</v>
      </c>
      <c r="D1968">
        <v>2610</v>
      </c>
      <c r="E1968" t="str">
        <f t="shared" si="86"/>
        <v>ia.assorted_string like '%2610-06-2024%' or</v>
      </c>
    </row>
    <row r="1969" spans="1:5" x14ac:dyDescent="0.25">
      <c r="A1969" t="s">
        <v>2034</v>
      </c>
      <c r="B1969" t="s">
        <v>2371</v>
      </c>
      <c r="C1969" t="s">
        <v>2385</v>
      </c>
      <c r="D1969">
        <v>362</v>
      </c>
      <c r="E1969" t="str">
        <f t="shared" si="86"/>
        <v>ia.assorted_string like '%362-10-2024%' or</v>
      </c>
    </row>
    <row r="1970" spans="1:5" x14ac:dyDescent="0.25">
      <c r="A1970" t="s">
        <v>2035</v>
      </c>
      <c r="B1970" t="s">
        <v>2353</v>
      </c>
      <c r="C1970" t="s">
        <v>2385</v>
      </c>
      <c r="D1970">
        <v>16636</v>
      </c>
      <c r="E1970" t="str">
        <f t="shared" si="86"/>
        <v>ia.assorted_string like '%16636-11-2022%' or</v>
      </c>
    </row>
    <row r="1971" spans="1:5" x14ac:dyDescent="0.25">
      <c r="A1971" t="s">
        <v>2036</v>
      </c>
      <c r="B1971" t="s">
        <v>2363</v>
      </c>
      <c r="C1971" t="s">
        <v>2385</v>
      </c>
      <c r="D1971">
        <v>13866</v>
      </c>
      <c r="E1971" t="str">
        <f t="shared" si="86"/>
        <v>ia.assorted_string like '%13866-04-2022%' or</v>
      </c>
    </row>
    <row r="1972" spans="1:5" x14ac:dyDescent="0.25">
      <c r="A1972" t="s">
        <v>2037</v>
      </c>
      <c r="B1972" t="s">
        <v>2345</v>
      </c>
      <c r="C1972" t="s">
        <v>2385</v>
      </c>
      <c r="D1972">
        <v>18184</v>
      </c>
      <c r="E1972" t="str">
        <f t="shared" si="86"/>
        <v>ia.assorted_string like '%18184-06-2023%' or</v>
      </c>
    </row>
    <row r="1973" spans="1:5" x14ac:dyDescent="0.25">
      <c r="A1973" t="s">
        <v>2038</v>
      </c>
      <c r="B1973" t="s">
        <v>2345</v>
      </c>
      <c r="C1973" t="s">
        <v>2385</v>
      </c>
      <c r="D1973">
        <v>18183</v>
      </c>
      <c r="E1973" t="str">
        <f t="shared" si="86"/>
        <v>ia.assorted_string like '%18183-06-2023%' or</v>
      </c>
    </row>
    <row r="1974" spans="1:5" x14ac:dyDescent="0.25">
      <c r="A1974" t="s">
        <v>2039</v>
      </c>
      <c r="B1974" t="s">
        <v>2342</v>
      </c>
      <c r="C1974" t="s">
        <v>2385</v>
      </c>
      <c r="D1974">
        <v>323</v>
      </c>
      <c r="E1974" t="str">
        <f t="shared" si="86"/>
        <v>ia.assorted_string like '%323-09-2024%' or</v>
      </c>
    </row>
    <row r="1975" spans="1:5" x14ac:dyDescent="0.25">
      <c r="A1975" t="s">
        <v>2040</v>
      </c>
      <c r="B1975" t="s">
        <v>2338</v>
      </c>
      <c r="C1975" t="s">
        <v>2385</v>
      </c>
      <c r="D1975">
        <v>18101</v>
      </c>
      <c r="E1975" t="str">
        <f t="shared" si="86"/>
        <v>ia.assorted_string like '%18101-05-2023%' or</v>
      </c>
    </row>
    <row r="1976" spans="1:5" x14ac:dyDescent="0.25">
      <c r="A1976" t="s">
        <v>2041</v>
      </c>
      <c r="B1976" t="s">
        <v>2338</v>
      </c>
      <c r="C1976" t="s">
        <v>2385</v>
      </c>
      <c r="D1976">
        <v>18094</v>
      </c>
      <c r="E1976" t="str">
        <f t="shared" si="86"/>
        <v>ia.assorted_string like '%18094-05-2023%' or</v>
      </c>
    </row>
    <row r="1977" spans="1:5" x14ac:dyDescent="0.25">
      <c r="A1977" t="s">
        <v>2042</v>
      </c>
      <c r="B1977" t="s">
        <v>2338</v>
      </c>
      <c r="C1977" t="s">
        <v>2385</v>
      </c>
      <c r="D1977">
        <v>18072</v>
      </c>
      <c r="E1977" t="str">
        <f t="shared" si="86"/>
        <v>ia.assorted_string like '%18072-05-2023%' or</v>
      </c>
    </row>
    <row r="1978" spans="1:5" x14ac:dyDescent="0.25">
      <c r="A1978" t="s">
        <v>2043</v>
      </c>
      <c r="B1978" t="s">
        <v>2372</v>
      </c>
      <c r="C1978" t="s">
        <v>2385</v>
      </c>
      <c r="D1978">
        <v>19012</v>
      </c>
      <c r="E1978" t="str">
        <f t="shared" si="86"/>
        <v>ia.assorted_string like '%19012-12-2023%' or</v>
      </c>
    </row>
    <row r="1979" spans="1:5" x14ac:dyDescent="0.25">
      <c r="A1979" t="s">
        <v>2044</v>
      </c>
      <c r="B1979" t="s">
        <v>2372</v>
      </c>
      <c r="C1979" t="s">
        <v>2385</v>
      </c>
      <c r="D1979">
        <v>18967</v>
      </c>
      <c r="E1979" t="str">
        <f t="shared" si="86"/>
        <v>ia.assorted_string like '%18967-12-2023%' or</v>
      </c>
    </row>
    <row r="1980" spans="1:5" x14ac:dyDescent="0.25">
      <c r="A1980" t="s">
        <v>2045</v>
      </c>
      <c r="B1980" t="s">
        <v>2354</v>
      </c>
      <c r="C1980" t="s">
        <v>2385</v>
      </c>
      <c r="D1980">
        <v>18455</v>
      </c>
      <c r="E1980" t="str">
        <f t="shared" si="86"/>
        <v>ia.assorted_string like '%18455-08-2023%' or</v>
      </c>
    </row>
    <row r="1981" spans="1:5" x14ac:dyDescent="0.25">
      <c r="A1981" t="s">
        <v>2046</v>
      </c>
      <c r="B1981" t="s">
        <v>2372</v>
      </c>
      <c r="C1981" t="s">
        <v>2385</v>
      </c>
      <c r="D1981">
        <v>19068</v>
      </c>
      <c r="E1981" t="str">
        <f t="shared" si="86"/>
        <v>ia.assorted_string like '%19068-12-2023%' or</v>
      </c>
    </row>
    <row r="1982" spans="1:5" x14ac:dyDescent="0.25">
      <c r="A1982" t="s">
        <v>2047</v>
      </c>
      <c r="B1982" t="s">
        <v>2372</v>
      </c>
      <c r="C1982" t="s">
        <v>2385</v>
      </c>
      <c r="D1982">
        <v>19045</v>
      </c>
      <c r="E1982" t="str">
        <f t="shared" si="86"/>
        <v>ia.assorted_string like '%19045-12-2023%' or</v>
      </c>
    </row>
    <row r="1983" spans="1:5" x14ac:dyDescent="0.25">
      <c r="A1983" t="s">
        <v>2048</v>
      </c>
      <c r="B1983" t="s">
        <v>2372</v>
      </c>
      <c r="C1983" t="s">
        <v>2385</v>
      </c>
      <c r="D1983">
        <v>18986</v>
      </c>
      <c r="E1983" t="str">
        <f t="shared" si="86"/>
        <v>ia.assorted_string like '%18986-12-2023%' or</v>
      </c>
    </row>
    <row r="1984" spans="1:5" x14ac:dyDescent="0.25">
      <c r="A1984" t="s">
        <v>2049</v>
      </c>
      <c r="B1984" t="s">
        <v>2372</v>
      </c>
      <c r="C1984" t="s">
        <v>2385</v>
      </c>
      <c r="D1984">
        <v>19042</v>
      </c>
      <c r="E1984" t="str">
        <f t="shared" si="86"/>
        <v>ia.assorted_string like '%19042-12-2023%' or</v>
      </c>
    </row>
    <row r="1985" spans="1:5" x14ac:dyDescent="0.25">
      <c r="A1985" t="s">
        <v>2050</v>
      </c>
      <c r="B1985" t="s">
        <v>2372</v>
      </c>
      <c r="C1985" t="s">
        <v>2385</v>
      </c>
      <c r="D1985">
        <v>18989</v>
      </c>
      <c r="E1985" t="str">
        <f t="shared" si="86"/>
        <v>ia.assorted_string like '%18989-12-2023%' or</v>
      </c>
    </row>
    <row r="1986" spans="1:5" x14ac:dyDescent="0.25">
      <c r="A1986" t="s">
        <v>2051</v>
      </c>
      <c r="B1986" t="s">
        <v>2347</v>
      </c>
      <c r="C1986" t="s">
        <v>2385</v>
      </c>
      <c r="D1986">
        <v>19574</v>
      </c>
      <c r="E1986" t="str">
        <f t="shared" si="86"/>
        <v>ia.assorted_string like '%19574-04-2024%' or</v>
      </c>
    </row>
    <row r="1987" spans="1:5" x14ac:dyDescent="0.25">
      <c r="A1987" t="s">
        <v>2052</v>
      </c>
      <c r="B1987" t="s">
        <v>2372</v>
      </c>
      <c r="C1987" t="s">
        <v>2385</v>
      </c>
      <c r="D1987">
        <v>19006</v>
      </c>
      <c r="E1987" t="str">
        <f t="shared" si="86"/>
        <v>ia.assorted_string like '%19006-12-2023%' or</v>
      </c>
    </row>
    <row r="1988" spans="1:5" x14ac:dyDescent="0.25">
      <c r="A1988" t="s">
        <v>2053</v>
      </c>
      <c r="B1988" t="s">
        <v>2354</v>
      </c>
      <c r="C1988" t="s">
        <v>2385</v>
      </c>
      <c r="D1988">
        <v>18449</v>
      </c>
      <c r="E1988" t="str">
        <f t="shared" si="86"/>
        <v>ia.assorted_string like '%18449-08-2023%' or</v>
      </c>
    </row>
    <row r="1989" spans="1:5" x14ac:dyDescent="0.25">
      <c r="A1989" t="s">
        <v>2054</v>
      </c>
      <c r="B1989" t="s">
        <v>2354</v>
      </c>
      <c r="C1989" t="s">
        <v>2385</v>
      </c>
      <c r="D1989">
        <v>18425</v>
      </c>
      <c r="E1989" t="str">
        <f t="shared" si="86"/>
        <v>ia.assorted_string like '%18425-08-2023%' or</v>
      </c>
    </row>
    <row r="1990" spans="1:5" x14ac:dyDescent="0.25">
      <c r="A1990" t="s">
        <v>2055</v>
      </c>
      <c r="B1990" t="s">
        <v>2342</v>
      </c>
      <c r="C1990" t="s">
        <v>2385</v>
      </c>
      <c r="D1990">
        <v>322</v>
      </c>
      <c r="E1990" t="str">
        <f t="shared" si="86"/>
        <v>ia.assorted_string like '%322-09-2024%' or</v>
      </c>
    </row>
    <row r="1991" spans="1:5" x14ac:dyDescent="0.25">
      <c r="A1991" t="s">
        <v>2056</v>
      </c>
      <c r="B1991" t="s">
        <v>2354</v>
      </c>
      <c r="C1991" t="s">
        <v>2385</v>
      </c>
      <c r="D1991">
        <v>74602</v>
      </c>
      <c r="E1991" t="str">
        <f t="shared" si="86"/>
        <v>ia.assorted_string like '%74602-08-2023%' or</v>
      </c>
    </row>
    <row r="1992" spans="1:5" x14ac:dyDescent="0.25">
      <c r="A1992" t="s">
        <v>2057</v>
      </c>
      <c r="B1992" t="s">
        <v>2337</v>
      </c>
      <c r="C1992" t="s">
        <v>2385</v>
      </c>
      <c r="D1992">
        <v>885</v>
      </c>
      <c r="E1992" t="str">
        <f t="shared" si="86"/>
        <v>ia.assorted_string like '%885-02-2023%' or</v>
      </c>
    </row>
    <row r="1993" spans="1:5" x14ac:dyDescent="0.25">
      <c r="A1993" t="s">
        <v>2058</v>
      </c>
      <c r="B1993" t="s">
        <v>2338</v>
      </c>
      <c r="C1993" t="s">
        <v>2385</v>
      </c>
      <c r="D1993">
        <v>18097</v>
      </c>
      <c r="E1993" t="str">
        <f t="shared" si="86"/>
        <v>ia.assorted_string like '%18097-05-2023%' or</v>
      </c>
    </row>
    <row r="1994" spans="1:5" x14ac:dyDescent="0.25">
      <c r="A1994" t="s">
        <v>2059</v>
      </c>
      <c r="B1994" t="s">
        <v>2338</v>
      </c>
      <c r="C1994" t="s">
        <v>2385</v>
      </c>
      <c r="D1994">
        <v>18100</v>
      </c>
      <c r="E1994" t="str">
        <f t="shared" si="86"/>
        <v>ia.assorted_string like '%18100-05-2023%' or</v>
      </c>
    </row>
    <row r="1995" spans="1:5" x14ac:dyDescent="0.25">
      <c r="A1995" t="s">
        <v>2060</v>
      </c>
      <c r="B1995" t="s">
        <v>2372</v>
      </c>
      <c r="C1995" t="s">
        <v>2385</v>
      </c>
      <c r="D1995">
        <v>18966</v>
      </c>
      <c r="E1995" t="str">
        <f t="shared" si="86"/>
        <v>ia.assorted_string like '%18966-12-2023%' or</v>
      </c>
    </row>
    <row r="1996" spans="1:5" x14ac:dyDescent="0.25">
      <c r="A1996" t="s">
        <v>2061</v>
      </c>
      <c r="B1996" t="s">
        <v>2343</v>
      </c>
      <c r="C1996" t="s">
        <v>2385</v>
      </c>
      <c r="D1996">
        <v>19930</v>
      </c>
      <c r="E1996" t="str">
        <f t="shared" si="86"/>
        <v>ia.assorted_string like '%19930-06-2024%' or</v>
      </c>
    </row>
    <row r="1997" spans="1:5" x14ac:dyDescent="0.25">
      <c r="A1997" t="s">
        <v>2062</v>
      </c>
      <c r="B1997" t="s">
        <v>2347</v>
      </c>
      <c r="C1997" t="s">
        <v>2385</v>
      </c>
      <c r="D1997">
        <v>4274</v>
      </c>
      <c r="E1997" t="str">
        <f t="shared" si="86"/>
        <v>ia.assorted_string like '%4274-04-2024%' or</v>
      </c>
    </row>
    <row r="1998" spans="1:5" x14ac:dyDescent="0.25">
      <c r="A1998" t="s">
        <v>2063</v>
      </c>
      <c r="B1998" t="s">
        <v>2343</v>
      </c>
      <c r="C1998" t="s">
        <v>2385</v>
      </c>
      <c r="D1998">
        <v>2585</v>
      </c>
      <c r="E1998" t="str">
        <f t="shared" si="86"/>
        <v>ia.assorted_string like '%2585-06-2024%' or</v>
      </c>
    </row>
    <row r="1999" spans="1:5" x14ac:dyDescent="0.25">
      <c r="A1999" t="s">
        <v>2064</v>
      </c>
      <c r="B1999" t="s">
        <v>2372</v>
      </c>
      <c r="C1999" t="s">
        <v>2385</v>
      </c>
      <c r="D1999">
        <v>20933</v>
      </c>
      <c r="E1999" t="str">
        <f t="shared" si="86"/>
        <v>ia.assorted_string like '%20933-12-2023%' or</v>
      </c>
    </row>
    <row r="2000" spans="1:5" x14ac:dyDescent="0.25">
      <c r="A2000" t="s">
        <v>2065</v>
      </c>
      <c r="B2000" t="s">
        <v>2339</v>
      </c>
      <c r="C2000" t="s">
        <v>2385</v>
      </c>
      <c r="D2000">
        <v>4262</v>
      </c>
      <c r="E2000" t="str">
        <f t="shared" si="86"/>
        <v>ia.assorted_string like '%4262-03-2024%' or</v>
      </c>
    </row>
    <row r="2001" spans="1:5" x14ac:dyDescent="0.25">
      <c r="A2001" t="s">
        <v>2066</v>
      </c>
      <c r="B2001" t="s">
        <v>2350</v>
      </c>
      <c r="C2001" t="s">
        <v>2385</v>
      </c>
      <c r="D2001">
        <v>260</v>
      </c>
      <c r="E2001" t="str">
        <f t="shared" si="86"/>
        <v>ia.assorted_string like '%260-01-2023%' or</v>
      </c>
    </row>
    <row r="2002" spans="1:5" x14ac:dyDescent="0.25">
      <c r="A2002" t="s">
        <v>2067</v>
      </c>
      <c r="B2002" t="s">
        <v>2371</v>
      </c>
      <c r="C2002" t="s">
        <v>2385</v>
      </c>
      <c r="D2002">
        <v>302</v>
      </c>
      <c r="E2002" t="str">
        <f t="shared" si="86"/>
        <v>ia.assorted_string like '%302-10-2024%' or</v>
      </c>
    </row>
    <row r="2003" spans="1:5" x14ac:dyDescent="0.25">
      <c r="A2003" t="s">
        <v>2068</v>
      </c>
      <c r="B2003" t="s">
        <v>2347</v>
      </c>
      <c r="C2003" t="s">
        <v>2385</v>
      </c>
      <c r="D2003">
        <v>282</v>
      </c>
      <c r="E2003" t="str">
        <f t="shared" si="86"/>
        <v>ia.assorted_string like '%282-04-2024%' or</v>
      </c>
    </row>
    <row r="2004" spans="1:5" x14ac:dyDescent="0.25">
      <c r="A2004" t="s">
        <v>2069</v>
      </c>
      <c r="B2004" t="s">
        <v>2347</v>
      </c>
      <c r="C2004" t="s">
        <v>2385</v>
      </c>
      <c r="D2004">
        <v>283</v>
      </c>
      <c r="E2004" t="str">
        <f t="shared" si="86"/>
        <v>ia.assorted_string like '%283-04-2024%' or</v>
      </c>
    </row>
    <row r="2005" spans="1:5" x14ac:dyDescent="0.25">
      <c r="A2005" t="s">
        <v>2070</v>
      </c>
      <c r="B2005" t="s">
        <v>2367</v>
      </c>
      <c r="C2005" t="s">
        <v>2385</v>
      </c>
      <c r="D2005">
        <v>1043</v>
      </c>
      <c r="E2005" t="str">
        <f t="shared" si="86"/>
        <v>ia.assorted_string like '%1043-10-2023%' or</v>
      </c>
    </row>
    <row r="2006" spans="1:5" x14ac:dyDescent="0.25">
      <c r="A2006" t="s">
        <v>2071</v>
      </c>
      <c r="B2006" t="s">
        <v>2362</v>
      </c>
      <c r="C2006" t="s">
        <v>2385</v>
      </c>
      <c r="D2006">
        <v>251</v>
      </c>
      <c r="E2006" t="str">
        <f t="shared" si="86"/>
        <v>ia.assorted_string like '%251-02-2022%' or</v>
      </c>
    </row>
    <row r="2007" spans="1:5" x14ac:dyDescent="0.25">
      <c r="A2007" t="s">
        <v>2072</v>
      </c>
      <c r="B2007" t="s">
        <v>2361</v>
      </c>
      <c r="C2007" t="s">
        <v>2385</v>
      </c>
      <c r="D2007">
        <v>278</v>
      </c>
      <c r="E2007" t="str">
        <f t="shared" si="86"/>
        <v>ia.assorted_string like '%278-01-2024%' or</v>
      </c>
    </row>
    <row r="2008" spans="1:5" x14ac:dyDescent="0.25">
      <c r="A2008" t="s">
        <v>2073</v>
      </c>
      <c r="B2008" t="s">
        <v>2367</v>
      </c>
      <c r="C2008" t="s">
        <v>2385</v>
      </c>
      <c r="D2008">
        <v>20386</v>
      </c>
      <c r="E2008" t="str">
        <f t="shared" si="86"/>
        <v>ia.assorted_string like '%20386-10-2023%' or</v>
      </c>
    </row>
    <row r="2009" spans="1:5" x14ac:dyDescent="0.25">
      <c r="A2009" t="s">
        <v>2074</v>
      </c>
      <c r="B2009" t="s">
        <v>2356</v>
      </c>
      <c r="C2009" t="s">
        <v>2385</v>
      </c>
      <c r="D2009">
        <v>69784</v>
      </c>
      <c r="E2009" t="str">
        <f t="shared" si="86"/>
        <v>ia.assorted_string like '%69784-04-2023%' or</v>
      </c>
    </row>
    <row r="2010" spans="1:5" x14ac:dyDescent="0.25">
      <c r="A2010" t="s">
        <v>2075</v>
      </c>
      <c r="B2010" t="s">
        <v>2346</v>
      </c>
      <c r="C2010" t="s">
        <v>2385</v>
      </c>
      <c r="D2010">
        <v>290</v>
      </c>
      <c r="E2010" t="str">
        <f t="shared" si="86"/>
        <v>ia.assorted_string like '%290-08-2024%' or</v>
      </c>
    </row>
    <row r="2011" spans="1:5" x14ac:dyDescent="0.25">
      <c r="A2011" t="s">
        <v>2076</v>
      </c>
      <c r="B2011" t="s">
        <v>2343</v>
      </c>
      <c r="C2011" t="s">
        <v>2385</v>
      </c>
      <c r="D2011">
        <v>2614</v>
      </c>
      <c r="E2011" t="str">
        <f t="shared" si="86"/>
        <v>ia.assorted_string like '%2614-06-2024%' or</v>
      </c>
    </row>
    <row r="2012" spans="1:5" x14ac:dyDescent="0.25">
      <c r="A2012" t="s">
        <v>2077</v>
      </c>
      <c r="B2012" t="s">
        <v>2343</v>
      </c>
      <c r="C2012" t="s">
        <v>2385</v>
      </c>
      <c r="D2012">
        <v>2617</v>
      </c>
      <c r="E2012" t="str">
        <f t="shared" si="86"/>
        <v>ia.assorted_string like '%2617-06-2024%' or</v>
      </c>
    </row>
    <row r="2013" spans="1:5" x14ac:dyDescent="0.25">
      <c r="A2013" t="s">
        <v>2078</v>
      </c>
      <c r="B2013" t="s">
        <v>2355</v>
      </c>
      <c r="C2013" t="s">
        <v>2385</v>
      </c>
      <c r="D2013">
        <v>22343</v>
      </c>
      <c r="E2013" t="str">
        <f t="shared" si="86"/>
        <v>ia.assorted_string like '%22343-05-2024%' or</v>
      </c>
    </row>
    <row r="2014" spans="1:5" x14ac:dyDescent="0.25">
      <c r="A2014" t="s">
        <v>2079</v>
      </c>
      <c r="B2014" t="s">
        <v>2354</v>
      </c>
      <c r="C2014" t="s">
        <v>2385</v>
      </c>
      <c r="D2014">
        <v>245</v>
      </c>
      <c r="E2014" t="str">
        <f t="shared" si="86"/>
        <v>ia.assorted_string like '%245-08-2023%' or</v>
      </c>
    </row>
    <row r="2015" spans="1:5" x14ac:dyDescent="0.25">
      <c r="A2015" t="s">
        <v>2080</v>
      </c>
      <c r="B2015" t="s">
        <v>2345</v>
      </c>
      <c r="C2015" t="s">
        <v>2385</v>
      </c>
      <c r="D2015">
        <v>18198</v>
      </c>
      <c r="E2015" t="str">
        <f t="shared" si="86"/>
        <v>ia.assorted_string like '%18198-06-2023%' or</v>
      </c>
    </row>
    <row r="2016" spans="1:5" x14ac:dyDescent="0.25">
      <c r="A2016" t="s">
        <v>2081</v>
      </c>
      <c r="B2016" t="s">
        <v>2372</v>
      </c>
      <c r="C2016" t="s">
        <v>2385</v>
      </c>
      <c r="D2016">
        <v>19024</v>
      </c>
      <c r="E2016" t="str">
        <f t="shared" si="86"/>
        <v>ia.assorted_string like '%19024-12-2023%' or</v>
      </c>
    </row>
    <row r="2017" spans="1:5" x14ac:dyDescent="0.25">
      <c r="A2017" t="s">
        <v>2082</v>
      </c>
      <c r="B2017" t="s">
        <v>2372</v>
      </c>
      <c r="C2017" t="s">
        <v>2385</v>
      </c>
      <c r="D2017">
        <v>19044</v>
      </c>
      <c r="E2017" t="str">
        <f t="shared" si="86"/>
        <v>ia.assorted_string like '%19044-12-2023%' or</v>
      </c>
    </row>
    <row r="2018" spans="1:5" x14ac:dyDescent="0.25">
      <c r="A2018" t="s">
        <v>2083</v>
      </c>
      <c r="B2018" t="s">
        <v>2343</v>
      </c>
      <c r="C2018" t="s">
        <v>2385</v>
      </c>
      <c r="D2018">
        <v>22583</v>
      </c>
      <c r="E2018" t="str">
        <f t="shared" si="86"/>
        <v>ia.assorted_string like '%22583-06-2024%' or</v>
      </c>
    </row>
    <row r="2019" spans="1:5" x14ac:dyDescent="0.25">
      <c r="A2019" t="s">
        <v>2084</v>
      </c>
      <c r="B2019" t="s">
        <v>2345</v>
      </c>
      <c r="C2019" t="s">
        <v>2385</v>
      </c>
      <c r="D2019">
        <v>18192</v>
      </c>
      <c r="E2019" t="str">
        <f t="shared" si="86"/>
        <v>ia.assorted_string like '%18192-06-2023%' or</v>
      </c>
    </row>
    <row r="2020" spans="1:5" x14ac:dyDescent="0.25">
      <c r="A2020" t="s">
        <v>2085</v>
      </c>
      <c r="B2020" t="s">
        <v>2343</v>
      </c>
      <c r="C2020" t="s">
        <v>2385</v>
      </c>
      <c r="D2020">
        <v>19848</v>
      </c>
      <c r="E2020" t="str">
        <f t="shared" si="86"/>
        <v>ia.assorted_string like '%19848-06-2024%' or</v>
      </c>
    </row>
    <row r="2021" spans="1:5" x14ac:dyDescent="0.25">
      <c r="A2021" t="s">
        <v>2086</v>
      </c>
      <c r="B2021" t="s">
        <v>2346</v>
      </c>
      <c r="C2021" t="s">
        <v>2385</v>
      </c>
      <c r="D2021">
        <v>43212</v>
      </c>
      <c r="E2021" t="str">
        <f t="shared" si="86"/>
        <v>ia.assorted_string like '%43212-08-2024%' or</v>
      </c>
    </row>
    <row r="2022" spans="1:5" x14ac:dyDescent="0.25">
      <c r="A2022" t="s">
        <v>2087</v>
      </c>
      <c r="B2022" t="s">
        <v>2336</v>
      </c>
      <c r="C2022" t="s">
        <v>2385</v>
      </c>
      <c r="D2022">
        <v>17976</v>
      </c>
      <c r="E2022" t="str">
        <f t="shared" si="86"/>
        <v>ia.assorted_string like '%17976-03-2023%' or</v>
      </c>
    </row>
    <row r="2023" spans="1:5" x14ac:dyDescent="0.25">
      <c r="A2023" t="s">
        <v>2088</v>
      </c>
      <c r="B2023" t="s">
        <v>2338</v>
      </c>
      <c r="C2023" t="s">
        <v>2385</v>
      </c>
      <c r="D2023">
        <v>18096</v>
      </c>
      <c r="E2023" t="str">
        <f t="shared" si="86"/>
        <v>ia.assorted_string like '%18096-05-2023%' or</v>
      </c>
    </row>
    <row r="2024" spans="1:5" x14ac:dyDescent="0.25">
      <c r="A2024" t="s">
        <v>2089</v>
      </c>
      <c r="B2024" t="s">
        <v>2354</v>
      </c>
      <c r="C2024" t="s">
        <v>2385</v>
      </c>
      <c r="D2024">
        <v>18525</v>
      </c>
      <c r="E2024" t="str">
        <f t="shared" si="86"/>
        <v>ia.assorted_string like '%18525-08-2023%' or</v>
      </c>
    </row>
    <row r="2025" spans="1:5" x14ac:dyDescent="0.25">
      <c r="A2025" t="s">
        <v>2090</v>
      </c>
      <c r="B2025" t="s">
        <v>2368</v>
      </c>
      <c r="C2025" t="s">
        <v>2385</v>
      </c>
      <c r="D2025">
        <v>20136</v>
      </c>
      <c r="E2025" t="str">
        <f t="shared" si="86"/>
        <v>ia.assorted_string like '%20136-07-2024%' or</v>
      </c>
    </row>
    <row r="2026" spans="1:5" x14ac:dyDescent="0.25">
      <c r="A2026" t="s">
        <v>2091</v>
      </c>
      <c r="B2026" t="s">
        <v>2345</v>
      </c>
      <c r="C2026" t="s">
        <v>2385</v>
      </c>
      <c r="D2026">
        <v>18188</v>
      </c>
      <c r="E2026" t="str">
        <f t="shared" si="86"/>
        <v>ia.assorted_string like '%18188-06-2023%' or</v>
      </c>
    </row>
    <row r="2027" spans="1:5" x14ac:dyDescent="0.25">
      <c r="A2027" t="s">
        <v>2092</v>
      </c>
      <c r="B2027" t="s">
        <v>2360</v>
      </c>
      <c r="C2027" t="s">
        <v>2385</v>
      </c>
      <c r="D2027">
        <v>15810</v>
      </c>
      <c r="E2027" t="str">
        <f t="shared" ref="E2027:E2044" si="87">"ia.assorted_string like '%"&amp;D2027&amp;B2027&amp;"%' or"</f>
        <v>ia.assorted_string like '%15810-09-2022%' or</v>
      </c>
    </row>
    <row r="2028" spans="1:5" x14ac:dyDescent="0.25">
      <c r="A2028" t="s">
        <v>2093</v>
      </c>
      <c r="B2028" t="s">
        <v>2343</v>
      </c>
      <c r="C2028" t="s">
        <v>2385</v>
      </c>
      <c r="D2028">
        <v>2584</v>
      </c>
      <c r="E2028" t="str">
        <f t="shared" si="87"/>
        <v>ia.assorted_string like '%2584-06-2024%' or</v>
      </c>
    </row>
    <row r="2029" spans="1:5" x14ac:dyDescent="0.25">
      <c r="A2029" t="s">
        <v>2094</v>
      </c>
      <c r="B2029" t="s">
        <v>2343</v>
      </c>
      <c r="C2029" t="s">
        <v>2385</v>
      </c>
      <c r="D2029">
        <v>2573</v>
      </c>
      <c r="E2029" t="str">
        <f t="shared" si="87"/>
        <v>ia.assorted_string like '%2573-06-2024%' or</v>
      </c>
    </row>
    <row r="2030" spans="1:5" x14ac:dyDescent="0.25">
      <c r="A2030" t="s">
        <v>2095</v>
      </c>
      <c r="B2030" t="s">
        <v>2343</v>
      </c>
      <c r="C2030" t="s">
        <v>2385</v>
      </c>
      <c r="D2030">
        <v>2586</v>
      </c>
      <c r="E2030" t="str">
        <f t="shared" si="87"/>
        <v>ia.assorted_string like '%2586-06-2024%' or</v>
      </c>
    </row>
    <row r="2031" spans="1:5" x14ac:dyDescent="0.25">
      <c r="A2031" t="s">
        <v>2096</v>
      </c>
      <c r="B2031" t="s">
        <v>2372</v>
      </c>
      <c r="C2031" t="s">
        <v>2385</v>
      </c>
      <c r="D2031">
        <v>80474</v>
      </c>
      <c r="E2031" t="str">
        <f t="shared" si="87"/>
        <v>ia.assorted_string like '%80474-12-2023%' or</v>
      </c>
    </row>
    <row r="2032" spans="1:5" x14ac:dyDescent="0.25">
      <c r="A2032" t="s">
        <v>2097</v>
      </c>
      <c r="B2032" t="s">
        <v>2338</v>
      </c>
      <c r="C2032" t="s">
        <v>2385</v>
      </c>
      <c r="D2032">
        <v>18068</v>
      </c>
      <c r="E2032" t="str">
        <f t="shared" si="87"/>
        <v>ia.assorted_string like '%18068-05-2023%' or</v>
      </c>
    </row>
    <row r="2033" spans="1:5" x14ac:dyDescent="0.25">
      <c r="A2033" t="s">
        <v>2098</v>
      </c>
      <c r="B2033" t="s">
        <v>2372</v>
      </c>
      <c r="C2033" t="s">
        <v>2385</v>
      </c>
      <c r="D2033">
        <v>19040</v>
      </c>
      <c r="E2033" t="str">
        <f t="shared" si="87"/>
        <v>ia.assorted_string like '%19040-12-2023%' or</v>
      </c>
    </row>
    <row r="2034" spans="1:5" x14ac:dyDescent="0.25">
      <c r="A2034" t="s">
        <v>2099</v>
      </c>
      <c r="B2034" t="s">
        <v>2367</v>
      </c>
      <c r="C2034" t="s">
        <v>2385</v>
      </c>
      <c r="D2034">
        <v>1872</v>
      </c>
      <c r="E2034" t="str">
        <f t="shared" si="87"/>
        <v>ia.assorted_string like '%1872-10-2023%' or</v>
      </c>
    </row>
    <row r="2035" spans="1:5" x14ac:dyDescent="0.25">
      <c r="A2035" t="s">
        <v>2100</v>
      </c>
      <c r="B2035" t="s">
        <v>2367</v>
      </c>
      <c r="C2035" t="s">
        <v>2385</v>
      </c>
      <c r="D2035">
        <v>1871</v>
      </c>
      <c r="E2035" t="str">
        <f t="shared" si="87"/>
        <v>ia.assorted_string like '%1871-10-2023%' or</v>
      </c>
    </row>
    <row r="2036" spans="1:5" x14ac:dyDescent="0.25">
      <c r="A2036" t="s">
        <v>2101</v>
      </c>
      <c r="B2036" t="s">
        <v>2367</v>
      </c>
      <c r="C2036" t="s">
        <v>2385</v>
      </c>
      <c r="D2036">
        <v>1891</v>
      </c>
      <c r="E2036" t="str">
        <f t="shared" si="87"/>
        <v>ia.assorted_string like '%1891-10-2023%' or</v>
      </c>
    </row>
    <row r="2037" spans="1:5" x14ac:dyDescent="0.25">
      <c r="A2037" t="s">
        <v>2102</v>
      </c>
      <c r="B2037" t="s">
        <v>2372</v>
      </c>
      <c r="C2037" t="s">
        <v>2385</v>
      </c>
      <c r="D2037">
        <v>41514</v>
      </c>
      <c r="E2037" t="str">
        <f t="shared" si="87"/>
        <v>ia.assorted_string like '%41514-12-2023%' or</v>
      </c>
    </row>
    <row r="2038" spans="1:5" x14ac:dyDescent="0.25">
      <c r="A2038" t="s">
        <v>2103</v>
      </c>
      <c r="B2038" t="s">
        <v>2338</v>
      </c>
      <c r="C2038" t="s">
        <v>2385</v>
      </c>
      <c r="D2038">
        <v>18070</v>
      </c>
      <c r="E2038" t="str">
        <f t="shared" si="87"/>
        <v>ia.assorted_string like '%18070-05-2023%' or</v>
      </c>
    </row>
    <row r="2039" spans="1:5" x14ac:dyDescent="0.25">
      <c r="A2039" t="s">
        <v>2104</v>
      </c>
      <c r="B2039" t="s">
        <v>2354</v>
      </c>
      <c r="C2039" t="s">
        <v>2385</v>
      </c>
      <c r="D2039">
        <v>18422</v>
      </c>
      <c r="E2039" t="str">
        <f t="shared" si="87"/>
        <v>ia.assorted_string like '%18422-08-2023%' or</v>
      </c>
    </row>
    <row r="2040" spans="1:5" x14ac:dyDescent="0.25">
      <c r="A2040" t="s">
        <v>2105</v>
      </c>
      <c r="B2040" t="s">
        <v>2343</v>
      </c>
      <c r="C2040" t="s">
        <v>2385</v>
      </c>
      <c r="D2040">
        <v>19956</v>
      </c>
      <c r="E2040" t="str">
        <f t="shared" si="87"/>
        <v>ia.assorted_string like '%19956-06-2024%' or</v>
      </c>
    </row>
    <row r="2041" spans="1:5" x14ac:dyDescent="0.25">
      <c r="A2041" t="s">
        <v>2106</v>
      </c>
      <c r="B2041" t="s">
        <v>2343</v>
      </c>
      <c r="C2041" t="s">
        <v>2385</v>
      </c>
      <c r="D2041">
        <v>2577</v>
      </c>
      <c r="E2041" t="str">
        <f t="shared" si="87"/>
        <v>ia.assorted_string like '%2577-06-2024%' or</v>
      </c>
    </row>
    <row r="2042" spans="1:5" x14ac:dyDescent="0.25">
      <c r="A2042" t="s">
        <v>2107</v>
      </c>
      <c r="B2042" t="s">
        <v>2343</v>
      </c>
      <c r="C2042" t="s">
        <v>2385</v>
      </c>
      <c r="D2042">
        <v>2582</v>
      </c>
      <c r="E2042" t="str">
        <f t="shared" si="87"/>
        <v>ia.assorted_string like '%2582-06-2024%' or</v>
      </c>
    </row>
    <row r="2043" spans="1:5" x14ac:dyDescent="0.25">
      <c r="A2043" t="s">
        <v>2108</v>
      </c>
      <c r="B2043" t="s">
        <v>2347</v>
      </c>
      <c r="C2043" t="s">
        <v>2385</v>
      </c>
      <c r="D2043">
        <v>19619</v>
      </c>
      <c r="E2043" t="str">
        <f t="shared" si="87"/>
        <v>ia.assorted_string like '%19619-04-2024%' or</v>
      </c>
    </row>
    <row r="2044" spans="1:5" x14ac:dyDescent="0.25">
      <c r="A2044" t="s">
        <v>2109</v>
      </c>
      <c r="B2044" t="s">
        <v>2372</v>
      </c>
      <c r="C2044" t="s">
        <v>2385</v>
      </c>
      <c r="D2044">
        <v>19093</v>
      </c>
      <c r="E2044" t="str">
        <f t="shared" si="87"/>
        <v>ia.assorted_string like '%19093-12-2023%' or</v>
      </c>
    </row>
    <row r="2046" spans="1:5" x14ac:dyDescent="0.25">
      <c r="A2046" t="s">
        <v>2111</v>
      </c>
      <c r="B2046" t="s">
        <v>2347</v>
      </c>
      <c r="C2046" t="s">
        <v>2385</v>
      </c>
      <c r="D2046">
        <v>19575</v>
      </c>
      <c r="E2046" t="str">
        <f t="shared" ref="E2046:E2048" si="88">"ia.assorted_string like '%"&amp;D2046&amp;B2046&amp;"%' or"</f>
        <v>ia.assorted_string like '%19575-04-2024%' or</v>
      </c>
    </row>
    <row r="2047" spans="1:5" x14ac:dyDescent="0.25">
      <c r="A2047" t="s">
        <v>2112</v>
      </c>
      <c r="B2047" t="s">
        <v>2345</v>
      </c>
      <c r="C2047" t="s">
        <v>2385</v>
      </c>
      <c r="D2047">
        <v>18190</v>
      </c>
      <c r="E2047" t="str">
        <f t="shared" si="88"/>
        <v>ia.assorted_string like '%18190-06-2023%' or</v>
      </c>
    </row>
    <row r="2048" spans="1:5" x14ac:dyDescent="0.25">
      <c r="A2048" t="s">
        <v>2113</v>
      </c>
      <c r="B2048" t="s">
        <v>2368</v>
      </c>
      <c r="C2048" t="s">
        <v>2385</v>
      </c>
      <c r="D2048">
        <v>20126</v>
      </c>
      <c r="E2048" t="str">
        <f t="shared" si="88"/>
        <v>ia.assorted_string like '%20126-07-2024%' or</v>
      </c>
    </row>
    <row r="2050" spans="1:5" x14ac:dyDescent="0.25">
      <c r="A2050" t="s">
        <v>2115</v>
      </c>
      <c r="B2050" t="s">
        <v>2368</v>
      </c>
      <c r="C2050" t="s">
        <v>2385</v>
      </c>
      <c r="D2050">
        <v>43108</v>
      </c>
      <c r="E2050" t="str">
        <f t="shared" ref="E2050:E2060" si="89">"ia.assorted_string like '%"&amp;D2050&amp;B2050&amp;"%' or"</f>
        <v>ia.assorted_string like '%43108-07-2024%' or</v>
      </c>
    </row>
    <row r="2051" spans="1:5" x14ac:dyDescent="0.25">
      <c r="A2051" t="s">
        <v>2116</v>
      </c>
      <c r="B2051" t="s">
        <v>2372</v>
      </c>
      <c r="C2051" t="s">
        <v>2385</v>
      </c>
      <c r="D2051">
        <v>19018</v>
      </c>
      <c r="E2051" t="str">
        <f t="shared" si="89"/>
        <v>ia.assorted_string like '%19018-12-2023%' or</v>
      </c>
    </row>
    <row r="2052" spans="1:5" x14ac:dyDescent="0.25">
      <c r="A2052" t="s">
        <v>2117</v>
      </c>
      <c r="B2052" t="s">
        <v>2343</v>
      </c>
      <c r="C2052" t="s">
        <v>2385</v>
      </c>
      <c r="D2052">
        <v>2576</v>
      </c>
      <c r="E2052" t="str">
        <f t="shared" si="89"/>
        <v>ia.assorted_string like '%2576-06-2024%' or</v>
      </c>
    </row>
    <row r="2053" spans="1:5" x14ac:dyDescent="0.25">
      <c r="A2053" t="s">
        <v>2118</v>
      </c>
      <c r="B2053" t="s">
        <v>2345</v>
      </c>
      <c r="C2053" t="s">
        <v>2385</v>
      </c>
      <c r="D2053">
        <v>18177</v>
      </c>
      <c r="E2053" t="str">
        <f t="shared" si="89"/>
        <v>ia.assorted_string like '%18177-06-2023%' or</v>
      </c>
    </row>
    <row r="2054" spans="1:5" x14ac:dyDescent="0.25">
      <c r="A2054" t="s">
        <v>2119</v>
      </c>
      <c r="B2054" t="s">
        <v>2372</v>
      </c>
      <c r="C2054" t="s">
        <v>2385</v>
      </c>
      <c r="D2054">
        <v>18985</v>
      </c>
      <c r="E2054" t="str">
        <f t="shared" si="89"/>
        <v>ia.assorted_string like '%18985-12-2023%' or</v>
      </c>
    </row>
    <row r="2055" spans="1:5" x14ac:dyDescent="0.25">
      <c r="A2055" t="s">
        <v>2120</v>
      </c>
      <c r="B2055" t="s">
        <v>2339</v>
      </c>
      <c r="C2055" t="s">
        <v>2385</v>
      </c>
      <c r="D2055">
        <v>42017</v>
      </c>
      <c r="E2055" t="str">
        <f t="shared" si="89"/>
        <v>ia.assorted_string like '%42017-03-2024%' or</v>
      </c>
    </row>
    <row r="2056" spans="1:5" x14ac:dyDescent="0.25">
      <c r="A2056" t="s">
        <v>2121</v>
      </c>
      <c r="B2056" t="s">
        <v>2345</v>
      </c>
      <c r="C2056" t="s">
        <v>2385</v>
      </c>
      <c r="D2056">
        <v>18199</v>
      </c>
      <c r="E2056" t="str">
        <f t="shared" si="89"/>
        <v>ia.assorted_string like '%18199-06-2023%' or</v>
      </c>
    </row>
    <row r="2057" spans="1:5" x14ac:dyDescent="0.25">
      <c r="A2057" t="s">
        <v>2122</v>
      </c>
      <c r="B2057" t="s">
        <v>2336</v>
      </c>
      <c r="C2057" t="s">
        <v>2385</v>
      </c>
      <c r="D2057">
        <v>9729</v>
      </c>
      <c r="E2057" t="str">
        <f t="shared" si="89"/>
        <v>ia.assorted_string like '%9729-03-2023%' or</v>
      </c>
    </row>
    <row r="2058" spans="1:5" x14ac:dyDescent="0.25">
      <c r="A2058" t="s">
        <v>2123</v>
      </c>
      <c r="B2058" t="s">
        <v>2371</v>
      </c>
      <c r="C2058" t="s">
        <v>2385</v>
      </c>
      <c r="D2058">
        <v>99416</v>
      </c>
      <c r="E2058" t="str">
        <f t="shared" si="89"/>
        <v>ia.assorted_string like '%99416-10-2024%' or</v>
      </c>
    </row>
    <row r="2059" spans="1:5" x14ac:dyDescent="0.25">
      <c r="A2059" t="s">
        <v>2124</v>
      </c>
      <c r="B2059" t="s">
        <v>2354</v>
      </c>
      <c r="C2059" t="s">
        <v>2385</v>
      </c>
      <c r="D2059">
        <v>18406</v>
      </c>
      <c r="E2059" t="str">
        <f t="shared" si="89"/>
        <v>ia.assorted_string like '%18406-08-2023%' or</v>
      </c>
    </row>
    <row r="2060" spans="1:5" x14ac:dyDescent="0.25">
      <c r="A2060" t="s">
        <v>2125</v>
      </c>
      <c r="B2060" t="s">
        <v>2368</v>
      </c>
      <c r="C2060" t="s">
        <v>2385</v>
      </c>
      <c r="D2060">
        <v>20141</v>
      </c>
      <c r="E2060" t="str">
        <f t="shared" si="89"/>
        <v>ia.assorted_string like '%20141-07-2024%' or</v>
      </c>
    </row>
    <row r="2062" spans="1:5" x14ac:dyDescent="0.25">
      <c r="A2062" t="s">
        <v>2127</v>
      </c>
      <c r="B2062" t="s">
        <v>2371</v>
      </c>
      <c r="C2062" t="s">
        <v>2385</v>
      </c>
      <c r="D2062">
        <v>328</v>
      </c>
      <c r="E2062" t="str">
        <f t="shared" ref="E2062:E2068" si="90">"ia.assorted_string like '%"&amp;D2062&amp;B2062&amp;"%' or"</f>
        <v>ia.assorted_string like '%328-10-2024%' or</v>
      </c>
    </row>
    <row r="2063" spans="1:5" x14ac:dyDescent="0.25">
      <c r="A2063" t="s">
        <v>2128</v>
      </c>
      <c r="B2063" t="s">
        <v>2372</v>
      </c>
      <c r="C2063" t="s">
        <v>2385</v>
      </c>
      <c r="D2063">
        <v>18960</v>
      </c>
      <c r="E2063" t="str">
        <f t="shared" si="90"/>
        <v>ia.assorted_string like '%18960-12-2023%' or</v>
      </c>
    </row>
    <row r="2064" spans="1:5" x14ac:dyDescent="0.25">
      <c r="A2064" t="s">
        <v>2129</v>
      </c>
      <c r="B2064" t="s">
        <v>2344</v>
      </c>
      <c r="C2064" t="s">
        <v>2385</v>
      </c>
      <c r="D2064">
        <v>18393</v>
      </c>
      <c r="E2064" t="str">
        <f t="shared" si="90"/>
        <v>ia.assorted_string like '%18393-07-2023%' or</v>
      </c>
    </row>
    <row r="2065" spans="1:5" x14ac:dyDescent="0.25">
      <c r="A2065" t="s">
        <v>2130</v>
      </c>
      <c r="B2065" t="s">
        <v>2368</v>
      </c>
      <c r="C2065" t="s">
        <v>2385</v>
      </c>
      <c r="D2065">
        <v>20134</v>
      </c>
      <c r="E2065" t="str">
        <f t="shared" si="90"/>
        <v>ia.assorted_string like '%20134-07-2024%' or</v>
      </c>
    </row>
    <row r="2066" spans="1:5" x14ac:dyDescent="0.25">
      <c r="A2066" t="s">
        <v>2131</v>
      </c>
      <c r="B2066" t="s">
        <v>2368</v>
      </c>
      <c r="C2066" t="s">
        <v>2385</v>
      </c>
      <c r="D2066">
        <v>20140</v>
      </c>
      <c r="E2066" t="str">
        <f t="shared" si="90"/>
        <v>ia.assorted_string like '%20140-07-2024%' or</v>
      </c>
    </row>
    <row r="2067" spans="1:5" x14ac:dyDescent="0.25">
      <c r="A2067" t="s">
        <v>2132</v>
      </c>
      <c r="B2067" t="s">
        <v>2372</v>
      </c>
      <c r="C2067" t="s">
        <v>2385</v>
      </c>
      <c r="D2067">
        <v>19089</v>
      </c>
      <c r="E2067" t="str">
        <f t="shared" si="90"/>
        <v>ia.assorted_string like '%19089-12-2023%' or</v>
      </c>
    </row>
    <row r="2068" spans="1:5" x14ac:dyDescent="0.25">
      <c r="A2068" t="s">
        <v>2133</v>
      </c>
      <c r="B2068" t="s">
        <v>2339</v>
      </c>
      <c r="C2068" t="s">
        <v>2385</v>
      </c>
      <c r="D2068">
        <v>21994</v>
      </c>
      <c r="E2068" t="str">
        <f t="shared" si="90"/>
        <v>ia.assorted_string like '%21994-03-2024%' or</v>
      </c>
    </row>
    <row r="2070" spans="1:5" x14ac:dyDescent="0.25">
      <c r="A2070" t="s">
        <v>2135</v>
      </c>
      <c r="B2070" t="s">
        <v>2371</v>
      </c>
      <c r="C2070" t="s">
        <v>2385</v>
      </c>
      <c r="D2070">
        <v>363</v>
      </c>
      <c r="E2070" t="str">
        <f t="shared" ref="E2070:E2085" si="91">"ia.assorted_string like '%"&amp;D2070&amp;B2070&amp;"%' or"</f>
        <v>ia.assorted_string like '%363-10-2024%' or</v>
      </c>
    </row>
    <row r="2071" spans="1:5" x14ac:dyDescent="0.25">
      <c r="A2071" t="s">
        <v>2136</v>
      </c>
      <c r="B2071" t="s">
        <v>2367</v>
      </c>
      <c r="C2071" t="s">
        <v>2385</v>
      </c>
      <c r="D2071">
        <v>40607</v>
      </c>
      <c r="E2071" t="str">
        <f t="shared" si="91"/>
        <v>ia.assorted_string like '%40607-10-2023%' or</v>
      </c>
    </row>
    <row r="2072" spans="1:5" x14ac:dyDescent="0.25">
      <c r="A2072" t="s">
        <v>2137</v>
      </c>
      <c r="B2072" t="s">
        <v>2368</v>
      </c>
      <c r="C2072" t="s">
        <v>2385</v>
      </c>
      <c r="D2072">
        <v>43096</v>
      </c>
      <c r="E2072" t="str">
        <f t="shared" si="91"/>
        <v>ia.assorted_string like '%43096-07-2024%' or</v>
      </c>
    </row>
    <row r="2073" spans="1:5" x14ac:dyDescent="0.25">
      <c r="A2073" t="s">
        <v>2138</v>
      </c>
      <c r="B2073" t="s">
        <v>2368</v>
      </c>
      <c r="C2073" t="s">
        <v>2385</v>
      </c>
      <c r="D2073">
        <v>1236</v>
      </c>
      <c r="E2073" t="str">
        <f t="shared" si="91"/>
        <v>ia.assorted_string like '%1236-07-2024%' or</v>
      </c>
    </row>
    <row r="2074" spans="1:5" x14ac:dyDescent="0.25">
      <c r="A2074" t="s">
        <v>2139</v>
      </c>
      <c r="B2074" t="s">
        <v>2343</v>
      </c>
      <c r="C2074" t="s">
        <v>2385</v>
      </c>
      <c r="D2074">
        <v>2606</v>
      </c>
      <c r="E2074" t="str">
        <f t="shared" si="91"/>
        <v>ia.assorted_string like '%2606-06-2024%' or</v>
      </c>
    </row>
    <row r="2075" spans="1:5" x14ac:dyDescent="0.25">
      <c r="A2075" t="s">
        <v>2140</v>
      </c>
      <c r="B2075" t="s">
        <v>2336</v>
      </c>
      <c r="C2075" t="s">
        <v>2385</v>
      </c>
      <c r="D2075">
        <v>39153</v>
      </c>
      <c r="E2075" t="str">
        <f t="shared" si="91"/>
        <v>ia.assorted_string like '%39153-03-2023%' or</v>
      </c>
    </row>
    <row r="2076" spans="1:5" x14ac:dyDescent="0.25">
      <c r="A2076" t="s">
        <v>2141</v>
      </c>
      <c r="B2076" t="s">
        <v>2343</v>
      </c>
      <c r="C2076" t="s">
        <v>2385</v>
      </c>
      <c r="D2076">
        <v>2583</v>
      </c>
      <c r="E2076" t="str">
        <f t="shared" si="91"/>
        <v>ia.assorted_string like '%2583-06-2024%' or</v>
      </c>
    </row>
    <row r="2077" spans="1:5" x14ac:dyDescent="0.25">
      <c r="A2077" t="s">
        <v>2142</v>
      </c>
      <c r="B2077" t="s">
        <v>2356</v>
      </c>
      <c r="C2077" t="s">
        <v>2385</v>
      </c>
      <c r="D2077">
        <v>69563</v>
      </c>
      <c r="E2077" t="str">
        <f t="shared" si="91"/>
        <v>ia.assorted_string like '%69563-04-2023%' or</v>
      </c>
    </row>
    <row r="2078" spans="1:5" x14ac:dyDescent="0.25">
      <c r="A2078" t="s">
        <v>2143</v>
      </c>
      <c r="B2078" t="s">
        <v>2364</v>
      </c>
      <c r="C2078" t="s">
        <v>2385</v>
      </c>
      <c r="D2078">
        <v>13275</v>
      </c>
      <c r="E2078" t="str">
        <f t="shared" si="91"/>
        <v>ia.assorted_string like '%13275-12-2021%' or</v>
      </c>
    </row>
    <row r="2079" spans="1:5" x14ac:dyDescent="0.25">
      <c r="A2079" t="s">
        <v>2144</v>
      </c>
      <c r="B2079" t="s">
        <v>2371</v>
      </c>
      <c r="C2079" t="s">
        <v>2385</v>
      </c>
      <c r="D2079">
        <v>364</v>
      </c>
      <c r="E2079" t="str">
        <f t="shared" si="91"/>
        <v>ia.assorted_string like '%364-10-2024%' or</v>
      </c>
    </row>
    <row r="2080" spans="1:5" x14ac:dyDescent="0.25">
      <c r="A2080" t="s">
        <v>2145</v>
      </c>
      <c r="B2080" t="s">
        <v>2361</v>
      </c>
      <c r="C2080" t="s">
        <v>2385</v>
      </c>
      <c r="D2080">
        <v>41570</v>
      </c>
      <c r="E2080" t="str">
        <f t="shared" si="91"/>
        <v>ia.assorted_string like '%41570-01-2024%' or</v>
      </c>
    </row>
    <row r="2081" spans="1:5" x14ac:dyDescent="0.25">
      <c r="A2081" t="s">
        <v>2146</v>
      </c>
      <c r="B2081" t="s">
        <v>2372</v>
      </c>
      <c r="C2081" t="s">
        <v>2385</v>
      </c>
      <c r="D2081">
        <v>19067</v>
      </c>
      <c r="E2081" t="str">
        <f t="shared" si="91"/>
        <v>ia.assorted_string like '%19067-12-2023%' or</v>
      </c>
    </row>
    <row r="2082" spans="1:5" x14ac:dyDescent="0.25">
      <c r="A2082" t="s">
        <v>2147</v>
      </c>
      <c r="B2082" t="s">
        <v>2344</v>
      </c>
      <c r="C2082" t="s">
        <v>2385</v>
      </c>
      <c r="D2082">
        <v>72786</v>
      </c>
      <c r="E2082" t="str">
        <f t="shared" si="91"/>
        <v>ia.assorted_string like '%72786-07-2023%' or</v>
      </c>
    </row>
    <row r="2083" spans="1:5" x14ac:dyDescent="0.25">
      <c r="A2083" t="s">
        <v>2148</v>
      </c>
      <c r="B2083" t="s">
        <v>2355</v>
      </c>
      <c r="C2083" t="s">
        <v>2385</v>
      </c>
      <c r="D2083">
        <v>19702</v>
      </c>
      <c r="E2083" t="str">
        <f t="shared" si="91"/>
        <v>ia.assorted_string like '%19702-05-2024%' or</v>
      </c>
    </row>
    <row r="2084" spans="1:5" x14ac:dyDescent="0.25">
      <c r="A2084" t="s">
        <v>2149</v>
      </c>
      <c r="B2084" t="s">
        <v>2368</v>
      </c>
      <c r="C2084" t="s">
        <v>2385</v>
      </c>
      <c r="D2084">
        <v>43097</v>
      </c>
      <c r="E2084" t="str">
        <f t="shared" si="91"/>
        <v>ia.assorted_string like '%43097-07-2024%' or</v>
      </c>
    </row>
    <row r="2085" spans="1:5" x14ac:dyDescent="0.25">
      <c r="A2085" t="s">
        <v>2150</v>
      </c>
      <c r="B2085" t="s">
        <v>2336</v>
      </c>
      <c r="C2085" t="s">
        <v>2385</v>
      </c>
      <c r="D2085">
        <v>18010</v>
      </c>
      <c r="E2085" t="str">
        <f t="shared" si="91"/>
        <v>ia.assorted_string like '%18010-03-2023%' or</v>
      </c>
    </row>
    <row r="2087" spans="1:5" x14ac:dyDescent="0.25">
      <c r="A2087" t="s">
        <v>2152</v>
      </c>
      <c r="B2087" t="s">
        <v>2345</v>
      </c>
      <c r="C2087" t="s">
        <v>2385</v>
      </c>
      <c r="D2087">
        <v>18191</v>
      </c>
      <c r="E2087" t="str">
        <f t="shared" ref="E2087:E2092" si="92">"ia.assorted_string like '%"&amp;D2087&amp;B2087&amp;"%' or"</f>
        <v>ia.assorted_string like '%18191-06-2023%' or</v>
      </c>
    </row>
    <row r="2088" spans="1:5" x14ac:dyDescent="0.25">
      <c r="A2088" t="s">
        <v>2153</v>
      </c>
      <c r="B2088" t="s">
        <v>2368</v>
      </c>
      <c r="C2088" t="s">
        <v>2385</v>
      </c>
      <c r="D2088">
        <v>20146</v>
      </c>
      <c r="E2088" t="str">
        <f t="shared" si="92"/>
        <v>ia.assorted_string like '%20146-07-2024%' or</v>
      </c>
    </row>
    <row r="2089" spans="1:5" x14ac:dyDescent="0.25">
      <c r="A2089" t="s">
        <v>2154</v>
      </c>
      <c r="B2089" t="s">
        <v>2367</v>
      </c>
      <c r="C2089" t="s">
        <v>2385</v>
      </c>
      <c r="D2089">
        <v>249</v>
      </c>
      <c r="E2089" t="str">
        <f t="shared" si="92"/>
        <v>ia.assorted_string like '%249-10-2023%' or</v>
      </c>
    </row>
    <row r="2090" spans="1:5" x14ac:dyDescent="0.25">
      <c r="A2090" t="s">
        <v>2155</v>
      </c>
      <c r="B2090" t="s">
        <v>2353</v>
      </c>
      <c r="C2090" t="s">
        <v>2385</v>
      </c>
      <c r="D2090">
        <v>188</v>
      </c>
      <c r="E2090" t="str">
        <f t="shared" si="92"/>
        <v>ia.assorted_string like '%188-11-2022%' or</v>
      </c>
    </row>
    <row r="2091" spans="1:5" x14ac:dyDescent="0.25">
      <c r="A2091" t="s">
        <v>2156</v>
      </c>
      <c r="B2091" t="s">
        <v>2372</v>
      </c>
      <c r="C2091" t="s">
        <v>2385</v>
      </c>
      <c r="D2091">
        <v>19078</v>
      </c>
      <c r="E2091" t="str">
        <f t="shared" si="92"/>
        <v>ia.assorted_string like '%19078-12-2023%' or</v>
      </c>
    </row>
    <row r="2092" spans="1:5" x14ac:dyDescent="0.25">
      <c r="A2092" t="s">
        <v>2157</v>
      </c>
      <c r="B2092" t="s">
        <v>2354</v>
      </c>
      <c r="C2092" t="s">
        <v>2385</v>
      </c>
      <c r="D2092">
        <v>18484</v>
      </c>
      <c r="E2092" t="str">
        <f t="shared" si="92"/>
        <v>ia.assorted_string like '%18484-08-2023%' or</v>
      </c>
    </row>
    <row r="2095" spans="1:5" x14ac:dyDescent="0.25">
      <c r="A2095" t="s">
        <v>2160</v>
      </c>
      <c r="B2095" t="s">
        <v>2344</v>
      </c>
      <c r="C2095" t="s">
        <v>2385</v>
      </c>
      <c r="D2095">
        <v>2580</v>
      </c>
      <c r="E2095" t="str">
        <f t="shared" ref="E2095:E2097" si="93">"ia.assorted_string like '%"&amp;D2095&amp;B2095&amp;"%' or"</f>
        <v>ia.assorted_string like '%2580-07-2023%' or</v>
      </c>
    </row>
    <row r="2096" spans="1:5" x14ac:dyDescent="0.25">
      <c r="A2096" t="s">
        <v>2161</v>
      </c>
      <c r="B2096" t="s">
        <v>2358</v>
      </c>
      <c r="C2096" t="s">
        <v>2385</v>
      </c>
      <c r="D2096">
        <v>1828</v>
      </c>
      <c r="E2096" t="str">
        <f t="shared" si="93"/>
        <v>ia.assorted_string like '%1828-10-2022%' or</v>
      </c>
    </row>
    <row r="2097" spans="1:5" x14ac:dyDescent="0.25">
      <c r="A2097" t="s">
        <v>2162</v>
      </c>
      <c r="B2097" t="s">
        <v>2339</v>
      </c>
      <c r="C2097" t="s">
        <v>2385</v>
      </c>
      <c r="D2097">
        <v>4235</v>
      </c>
      <c r="E2097" t="str">
        <f t="shared" si="93"/>
        <v>ia.assorted_string like '%4235-03-2024%' or</v>
      </c>
    </row>
    <row r="2099" spans="1:5" x14ac:dyDescent="0.25">
      <c r="A2099" t="s">
        <v>2164</v>
      </c>
      <c r="B2099" t="s">
        <v>2365</v>
      </c>
      <c r="C2099" t="s">
        <v>2385</v>
      </c>
      <c r="D2099">
        <v>26</v>
      </c>
      <c r="E2099" t="str">
        <f t="shared" ref="E2099:E2100" si="94">"ia.assorted_string like '%"&amp;D2099&amp;B2099&amp;"%' or"</f>
        <v>ia.assorted_string like '%26-03-2022%' or</v>
      </c>
    </row>
    <row r="2100" spans="1:5" x14ac:dyDescent="0.25">
      <c r="A2100" t="s">
        <v>2165</v>
      </c>
      <c r="B2100" t="s">
        <v>2382</v>
      </c>
      <c r="C2100" t="s">
        <v>2385</v>
      </c>
      <c r="D2100">
        <v>987</v>
      </c>
      <c r="E2100" t="str">
        <f t="shared" si="94"/>
        <v>ia.assorted_string like '%987-04-2021%' or</v>
      </c>
    </row>
    <row r="2102" spans="1:5" x14ac:dyDescent="0.25">
      <c r="A2102" t="s">
        <v>2167</v>
      </c>
      <c r="B2102" t="s">
        <v>2357</v>
      </c>
      <c r="C2102" t="s">
        <v>2385</v>
      </c>
      <c r="D2102">
        <v>2070</v>
      </c>
      <c r="E2102" t="str">
        <f t="shared" ref="E2102:E2104" si="95">"ia.assorted_string like '%"&amp;D2102&amp;B2102&amp;"%' or"</f>
        <v>ia.assorted_string like '%2070-06-2022%' or</v>
      </c>
    </row>
    <row r="2103" spans="1:5" x14ac:dyDescent="0.25">
      <c r="A2103" t="s">
        <v>2168</v>
      </c>
      <c r="B2103" t="s">
        <v>2377</v>
      </c>
      <c r="C2103" t="s">
        <v>2385</v>
      </c>
      <c r="D2103">
        <v>11699</v>
      </c>
      <c r="E2103" t="str">
        <f t="shared" si="95"/>
        <v>ia.assorted_string like '%11699-06-2021%' or</v>
      </c>
    </row>
    <row r="2104" spans="1:5" x14ac:dyDescent="0.25">
      <c r="A2104" t="s">
        <v>2169</v>
      </c>
      <c r="B2104" t="s">
        <v>2360</v>
      </c>
      <c r="C2104" t="s">
        <v>2385</v>
      </c>
      <c r="D2104">
        <v>1773</v>
      </c>
      <c r="E2104" t="str">
        <f t="shared" si="95"/>
        <v>ia.assorted_string like '%1773-09-2022%' or</v>
      </c>
    </row>
    <row r="2106" spans="1:5" x14ac:dyDescent="0.25">
      <c r="A2106" t="s">
        <v>2171</v>
      </c>
      <c r="B2106" t="s">
        <v>2343</v>
      </c>
      <c r="C2106" t="s">
        <v>2385</v>
      </c>
      <c r="D2106">
        <v>90360</v>
      </c>
      <c r="E2106" t="str">
        <f t="shared" ref="E2106:E2169" si="96">"ia.assorted_string like '%"&amp;D2106&amp;B2106&amp;"%' or"</f>
        <v>ia.assorted_string like '%90360-06-2024%' or</v>
      </c>
    </row>
    <row r="2107" spans="1:5" x14ac:dyDescent="0.25">
      <c r="A2107" t="s">
        <v>2172</v>
      </c>
      <c r="B2107" t="s">
        <v>2339</v>
      </c>
      <c r="C2107" t="s">
        <v>2385</v>
      </c>
      <c r="D2107">
        <v>84757</v>
      </c>
      <c r="E2107" t="str">
        <f t="shared" si="96"/>
        <v>ia.assorted_string like '%84757-03-2024%' or</v>
      </c>
    </row>
    <row r="2108" spans="1:5" x14ac:dyDescent="0.25">
      <c r="A2108" t="s">
        <v>2173</v>
      </c>
      <c r="B2108" t="s">
        <v>2359</v>
      </c>
      <c r="C2108" t="s">
        <v>2385</v>
      </c>
      <c r="D2108">
        <v>280</v>
      </c>
      <c r="E2108" t="str">
        <f t="shared" si="96"/>
        <v>ia.assorted_string like '%280-02-2024%' or</v>
      </c>
    </row>
    <row r="2109" spans="1:5" x14ac:dyDescent="0.25">
      <c r="A2109" t="s">
        <v>2174</v>
      </c>
      <c r="B2109" t="s">
        <v>2372</v>
      </c>
      <c r="C2109" t="s">
        <v>2385</v>
      </c>
      <c r="D2109">
        <v>41095</v>
      </c>
      <c r="E2109" t="str">
        <f t="shared" si="96"/>
        <v>ia.assorted_string like '%41095-12-2023%' or</v>
      </c>
    </row>
    <row r="2110" spans="1:5" x14ac:dyDescent="0.25">
      <c r="A2110" t="s">
        <v>2175</v>
      </c>
      <c r="B2110" t="s">
        <v>2355</v>
      </c>
      <c r="C2110" t="s">
        <v>2385</v>
      </c>
      <c r="D2110">
        <v>89605</v>
      </c>
      <c r="E2110" t="str">
        <f t="shared" si="96"/>
        <v>ia.assorted_string like '%89605-05-2024%' or</v>
      </c>
    </row>
    <row r="2111" spans="1:5" x14ac:dyDescent="0.25">
      <c r="A2111" t="s">
        <v>2176</v>
      </c>
      <c r="B2111" t="s">
        <v>2372</v>
      </c>
      <c r="C2111" t="s">
        <v>2385</v>
      </c>
      <c r="D2111">
        <v>41527</v>
      </c>
      <c r="E2111" t="str">
        <f t="shared" si="96"/>
        <v>ia.assorted_string like '%41527-12-2023%' or</v>
      </c>
    </row>
    <row r="2112" spans="1:5" x14ac:dyDescent="0.25">
      <c r="A2112" t="s">
        <v>2177</v>
      </c>
      <c r="B2112" t="s">
        <v>2355</v>
      </c>
      <c r="C2112" t="s">
        <v>2385</v>
      </c>
      <c r="D2112">
        <v>89745</v>
      </c>
      <c r="E2112" t="str">
        <f t="shared" si="96"/>
        <v>ia.assorted_string like '%89745-05-2024%' or</v>
      </c>
    </row>
    <row r="2113" spans="1:5" x14ac:dyDescent="0.25">
      <c r="A2113" t="s">
        <v>2178</v>
      </c>
      <c r="B2113" t="s">
        <v>2347</v>
      </c>
      <c r="C2113" t="s">
        <v>2385</v>
      </c>
      <c r="D2113">
        <v>281</v>
      </c>
      <c r="E2113" t="str">
        <f t="shared" si="96"/>
        <v>ia.assorted_string like '%281-04-2024%' or</v>
      </c>
    </row>
    <row r="2114" spans="1:5" x14ac:dyDescent="0.25">
      <c r="A2114" t="s">
        <v>2179</v>
      </c>
      <c r="B2114" t="s">
        <v>2336</v>
      </c>
      <c r="C2114" t="s">
        <v>2385</v>
      </c>
      <c r="D2114">
        <v>264</v>
      </c>
      <c r="E2114" t="str">
        <f t="shared" si="96"/>
        <v>ia.assorted_string like '%264-03-2023%' or</v>
      </c>
    </row>
    <row r="2115" spans="1:5" x14ac:dyDescent="0.25">
      <c r="A2115" t="s">
        <v>2180</v>
      </c>
      <c r="B2115" t="s">
        <v>2372</v>
      </c>
      <c r="C2115" t="s">
        <v>2385</v>
      </c>
      <c r="D2115">
        <v>41096</v>
      </c>
      <c r="E2115" t="str">
        <f t="shared" si="96"/>
        <v>ia.assorted_string like '%41096-12-2023%' or</v>
      </c>
    </row>
    <row r="2116" spans="1:5" x14ac:dyDescent="0.25">
      <c r="A2116" t="s">
        <v>2181</v>
      </c>
      <c r="B2116" t="s">
        <v>2367</v>
      </c>
      <c r="C2116" t="s">
        <v>2385</v>
      </c>
      <c r="D2116">
        <v>274</v>
      </c>
      <c r="E2116" t="str">
        <f t="shared" si="96"/>
        <v>ia.assorted_string like '%274-10-2023%' or</v>
      </c>
    </row>
    <row r="2117" spans="1:5" x14ac:dyDescent="0.25">
      <c r="A2117" t="s">
        <v>2182</v>
      </c>
      <c r="B2117" t="s">
        <v>2343</v>
      </c>
      <c r="C2117" t="s">
        <v>2385</v>
      </c>
      <c r="D2117">
        <v>90278</v>
      </c>
      <c r="E2117" t="str">
        <f t="shared" si="96"/>
        <v>ia.assorted_string like '%90278-06-2024%' or</v>
      </c>
    </row>
    <row r="2118" spans="1:5" x14ac:dyDescent="0.25">
      <c r="A2118" t="s">
        <v>2183</v>
      </c>
      <c r="B2118" t="s">
        <v>2359</v>
      </c>
      <c r="C2118" t="s">
        <v>2385</v>
      </c>
      <c r="D2118">
        <v>83524</v>
      </c>
      <c r="E2118" t="str">
        <f t="shared" si="96"/>
        <v>ia.assorted_string like '%83524-02-2024%' or</v>
      </c>
    </row>
    <row r="2119" spans="1:5" x14ac:dyDescent="0.25">
      <c r="A2119" t="s">
        <v>2184</v>
      </c>
      <c r="B2119" t="s">
        <v>2376</v>
      </c>
      <c r="C2119" t="s">
        <v>2385</v>
      </c>
      <c r="D2119">
        <v>276</v>
      </c>
      <c r="E2119" t="str">
        <f t="shared" si="96"/>
        <v>ia.assorted_string like '%276-11-2023%' or</v>
      </c>
    </row>
    <row r="2120" spans="1:5" x14ac:dyDescent="0.25">
      <c r="A2120" t="s">
        <v>2185</v>
      </c>
      <c r="B2120" t="s">
        <v>2361</v>
      </c>
      <c r="C2120" t="s">
        <v>2385</v>
      </c>
      <c r="D2120">
        <v>81240</v>
      </c>
      <c r="E2120" t="str">
        <f t="shared" si="96"/>
        <v>ia.assorted_string like '%81240-01-2024%' or</v>
      </c>
    </row>
    <row r="2121" spans="1:5" x14ac:dyDescent="0.25">
      <c r="A2121" t="s">
        <v>2186</v>
      </c>
      <c r="B2121" t="s">
        <v>2343</v>
      </c>
      <c r="C2121" t="s">
        <v>2385</v>
      </c>
      <c r="D2121">
        <v>91674</v>
      </c>
      <c r="E2121" t="str">
        <f t="shared" si="96"/>
        <v>ia.assorted_string like '%91674-06-2024%' or</v>
      </c>
    </row>
    <row r="2122" spans="1:5" x14ac:dyDescent="0.25">
      <c r="A2122" t="s">
        <v>2187</v>
      </c>
      <c r="B2122" t="s">
        <v>2347</v>
      </c>
      <c r="C2122" t="s">
        <v>2385</v>
      </c>
      <c r="D2122">
        <v>87178</v>
      </c>
      <c r="E2122" t="str">
        <f t="shared" si="96"/>
        <v>ia.assorted_string like '%87178-04-2024%' or</v>
      </c>
    </row>
    <row r="2123" spans="1:5" x14ac:dyDescent="0.25">
      <c r="A2123" t="s">
        <v>2188</v>
      </c>
      <c r="B2123" t="s">
        <v>2339</v>
      </c>
      <c r="C2123" t="s">
        <v>2385</v>
      </c>
      <c r="D2123">
        <v>85528</v>
      </c>
      <c r="E2123" t="str">
        <f t="shared" si="96"/>
        <v>ia.assorted_string like '%85528-03-2024%' or</v>
      </c>
    </row>
    <row r="2124" spans="1:5" x14ac:dyDescent="0.25">
      <c r="A2124" t="s">
        <v>2189</v>
      </c>
      <c r="B2124" t="s">
        <v>2337</v>
      </c>
      <c r="C2124" t="s">
        <v>2385</v>
      </c>
      <c r="D2124">
        <v>262</v>
      </c>
      <c r="E2124" t="str">
        <f t="shared" si="96"/>
        <v>ia.assorted_string like '%262-02-2023%' or</v>
      </c>
    </row>
    <row r="2125" spans="1:5" x14ac:dyDescent="0.25">
      <c r="A2125" t="s">
        <v>2190</v>
      </c>
      <c r="B2125" t="s">
        <v>2360</v>
      </c>
      <c r="C2125" t="s">
        <v>2385</v>
      </c>
      <c r="D2125">
        <v>254</v>
      </c>
      <c r="E2125" t="str">
        <f t="shared" si="96"/>
        <v>ia.assorted_string like '%254-09-2022%' or</v>
      </c>
    </row>
    <row r="2126" spans="1:5" x14ac:dyDescent="0.25">
      <c r="A2126" t="s">
        <v>2191</v>
      </c>
      <c r="B2126" t="s">
        <v>2350</v>
      </c>
      <c r="C2126" t="s">
        <v>2385</v>
      </c>
      <c r="D2126">
        <v>259</v>
      </c>
      <c r="E2126" t="str">
        <f t="shared" si="96"/>
        <v>ia.assorted_string like '%259-01-2023%' or</v>
      </c>
    </row>
    <row r="2127" spans="1:5" x14ac:dyDescent="0.25">
      <c r="A2127" t="s">
        <v>2192</v>
      </c>
      <c r="B2127" t="s">
        <v>2337</v>
      </c>
      <c r="C2127" t="s">
        <v>2385</v>
      </c>
      <c r="D2127">
        <v>261</v>
      </c>
      <c r="E2127" t="str">
        <f t="shared" si="96"/>
        <v>ia.assorted_string like '%261-02-2023%' or</v>
      </c>
    </row>
    <row r="2128" spans="1:5" x14ac:dyDescent="0.25">
      <c r="A2128" t="s">
        <v>2193</v>
      </c>
      <c r="B2128" t="s">
        <v>2355</v>
      </c>
      <c r="C2128" t="s">
        <v>2385</v>
      </c>
      <c r="D2128">
        <v>19704</v>
      </c>
      <c r="E2128" t="str">
        <f t="shared" si="96"/>
        <v>ia.assorted_string like '%19704-05-2024%' or</v>
      </c>
    </row>
    <row r="2129" spans="1:5" x14ac:dyDescent="0.25">
      <c r="A2129" t="s">
        <v>2194</v>
      </c>
      <c r="B2129" t="s">
        <v>2347</v>
      </c>
      <c r="C2129" t="s">
        <v>2385</v>
      </c>
      <c r="D2129">
        <v>19583</v>
      </c>
      <c r="E2129" t="str">
        <f t="shared" si="96"/>
        <v>ia.assorted_string like '%19583-04-2024%' or</v>
      </c>
    </row>
    <row r="2130" spans="1:5" x14ac:dyDescent="0.25">
      <c r="A2130" t="s">
        <v>2195</v>
      </c>
      <c r="B2130" t="s">
        <v>2343</v>
      </c>
      <c r="C2130" t="s">
        <v>2385</v>
      </c>
      <c r="D2130">
        <v>2624</v>
      </c>
      <c r="E2130" t="str">
        <f t="shared" si="96"/>
        <v>ia.assorted_string like '%2624-06-2024%' or</v>
      </c>
    </row>
    <row r="2131" spans="1:5" x14ac:dyDescent="0.25">
      <c r="A2131" t="s">
        <v>2196</v>
      </c>
      <c r="B2131" t="s">
        <v>2371</v>
      </c>
      <c r="C2131" t="s">
        <v>2385</v>
      </c>
      <c r="D2131">
        <v>365</v>
      </c>
      <c r="E2131" t="str">
        <f t="shared" si="96"/>
        <v>ia.assorted_string like '%365-10-2024%' or</v>
      </c>
    </row>
    <row r="2132" spans="1:5" x14ac:dyDescent="0.25">
      <c r="A2132" t="s">
        <v>2197</v>
      </c>
      <c r="B2132" t="s">
        <v>2372</v>
      </c>
      <c r="C2132" t="s">
        <v>2385</v>
      </c>
      <c r="D2132">
        <v>41499</v>
      </c>
      <c r="E2132" t="str">
        <f t="shared" si="96"/>
        <v>ia.assorted_string like '%41499-12-2023%' or</v>
      </c>
    </row>
    <row r="2133" spans="1:5" x14ac:dyDescent="0.25">
      <c r="A2133" t="s">
        <v>2198</v>
      </c>
      <c r="B2133" t="s">
        <v>2347</v>
      </c>
      <c r="C2133" t="s">
        <v>2385</v>
      </c>
      <c r="D2133">
        <v>19584</v>
      </c>
      <c r="E2133" t="str">
        <f t="shared" si="96"/>
        <v>ia.assorted_string like '%19584-04-2024%' or</v>
      </c>
    </row>
    <row r="2134" spans="1:5" x14ac:dyDescent="0.25">
      <c r="A2134" t="s">
        <v>2199</v>
      </c>
      <c r="B2134" t="s">
        <v>2371</v>
      </c>
      <c r="C2134" t="s">
        <v>2385</v>
      </c>
      <c r="D2134">
        <v>329</v>
      </c>
      <c r="E2134" t="str">
        <f t="shared" si="96"/>
        <v>ia.assorted_string like '%329-10-2024%' or</v>
      </c>
    </row>
    <row r="2135" spans="1:5" x14ac:dyDescent="0.25">
      <c r="A2135" t="s">
        <v>2200</v>
      </c>
      <c r="B2135" t="s">
        <v>2346</v>
      </c>
      <c r="C2135" t="s">
        <v>2385</v>
      </c>
      <c r="D2135">
        <v>43211</v>
      </c>
      <c r="E2135" t="str">
        <f t="shared" si="96"/>
        <v>ia.assorted_string like '%43211-08-2024%' or</v>
      </c>
    </row>
    <row r="2136" spans="1:5" x14ac:dyDescent="0.25">
      <c r="A2136" t="s">
        <v>2201</v>
      </c>
      <c r="B2136" t="s">
        <v>2372</v>
      </c>
      <c r="C2136" t="s">
        <v>2385</v>
      </c>
      <c r="D2136">
        <v>18988</v>
      </c>
      <c r="E2136" t="str">
        <f t="shared" si="96"/>
        <v>ia.assorted_string like '%18988-12-2023%' or</v>
      </c>
    </row>
    <row r="2137" spans="1:5" x14ac:dyDescent="0.25">
      <c r="A2137" t="s">
        <v>2202</v>
      </c>
      <c r="B2137" t="s">
        <v>2376</v>
      </c>
      <c r="C2137" t="s">
        <v>2385</v>
      </c>
      <c r="D2137">
        <v>2223</v>
      </c>
      <c r="E2137" t="str">
        <f t="shared" si="96"/>
        <v>ia.assorted_string like '%2223-11-2023%' or</v>
      </c>
    </row>
    <row r="2138" spans="1:5" x14ac:dyDescent="0.25">
      <c r="A2138" t="s">
        <v>2203</v>
      </c>
      <c r="B2138" t="s">
        <v>2344</v>
      </c>
      <c r="C2138" t="s">
        <v>2385</v>
      </c>
      <c r="D2138">
        <v>911</v>
      </c>
      <c r="E2138" t="str">
        <f t="shared" si="96"/>
        <v>ia.assorted_string like '%911-07-2023%' or</v>
      </c>
    </row>
    <row r="2139" spans="1:5" x14ac:dyDescent="0.25">
      <c r="A2139" t="s">
        <v>2204</v>
      </c>
      <c r="B2139" t="s">
        <v>2372</v>
      </c>
      <c r="C2139" t="s">
        <v>2385</v>
      </c>
      <c r="D2139">
        <v>18959</v>
      </c>
      <c r="E2139" t="str">
        <f t="shared" si="96"/>
        <v>ia.assorted_string like '%18959-12-2023%' or</v>
      </c>
    </row>
    <row r="2140" spans="1:5" x14ac:dyDescent="0.25">
      <c r="A2140" t="s">
        <v>2205</v>
      </c>
      <c r="B2140" t="s">
        <v>2367</v>
      </c>
      <c r="C2140" t="s">
        <v>2385</v>
      </c>
      <c r="D2140">
        <v>1896</v>
      </c>
      <c r="E2140" t="str">
        <f t="shared" si="96"/>
        <v>ia.assorted_string like '%1896-10-2023%' or</v>
      </c>
    </row>
    <row r="2141" spans="1:5" x14ac:dyDescent="0.25">
      <c r="A2141" t="s">
        <v>2206</v>
      </c>
      <c r="B2141" t="s">
        <v>2340</v>
      </c>
      <c r="C2141" t="s">
        <v>2385</v>
      </c>
      <c r="D2141">
        <v>1659</v>
      </c>
      <c r="E2141" t="str">
        <f t="shared" si="96"/>
        <v>ia.assorted_string like '%1659-09-2023%' or</v>
      </c>
    </row>
    <row r="2142" spans="1:5" x14ac:dyDescent="0.25">
      <c r="A2142" t="s">
        <v>2207</v>
      </c>
      <c r="B2142" t="s">
        <v>2367</v>
      </c>
      <c r="C2142" t="s">
        <v>2385</v>
      </c>
      <c r="D2142">
        <v>1908</v>
      </c>
      <c r="E2142" t="str">
        <f t="shared" si="96"/>
        <v>ia.assorted_string like '%1908-10-2023%' or</v>
      </c>
    </row>
    <row r="2143" spans="1:5" x14ac:dyDescent="0.25">
      <c r="A2143" t="s">
        <v>2208</v>
      </c>
      <c r="B2143" t="s">
        <v>2340</v>
      </c>
      <c r="C2143" t="s">
        <v>2385</v>
      </c>
      <c r="D2143">
        <v>1673</v>
      </c>
      <c r="E2143" t="str">
        <f t="shared" si="96"/>
        <v>ia.assorted_string like '%1673-09-2023%' or</v>
      </c>
    </row>
    <row r="2144" spans="1:5" x14ac:dyDescent="0.25">
      <c r="A2144" t="s">
        <v>2209</v>
      </c>
      <c r="B2144" t="s">
        <v>2367</v>
      </c>
      <c r="C2144" t="s">
        <v>2385</v>
      </c>
      <c r="D2144">
        <v>1940</v>
      </c>
      <c r="E2144" t="str">
        <f t="shared" si="96"/>
        <v>ia.assorted_string like '%1940-10-2023%' or</v>
      </c>
    </row>
    <row r="2145" spans="1:5" x14ac:dyDescent="0.25">
      <c r="A2145" t="s">
        <v>2210</v>
      </c>
      <c r="B2145" t="s">
        <v>2367</v>
      </c>
      <c r="C2145" t="s">
        <v>2385</v>
      </c>
      <c r="D2145">
        <v>1804</v>
      </c>
      <c r="E2145" t="str">
        <f t="shared" si="96"/>
        <v>ia.assorted_string like '%1804-10-2023%' or</v>
      </c>
    </row>
    <row r="2146" spans="1:5" x14ac:dyDescent="0.25">
      <c r="A2146" t="s">
        <v>2211</v>
      </c>
      <c r="B2146" t="s">
        <v>2367</v>
      </c>
      <c r="C2146" t="s">
        <v>2385</v>
      </c>
      <c r="D2146">
        <v>1975</v>
      </c>
      <c r="E2146" t="str">
        <f t="shared" si="96"/>
        <v>ia.assorted_string like '%1975-10-2023%' or</v>
      </c>
    </row>
    <row r="2147" spans="1:5" x14ac:dyDescent="0.25">
      <c r="A2147" t="s">
        <v>2212</v>
      </c>
      <c r="B2147" t="s">
        <v>2367</v>
      </c>
      <c r="C2147" t="s">
        <v>2385</v>
      </c>
      <c r="D2147">
        <v>1860</v>
      </c>
      <c r="E2147" t="str">
        <f t="shared" si="96"/>
        <v>ia.assorted_string like '%1860-10-2023%' or</v>
      </c>
    </row>
    <row r="2148" spans="1:5" x14ac:dyDescent="0.25">
      <c r="A2148" t="s">
        <v>2213</v>
      </c>
      <c r="B2148" t="s">
        <v>2367</v>
      </c>
      <c r="C2148" t="s">
        <v>2385</v>
      </c>
      <c r="D2148">
        <v>1977</v>
      </c>
      <c r="E2148" t="str">
        <f t="shared" si="96"/>
        <v>ia.assorted_string like '%1977-10-2023%' or</v>
      </c>
    </row>
    <row r="2149" spans="1:5" x14ac:dyDescent="0.25">
      <c r="A2149" t="s">
        <v>2214</v>
      </c>
      <c r="B2149" t="s">
        <v>2367</v>
      </c>
      <c r="C2149" t="s">
        <v>2385</v>
      </c>
      <c r="D2149">
        <v>1868</v>
      </c>
      <c r="E2149" t="str">
        <f t="shared" si="96"/>
        <v>ia.assorted_string like '%1868-10-2023%' or</v>
      </c>
    </row>
    <row r="2150" spans="1:5" x14ac:dyDescent="0.25">
      <c r="A2150" t="s">
        <v>2215</v>
      </c>
      <c r="B2150" t="s">
        <v>2367</v>
      </c>
      <c r="C2150" t="s">
        <v>2385</v>
      </c>
      <c r="D2150">
        <v>2001</v>
      </c>
      <c r="E2150" t="str">
        <f t="shared" si="96"/>
        <v>ia.assorted_string like '%2001-10-2023%' or</v>
      </c>
    </row>
    <row r="2151" spans="1:5" x14ac:dyDescent="0.25">
      <c r="A2151" t="s">
        <v>2216</v>
      </c>
      <c r="B2151" t="s">
        <v>2367</v>
      </c>
      <c r="C2151" t="s">
        <v>2385</v>
      </c>
      <c r="D2151">
        <v>1870</v>
      </c>
      <c r="E2151" t="str">
        <f t="shared" si="96"/>
        <v>ia.assorted_string like '%1870-10-2023%' or</v>
      </c>
    </row>
    <row r="2152" spans="1:5" x14ac:dyDescent="0.25">
      <c r="A2152" t="s">
        <v>2217</v>
      </c>
      <c r="B2152" t="s">
        <v>2367</v>
      </c>
      <c r="C2152" t="s">
        <v>2385</v>
      </c>
      <c r="D2152">
        <v>2021</v>
      </c>
      <c r="E2152" t="str">
        <f t="shared" si="96"/>
        <v>ia.assorted_string like '%2021-10-2023%' or</v>
      </c>
    </row>
    <row r="2153" spans="1:5" x14ac:dyDescent="0.25">
      <c r="A2153" t="s">
        <v>2218</v>
      </c>
      <c r="B2153" t="s">
        <v>2340</v>
      </c>
      <c r="C2153" t="s">
        <v>2385</v>
      </c>
      <c r="D2153">
        <v>1671</v>
      </c>
      <c r="E2153" t="str">
        <f t="shared" si="96"/>
        <v>ia.assorted_string like '%1671-09-2023%' or</v>
      </c>
    </row>
    <row r="2154" spans="1:5" x14ac:dyDescent="0.25">
      <c r="A2154" t="s">
        <v>2219</v>
      </c>
      <c r="B2154" t="s">
        <v>2367</v>
      </c>
      <c r="C2154" t="s">
        <v>2385</v>
      </c>
      <c r="D2154">
        <v>2035</v>
      </c>
      <c r="E2154" t="str">
        <f t="shared" si="96"/>
        <v>ia.assorted_string like '%2035-10-2023%' or</v>
      </c>
    </row>
    <row r="2155" spans="1:5" x14ac:dyDescent="0.25">
      <c r="A2155" t="s">
        <v>2220</v>
      </c>
      <c r="B2155" t="s">
        <v>2367</v>
      </c>
      <c r="C2155" t="s">
        <v>2385</v>
      </c>
      <c r="D2155">
        <v>1859</v>
      </c>
      <c r="E2155" t="str">
        <f t="shared" si="96"/>
        <v>ia.assorted_string like '%1859-10-2023%' or</v>
      </c>
    </row>
    <row r="2156" spans="1:5" x14ac:dyDescent="0.25">
      <c r="A2156" t="s">
        <v>2221</v>
      </c>
      <c r="B2156" t="s">
        <v>2376</v>
      </c>
      <c r="C2156" t="s">
        <v>2385</v>
      </c>
      <c r="D2156">
        <v>2124</v>
      </c>
      <c r="E2156" t="str">
        <f t="shared" si="96"/>
        <v>ia.assorted_string like '%2124-11-2023%' or</v>
      </c>
    </row>
    <row r="2157" spans="1:5" x14ac:dyDescent="0.25">
      <c r="A2157" t="s">
        <v>2222</v>
      </c>
      <c r="B2157" t="s">
        <v>2367</v>
      </c>
      <c r="C2157" t="s">
        <v>2385</v>
      </c>
      <c r="D2157">
        <v>1869</v>
      </c>
      <c r="E2157" t="str">
        <f t="shared" si="96"/>
        <v>ia.assorted_string like '%1869-10-2023%' or</v>
      </c>
    </row>
    <row r="2158" spans="1:5" x14ac:dyDescent="0.25">
      <c r="A2158" t="s">
        <v>2223</v>
      </c>
      <c r="B2158" t="s">
        <v>2376</v>
      </c>
      <c r="C2158" t="s">
        <v>2385</v>
      </c>
      <c r="D2158">
        <v>2251</v>
      </c>
      <c r="E2158" t="str">
        <f t="shared" si="96"/>
        <v>ia.assorted_string like '%2251-11-2023%' or</v>
      </c>
    </row>
    <row r="2159" spans="1:5" x14ac:dyDescent="0.25">
      <c r="A2159" t="s">
        <v>2224</v>
      </c>
      <c r="B2159" t="s">
        <v>2367</v>
      </c>
      <c r="C2159" t="s">
        <v>2385</v>
      </c>
      <c r="D2159">
        <v>1773</v>
      </c>
      <c r="E2159" t="str">
        <f t="shared" si="96"/>
        <v>ia.assorted_string like '%1773-10-2023%' or</v>
      </c>
    </row>
    <row r="2160" spans="1:5" x14ac:dyDescent="0.25">
      <c r="A2160" t="s">
        <v>2225</v>
      </c>
      <c r="B2160" t="s">
        <v>2344</v>
      </c>
      <c r="C2160" t="s">
        <v>2385</v>
      </c>
      <c r="D2160">
        <v>455</v>
      </c>
      <c r="E2160" t="str">
        <f t="shared" si="96"/>
        <v>ia.assorted_string like '%455-07-2023%' or</v>
      </c>
    </row>
    <row r="2161" spans="1:5" x14ac:dyDescent="0.25">
      <c r="A2161" t="s">
        <v>2226</v>
      </c>
      <c r="B2161" t="s">
        <v>2354</v>
      </c>
      <c r="C2161" t="s">
        <v>2385</v>
      </c>
      <c r="D2161">
        <v>1358</v>
      </c>
      <c r="E2161" t="str">
        <f t="shared" si="96"/>
        <v>ia.assorted_string like '%1358-08-2023%' or</v>
      </c>
    </row>
    <row r="2162" spans="1:5" x14ac:dyDescent="0.25">
      <c r="A2162" t="s">
        <v>2227</v>
      </c>
      <c r="B2162" t="s">
        <v>2340</v>
      </c>
      <c r="C2162" t="s">
        <v>2385</v>
      </c>
      <c r="D2162">
        <v>1608</v>
      </c>
      <c r="E2162" t="str">
        <f t="shared" si="96"/>
        <v>ia.assorted_string like '%1608-09-2023%' or</v>
      </c>
    </row>
    <row r="2163" spans="1:5" x14ac:dyDescent="0.25">
      <c r="A2163" t="s">
        <v>2228</v>
      </c>
      <c r="B2163" t="s">
        <v>2367</v>
      </c>
      <c r="C2163" t="s">
        <v>2385</v>
      </c>
      <c r="D2163">
        <v>1861</v>
      </c>
      <c r="E2163" t="str">
        <f t="shared" si="96"/>
        <v>ia.assorted_string like '%1861-10-2023%' or</v>
      </c>
    </row>
    <row r="2164" spans="1:5" x14ac:dyDescent="0.25">
      <c r="A2164" t="s">
        <v>2229</v>
      </c>
      <c r="B2164" t="s">
        <v>2354</v>
      </c>
      <c r="C2164" t="s">
        <v>2385</v>
      </c>
      <c r="D2164">
        <v>1274</v>
      </c>
      <c r="E2164" t="str">
        <f t="shared" si="96"/>
        <v>ia.assorted_string like '%1274-08-2023%' or</v>
      </c>
    </row>
    <row r="2165" spans="1:5" x14ac:dyDescent="0.25">
      <c r="A2165" t="s">
        <v>2230</v>
      </c>
      <c r="B2165" t="s">
        <v>2354</v>
      </c>
      <c r="C2165" t="s">
        <v>2385</v>
      </c>
      <c r="D2165">
        <v>995</v>
      </c>
      <c r="E2165" t="str">
        <f t="shared" si="96"/>
        <v>ia.assorted_string like '%995-08-2023%' or</v>
      </c>
    </row>
    <row r="2166" spans="1:5" x14ac:dyDescent="0.25">
      <c r="A2166" t="s">
        <v>2231</v>
      </c>
      <c r="B2166" t="s">
        <v>2354</v>
      </c>
      <c r="C2166" t="s">
        <v>2385</v>
      </c>
      <c r="D2166">
        <v>1023</v>
      </c>
      <c r="E2166" t="str">
        <f t="shared" si="96"/>
        <v>ia.assorted_string like '%1023-08-2023%' or</v>
      </c>
    </row>
    <row r="2167" spans="1:5" x14ac:dyDescent="0.25">
      <c r="A2167" t="s">
        <v>2232</v>
      </c>
      <c r="B2167" t="s">
        <v>2354</v>
      </c>
      <c r="C2167" t="s">
        <v>2385</v>
      </c>
      <c r="D2167">
        <v>1016</v>
      </c>
      <c r="E2167" t="str">
        <f t="shared" si="96"/>
        <v>ia.assorted_string like '%1016-08-2023%' or</v>
      </c>
    </row>
    <row r="2168" spans="1:5" x14ac:dyDescent="0.25">
      <c r="A2168" t="s">
        <v>2233</v>
      </c>
      <c r="B2168" t="s">
        <v>2354</v>
      </c>
      <c r="C2168" t="s">
        <v>2385</v>
      </c>
      <c r="D2168">
        <v>1078</v>
      </c>
      <c r="E2168" t="str">
        <f t="shared" si="96"/>
        <v>ia.assorted_string like '%1078-08-2023%' or</v>
      </c>
    </row>
    <row r="2169" spans="1:5" x14ac:dyDescent="0.25">
      <c r="A2169" t="s">
        <v>2234</v>
      </c>
      <c r="B2169" t="s">
        <v>2368</v>
      </c>
      <c r="C2169" t="s">
        <v>2385</v>
      </c>
      <c r="D2169">
        <v>22739</v>
      </c>
      <c r="E2169" t="str">
        <f t="shared" si="96"/>
        <v>ia.assorted_string like '%22739-07-2024%' or</v>
      </c>
    </row>
    <row r="2170" spans="1:5" x14ac:dyDescent="0.25">
      <c r="A2170" t="s">
        <v>2235</v>
      </c>
      <c r="B2170" t="s">
        <v>2354</v>
      </c>
      <c r="C2170" t="s">
        <v>2385</v>
      </c>
      <c r="D2170">
        <v>1353</v>
      </c>
      <c r="E2170" t="str">
        <f t="shared" ref="E2170:E2202" si="97">"ia.assorted_string like '%"&amp;D2170&amp;B2170&amp;"%' or"</f>
        <v>ia.assorted_string like '%1353-08-2023%' or</v>
      </c>
    </row>
    <row r="2171" spans="1:5" x14ac:dyDescent="0.25">
      <c r="A2171" t="s">
        <v>2236</v>
      </c>
      <c r="B2171" t="s">
        <v>2372</v>
      </c>
      <c r="C2171" t="s">
        <v>2385</v>
      </c>
      <c r="D2171">
        <v>41524</v>
      </c>
      <c r="E2171" t="str">
        <f t="shared" si="97"/>
        <v>ia.assorted_string like '%41524-12-2023%' or</v>
      </c>
    </row>
    <row r="2172" spans="1:5" x14ac:dyDescent="0.25">
      <c r="A2172" t="s">
        <v>2237</v>
      </c>
      <c r="B2172" t="s">
        <v>2347</v>
      </c>
      <c r="C2172" t="s">
        <v>2385</v>
      </c>
      <c r="D2172">
        <v>19577</v>
      </c>
      <c r="E2172" t="str">
        <f t="shared" si="97"/>
        <v>ia.assorted_string like '%19577-04-2024%' or</v>
      </c>
    </row>
    <row r="2173" spans="1:5" x14ac:dyDescent="0.25">
      <c r="A2173" t="s">
        <v>2238</v>
      </c>
      <c r="B2173" t="s">
        <v>2372</v>
      </c>
      <c r="C2173" t="s">
        <v>2385</v>
      </c>
      <c r="D2173">
        <v>19063</v>
      </c>
      <c r="E2173" t="str">
        <f t="shared" si="97"/>
        <v>ia.assorted_string like '%19063-12-2023%' or</v>
      </c>
    </row>
    <row r="2174" spans="1:5" x14ac:dyDescent="0.25">
      <c r="A2174" t="s">
        <v>2239</v>
      </c>
      <c r="B2174" t="s">
        <v>2360</v>
      </c>
      <c r="C2174" t="s">
        <v>2385</v>
      </c>
      <c r="D2174">
        <v>50</v>
      </c>
      <c r="E2174" t="str">
        <f t="shared" si="97"/>
        <v>ia.assorted_string like '%50-09-2022%' or</v>
      </c>
    </row>
    <row r="2175" spans="1:5" x14ac:dyDescent="0.25">
      <c r="A2175" t="s">
        <v>2240</v>
      </c>
      <c r="B2175" t="s">
        <v>2371</v>
      </c>
      <c r="C2175" t="s">
        <v>2385</v>
      </c>
      <c r="D2175">
        <v>312</v>
      </c>
      <c r="E2175" t="str">
        <f t="shared" si="97"/>
        <v>ia.assorted_string like '%312-10-2024%' or</v>
      </c>
    </row>
    <row r="2176" spans="1:5" x14ac:dyDescent="0.25">
      <c r="A2176" t="s">
        <v>2241</v>
      </c>
      <c r="B2176" t="s">
        <v>2372</v>
      </c>
      <c r="C2176" t="s">
        <v>2385</v>
      </c>
      <c r="D2176">
        <v>19032</v>
      </c>
      <c r="E2176" t="str">
        <f t="shared" si="97"/>
        <v>ia.assorted_string like '%19032-12-2023%' or</v>
      </c>
    </row>
    <row r="2177" spans="1:5" x14ac:dyDescent="0.25">
      <c r="A2177" t="s">
        <v>2242</v>
      </c>
      <c r="B2177" t="s">
        <v>2371</v>
      </c>
      <c r="C2177" t="s">
        <v>2385</v>
      </c>
      <c r="D2177">
        <v>457</v>
      </c>
      <c r="E2177" t="str">
        <f t="shared" si="97"/>
        <v>ia.assorted_string like '%457-10-2024%' or</v>
      </c>
    </row>
    <row r="2178" spans="1:5" x14ac:dyDescent="0.25">
      <c r="A2178" t="s">
        <v>2243</v>
      </c>
      <c r="B2178" t="s">
        <v>2355</v>
      </c>
      <c r="C2178" t="s">
        <v>2385</v>
      </c>
      <c r="D2178">
        <v>19703</v>
      </c>
      <c r="E2178" t="str">
        <f t="shared" si="97"/>
        <v>ia.assorted_string like '%19703-05-2024%' or</v>
      </c>
    </row>
    <row r="2179" spans="1:5" x14ac:dyDescent="0.25">
      <c r="A2179" t="s">
        <v>2244</v>
      </c>
      <c r="B2179" t="s">
        <v>2348</v>
      </c>
      <c r="C2179" t="s">
        <v>2385</v>
      </c>
      <c r="D2179">
        <v>17123</v>
      </c>
      <c r="E2179" t="str">
        <f t="shared" si="97"/>
        <v>ia.assorted_string like '%17123-12-2022%' or</v>
      </c>
    </row>
    <row r="2180" spans="1:5" x14ac:dyDescent="0.25">
      <c r="A2180" t="s">
        <v>2245</v>
      </c>
      <c r="B2180" t="s">
        <v>2354</v>
      </c>
      <c r="C2180" t="s">
        <v>2385</v>
      </c>
      <c r="D2180">
        <v>18450</v>
      </c>
      <c r="E2180" t="str">
        <f t="shared" si="97"/>
        <v>ia.assorted_string like '%18450-08-2023%' or</v>
      </c>
    </row>
    <row r="2181" spans="1:5" x14ac:dyDescent="0.25">
      <c r="A2181" t="s">
        <v>2246</v>
      </c>
      <c r="B2181" t="s">
        <v>2361</v>
      </c>
      <c r="C2181" t="s">
        <v>2385</v>
      </c>
      <c r="D2181">
        <v>41569</v>
      </c>
      <c r="E2181" t="str">
        <f t="shared" si="97"/>
        <v>ia.assorted_string like '%41569-01-2024%' or</v>
      </c>
    </row>
    <row r="2182" spans="1:5" x14ac:dyDescent="0.25">
      <c r="A2182" t="s">
        <v>2247</v>
      </c>
      <c r="B2182" t="s">
        <v>2338</v>
      </c>
      <c r="C2182" t="s">
        <v>2385</v>
      </c>
      <c r="D2182">
        <v>18074</v>
      </c>
      <c r="E2182" t="str">
        <f t="shared" si="97"/>
        <v>ia.assorted_string like '%18074-05-2023%' or</v>
      </c>
    </row>
    <row r="2183" spans="1:5" x14ac:dyDescent="0.25">
      <c r="A2183" t="s">
        <v>2248</v>
      </c>
      <c r="B2183" t="s">
        <v>2372</v>
      </c>
      <c r="C2183" t="s">
        <v>2385</v>
      </c>
      <c r="D2183">
        <v>19020</v>
      </c>
      <c r="E2183" t="str">
        <f t="shared" si="97"/>
        <v>ia.assorted_string like '%19020-12-2023%' or</v>
      </c>
    </row>
    <row r="2184" spans="1:5" x14ac:dyDescent="0.25">
      <c r="A2184" t="s">
        <v>2249</v>
      </c>
      <c r="B2184" t="s">
        <v>2350</v>
      </c>
      <c r="C2184" t="s">
        <v>2385</v>
      </c>
      <c r="D2184">
        <v>38620</v>
      </c>
      <c r="E2184" t="str">
        <f t="shared" si="97"/>
        <v>ia.assorted_string like '%38620-01-2023%' or</v>
      </c>
    </row>
    <row r="2185" spans="1:5" x14ac:dyDescent="0.25">
      <c r="A2185" t="s">
        <v>2250</v>
      </c>
      <c r="B2185" t="s">
        <v>2366</v>
      </c>
      <c r="C2185" t="s">
        <v>2385</v>
      </c>
      <c r="D2185">
        <v>13015</v>
      </c>
      <c r="E2185" t="str">
        <f t="shared" si="97"/>
        <v>ia.assorted_string like '%13015-11-2021%' or</v>
      </c>
    </row>
    <row r="2186" spans="1:5" x14ac:dyDescent="0.25">
      <c r="A2186" t="s">
        <v>2251</v>
      </c>
      <c r="B2186" t="s">
        <v>2372</v>
      </c>
      <c r="C2186" t="s">
        <v>2385</v>
      </c>
      <c r="D2186">
        <v>19086</v>
      </c>
      <c r="E2186" t="str">
        <f t="shared" si="97"/>
        <v>ia.assorted_string like '%19086-12-2023%' or</v>
      </c>
    </row>
    <row r="2187" spans="1:5" x14ac:dyDescent="0.25">
      <c r="A2187" t="s">
        <v>2252</v>
      </c>
      <c r="B2187" t="s">
        <v>2372</v>
      </c>
      <c r="C2187" t="s">
        <v>2385</v>
      </c>
      <c r="D2187">
        <v>19034</v>
      </c>
      <c r="E2187" t="str">
        <f t="shared" si="97"/>
        <v>ia.assorted_string like '%19034-12-2023%' or</v>
      </c>
    </row>
    <row r="2188" spans="1:5" x14ac:dyDescent="0.25">
      <c r="A2188" t="s">
        <v>2253</v>
      </c>
      <c r="B2188" t="s">
        <v>2371</v>
      </c>
      <c r="C2188" t="s">
        <v>2385</v>
      </c>
      <c r="D2188">
        <v>330</v>
      </c>
      <c r="E2188" t="str">
        <f t="shared" si="97"/>
        <v>ia.assorted_string like '%330-10-2024%' or</v>
      </c>
    </row>
    <row r="2189" spans="1:5" x14ac:dyDescent="0.25">
      <c r="A2189" t="s">
        <v>2254</v>
      </c>
      <c r="B2189" t="s">
        <v>2338</v>
      </c>
      <c r="C2189" t="s">
        <v>2385</v>
      </c>
      <c r="D2189">
        <v>18075</v>
      </c>
      <c r="E2189" t="str">
        <f t="shared" si="97"/>
        <v>ia.assorted_string like '%18075-05-2023%' or</v>
      </c>
    </row>
    <row r="2190" spans="1:5" x14ac:dyDescent="0.25">
      <c r="A2190" t="s">
        <v>2255</v>
      </c>
      <c r="B2190" t="s">
        <v>2368</v>
      </c>
      <c r="C2190" t="s">
        <v>2385</v>
      </c>
      <c r="D2190">
        <v>20133</v>
      </c>
      <c r="E2190" t="str">
        <f t="shared" si="97"/>
        <v>ia.assorted_string like '%20133-07-2024%' or</v>
      </c>
    </row>
    <row r="2191" spans="1:5" x14ac:dyDescent="0.25">
      <c r="A2191" t="s">
        <v>2256</v>
      </c>
      <c r="B2191" t="s">
        <v>2345</v>
      </c>
      <c r="C2191" t="s">
        <v>2385</v>
      </c>
      <c r="D2191">
        <v>18194</v>
      </c>
      <c r="E2191" t="str">
        <f t="shared" si="97"/>
        <v>ia.assorted_string like '%18194-06-2023%' or</v>
      </c>
    </row>
    <row r="2192" spans="1:5" x14ac:dyDescent="0.25">
      <c r="A2192" t="s">
        <v>2257</v>
      </c>
      <c r="B2192" t="s">
        <v>2372</v>
      </c>
      <c r="C2192" t="s">
        <v>2385</v>
      </c>
      <c r="D2192">
        <v>19022</v>
      </c>
      <c r="E2192" t="str">
        <f t="shared" si="97"/>
        <v>ia.assorted_string like '%19022-12-2023%' or</v>
      </c>
    </row>
    <row r="2193" spans="1:5" x14ac:dyDescent="0.25">
      <c r="A2193" t="s">
        <v>2258</v>
      </c>
      <c r="B2193" t="s">
        <v>2372</v>
      </c>
      <c r="C2193" t="s">
        <v>2385</v>
      </c>
      <c r="D2193">
        <v>19065</v>
      </c>
      <c r="E2193" t="str">
        <f t="shared" si="97"/>
        <v>ia.assorted_string like '%19065-12-2023%' or</v>
      </c>
    </row>
    <row r="2194" spans="1:5" x14ac:dyDescent="0.25">
      <c r="A2194" t="s">
        <v>2259</v>
      </c>
      <c r="B2194" t="s">
        <v>2337</v>
      </c>
      <c r="C2194" t="s">
        <v>2385</v>
      </c>
      <c r="D2194">
        <v>38914</v>
      </c>
      <c r="E2194" t="str">
        <f t="shared" si="97"/>
        <v>ia.assorted_string like '%38914-02-2023%' or</v>
      </c>
    </row>
    <row r="2195" spans="1:5" x14ac:dyDescent="0.25">
      <c r="A2195" t="s">
        <v>2260</v>
      </c>
      <c r="B2195" t="s">
        <v>2372</v>
      </c>
      <c r="C2195" t="s">
        <v>2385</v>
      </c>
      <c r="D2195">
        <v>19039</v>
      </c>
      <c r="E2195" t="str">
        <f t="shared" si="97"/>
        <v>ia.assorted_string like '%19039-12-2023%' or</v>
      </c>
    </row>
    <row r="2196" spans="1:5" x14ac:dyDescent="0.25">
      <c r="A2196" t="s">
        <v>2261</v>
      </c>
      <c r="B2196" t="s">
        <v>2371</v>
      </c>
      <c r="C2196" t="s">
        <v>2385</v>
      </c>
      <c r="D2196">
        <v>331</v>
      </c>
      <c r="E2196" t="str">
        <f t="shared" si="97"/>
        <v>ia.assorted_string like '%331-10-2024%' or</v>
      </c>
    </row>
    <row r="2197" spans="1:5" x14ac:dyDescent="0.25">
      <c r="A2197" t="s">
        <v>2262</v>
      </c>
      <c r="B2197" t="s">
        <v>2338</v>
      </c>
      <c r="C2197" t="s">
        <v>2385</v>
      </c>
      <c r="D2197">
        <v>18099</v>
      </c>
      <c r="E2197" t="str">
        <f t="shared" si="97"/>
        <v>ia.assorted_string like '%18099-05-2023%' or</v>
      </c>
    </row>
    <row r="2198" spans="1:5" x14ac:dyDescent="0.25">
      <c r="A2198" t="s">
        <v>2263</v>
      </c>
      <c r="B2198" t="s">
        <v>2335</v>
      </c>
      <c r="C2198" t="s">
        <v>2385</v>
      </c>
      <c r="D2198">
        <v>15147</v>
      </c>
      <c r="E2198" t="str">
        <f t="shared" si="97"/>
        <v>ia.assorted_string like '%15147-07-2022%' or</v>
      </c>
    </row>
    <row r="2199" spans="1:5" x14ac:dyDescent="0.25">
      <c r="A2199" t="s">
        <v>2264</v>
      </c>
      <c r="B2199" t="s">
        <v>2343</v>
      </c>
      <c r="C2199" t="s">
        <v>2385</v>
      </c>
      <c r="D2199">
        <v>2618</v>
      </c>
      <c r="E2199" t="str">
        <f t="shared" si="97"/>
        <v>ia.assorted_string like '%2618-06-2024%' or</v>
      </c>
    </row>
    <row r="2200" spans="1:5" x14ac:dyDescent="0.25">
      <c r="A2200" t="s">
        <v>2265</v>
      </c>
      <c r="B2200" t="s">
        <v>2372</v>
      </c>
      <c r="C2200" t="s">
        <v>2385</v>
      </c>
      <c r="D2200">
        <v>18957</v>
      </c>
      <c r="E2200" t="str">
        <f t="shared" si="97"/>
        <v>ia.assorted_string like '%18957-12-2023%' or</v>
      </c>
    </row>
    <row r="2201" spans="1:5" x14ac:dyDescent="0.25">
      <c r="A2201" t="s">
        <v>2266</v>
      </c>
      <c r="B2201" t="s">
        <v>2371</v>
      </c>
      <c r="C2201" t="s">
        <v>2385</v>
      </c>
      <c r="D2201">
        <v>43673</v>
      </c>
      <c r="E2201" t="str">
        <f t="shared" si="97"/>
        <v>ia.assorted_string like '%43673-10-2024%' or</v>
      </c>
    </row>
    <row r="2202" spans="1:5" x14ac:dyDescent="0.25">
      <c r="A2202" t="s">
        <v>2267</v>
      </c>
      <c r="B2202" t="s">
        <v>2343</v>
      </c>
      <c r="C2202" t="s">
        <v>2385</v>
      </c>
      <c r="D2202">
        <v>2568</v>
      </c>
      <c r="E2202" t="str">
        <f t="shared" si="97"/>
        <v>ia.assorted_string like '%2568-06-2024%' or</v>
      </c>
    </row>
    <row r="2203" spans="1:5" x14ac:dyDescent="0.25">
      <c r="A2203" t="s">
        <v>2268</v>
      </c>
      <c r="B2203" t="s">
        <v>2383</v>
      </c>
      <c r="C2203" t="s">
        <v>2385</v>
      </c>
    </row>
    <row r="2204" spans="1:5" x14ac:dyDescent="0.25">
      <c r="A2204" t="s">
        <v>2269</v>
      </c>
      <c r="B2204" t="s">
        <v>2343</v>
      </c>
      <c r="C2204" t="s">
        <v>2385</v>
      </c>
      <c r="D2204">
        <v>2566</v>
      </c>
      <c r="E2204" t="str">
        <f t="shared" ref="E2204:E2267" si="98">"ia.assorted_string like '%"&amp;D2204&amp;B2204&amp;"%' or"</f>
        <v>ia.assorted_string like '%2566-06-2024%' or</v>
      </c>
    </row>
    <row r="2205" spans="1:5" x14ac:dyDescent="0.25">
      <c r="A2205" t="s">
        <v>2270</v>
      </c>
      <c r="B2205" t="s">
        <v>2343</v>
      </c>
      <c r="C2205" t="s">
        <v>2385</v>
      </c>
      <c r="D2205">
        <v>2567</v>
      </c>
      <c r="E2205" t="str">
        <f t="shared" si="98"/>
        <v>ia.assorted_string like '%2567-06-2024%' or</v>
      </c>
    </row>
    <row r="2206" spans="1:5" x14ac:dyDescent="0.25">
      <c r="A2206" t="s">
        <v>2271</v>
      </c>
      <c r="B2206" t="s">
        <v>2343</v>
      </c>
      <c r="C2206" t="s">
        <v>2385</v>
      </c>
      <c r="D2206">
        <v>2626</v>
      </c>
      <c r="E2206" t="str">
        <f t="shared" si="98"/>
        <v>ia.assorted_string like '%2626-06-2024%' or</v>
      </c>
    </row>
    <row r="2207" spans="1:5" x14ac:dyDescent="0.25">
      <c r="A2207" t="s">
        <v>2272</v>
      </c>
      <c r="B2207" t="s">
        <v>2343</v>
      </c>
      <c r="C2207" t="s">
        <v>2385</v>
      </c>
      <c r="D2207">
        <v>2611</v>
      </c>
      <c r="E2207" t="str">
        <f t="shared" si="98"/>
        <v>ia.assorted_string like '%2611-06-2024%' or</v>
      </c>
    </row>
    <row r="2208" spans="1:5" x14ac:dyDescent="0.25">
      <c r="A2208" t="s">
        <v>2273</v>
      </c>
      <c r="B2208" t="s">
        <v>2361</v>
      </c>
      <c r="C2208" t="s">
        <v>2385</v>
      </c>
      <c r="D2208">
        <v>41564</v>
      </c>
      <c r="E2208" t="str">
        <f t="shared" si="98"/>
        <v>ia.assorted_string like '%41564-01-2024%' or</v>
      </c>
    </row>
    <row r="2209" spans="1:5" x14ac:dyDescent="0.25">
      <c r="A2209" t="s">
        <v>2274</v>
      </c>
      <c r="B2209" t="s">
        <v>2343</v>
      </c>
      <c r="C2209" t="s">
        <v>2385</v>
      </c>
      <c r="D2209">
        <v>2599</v>
      </c>
      <c r="E2209" t="str">
        <f t="shared" si="98"/>
        <v>ia.assorted_string like '%2599-06-2024%' or</v>
      </c>
    </row>
    <row r="2210" spans="1:5" x14ac:dyDescent="0.25">
      <c r="A2210" t="s">
        <v>2275</v>
      </c>
      <c r="B2210" t="s">
        <v>2372</v>
      </c>
      <c r="C2210" t="s">
        <v>2385</v>
      </c>
      <c r="D2210">
        <v>41525</v>
      </c>
      <c r="E2210" t="str">
        <f t="shared" si="98"/>
        <v>ia.assorted_string like '%41525-12-2023%' or</v>
      </c>
    </row>
    <row r="2211" spans="1:5" x14ac:dyDescent="0.25">
      <c r="A2211" t="s">
        <v>2276</v>
      </c>
      <c r="B2211" t="s">
        <v>2372</v>
      </c>
      <c r="C2211" t="s">
        <v>2385</v>
      </c>
      <c r="D2211">
        <v>41502</v>
      </c>
      <c r="E2211" t="str">
        <f t="shared" si="98"/>
        <v>ia.assorted_string like '%41502-12-2023%' or</v>
      </c>
    </row>
    <row r="2212" spans="1:5" x14ac:dyDescent="0.25">
      <c r="A2212" t="s">
        <v>2277</v>
      </c>
      <c r="B2212" t="s">
        <v>2368</v>
      </c>
      <c r="C2212" t="s">
        <v>2385</v>
      </c>
      <c r="D2212">
        <v>43122</v>
      </c>
      <c r="E2212" t="str">
        <f t="shared" si="98"/>
        <v>ia.assorted_string like '%43122-07-2024%' or</v>
      </c>
    </row>
    <row r="2213" spans="1:5" x14ac:dyDescent="0.25">
      <c r="A2213" t="s">
        <v>2278</v>
      </c>
      <c r="B2213" t="s">
        <v>2356</v>
      </c>
      <c r="C2213" t="s">
        <v>2385</v>
      </c>
      <c r="D2213">
        <v>39278</v>
      </c>
      <c r="E2213" t="str">
        <f t="shared" si="98"/>
        <v>ia.assorted_string like '%39278-04-2023%' or</v>
      </c>
    </row>
    <row r="2214" spans="1:5" x14ac:dyDescent="0.25">
      <c r="A2214" t="s">
        <v>2279</v>
      </c>
      <c r="B2214" t="s">
        <v>2346</v>
      </c>
      <c r="C2214" t="s">
        <v>2385</v>
      </c>
      <c r="D2214">
        <v>43181</v>
      </c>
      <c r="E2214" t="str">
        <f t="shared" si="98"/>
        <v>ia.assorted_string like '%43181-08-2024%' or</v>
      </c>
    </row>
    <row r="2215" spans="1:5" x14ac:dyDescent="0.25">
      <c r="A2215" t="s">
        <v>2280</v>
      </c>
      <c r="B2215" t="s">
        <v>2368</v>
      </c>
      <c r="C2215" t="s">
        <v>2385</v>
      </c>
      <c r="D2215">
        <v>10374</v>
      </c>
      <c r="E2215" t="str">
        <f t="shared" si="98"/>
        <v>ia.assorted_string like '%10374-07-2024%' or</v>
      </c>
    </row>
    <row r="2216" spans="1:5" x14ac:dyDescent="0.25">
      <c r="A2216" t="s">
        <v>2281</v>
      </c>
      <c r="B2216" t="s">
        <v>2360</v>
      </c>
      <c r="C2216" t="s">
        <v>2385</v>
      </c>
      <c r="D2216">
        <v>16165</v>
      </c>
      <c r="E2216" t="str">
        <f t="shared" si="98"/>
        <v>ia.assorted_string like '%16165-09-2022%' or</v>
      </c>
    </row>
    <row r="2217" spans="1:5" x14ac:dyDescent="0.25">
      <c r="A2217" t="s">
        <v>2282</v>
      </c>
      <c r="B2217" t="s">
        <v>2372</v>
      </c>
      <c r="C2217" t="s">
        <v>2385</v>
      </c>
      <c r="D2217">
        <v>19079</v>
      </c>
      <c r="E2217" t="str">
        <f t="shared" si="98"/>
        <v>ia.assorted_string like '%19079-12-2023%' or</v>
      </c>
    </row>
    <row r="2218" spans="1:5" x14ac:dyDescent="0.25">
      <c r="A2218" t="s">
        <v>2283</v>
      </c>
      <c r="B2218" t="s">
        <v>2343</v>
      </c>
      <c r="C2218" t="s">
        <v>2385</v>
      </c>
      <c r="D2218">
        <v>19925</v>
      </c>
      <c r="E2218" t="str">
        <f t="shared" si="98"/>
        <v>ia.assorted_string like '%19925-06-2024%' or</v>
      </c>
    </row>
    <row r="2219" spans="1:5" x14ac:dyDescent="0.25">
      <c r="A2219" t="s">
        <v>2284</v>
      </c>
      <c r="B2219" t="s">
        <v>2343</v>
      </c>
      <c r="C2219" t="s">
        <v>2385</v>
      </c>
      <c r="D2219">
        <v>19935</v>
      </c>
      <c r="E2219" t="str">
        <f t="shared" si="98"/>
        <v>ia.assorted_string like '%19935-06-2024%' or</v>
      </c>
    </row>
    <row r="2220" spans="1:5" x14ac:dyDescent="0.25">
      <c r="A2220" t="s">
        <v>2285</v>
      </c>
      <c r="B2220" t="s">
        <v>2372</v>
      </c>
      <c r="C2220" t="s">
        <v>2385</v>
      </c>
      <c r="D2220">
        <v>19080</v>
      </c>
      <c r="E2220" t="str">
        <f t="shared" si="98"/>
        <v>ia.assorted_string like '%19080-12-2023%' or</v>
      </c>
    </row>
    <row r="2221" spans="1:5" x14ac:dyDescent="0.25">
      <c r="A2221" t="s">
        <v>2286</v>
      </c>
      <c r="B2221" t="s">
        <v>2336</v>
      </c>
      <c r="C2221" t="s">
        <v>2385</v>
      </c>
      <c r="D2221">
        <v>18225</v>
      </c>
      <c r="E2221" t="str">
        <f t="shared" si="98"/>
        <v>ia.assorted_string like '%18225-03-2023%' or</v>
      </c>
    </row>
    <row r="2222" spans="1:5" x14ac:dyDescent="0.25">
      <c r="A2222" t="s">
        <v>2287</v>
      </c>
      <c r="B2222" t="s">
        <v>2343</v>
      </c>
      <c r="C2222" t="s">
        <v>2385</v>
      </c>
      <c r="D2222">
        <v>2602</v>
      </c>
      <c r="E2222" t="str">
        <f t="shared" si="98"/>
        <v>ia.assorted_string like '%2602-06-2024%' or</v>
      </c>
    </row>
    <row r="2223" spans="1:5" x14ac:dyDescent="0.25">
      <c r="A2223" t="s">
        <v>2288</v>
      </c>
      <c r="B2223" t="s">
        <v>2372</v>
      </c>
      <c r="C2223" t="s">
        <v>2385</v>
      </c>
      <c r="D2223">
        <v>18958</v>
      </c>
      <c r="E2223" t="str">
        <f t="shared" si="98"/>
        <v>ia.assorted_string like '%18958-12-2023%' or</v>
      </c>
    </row>
    <row r="2224" spans="1:5" x14ac:dyDescent="0.25">
      <c r="A2224" t="s">
        <v>2289</v>
      </c>
      <c r="B2224" t="s">
        <v>2371</v>
      </c>
      <c r="C2224" t="s">
        <v>2385</v>
      </c>
      <c r="D2224">
        <v>366</v>
      </c>
      <c r="E2224" t="str">
        <f t="shared" si="98"/>
        <v>ia.assorted_string like '%366-10-2024%' or</v>
      </c>
    </row>
    <row r="2225" spans="1:5" x14ac:dyDescent="0.25">
      <c r="A2225" t="s">
        <v>2290</v>
      </c>
      <c r="B2225" t="s">
        <v>2347</v>
      </c>
      <c r="C2225" t="s">
        <v>2385</v>
      </c>
      <c r="D2225">
        <v>87945</v>
      </c>
      <c r="E2225" t="str">
        <f t="shared" si="98"/>
        <v>ia.assorted_string like '%87945-04-2024%' or</v>
      </c>
    </row>
    <row r="2226" spans="1:5" x14ac:dyDescent="0.25">
      <c r="A2226" t="s">
        <v>2291</v>
      </c>
      <c r="B2226" t="s">
        <v>2376</v>
      </c>
      <c r="C2226" t="s">
        <v>2385</v>
      </c>
      <c r="D2226">
        <v>2243</v>
      </c>
      <c r="E2226" t="str">
        <f t="shared" si="98"/>
        <v>ia.assorted_string like '%2243-11-2023%' or</v>
      </c>
    </row>
    <row r="2227" spans="1:5" x14ac:dyDescent="0.25">
      <c r="A2227" t="s">
        <v>2292</v>
      </c>
      <c r="B2227" t="s">
        <v>2340</v>
      </c>
      <c r="C2227" t="s">
        <v>2385</v>
      </c>
      <c r="D2227">
        <v>1605</v>
      </c>
      <c r="E2227" t="str">
        <f t="shared" si="98"/>
        <v>ia.assorted_string like '%1605-09-2023%' or</v>
      </c>
    </row>
    <row r="2228" spans="1:5" x14ac:dyDescent="0.25">
      <c r="A2228" t="s">
        <v>2293</v>
      </c>
      <c r="B2228" t="s">
        <v>2354</v>
      </c>
      <c r="C2228" t="s">
        <v>2385</v>
      </c>
      <c r="D2228">
        <v>1079</v>
      </c>
      <c r="E2228" t="str">
        <f t="shared" si="98"/>
        <v>ia.assorted_string like '%1079-08-2023%' or</v>
      </c>
    </row>
    <row r="2229" spans="1:5" x14ac:dyDescent="0.25">
      <c r="A2229" t="s">
        <v>2294</v>
      </c>
      <c r="B2229" t="s">
        <v>2345</v>
      </c>
      <c r="C2229" t="s">
        <v>2385</v>
      </c>
      <c r="D2229">
        <v>18193</v>
      </c>
      <c r="E2229" t="str">
        <f t="shared" si="98"/>
        <v>ia.assorted_string like '%18193-06-2023%' or</v>
      </c>
    </row>
    <row r="2230" spans="1:5" x14ac:dyDescent="0.25">
      <c r="A2230" t="s">
        <v>2295</v>
      </c>
      <c r="B2230" t="s">
        <v>2354</v>
      </c>
      <c r="C2230" t="s">
        <v>2385</v>
      </c>
      <c r="D2230">
        <v>18423</v>
      </c>
      <c r="E2230" t="str">
        <f t="shared" si="98"/>
        <v>ia.assorted_string like '%18423-08-2023%' or</v>
      </c>
    </row>
    <row r="2231" spans="1:5" x14ac:dyDescent="0.25">
      <c r="A2231" t="s">
        <v>2296</v>
      </c>
      <c r="B2231" t="s">
        <v>2371</v>
      </c>
      <c r="C2231" t="s">
        <v>2385</v>
      </c>
      <c r="D2231">
        <v>332</v>
      </c>
      <c r="E2231" t="str">
        <f t="shared" si="98"/>
        <v>ia.assorted_string like '%332-10-2024%' or</v>
      </c>
    </row>
    <row r="2232" spans="1:5" x14ac:dyDescent="0.25">
      <c r="A2232" t="s">
        <v>2297</v>
      </c>
      <c r="B2232" t="s">
        <v>2368</v>
      </c>
      <c r="C2232" t="s">
        <v>2385</v>
      </c>
      <c r="D2232">
        <v>43121</v>
      </c>
      <c r="E2232" t="str">
        <f t="shared" si="98"/>
        <v>ia.assorted_string like '%43121-07-2024%' or</v>
      </c>
    </row>
    <row r="2233" spans="1:5" x14ac:dyDescent="0.25">
      <c r="A2233" t="s">
        <v>2298</v>
      </c>
      <c r="B2233" t="s">
        <v>2372</v>
      </c>
      <c r="C2233" t="s">
        <v>2385</v>
      </c>
      <c r="D2233">
        <v>18952</v>
      </c>
      <c r="E2233" t="str">
        <f t="shared" si="98"/>
        <v>ia.assorted_string like '%18952-12-2023%' or</v>
      </c>
    </row>
    <row r="2234" spans="1:5" x14ac:dyDescent="0.25">
      <c r="A2234" t="s">
        <v>2299</v>
      </c>
      <c r="B2234" t="s">
        <v>2368</v>
      </c>
      <c r="C2234" t="s">
        <v>2385</v>
      </c>
      <c r="D2234">
        <v>20131</v>
      </c>
      <c r="E2234" t="str">
        <f t="shared" si="98"/>
        <v>ia.assorted_string like '%20131-07-2024%' or</v>
      </c>
    </row>
    <row r="2235" spans="1:5" x14ac:dyDescent="0.25">
      <c r="A2235" t="s">
        <v>2300</v>
      </c>
      <c r="B2235" t="s">
        <v>2361</v>
      </c>
      <c r="C2235" t="s">
        <v>2385</v>
      </c>
      <c r="D2235">
        <v>41565</v>
      </c>
      <c r="E2235" t="str">
        <f t="shared" si="98"/>
        <v>ia.assorted_string like '%41565-01-2024%' or</v>
      </c>
    </row>
    <row r="2236" spans="1:5" x14ac:dyDescent="0.25">
      <c r="A2236" t="s">
        <v>2301</v>
      </c>
      <c r="B2236" t="s">
        <v>2368</v>
      </c>
      <c r="C2236" t="s">
        <v>2385</v>
      </c>
      <c r="D2236">
        <v>43120</v>
      </c>
      <c r="E2236" t="str">
        <f t="shared" si="98"/>
        <v>ia.assorted_string like '%43120-07-2024%' or</v>
      </c>
    </row>
    <row r="2237" spans="1:5" x14ac:dyDescent="0.25">
      <c r="A2237" t="s">
        <v>2302</v>
      </c>
      <c r="B2237" t="s">
        <v>2336</v>
      </c>
      <c r="C2237" t="s">
        <v>2385</v>
      </c>
      <c r="D2237">
        <v>18011</v>
      </c>
      <c r="E2237" t="str">
        <f t="shared" si="98"/>
        <v>ia.assorted_string like '%18011-03-2023%' or</v>
      </c>
    </row>
    <row r="2238" spans="1:5" x14ac:dyDescent="0.25">
      <c r="A2238" t="s">
        <v>2303</v>
      </c>
      <c r="B2238" t="s">
        <v>2338</v>
      </c>
      <c r="C2238" t="s">
        <v>2385</v>
      </c>
      <c r="D2238">
        <v>18098</v>
      </c>
      <c r="E2238" t="str">
        <f t="shared" si="98"/>
        <v>ia.assorted_string like '%18098-05-2023%' or</v>
      </c>
    </row>
    <row r="2239" spans="1:5" x14ac:dyDescent="0.25">
      <c r="A2239" t="s">
        <v>2304</v>
      </c>
      <c r="B2239" t="s">
        <v>2354</v>
      </c>
      <c r="C2239" t="s">
        <v>2385</v>
      </c>
      <c r="D2239">
        <v>18403</v>
      </c>
      <c r="E2239" t="str">
        <f t="shared" si="98"/>
        <v>ia.assorted_string like '%18403-08-2023%' or</v>
      </c>
    </row>
    <row r="2240" spans="1:5" x14ac:dyDescent="0.25">
      <c r="A2240" t="s">
        <v>2305</v>
      </c>
      <c r="B2240" t="s">
        <v>2372</v>
      </c>
      <c r="C2240" t="s">
        <v>2385</v>
      </c>
      <c r="D2240">
        <v>19091</v>
      </c>
      <c r="E2240" t="str">
        <f t="shared" si="98"/>
        <v>ia.assorted_string like '%19091-12-2023%' or</v>
      </c>
    </row>
    <row r="2241" spans="1:5" x14ac:dyDescent="0.25">
      <c r="A2241" t="s">
        <v>2306</v>
      </c>
      <c r="B2241" t="s">
        <v>2354</v>
      </c>
      <c r="C2241" t="s">
        <v>2385</v>
      </c>
      <c r="D2241">
        <v>19908</v>
      </c>
      <c r="E2241" t="str">
        <f t="shared" si="98"/>
        <v>ia.assorted_string like '%19908-08-2023%' or</v>
      </c>
    </row>
    <row r="2242" spans="1:5" x14ac:dyDescent="0.25">
      <c r="A2242" t="s">
        <v>2307</v>
      </c>
      <c r="B2242" t="s">
        <v>2371</v>
      </c>
      <c r="C2242" t="s">
        <v>2385</v>
      </c>
      <c r="D2242">
        <v>333</v>
      </c>
      <c r="E2242" t="str">
        <f t="shared" si="98"/>
        <v>ia.assorted_string like '%333-10-2024%' or</v>
      </c>
    </row>
    <row r="2243" spans="1:5" x14ac:dyDescent="0.25">
      <c r="A2243" t="s">
        <v>2308</v>
      </c>
      <c r="B2243" t="s">
        <v>2360</v>
      </c>
      <c r="C2243" t="s">
        <v>2385</v>
      </c>
      <c r="D2243">
        <v>15813</v>
      </c>
      <c r="E2243" t="str">
        <f t="shared" si="98"/>
        <v>ia.assorted_string like '%15813-09-2022%' or</v>
      </c>
    </row>
    <row r="2244" spans="1:5" x14ac:dyDescent="0.25">
      <c r="A2244" t="s">
        <v>2309</v>
      </c>
      <c r="B2244" t="s">
        <v>2339</v>
      </c>
      <c r="C2244" t="s">
        <v>2385</v>
      </c>
      <c r="D2244">
        <v>4211</v>
      </c>
      <c r="E2244" t="str">
        <f t="shared" si="98"/>
        <v>ia.assorted_string like '%4211-03-2024%' or</v>
      </c>
    </row>
    <row r="2245" spans="1:5" x14ac:dyDescent="0.25">
      <c r="A2245" t="s">
        <v>2310</v>
      </c>
      <c r="B2245" t="s">
        <v>2347</v>
      </c>
      <c r="C2245" t="s">
        <v>2385</v>
      </c>
      <c r="D2245">
        <v>4345</v>
      </c>
      <c r="E2245" t="str">
        <f t="shared" si="98"/>
        <v>ia.assorted_string like '%4345-04-2024%' or</v>
      </c>
    </row>
    <row r="2246" spans="1:5" x14ac:dyDescent="0.25">
      <c r="A2246" t="s">
        <v>2311</v>
      </c>
      <c r="B2246" t="s">
        <v>2343</v>
      </c>
      <c r="C2246" t="s">
        <v>2385</v>
      </c>
      <c r="D2246">
        <v>4518</v>
      </c>
      <c r="E2246" t="str">
        <f t="shared" si="98"/>
        <v>ia.assorted_string like '%4518-06-2024%' or</v>
      </c>
    </row>
    <row r="2247" spans="1:5" x14ac:dyDescent="0.25">
      <c r="A2247" t="s">
        <v>2312</v>
      </c>
      <c r="B2247" t="s">
        <v>2347</v>
      </c>
      <c r="C2247" t="s">
        <v>2385</v>
      </c>
      <c r="D2247">
        <v>4346</v>
      </c>
      <c r="E2247" t="str">
        <f t="shared" si="98"/>
        <v>ia.assorted_string like '%4346-04-2024%' or</v>
      </c>
    </row>
    <row r="2248" spans="1:5" x14ac:dyDescent="0.25">
      <c r="A2248" t="s">
        <v>2313</v>
      </c>
      <c r="B2248" t="s">
        <v>2339</v>
      </c>
      <c r="C2248" t="s">
        <v>2385</v>
      </c>
      <c r="D2248">
        <v>4194</v>
      </c>
      <c r="E2248" t="str">
        <f t="shared" si="98"/>
        <v>ia.assorted_string like '%4194-03-2024%' or</v>
      </c>
    </row>
    <row r="2249" spans="1:5" x14ac:dyDescent="0.25">
      <c r="A2249" t="s">
        <v>2314</v>
      </c>
      <c r="B2249" t="s">
        <v>2376</v>
      </c>
      <c r="C2249" t="s">
        <v>2385</v>
      </c>
      <c r="D2249">
        <v>3546</v>
      </c>
      <c r="E2249" t="str">
        <f t="shared" si="98"/>
        <v>ia.assorted_string like '%3546-11-2023%' or</v>
      </c>
    </row>
    <row r="2250" spans="1:5" x14ac:dyDescent="0.25">
      <c r="A2250" t="s">
        <v>2315</v>
      </c>
      <c r="B2250" t="s">
        <v>2339</v>
      </c>
      <c r="C2250" t="s">
        <v>2385</v>
      </c>
      <c r="D2250">
        <v>4197</v>
      </c>
      <c r="E2250" t="str">
        <f t="shared" si="98"/>
        <v>ia.assorted_string like '%4197-03-2024%' or</v>
      </c>
    </row>
    <row r="2251" spans="1:5" x14ac:dyDescent="0.25">
      <c r="A2251" t="s">
        <v>2316</v>
      </c>
      <c r="B2251" t="s">
        <v>2347</v>
      </c>
      <c r="C2251" t="s">
        <v>2385</v>
      </c>
      <c r="D2251">
        <v>4347</v>
      </c>
      <c r="E2251" t="str">
        <f t="shared" si="98"/>
        <v>ia.assorted_string like '%4347-04-2024%' or</v>
      </c>
    </row>
    <row r="2252" spans="1:5" x14ac:dyDescent="0.25">
      <c r="A2252" t="s">
        <v>2317</v>
      </c>
      <c r="B2252" t="s">
        <v>2343</v>
      </c>
      <c r="C2252" t="s">
        <v>2385</v>
      </c>
      <c r="D2252">
        <v>2589</v>
      </c>
      <c r="E2252" t="str">
        <f t="shared" si="98"/>
        <v>ia.assorted_string like '%2589-06-2024%' or</v>
      </c>
    </row>
    <row r="2253" spans="1:5" x14ac:dyDescent="0.25">
      <c r="A2253" t="s">
        <v>2318</v>
      </c>
      <c r="B2253" t="s">
        <v>2347</v>
      </c>
      <c r="C2253" t="s">
        <v>2385</v>
      </c>
      <c r="D2253">
        <v>4353</v>
      </c>
      <c r="E2253" t="str">
        <f t="shared" si="98"/>
        <v>ia.assorted_string like '%4353-04-2024%' or</v>
      </c>
    </row>
    <row r="2254" spans="1:5" x14ac:dyDescent="0.25">
      <c r="A2254" t="s">
        <v>2319</v>
      </c>
      <c r="B2254" t="s">
        <v>2355</v>
      </c>
      <c r="C2254" t="s">
        <v>2385</v>
      </c>
      <c r="D2254">
        <v>4398</v>
      </c>
      <c r="E2254" t="str">
        <f t="shared" si="98"/>
        <v>ia.assorted_string like '%4398-05-2024%' or</v>
      </c>
    </row>
    <row r="2255" spans="1:5" x14ac:dyDescent="0.25">
      <c r="A2255" t="s">
        <v>2320</v>
      </c>
      <c r="B2255" t="s">
        <v>2355</v>
      </c>
      <c r="C2255" t="s">
        <v>2385</v>
      </c>
      <c r="D2255">
        <v>4391</v>
      </c>
      <c r="E2255" t="str">
        <f t="shared" si="98"/>
        <v>ia.assorted_string like '%4391-05-2024%' or</v>
      </c>
    </row>
    <row r="2256" spans="1:5" x14ac:dyDescent="0.25">
      <c r="A2256" t="s">
        <v>2321</v>
      </c>
      <c r="B2256" t="s">
        <v>2339</v>
      </c>
      <c r="C2256" t="s">
        <v>2385</v>
      </c>
      <c r="D2256">
        <v>4196</v>
      </c>
      <c r="E2256" t="str">
        <f t="shared" si="98"/>
        <v>ia.assorted_string like '%4196-03-2024%' or</v>
      </c>
    </row>
    <row r="2257" spans="1:5" x14ac:dyDescent="0.25">
      <c r="A2257" t="s">
        <v>2322</v>
      </c>
      <c r="B2257" t="s">
        <v>2355</v>
      </c>
      <c r="C2257" t="s">
        <v>2385</v>
      </c>
      <c r="D2257">
        <v>4387</v>
      </c>
      <c r="E2257" t="str">
        <f t="shared" si="98"/>
        <v>ia.assorted_string like '%4387-05-2024%' or</v>
      </c>
    </row>
    <row r="2258" spans="1:5" x14ac:dyDescent="0.25">
      <c r="A2258" t="s">
        <v>2323</v>
      </c>
      <c r="B2258" t="s">
        <v>2339</v>
      </c>
      <c r="C2258" t="s">
        <v>2385</v>
      </c>
      <c r="D2258">
        <v>4212</v>
      </c>
      <c r="E2258" t="str">
        <f t="shared" si="98"/>
        <v>ia.assorted_string like '%4212-03-2024%' or</v>
      </c>
    </row>
    <row r="2259" spans="1:5" x14ac:dyDescent="0.25">
      <c r="A2259" t="s">
        <v>2324</v>
      </c>
      <c r="B2259" t="s">
        <v>2355</v>
      </c>
      <c r="C2259" t="s">
        <v>2385</v>
      </c>
      <c r="D2259">
        <v>4389</v>
      </c>
      <c r="E2259" t="str">
        <f t="shared" si="98"/>
        <v>ia.assorted_string like '%4389-05-2024%' or</v>
      </c>
    </row>
    <row r="2260" spans="1:5" x14ac:dyDescent="0.25">
      <c r="A2260" t="s">
        <v>2325</v>
      </c>
      <c r="B2260" t="s">
        <v>2339</v>
      </c>
      <c r="C2260" t="s">
        <v>2385</v>
      </c>
      <c r="D2260">
        <v>4199</v>
      </c>
      <c r="E2260" t="str">
        <f t="shared" si="98"/>
        <v>ia.assorted_string like '%4199-03-2024%' or</v>
      </c>
    </row>
    <row r="2261" spans="1:5" x14ac:dyDescent="0.25">
      <c r="A2261" t="s">
        <v>2326</v>
      </c>
      <c r="B2261" t="s">
        <v>2355</v>
      </c>
      <c r="C2261" t="s">
        <v>2385</v>
      </c>
      <c r="D2261">
        <v>4390</v>
      </c>
      <c r="E2261" t="str">
        <f t="shared" si="98"/>
        <v>ia.assorted_string like '%4390-05-2024%' or</v>
      </c>
    </row>
    <row r="2262" spans="1:5" x14ac:dyDescent="0.25">
      <c r="A2262" t="s">
        <v>2327</v>
      </c>
      <c r="B2262" t="s">
        <v>2355</v>
      </c>
      <c r="C2262" t="s">
        <v>2385</v>
      </c>
      <c r="D2262">
        <v>4397</v>
      </c>
      <c r="E2262" t="str">
        <f t="shared" si="98"/>
        <v>ia.assorted_string like '%4397-05-2024%' or</v>
      </c>
    </row>
    <row r="2263" spans="1:5" x14ac:dyDescent="0.25">
      <c r="A2263" t="s">
        <v>2328</v>
      </c>
      <c r="B2263" t="s">
        <v>2343</v>
      </c>
      <c r="C2263" t="s">
        <v>2385</v>
      </c>
      <c r="D2263">
        <v>2587</v>
      </c>
      <c r="E2263" t="str">
        <f t="shared" si="98"/>
        <v>ia.assorted_string like '%2587-06-2024%' or</v>
      </c>
    </row>
    <row r="2264" spans="1:5" x14ac:dyDescent="0.25">
      <c r="A2264" t="s">
        <v>2329</v>
      </c>
      <c r="B2264" t="s">
        <v>2345</v>
      </c>
      <c r="C2264" t="s">
        <v>2385</v>
      </c>
      <c r="D2264">
        <v>18186</v>
      </c>
      <c r="E2264" t="str">
        <f t="shared" si="98"/>
        <v>ia.assorted_string like '%18186-06-2023%' or</v>
      </c>
    </row>
    <row r="2265" spans="1:5" x14ac:dyDescent="0.25">
      <c r="A2265" t="s">
        <v>2330</v>
      </c>
      <c r="B2265" t="s">
        <v>2372</v>
      </c>
      <c r="C2265" t="s">
        <v>2385</v>
      </c>
      <c r="D2265">
        <v>18976</v>
      </c>
      <c r="E2265" t="str">
        <f t="shared" si="98"/>
        <v>ia.assorted_string like '%18976-12-2023%' or</v>
      </c>
    </row>
    <row r="2266" spans="1:5" x14ac:dyDescent="0.25">
      <c r="A2266" t="s">
        <v>2331</v>
      </c>
      <c r="B2266" t="s">
        <v>2343</v>
      </c>
      <c r="C2266" t="s">
        <v>2385</v>
      </c>
      <c r="D2266">
        <v>2609</v>
      </c>
      <c r="E2266" t="str">
        <f t="shared" si="98"/>
        <v>ia.assorted_string like '%2609-06-2024%' or</v>
      </c>
    </row>
    <row r="2267" spans="1:5" x14ac:dyDescent="0.25">
      <c r="A2267" t="s">
        <v>2332</v>
      </c>
      <c r="B2267" t="s">
        <v>2343</v>
      </c>
      <c r="C2267" t="s">
        <v>2385</v>
      </c>
      <c r="D2267">
        <v>2616</v>
      </c>
      <c r="E2267" t="str">
        <f t="shared" si="98"/>
        <v>ia.assorted_string like '%2616-06-2024%' or</v>
      </c>
    </row>
    <row r="2268" spans="1:5" x14ac:dyDescent="0.25">
      <c r="A2268" t="s">
        <v>2333</v>
      </c>
      <c r="B2268" t="s">
        <v>2337</v>
      </c>
      <c r="C2268" t="s">
        <v>2385</v>
      </c>
      <c r="D2268">
        <v>17599</v>
      </c>
      <c r="E2268" t="str">
        <f t="shared" ref="E2268" si="99">"ia.assorted_string like '%"&amp;D2268&amp;B2268&amp;"%' or"</f>
        <v>ia.assorted_string like '%17599-02-2023%' or</v>
      </c>
    </row>
  </sheetData>
  <autoFilter ref="A1:E511" xr:uid="{DCE0044A-6A2A-448D-B5EB-8731057B29CA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AC4D1-1CC2-449E-BB8B-676178C0D028}">
  <dimension ref="A1:C4073"/>
  <sheetViews>
    <sheetView topLeftCell="A3730" workbookViewId="0">
      <selection activeCell="A3737" sqref="A3737"/>
    </sheetView>
  </sheetViews>
  <sheetFormatPr defaultColWidth="7.85546875" defaultRowHeight="15" x14ac:dyDescent="0.25"/>
  <cols>
    <col min="1" max="1" width="5" bestFit="1" customWidth="1"/>
    <col min="2" max="2" width="45.85546875" bestFit="1" customWidth="1"/>
    <col min="3" max="3" width="15" bestFit="1" customWidth="1"/>
  </cols>
  <sheetData>
    <row r="1" spans="1:3" s="4" customFormat="1" ht="12" x14ac:dyDescent="0.2">
      <c r="A1" s="4" t="s">
        <v>2534</v>
      </c>
      <c r="B1" s="4" t="s">
        <v>2535</v>
      </c>
      <c r="C1" s="4" t="s">
        <v>2536</v>
      </c>
    </row>
    <row r="2" spans="1:3" x14ac:dyDescent="0.25">
      <c r="A2">
        <v>1</v>
      </c>
      <c r="B2" t="s">
        <v>1593</v>
      </c>
      <c r="C2" t="s">
        <v>2537</v>
      </c>
    </row>
    <row r="3" spans="1:3" x14ac:dyDescent="0.25">
      <c r="A3">
        <v>2</v>
      </c>
      <c r="B3" t="s">
        <v>2538</v>
      </c>
      <c r="C3" t="s">
        <v>2539</v>
      </c>
    </row>
    <row r="4" spans="1:3" x14ac:dyDescent="0.25">
      <c r="A4">
        <v>3</v>
      </c>
      <c r="B4" t="s">
        <v>271</v>
      </c>
      <c r="C4" t="s">
        <v>2540</v>
      </c>
    </row>
    <row r="5" spans="1:3" x14ac:dyDescent="0.25">
      <c r="A5">
        <v>4</v>
      </c>
      <c r="B5" t="s">
        <v>2541</v>
      </c>
      <c r="C5" t="s">
        <v>2542</v>
      </c>
    </row>
    <row r="6" spans="1:3" x14ac:dyDescent="0.25">
      <c r="A6">
        <v>5</v>
      </c>
      <c r="B6" t="s">
        <v>2543</v>
      </c>
      <c r="C6" t="s">
        <v>2544</v>
      </c>
    </row>
    <row r="7" spans="1:3" x14ac:dyDescent="0.25">
      <c r="A7">
        <v>6</v>
      </c>
      <c r="B7" t="s">
        <v>965</v>
      </c>
      <c r="C7" t="s">
        <v>2545</v>
      </c>
    </row>
    <row r="8" spans="1:3" x14ac:dyDescent="0.25">
      <c r="A8">
        <v>7</v>
      </c>
      <c r="B8" t="s">
        <v>2546</v>
      </c>
      <c r="C8" t="s">
        <v>2547</v>
      </c>
    </row>
    <row r="9" spans="1:3" x14ac:dyDescent="0.25">
      <c r="A9">
        <v>8</v>
      </c>
      <c r="B9" t="s">
        <v>2548</v>
      </c>
      <c r="C9" t="s">
        <v>2549</v>
      </c>
    </row>
    <row r="10" spans="1:3" x14ac:dyDescent="0.25">
      <c r="A10">
        <v>9</v>
      </c>
      <c r="B10" t="s">
        <v>2550</v>
      </c>
      <c r="C10" t="s">
        <v>2551</v>
      </c>
    </row>
    <row r="11" spans="1:3" x14ac:dyDescent="0.25">
      <c r="A11">
        <v>10</v>
      </c>
      <c r="B11" t="s">
        <v>2552</v>
      </c>
      <c r="C11" t="s">
        <v>2553</v>
      </c>
    </row>
    <row r="12" spans="1:3" x14ac:dyDescent="0.25">
      <c r="A12">
        <v>11</v>
      </c>
      <c r="B12" t="s">
        <v>13</v>
      </c>
      <c r="C12" t="s">
        <v>2554</v>
      </c>
    </row>
    <row r="13" spans="1:3" x14ac:dyDescent="0.25">
      <c r="A13">
        <v>12</v>
      </c>
      <c r="B13" t="s">
        <v>25</v>
      </c>
      <c r="C13" t="s">
        <v>2555</v>
      </c>
    </row>
    <row r="14" spans="1:3" x14ac:dyDescent="0.25">
      <c r="A14">
        <v>13</v>
      </c>
      <c r="B14" t="s">
        <v>2556</v>
      </c>
      <c r="C14" t="s">
        <v>2557</v>
      </c>
    </row>
    <row r="15" spans="1:3" x14ac:dyDescent="0.25">
      <c r="A15">
        <v>14</v>
      </c>
      <c r="B15" t="s">
        <v>267</v>
      </c>
      <c r="C15" t="s">
        <v>2558</v>
      </c>
    </row>
    <row r="16" spans="1:3" x14ac:dyDescent="0.25">
      <c r="A16">
        <v>15</v>
      </c>
      <c r="B16" t="s">
        <v>574</v>
      </c>
      <c r="C16" t="s">
        <v>2559</v>
      </c>
    </row>
    <row r="17" spans="1:3" x14ac:dyDescent="0.25">
      <c r="A17">
        <v>16</v>
      </c>
      <c r="B17" t="s">
        <v>2560</v>
      </c>
      <c r="C17" t="s">
        <v>2561</v>
      </c>
    </row>
    <row r="18" spans="1:3" x14ac:dyDescent="0.25">
      <c r="A18">
        <v>17</v>
      </c>
      <c r="B18" t="s">
        <v>2562</v>
      </c>
      <c r="C18" t="s">
        <v>2563</v>
      </c>
    </row>
    <row r="19" spans="1:3" x14ac:dyDescent="0.25">
      <c r="A19">
        <v>18</v>
      </c>
      <c r="B19" t="s">
        <v>2564</v>
      </c>
      <c r="C19" t="s">
        <v>2565</v>
      </c>
    </row>
    <row r="20" spans="1:3" x14ac:dyDescent="0.25">
      <c r="A20">
        <v>19</v>
      </c>
      <c r="B20" t="s">
        <v>468</v>
      </c>
      <c r="C20" t="s">
        <v>2566</v>
      </c>
    </row>
    <row r="21" spans="1:3" x14ac:dyDescent="0.25">
      <c r="A21">
        <v>20</v>
      </c>
      <c r="B21" t="s">
        <v>2567</v>
      </c>
      <c r="C21" t="s">
        <v>2568</v>
      </c>
    </row>
    <row r="22" spans="1:3" x14ac:dyDescent="0.25">
      <c r="A22">
        <v>21</v>
      </c>
      <c r="B22" t="s">
        <v>2569</v>
      </c>
      <c r="C22" t="s">
        <v>2570</v>
      </c>
    </row>
    <row r="23" spans="1:3" x14ac:dyDescent="0.25">
      <c r="A23">
        <v>22</v>
      </c>
      <c r="B23" t="s">
        <v>2571</v>
      </c>
      <c r="C23" t="s">
        <v>2572</v>
      </c>
    </row>
    <row r="24" spans="1:3" x14ac:dyDescent="0.25">
      <c r="A24">
        <v>23</v>
      </c>
      <c r="B24" t="s">
        <v>2573</v>
      </c>
      <c r="C24" t="s">
        <v>2574</v>
      </c>
    </row>
    <row r="25" spans="1:3" x14ac:dyDescent="0.25">
      <c r="A25">
        <v>24</v>
      </c>
      <c r="B25" t="s">
        <v>2575</v>
      </c>
      <c r="C25" t="s">
        <v>2576</v>
      </c>
    </row>
    <row r="26" spans="1:3" x14ac:dyDescent="0.25">
      <c r="A26">
        <v>25</v>
      </c>
      <c r="B26" t="s">
        <v>2577</v>
      </c>
      <c r="C26" t="s">
        <v>2578</v>
      </c>
    </row>
    <row r="27" spans="1:3" x14ac:dyDescent="0.25">
      <c r="A27">
        <v>26</v>
      </c>
      <c r="B27" t="s">
        <v>2579</v>
      </c>
      <c r="C27" t="s">
        <v>2580</v>
      </c>
    </row>
    <row r="28" spans="1:3" x14ac:dyDescent="0.25">
      <c r="A28">
        <v>27</v>
      </c>
      <c r="B28" t="s">
        <v>2581</v>
      </c>
      <c r="C28" t="s">
        <v>2582</v>
      </c>
    </row>
    <row r="29" spans="1:3" x14ac:dyDescent="0.25">
      <c r="A29">
        <v>28</v>
      </c>
      <c r="B29" t="s">
        <v>2583</v>
      </c>
      <c r="C29" t="s">
        <v>2584</v>
      </c>
    </row>
    <row r="30" spans="1:3" x14ac:dyDescent="0.25">
      <c r="A30">
        <v>29</v>
      </c>
      <c r="B30" t="s">
        <v>2585</v>
      </c>
      <c r="C30" t="s">
        <v>2586</v>
      </c>
    </row>
    <row r="31" spans="1:3" x14ac:dyDescent="0.25">
      <c r="A31">
        <v>30</v>
      </c>
      <c r="B31" t="s">
        <v>2587</v>
      </c>
      <c r="C31" t="s">
        <v>2588</v>
      </c>
    </row>
    <row r="32" spans="1:3" x14ac:dyDescent="0.25">
      <c r="A32">
        <v>31</v>
      </c>
      <c r="B32" t="s">
        <v>2589</v>
      </c>
      <c r="C32" t="s">
        <v>2590</v>
      </c>
    </row>
    <row r="33" spans="1:3" x14ac:dyDescent="0.25">
      <c r="A33">
        <v>32</v>
      </c>
      <c r="B33" t="s">
        <v>2591</v>
      </c>
      <c r="C33" t="s">
        <v>2592</v>
      </c>
    </row>
    <row r="34" spans="1:3" x14ac:dyDescent="0.25">
      <c r="A34">
        <v>33</v>
      </c>
      <c r="B34" t="s">
        <v>2593</v>
      </c>
      <c r="C34" t="s">
        <v>2594</v>
      </c>
    </row>
    <row r="35" spans="1:3" x14ac:dyDescent="0.25">
      <c r="A35">
        <v>34</v>
      </c>
      <c r="B35" t="s">
        <v>2595</v>
      </c>
      <c r="C35" t="s">
        <v>2596</v>
      </c>
    </row>
    <row r="36" spans="1:3" x14ac:dyDescent="0.25">
      <c r="A36">
        <v>35</v>
      </c>
      <c r="B36" t="s">
        <v>2597</v>
      </c>
      <c r="C36" t="s">
        <v>2598</v>
      </c>
    </row>
    <row r="37" spans="1:3" x14ac:dyDescent="0.25">
      <c r="A37">
        <v>36</v>
      </c>
      <c r="B37" t="s">
        <v>2599</v>
      </c>
      <c r="C37" t="s">
        <v>2600</v>
      </c>
    </row>
    <row r="38" spans="1:3" x14ac:dyDescent="0.25">
      <c r="A38">
        <v>37</v>
      </c>
      <c r="B38" t="s">
        <v>2601</v>
      </c>
      <c r="C38" t="s">
        <v>2602</v>
      </c>
    </row>
    <row r="39" spans="1:3" x14ac:dyDescent="0.25">
      <c r="A39">
        <v>38</v>
      </c>
      <c r="B39" t="s">
        <v>2603</v>
      </c>
      <c r="C39" t="s">
        <v>2604</v>
      </c>
    </row>
    <row r="40" spans="1:3" x14ac:dyDescent="0.25">
      <c r="A40">
        <v>39</v>
      </c>
      <c r="B40" t="s">
        <v>2605</v>
      </c>
      <c r="C40" t="s">
        <v>2606</v>
      </c>
    </row>
    <row r="41" spans="1:3" x14ac:dyDescent="0.25">
      <c r="A41">
        <v>40</v>
      </c>
      <c r="B41" t="s">
        <v>2607</v>
      </c>
      <c r="C41" t="s">
        <v>2608</v>
      </c>
    </row>
    <row r="42" spans="1:3" x14ac:dyDescent="0.25">
      <c r="A42">
        <v>41</v>
      </c>
      <c r="B42" t="s">
        <v>2609</v>
      </c>
      <c r="C42" t="s">
        <v>2610</v>
      </c>
    </row>
    <row r="43" spans="1:3" x14ac:dyDescent="0.25">
      <c r="A43">
        <v>42</v>
      </c>
      <c r="B43" t="s">
        <v>2611</v>
      </c>
      <c r="C43" t="s">
        <v>2612</v>
      </c>
    </row>
    <row r="44" spans="1:3" x14ac:dyDescent="0.25">
      <c r="A44">
        <v>43</v>
      </c>
      <c r="B44" t="s">
        <v>2613</v>
      </c>
      <c r="C44" t="s">
        <v>2614</v>
      </c>
    </row>
    <row r="45" spans="1:3" x14ac:dyDescent="0.25">
      <c r="A45">
        <v>44</v>
      </c>
      <c r="B45" t="s">
        <v>2615</v>
      </c>
      <c r="C45" t="s">
        <v>2616</v>
      </c>
    </row>
    <row r="46" spans="1:3" x14ac:dyDescent="0.25">
      <c r="A46">
        <v>45</v>
      </c>
      <c r="B46" t="s">
        <v>289</v>
      </c>
      <c r="C46" t="s">
        <v>2617</v>
      </c>
    </row>
    <row r="47" spans="1:3" x14ac:dyDescent="0.25">
      <c r="A47">
        <v>46</v>
      </c>
      <c r="B47" t="s">
        <v>2618</v>
      </c>
      <c r="C47" t="s">
        <v>2619</v>
      </c>
    </row>
    <row r="48" spans="1:3" x14ac:dyDescent="0.25">
      <c r="A48">
        <v>47</v>
      </c>
      <c r="B48" t="s">
        <v>2620</v>
      </c>
      <c r="C48" t="s">
        <v>2621</v>
      </c>
    </row>
    <row r="49" spans="1:3" x14ac:dyDescent="0.25">
      <c r="A49">
        <v>48</v>
      </c>
      <c r="B49" t="s">
        <v>2622</v>
      </c>
      <c r="C49" t="s">
        <v>2623</v>
      </c>
    </row>
    <row r="50" spans="1:3" x14ac:dyDescent="0.25">
      <c r="A50">
        <v>49</v>
      </c>
      <c r="B50" t="s">
        <v>2624</v>
      </c>
      <c r="C50" t="s">
        <v>2625</v>
      </c>
    </row>
    <row r="51" spans="1:3" x14ac:dyDescent="0.25">
      <c r="A51">
        <v>50</v>
      </c>
      <c r="B51" t="s">
        <v>1277</v>
      </c>
      <c r="C51" t="s">
        <v>2626</v>
      </c>
    </row>
    <row r="52" spans="1:3" x14ac:dyDescent="0.25">
      <c r="A52">
        <v>51</v>
      </c>
      <c r="B52" t="s">
        <v>1218</v>
      </c>
      <c r="C52" t="s">
        <v>2627</v>
      </c>
    </row>
    <row r="53" spans="1:3" x14ac:dyDescent="0.25">
      <c r="A53">
        <v>52</v>
      </c>
      <c r="B53" t="s">
        <v>971</v>
      </c>
      <c r="C53" t="s">
        <v>2628</v>
      </c>
    </row>
    <row r="54" spans="1:3" x14ac:dyDescent="0.25">
      <c r="A54">
        <v>53</v>
      </c>
      <c r="B54" t="s">
        <v>2629</v>
      </c>
      <c r="C54" t="s">
        <v>2630</v>
      </c>
    </row>
    <row r="55" spans="1:3" x14ac:dyDescent="0.25">
      <c r="A55">
        <v>54</v>
      </c>
      <c r="B55" t="s">
        <v>1744</v>
      </c>
      <c r="C55" t="s">
        <v>2631</v>
      </c>
    </row>
    <row r="56" spans="1:3" x14ac:dyDescent="0.25">
      <c r="A56">
        <v>55</v>
      </c>
      <c r="B56" t="s">
        <v>911</v>
      </c>
      <c r="C56" t="s">
        <v>2632</v>
      </c>
    </row>
    <row r="57" spans="1:3" x14ac:dyDescent="0.25">
      <c r="A57">
        <v>56</v>
      </c>
      <c r="B57" t="s">
        <v>2633</v>
      </c>
      <c r="C57" t="s">
        <v>2634</v>
      </c>
    </row>
    <row r="58" spans="1:3" x14ac:dyDescent="0.25">
      <c r="A58">
        <v>57</v>
      </c>
      <c r="B58" t="s">
        <v>1194</v>
      </c>
      <c r="C58" t="s">
        <v>2635</v>
      </c>
    </row>
    <row r="59" spans="1:3" x14ac:dyDescent="0.25">
      <c r="A59">
        <v>58</v>
      </c>
      <c r="B59" t="s">
        <v>1068</v>
      </c>
      <c r="C59" t="s">
        <v>2636</v>
      </c>
    </row>
    <row r="60" spans="1:3" x14ac:dyDescent="0.25">
      <c r="A60">
        <v>59</v>
      </c>
      <c r="B60" t="s">
        <v>1098</v>
      </c>
      <c r="C60" t="s">
        <v>2637</v>
      </c>
    </row>
    <row r="61" spans="1:3" x14ac:dyDescent="0.25">
      <c r="A61">
        <v>60</v>
      </c>
      <c r="B61" t="s">
        <v>1776</v>
      </c>
      <c r="C61" t="s">
        <v>2638</v>
      </c>
    </row>
    <row r="62" spans="1:3" x14ac:dyDescent="0.25">
      <c r="A62">
        <v>61</v>
      </c>
      <c r="B62" t="s">
        <v>1911</v>
      </c>
      <c r="C62" t="s">
        <v>2639</v>
      </c>
    </row>
    <row r="63" spans="1:3" x14ac:dyDescent="0.25">
      <c r="A63">
        <v>62</v>
      </c>
      <c r="B63" t="s">
        <v>1158</v>
      </c>
      <c r="C63" t="s">
        <v>2640</v>
      </c>
    </row>
    <row r="64" spans="1:3" x14ac:dyDescent="0.25">
      <c r="A64">
        <v>63</v>
      </c>
      <c r="B64" t="s">
        <v>1965</v>
      </c>
      <c r="C64" t="s">
        <v>2641</v>
      </c>
    </row>
    <row r="65" spans="1:3" x14ac:dyDescent="0.25">
      <c r="A65">
        <v>64</v>
      </c>
      <c r="B65" t="s">
        <v>1303</v>
      </c>
      <c r="C65" t="s">
        <v>2642</v>
      </c>
    </row>
    <row r="66" spans="1:3" x14ac:dyDescent="0.25">
      <c r="A66">
        <v>65</v>
      </c>
      <c r="B66" t="s">
        <v>699</v>
      </c>
      <c r="C66" t="s">
        <v>2643</v>
      </c>
    </row>
    <row r="67" spans="1:3" x14ac:dyDescent="0.25">
      <c r="A67">
        <v>66</v>
      </c>
      <c r="B67" t="s">
        <v>928</v>
      </c>
      <c r="C67" t="s">
        <v>2644</v>
      </c>
    </row>
    <row r="68" spans="1:3" x14ac:dyDescent="0.25">
      <c r="A68">
        <v>67</v>
      </c>
      <c r="B68" t="s">
        <v>1887</v>
      </c>
      <c r="C68" t="s">
        <v>2645</v>
      </c>
    </row>
    <row r="69" spans="1:3" x14ac:dyDescent="0.25">
      <c r="A69">
        <v>68</v>
      </c>
      <c r="B69" t="s">
        <v>2646</v>
      </c>
      <c r="C69" t="s">
        <v>2647</v>
      </c>
    </row>
    <row r="70" spans="1:3" x14ac:dyDescent="0.25">
      <c r="A70">
        <v>69</v>
      </c>
      <c r="B70" t="s">
        <v>2648</v>
      </c>
      <c r="C70" t="s">
        <v>2649</v>
      </c>
    </row>
    <row r="71" spans="1:3" x14ac:dyDescent="0.25">
      <c r="A71">
        <v>70</v>
      </c>
      <c r="B71" t="s">
        <v>2650</v>
      </c>
      <c r="C71" t="s">
        <v>2651</v>
      </c>
    </row>
    <row r="72" spans="1:3" x14ac:dyDescent="0.25">
      <c r="A72">
        <v>71</v>
      </c>
      <c r="B72" t="s">
        <v>912</v>
      </c>
      <c r="C72" t="s">
        <v>2652</v>
      </c>
    </row>
    <row r="73" spans="1:3" x14ac:dyDescent="0.25">
      <c r="A73">
        <v>72</v>
      </c>
      <c r="B73" t="s">
        <v>922</v>
      </c>
      <c r="C73" t="s">
        <v>2653</v>
      </c>
    </row>
    <row r="74" spans="1:3" x14ac:dyDescent="0.25">
      <c r="A74">
        <v>73</v>
      </c>
      <c r="B74" t="s">
        <v>1802</v>
      </c>
      <c r="C74" t="s">
        <v>2654</v>
      </c>
    </row>
    <row r="75" spans="1:3" x14ac:dyDescent="0.25">
      <c r="A75">
        <v>74</v>
      </c>
      <c r="B75" t="s">
        <v>2655</v>
      </c>
      <c r="C75" t="s">
        <v>2656</v>
      </c>
    </row>
    <row r="76" spans="1:3" x14ac:dyDescent="0.25">
      <c r="A76">
        <v>75</v>
      </c>
      <c r="B76" t="s">
        <v>1144</v>
      </c>
      <c r="C76" t="s">
        <v>2657</v>
      </c>
    </row>
    <row r="77" spans="1:3" x14ac:dyDescent="0.25">
      <c r="A77">
        <v>76</v>
      </c>
      <c r="B77" t="s">
        <v>2165</v>
      </c>
      <c r="C77" t="s">
        <v>2658</v>
      </c>
    </row>
    <row r="78" spans="1:3" x14ac:dyDescent="0.25">
      <c r="A78">
        <v>77</v>
      </c>
      <c r="B78" t="s">
        <v>2168</v>
      </c>
      <c r="C78" t="s">
        <v>2659</v>
      </c>
    </row>
    <row r="79" spans="1:3" x14ac:dyDescent="0.25">
      <c r="A79">
        <v>78</v>
      </c>
      <c r="B79" t="s">
        <v>2660</v>
      </c>
      <c r="C79" t="s">
        <v>2661</v>
      </c>
    </row>
    <row r="80" spans="1:3" x14ac:dyDescent="0.25">
      <c r="A80">
        <v>79</v>
      </c>
      <c r="B80" t="s">
        <v>2662</v>
      </c>
      <c r="C80" t="s">
        <v>2663</v>
      </c>
    </row>
    <row r="81" spans="1:3" x14ac:dyDescent="0.25">
      <c r="A81">
        <v>80</v>
      </c>
      <c r="B81" t="s">
        <v>1147</v>
      </c>
      <c r="C81" t="s">
        <v>2664</v>
      </c>
    </row>
    <row r="82" spans="1:3" x14ac:dyDescent="0.25">
      <c r="A82">
        <v>81</v>
      </c>
      <c r="B82" t="s">
        <v>2665</v>
      </c>
      <c r="C82" t="s">
        <v>2666</v>
      </c>
    </row>
    <row r="83" spans="1:3" x14ac:dyDescent="0.25">
      <c r="A83">
        <v>82</v>
      </c>
      <c r="B83" t="s">
        <v>2667</v>
      </c>
      <c r="C83" t="s">
        <v>2668</v>
      </c>
    </row>
    <row r="84" spans="1:3" x14ac:dyDescent="0.25">
      <c r="A84">
        <v>83</v>
      </c>
      <c r="B84" t="s">
        <v>2669</v>
      </c>
      <c r="C84" t="s">
        <v>2670</v>
      </c>
    </row>
    <row r="85" spans="1:3" x14ac:dyDescent="0.25">
      <c r="A85">
        <v>84</v>
      </c>
      <c r="B85" t="s">
        <v>2671</v>
      </c>
      <c r="C85" t="s">
        <v>2672</v>
      </c>
    </row>
    <row r="86" spans="1:3" x14ac:dyDescent="0.25">
      <c r="A86">
        <v>85</v>
      </c>
      <c r="B86" t="s">
        <v>988</v>
      </c>
      <c r="C86" t="s">
        <v>2673</v>
      </c>
    </row>
    <row r="87" spans="1:3" x14ac:dyDescent="0.25">
      <c r="A87">
        <v>86</v>
      </c>
      <c r="B87" t="s">
        <v>969</v>
      </c>
      <c r="C87" t="s">
        <v>2674</v>
      </c>
    </row>
    <row r="88" spans="1:3" x14ac:dyDescent="0.25">
      <c r="A88">
        <v>87</v>
      </c>
      <c r="B88" t="s">
        <v>2071</v>
      </c>
      <c r="C88" t="s">
        <v>2675</v>
      </c>
    </row>
    <row r="89" spans="1:3" x14ac:dyDescent="0.25">
      <c r="A89">
        <v>88</v>
      </c>
      <c r="B89" t="s">
        <v>1131</v>
      </c>
      <c r="C89" t="s">
        <v>2676</v>
      </c>
    </row>
    <row r="90" spans="1:3" x14ac:dyDescent="0.25">
      <c r="A90">
        <v>89</v>
      </c>
      <c r="B90" t="s">
        <v>2677</v>
      </c>
      <c r="C90" t="s">
        <v>2678</v>
      </c>
    </row>
    <row r="91" spans="1:3" x14ac:dyDescent="0.25">
      <c r="A91">
        <v>90</v>
      </c>
      <c r="B91" t="s">
        <v>1782</v>
      </c>
      <c r="C91" t="s">
        <v>2679</v>
      </c>
    </row>
    <row r="92" spans="1:3" x14ac:dyDescent="0.25">
      <c r="A92">
        <v>91</v>
      </c>
      <c r="B92" t="s">
        <v>230</v>
      </c>
      <c r="C92" t="s">
        <v>2680</v>
      </c>
    </row>
    <row r="93" spans="1:3" x14ac:dyDescent="0.25">
      <c r="A93">
        <v>92</v>
      </c>
      <c r="B93" t="s">
        <v>1223</v>
      </c>
      <c r="C93" t="s">
        <v>2681</v>
      </c>
    </row>
    <row r="94" spans="1:3" x14ac:dyDescent="0.25">
      <c r="A94">
        <v>93</v>
      </c>
      <c r="B94" t="s">
        <v>1319</v>
      </c>
      <c r="C94" t="s">
        <v>2682</v>
      </c>
    </row>
    <row r="95" spans="1:3" x14ac:dyDescent="0.25">
      <c r="A95">
        <v>94</v>
      </c>
      <c r="B95" t="s">
        <v>2683</v>
      </c>
      <c r="C95" t="s">
        <v>2684</v>
      </c>
    </row>
    <row r="96" spans="1:3" x14ac:dyDescent="0.25">
      <c r="A96">
        <v>95</v>
      </c>
      <c r="B96" t="s">
        <v>1159</v>
      </c>
      <c r="C96" t="s">
        <v>2685</v>
      </c>
    </row>
    <row r="97" spans="1:3" x14ac:dyDescent="0.25">
      <c r="A97">
        <v>96</v>
      </c>
      <c r="B97" t="s">
        <v>910</v>
      </c>
      <c r="C97" t="s">
        <v>2686</v>
      </c>
    </row>
    <row r="98" spans="1:3" x14ac:dyDescent="0.25">
      <c r="A98">
        <v>97</v>
      </c>
      <c r="B98" t="s">
        <v>1710</v>
      </c>
      <c r="C98" t="s">
        <v>2687</v>
      </c>
    </row>
    <row r="99" spans="1:3" x14ac:dyDescent="0.25">
      <c r="A99">
        <v>98</v>
      </c>
      <c r="B99" t="s">
        <v>1282</v>
      </c>
      <c r="C99" t="s">
        <v>2688</v>
      </c>
    </row>
    <row r="100" spans="1:3" x14ac:dyDescent="0.25">
      <c r="A100">
        <v>99</v>
      </c>
      <c r="B100" t="s">
        <v>1090</v>
      </c>
      <c r="C100" t="s">
        <v>2689</v>
      </c>
    </row>
    <row r="101" spans="1:3" x14ac:dyDescent="0.25">
      <c r="A101">
        <v>100</v>
      </c>
      <c r="B101" t="s">
        <v>1092</v>
      </c>
      <c r="C101" t="s">
        <v>2690</v>
      </c>
    </row>
    <row r="102" spans="1:3" x14ac:dyDescent="0.25">
      <c r="A102">
        <v>101</v>
      </c>
      <c r="B102" t="s">
        <v>1062</v>
      </c>
      <c r="C102" t="s">
        <v>2691</v>
      </c>
    </row>
    <row r="103" spans="1:3" x14ac:dyDescent="0.25">
      <c r="A103">
        <v>102</v>
      </c>
      <c r="B103" t="s">
        <v>2692</v>
      </c>
      <c r="C103" t="s">
        <v>2693</v>
      </c>
    </row>
    <row r="104" spans="1:3" x14ac:dyDescent="0.25">
      <c r="A104">
        <v>103</v>
      </c>
      <c r="B104" t="s">
        <v>2694</v>
      </c>
      <c r="C104" t="s">
        <v>2695</v>
      </c>
    </row>
    <row r="105" spans="1:3" x14ac:dyDescent="0.25">
      <c r="A105">
        <v>104</v>
      </c>
      <c r="B105" t="s">
        <v>1141</v>
      </c>
      <c r="C105" t="s">
        <v>2696</v>
      </c>
    </row>
    <row r="106" spans="1:3" x14ac:dyDescent="0.25">
      <c r="A106">
        <v>105</v>
      </c>
      <c r="B106" t="s">
        <v>1142</v>
      </c>
      <c r="C106" t="s">
        <v>2697</v>
      </c>
    </row>
    <row r="107" spans="1:3" x14ac:dyDescent="0.25">
      <c r="A107">
        <v>106</v>
      </c>
      <c r="B107" t="s">
        <v>1063</v>
      </c>
      <c r="C107" t="s">
        <v>2698</v>
      </c>
    </row>
    <row r="108" spans="1:3" x14ac:dyDescent="0.25">
      <c r="A108">
        <v>107</v>
      </c>
      <c r="B108" t="s">
        <v>1275</v>
      </c>
      <c r="C108" t="s">
        <v>2699</v>
      </c>
    </row>
    <row r="109" spans="1:3" x14ac:dyDescent="0.25">
      <c r="A109">
        <v>108</v>
      </c>
      <c r="B109" t="s">
        <v>46</v>
      </c>
      <c r="C109" t="s">
        <v>2700</v>
      </c>
    </row>
    <row r="110" spans="1:3" x14ac:dyDescent="0.25">
      <c r="A110">
        <v>109</v>
      </c>
      <c r="B110" t="s">
        <v>1221</v>
      </c>
      <c r="C110" t="s">
        <v>2701</v>
      </c>
    </row>
    <row r="111" spans="1:3" x14ac:dyDescent="0.25">
      <c r="A111">
        <v>110</v>
      </c>
      <c r="B111" t="s">
        <v>2702</v>
      </c>
      <c r="C111" t="s">
        <v>2703</v>
      </c>
    </row>
    <row r="112" spans="1:3" x14ac:dyDescent="0.25">
      <c r="A112">
        <v>111</v>
      </c>
      <c r="B112" t="s">
        <v>1301</v>
      </c>
      <c r="C112" t="s">
        <v>2704</v>
      </c>
    </row>
    <row r="113" spans="1:3" x14ac:dyDescent="0.25">
      <c r="A113">
        <v>112</v>
      </c>
      <c r="B113" t="s">
        <v>1143</v>
      </c>
      <c r="C113" t="s">
        <v>2705</v>
      </c>
    </row>
    <row r="114" spans="1:3" x14ac:dyDescent="0.25">
      <c r="A114">
        <v>113</v>
      </c>
      <c r="B114" t="s">
        <v>1094</v>
      </c>
      <c r="C114" t="s">
        <v>2706</v>
      </c>
    </row>
    <row r="115" spans="1:3" x14ac:dyDescent="0.25">
      <c r="A115">
        <v>114</v>
      </c>
      <c r="B115" t="s">
        <v>1096</v>
      </c>
      <c r="C115" t="s">
        <v>2707</v>
      </c>
    </row>
    <row r="116" spans="1:3" x14ac:dyDescent="0.25">
      <c r="A116">
        <v>115</v>
      </c>
      <c r="B116" t="s">
        <v>1276</v>
      </c>
      <c r="C116" t="s">
        <v>2708</v>
      </c>
    </row>
    <row r="117" spans="1:3" x14ac:dyDescent="0.25">
      <c r="A117">
        <v>116</v>
      </c>
      <c r="B117" t="s">
        <v>1121</v>
      </c>
      <c r="C117" t="s">
        <v>2709</v>
      </c>
    </row>
    <row r="118" spans="1:3" x14ac:dyDescent="0.25">
      <c r="A118">
        <v>117</v>
      </c>
      <c r="B118" t="s">
        <v>2710</v>
      </c>
      <c r="C118" t="s">
        <v>2711</v>
      </c>
    </row>
    <row r="119" spans="1:3" x14ac:dyDescent="0.25">
      <c r="A119">
        <v>118</v>
      </c>
      <c r="B119" t="s">
        <v>1086</v>
      </c>
      <c r="C119" t="s">
        <v>2712</v>
      </c>
    </row>
    <row r="120" spans="1:3" x14ac:dyDescent="0.25">
      <c r="A120">
        <v>119</v>
      </c>
      <c r="B120" t="s">
        <v>1082</v>
      </c>
      <c r="C120" t="s">
        <v>2713</v>
      </c>
    </row>
    <row r="121" spans="1:3" x14ac:dyDescent="0.25">
      <c r="A121">
        <v>120</v>
      </c>
      <c r="B121" t="s">
        <v>2250</v>
      </c>
      <c r="C121" t="s">
        <v>2714</v>
      </c>
    </row>
    <row r="122" spans="1:3" x14ac:dyDescent="0.25">
      <c r="A122">
        <v>121</v>
      </c>
      <c r="B122" t="s">
        <v>1229</v>
      </c>
      <c r="C122" t="s">
        <v>2715</v>
      </c>
    </row>
    <row r="123" spans="1:3" x14ac:dyDescent="0.25">
      <c r="A123">
        <v>122</v>
      </c>
      <c r="B123" t="s">
        <v>1115</v>
      </c>
      <c r="C123" t="s">
        <v>2716</v>
      </c>
    </row>
    <row r="124" spans="1:3" x14ac:dyDescent="0.25">
      <c r="A124">
        <v>123</v>
      </c>
      <c r="B124" t="s">
        <v>2717</v>
      </c>
      <c r="C124" t="s">
        <v>2718</v>
      </c>
    </row>
    <row r="125" spans="1:3" x14ac:dyDescent="0.25">
      <c r="A125">
        <v>124</v>
      </c>
      <c r="B125" t="s">
        <v>1055</v>
      </c>
      <c r="C125" t="s">
        <v>2719</v>
      </c>
    </row>
    <row r="126" spans="1:3" x14ac:dyDescent="0.25">
      <c r="A126">
        <v>125</v>
      </c>
      <c r="B126" t="s">
        <v>2720</v>
      </c>
      <c r="C126" t="s">
        <v>2721</v>
      </c>
    </row>
    <row r="127" spans="1:3" x14ac:dyDescent="0.25">
      <c r="A127">
        <v>126</v>
      </c>
      <c r="B127" t="s">
        <v>316</v>
      </c>
      <c r="C127" t="s">
        <v>2722</v>
      </c>
    </row>
    <row r="128" spans="1:3" x14ac:dyDescent="0.25">
      <c r="A128">
        <v>127</v>
      </c>
      <c r="B128" t="s">
        <v>914</v>
      </c>
      <c r="C128" t="s">
        <v>2723</v>
      </c>
    </row>
    <row r="129" spans="1:3" x14ac:dyDescent="0.25">
      <c r="A129">
        <v>128</v>
      </c>
      <c r="B129" t="s">
        <v>1312</v>
      </c>
      <c r="C129" t="s">
        <v>2724</v>
      </c>
    </row>
    <row r="130" spans="1:3" x14ac:dyDescent="0.25">
      <c r="A130">
        <v>129</v>
      </c>
      <c r="B130" t="s">
        <v>2725</v>
      </c>
      <c r="C130" t="s">
        <v>2726</v>
      </c>
    </row>
    <row r="131" spans="1:3" x14ac:dyDescent="0.25">
      <c r="A131">
        <v>130</v>
      </c>
      <c r="B131" t="s">
        <v>1149</v>
      </c>
      <c r="C131" t="s">
        <v>2727</v>
      </c>
    </row>
    <row r="132" spans="1:3" x14ac:dyDescent="0.25">
      <c r="A132">
        <v>131</v>
      </c>
      <c r="B132" t="s">
        <v>1289</v>
      </c>
      <c r="C132" t="s">
        <v>2728</v>
      </c>
    </row>
    <row r="133" spans="1:3" x14ac:dyDescent="0.25">
      <c r="A133">
        <v>132</v>
      </c>
      <c r="B133" t="s">
        <v>1165</v>
      </c>
      <c r="C133" t="s">
        <v>2729</v>
      </c>
    </row>
    <row r="134" spans="1:3" x14ac:dyDescent="0.25">
      <c r="A134">
        <v>133</v>
      </c>
      <c r="B134" t="s">
        <v>981</v>
      </c>
      <c r="C134" t="s">
        <v>2730</v>
      </c>
    </row>
    <row r="135" spans="1:3" x14ac:dyDescent="0.25">
      <c r="A135">
        <v>134</v>
      </c>
      <c r="B135" t="s">
        <v>1311</v>
      </c>
      <c r="C135" t="s">
        <v>2731</v>
      </c>
    </row>
    <row r="136" spans="1:3" x14ac:dyDescent="0.25">
      <c r="A136">
        <v>135</v>
      </c>
      <c r="B136" t="s">
        <v>2732</v>
      </c>
      <c r="C136" t="s">
        <v>2733</v>
      </c>
    </row>
    <row r="137" spans="1:3" x14ac:dyDescent="0.25">
      <c r="A137">
        <v>136</v>
      </c>
      <c r="B137" t="s">
        <v>2734</v>
      </c>
      <c r="C137" t="s">
        <v>2735</v>
      </c>
    </row>
    <row r="138" spans="1:3" x14ac:dyDescent="0.25">
      <c r="A138">
        <v>137</v>
      </c>
      <c r="B138" t="s">
        <v>2736</v>
      </c>
      <c r="C138" t="s">
        <v>2737</v>
      </c>
    </row>
    <row r="139" spans="1:3" x14ac:dyDescent="0.25">
      <c r="A139">
        <v>138</v>
      </c>
      <c r="B139" t="s">
        <v>471</v>
      </c>
      <c r="C139" t="s">
        <v>2738</v>
      </c>
    </row>
    <row r="140" spans="1:3" x14ac:dyDescent="0.25">
      <c r="A140">
        <v>139</v>
      </c>
      <c r="B140" t="s">
        <v>1286</v>
      </c>
      <c r="C140" t="s">
        <v>2739</v>
      </c>
    </row>
    <row r="141" spans="1:3" x14ac:dyDescent="0.25">
      <c r="A141">
        <v>140</v>
      </c>
      <c r="B141" t="s">
        <v>1924</v>
      </c>
      <c r="C141" t="s">
        <v>2740</v>
      </c>
    </row>
    <row r="142" spans="1:3" x14ac:dyDescent="0.25">
      <c r="A142">
        <v>141</v>
      </c>
      <c r="B142" t="s">
        <v>1909</v>
      </c>
      <c r="C142" t="s">
        <v>2741</v>
      </c>
    </row>
    <row r="143" spans="1:3" x14ac:dyDescent="0.25">
      <c r="A143">
        <v>142</v>
      </c>
      <c r="B143" t="s">
        <v>1978</v>
      </c>
      <c r="C143" t="s">
        <v>2742</v>
      </c>
    </row>
    <row r="144" spans="1:3" x14ac:dyDescent="0.25">
      <c r="A144">
        <v>143</v>
      </c>
      <c r="B144" t="s">
        <v>614</v>
      </c>
      <c r="C144" t="s">
        <v>2743</v>
      </c>
    </row>
    <row r="145" spans="1:3" x14ac:dyDescent="0.25">
      <c r="A145">
        <v>144</v>
      </c>
      <c r="B145" t="s">
        <v>1937</v>
      </c>
      <c r="C145" t="s">
        <v>2744</v>
      </c>
    </row>
    <row r="146" spans="1:3" x14ac:dyDescent="0.25">
      <c r="A146">
        <v>145</v>
      </c>
      <c r="B146" t="s">
        <v>2745</v>
      </c>
      <c r="C146" t="s">
        <v>2746</v>
      </c>
    </row>
    <row r="147" spans="1:3" x14ac:dyDescent="0.25">
      <c r="A147">
        <v>146</v>
      </c>
      <c r="B147" t="s">
        <v>1883</v>
      </c>
      <c r="C147" t="s">
        <v>2747</v>
      </c>
    </row>
    <row r="148" spans="1:3" x14ac:dyDescent="0.25">
      <c r="A148">
        <v>147</v>
      </c>
      <c r="B148" t="s">
        <v>701</v>
      </c>
      <c r="C148" t="s">
        <v>2748</v>
      </c>
    </row>
    <row r="149" spans="1:3" x14ac:dyDescent="0.25">
      <c r="A149">
        <v>148</v>
      </c>
      <c r="B149" t="s">
        <v>1222</v>
      </c>
      <c r="C149" t="s">
        <v>2749</v>
      </c>
    </row>
    <row r="150" spans="1:3" x14ac:dyDescent="0.25">
      <c r="A150">
        <v>149</v>
      </c>
      <c r="B150" t="s">
        <v>1010</v>
      </c>
      <c r="C150" t="s">
        <v>2750</v>
      </c>
    </row>
    <row r="151" spans="1:3" x14ac:dyDescent="0.25">
      <c r="A151">
        <v>150</v>
      </c>
      <c r="B151" t="s">
        <v>2751</v>
      </c>
      <c r="C151" t="s">
        <v>2752</v>
      </c>
    </row>
    <row r="152" spans="1:3" x14ac:dyDescent="0.25">
      <c r="A152">
        <v>151</v>
      </c>
      <c r="B152" t="s">
        <v>1216</v>
      </c>
      <c r="C152" t="s">
        <v>2753</v>
      </c>
    </row>
    <row r="153" spans="1:3" x14ac:dyDescent="0.25">
      <c r="A153">
        <v>152</v>
      </c>
      <c r="B153" t="s">
        <v>1894</v>
      </c>
      <c r="C153" t="s">
        <v>2754</v>
      </c>
    </row>
    <row r="154" spans="1:3" x14ac:dyDescent="0.25">
      <c r="A154">
        <v>153</v>
      </c>
      <c r="B154" t="s">
        <v>2755</v>
      </c>
      <c r="C154" t="s">
        <v>2756</v>
      </c>
    </row>
    <row r="155" spans="1:3" x14ac:dyDescent="0.25">
      <c r="A155">
        <v>154</v>
      </c>
      <c r="B155" t="s">
        <v>1241</v>
      </c>
      <c r="C155" t="s">
        <v>2757</v>
      </c>
    </row>
    <row r="156" spans="1:3" x14ac:dyDescent="0.25">
      <c r="A156">
        <v>155</v>
      </c>
      <c r="B156" t="s">
        <v>1057</v>
      </c>
      <c r="C156" t="s">
        <v>2758</v>
      </c>
    </row>
    <row r="157" spans="1:3" x14ac:dyDescent="0.25">
      <c r="A157">
        <v>156</v>
      </c>
      <c r="B157" t="s">
        <v>1065</v>
      </c>
      <c r="C157" t="s">
        <v>2759</v>
      </c>
    </row>
    <row r="158" spans="1:3" x14ac:dyDescent="0.25">
      <c r="A158">
        <v>157</v>
      </c>
      <c r="B158" t="s">
        <v>540</v>
      </c>
      <c r="C158" t="s">
        <v>2760</v>
      </c>
    </row>
    <row r="159" spans="1:3" x14ac:dyDescent="0.25">
      <c r="A159">
        <v>158</v>
      </c>
      <c r="B159" t="s">
        <v>1954</v>
      </c>
      <c r="C159" t="s">
        <v>2761</v>
      </c>
    </row>
    <row r="160" spans="1:3" x14ac:dyDescent="0.25">
      <c r="A160">
        <v>159</v>
      </c>
      <c r="B160" t="s">
        <v>2762</v>
      </c>
      <c r="C160" t="s">
        <v>2763</v>
      </c>
    </row>
    <row r="161" spans="1:3" x14ac:dyDescent="0.25">
      <c r="A161">
        <v>160</v>
      </c>
      <c r="B161" t="s">
        <v>1281</v>
      </c>
      <c r="C161" t="s">
        <v>2764</v>
      </c>
    </row>
    <row r="162" spans="1:3" x14ac:dyDescent="0.25">
      <c r="A162">
        <v>161</v>
      </c>
      <c r="B162" t="s">
        <v>973</v>
      </c>
      <c r="C162" t="s">
        <v>2765</v>
      </c>
    </row>
    <row r="163" spans="1:3" x14ac:dyDescent="0.25">
      <c r="A163">
        <v>162</v>
      </c>
      <c r="B163" t="s">
        <v>947</v>
      </c>
      <c r="C163" t="s">
        <v>2766</v>
      </c>
    </row>
    <row r="164" spans="1:3" x14ac:dyDescent="0.25">
      <c r="A164">
        <v>163</v>
      </c>
      <c r="B164" t="s">
        <v>2767</v>
      </c>
      <c r="C164" t="s">
        <v>2768</v>
      </c>
    </row>
    <row r="165" spans="1:3" x14ac:dyDescent="0.25">
      <c r="A165">
        <v>164</v>
      </c>
      <c r="B165" t="s">
        <v>1075</v>
      </c>
      <c r="C165" t="s">
        <v>2769</v>
      </c>
    </row>
    <row r="166" spans="1:3" x14ac:dyDescent="0.25">
      <c r="A166">
        <v>165</v>
      </c>
      <c r="B166" t="s">
        <v>1102</v>
      </c>
      <c r="C166" t="s">
        <v>2770</v>
      </c>
    </row>
    <row r="167" spans="1:3" x14ac:dyDescent="0.25">
      <c r="A167">
        <v>166</v>
      </c>
      <c r="B167" t="s">
        <v>1137</v>
      </c>
      <c r="C167" t="s">
        <v>2771</v>
      </c>
    </row>
    <row r="168" spans="1:3" x14ac:dyDescent="0.25">
      <c r="A168">
        <v>167</v>
      </c>
      <c r="B168" t="s">
        <v>2772</v>
      </c>
      <c r="C168" t="s">
        <v>2773</v>
      </c>
    </row>
    <row r="169" spans="1:3" x14ac:dyDescent="0.25">
      <c r="A169">
        <v>168</v>
      </c>
      <c r="B169" t="s">
        <v>1140</v>
      </c>
      <c r="C169" t="s">
        <v>2774</v>
      </c>
    </row>
    <row r="170" spans="1:3" x14ac:dyDescent="0.25">
      <c r="A170">
        <v>169</v>
      </c>
      <c r="B170" t="s">
        <v>2775</v>
      </c>
      <c r="C170" t="s">
        <v>2776</v>
      </c>
    </row>
    <row r="171" spans="1:3" x14ac:dyDescent="0.25">
      <c r="A171">
        <v>170</v>
      </c>
      <c r="B171" t="s">
        <v>1153</v>
      </c>
      <c r="C171" t="s">
        <v>2777</v>
      </c>
    </row>
    <row r="172" spans="1:3" x14ac:dyDescent="0.25">
      <c r="A172">
        <v>171</v>
      </c>
      <c r="B172" t="s">
        <v>1232</v>
      </c>
      <c r="C172" t="s">
        <v>2778</v>
      </c>
    </row>
    <row r="173" spans="1:3" x14ac:dyDescent="0.25">
      <c r="A173">
        <v>172</v>
      </c>
      <c r="B173" t="s">
        <v>1150</v>
      </c>
      <c r="C173" t="s">
        <v>2779</v>
      </c>
    </row>
    <row r="174" spans="1:3" x14ac:dyDescent="0.25">
      <c r="A174">
        <v>173</v>
      </c>
      <c r="B174" t="s">
        <v>1049</v>
      </c>
      <c r="C174" t="s">
        <v>2780</v>
      </c>
    </row>
    <row r="175" spans="1:3" x14ac:dyDescent="0.25">
      <c r="A175">
        <v>174</v>
      </c>
      <c r="B175" t="s">
        <v>1104</v>
      </c>
      <c r="C175" t="s">
        <v>2781</v>
      </c>
    </row>
    <row r="176" spans="1:3" x14ac:dyDescent="0.25">
      <c r="A176">
        <v>175</v>
      </c>
      <c r="B176" t="s">
        <v>2782</v>
      </c>
      <c r="C176" t="s">
        <v>2783</v>
      </c>
    </row>
    <row r="177" spans="1:3" x14ac:dyDescent="0.25">
      <c r="A177">
        <v>176</v>
      </c>
      <c r="B177" t="s">
        <v>2784</v>
      </c>
      <c r="C177" t="s">
        <v>2785</v>
      </c>
    </row>
    <row r="178" spans="1:3" x14ac:dyDescent="0.25">
      <c r="A178">
        <v>177</v>
      </c>
      <c r="B178" t="s">
        <v>564</v>
      </c>
      <c r="C178" t="s">
        <v>2786</v>
      </c>
    </row>
    <row r="179" spans="1:3" x14ac:dyDescent="0.25">
      <c r="A179">
        <v>178</v>
      </c>
      <c r="B179" t="s">
        <v>390</v>
      </c>
      <c r="C179" t="s">
        <v>2787</v>
      </c>
    </row>
    <row r="180" spans="1:3" x14ac:dyDescent="0.25">
      <c r="A180">
        <v>179</v>
      </c>
      <c r="B180" t="s">
        <v>2788</v>
      </c>
      <c r="C180" t="s">
        <v>2789</v>
      </c>
    </row>
    <row r="181" spans="1:3" x14ac:dyDescent="0.25">
      <c r="A181">
        <v>180</v>
      </c>
      <c r="B181" t="s">
        <v>2790</v>
      </c>
      <c r="C181" t="s">
        <v>2791</v>
      </c>
    </row>
    <row r="182" spans="1:3" x14ac:dyDescent="0.25">
      <c r="A182">
        <v>181</v>
      </c>
      <c r="B182" t="s">
        <v>2792</v>
      </c>
      <c r="C182" t="s">
        <v>2793</v>
      </c>
    </row>
    <row r="183" spans="1:3" x14ac:dyDescent="0.25">
      <c r="A183">
        <v>182</v>
      </c>
      <c r="B183" t="s">
        <v>2794</v>
      </c>
      <c r="C183" t="s">
        <v>2795</v>
      </c>
    </row>
    <row r="184" spans="1:3" x14ac:dyDescent="0.25">
      <c r="A184">
        <v>183</v>
      </c>
      <c r="B184" t="s">
        <v>512</v>
      </c>
      <c r="C184" t="s">
        <v>2796</v>
      </c>
    </row>
    <row r="185" spans="1:3" x14ac:dyDescent="0.25">
      <c r="A185">
        <v>184</v>
      </c>
      <c r="B185" t="s">
        <v>2797</v>
      </c>
      <c r="C185" t="s">
        <v>2798</v>
      </c>
    </row>
    <row r="186" spans="1:3" x14ac:dyDescent="0.25">
      <c r="A186">
        <v>185</v>
      </c>
      <c r="B186" t="s">
        <v>618</v>
      </c>
      <c r="C186" t="s">
        <v>2799</v>
      </c>
    </row>
    <row r="187" spans="1:3" x14ac:dyDescent="0.25">
      <c r="A187">
        <v>186</v>
      </c>
      <c r="B187" t="s">
        <v>402</v>
      </c>
      <c r="C187" t="s">
        <v>2800</v>
      </c>
    </row>
    <row r="188" spans="1:3" x14ac:dyDescent="0.25">
      <c r="A188">
        <v>187</v>
      </c>
      <c r="B188" t="s">
        <v>514</v>
      </c>
      <c r="C188" t="s">
        <v>2801</v>
      </c>
    </row>
    <row r="189" spans="1:3" x14ac:dyDescent="0.25">
      <c r="A189">
        <v>188</v>
      </c>
      <c r="B189" t="s">
        <v>404</v>
      </c>
      <c r="C189" t="s">
        <v>2802</v>
      </c>
    </row>
    <row r="190" spans="1:3" x14ac:dyDescent="0.25">
      <c r="A190">
        <v>189</v>
      </c>
      <c r="B190" t="s">
        <v>570</v>
      </c>
      <c r="C190" t="s">
        <v>2803</v>
      </c>
    </row>
    <row r="191" spans="1:3" x14ac:dyDescent="0.25">
      <c r="A191">
        <v>190</v>
      </c>
      <c r="B191" t="s">
        <v>406</v>
      </c>
      <c r="C191" t="s">
        <v>2804</v>
      </c>
    </row>
    <row r="192" spans="1:3" x14ac:dyDescent="0.25">
      <c r="A192">
        <v>191</v>
      </c>
      <c r="B192" t="s">
        <v>1304</v>
      </c>
      <c r="C192" t="s">
        <v>2805</v>
      </c>
    </row>
    <row r="193" spans="1:3" x14ac:dyDescent="0.25">
      <c r="A193">
        <v>192</v>
      </c>
      <c r="B193" t="s">
        <v>1025</v>
      </c>
      <c r="C193" t="s">
        <v>2806</v>
      </c>
    </row>
    <row r="194" spans="1:3" x14ac:dyDescent="0.25">
      <c r="A194">
        <v>193</v>
      </c>
      <c r="B194" t="s">
        <v>1893</v>
      </c>
      <c r="C194" t="s">
        <v>2807</v>
      </c>
    </row>
    <row r="195" spans="1:3" x14ac:dyDescent="0.25">
      <c r="A195">
        <v>194</v>
      </c>
      <c r="B195" t="s">
        <v>212</v>
      </c>
      <c r="C195" t="s">
        <v>2808</v>
      </c>
    </row>
    <row r="196" spans="1:3" x14ac:dyDescent="0.25">
      <c r="A196">
        <v>195</v>
      </c>
      <c r="B196" t="s">
        <v>1036</v>
      </c>
      <c r="C196" t="s">
        <v>2809</v>
      </c>
    </row>
    <row r="197" spans="1:3" x14ac:dyDescent="0.25">
      <c r="A197">
        <v>196</v>
      </c>
      <c r="B197" t="s">
        <v>2018</v>
      </c>
      <c r="C197" t="s">
        <v>2810</v>
      </c>
    </row>
    <row r="198" spans="1:3" x14ac:dyDescent="0.25">
      <c r="A198">
        <v>197</v>
      </c>
      <c r="B198" t="s">
        <v>146</v>
      </c>
      <c r="C198" t="s">
        <v>2811</v>
      </c>
    </row>
    <row r="199" spans="1:3" x14ac:dyDescent="0.25">
      <c r="A199">
        <v>198</v>
      </c>
      <c r="B199" t="s">
        <v>2812</v>
      </c>
      <c r="C199" t="s">
        <v>2813</v>
      </c>
    </row>
    <row r="200" spans="1:3" x14ac:dyDescent="0.25">
      <c r="A200">
        <v>199</v>
      </c>
      <c r="B200" t="s">
        <v>1302</v>
      </c>
      <c r="C200" t="s">
        <v>2814</v>
      </c>
    </row>
    <row r="201" spans="1:3" x14ac:dyDescent="0.25">
      <c r="A201">
        <v>200</v>
      </c>
      <c r="B201" t="s">
        <v>2815</v>
      </c>
      <c r="C201" t="s">
        <v>2816</v>
      </c>
    </row>
    <row r="202" spans="1:3" x14ac:dyDescent="0.25">
      <c r="A202">
        <v>201</v>
      </c>
      <c r="B202" t="s">
        <v>182</v>
      </c>
      <c r="C202" t="s">
        <v>2817</v>
      </c>
    </row>
    <row r="203" spans="1:3" x14ac:dyDescent="0.25">
      <c r="A203">
        <v>202</v>
      </c>
      <c r="B203" t="s">
        <v>1722</v>
      </c>
      <c r="C203" t="s">
        <v>2818</v>
      </c>
    </row>
    <row r="204" spans="1:3" x14ac:dyDescent="0.25">
      <c r="A204">
        <v>203</v>
      </c>
      <c r="B204" t="s">
        <v>9</v>
      </c>
      <c r="C204" t="s">
        <v>2819</v>
      </c>
    </row>
    <row r="205" spans="1:3" x14ac:dyDescent="0.25">
      <c r="A205">
        <v>204</v>
      </c>
      <c r="B205" t="s">
        <v>2820</v>
      </c>
      <c r="C205" t="s">
        <v>2821</v>
      </c>
    </row>
    <row r="206" spans="1:3" x14ac:dyDescent="0.25">
      <c r="A206">
        <v>205</v>
      </c>
      <c r="B206" t="s">
        <v>2822</v>
      </c>
      <c r="C206" t="s">
        <v>2823</v>
      </c>
    </row>
    <row r="207" spans="1:3" x14ac:dyDescent="0.25">
      <c r="A207">
        <v>206</v>
      </c>
      <c r="B207" t="s">
        <v>2824</v>
      </c>
      <c r="C207" t="s">
        <v>2825</v>
      </c>
    </row>
    <row r="208" spans="1:3" x14ac:dyDescent="0.25">
      <c r="A208">
        <v>207</v>
      </c>
      <c r="B208" t="s">
        <v>2259</v>
      </c>
      <c r="C208" t="s">
        <v>2826</v>
      </c>
    </row>
    <row r="209" spans="1:3" x14ac:dyDescent="0.25">
      <c r="A209">
        <v>208</v>
      </c>
      <c r="B209" t="s">
        <v>1606</v>
      </c>
      <c r="C209" t="s">
        <v>2827</v>
      </c>
    </row>
    <row r="210" spans="1:3" x14ac:dyDescent="0.25">
      <c r="A210">
        <v>209</v>
      </c>
      <c r="B210" t="s">
        <v>2828</v>
      </c>
      <c r="C210" t="s">
        <v>2829</v>
      </c>
    </row>
    <row r="211" spans="1:3" x14ac:dyDescent="0.25">
      <c r="A211">
        <v>210</v>
      </c>
      <c r="B211" t="s">
        <v>2830</v>
      </c>
      <c r="C211" t="s">
        <v>2831</v>
      </c>
    </row>
    <row r="212" spans="1:3" x14ac:dyDescent="0.25">
      <c r="A212">
        <v>211</v>
      </c>
      <c r="B212" t="s">
        <v>1625</v>
      </c>
      <c r="C212" t="s">
        <v>2832</v>
      </c>
    </row>
    <row r="213" spans="1:3" x14ac:dyDescent="0.25">
      <c r="A213">
        <v>212</v>
      </c>
      <c r="B213" t="s">
        <v>1931</v>
      </c>
      <c r="C213" t="s">
        <v>2833</v>
      </c>
    </row>
    <row r="214" spans="1:3" x14ac:dyDescent="0.25">
      <c r="A214">
        <v>213</v>
      </c>
      <c r="B214" t="s">
        <v>199</v>
      </c>
      <c r="C214" t="s">
        <v>2834</v>
      </c>
    </row>
    <row r="215" spans="1:3" x14ac:dyDescent="0.25">
      <c r="A215">
        <v>214</v>
      </c>
      <c r="B215" t="s">
        <v>1408</v>
      </c>
      <c r="C215" t="s">
        <v>2835</v>
      </c>
    </row>
    <row r="216" spans="1:3" x14ac:dyDescent="0.25">
      <c r="A216">
        <v>215</v>
      </c>
      <c r="B216" t="s">
        <v>2836</v>
      </c>
      <c r="C216" t="s">
        <v>2837</v>
      </c>
    </row>
    <row r="217" spans="1:3" x14ac:dyDescent="0.25">
      <c r="A217">
        <v>216</v>
      </c>
      <c r="B217" t="s">
        <v>119</v>
      </c>
      <c r="C217" t="s">
        <v>2838</v>
      </c>
    </row>
    <row r="218" spans="1:3" x14ac:dyDescent="0.25">
      <c r="A218">
        <v>217</v>
      </c>
      <c r="B218" t="s">
        <v>1693</v>
      </c>
      <c r="C218" t="s">
        <v>2839</v>
      </c>
    </row>
    <row r="219" spans="1:3" x14ac:dyDescent="0.25">
      <c r="A219">
        <v>218</v>
      </c>
      <c r="B219" t="s">
        <v>217</v>
      </c>
      <c r="C219" t="s">
        <v>2840</v>
      </c>
    </row>
    <row r="220" spans="1:3" x14ac:dyDescent="0.25">
      <c r="A220">
        <v>219</v>
      </c>
      <c r="B220" t="s">
        <v>2239</v>
      </c>
      <c r="C220" t="s">
        <v>2841</v>
      </c>
    </row>
    <row r="221" spans="1:3" x14ac:dyDescent="0.25">
      <c r="A221">
        <v>220</v>
      </c>
      <c r="B221" t="s">
        <v>640</v>
      </c>
      <c r="C221" t="s">
        <v>2842</v>
      </c>
    </row>
    <row r="222" spans="1:3" x14ac:dyDescent="0.25">
      <c r="A222">
        <v>221</v>
      </c>
      <c r="B222" t="s">
        <v>2843</v>
      </c>
      <c r="C222" t="s">
        <v>2844</v>
      </c>
    </row>
    <row r="223" spans="1:3" x14ac:dyDescent="0.25">
      <c r="A223">
        <v>222</v>
      </c>
      <c r="B223" t="s">
        <v>1904</v>
      </c>
      <c r="C223" t="s">
        <v>2845</v>
      </c>
    </row>
    <row r="224" spans="1:3" x14ac:dyDescent="0.25">
      <c r="A224">
        <v>223</v>
      </c>
      <c r="B224" t="s">
        <v>39</v>
      </c>
      <c r="C224" t="s">
        <v>2846</v>
      </c>
    </row>
    <row r="225" spans="1:3" x14ac:dyDescent="0.25">
      <c r="A225">
        <v>224</v>
      </c>
      <c r="B225" t="s">
        <v>2847</v>
      </c>
      <c r="C225" t="s">
        <v>2848</v>
      </c>
    </row>
    <row r="226" spans="1:3" x14ac:dyDescent="0.25">
      <c r="A226">
        <v>225</v>
      </c>
      <c r="B226" t="s">
        <v>1959</v>
      </c>
      <c r="C226" t="s">
        <v>2849</v>
      </c>
    </row>
    <row r="227" spans="1:3" x14ac:dyDescent="0.25">
      <c r="A227">
        <v>226</v>
      </c>
      <c r="B227" t="s">
        <v>1831</v>
      </c>
      <c r="C227" t="s">
        <v>2850</v>
      </c>
    </row>
    <row r="228" spans="1:3" x14ac:dyDescent="0.25">
      <c r="A228">
        <v>227</v>
      </c>
      <c r="B228" t="s">
        <v>2851</v>
      </c>
      <c r="C228" t="s">
        <v>2852</v>
      </c>
    </row>
    <row r="229" spans="1:3" x14ac:dyDescent="0.25">
      <c r="A229">
        <v>228</v>
      </c>
      <c r="B229" t="s">
        <v>2853</v>
      </c>
      <c r="C229" t="s">
        <v>2854</v>
      </c>
    </row>
    <row r="230" spans="1:3" x14ac:dyDescent="0.25">
      <c r="A230">
        <v>229</v>
      </c>
      <c r="B230" t="s">
        <v>1845</v>
      </c>
      <c r="C230" t="s">
        <v>2855</v>
      </c>
    </row>
    <row r="231" spans="1:3" x14ac:dyDescent="0.25">
      <c r="A231">
        <v>230</v>
      </c>
      <c r="B231" t="s">
        <v>1270</v>
      </c>
      <c r="C231" t="s">
        <v>2856</v>
      </c>
    </row>
    <row r="232" spans="1:3" x14ac:dyDescent="0.25">
      <c r="A232">
        <v>231</v>
      </c>
      <c r="B232" t="s">
        <v>1922</v>
      </c>
      <c r="C232" t="s">
        <v>2857</v>
      </c>
    </row>
    <row r="233" spans="1:3" x14ac:dyDescent="0.25">
      <c r="A233">
        <v>232</v>
      </c>
      <c r="B233" t="s">
        <v>1863</v>
      </c>
      <c r="C233" t="s">
        <v>2858</v>
      </c>
    </row>
    <row r="234" spans="1:3" x14ac:dyDescent="0.25">
      <c r="A234">
        <v>233</v>
      </c>
      <c r="B234" t="s">
        <v>1994</v>
      </c>
      <c r="C234" t="s">
        <v>2859</v>
      </c>
    </row>
    <row r="235" spans="1:3" x14ac:dyDescent="0.25">
      <c r="A235">
        <v>234</v>
      </c>
      <c r="B235" t="s">
        <v>944</v>
      </c>
      <c r="C235" t="s">
        <v>2860</v>
      </c>
    </row>
    <row r="236" spans="1:3" x14ac:dyDescent="0.25">
      <c r="A236">
        <v>235</v>
      </c>
      <c r="B236" t="s">
        <v>2164</v>
      </c>
      <c r="C236" t="s">
        <v>2861</v>
      </c>
    </row>
    <row r="237" spans="1:3" x14ac:dyDescent="0.25">
      <c r="A237">
        <v>236</v>
      </c>
      <c r="B237" t="s">
        <v>2862</v>
      </c>
      <c r="C237" t="s">
        <v>2863</v>
      </c>
    </row>
    <row r="238" spans="1:3" x14ac:dyDescent="0.25">
      <c r="A238">
        <v>237</v>
      </c>
      <c r="B238" t="s">
        <v>2864</v>
      </c>
      <c r="C238" t="s">
        <v>2865</v>
      </c>
    </row>
    <row r="239" spans="1:3" x14ac:dyDescent="0.25">
      <c r="A239">
        <v>238</v>
      </c>
      <c r="B239" t="s">
        <v>2866</v>
      </c>
      <c r="C239" t="s">
        <v>2867</v>
      </c>
    </row>
    <row r="240" spans="1:3" x14ac:dyDescent="0.25">
      <c r="A240">
        <v>239</v>
      </c>
      <c r="B240" t="s">
        <v>2868</v>
      </c>
      <c r="C240" t="s">
        <v>2869</v>
      </c>
    </row>
    <row r="241" spans="1:3" x14ac:dyDescent="0.25">
      <c r="A241">
        <v>240</v>
      </c>
      <c r="B241" t="s">
        <v>1878</v>
      </c>
      <c r="C241" t="s">
        <v>2870</v>
      </c>
    </row>
    <row r="242" spans="1:3" x14ac:dyDescent="0.25">
      <c r="A242">
        <v>241</v>
      </c>
      <c r="B242" t="s">
        <v>2871</v>
      </c>
      <c r="C242" t="s">
        <v>2872</v>
      </c>
    </row>
    <row r="243" spans="1:3" x14ac:dyDescent="0.25">
      <c r="A243">
        <v>242</v>
      </c>
      <c r="B243" t="s">
        <v>2167</v>
      </c>
      <c r="C243" t="s">
        <v>2873</v>
      </c>
    </row>
    <row r="244" spans="1:3" x14ac:dyDescent="0.25">
      <c r="A244">
        <v>243</v>
      </c>
      <c r="B244" t="s">
        <v>2874</v>
      </c>
      <c r="C244" t="s">
        <v>2875</v>
      </c>
    </row>
    <row r="245" spans="1:3" x14ac:dyDescent="0.25">
      <c r="A245">
        <v>244</v>
      </c>
      <c r="B245" t="s">
        <v>1874</v>
      </c>
      <c r="C245" t="s">
        <v>2876</v>
      </c>
    </row>
    <row r="246" spans="1:3" x14ac:dyDescent="0.25">
      <c r="A246">
        <v>245</v>
      </c>
      <c r="B246" t="s">
        <v>1843</v>
      </c>
      <c r="C246" t="s">
        <v>2877</v>
      </c>
    </row>
    <row r="247" spans="1:3" x14ac:dyDescent="0.25">
      <c r="A247">
        <v>246</v>
      </c>
      <c r="B247" t="s">
        <v>2878</v>
      </c>
      <c r="C247" t="s">
        <v>2879</v>
      </c>
    </row>
    <row r="248" spans="1:3" x14ac:dyDescent="0.25">
      <c r="A248">
        <v>247</v>
      </c>
      <c r="B248" t="s">
        <v>275</v>
      </c>
      <c r="C248" t="s">
        <v>2880</v>
      </c>
    </row>
    <row r="249" spans="1:3" x14ac:dyDescent="0.25">
      <c r="A249">
        <v>248</v>
      </c>
      <c r="B249" t="s">
        <v>1797</v>
      </c>
      <c r="C249" t="s">
        <v>2881</v>
      </c>
    </row>
    <row r="250" spans="1:3" x14ac:dyDescent="0.25">
      <c r="A250">
        <v>249</v>
      </c>
      <c r="B250" t="s">
        <v>2882</v>
      </c>
      <c r="C250" t="s">
        <v>2883</v>
      </c>
    </row>
    <row r="251" spans="1:3" x14ac:dyDescent="0.25">
      <c r="A251">
        <v>250</v>
      </c>
      <c r="B251" t="s">
        <v>999</v>
      </c>
      <c r="C251" t="s">
        <v>2884</v>
      </c>
    </row>
    <row r="252" spans="1:3" x14ac:dyDescent="0.25">
      <c r="A252">
        <v>251</v>
      </c>
      <c r="B252" t="s">
        <v>2885</v>
      </c>
      <c r="C252" t="s">
        <v>2886</v>
      </c>
    </row>
    <row r="253" spans="1:3" x14ac:dyDescent="0.25">
      <c r="A253">
        <v>252</v>
      </c>
      <c r="B253" t="s">
        <v>2887</v>
      </c>
      <c r="C253" t="s">
        <v>2888</v>
      </c>
    </row>
    <row r="254" spans="1:3" x14ac:dyDescent="0.25">
      <c r="A254">
        <v>253</v>
      </c>
      <c r="B254" t="s">
        <v>1875</v>
      </c>
      <c r="C254" t="s">
        <v>2889</v>
      </c>
    </row>
    <row r="255" spans="1:3" x14ac:dyDescent="0.25">
      <c r="A255">
        <v>254</v>
      </c>
      <c r="B255" t="s">
        <v>1991</v>
      </c>
      <c r="C255" t="s">
        <v>2890</v>
      </c>
    </row>
    <row r="256" spans="1:3" x14ac:dyDescent="0.25">
      <c r="A256">
        <v>255</v>
      </c>
      <c r="B256" t="s">
        <v>2891</v>
      </c>
      <c r="C256" t="s">
        <v>2892</v>
      </c>
    </row>
    <row r="257" spans="1:3" x14ac:dyDescent="0.25">
      <c r="A257">
        <v>256</v>
      </c>
      <c r="B257" t="s">
        <v>1800</v>
      </c>
      <c r="C257" t="s">
        <v>2893</v>
      </c>
    </row>
    <row r="258" spans="1:3" x14ac:dyDescent="0.25">
      <c r="A258">
        <v>257</v>
      </c>
      <c r="B258" t="s">
        <v>2894</v>
      </c>
      <c r="C258" t="s">
        <v>2895</v>
      </c>
    </row>
    <row r="259" spans="1:3" x14ac:dyDescent="0.25">
      <c r="A259">
        <v>258</v>
      </c>
      <c r="B259" t="s">
        <v>2896</v>
      </c>
      <c r="C259" t="s">
        <v>2897</v>
      </c>
    </row>
    <row r="260" spans="1:3" x14ac:dyDescent="0.25">
      <c r="A260">
        <v>259</v>
      </c>
      <c r="B260" t="s">
        <v>2898</v>
      </c>
      <c r="C260" t="s">
        <v>2899</v>
      </c>
    </row>
    <row r="261" spans="1:3" x14ac:dyDescent="0.25">
      <c r="A261">
        <v>260</v>
      </c>
      <c r="B261" t="s">
        <v>2900</v>
      </c>
      <c r="C261" t="s">
        <v>2901</v>
      </c>
    </row>
    <row r="262" spans="1:3" x14ac:dyDescent="0.25">
      <c r="A262">
        <v>261</v>
      </c>
      <c r="B262" t="s">
        <v>2902</v>
      </c>
      <c r="C262" t="s">
        <v>2903</v>
      </c>
    </row>
    <row r="263" spans="1:3" x14ac:dyDescent="0.25">
      <c r="A263">
        <v>262</v>
      </c>
      <c r="B263" t="s">
        <v>2904</v>
      </c>
      <c r="C263" t="s">
        <v>2905</v>
      </c>
    </row>
    <row r="264" spans="1:3" x14ac:dyDescent="0.25">
      <c r="A264">
        <v>263</v>
      </c>
      <c r="B264" t="s">
        <v>967</v>
      </c>
      <c r="C264" t="s">
        <v>2906</v>
      </c>
    </row>
    <row r="265" spans="1:3" x14ac:dyDescent="0.25">
      <c r="A265">
        <v>264</v>
      </c>
      <c r="B265" t="s">
        <v>1866</v>
      </c>
      <c r="C265" t="s">
        <v>2907</v>
      </c>
    </row>
    <row r="266" spans="1:3" x14ac:dyDescent="0.25">
      <c r="A266">
        <v>265</v>
      </c>
      <c r="B266" t="s">
        <v>255</v>
      </c>
      <c r="C266" t="s">
        <v>2908</v>
      </c>
    </row>
    <row r="267" spans="1:3" x14ac:dyDescent="0.25">
      <c r="A267">
        <v>266</v>
      </c>
      <c r="B267" t="s">
        <v>1769</v>
      </c>
      <c r="C267" t="s">
        <v>2909</v>
      </c>
    </row>
    <row r="268" spans="1:3" x14ac:dyDescent="0.25">
      <c r="A268">
        <v>267</v>
      </c>
      <c r="B268" t="s">
        <v>2910</v>
      </c>
      <c r="C268" t="s">
        <v>2911</v>
      </c>
    </row>
    <row r="269" spans="1:3" x14ac:dyDescent="0.25">
      <c r="A269">
        <v>268</v>
      </c>
      <c r="B269" t="s">
        <v>2912</v>
      </c>
      <c r="C269" t="s">
        <v>2913</v>
      </c>
    </row>
    <row r="270" spans="1:3" x14ac:dyDescent="0.25">
      <c r="A270">
        <v>269</v>
      </c>
      <c r="B270" t="s">
        <v>2914</v>
      </c>
      <c r="C270" t="s">
        <v>2915</v>
      </c>
    </row>
    <row r="271" spans="1:3" x14ac:dyDescent="0.25">
      <c r="A271">
        <v>270</v>
      </c>
      <c r="B271" t="s">
        <v>1828</v>
      </c>
      <c r="C271" t="s">
        <v>2916</v>
      </c>
    </row>
    <row r="272" spans="1:3" x14ac:dyDescent="0.25">
      <c r="A272">
        <v>271</v>
      </c>
      <c r="B272" t="s">
        <v>2917</v>
      </c>
      <c r="C272" t="s">
        <v>2918</v>
      </c>
    </row>
    <row r="273" spans="1:3" x14ac:dyDescent="0.25">
      <c r="A273">
        <v>272</v>
      </c>
      <c r="B273" t="s">
        <v>2919</v>
      </c>
      <c r="C273" t="s">
        <v>2920</v>
      </c>
    </row>
    <row r="274" spans="1:3" x14ac:dyDescent="0.25">
      <c r="A274">
        <v>273</v>
      </c>
      <c r="B274" t="s">
        <v>2921</v>
      </c>
      <c r="C274" t="s">
        <v>2922</v>
      </c>
    </row>
    <row r="275" spans="1:3" x14ac:dyDescent="0.25">
      <c r="A275">
        <v>274</v>
      </c>
      <c r="B275" t="s">
        <v>2923</v>
      </c>
      <c r="C275" t="s">
        <v>2924</v>
      </c>
    </row>
    <row r="276" spans="1:3" x14ac:dyDescent="0.25">
      <c r="A276">
        <v>275</v>
      </c>
      <c r="B276" t="s">
        <v>2925</v>
      </c>
      <c r="C276" t="s">
        <v>2926</v>
      </c>
    </row>
    <row r="277" spans="1:3" x14ac:dyDescent="0.25">
      <c r="A277">
        <v>276</v>
      </c>
      <c r="B277" t="s">
        <v>2927</v>
      </c>
      <c r="C277" t="s">
        <v>2928</v>
      </c>
    </row>
    <row r="278" spans="1:3" x14ac:dyDescent="0.25">
      <c r="A278">
        <v>277</v>
      </c>
      <c r="B278" t="s">
        <v>478</v>
      </c>
      <c r="C278" t="s">
        <v>2929</v>
      </c>
    </row>
    <row r="279" spans="1:3" x14ac:dyDescent="0.25">
      <c r="A279">
        <v>278</v>
      </c>
      <c r="B279" t="s">
        <v>2930</v>
      </c>
      <c r="C279" t="s">
        <v>2931</v>
      </c>
    </row>
    <row r="280" spans="1:3" x14ac:dyDescent="0.25">
      <c r="A280">
        <v>279</v>
      </c>
      <c r="B280" t="s">
        <v>2932</v>
      </c>
      <c r="C280" t="s">
        <v>2933</v>
      </c>
    </row>
    <row r="281" spans="1:3" x14ac:dyDescent="0.25">
      <c r="A281">
        <v>280</v>
      </c>
      <c r="B281" t="s">
        <v>1947</v>
      </c>
      <c r="C281" t="s">
        <v>2934</v>
      </c>
    </row>
    <row r="282" spans="1:3" x14ac:dyDescent="0.25">
      <c r="A282">
        <v>281</v>
      </c>
      <c r="B282" t="s">
        <v>2012</v>
      </c>
      <c r="C282" t="s">
        <v>2935</v>
      </c>
    </row>
    <row r="283" spans="1:3" x14ac:dyDescent="0.25">
      <c r="A283">
        <v>282</v>
      </c>
      <c r="B283" t="s">
        <v>1011</v>
      </c>
      <c r="C283" t="s">
        <v>2936</v>
      </c>
    </row>
    <row r="284" spans="1:3" x14ac:dyDescent="0.25">
      <c r="A284">
        <v>283</v>
      </c>
      <c r="B284" t="s">
        <v>1836</v>
      </c>
      <c r="C284" t="s">
        <v>2937</v>
      </c>
    </row>
    <row r="285" spans="1:3" x14ac:dyDescent="0.25">
      <c r="A285">
        <v>284</v>
      </c>
      <c r="B285" t="s">
        <v>2938</v>
      </c>
      <c r="C285" t="s">
        <v>2939</v>
      </c>
    </row>
    <row r="286" spans="1:3" x14ac:dyDescent="0.25">
      <c r="A286">
        <v>285</v>
      </c>
      <c r="B286" t="s">
        <v>2940</v>
      </c>
      <c r="C286" t="s">
        <v>2941</v>
      </c>
    </row>
    <row r="287" spans="1:3" x14ac:dyDescent="0.25">
      <c r="A287">
        <v>286</v>
      </c>
      <c r="B287" t="s">
        <v>2942</v>
      </c>
      <c r="C287" t="s">
        <v>2943</v>
      </c>
    </row>
    <row r="288" spans="1:3" x14ac:dyDescent="0.25">
      <c r="A288">
        <v>287</v>
      </c>
      <c r="B288" t="s">
        <v>2944</v>
      </c>
      <c r="C288" t="s">
        <v>2945</v>
      </c>
    </row>
    <row r="289" spans="1:3" x14ac:dyDescent="0.25">
      <c r="A289">
        <v>288</v>
      </c>
      <c r="B289" t="s">
        <v>472</v>
      </c>
      <c r="C289" t="s">
        <v>2946</v>
      </c>
    </row>
    <row r="290" spans="1:3" x14ac:dyDescent="0.25">
      <c r="A290">
        <v>289</v>
      </c>
      <c r="B290" t="s">
        <v>2947</v>
      </c>
      <c r="C290" t="s">
        <v>2948</v>
      </c>
    </row>
    <row r="291" spans="1:3" x14ac:dyDescent="0.25">
      <c r="A291">
        <v>290</v>
      </c>
      <c r="B291" t="s">
        <v>2949</v>
      </c>
      <c r="C291" t="s">
        <v>2950</v>
      </c>
    </row>
    <row r="292" spans="1:3" x14ac:dyDescent="0.25">
      <c r="A292">
        <v>291</v>
      </c>
      <c r="B292" t="s">
        <v>2951</v>
      </c>
      <c r="C292" t="s">
        <v>2952</v>
      </c>
    </row>
    <row r="293" spans="1:3" x14ac:dyDescent="0.25">
      <c r="A293">
        <v>292</v>
      </c>
      <c r="B293" t="s">
        <v>2953</v>
      </c>
      <c r="C293" t="s">
        <v>2954</v>
      </c>
    </row>
    <row r="294" spans="1:3" x14ac:dyDescent="0.25">
      <c r="A294">
        <v>293</v>
      </c>
      <c r="B294" t="s">
        <v>1882</v>
      </c>
      <c r="C294" t="s">
        <v>2955</v>
      </c>
    </row>
    <row r="295" spans="1:3" x14ac:dyDescent="0.25">
      <c r="A295">
        <v>294</v>
      </c>
      <c r="B295" t="s">
        <v>1964</v>
      </c>
      <c r="C295" t="s">
        <v>2956</v>
      </c>
    </row>
    <row r="296" spans="1:3" x14ac:dyDescent="0.25">
      <c r="A296">
        <v>295</v>
      </c>
      <c r="B296" t="s">
        <v>2957</v>
      </c>
      <c r="C296" t="s">
        <v>2958</v>
      </c>
    </row>
    <row r="297" spans="1:3" x14ac:dyDescent="0.25">
      <c r="A297">
        <v>296</v>
      </c>
      <c r="B297" t="s">
        <v>1966</v>
      </c>
      <c r="C297" t="s">
        <v>2959</v>
      </c>
    </row>
    <row r="298" spans="1:3" x14ac:dyDescent="0.25">
      <c r="A298">
        <v>297</v>
      </c>
      <c r="B298" t="s">
        <v>2960</v>
      </c>
      <c r="C298" t="s">
        <v>2961</v>
      </c>
    </row>
    <row r="299" spans="1:3" x14ac:dyDescent="0.25">
      <c r="A299">
        <v>298</v>
      </c>
      <c r="B299" t="s">
        <v>1122</v>
      </c>
      <c r="C299" t="s">
        <v>2962</v>
      </c>
    </row>
    <row r="300" spans="1:3" x14ac:dyDescent="0.25">
      <c r="A300">
        <v>299</v>
      </c>
      <c r="B300" t="s">
        <v>2963</v>
      </c>
      <c r="C300" t="s">
        <v>2964</v>
      </c>
    </row>
    <row r="301" spans="1:3" x14ac:dyDescent="0.25">
      <c r="A301">
        <v>300</v>
      </c>
      <c r="B301" t="s">
        <v>2965</v>
      </c>
      <c r="C301" t="s">
        <v>2966</v>
      </c>
    </row>
    <row r="302" spans="1:3" x14ac:dyDescent="0.25">
      <c r="A302">
        <v>301</v>
      </c>
      <c r="B302" t="s">
        <v>1027</v>
      </c>
      <c r="C302" t="s">
        <v>2967</v>
      </c>
    </row>
    <row r="303" spans="1:3" x14ac:dyDescent="0.25">
      <c r="A303">
        <v>302</v>
      </c>
      <c r="B303" t="s">
        <v>1971</v>
      </c>
      <c r="C303" t="s">
        <v>2968</v>
      </c>
    </row>
    <row r="304" spans="1:3" x14ac:dyDescent="0.25">
      <c r="A304">
        <v>303</v>
      </c>
      <c r="B304" t="s">
        <v>2969</v>
      </c>
      <c r="C304" t="s">
        <v>2970</v>
      </c>
    </row>
    <row r="305" spans="1:3" x14ac:dyDescent="0.25">
      <c r="A305">
        <v>304</v>
      </c>
      <c r="B305" t="s">
        <v>2971</v>
      </c>
      <c r="C305" t="s">
        <v>2972</v>
      </c>
    </row>
    <row r="306" spans="1:3" x14ac:dyDescent="0.25">
      <c r="A306">
        <v>305</v>
      </c>
      <c r="B306" t="s">
        <v>2973</v>
      </c>
      <c r="C306" t="s">
        <v>2974</v>
      </c>
    </row>
    <row r="307" spans="1:3" x14ac:dyDescent="0.25">
      <c r="A307">
        <v>306</v>
      </c>
      <c r="B307" t="s">
        <v>2975</v>
      </c>
      <c r="C307" t="s">
        <v>2976</v>
      </c>
    </row>
    <row r="308" spans="1:3" x14ac:dyDescent="0.25">
      <c r="A308">
        <v>307</v>
      </c>
      <c r="B308" t="s">
        <v>2977</v>
      </c>
      <c r="C308" t="s">
        <v>2978</v>
      </c>
    </row>
    <row r="309" spans="1:3" x14ac:dyDescent="0.25">
      <c r="A309">
        <v>308</v>
      </c>
      <c r="B309" t="s">
        <v>2979</v>
      </c>
      <c r="C309" t="s">
        <v>2980</v>
      </c>
    </row>
    <row r="310" spans="1:3" x14ac:dyDescent="0.25">
      <c r="A310">
        <v>309</v>
      </c>
      <c r="B310" t="s">
        <v>2981</v>
      </c>
      <c r="C310" t="s">
        <v>2982</v>
      </c>
    </row>
    <row r="311" spans="1:3" x14ac:dyDescent="0.25">
      <c r="A311">
        <v>310</v>
      </c>
      <c r="B311" t="s">
        <v>875</v>
      </c>
      <c r="C311" t="s">
        <v>2983</v>
      </c>
    </row>
    <row r="312" spans="1:3" x14ac:dyDescent="0.25">
      <c r="A312">
        <v>311</v>
      </c>
      <c r="B312" t="s">
        <v>1203</v>
      </c>
      <c r="C312" t="s">
        <v>2984</v>
      </c>
    </row>
    <row r="313" spans="1:3" x14ac:dyDescent="0.25">
      <c r="A313">
        <v>312</v>
      </c>
      <c r="B313" t="s">
        <v>2985</v>
      </c>
      <c r="C313" t="s">
        <v>2986</v>
      </c>
    </row>
    <row r="314" spans="1:3" x14ac:dyDescent="0.25">
      <c r="A314">
        <v>313</v>
      </c>
      <c r="B314" t="s">
        <v>2987</v>
      </c>
      <c r="C314" t="s">
        <v>2988</v>
      </c>
    </row>
    <row r="315" spans="1:3" x14ac:dyDescent="0.25">
      <c r="A315">
        <v>314</v>
      </c>
      <c r="B315" t="s">
        <v>1571</v>
      </c>
      <c r="C315" t="s">
        <v>2989</v>
      </c>
    </row>
    <row r="316" spans="1:3" x14ac:dyDescent="0.25">
      <c r="A316">
        <v>315</v>
      </c>
      <c r="B316" t="s">
        <v>2990</v>
      </c>
      <c r="C316" t="s">
        <v>2991</v>
      </c>
    </row>
    <row r="317" spans="1:3" x14ac:dyDescent="0.25">
      <c r="A317">
        <v>316</v>
      </c>
      <c r="B317" t="s">
        <v>2992</v>
      </c>
      <c r="C317" t="s">
        <v>2993</v>
      </c>
    </row>
    <row r="318" spans="1:3" x14ac:dyDescent="0.25">
      <c r="A318">
        <v>317</v>
      </c>
      <c r="B318" t="s">
        <v>487</v>
      </c>
      <c r="C318" t="s">
        <v>2994</v>
      </c>
    </row>
    <row r="319" spans="1:3" x14ac:dyDescent="0.25">
      <c r="A319">
        <v>318</v>
      </c>
      <c r="B319" t="s">
        <v>2995</v>
      </c>
      <c r="C319" t="s">
        <v>2996</v>
      </c>
    </row>
    <row r="320" spans="1:3" x14ac:dyDescent="0.25">
      <c r="A320">
        <v>319</v>
      </c>
      <c r="B320" t="s">
        <v>4</v>
      </c>
      <c r="C320" t="s">
        <v>2997</v>
      </c>
    </row>
    <row r="321" spans="1:3" x14ac:dyDescent="0.25">
      <c r="A321">
        <v>320</v>
      </c>
      <c r="B321" t="s">
        <v>2998</v>
      </c>
      <c r="C321" t="s">
        <v>2999</v>
      </c>
    </row>
    <row r="322" spans="1:3" x14ac:dyDescent="0.25">
      <c r="A322">
        <v>321</v>
      </c>
      <c r="B322" t="s">
        <v>3000</v>
      </c>
      <c r="C322" t="s">
        <v>3001</v>
      </c>
    </row>
    <row r="323" spans="1:3" x14ac:dyDescent="0.25">
      <c r="A323">
        <v>322</v>
      </c>
      <c r="B323" t="s">
        <v>1938</v>
      </c>
      <c r="C323" t="s">
        <v>3002</v>
      </c>
    </row>
    <row r="324" spans="1:3" x14ac:dyDescent="0.25">
      <c r="A324">
        <v>323</v>
      </c>
      <c r="B324" t="s">
        <v>707</v>
      </c>
      <c r="C324" t="s">
        <v>3003</v>
      </c>
    </row>
    <row r="325" spans="1:3" x14ac:dyDescent="0.25">
      <c r="A325">
        <v>324</v>
      </c>
      <c r="B325" t="s">
        <v>3004</v>
      </c>
      <c r="C325" t="s">
        <v>3005</v>
      </c>
    </row>
    <row r="326" spans="1:3" x14ac:dyDescent="0.25">
      <c r="A326">
        <v>325</v>
      </c>
      <c r="B326" t="s">
        <v>1387</v>
      </c>
      <c r="C326" t="s">
        <v>3006</v>
      </c>
    </row>
    <row r="327" spans="1:3" x14ac:dyDescent="0.25">
      <c r="A327">
        <v>326</v>
      </c>
      <c r="B327" t="s">
        <v>3007</v>
      </c>
      <c r="C327" t="s">
        <v>3008</v>
      </c>
    </row>
    <row r="328" spans="1:3" x14ac:dyDescent="0.25">
      <c r="A328">
        <v>327</v>
      </c>
      <c r="B328" t="s">
        <v>3009</v>
      </c>
      <c r="C328" t="s">
        <v>3010</v>
      </c>
    </row>
    <row r="329" spans="1:3" x14ac:dyDescent="0.25">
      <c r="A329">
        <v>328</v>
      </c>
      <c r="B329" t="s">
        <v>3011</v>
      </c>
      <c r="C329" t="s">
        <v>3012</v>
      </c>
    </row>
    <row r="330" spans="1:3" x14ac:dyDescent="0.25">
      <c r="A330">
        <v>329</v>
      </c>
      <c r="B330" t="s">
        <v>1844</v>
      </c>
      <c r="C330" t="s">
        <v>3013</v>
      </c>
    </row>
    <row r="331" spans="1:3" x14ac:dyDescent="0.25">
      <c r="A331">
        <v>330</v>
      </c>
      <c r="B331" t="s">
        <v>3014</v>
      </c>
      <c r="C331" t="s">
        <v>3015</v>
      </c>
    </row>
    <row r="332" spans="1:3" x14ac:dyDescent="0.25">
      <c r="A332">
        <v>331</v>
      </c>
      <c r="B332" t="s">
        <v>3016</v>
      </c>
      <c r="C332" t="s">
        <v>3017</v>
      </c>
    </row>
    <row r="333" spans="1:3" x14ac:dyDescent="0.25">
      <c r="A333">
        <v>332</v>
      </c>
      <c r="B333" t="s">
        <v>3018</v>
      </c>
      <c r="C333" t="s">
        <v>3019</v>
      </c>
    </row>
    <row r="334" spans="1:3" x14ac:dyDescent="0.25">
      <c r="A334">
        <v>333</v>
      </c>
      <c r="B334" t="s">
        <v>3020</v>
      </c>
      <c r="C334" t="s">
        <v>3021</v>
      </c>
    </row>
    <row r="335" spans="1:3" x14ac:dyDescent="0.25">
      <c r="A335">
        <v>334</v>
      </c>
      <c r="B335" t="s">
        <v>3022</v>
      </c>
      <c r="C335" t="s">
        <v>3023</v>
      </c>
    </row>
    <row r="336" spans="1:3" x14ac:dyDescent="0.25">
      <c r="A336">
        <v>335</v>
      </c>
      <c r="B336" t="s">
        <v>3024</v>
      </c>
      <c r="C336" t="s">
        <v>3025</v>
      </c>
    </row>
    <row r="337" spans="1:3" x14ac:dyDescent="0.25">
      <c r="A337">
        <v>336</v>
      </c>
      <c r="B337" t="s">
        <v>3026</v>
      </c>
      <c r="C337" t="s">
        <v>3027</v>
      </c>
    </row>
    <row r="338" spans="1:3" x14ac:dyDescent="0.25">
      <c r="A338">
        <v>337</v>
      </c>
      <c r="B338" t="s">
        <v>1272</v>
      </c>
      <c r="C338" t="s">
        <v>3028</v>
      </c>
    </row>
    <row r="339" spans="1:3" x14ac:dyDescent="0.25">
      <c r="A339">
        <v>338</v>
      </c>
      <c r="B339" t="s">
        <v>1033</v>
      </c>
      <c r="C339" t="s">
        <v>3029</v>
      </c>
    </row>
    <row r="340" spans="1:3" x14ac:dyDescent="0.25">
      <c r="A340">
        <v>339</v>
      </c>
      <c r="B340" t="s">
        <v>3030</v>
      </c>
      <c r="C340" t="s">
        <v>3031</v>
      </c>
    </row>
    <row r="341" spans="1:3" x14ac:dyDescent="0.25">
      <c r="A341">
        <v>340</v>
      </c>
      <c r="B341" t="s">
        <v>1895</v>
      </c>
      <c r="C341" t="s">
        <v>3032</v>
      </c>
    </row>
    <row r="342" spans="1:3" x14ac:dyDescent="0.25">
      <c r="A342">
        <v>341</v>
      </c>
      <c r="B342" t="s">
        <v>3033</v>
      </c>
      <c r="C342" t="s">
        <v>3034</v>
      </c>
    </row>
    <row r="343" spans="1:3" x14ac:dyDescent="0.25">
      <c r="A343">
        <v>342</v>
      </c>
      <c r="B343" t="s">
        <v>172</v>
      </c>
      <c r="C343" t="s">
        <v>3035</v>
      </c>
    </row>
    <row r="344" spans="1:3" x14ac:dyDescent="0.25">
      <c r="A344">
        <v>343</v>
      </c>
      <c r="B344" t="s">
        <v>3036</v>
      </c>
      <c r="C344" t="s">
        <v>3037</v>
      </c>
    </row>
    <row r="345" spans="1:3" x14ac:dyDescent="0.25">
      <c r="A345">
        <v>344</v>
      </c>
      <c r="B345" t="s">
        <v>1619</v>
      </c>
      <c r="C345" t="s">
        <v>3038</v>
      </c>
    </row>
    <row r="346" spans="1:3" x14ac:dyDescent="0.25">
      <c r="A346">
        <v>345</v>
      </c>
      <c r="B346" t="s">
        <v>1944</v>
      </c>
      <c r="C346" t="s">
        <v>3039</v>
      </c>
    </row>
    <row r="347" spans="1:3" x14ac:dyDescent="0.25">
      <c r="A347">
        <v>346</v>
      </c>
      <c r="B347" t="s">
        <v>3040</v>
      </c>
      <c r="C347" t="s">
        <v>3041</v>
      </c>
    </row>
    <row r="348" spans="1:3" x14ac:dyDescent="0.25">
      <c r="A348">
        <v>347</v>
      </c>
      <c r="B348" t="s">
        <v>3042</v>
      </c>
      <c r="C348" t="s">
        <v>3043</v>
      </c>
    </row>
    <row r="349" spans="1:3" x14ac:dyDescent="0.25">
      <c r="A349">
        <v>348</v>
      </c>
      <c r="B349" t="s">
        <v>1198</v>
      </c>
      <c r="C349" t="s">
        <v>3044</v>
      </c>
    </row>
    <row r="350" spans="1:3" x14ac:dyDescent="0.25">
      <c r="A350">
        <v>349</v>
      </c>
      <c r="B350" t="s">
        <v>1969</v>
      </c>
      <c r="C350" t="s">
        <v>3045</v>
      </c>
    </row>
    <row r="351" spans="1:3" x14ac:dyDescent="0.25">
      <c r="A351">
        <v>350</v>
      </c>
      <c r="B351" t="s">
        <v>3046</v>
      </c>
      <c r="C351" t="s">
        <v>3047</v>
      </c>
    </row>
    <row r="352" spans="1:3" x14ac:dyDescent="0.25">
      <c r="A352">
        <v>351</v>
      </c>
      <c r="B352" t="s">
        <v>3048</v>
      </c>
      <c r="C352" t="s">
        <v>3049</v>
      </c>
    </row>
    <row r="353" spans="1:3" x14ac:dyDescent="0.25">
      <c r="A353">
        <v>352</v>
      </c>
      <c r="B353" t="s">
        <v>3050</v>
      </c>
      <c r="C353" t="s">
        <v>3051</v>
      </c>
    </row>
    <row r="354" spans="1:3" x14ac:dyDescent="0.25">
      <c r="A354">
        <v>353</v>
      </c>
      <c r="B354" t="s">
        <v>3052</v>
      </c>
      <c r="C354" t="s">
        <v>3053</v>
      </c>
    </row>
    <row r="355" spans="1:3" x14ac:dyDescent="0.25">
      <c r="A355">
        <v>354</v>
      </c>
      <c r="B355" t="s">
        <v>3054</v>
      </c>
      <c r="C355" t="s">
        <v>3055</v>
      </c>
    </row>
    <row r="356" spans="1:3" x14ac:dyDescent="0.25">
      <c r="A356">
        <v>355</v>
      </c>
      <c r="B356" t="s">
        <v>3056</v>
      </c>
      <c r="C356" t="s">
        <v>3057</v>
      </c>
    </row>
    <row r="357" spans="1:3" x14ac:dyDescent="0.25">
      <c r="A357">
        <v>356</v>
      </c>
      <c r="B357" t="s">
        <v>3058</v>
      </c>
      <c r="C357" t="s">
        <v>3059</v>
      </c>
    </row>
    <row r="358" spans="1:3" x14ac:dyDescent="0.25">
      <c r="A358">
        <v>357</v>
      </c>
      <c r="B358" t="s">
        <v>3060</v>
      </c>
      <c r="C358" t="s">
        <v>3061</v>
      </c>
    </row>
    <row r="359" spans="1:3" x14ac:dyDescent="0.25">
      <c r="A359">
        <v>358</v>
      </c>
      <c r="B359" t="s">
        <v>3062</v>
      </c>
      <c r="C359" t="s">
        <v>3063</v>
      </c>
    </row>
    <row r="360" spans="1:3" x14ac:dyDescent="0.25">
      <c r="A360">
        <v>359</v>
      </c>
      <c r="B360" t="s">
        <v>3064</v>
      </c>
      <c r="C360" t="s">
        <v>3065</v>
      </c>
    </row>
    <row r="361" spans="1:3" x14ac:dyDescent="0.25">
      <c r="A361">
        <v>360</v>
      </c>
      <c r="B361" t="s">
        <v>3066</v>
      </c>
      <c r="C361" t="s">
        <v>3067</v>
      </c>
    </row>
    <row r="362" spans="1:3" x14ac:dyDescent="0.25">
      <c r="A362">
        <v>361</v>
      </c>
      <c r="B362" t="s">
        <v>3068</v>
      </c>
      <c r="C362" t="s">
        <v>3069</v>
      </c>
    </row>
    <row r="363" spans="1:3" x14ac:dyDescent="0.25">
      <c r="A363">
        <v>362</v>
      </c>
      <c r="B363" t="s">
        <v>3070</v>
      </c>
      <c r="C363" t="s">
        <v>3071</v>
      </c>
    </row>
    <row r="364" spans="1:3" x14ac:dyDescent="0.25">
      <c r="A364">
        <v>363</v>
      </c>
      <c r="B364" t="s">
        <v>3072</v>
      </c>
      <c r="C364" t="s">
        <v>3073</v>
      </c>
    </row>
    <row r="365" spans="1:3" x14ac:dyDescent="0.25">
      <c r="A365">
        <v>364</v>
      </c>
      <c r="B365" t="s">
        <v>473</v>
      </c>
      <c r="C365" t="s">
        <v>3074</v>
      </c>
    </row>
    <row r="366" spans="1:3" x14ac:dyDescent="0.25">
      <c r="A366">
        <v>365</v>
      </c>
      <c r="B366" t="s">
        <v>3075</v>
      </c>
      <c r="C366" t="s">
        <v>3076</v>
      </c>
    </row>
    <row r="367" spans="1:3" x14ac:dyDescent="0.25">
      <c r="A367">
        <v>366</v>
      </c>
      <c r="B367" t="s">
        <v>1196</v>
      </c>
      <c r="C367" t="s">
        <v>3077</v>
      </c>
    </row>
    <row r="368" spans="1:3" x14ac:dyDescent="0.25">
      <c r="A368">
        <v>367</v>
      </c>
      <c r="B368" t="s">
        <v>3078</v>
      </c>
      <c r="C368" t="s">
        <v>3079</v>
      </c>
    </row>
    <row r="369" spans="1:3" x14ac:dyDescent="0.25">
      <c r="A369">
        <v>368</v>
      </c>
      <c r="B369" t="s">
        <v>1188</v>
      </c>
      <c r="C369" t="s">
        <v>3080</v>
      </c>
    </row>
    <row r="370" spans="1:3" x14ac:dyDescent="0.25">
      <c r="A370">
        <v>369</v>
      </c>
      <c r="B370" t="s">
        <v>1552</v>
      </c>
      <c r="C370" t="s">
        <v>3081</v>
      </c>
    </row>
    <row r="371" spans="1:3" x14ac:dyDescent="0.25">
      <c r="A371">
        <v>370</v>
      </c>
      <c r="B371" t="s">
        <v>1266</v>
      </c>
      <c r="C371" t="s">
        <v>3082</v>
      </c>
    </row>
    <row r="372" spans="1:3" x14ac:dyDescent="0.25">
      <c r="A372">
        <v>371</v>
      </c>
      <c r="B372" t="s">
        <v>1240</v>
      </c>
      <c r="C372" t="s">
        <v>3083</v>
      </c>
    </row>
    <row r="373" spans="1:3" x14ac:dyDescent="0.25">
      <c r="A373">
        <v>372</v>
      </c>
      <c r="B373" t="s">
        <v>3084</v>
      </c>
      <c r="C373" t="s">
        <v>3085</v>
      </c>
    </row>
    <row r="374" spans="1:3" x14ac:dyDescent="0.25">
      <c r="A374">
        <v>373</v>
      </c>
      <c r="B374" t="s">
        <v>3086</v>
      </c>
      <c r="C374" t="s">
        <v>3087</v>
      </c>
    </row>
    <row r="375" spans="1:3" x14ac:dyDescent="0.25">
      <c r="A375">
        <v>374</v>
      </c>
      <c r="B375" t="s">
        <v>1838</v>
      </c>
      <c r="C375" t="s">
        <v>3088</v>
      </c>
    </row>
    <row r="376" spans="1:3" x14ac:dyDescent="0.25">
      <c r="A376">
        <v>375</v>
      </c>
      <c r="B376" t="s">
        <v>3089</v>
      </c>
      <c r="C376" t="s">
        <v>3090</v>
      </c>
    </row>
    <row r="377" spans="1:3" x14ac:dyDescent="0.25">
      <c r="A377">
        <v>376</v>
      </c>
      <c r="B377" t="s">
        <v>1298</v>
      </c>
      <c r="C377" t="s">
        <v>3091</v>
      </c>
    </row>
    <row r="378" spans="1:3" x14ac:dyDescent="0.25">
      <c r="A378">
        <v>377</v>
      </c>
      <c r="B378" t="s">
        <v>3092</v>
      </c>
      <c r="C378" t="s">
        <v>3093</v>
      </c>
    </row>
    <row r="379" spans="1:3" x14ac:dyDescent="0.25">
      <c r="A379">
        <v>378</v>
      </c>
      <c r="B379" t="s">
        <v>1728</v>
      </c>
      <c r="C379" t="s">
        <v>3094</v>
      </c>
    </row>
    <row r="380" spans="1:3" x14ac:dyDescent="0.25">
      <c r="A380">
        <v>379</v>
      </c>
      <c r="B380" t="s">
        <v>3095</v>
      </c>
      <c r="C380" t="s">
        <v>3096</v>
      </c>
    </row>
    <row r="381" spans="1:3" x14ac:dyDescent="0.25">
      <c r="A381">
        <v>380</v>
      </c>
      <c r="B381" t="s">
        <v>1204</v>
      </c>
      <c r="C381" t="s">
        <v>3097</v>
      </c>
    </row>
    <row r="382" spans="1:3" x14ac:dyDescent="0.25">
      <c r="A382">
        <v>381</v>
      </c>
      <c r="B382" t="s">
        <v>3098</v>
      </c>
      <c r="C382" t="s">
        <v>3099</v>
      </c>
    </row>
    <row r="383" spans="1:3" x14ac:dyDescent="0.25">
      <c r="A383">
        <v>382</v>
      </c>
      <c r="B383" t="s">
        <v>3100</v>
      </c>
      <c r="C383" t="s">
        <v>3101</v>
      </c>
    </row>
    <row r="384" spans="1:3" x14ac:dyDescent="0.25">
      <c r="A384">
        <v>383</v>
      </c>
      <c r="B384" t="s">
        <v>3102</v>
      </c>
      <c r="C384" t="s">
        <v>3103</v>
      </c>
    </row>
    <row r="385" spans="1:3" x14ac:dyDescent="0.25">
      <c r="A385">
        <v>384</v>
      </c>
      <c r="B385" t="s">
        <v>3104</v>
      </c>
      <c r="C385" t="s">
        <v>3105</v>
      </c>
    </row>
    <row r="386" spans="1:3" x14ac:dyDescent="0.25">
      <c r="A386">
        <v>385</v>
      </c>
      <c r="B386" t="s">
        <v>1973</v>
      </c>
      <c r="C386" t="s">
        <v>3106</v>
      </c>
    </row>
    <row r="387" spans="1:3" x14ac:dyDescent="0.25">
      <c r="A387">
        <v>386</v>
      </c>
      <c r="B387" t="s">
        <v>1912</v>
      </c>
      <c r="C387" t="s">
        <v>3107</v>
      </c>
    </row>
    <row r="388" spans="1:3" x14ac:dyDescent="0.25">
      <c r="A388">
        <v>387</v>
      </c>
      <c r="B388" t="s">
        <v>2001</v>
      </c>
      <c r="C388" t="s">
        <v>3108</v>
      </c>
    </row>
    <row r="389" spans="1:3" x14ac:dyDescent="0.25">
      <c r="A389">
        <v>388</v>
      </c>
      <c r="B389" t="s">
        <v>3109</v>
      </c>
      <c r="C389" t="s">
        <v>3110</v>
      </c>
    </row>
    <row r="390" spans="1:3" x14ac:dyDescent="0.25">
      <c r="A390">
        <v>389</v>
      </c>
      <c r="B390" t="s">
        <v>932</v>
      </c>
      <c r="C390" t="s">
        <v>3111</v>
      </c>
    </row>
    <row r="391" spans="1:3" x14ac:dyDescent="0.25">
      <c r="A391">
        <v>390</v>
      </c>
      <c r="B391" t="s">
        <v>1749</v>
      </c>
      <c r="C391" t="s">
        <v>3112</v>
      </c>
    </row>
    <row r="392" spans="1:3" x14ac:dyDescent="0.25">
      <c r="A392">
        <v>391</v>
      </c>
      <c r="B392" t="s">
        <v>1018</v>
      </c>
      <c r="C392" t="s">
        <v>3113</v>
      </c>
    </row>
    <row r="393" spans="1:3" x14ac:dyDescent="0.25">
      <c r="A393">
        <v>392</v>
      </c>
      <c r="B393" t="s">
        <v>1368</v>
      </c>
      <c r="C393" t="s">
        <v>3114</v>
      </c>
    </row>
    <row r="394" spans="1:3" x14ac:dyDescent="0.25">
      <c r="A394">
        <v>393</v>
      </c>
      <c r="B394" t="s">
        <v>3115</v>
      </c>
      <c r="C394" t="s">
        <v>3116</v>
      </c>
    </row>
    <row r="395" spans="1:3" x14ac:dyDescent="0.25">
      <c r="A395">
        <v>394</v>
      </c>
      <c r="B395" t="s">
        <v>3117</v>
      </c>
      <c r="C395" t="s">
        <v>3118</v>
      </c>
    </row>
    <row r="396" spans="1:3" x14ac:dyDescent="0.25">
      <c r="A396">
        <v>395</v>
      </c>
      <c r="B396" t="s">
        <v>1945</v>
      </c>
      <c r="C396" t="s">
        <v>3119</v>
      </c>
    </row>
    <row r="397" spans="1:3" x14ac:dyDescent="0.25">
      <c r="A397">
        <v>396</v>
      </c>
      <c r="B397" t="s">
        <v>3120</v>
      </c>
      <c r="C397" t="s">
        <v>3121</v>
      </c>
    </row>
    <row r="398" spans="1:3" x14ac:dyDescent="0.25">
      <c r="A398">
        <v>397</v>
      </c>
      <c r="B398" t="s">
        <v>3122</v>
      </c>
      <c r="C398" t="s">
        <v>3123</v>
      </c>
    </row>
    <row r="399" spans="1:3" x14ac:dyDescent="0.25">
      <c r="A399">
        <v>398</v>
      </c>
      <c r="B399" t="s">
        <v>1913</v>
      </c>
      <c r="C399" t="s">
        <v>3124</v>
      </c>
    </row>
    <row r="400" spans="1:3" x14ac:dyDescent="0.25">
      <c r="A400">
        <v>399</v>
      </c>
      <c r="B400" t="s">
        <v>1677</v>
      </c>
      <c r="C400" t="s">
        <v>3125</v>
      </c>
    </row>
    <row r="401" spans="1:3" x14ac:dyDescent="0.25">
      <c r="A401">
        <v>400</v>
      </c>
      <c r="B401" t="s">
        <v>3126</v>
      </c>
      <c r="C401" t="s">
        <v>3127</v>
      </c>
    </row>
    <row r="402" spans="1:3" x14ac:dyDescent="0.25">
      <c r="A402">
        <v>401</v>
      </c>
      <c r="B402" t="s">
        <v>3128</v>
      </c>
      <c r="C402" t="s">
        <v>3129</v>
      </c>
    </row>
    <row r="403" spans="1:3" x14ac:dyDescent="0.25">
      <c r="A403">
        <v>402</v>
      </c>
      <c r="B403" t="s">
        <v>1992</v>
      </c>
      <c r="C403" t="s">
        <v>3130</v>
      </c>
    </row>
    <row r="404" spans="1:3" x14ac:dyDescent="0.25">
      <c r="A404">
        <v>403</v>
      </c>
      <c r="B404" t="s">
        <v>3131</v>
      </c>
      <c r="C404" t="s">
        <v>3132</v>
      </c>
    </row>
    <row r="405" spans="1:3" x14ac:dyDescent="0.25">
      <c r="A405">
        <v>404</v>
      </c>
      <c r="B405" t="s">
        <v>1007</v>
      </c>
      <c r="C405" t="s">
        <v>3133</v>
      </c>
    </row>
    <row r="406" spans="1:3" x14ac:dyDescent="0.25">
      <c r="A406">
        <v>405</v>
      </c>
      <c r="B406" t="s">
        <v>3134</v>
      </c>
      <c r="C406" t="s">
        <v>3135</v>
      </c>
    </row>
    <row r="407" spans="1:3" x14ac:dyDescent="0.25">
      <c r="A407">
        <v>406</v>
      </c>
      <c r="B407" t="s">
        <v>3136</v>
      </c>
      <c r="C407" t="s">
        <v>3137</v>
      </c>
    </row>
    <row r="408" spans="1:3" x14ac:dyDescent="0.25">
      <c r="A408">
        <v>407</v>
      </c>
      <c r="B408" t="s">
        <v>1851</v>
      </c>
      <c r="C408" t="s">
        <v>3138</v>
      </c>
    </row>
    <row r="409" spans="1:3" x14ac:dyDescent="0.25">
      <c r="A409">
        <v>408</v>
      </c>
      <c r="B409" t="s">
        <v>813</v>
      </c>
      <c r="C409" t="s">
        <v>3139</v>
      </c>
    </row>
    <row r="410" spans="1:3" x14ac:dyDescent="0.25">
      <c r="A410">
        <v>409</v>
      </c>
      <c r="B410" t="s">
        <v>3140</v>
      </c>
      <c r="C410" t="s">
        <v>3141</v>
      </c>
    </row>
    <row r="411" spans="1:3" x14ac:dyDescent="0.25">
      <c r="A411">
        <v>410</v>
      </c>
      <c r="B411" t="s">
        <v>3142</v>
      </c>
      <c r="C411" t="s">
        <v>3143</v>
      </c>
    </row>
    <row r="412" spans="1:3" x14ac:dyDescent="0.25">
      <c r="A412">
        <v>411</v>
      </c>
      <c r="B412" t="s">
        <v>1771</v>
      </c>
      <c r="C412" t="s">
        <v>3144</v>
      </c>
    </row>
    <row r="413" spans="1:3" x14ac:dyDescent="0.25">
      <c r="A413">
        <v>412</v>
      </c>
      <c r="B413" t="s">
        <v>211</v>
      </c>
      <c r="C413" t="s">
        <v>3145</v>
      </c>
    </row>
    <row r="414" spans="1:3" x14ac:dyDescent="0.25">
      <c r="A414">
        <v>413</v>
      </c>
      <c r="B414" t="s">
        <v>1798</v>
      </c>
      <c r="C414" t="s">
        <v>3146</v>
      </c>
    </row>
    <row r="415" spans="1:3" x14ac:dyDescent="0.25">
      <c r="A415">
        <v>414</v>
      </c>
      <c r="B415" t="s">
        <v>156</v>
      </c>
      <c r="C415" t="s">
        <v>3147</v>
      </c>
    </row>
    <row r="416" spans="1:3" x14ac:dyDescent="0.25">
      <c r="A416">
        <v>415</v>
      </c>
      <c r="B416" t="s">
        <v>3148</v>
      </c>
      <c r="C416" t="s">
        <v>3149</v>
      </c>
    </row>
    <row r="417" spans="1:3" x14ac:dyDescent="0.25">
      <c r="A417">
        <v>416</v>
      </c>
      <c r="B417" t="s">
        <v>3150</v>
      </c>
      <c r="C417" t="s">
        <v>3151</v>
      </c>
    </row>
    <row r="418" spans="1:3" x14ac:dyDescent="0.25">
      <c r="A418">
        <v>417</v>
      </c>
      <c r="B418" t="s">
        <v>3152</v>
      </c>
      <c r="C418" t="s">
        <v>3153</v>
      </c>
    </row>
    <row r="419" spans="1:3" x14ac:dyDescent="0.25">
      <c r="A419">
        <v>418</v>
      </c>
      <c r="B419" t="s">
        <v>484</v>
      </c>
      <c r="C419" t="s">
        <v>3154</v>
      </c>
    </row>
    <row r="420" spans="1:3" x14ac:dyDescent="0.25">
      <c r="A420">
        <v>419</v>
      </c>
      <c r="B420" t="s">
        <v>3155</v>
      </c>
      <c r="C420" t="s">
        <v>3156</v>
      </c>
    </row>
    <row r="421" spans="1:3" x14ac:dyDescent="0.25">
      <c r="A421">
        <v>420</v>
      </c>
      <c r="B421" t="s">
        <v>1781</v>
      </c>
      <c r="C421" t="s">
        <v>3157</v>
      </c>
    </row>
    <row r="422" spans="1:3" x14ac:dyDescent="0.25">
      <c r="A422">
        <v>421</v>
      </c>
      <c r="B422" t="s">
        <v>1305</v>
      </c>
      <c r="C422" t="s">
        <v>3158</v>
      </c>
    </row>
    <row r="423" spans="1:3" x14ac:dyDescent="0.25">
      <c r="A423">
        <v>422</v>
      </c>
      <c r="B423" t="s">
        <v>1759</v>
      </c>
      <c r="C423" t="s">
        <v>3159</v>
      </c>
    </row>
    <row r="424" spans="1:3" x14ac:dyDescent="0.25">
      <c r="A424">
        <v>423</v>
      </c>
      <c r="B424" t="s">
        <v>263</v>
      </c>
      <c r="C424" t="s">
        <v>3160</v>
      </c>
    </row>
    <row r="425" spans="1:3" x14ac:dyDescent="0.25">
      <c r="A425">
        <v>424</v>
      </c>
      <c r="B425" t="s">
        <v>3161</v>
      </c>
      <c r="C425" t="s">
        <v>3162</v>
      </c>
    </row>
    <row r="426" spans="1:3" x14ac:dyDescent="0.25">
      <c r="A426">
        <v>425</v>
      </c>
      <c r="B426" t="s">
        <v>332</v>
      </c>
      <c r="C426" t="s">
        <v>3163</v>
      </c>
    </row>
    <row r="427" spans="1:3" x14ac:dyDescent="0.25">
      <c r="A427">
        <v>426</v>
      </c>
      <c r="B427" t="s">
        <v>356</v>
      </c>
      <c r="C427" t="s">
        <v>3164</v>
      </c>
    </row>
    <row r="428" spans="1:3" x14ac:dyDescent="0.25">
      <c r="A428">
        <v>427</v>
      </c>
      <c r="B428" t="s">
        <v>1097</v>
      </c>
      <c r="C428" t="s">
        <v>3165</v>
      </c>
    </row>
    <row r="429" spans="1:3" x14ac:dyDescent="0.25">
      <c r="A429">
        <v>428</v>
      </c>
      <c r="B429" t="s">
        <v>3166</v>
      </c>
      <c r="C429" t="s">
        <v>3167</v>
      </c>
    </row>
    <row r="430" spans="1:3" x14ac:dyDescent="0.25">
      <c r="A430">
        <v>429</v>
      </c>
      <c r="B430" t="s">
        <v>3168</v>
      </c>
      <c r="C430" t="s">
        <v>3169</v>
      </c>
    </row>
    <row r="431" spans="1:3" x14ac:dyDescent="0.25">
      <c r="A431">
        <v>430</v>
      </c>
      <c r="B431" t="s">
        <v>1981</v>
      </c>
      <c r="C431" t="s">
        <v>3170</v>
      </c>
    </row>
    <row r="432" spans="1:3" x14ac:dyDescent="0.25">
      <c r="A432">
        <v>431</v>
      </c>
      <c r="B432" t="s">
        <v>3171</v>
      </c>
      <c r="C432" t="s">
        <v>3172</v>
      </c>
    </row>
    <row r="433" spans="1:3" x14ac:dyDescent="0.25">
      <c r="A433">
        <v>432</v>
      </c>
      <c r="B433" t="s">
        <v>1812</v>
      </c>
      <c r="C433" t="s">
        <v>3173</v>
      </c>
    </row>
    <row r="434" spans="1:3" x14ac:dyDescent="0.25">
      <c r="A434">
        <v>433</v>
      </c>
      <c r="B434" t="s">
        <v>166</v>
      </c>
      <c r="C434" t="s">
        <v>3174</v>
      </c>
    </row>
    <row r="435" spans="1:3" x14ac:dyDescent="0.25">
      <c r="A435">
        <v>434</v>
      </c>
      <c r="B435" t="s">
        <v>727</v>
      </c>
      <c r="C435" t="s">
        <v>3175</v>
      </c>
    </row>
    <row r="436" spans="1:3" x14ac:dyDescent="0.25">
      <c r="A436">
        <v>435</v>
      </c>
      <c r="B436" t="s">
        <v>151</v>
      </c>
      <c r="C436" t="s">
        <v>3176</v>
      </c>
    </row>
    <row r="437" spans="1:3" x14ac:dyDescent="0.25">
      <c r="A437">
        <v>436</v>
      </c>
      <c r="B437" t="s">
        <v>558</v>
      </c>
      <c r="C437" t="s">
        <v>3177</v>
      </c>
    </row>
    <row r="438" spans="1:3" x14ac:dyDescent="0.25">
      <c r="A438">
        <v>437</v>
      </c>
      <c r="B438" t="s">
        <v>3178</v>
      </c>
      <c r="C438" t="s">
        <v>3179</v>
      </c>
    </row>
    <row r="439" spans="1:3" x14ac:dyDescent="0.25">
      <c r="A439">
        <v>438</v>
      </c>
      <c r="B439" t="s">
        <v>3180</v>
      </c>
      <c r="C439" t="s">
        <v>3181</v>
      </c>
    </row>
    <row r="440" spans="1:3" x14ac:dyDescent="0.25">
      <c r="A440">
        <v>439</v>
      </c>
      <c r="B440" t="s">
        <v>3182</v>
      </c>
      <c r="C440" t="s">
        <v>3183</v>
      </c>
    </row>
    <row r="441" spans="1:3" x14ac:dyDescent="0.25">
      <c r="A441">
        <v>440</v>
      </c>
      <c r="B441" t="s">
        <v>1351</v>
      </c>
      <c r="C441" t="s">
        <v>3184</v>
      </c>
    </row>
    <row r="442" spans="1:3" x14ac:dyDescent="0.25">
      <c r="A442">
        <v>441</v>
      </c>
      <c r="B442" t="s">
        <v>1350</v>
      </c>
      <c r="C442" t="s">
        <v>3185</v>
      </c>
    </row>
    <row r="443" spans="1:3" x14ac:dyDescent="0.25">
      <c r="A443">
        <v>442</v>
      </c>
      <c r="B443" t="s">
        <v>234</v>
      </c>
      <c r="C443" t="s">
        <v>3186</v>
      </c>
    </row>
    <row r="444" spans="1:3" x14ac:dyDescent="0.25">
      <c r="A444">
        <v>443</v>
      </c>
      <c r="B444" t="s">
        <v>1279</v>
      </c>
      <c r="C444" t="s">
        <v>3187</v>
      </c>
    </row>
    <row r="445" spans="1:3" x14ac:dyDescent="0.25">
      <c r="A445">
        <v>444</v>
      </c>
      <c r="B445" t="s">
        <v>1921</v>
      </c>
      <c r="C445" t="s">
        <v>3188</v>
      </c>
    </row>
    <row r="446" spans="1:3" x14ac:dyDescent="0.25">
      <c r="A446">
        <v>445</v>
      </c>
      <c r="B446" t="s">
        <v>3189</v>
      </c>
      <c r="C446" t="s">
        <v>3190</v>
      </c>
    </row>
    <row r="447" spans="1:3" x14ac:dyDescent="0.25">
      <c r="A447">
        <v>446</v>
      </c>
      <c r="B447" t="s">
        <v>1736</v>
      </c>
      <c r="C447" t="s">
        <v>3191</v>
      </c>
    </row>
    <row r="448" spans="1:3" x14ac:dyDescent="0.25">
      <c r="A448">
        <v>447</v>
      </c>
      <c r="B448" t="s">
        <v>1955</v>
      </c>
      <c r="C448" t="s">
        <v>3192</v>
      </c>
    </row>
    <row r="449" spans="1:3" x14ac:dyDescent="0.25">
      <c r="A449">
        <v>448</v>
      </c>
      <c r="B449" t="s">
        <v>1753</v>
      </c>
      <c r="C449" t="s">
        <v>3193</v>
      </c>
    </row>
    <row r="450" spans="1:3" x14ac:dyDescent="0.25">
      <c r="A450">
        <v>449</v>
      </c>
      <c r="B450" t="s">
        <v>3194</v>
      </c>
      <c r="C450" t="s">
        <v>3195</v>
      </c>
    </row>
    <row r="451" spans="1:3" x14ac:dyDescent="0.25">
      <c r="A451">
        <v>450</v>
      </c>
      <c r="B451" t="s">
        <v>616</v>
      </c>
      <c r="C451" t="s">
        <v>3196</v>
      </c>
    </row>
    <row r="452" spans="1:3" x14ac:dyDescent="0.25">
      <c r="A452">
        <v>451</v>
      </c>
      <c r="B452" t="s">
        <v>2281</v>
      </c>
      <c r="C452" t="s">
        <v>3197</v>
      </c>
    </row>
    <row r="453" spans="1:3" x14ac:dyDescent="0.25">
      <c r="A453">
        <v>452</v>
      </c>
      <c r="B453" t="s">
        <v>258</v>
      </c>
      <c r="C453" t="s">
        <v>3198</v>
      </c>
    </row>
    <row r="454" spans="1:3" x14ac:dyDescent="0.25">
      <c r="A454">
        <v>453</v>
      </c>
      <c r="B454" t="s">
        <v>1331</v>
      </c>
      <c r="C454" t="s">
        <v>3199</v>
      </c>
    </row>
    <row r="455" spans="1:3" x14ac:dyDescent="0.25">
      <c r="A455">
        <v>454</v>
      </c>
      <c r="B455" t="s">
        <v>3200</v>
      </c>
      <c r="C455" t="s">
        <v>3201</v>
      </c>
    </row>
    <row r="456" spans="1:3" x14ac:dyDescent="0.25">
      <c r="A456">
        <v>455</v>
      </c>
      <c r="B456" t="s">
        <v>3202</v>
      </c>
      <c r="C456" t="s">
        <v>3203</v>
      </c>
    </row>
    <row r="457" spans="1:3" x14ac:dyDescent="0.25">
      <c r="A457">
        <v>456</v>
      </c>
      <c r="B457" t="s">
        <v>3204</v>
      </c>
      <c r="C457" t="s">
        <v>3205</v>
      </c>
    </row>
    <row r="458" spans="1:3" x14ac:dyDescent="0.25">
      <c r="A458">
        <v>457</v>
      </c>
      <c r="B458" t="s">
        <v>3206</v>
      </c>
      <c r="C458" t="s">
        <v>3207</v>
      </c>
    </row>
    <row r="459" spans="1:3" x14ac:dyDescent="0.25">
      <c r="A459">
        <v>458</v>
      </c>
      <c r="B459" t="s">
        <v>880</v>
      </c>
      <c r="C459" t="s">
        <v>3208</v>
      </c>
    </row>
    <row r="460" spans="1:3" x14ac:dyDescent="0.25">
      <c r="A460">
        <v>459</v>
      </c>
      <c r="B460" t="s">
        <v>1383</v>
      </c>
      <c r="C460" t="s">
        <v>3209</v>
      </c>
    </row>
    <row r="461" spans="1:3" x14ac:dyDescent="0.25">
      <c r="A461">
        <v>460</v>
      </c>
      <c r="B461" t="s">
        <v>1599</v>
      </c>
      <c r="C461" t="s">
        <v>3210</v>
      </c>
    </row>
    <row r="462" spans="1:3" x14ac:dyDescent="0.25">
      <c r="A462">
        <v>461</v>
      </c>
      <c r="B462" t="s">
        <v>1758</v>
      </c>
      <c r="C462" t="s">
        <v>3211</v>
      </c>
    </row>
    <row r="463" spans="1:3" x14ac:dyDescent="0.25">
      <c r="A463">
        <v>462</v>
      </c>
      <c r="B463" t="s">
        <v>1110</v>
      </c>
      <c r="C463" t="s">
        <v>3212</v>
      </c>
    </row>
    <row r="464" spans="1:3" x14ac:dyDescent="0.25">
      <c r="A464">
        <v>463</v>
      </c>
      <c r="B464" t="s">
        <v>3213</v>
      </c>
      <c r="C464" t="s">
        <v>3214</v>
      </c>
    </row>
    <row r="465" spans="1:3" x14ac:dyDescent="0.25">
      <c r="A465">
        <v>464</v>
      </c>
      <c r="B465" t="s">
        <v>3215</v>
      </c>
      <c r="C465" t="s">
        <v>3216</v>
      </c>
    </row>
    <row r="466" spans="1:3" x14ac:dyDescent="0.25">
      <c r="A466">
        <v>465</v>
      </c>
      <c r="B466" t="s">
        <v>201</v>
      </c>
      <c r="C466" t="s">
        <v>3217</v>
      </c>
    </row>
    <row r="467" spans="1:3" x14ac:dyDescent="0.25">
      <c r="A467">
        <v>466</v>
      </c>
      <c r="B467" t="s">
        <v>494</v>
      </c>
      <c r="C467" t="s">
        <v>3218</v>
      </c>
    </row>
    <row r="468" spans="1:3" x14ac:dyDescent="0.25">
      <c r="A468">
        <v>467</v>
      </c>
      <c r="B468" t="s">
        <v>1594</v>
      </c>
      <c r="C468" t="s">
        <v>3219</v>
      </c>
    </row>
    <row r="469" spans="1:3" x14ac:dyDescent="0.25">
      <c r="A469">
        <v>468</v>
      </c>
      <c r="B469" t="s">
        <v>3220</v>
      </c>
      <c r="C469" t="s">
        <v>3221</v>
      </c>
    </row>
    <row r="470" spans="1:3" x14ac:dyDescent="0.25">
      <c r="A470">
        <v>469</v>
      </c>
      <c r="B470" t="s">
        <v>3222</v>
      </c>
      <c r="C470" t="s">
        <v>3223</v>
      </c>
    </row>
    <row r="471" spans="1:3" x14ac:dyDescent="0.25">
      <c r="A471">
        <v>470</v>
      </c>
      <c r="B471" t="s">
        <v>3224</v>
      </c>
      <c r="C471" t="s">
        <v>3225</v>
      </c>
    </row>
    <row r="472" spans="1:3" x14ac:dyDescent="0.25">
      <c r="A472">
        <v>471</v>
      </c>
      <c r="B472" t="s">
        <v>3226</v>
      </c>
      <c r="C472" t="s">
        <v>3227</v>
      </c>
    </row>
    <row r="473" spans="1:3" x14ac:dyDescent="0.25">
      <c r="A473">
        <v>472</v>
      </c>
      <c r="B473" t="s">
        <v>3228</v>
      </c>
      <c r="C473" t="s">
        <v>3229</v>
      </c>
    </row>
    <row r="474" spans="1:3" x14ac:dyDescent="0.25">
      <c r="A474">
        <v>473</v>
      </c>
      <c r="B474" t="s">
        <v>1227</v>
      </c>
      <c r="C474" t="s">
        <v>3230</v>
      </c>
    </row>
    <row r="475" spans="1:3" x14ac:dyDescent="0.25">
      <c r="A475">
        <v>474</v>
      </c>
      <c r="B475" t="s">
        <v>3231</v>
      </c>
      <c r="C475" t="s">
        <v>3232</v>
      </c>
    </row>
    <row r="476" spans="1:3" x14ac:dyDescent="0.25">
      <c r="A476">
        <v>475</v>
      </c>
      <c r="B476" t="s">
        <v>721</v>
      </c>
      <c r="C476" t="s">
        <v>3233</v>
      </c>
    </row>
    <row r="477" spans="1:3" x14ac:dyDescent="0.25">
      <c r="A477">
        <v>476</v>
      </c>
      <c r="B477" t="s">
        <v>220</v>
      </c>
      <c r="C477" t="s">
        <v>3234</v>
      </c>
    </row>
    <row r="478" spans="1:3" x14ac:dyDescent="0.25">
      <c r="A478">
        <v>477</v>
      </c>
      <c r="B478" t="s">
        <v>2161</v>
      </c>
      <c r="C478" t="s">
        <v>3235</v>
      </c>
    </row>
    <row r="479" spans="1:3" x14ac:dyDescent="0.25">
      <c r="A479">
        <v>478</v>
      </c>
      <c r="B479" t="s">
        <v>3236</v>
      </c>
      <c r="C479" t="s">
        <v>3237</v>
      </c>
    </row>
    <row r="480" spans="1:3" x14ac:dyDescent="0.25">
      <c r="A480">
        <v>479</v>
      </c>
      <c r="B480" t="s">
        <v>49</v>
      </c>
      <c r="C480" t="s">
        <v>3238</v>
      </c>
    </row>
    <row r="481" spans="1:3" x14ac:dyDescent="0.25">
      <c r="A481">
        <v>480</v>
      </c>
      <c r="B481" t="s">
        <v>256</v>
      </c>
      <c r="C481" t="s">
        <v>3239</v>
      </c>
    </row>
    <row r="482" spans="1:3" x14ac:dyDescent="0.25">
      <c r="A482">
        <v>481</v>
      </c>
      <c r="B482" t="s">
        <v>3240</v>
      </c>
      <c r="C482" t="s">
        <v>3241</v>
      </c>
    </row>
    <row r="483" spans="1:3" x14ac:dyDescent="0.25">
      <c r="A483">
        <v>482</v>
      </c>
      <c r="B483" t="s">
        <v>2066</v>
      </c>
      <c r="C483" t="s">
        <v>3242</v>
      </c>
    </row>
    <row r="484" spans="1:3" x14ac:dyDescent="0.25">
      <c r="A484">
        <v>483</v>
      </c>
      <c r="B484" t="s">
        <v>3243</v>
      </c>
      <c r="C484" t="s">
        <v>3244</v>
      </c>
    </row>
    <row r="485" spans="1:3" x14ac:dyDescent="0.25">
      <c r="A485">
        <v>484</v>
      </c>
      <c r="B485" t="s">
        <v>713</v>
      </c>
      <c r="C485" t="s">
        <v>3245</v>
      </c>
    </row>
    <row r="486" spans="1:3" x14ac:dyDescent="0.25">
      <c r="A486">
        <v>485</v>
      </c>
      <c r="B486" t="s">
        <v>450</v>
      </c>
      <c r="C486" t="s">
        <v>3246</v>
      </c>
    </row>
    <row r="487" spans="1:3" x14ac:dyDescent="0.25">
      <c r="A487">
        <v>486</v>
      </c>
      <c r="B487" t="s">
        <v>1050</v>
      </c>
      <c r="C487" t="s">
        <v>3247</v>
      </c>
    </row>
    <row r="488" spans="1:3" x14ac:dyDescent="0.25">
      <c r="A488">
        <v>487</v>
      </c>
      <c r="B488" t="s">
        <v>3248</v>
      </c>
      <c r="C488" t="s">
        <v>3249</v>
      </c>
    </row>
    <row r="489" spans="1:3" x14ac:dyDescent="0.25">
      <c r="A489">
        <v>488</v>
      </c>
      <c r="B489" t="s">
        <v>246</v>
      </c>
      <c r="C489" t="s">
        <v>3250</v>
      </c>
    </row>
    <row r="490" spans="1:3" x14ac:dyDescent="0.25">
      <c r="A490">
        <v>489</v>
      </c>
      <c r="B490" t="s">
        <v>1963</v>
      </c>
      <c r="C490" t="s">
        <v>3251</v>
      </c>
    </row>
    <row r="491" spans="1:3" x14ac:dyDescent="0.25">
      <c r="A491">
        <v>490</v>
      </c>
      <c r="B491" t="s">
        <v>3252</v>
      </c>
      <c r="C491" t="s">
        <v>3253</v>
      </c>
    </row>
    <row r="492" spans="1:3" x14ac:dyDescent="0.25">
      <c r="A492">
        <v>491</v>
      </c>
      <c r="B492" t="s">
        <v>3254</v>
      </c>
      <c r="C492" t="s">
        <v>3255</v>
      </c>
    </row>
    <row r="493" spans="1:3" x14ac:dyDescent="0.25">
      <c r="A493">
        <v>492</v>
      </c>
      <c r="B493" t="s">
        <v>3256</v>
      </c>
      <c r="C493" t="s">
        <v>3257</v>
      </c>
    </row>
    <row r="494" spans="1:3" x14ac:dyDescent="0.25">
      <c r="A494">
        <v>493</v>
      </c>
      <c r="B494" t="s">
        <v>3258</v>
      </c>
      <c r="C494" t="s">
        <v>3259</v>
      </c>
    </row>
    <row r="495" spans="1:3" x14ac:dyDescent="0.25">
      <c r="A495">
        <v>494</v>
      </c>
      <c r="B495" t="s">
        <v>703</v>
      </c>
      <c r="C495" t="s">
        <v>3260</v>
      </c>
    </row>
    <row r="496" spans="1:3" x14ac:dyDescent="0.25">
      <c r="A496">
        <v>495</v>
      </c>
      <c r="B496" t="s">
        <v>1071</v>
      </c>
      <c r="C496" t="s">
        <v>3261</v>
      </c>
    </row>
    <row r="497" spans="1:3" x14ac:dyDescent="0.25">
      <c r="A497">
        <v>496</v>
      </c>
      <c r="B497" t="s">
        <v>853</v>
      </c>
      <c r="C497" t="s">
        <v>3262</v>
      </c>
    </row>
    <row r="498" spans="1:3" x14ac:dyDescent="0.25">
      <c r="A498">
        <v>497</v>
      </c>
      <c r="B498" t="s">
        <v>3263</v>
      </c>
      <c r="C498" t="s">
        <v>3264</v>
      </c>
    </row>
    <row r="499" spans="1:3" x14ac:dyDescent="0.25">
      <c r="A499">
        <v>498</v>
      </c>
      <c r="B499" t="s">
        <v>1032</v>
      </c>
      <c r="C499" t="s">
        <v>3265</v>
      </c>
    </row>
    <row r="500" spans="1:3" x14ac:dyDescent="0.25">
      <c r="A500">
        <v>499</v>
      </c>
      <c r="B500" t="s">
        <v>3266</v>
      </c>
      <c r="C500" t="s">
        <v>3267</v>
      </c>
    </row>
    <row r="501" spans="1:3" x14ac:dyDescent="0.25">
      <c r="A501">
        <v>500</v>
      </c>
      <c r="B501" t="s">
        <v>1860</v>
      </c>
      <c r="C501" t="s">
        <v>3268</v>
      </c>
    </row>
    <row r="502" spans="1:3" x14ac:dyDescent="0.25">
      <c r="A502">
        <v>501</v>
      </c>
      <c r="B502" t="s">
        <v>1038</v>
      </c>
      <c r="C502" t="s">
        <v>3269</v>
      </c>
    </row>
    <row r="503" spans="1:3" x14ac:dyDescent="0.25">
      <c r="A503">
        <v>502</v>
      </c>
      <c r="B503" t="s">
        <v>3270</v>
      </c>
      <c r="C503" t="s">
        <v>3271</v>
      </c>
    </row>
    <row r="504" spans="1:3" x14ac:dyDescent="0.25">
      <c r="A504">
        <v>503</v>
      </c>
      <c r="B504" t="s">
        <v>3272</v>
      </c>
      <c r="C504" t="s">
        <v>3273</v>
      </c>
    </row>
    <row r="505" spans="1:3" x14ac:dyDescent="0.25">
      <c r="A505">
        <v>504</v>
      </c>
      <c r="B505" t="s">
        <v>3274</v>
      </c>
      <c r="C505" t="s">
        <v>3275</v>
      </c>
    </row>
    <row r="506" spans="1:3" x14ac:dyDescent="0.25">
      <c r="A506">
        <v>505</v>
      </c>
      <c r="B506" t="s">
        <v>3276</v>
      </c>
      <c r="C506" t="s">
        <v>3277</v>
      </c>
    </row>
    <row r="507" spans="1:3" x14ac:dyDescent="0.25">
      <c r="A507">
        <v>506</v>
      </c>
      <c r="B507" t="s">
        <v>3278</v>
      </c>
      <c r="C507" t="s">
        <v>3279</v>
      </c>
    </row>
    <row r="508" spans="1:3" x14ac:dyDescent="0.25">
      <c r="A508">
        <v>507</v>
      </c>
      <c r="B508" t="s">
        <v>3280</v>
      </c>
      <c r="C508" t="s">
        <v>3281</v>
      </c>
    </row>
    <row r="509" spans="1:3" x14ac:dyDescent="0.25">
      <c r="A509">
        <v>508</v>
      </c>
      <c r="B509" t="s">
        <v>3282</v>
      </c>
      <c r="C509" t="s">
        <v>3283</v>
      </c>
    </row>
    <row r="510" spans="1:3" x14ac:dyDescent="0.25">
      <c r="A510">
        <v>509</v>
      </c>
      <c r="B510" t="s">
        <v>3284</v>
      </c>
      <c r="C510" t="s">
        <v>3285</v>
      </c>
    </row>
    <row r="511" spans="1:3" x14ac:dyDescent="0.25">
      <c r="A511">
        <v>510</v>
      </c>
      <c r="B511" t="s">
        <v>3286</v>
      </c>
      <c r="C511" t="s">
        <v>3287</v>
      </c>
    </row>
    <row r="512" spans="1:3" x14ac:dyDescent="0.25">
      <c r="A512">
        <v>511</v>
      </c>
      <c r="B512" t="s">
        <v>3288</v>
      </c>
      <c r="C512" t="s">
        <v>3289</v>
      </c>
    </row>
    <row r="513" spans="1:3" x14ac:dyDescent="0.25">
      <c r="A513">
        <v>512</v>
      </c>
      <c r="B513" t="s">
        <v>3290</v>
      </c>
      <c r="C513" t="s">
        <v>3291</v>
      </c>
    </row>
    <row r="514" spans="1:3" x14ac:dyDescent="0.25">
      <c r="A514">
        <v>513</v>
      </c>
      <c r="B514" t="s">
        <v>1958</v>
      </c>
      <c r="C514" t="s">
        <v>3292</v>
      </c>
    </row>
    <row r="515" spans="1:3" x14ac:dyDescent="0.25">
      <c r="A515">
        <v>514</v>
      </c>
      <c r="B515" t="s">
        <v>3293</v>
      </c>
      <c r="C515" t="s">
        <v>3294</v>
      </c>
    </row>
    <row r="516" spans="1:3" x14ac:dyDescent="0.25">
      <c r="A516">
        <v>515</v>
      </c>
      <c r="B516" t="s">
        <v>2263</v>
      </c>
      <c r="C516" t="s">
        <v>3295</v>
      </c>
    </row>
    <row r="517" spans="1:3" x14ac:dyDescent="0.25">
      <c r="A517">
        <v>516</v>
      </c>
      <c r="B517" t="s">
        <v>3296</v>
      </c>
      <c r="C517" t="s">
        <v>3297</v>
      </c>
    </row>
    <row r="518" spans="1:3" x14ac:dyDescent="0.25">
      <c r="A518">
        <v>517</v>
      </c>
      <c r="B518" t="s">
        <v>3298</v>
      </c>
      <c r="C518" t="s">
        <v>3299</v>
      </c>
    </row>
    <row r="519" spans="1:3" x14ac:dyDescent="0.25">
      <c r="A519">
        <v>518</v>
      </c>
      <c r="B519" t="s">
        <v>3300</v>
      </c>
      <c r="C519" t="s">
        <v>3301</v>
      </c>
    </row>
    <row r="520" spans="1:3" x14ac:dyDescent="0.25">
      <c r="A520">
        <v>519</v>
      </c>
      <c r="B520" t="s">
        <v>3302</v>
      </c>
      <c r="C520" t="s">
        <v>3303</v>
      </c>
    </row>
    <row r="521" spans="1:3" x14ac:dyDescent="0.25">
      <c r="A521">
        <v>520</v>
      </c>
      <c r="B521" t="s">
        <v>3304</v>
      </c>
      <c r="C521" t="s">
        <v>3305</v>
      </c>
    </row>
    <row r="522" spans="1:3" x14ac:dyDescent="0.25">
      <c r="A522">
        <v>521</v>
      </c>
      <c r="B522" t="s">
        <v>1881</v>
      </c>
      <c r="C522" t="s">
        <v>3306</v>
      </c>
    </row>
    <row r="523" spans="1:3" x14ac:dyDescent="0.25">
      <c r="A523">
        <v>522</v>
      </c>
      <c r="B523" t="s">
        <v>3307</v>
      </c>
      <c r="C523" t="s">
        <v>3308</v>
      </c>
    </row>
    <row r="524" spans="1:3" x14ac:dyDescent="0.25">
      <c r="A524">
        <v>523</v>
      </c>
      <c r="B524" t="s">
        <v>3309</v>
      </c>
      <c r="C524" t="s">
        <v>3310</v>
      </c>
    </row>
    <row r="525" spans="1:3" x14ac:dyDescent="0.25">
      <c r="A525">
        <v>524</v>
      </c>
      <c r="B525" t="s">
        <v>3311</v>
      </c>
      <c r="C525" t="s">
        <v>3312</v>
      </c>
    </row>
    <row r="526" spans="1:3" x14ac:dyDescent="0.25">
      <c r="A526">
        <v>525</v>
      </c>
      <c r="B526" t="s">
        <v>3313</v>
      </c>
      <c r="C526" t="s">
        <v>3314</v>
      </c>
    </row>
    <row r="527" spans="1:3" x14ac:dyDescent="0.25">
      <c r="A527">
        <v>526</v>
      </c>
      <c r="B527" t="s">
        <v>1220</v>
      </c>
      <c r="C527" t="s">
        <v>3315</v>
      </c>
    </row>
    <row r="528" spans="1:3" x14ac:dyDescent="0.25">
      <c r="A528">
        <v>527</v>
      </c>
      <c r="B528" t="s">
        <v>1862</v>
      </c>
      <c r="C528" t="s">
        <v>3316</v>
      </c>
    </row>
    <row r="529" spans="1:3" x14ac:dyDescent="0.25">
      <c r="A529">
        <v>528</v>
      </c>
      <c r="B529" t="s">
        <v>1609</v>
      </c>
      <c r="C529" t="s">
        <v>3317</v>
      </c>
    </row>
    <row r="530" spans="1:3" x14ac:dyDescent="0.25">
      <c r="A530">
        <v>529</v>
      </c>
      <c r="B530" t="s">
        <v>1667</v>
      </c>
      <c r="C530" t="s">
        <v>3318</v>
      </c>
    </row>
    <row r="531" spans="1:3" x14ac:dyDescent="0.25">
      <c r="A531">
        <v>530</v>
      </c>
      <c r="B531" t="s">
        <v>3319</v>
      </c>
      <c r="C531" t="s">
        <v>3320</v>
      </c>
    </row>
    <row r="532" spans="1:3" x14ac:dyDescent="0.25">
      <c r="A532">
        <v>531</v>
      </c>
      <c r="B532" t="s">
        <v>1314</v>
      </c>
      <c r="C532" t="s">
        <v>3321</v>
      </c>
    </row>
    <row r="533" spans="1:3" x14ac:dyDescent="0.25">
      <c r="A533">
        <v>532</v>
      </c>
      <c r="B533" t="s">
        <v>1242</v>
      </c>
      <c r="C533" t="s">
        <v>3322</v>
      </c>
    </row>
    <row r="534" spans="1:3" x14ac:dyDescent="0.25">
      <c r="A534">
        <v>533</v>
      </c>
      <c r="B534" t="s">
        <v>3323</v>
      </c>
      <c r="C534" t="s">
        <v>3324</v>
      </c>
    </row>
    <row r="535" spans="1:3" x14ac:dyDescent="0.25">
      <c r="A535">
        <v>534</v>
      </c>
      <c r="B535" t="s">
        <v>3325</v>
      </c>
      <c r="C535" t="s">
        <v>3326</v>
      </c>
    </row>
    <row r="536" spans="1:3" x14ac:dyDescent="0.25">
      <c r="A536">
        <v>535</v>
      </c>
      <c r="B536" t="s">
        <v>1915</v>
      </c>
      <c r="C536" t="s">
        <v>3327</v>
      </c>
    </row>
    <row r="537" spans="1:3" x14ac:dyDescent="0.25">
      <c r="A537">
        <v>536</v>
      </c>
      <c r="B537" t="s">
        <v>3328</v>
      </c>
      <c r="C537" t="s">
        <v>3329</v>
      </c>
    </row>
    <row r="538" spans="1:3" x14ac:dyDescent="0.25">
      <c r="A538">
        <v>537</v>
      </c>
      <c r="B538" t="s">
        <v>996</v>
      </c>
      <c r="C538" t="s">
        <v>3330</v>
      </c>
    </row>
    <row r="539" spans="1:3" x14ac:dyDescent="0.25">
      <c r="A539">
        <v>538</v>
      </c>
      <c r="B539" t="s">
        <v>3331</v>
      </c>
      <c r="C539" t="s">
        <v>3332</v>
      </c>
    </row>
    <row r="540" spans="1:3" x14ac:dyDescent="0.25">
      <c r="A540">
        <v>539</v>
      </c>
      <c r="B540" t="s">
        <v>1785</v>
      </c>
      <c r="C540" t="s">
        <v>3333</v>
      </c>
    </row>
    <row r="541" spans="1:3" x14ac:dyDescent="0.25">
      <c r="A541">
        <v>540</v>
      </c>
      <c r="B541" t="s">
        <v>3334</v>
      </c>
      <c r="C541" t="s">
        <v>3335</v>
      </c>
    </row>
    <row r="542" spans="1:3" x14ac:dyDescent="0.25">
      <c r="A542">
        <v>541</v>
      </c>
      <c r="B542" t="s">
        <v>3336</v>
      </c>
      <c r="C542" t="s">
        <v>3337</v>
      </c>
    </row>
    <row r="543" spans="1:3" x14ac:dyDescent="0.25">
      <c r="A543">
        <v>542</v>
      </c>
      <c r="B543" t="s">
        <v>1214</v>
      </c>
      <c r="C543" t="s">
        <v>3338</v>
      </c>
    </row>
    <row r="544" spans="1:3" x14ac:dyDescent="0.25">
      <c r="A544">
        <v>543</v>
      </c>
      <c r="B544" t="s">
        <v>1717</v>
      </c>
      <c r="C544" t="s">
        <v>3339</v>
      </c>
    </row>
    <row r="545" spans="1:3" x14ac:dyDescent="0.25">
      <c r="A545">
        <v>544</v>
      </c>
      <c r="B545" t="s">
        <v>326</v>
      </c>
      <c r="C545" t="s">
        <v>3340</v>
      </c>
    </row>
    <row r="546" spans="1:3" x14ac:dyDescent="0.25">
      <c r="A546">
        <v>545</v>
      </c>
      <c r="B546" t="s">
        <v>3341</v>
      </c>
      <c r="C546" t="s">
        <v>3342</v>
      </c>
    </row>
    <row r="547" spans="1:3" x14ac:dyDescent="0.25">
      <c r="A547">
        <v>546</v>
      </c>
      <c r="B547" t="s">
        <v>3343</v>
      </c>
      <c r="C547" t="s">
        <v>3344</v>
      </c>
    </row>
    <row r="548" spans="1:3" x14ac:dyDescent="0.25">
      <c r="A548">
        <v>547</v>
      </c>
      <c r="B548" t="s">
        <v>1833</v>
      </c>
      <c r="C548" t="s">
        <v>3345</v>
      </c>
    </row>
    <row r="549" spans="1:3" x14ac:dyDescent="0.25">
      <c r="A549">
        <v>548</v>
      </c>
      <c r="B549" t="s">
        <v>1205</v>
      </c>
      <c r="C549" t="s">
        <v>3346</v>
      </c>
    </row>
    <row r="550" spans="1:3" x14ac:dyDescent="0.25">
      <c r="A550">
        <v>549</v>
      </c>
      <c r="B550" t="s">
        <v>1865</v>
      </c>
      <c r="C550" t="s">
        <v>3347</v>
      </c>
    </row>
    <row r="551" spans="1:3" x14ac:dyDescent="0.25">
      <c r="A551">
        <v>550</v>
      </c>
      <c r="B551" t="s">
        <v>1990</v>
      </c>
      <c r="C551" t="s">
        <v>3348</v>
      </c>
    </row>
    <row r="552" spans="1:3" x14ac:dyDescent="0.25">
      <c r="A552">
        <v>551</v>
      </c>
      <c r="B552" t="s">
        <v>809</v>
      </c>
      <c r="C552" t="s">
        <v>3349</v>
      </c>
    </row>
    <row r="553" spans="1:3" x14ac:dyDescent="0.25">
      <c r="A553">
        <v>552</v>
      </c>
      <c r="B553" t="s">
        <v>3350</v>
      </c>
      <c r="C553" t="s">
        <v>3351</v>
      </c>
    </row>
    <row r="554" spans="1:3" x14ac:dyDescent="0.25">
      <c r="A554">
        <v>553</v>
      </c>
      <c r="B554" t="s">
        <v>1791</v>
      </c>
      <c r="C554" t="s">
        <v>3352</v>
      </c>
    </row>
    <row r="555" spans="1:3" x14ac:dyDescent="0.25">
      <c r="A555">
        <v>554</v>
      </c>
      <c r="B555" t="s">
        <v>677</v>
      </c>
      <c r="C555" t="s">
        <v>3353</v>
      </c>
    </row>
    <row r="556" spans="1:3" x14ac:dyDescent="0.25">
      <c r="A556">
        <v>555</v>
      </c>
      <c r="B556" t="s">
        <v>1716</v>
      </c>
      <c r="C556" t="s">
        <v>3354</v>
      </c>
    </row>
    <row r="557" spans="1:3" x14ac:dyDescent="0.25">
      <c r="A557">
        <v>556</v>
      </c>
      <c r="B557" t="s">
        <v>3355</v>
      </c>
      <c r="C557" t="s">
        <v>3356</v>
      </c>
    </row>
    <row r="558" spans="1:3" x14ac:dyDescent="0.25">
      <c r="A558">
        <v>557</v>
      </c>
      <c r="B558" t="s">
        <v>893</v>
      </c>
      <c r="C558" t="s">
        <v>3357</v>
      </c>
    </row>
    <row r="559" spans="1:3" x14ac:dyDescent="0.25">
      <c r="A559">
        <v>558</v>
      </c>
      <c r="B559" t="s">
        <v>3358</v>
      </c>
      <c r="C559" t="s">
        <v>3359</v>
      </c>
    </row>
    <row r="560" spans="1:3" x14ac:dyDescent="0.25">
      <c r="A560">
        <v>559</v>
      </c>
      <c r="B560" t="s">
        <v>3360</v>
      </c>
      <c r="C560" t="s">
        <v>3361</v>
      </c>
    </row>
    <row r="561" spans="1:3" x14ac:dyDescent="0.25">
      <c r="A561">
        <v>560</v>
      </c>
      <c r="B561" t="s">
        <v>1273</v>
      </c>
      <c r="C561" t="s">
        <v>3362</v>
      </c>
    </row>
    <row r="562" spans="1:3" x14ac:dyDescent="0.25">
      <c r="A562">
        <v>561</v>
      </c>
      <c r="B562" t="s">
        <v>215</v>
      </c>
      <c r="C562" t="s">
        <v>3363</v>
      </c>
    </row>
    <row r="563" spans="1:3" x14ac:dyDescent="0.25">
      <c r="A563">
        <v>562</v>
      </c>
      <c r="B563" t="s">
        <v>3364</v>
      </c>
      <c r="C563" t="s">
        <v>3365</v>
      </c>
    </row>
    <row r="564" spans="1:3" x14ac:dyDescent="0.25">
      <c r="A564">
        <v>563</v>
      </c>
      <c r="B564" t="s">
        <v>348</v>
      </c>
      <c r="C564" t="s">
        <v>3366</v>
      </c>
    </row>
    <row r="565" spans="1:3" x14ac:dyDescent="0.25">
      <c r="A565">
        <v>564</v>
      </c>
      <c r="B565" t="s">
        <v>3367</v>
      </c>
      <c r="C565" t="s">
        <v>3368</v>
      </c>
    </row>
    <row r="566" spans="1:3" x14ac:dyDescent="0.25">
      <c r="A566">
        <v>565</v>
      </c>
      <c r="B566" t="s">
        <v>3369</v>
      </c>
      <c r="C566" t="s">
        <v>3370</v>
      </c>
    </row>
    <row r="567" spans="1:3" x14ac:dyDescent="0.25">
      <c r="A567">
        <v>566</v>
      </c>
      <c r="B567" t="s">
        <v>364</v>
      </c>
      <c r="C567" t="s">
        <v>3371</v>
      </c>
    </row>
    <row r="568" spans="1:3" x14ac:dyDescent="0.25">
      <c r="A568">
        <v>567</v>
      </c>
      <c r="B568" t="s">
        <v>3372</v>
      </c>
      <c r="C568" t="s">
        <v>3373</v>
      </c>
    </row>
    <row r="569" spans="1:3" x14ac:dyDescent="0.25">
      <c r="A569">
        <v>568</v>
      </c>
      <c r="B569" t="s">
        <v>3374</v>
      </c>
      <c r="C569" t="s">
        <v>3375</v>
      </c>
    </row>
    <row r="570" spans="1:3" x14ac:dyDescent="0.25">
      <c r="A570">
        <v>569</v>
      </c>
      <c r="B570" t="s">
        <v>3376</v>
      </c>
      <c r="C570" t="s">
        <v>3377</v>
      </c>
    </row>
    <row r="571" spans="1:3" x14ac:dyDescent="0.25">
      <c r="A571">
        <v>570</v>
      </c>
      <c r="B571" t="s">
        <v>3378</v>
      </c>
      <c r="C571" t="s">
        <v>3379</v>
      </c>
    </row>
    <row r="572" spans="1:3" x14ac:dyDescent="0.25">
      <c r="A572">
        <v>571</v>
      </c>
      <c r="B572" t="s">
        <v>3380</v>
      </c>
      <c r="C572" t="s">
        <v>3381</v>
      </c>
    </row>
    <row r="573" spans="1:3" x14ac:dyDescent="0.25">
      <c r="A573">
        <v>572</v>
      </c>
      <c r="B573" t="s">
        <v>948</v>
      </c>
      <c r="C573" t="s">
        <v>3382</v>
      </c>
    </row>
    <row r="574" spans="1:3" x14ac:dyDescent="0.25">
      <c r="A574">
        <v>573</v>
      </c>
      <c r="B574" t="s">
        <v>1919</v>
      </c>
      <c r="C574" t="s">
        <v>3383</v>
      </c>
    </row>
    <row r="575" spans="1:3" x14ac:dyDescent="0.25">
      <c r="A575">
        <v>574</v>
      </c>
      <c r="B575" t="s">
        <v>3384</v>
      </c>
      <c r="C575" t="s">
        <v>3385</v>
      </c>
    </row>
    <row r="576" spans="1:3" x14ac:dyDescent="0.25">
      <c r="A576">
        <v>575</v>
      </c>
      <c r="B576" t="s">
        <v>956</v>
      </c>
      <c r="C576" t="s">
        <v>3386</v>
      </c>
    </row>
    <row r="577" spans="1:3" x14ac:dyDescent="0.25">
      <c r="A577">
        <v>576</v>
      </c>
      <c r="B577" t="s">
        <v>3387</v>
      </c>
      <c r="C577" t="s">
        <v>3388</v>
      </c>
    </row>
    <row r="578" spans="1:3" x14ac:dyDescent="0.25">
      <c r="A578">
        <v>577</v>
      </c>
      <c r="B578" t="s">
        <v>3389</v>
      </c>
      <c r="C578" t="s">
        <v>3390</v>
      </c>
    </row>
    <row r="579" spans="1:3" x14ac:dyDescent="0.25">
      <c r="A579">
        <v>578</v>
      </c>
      <c r="B579" t="s">
        <v>144</v>
      </c>
      <c r="C579" t="s">
        <v>3391</v>
      </c>
    </row>
    <row r="580" spans="1:3" x14ac:dyDescent="0.25">
      <c r="A580">
        <v>579</v>
      </c>
      <c r="B580" t="s">
        <v>3392</v>
      </c>
      <c r="C580" t="s">
        <v>3393</v>
      </c>
    </row>
    <row r="581" spans="1:3" x14ac:dyDescent="0.25">
      <c r="A581">
        <v>580</v>
      </c>
      <c r="B581" t="s">
        <v>3394</v>
      </c>
      <c r="C581" t="s">
        <v>3395</v>
      </c>
    </row>
    <row r="582" spans="1:3" x14ac:dyDescent="0.25">
      <c r="A582">
        <v>581</v>
      </c>
      <c r="B582" t="s">
        <v>3396</v>
      </c>
      <c r="C582" t="s">
        <v>3397</v>
      </c>
    </row>
    <row r="583" spans="1:3" x14ac:dyDescent="0.25">
      <c r="A583">
        <v>582</v>
      </c>
      <c r="B583" t="s">
        <v>1867</v>
      </c>
      <c r="C583" t="s">
        <v>3398</v>
      </c>
    </row>
    <row r="584" spans="1:3" x14ac:dyDescent="0.25">
      <c r="A584">
        <v>583</v>
      </c>
      <c r="B584" t="s">
        <v>3399</v>
      </c>
      <c r="C584" t="s">
        <v>3400</v>
      </c>
    </row>
    <row r="585" spans="1:3" x14ac:dyDescent="0.25">
      <c r="A585">
        <v>584</v>
      </c>
      <c r="B585" t="s">
        <v>3401</v>
      </c>
      <c r="C585" t="s">
        <v>3402</v>
      </c>
    </row>
    <row r="586" spans="1:3" x14ac:dyDescent="0.25">
      <c r="A586">
        <v>585</v>
      </c>
      <c r="B586" t="s">
        <v>3403</v>
      </c>
      <c r="C586" t="s">
        <v>3404</v>
      </c>
    </row>
    <row r="587" spans="1:3" x14ac:dyDescent="0.25">
      <c r="A587">
        <v>586</v>
      </c>
      <c r="B587" t="s">
        <v>1557</v>
      </c>
      <c r="C587" t="s">
        <v>3405</v>
      </c>
    </row>
    <row r="588" spans="1:3" x14ac:dyDescent="0.25">
      <c r="A588">
        <v>587</v>
      </c>
      <c r="B588" t="s">
        <v>3406</v>
      </c>
      <c r="C588" t="s">
        <v>3407</v>
      </c>
    </row>
    <row r="589" spans="1:3" x14ac:dyDescent="0.25">
      <c r="A589">
        <v>588</v>
      </c>
      <c r="B589" t="s">
        <v>1031</v>
      </c>
      <c r="C589" t="s">
        <v>3408</v>
      </c>
    </row>
    <row r="590" spans="1:3" x14ac:dyDescent="0.25">
      <c r="A590">
        <v>589</v>
      </c>
      <c r="B590" t="s">
        <v>3409</v>
      </c>
      <c r="C590" t="s">
        <v>3410</v>
      </c>
    </row>
    <row r="591" spans="1:3" x14ac:dyDescent="0.25">
      <c r="A591">
        <v>590</v>
      </c>
      <c r="B591" t="s">
        <v>3411</v>
      </c>
      <c r="C591" t="s">
        <v>3412</v>
      </c>
    </row>
    <row r="592" spans="1:3" x14ac:dyDescent="0.25">
      <c r="A592">
        <v>591</v>
      </c>
      <c r="B592" t="s">
        <v>3413</v>
      </c>
      <c r="C592" t="s">
        <v>3414</v>
      </c>
    </row>
    <row r="593" spans="1:3" x14ac:dyDescent="0.25">
      <c r="A593">
        <v>592</v>
      </c>
      <c r="B593" t="s">
        <v>3415</v>
      </c>
      <c r="C593" t="s">
        <v>3416</v>
      </c>
    </row>
    <row r="594" spans="1:3" x14ac:dyDescent="0.25">
      <c r="A594">
        <v>593</v>
      </c>
      <c r="B594" t="s">
        <v>1731</v>
      </c>
      <c r="C594" t="s">
        <v>3417</v>
      </c>
    </row>
    <row r="595" spans="1:3" x14ac:dyDescent="0.25">
      <c r="A595">
        <v>594</v>
      </c>
      <c r="B595" t="s">
        <v>3418</v>
      </c>
      <c r="C595" t="s">
        <v>3419</v>
      </c>
    </row>
    <row r="596" spans="1:3" x14ac:dyDescent="0.25">
      <c r="A596">
        <v>595</v>
      </c>
      <c r="B596" t="s">
        <v>3420</v>
      </c>
      <c r="C596" t="s">
        <v>3421</v>
      </c>
    </row>
    <row r="597" spans="1:3" x14ac:dyDescent="0.25">
      <c r="A597">
        <v>596</v>
      </c>
      <c r="B597" t="s">
        <v>3422</v>
      </c>
      <c r="C597" t="s">
        <v>3423</v>
      </c>
    </row>
    <row r="598" spans="1:3" x14ac:dyDescent="0.25">
      <c r="A598">
        <v>597</v>
      </c>
      <c r="B598" t="s">
        <v>855</v>
      </c>
      <c r="C598" t="s">
        <v>3424</v>
      </c>
    </row>
    <row r="599" spans="1:3" x14ac:dyDescent="0.25">
      <c r="A599">
        <v>598</v>
      </c>
      <c r="B599" t="s">
        <v>1008</v>
      </c>
      <c r="C599" t="s">
        <v>3425</v>
      </c>
    </row>
    <row r="600" spans="1:3" x14ac:dyDescent="0.25">
      <c r="A600">
        <v>599</v>
      </c>
      <c r="B600" t="s">
        <v>3426</v>
      </c>
      <c r="C600" t="s">
        <v>3427</v>
      </c>
    </row>
    <row r="601" spans="1:3" x14ac:dyDescent="0.25">
      <c r="A601">
        <v>600</v>
      </c>
      <c r="B601" t="s">
        <v>1730</v>
      </c>
      <c r="C601" t="s">
        <v>3428</v>
      </c>
    </row>
    <row r="602" spans="1:3" x14ac:dyDescent="0.25">
      <c r="A602">
        <v>601</v>
      </c>
      <c r="B602" t="s">
        <v>1751</v>
      </c>
      <c r="C602" t="s">
        <v>3429</v>
      </c>
    </row>
    <row r="603" spans="1:3" x14ac:dyDescent="0.25">
      <c r="A603">
        <v>602</v>
      </c>
      <c r="B603" t="s">
        <v>1790</v>
      </c>
      <c r="C603" t="s">
        <v>3430</v>
      </c>
    </row>
    <row r="604" spans="1:3" x14ac:dyDescent="0.25">
      <c r="A604">
        <v>603</v>
      </c>
      <c r="B604" t="s">
        <v>1006</v>
      </c>
      <c r="C604" t="s">
        <v>3431</v>
      </c>
    </row>
    <row r="605" spans="1:3" x14ac:dyDescent="0.25">
      <c r="A605">
        <v>604</v>
      </c>
      <c r="B605" t="s">
        <v>1756</v>
      </c>
      <c r="C605" t="s">
        <v>3432</v>
      </c>
    </row>
    <row r="606" spans="1:3" x14ac:dyDescent="0.25">
      <c r="A606">
        <v>605</v>
      </c>
      <c r="B606" t="s">
        <v>3433</v>
      </c>
      <c r="C606" t="s">
        <v>3434</v>
      </c>
    </row>
    <row r="607" spans="1:3" x14ac:dyDescent="0.25">
      <c r="A607">
        <v>606</v>
      </c>
      <c r="B607" t="s">
        <v>3435</v>
      </c>
      <c r="C607" t="s">
        <v>3436</v>
      </c>
    </row>
    <row r="608" spans="1:3" x14ac:dyDescent="0.25">
      <c r="A608">
        <v>607</v>
      </c>
      <c r="B608" t="s">
        <v>3437</v>
      </c>
      <c r="C608" t="s">
        <v>3438</v>
      </c>
    </row>
    <row r="609" spans="1:3" x14ac:dyDescent="0.25">
      <c r="A609">
        <v>608</v>
      </c>
      <c r="B609" t="s">
        <v>3439</v>
      </c>
      <c r="C609" t="s">
        <v>3440</v>
      </c>
    </row>
    <row r="610" spans="1:3" x14ac:dyDescent="0.25">
      <c r="A610">
        <v>609</v>
      </c>
      <c r="B610" t="s">
        <v>3441</v>
      </c>
      <c r="C610" t="s">
        <v>3442</v>
      </c>
    </row>
    <row r="611" spans="1:3" x14ac:dyDescent="0.25">
      <c r="A611">
        <v>610</v>
      </c>
      <c r="B611" t="s">
        <v>1784</v>
      </c>
      <c r="C611" t="s">
        <v>3443</v>
      </c>
    </row>
    <row r="612" spans="1:3" x14ac:dyDescent="0.25">
      <c r="A612">
        <v>611</v>
      </c>
      <c r="B612" t="s">
        <v>1719</v>
      </c>
      <c r="C612" t="s">
        <v>3444</v>
      </c>
    </row>
    <row r="613" spans="1:3" x14ac:dyDescent="0.25">
      <c r="A613">
        <v>612</v>
      </c>
      <c r="B613" t="s">
        <v>940</v>
      </c>
      <c r="C613" t="s">
        <v>3445</v>
      </c>
    </row>
    <row r="614" spans="1:3" x14ac:dyDescent="0.25">
      <c r="A614">
        <v>613</v>
      </c>
      <c r="B614" t="s">
        <v>3446</v>
      </c>
      <c r="C614" t="s">
        <v>3447</v>
      </c>
    </row>
    <row r="615" spans="1:3" x14ac:dyDescent="0.25">
      <c r="A615">
        <v>614</v>
      </c>
      <c r="B615" t="s">
        <v>3448</v>
      </c>
      <c r="C615" t="s">
        <v>3449</v>
      </c>
    </row>
    <row r="616" spans="1:3" x14ac:dyDescent="0.25">
      <c r="A616">
        <v>615</v>
      </c>
      <c r="B616" t="s">
        <v>3450</v>
      </c>
      <c r="C616" t="s">
        <v>3451</v>
      </c>
    </row>
    <row r="617" spans="1:3" x14ac:dyDescent="0.25">
      <c r="A617">
        <v>616</v>
      </c>
      <c r="B617" t="s">
        <v>3452</v>
      </c>
      <c r="C617" t="s">
        <v>3453</v>
      </c>
    </row>
    <row r="618" spans="1:3" x14ac:dyDescent="0.25">
      <c r="A618">
        <v>617</v>
      </c>
      <c r="B618" t="s">
        <v>3454</v>
      </c>
      <c r="C618" t="s">
        <v>3455</v>
      </c>
    </row>
    <row r="619" spans="1:3" x14ac:dyDescent="0.25">
      <c r="A619">
        <v>618</v>
      </c>
      <c r="B619" t="s">
        <v>2014</v>
      </c>
      <c r="C619" t="s">
        <v>3456</v>
      </c>
    </row>
    <row r="620" spans="1:3" x14ac:dyDescent="0.25">
      <c r="A620">
        <v>619</v>
      </c>
      <c r="B620" t="s">
        <v>1914</v>
      </c>
      <c r="C620" t="s">
        <v>3457</v>
      </c>
    </row>
    <row r="621" spans="1:3" x14ac:dyDescent="0.25">
      <c r="A621">
        <v>620</v>
      </c>
      <c r="B621" t="s">
        <v>1827</v>
      </c>
      <c r="C621" t="s">
        <v>3458</v>
      </c>
    </row>
    <row r="622" spans="1:3" x14ac:dyDescent="0.25">
      <c r="A622">
        <v>621</v>
      </c>
      <c r="B622" t="s">
        <v>1972</v>
      </c>
      <c r="C622" t="s">
        <v>3459</v>
      </c>
    </row>
    <row r="623" spans="1:3" x14ac:dyDescent="0.25">
      <c r="A623">
        <v>622</v>
      </c>
      <c r="B623" t="s">
        <v>1244</v>
      </c>
      <c r="C623" t="s">
        <v>3460</v>
      </c>
    </row>
    <row r="624" spans="1:3" x14ac:dyDescent="0.25">
      <c r="A624">
        <v>623</v>
      </c>
      <c r="B624" t="s">
        <v>3461</v>
      </c>
      <c r="C624" t="s">
        <v>3462</v>
      </c>
    </row>
    <row r="625" spans="1:3" x14ac:dyDescent="0.25">
      <c r="A625">
        <v>624</v>
      </c>
      <c r="B625" t="s">
        <v>3463</v>
      </c>
      <c r="C625" t="s">
        <v>3464</v>
      </c>
    </row>
    <row r="626" spans="1:3" x14ac:dyDescent="0.25">
      <c r="A626">
        <v>625</v>
      </c>
      <c r="B626" t="s">
        <v>3465</v>
      </c>
      <c r="C626" t="s">
        <v>3466</v>
      </c>
    </row>
    <row r="627" spans="1:3" x14ac:dyDescent="0.25">
      <c r="A627">
        <v>626</v>
      </c>
      <c r="B627" t="s">
        <v>3467</v>
      </c>
      <c r="C627" t="s">
        <v>3468</v>
      </c>
    </row>
    <row r="628" spans="1:3" x14ac:dyDescent="0.25">
      <c r="A628">
        <v>627</v>
      </c>
      <c r="B628" t="s">
        <v>3469</v>
      </c>
      <c r="C628" t="s">
        <v>3470</v>
      </c>
    </row>
    <row r="629" spans="1:3" x14ac:dyDescent="0.25">
      <c r="A629">
        <v>628</v>
      </c>
      <c r="B629" t="s">
        <v>1939</v>
      </c>
      <c r="C629" t="s">
        <v>3471</v>
      </c>
    </row>
    <row r="630" spans="1:3" x14ac:dyDescent="0.25">
      <c r="A630">
        <v>629</v>
      </c>
      <c r="B630" t="s">
        <v>1816</v>
      </c>
      <c r="C630" t="s">
        <v>3472</v>
      </c>
    </row>
    <row r="631" spans="1:3" x14ac:dyDescent="0.25">
      <c r="A631">
        <v>630</v>
      </c>
      <c r="B631" t="s">
        <v>3473</v>
      </c>
      <c r="C631" t="s">
        <v>3474</v>
      </c>
    </row>
    <row r="632" spans="1:3" x14ac:dyDescent="0.25">
      <c r="A632">
        <v>631</v>
      </c>
      <c r="B632" t="s">
        <v>1861</v>
      </c>
      <c r="C632" t="s">
        <v>3475</v>
      </c>
    </row>
    <row r="633" spans="1:3" x14ac:dyDescent="0.25">
      <c r="A633">
        <v>632</v>
      </c>
      <c r="B633" t="s">
        <v>3476</v>
      </c>
      <c r="C633" t="s">
        <v>3477</v>
      </c>
    </row>
    <row r="634" spans="1:3" x14ac:dyDescent="0.25">
      <c r="A634">
        <v>633</v>
      </c>
      <c r="B634" t="s">
        <v>1926</v>
      </c>
      <c r="C634" t="s">
        <v>3478</v>
      </c>
    </row>
    <row r="635" spans="1:3" x14ac:dyDescent="0.25">
      <c r="A635">
        <v>634</v>
      </c>
      <c r="B635" t="s">
        <v>1925</v>
      </c>
      <c r="C635" t="s">
        <v>3479</v>
      </c>
    </row>
    <row r="636" spans="1:3" x14ac:dyDescent="0.25">
      <c r="A636">
        <v>635</v>
      </c>
      <c r="B636" t="s">
        <v>3480</v>
      </c>
      <c r="C636" t="s">
        <v>3481</v>
      </c>
    </row>
    <row r="637" spans="1:3" x14ac:dyDescent="0.25">
      <c r="A637">
        <v>636</v>
      </c>
      <c r="B637" t="s">
        <v>1316</v>
      </c>
      <c r="C637" t="s">
        <v>3482</v>
      </c>
    </row>
    <row r="638" spans="1:3" x14ac:dyDescent="0.25">
      <c r="A638">
        <v>637</v>
      </c>
      <c r="B638" t="s">
        <v>1830</v>
      </c>
      <c r="C638" t="s">
        <v>3483</v>
      </c>
    </row>
    <row r="639" spans="1:3" x14ac:dyDescent="0.25">
      <c r="A639">
        <v>638</v>
      </c>
      <c r="B639" t="s">
        <v>3484</v>
      </c>
      <c r="C639" t="s">
        <v>3485</v>
      </c>
    </row>
    <row r="640" spans="1:3" x14ac:dyDescent="0.25">
      <c r="A640">
        <v>639</v>
      </c>
      <c r="B640" t="s">
        <v>68</v>
      </c>
      <c r="C640" t="s">
        <v>3486</v>
      </c>
    </row>
    <row r="641" spans="1:3" x14ac:dyDescent="0.25">
      <c r="A641">
        <v>640</v>
      </c>
      <c r="B641" t="s">
        <v>1556</v>
      </c>
      <c r="C641" t="s">
        <v>3487</v>
      </c>
    </row>
    <row r="642" spans="1:3" x14ac:dyDescent="0.25">
      <c r="A642">
        <v>641</v>
      </c>
      <c r="B642" t="s">
        <v>3488</v>
      </c>
      <c r="C642" t="s">
        <v>3489</v>
      </c>
    </row>
    <row r="643" spans="1:3" x14ac:dyDescent="0.25">
      <c r="A643">
        <v>642</v>
      </c>
      <c r="B643" t="s">
        <v>3490</v>
      </c>
      <c r="C643" t="s">
        <v>3491</v>
      </c>
    </row>
    <row r="644" spans="1:3" x14ac:dyDescent="0.25">
      <c r="A644">
        <v>643</v>
      </c>
      <c r="B644" t="s">
        <v>311</v>
      </c>
      <c r="C644" t="s">
        <v>3492</v>
      </c>
    </row>
    <row r="645" spans="1:3" x14ac:dyDescent="0.25">
      <c r="A645">
        <v>644</v>
      </c>
      <c r="B645" t="s">
        <v>3493</v>
      </c>
      <c r="C645" t="s">
        <v>3494</v>
      </c>
    </row>
    <row r="646" spans="1:3" x14ac:dyDescent="0.25">
      <c r="A646">
        <v>645</v>
      </c>
      <c r="B646" t="s">
        <v>3495</v>
      </c>
      <c r="C646" t="s">
        <v>3496</v>
      </c>
    </row>
    <row r="647" spans="1:3" x14ac:dyDescent="0.25">
      <c r="A647">
        <v>646</v>
      </c>
      <c r="B647" t="s">
        <v>3497</v>
      </c>
      <c r="C647" t="s">
        <v>3498</v>
      </c>
    </row>
    <row r="648" spans="1:3" x14ac:dyDescent="0.25">
      <c r="A648">
        <v>647</v>
      </c>
      <c r="B648" t="s">
        <v>2030</v>
      </c>
      <c r="C648" t="s">
        <v>3499</v>
      </c>
    </row>
    <row r="649" spans="1:3" x14ac:dyDescent="0.25">
      <c r="A649">
        <v>648</v>
      </c>
      <c r="B649" t="s">
        <v>1060</v>
      </c>
      <c r="C649" t="s">
        <v>3500</v>
      </c>
    </row>
    <row r="650" spans="1:3" x14ac:dyDescent="0.25">
      <c r="A650">
        <v>649</v>
      </c>
      <c r="B650" t="s">
        <v>950</v>
      </c>
      <c r="C650" t="s">
        <v>3501</v>
      </c>
    </row>
    <row r="651" spans="1:3" x14ac:dyDescent="0.25">
      <c r="A651">
        <v>650</v>
      </c>
      <c r="B651" t="s">
        <v>3502</v>
      </c>
      <c r="C651" t="s">
        <v>3503</v>
      </c>
    </row>
    <row r="652" spans="1:3" x14ac:dyDescent="0.25">
      <c r="A652">
        <v>651</v>
      </c>
      <c r="B652" t="s">
        <v>3504</v>
      </c>
      <c r="C652" t="s">
        <v>3505</v>
      </c>
    </row>
    <row r="653" spans="1:3" x14ac:dyDescent="0.25">
      <c r="A653">
        <v>652</v>
      </c>
      <c r="B653" t="s">
        <v>1267</v>
      </c>
      <c r="C653" t="s">
        <v>3506</v>
      </c>
    </row>
    <row r="654" spans="1:3" x14ac:dyDescent="0.25">
      <c r="A654">
        <v>653</v>
      </c>
      <c r="B654" t="s">
        <v>3507</v>
      </c>
      <c r="C654" t="s">
        <v>3508</v>
      </c>
    </row>
    <row r="655" spans="1:3" x14ac:dyDescent="0.25">
      <c r="A655">
        <v>654</v>
      </c>
      <c r="B655" t="s">
        <v>1793</v>
      </c>
      <c r="C655" t="s">
        <v>3509</v>
      </c>
    </row>
    <row r="656" spans="1:3" x14ac:dyDescent="0.25">
      <c r="A656">
        <v>655</v>
      </c>
      <c r="B656" t="s">
        <v>3510</v>
      </c>
      <c r="C656" t="s">
        <v>3511</v>
      </c>
    </row>
    <row r="657" spans="1:3" x14ac:dyDescent="0.25">
      <c r="A657">
        <v>656</v>
      </c>
      <c r="B657" t="s">
        <v>3512</v>
      </c>
      <c r="C657" t="s">
        <v>3513</v>
      </c>
    </row>
    <row r="658" spans="1:3" x14ac:dyDescent="0.25">
      <c r="A658">
        <v>657</v>
      </c>
      <c r="B658" t="s">
        <v>3514</v>
      </c>
      <c r="C658" t="s">
        <v>3515</v>
      </c>
    </row>
    <row r="659" spans="1:3" x14ac:dyDescent="0.25">
      <c r="A659">
        <v>658</v>
      </c>
      <c r="B659" t="s">
        <v>3516</v>
      </c>
      <c r="C659" t="s">
        <v>3517</v>
      </c>
    </row>
    <row r="660" spans="1:3" x14ac:dyDescent="0.25">
      <c r="A660">
        <v>659</v>
      </c>
      <c r="B660" t="s">
        <v>3518</v>
      </c>
      <c r="C660" t="s">
        <v>3519</v>
      </c>
    </row>
    <row r="661" spans="1:3" x14ac:dyDescent="0.25">
      <c r="A661">
        <v>660</v>
      </c>
      <c r="B661" t="s">
        <v>3520</v>
      </c>
      <c r="C661" t="s">
        <v>3521</v>
      </c>
    </row>
    <row r="662" spans="1:3" x14ac:dyDescent="0.25">
      <c r="A662">
        <v>661</v>
      </c>
      <c r="B662" t="s">
        <v>3522</v>
      </c>
      <c r="C662" t="s">
        <v>3523</v>
      </c>
    </row>
    <row r="663" spans="1:3" x14ac:dyDescent="0.25">
      <c r="A663">
        <v>662</v>
      </c>
      <c r="B663" t="s">
        <v>3524</v>
      </c>
      <c r="C663" t="s">
        <v>3525</v>
      </c>
    </row>
    <row r="664" spans="1:3" x14ac:dyDescent="0.25">
      <c r="A664">
        <v>663</v>
      </c>
      <c r="B664" t="s">
        <v>1901</v>
      </c>
      <c r="C664" t="s">
        <v>3526</v>
      </c>
    </row>
    <row r="665" spans="1:3" x14ac:dyDescent="0.25">
      <c r="A665">
        <v>664</v>
      </c>
      <c r="B665" t="s">
        <v>1091</v>
      </c>
      <c r="C665" t="s">
        <v>3527</v>
      </c>
    </row>
    <row r="666" spans="1:3" x14ac:dyDescent="0.25">
      <c r="A666">
        <v>665</v>
      </c>
      <c r="B666" t="s">
        <v>979</v>
      </c>
      <c r="C666" t="s">
        <v>3528</v>
      </c>
    </row>
    <row r="667" spans="1:3" x14ac:dyDescent="0.25">
      <c r="A667">
        <v>666</v>
      </c>
      <c r="B667" t="s">
        <v>1950</v>
      </c>
      <c r="C667" t="s">
        <v>3529</v>
      </c>
    </row>
    <row r="668" spans="1:3" x14ac:dyDescent="0.25">
      <c r="A668">
        <v>667</v>
      </c>
      <c r="B668" t="s">
        <v>3530</v>
      </c>
      <c r="C668" t="s">
        <v>3531</v>
      </c>
    </row>
    <row r="669" spans="1:3" x14ac:dyDescent="0.25">
      <c r="A669">
        <v>668</v>
      </c>
      <c r="B669" t="s">
        <v>3532</v>
      </c>
      <c r="C669" t="s">
        <v>3533</v>
      </c>
    </row>
    <row r="670" spans="1:3" x14ac:dyDescent="0.25">
      <c r="A670">
        <v>669</v>
      </c>
      <c r="B670" t="s">
        <v>3534</v>
      </c>
      <c r="C670" t="s">
        <v>3535</v>
      </c>
    </row>
    <row r="671" spans="1:3" x14ac:dyDescent="0.25">
      <c r="A671">
        <v>670</v>
      </c>
      <c r="B671" t="s">
        <v>1249</v>
      </c>
      <c r="C671" t="s">
        <v>3536</v>
      </c>
    </row>
    <row r="672" spans="1:3" x14ac:dyDescent="0.25">
      <c r="A672">
        <v>671</v>
      </c>
      <c r="B672" t="s">
        <v>3537</v>
      </c>
      <c r="C672" t="s">
        <v>3538</v>
      </c>
    </row>
    <row r="673" spans="1:3" x14ac:dyDescent="0.25">
      <c r="A673">
        <v>672</v>
      </c>
      <c r="B673" t="s">
        <v>937</v>
      </c>
      <c r="C673" t="s">
        <v>3539</v>
      </c>
    </row>
    <row r="674" spans="1:3" x14ac:dyDescent="0.25">
      <c r="A674">
        <v>673</v>
      </c>
      <c r="B674" t="s">
        <v>1243</v>
      </c>
      <c r="C674" t="s">
        <v>3540</v>
      </c>
    </row>
    <row r="675" spans="1:3" x14ac:dyDescent="0.25">
      <c r="A675">
        <v>674</v>
      </c>
      <c r="B675" t="s">
        <v>1982</v>
      </c>
      <c r="C675" t="s">
        <v>3541</v>
      </c>
    </row>
    <row r="676" spans="1:3" x14ac:dyDescent="0.25">
      <c r="A676">
        <v>675</v>
      </c>
      <c r="B676" t="s">
        <v>1157</v>
      </c>
      <c r="C676" t="s">
        <v>3542</v>
      </c>
    </row>
    <row r="677" spans="1:3" x14ac:dyDescent="0.25">
      <c r="A677">
        <v>676</v>
      </c>
      <c r="B677" t="s">
        <v>3543</v>
      </c>
      <c r="C677" t="s">
        <v>3544</v>
      </c>
    </row>
    <row r="678" spans="1:3" x14ac:dyDescent="0.25">
      <c r="A678">
        <v>677</v>
      </c>
      <c r="B678" t="s">
        <v>1059</v>
      </c>
      <c r="C678" t="s">
        <v>3545</v>
      </c>
    </row>
    <row r="679" spans="1:3" x14ac:dyDescent="0.25">
      <c r="A679">
        <v>678</v>
      </c>
      <c r="B679" t="s">
        <v>1778</v>
      </c>
      <c r="C679" t="s">
        <v>3546</v>
      </c>
    </row>
    <row r="680" spans="1:3" x14ac:dyDescent="0.25">
      <c r="A680">
        <v>679</v>
      </c>
      <c r="B680" t="s">
        <v>1123</v>
      </c>
      <c r="C680" t="s">
        <v>3547</v>
      </c>
    </row>
    <row r="681" spans="1:3" x14ac:dyDescent="0.25">
      <c r="A681">
        <v>680</v>
      </c>
      <c r="B681" t="s">
        <v>1125</v>
      </c>
      <c r="C681" t="s">
        <v>3548</v>
      </c>
    </row>
    <row r="682" spans="1:3" x14ac:dyDescent="0.25">
      <c r="A682">
        <v>681</v>
      </c>
      <c r="B682" t="s">
        <v>2006</v>
      </c>
      <c r="C682" t="s">
        <v>3549</v>
      </c>
    </row>
    <row r="683" spans="1:3" x14ac:dyDescent="0.25">
      <c r="A683">
        <v>682</v>
      </c>
      <c r="B683" t="s">
        <v>1174</v>
      </c>
      <c r="C683" t="s">
        <v>3550</v>
      </c>
    </row>
    <row r="684" spans="1:3" x14ac:dyDescent="0.25">
      <c r="A684">
        <v>683</v>
      </c>
      <c r="B684" t="s">
        <v>3551</v>
      </c>
      <c r="C684" t="s">
        <v>3552</v>
      </c>
    </row>
    <row r="685" spans="1:3" x14ac:dyDescent="0.25">
      <c r="A685">
        <v>684</v>
      </c>
      <c r="B685" t="s">
        <v>1163</v>
      </c>
      <c r="C685" t="s">
        <v>3553</v>
      </c>
    </row>
    <row r="686" spans="1:3" x14ac:dyDescent="0.25">
      <c r="A686">
        <v>685</v>
      </c>
      <c r="B686" t="s">
        <v>1770</v>
      </c>
      <c r="C686" t="s">
        <v>3554</v>
      </c>
    </row>
    <row r="687" spans="1:3" x14ac:dyDescent="0.25">
      <c r="A687">
        <v>686</v>
      </c>
      <c r="B687" t="s">
        <v>1752</v>
      </c>
      <c r="C687" t="s">
        <v>3555</v>
      </c>
    </row>
    <row r="688" spans="1:3" x14ac:dyDescent="0.25">
      <c r="A688">
        <v>687</v>
      </c>
      <c r="B688" t="s">
        <v>1211</v>
      </c>
      <c r="C688" t="s">
        <v>3556</v>
      </c>
    </row>
    <row r="689" spans="1:3" x14ac:dyDescent="0.25">
      <c r="A689">
        <v>688</v>
      </c>
      <c r="B689" t="s">
        <v>952</v>
      </c>
      <c r="C689" t="s">
        <v>3557</v>
      </c>
    </row>
    <row r="690" spans="1:3" x14ac:dyDescent="0.25">
      <c r="A690">
        <v>689</v>
      </c>
      <c r="B690" t="s">
        <v>1274</v>
      </c>
      <c r="C690" t="s">
        <v>3558</v>
      </c>
    </row>
    <row r="691" spans="1:3" x14ac:dyDescent="0.25">
      <c r="A691">
        <v>690</v>
      </c>
      <c r="B691" t="s">
        <v>3559</v>
      </c>
      <c r="C691" t="s">
        <v>3560</v>
      </c>
    </row>
    <row r="692" spans="1:3" x14ac:dyDescent="0.25">
      <c r="A692">
        <v>691</v>
      </c>
      <c r="B692" t="s">
        <v>1932</v>
      </c>
      <c r="C692" t="s">
        <v>3561</v>
      </c>
    </row>
    <row r="693" spans="1:3" x14ac:dyDescent="0.25">
      <c r="A693">
        <v>692</v>
      </c>
      <c r="B693" t="s">
        <v>1327</v>
      </c>
      <c r="C693" t="s">
        <v>3562</v>
      </c>
    </row>
    <row r="694" spans="1:3" x14ac:dyDescent="0.25">
      <c r="A694">
        <v>693</v>
      </c>
      <c r="B694" t="s">
        <v>1172</v>
      </c>
      <c r="C694" t="s">
        <v>3563</v>
      </c>
    </row>
    <row r="695" spans="1:3" x14ac:dyDescent="0.25">
      <c r="A695">
        <v>694</v>
      </c>
      <c r="B695" t="s">
        <v>1161</v>
      </c>
      <c r="C695" t="s">
        <v>3564</v>
      </c>
    </row>
    <row r="696" spans="1:3" x14ac:dyDescent="0.25">
      <c r="A696">
        <v>695</v>
      </c>
      <c r="B696" t="s">
        <v>3565</v>
      </c>
      <c r="C696" t="s">
        <v>3566</v>
      </c>
    </row>
    <row r="697" spans="1:3" x14ac:dyDescent="0.25">
      <c r="A697">
        <v>696</v>
      </c>
      <c r="B697" t="s">
        <v>1307</v>
      </c>
      <c r="C697" t="s">
        <v>3567</v>
      </c>
    </row>
    <row r="698" spans="1:3" x14ac:dyDescent="0.25">
      <c r="A698">
        <v>697</v>
      </c>
      <c r="B698" t="s">
        <v>3568</v>
      </c>
      <c r="C698" t="s">
        <v>3569</v>
      </c>
    </row>
    <row r="699" spans="1:3" x14ac:dyDescent="0.25">
      <c r="A699">
        <v>698</v>
      </c>
      <c r="B699" t="s">
        <v>3570</v>
      </c>
      <c r="C699" t="s">
        <v>3571</v>
      </c>
    </row>
    <row r="700" spans="1:3" x14ac:dyDescent="0.25">
      <c r="A700">
        <v>699</v>
      </c>
      <c r="B700" t="s">
        <v>1039</v>
      </c>
      <c r="C700" t="s">
        <v>3572</v>
      </c>
    </row>
    <row r="701" spans="1:3" x14ac:dyDescent="0.25">
      <c r="A701">
        <v>700</v>
      </c>
      <c r="B701" t="s">
        <v>907</v>
      </c>
      <c r="C701" t="s">
        <v>3573</v>
      </c>
    </row>
    <row r="702" spans="1:3" x14ac:dyDescent="0.25">
      <c r="A702">
        <v>701</v>
      </c>
      <c r="B702" t="s">
        <v>933</v>
      </c>
      <c r="C702" t="s">
        <v>3574</v>
      </c>
    </row>
    <row r="703" spans="1:3" x14ac:dyDescent="0.25">
      <c r="A703">
        <v>702</v>
      </c>
      <c r="B703" t="s">
        <v>1333</v>
      </c>
      <c r="C703" t="s">
        <v>3575</v>
      </c>
    </row>
    <row r="704" spans="1:3" x14ac:dyDescent="0.25">
      <c r="A704">
        <v>703</v>
      </c>
      <c r="B704" t="s">
        <v>909</v>
      </c>
      <c r="C704" t="s">
        <v>3576</v>
      </c>
    </row>
    <row r="705" spans="1:3" x14ac:dyDescent="0.25">
      <c r="A705">
        <v>704</v>
      </c>
      <c r="B705" t="s">
        <v>935</v>
      </c>
      <c r="C705" t="s">
        <v>3577</v>
      </c>
    </row>
    <row r="706" spans="1:3" x14ac:dyDescent="0.25">
      <c r="A706">
        <v>705</v>
      </c>
      <c r="B706" t="s">
        <v>1051</v>
      </c>
      <c r="C706" t="s">
        <v>3578</v>
      </c>
    </row>
    <row r="707" spans="1:3" x14ac:dyDescent="0.25">
      <c r="A707">
        <v>706</v>
      </c>
      <c r="B707" t="s">
        <v>1107</v>
      </c>
      <c r="C707" t="s">
        <v>3579</v>
      </c>
    </row>
    <row r="708" spans="1:3" x14ac:dyDescent="0.25">
      <c r="A708">
        <v>707</v>
      </c>
      <c r="B708" t="s">
        <v>977</v>
      </c>
      <c r="C708" t="s">
        <v>3580</v>
      </c>
    </row>
    <row r="709" spans="1:3" x14ac:dyDescent="0.25">
      <c r="A709">
        <v>708</v>
      </c>
      <c r="B709" t="s">
        <v>1167</v>
      </c>
      <c r="C709" t="s">
        <v>3581</v>
      </c>
    </row>
    <row r="710" spans="1:3" x14ac:dyDescent="0.25">
      <c r="A710">
        <v>709</v>
      </c>
      <c r="B710" t="s">
        <v>1251</v>
      </c>
      <c r="C710" t="s">
        <v>3582</v>
      </c>
    </row>
    <row r="711" spans="1:3" x14ac:dyDescent="0.25">
      <c r="A711">
        <v>710</v>
      </c>
      <c r="B711" t="s">
        <v>1117</v>
      </c>
      <c r="C711" t="s">
        <v>3583</v>
      </c>
    </row>
    <row r="712" spans="1:3" x14ac:dyDescent="0.25">
      <c r="A712">
        <v>711</v>
      </c>
      <c r="B712" t="s">
        <v>1037</v>
      </c>
      <c r="C712" t="s">
        <v>3584</v>
      </c>
    </row>
    <row r="713" spans="1:3" x14ac:dyDescent="0.25">
      <c r="A713">
        <v>712</v>
      </c>
      <c r="B713" t="s">
        <v>1234</v>
      </c>
      <c r="C713" t="s">
        <v>3585</v>
      </c>
    </row>
    <row r="714" spans="1:3" x14ac:dyDescent="0.25">
      <c r="A714">
        <v>713</v>
      </c>
      <c r="B714" t="s">
        <v>1135</v>
      </c>
      <c r="C714" t="s">
        <v>3586</v>
      </c>
    </row>
    <row r="715" spans="1:3" x14ac:dyDescent="0.25">
      <c r="A715">
        <v>714</v>
      </c>
      <c r="B715" t="s">
        <v>1285</v>
      </c>
      <c r="C715" t="s">
        <v>3587</v>
      </c>
    </row>
    <row r="716" spans="1:3" x14ac:dyDescent="0.25">
      <c r="A716">
        <v>715</v>
      </c>
      <c r="B716" t="s">
        <v>1133</v>
      </c>
      <c r="C716" t="s">
        <v>3588</v>
      </c>
    </row>
    <row r="717" spans="1:3" x14ac:dyDescent="0.25">
      <c r="A717">
        <v>716</v>
      </c>
      <c r="B717" t="s">
        <v>3589</v>
      </c>
      <c r="C717" t="s">
        <v>3590</v>
      </c>
    </row>
    <row r="718" spans="1:3" x14ac:dyDescent="0.25">
      <c r="A718">
        <v>717</v>
      </c>
      <c r="B718" t="s">
        <v>1226</v>
      </c>
      <c r="C718" t="s">
        <v>3591</v>
      </c>
    </row>
    <row r="719" spans="1:3" x14ac:dyDescent="0.25">
      <c r="A719">
        <v>718</v>
      </c>
      <c r="B719" t="s">
        <v>1129</v>
      </c>
      <c r="C719" t="s">
        <v>3592</v>
      </c>
    </row>
    <row r="720" spans="1:3" x14ac:dyDescent="0.25">
      <c r="A720">
        <v>719</v>
      </c>
      <c r="B720" t="s">
        <v>3593</v>
      </c>
      <c r="C720" t="s">
        <v>3594</v>
      </c>
    </row>
    <row r="721" spans="1:3" x14ac:dyDescent="0.25">
      <c r="A721">
        <v>720</v>
      </c>
      <c r="B721" t="s">
        <v>3595</v>
      </c>
      <c r="C721" t="s">
        <v>3596</v>
      </c>
    </row>
    <row r="722" spans="1:3" x14ac:dyDescent="0.25">
      <c r="A722">
        <v>721</v>
      </c>
      <c r="B722" t="s">
        <v>3597</v>
      </c>
      <c r="C722" t="s">
        <v>3598</v>
      </c>
    </row>
    <row r="723" spans="1:3" x14ac:dyDescent="0.25">
      <c r="A723">
        <v>722</v>
      </c>
      <c r="B723" t="s">
        <v>1309</v>
      </c>
      <c r="C723" t="s">
        <v>3599</v>
      </c>
    </row>
    <row r="724" spans="1:3" x14ac:dyDescent="0.25">
      <c r="A724">
        <v>723</v>
      </c>
      <c r="B724" t="s">
        <v>1820</v>
      </c>
      <c r="C724" t="s">
        <v>3600</v>
      </c>
    </row>
    <row r="725" spans="1:3" x14ac:dyDescent="0.25">
      <c r="A725">
        <v>724</v>
      </c>
      <c r="B725" t="s">
        <v>1231</v>
      </c>
      <c r="C725" t="s">
        <v>3601</v>
      </c>
    </row>
    <row r="726" spans="1:3" x14ac:dyDescent="0.25">
      <c r="A726">
        <v>725</v>
      </c>
      <c r="B726" t="s">
        <v>1792</v>
      </c>
      <c r="C726" t="s">
        <v>3602</v>
      </c>
    </row>
    <row r="727" spans="1:3" x14ac:dyDescent="0.25">
      <c r="A727">
        <v>726</v>
      </c>
      <c r="B727" t="s">
        <v>1278</v>
      </c>
      <c r="C727" t="s">
        <v>3603</v>
      </c>
    </row>
    <row r="728" spans="1:3" x14ac:dyDescent="0.25">
      <c r="A728">
        <v>727</v>
      </c>
      <c r="B728" t="s">
        <v>1081</v>
      </c>
      <c r="C728" t="s">
        <v>3604</v>
      </c>
    </row>
    <row r="729" spans="1:3" x14ac:dyDescent="0.25">
      <c r="A729">
        <v>728</v>
      </c>
      <c r="B729" t="s">
        <v>1119</v>
      </c>
      <c r="C729" t="s">
        <v>3605</v>
      </c>
    </row>
    <row r="730" spans="1:3" x14ac:dyDescent="0.25">
      <c r="A730">
        <v>729</v>
      </c>
      <c r="B730" t="s">
        <v>1061</v>
      </c>
      <c r="C730" t="s">
        <v>3606</v>
      </c>
    </row>
    <row r="731" spans="1:3" x14ac:dyDescent="0.25">
      <c r="A731">
        <v>730</v>
      </c>
      <c r="B731" t="s">
        <v>1818</v>
      </c>
      <c r="C731" t="s">
        <v>3607</v>
      </c>
    </row>
    <row r="732" spans="1:3" x14ac:dyDescent="0.25">
      <c r="A732">
        <v>731</v>
      </c>
      <c r="B732" t="s">
        <v>908</v>
      </c>
      <c r="C732" t="s">
        <v>3608</v>
      </c>
    </row>
    <row r="733" spans="1:3" x14ac:dyDescent="0.25">
      <c r="A733">
        <v>732</v>
      </c>
      <c r="B733" t="s">
        <v>1155</v>
      </c>
      <c r="C733" t="s">
        <v>3609</v>
      </c>
    </row>
    <row r="734" spans="1:3" x14ac:dyDescent="0.25">
      <c r="A734">
        <v>733</v>
      </c>
      <c r="B734" t="s">
        <v>975</v>
      </c>
      <c r="C734" t="s">
        <v>3610</v>
      </c>
    </row>
    <row r="735" spans="1:3" x14ac:dyDescent="0.25">
      <c r="A735">
        <v>734</v>
      </c>
      <c r="B735" t="s">
        <v>1247</v>
      </c>
      <c r="C735" t="s">
        <v>3611</v>
      </c>
    </row>
    <row r="736" spans="1:3" x14ac:dyDescent="0.25">
      <c r="A736">
        <v>735</v>
      </c>
      <c r="B736" t="s">
        <v>1101</v>
      </c>
      <c r="C736" t="s">
        <v>3612</v>
      </c>
    </row>
    <row r="737" spans="1:3" x14ac:dyDescent="0.25">
      <c r="A737">
        <v>736</v>
      </c>
      <c r="B737" t="s">
        <v>1109</v>
      </c>
      <c r="C737" t="s">
        <v>3613</v>
      </c>
    </row>
    <row r="738" spans="1:3" x14ac:dyDescent="0.25">
      <c r="A738">
        <v>737</v>
      </c>
      <c r="B738" t="s">
        <v>1225</v>
      </c>
      <c r="C738" t="s">
        <v>3614</v>
      </c>
    </row>
    <row r="739" spans="1:3" x14ac:dyDescent="0.25">
      <c r="A739">
        <v>738</v>
      </c>
      <c r="B739" t="s">
        <v>2015</v>
      </c>
      <c r="C739" t="s">
        <v>3615</v>
      </c>
    </row>
    <row r="740" spans="1:3" x14ac:dyDescent="0.25">
      <c r="A740">
        <v>739</v>
      </c>
      <c r="B740" t="s">
        <v>1100</v>
      </c>
      <c r="C740" t="s">
        <v>3616</v>
      </c>
    </row>
    <row r="741" spans="1:3" x14ac:dyDescent="0.25">
      <c r="A741">
        <v>740</v>
      </c>
      <c r="B741" t="s">
        <v>1892</v>
      </c>
      <c r="C741" t="s">
        <v>3617</v>
      </c>
    </row>
    <row r="742" spans="1:3" x14ac:dyDescent="0.25">
      <c r="A742">
        <v>741</v>
      </c>
      <c r="B742" t="s">
        <v>1876</v>
      </c>
      <c r="C742" t="s">
        <v>3618</v>
      </c>
    </row>
    <row r="743" spans="1:3" x14ac:dyDescent="0.25">
      <c r="A743">
        <v>742</v>
      </c>
      <c r="B743" t="s">
        <v>1884</v>
      </c>
      <c r="C743" t="s">
        <v>3619</v>
      </c>
    </row>
    <row r="744" spans="1:3" x14ac:dyDescent="0.25">
      <c r="A744">
        <v>743</v>
      </c>
      <c r="B744" t="s">
        <v>1213</v>
      </c>
      <c r="C744" t="s">
        <v>3620</v>
      </c>
    </row>
    <row r="745" spans="1:3" x14ac:dyDescent="0.25">
      <c r="A745">
        <v>744</v>
      </c>
      <c r="B745" t="s">
        <v>1099</v>
      </c>
      <c r="C745" t="s">
        <v>3621</v>
      </c>
    </row>
    <row r="746" spans="1:3" x14ac:dyDescent="0.25">
      <c r="A746">
        <v>745</v>
      </c>
      <c r="B746" t="s">
        <v>992</v>
      </c>
      <c r="C746" t="s">
        <v>3622</v>
      </c>
    </row>
    <row r="747" spans="1:3" x14ac:dyDescent="0.25">
      <c r="A747">
        <v>746</v>
      </c>
      <c r="B747" t="s">
        <v>3623</v>
      </c>
      <c r="C747" t="s">
        <v>3624</v>
      </c>
    </row>
    <row r="748" spans="1:3" x14ac:dyDescent="0.25">
      <c r="A748">
        <v>747</v>
      </c>
      <c r="B748" t="s">
        <v>1120</v>
      </c>
      <c r="C748" t="s">
        <v>3625</v>
      </c>
    </row>
    <row r="749" spans="1:3" x14ac:dyDescent="0.25">
      <c r="A749">
        <v>748</v>
      </c>
      <c r="B749" t="s">
        <v>1834</v>
      </c>
      <c r="C749" t="s">
        <v>3626</v>
      </c>
    </row>
    <row r="750" spans="1:3" x14ac:dyDescent="0.25">
      <c r="A750">
        <v>749</v>
      </c>
      <c r="B750" t="s">
        <v>1067</v>
      </c>
      <c r="C750" t="s">
        <v>3627</v>
      </c>
    </row>
    <row r="751" spans="1:3" x14ac:dyDescent="0.25">
      <c r="A751">
        <v>750</v>
      </c>
      <c r="B751" t="s">
        <v>1002</v>
      </c>
      <c r="C751" t="s">
        <v>3628</v>
      </c>
    </row>
    <row r="752" spans="1:3" x14ac:dyDescent="0.25">
      <c r="A752">
        <v>751</v>
      </c>
      <c r="B752" t="s">
        <v>3629</v>
      </c>
      <c r="C752" t="s">
        <v>3630</v>
      </c>
    </row>
    <row r="753" spans="1:3" x14ac:dyDescent="0.25">
      <c r="A753">
        <v>752</v>
      </c>
      <c r="B753" t="s">
        <v>1106</v>
      </c>
      <c r="C753" t="s">
        <v>3631</v>
      </c>
    </row>
    <row r="754" spans="1:3" x14ac:dyDescent="0.25">
      <c r="A754">
        <v>753</v>
      </c>
      <c r="B754" t="s">
        <v>1126</v>
      </c>
      <c r="C754" t="s">
        <v>3632</v>
      </c>
    </row>
    <row r="755" spans="1:3" x14ac:dyDescent="0.25">
      <c r="A755">
        <v>754</v>
      </c>
      <c r="B755" t="s">
        <v>1889</v>
      </c>
      <c r="C755" t="s">
        <v>3633</v>
      </c>
    </row>
    <row r="756" spans="1:3" x14ac:dyDescent="0.25">
      <c r="A756">
        <v>755</v>
      </c>
      <c r="B756" t="s">
        <v>1742</v>
      </c>
      <c r="C756" t="s">
        <v>3634</v>
      </c>
    </row>
    <row r="757" spans="1:3" x14ac:dyDescent="0.25">
      <c r="A757">
        <v>756</v>
      </c>
      <c r="B757" t="s">
        <v>801</v>
      </c>
      <c r="C757" t="s">
        <v>3635</v>
      </c>
    </row>
    <row r="758" spans="1:3" x14ac:dyDescent="0.25">
      <c r="A758">
        <v>757</v>
      </c>
      <c r="B758" t="s">
        <v>3636</v>
      </c>
      <c r="C758" t="s">
        <v>3637</v>
      </c>
    </row>
    <row r="759" spans="1:3" x14ac:dyDescent="0.25">
      <c r="A759">
        <v>758</v>
      </c>
      <c r="B759" t="s">
        <v>1974</v>
      </c>
      <c r="C759" t="s">
        <v>3638</v>
      </c>
    </row>
    <row r="760" spans="1:3" x14ac:dyDescent="0.25">
      <c r="A760">
        <v>759</v>
      </c>
      <c r="B760" t="s">
        <v>2029</v>
      </c>
      <c r="C760" t="s">
        <v>3639</v>
      </c>
    </row>
    <row r="761" spans="1:3" x14ac:dyDescent="0.25">
      <c r="A761">
        <v>760</v>
      </c>
      <c r="B761" t="s">
        <v>3640</v>
      </c>
      <c r="C761" t="s">
        <v>3641</v>
      </c>
    </row>
    <row r="762" spans="1:3" x14ac:dyDescent="0.25">
      <c r="A762">
        <v>761</v>
      </c>
      <c r="B762" t="s">
        <v>1290</v>
      </c>
      <c r="C762" t="s">
        <v>3642</v>
      </c>
    </row>
    <row r="763" spans="1:3" x14ac:dyDescent="0.25">
      <c r="A763">
        <v>762</v>
      </c>
      <c r="B763" t="s">
        <v>1151</v>
      </c>
      <c r="C763" t="s">
        <v>3643</v>
      </c>
    </row>
    <row r="764" spans="1:3" x14ac:dyDescent="0.25">
      <c r="A764">
        <v>763</v>
      </c>
      <c r="B764" t="s">
        <v>1321</v>
      </c>
      <c r="C764" t="s">
        <v>3644</v>
      </c>
    </row>
    <row r="765" spans="1:3" x14ac:dyDescent="0.25">
      <c r="A765">
        <v>764</v>
      </c>
      <c r="B765" t="s">
        <v>1280</v>
      </c>
      <c r="C765" t="s">
        <v>3645</v>
      </c>
    </row>
    <row r="766" spans="1:3" x14ac:dyDescent="0.25">
      <c r="A766">
        <v>765</v>
      </c>
      <c r="B766" t="s">
        <v>3646</v>
      </c>
      <c r="C766" t="s">
        <v>3647</v>
      </c>
    </row>
    <row r="767" spans="1:3" x14ac:dyDescent="0.25">
      <c r="A767">
        <v>766</v>
      </c>
      <c r="B767" t="s">
        <v>3648</v>
      </c>
      <c r="C767" t="s">
        <v>3649</v>
      </c>
    </row>
    <row r="768" spans="1:3" x14ac:dyDescent="0.25">
      <c r="A768">
        <v>767</v>
      </c>
      <c r="B768" t="s">
        <v>3650</v>
      </c>
      <c r="C768" t="s">
        <v>3651</v>
      </c>
    </row>
    <row r="769" spans="1:3" x14ac:dyDescent="0.25">
      <c r="A769">
        <v>768</v>
      </c>
      <c r="B769" t="s">
        <v>3652</v>
      </c>
      <c r="C769" t="s">
        <v>3653</v>
      </c>
    </row>
    <row r="770" spans="1:3" x14ac:dyDescent="0.25">
      <c r="A770">
        <v>769</v>
      </c>
      <c r="B770" t="s">
        <v>3654</v>
      </c>
      <c r="C770" t="s">
        <v>3655</v>
      </c>
    </row>
    <row r="771" spans="1:3" x14ac:dyDescent="0.25">
      <c r="A771">
        <v>770</v>
      </c>
      <c r="B771" t="s">
        <v>987</v>
      </c>
      <c r="C771" t="s">
        <v>3656</v>
      </c>
    </row>
    <row r="772" spans="1:3" x14ac:dyDescent="0.25">
      <c r="A772">
        <v>771</v>
      </c>
      <c r="B772" t="s">
        <v>989</v>
      </c>
      <c r="C772" t="s">
        <v>3657</v>
      </c>
    </row>
    <row r="773" spans="1:3" x14ac:dyDescent="0.25">
      <c r="A773">
        <v>772</v>
      </c>
      <c r="B773" t="s">
        <v>1840</v>
      </c>
      <c r="C773" t="s">
        <v>3658</v>
      </c>
    </row>
    <row r="774" spans="1:3" x14ac:dyDescent="0.25">
      <c r="A774">
        <v>773</v>
      </c>
      <c r="B774" t="s">
        <v>991</v>
      </c>
      <c r="C774" t="s">
        <v>3659</v>
      </c>
    </row>
    <row r="775" spans="1:3" x14ac:dyDescent="0.25">
      <c r="A775">
        <v>774</v>
      </c>
      <c r="B775" t="s">
        <v>1768</v>
      </c>
      <c r="C775" t="s">
        <v>3660</v>
      </c>
    </row>
    <row r="776" spans="1:3" x14ac:dyDescent="0.25">
      <c r="A776">
        <v>775</v>
      </c>
      <c r="B776" t="s">
        <v>3661</v>
      </c>
      <c r="C776" t="s">
        <v>3662</v>
      </c>
    </row>
    <row r="777" spans="1:3" x14ac:dyDescent="0.25">
      <c r="A777">
        <v>776</v>
      </c>
      <c r="B777" t="s">
        <v>1284</v>
      </c>
      <c r="C777" t="s">
        <v>3663</v>
      </c>
    </row>
    <row r="778" spans="1:3" x14ac:dyDescent="0.25">
      <c r="A778">
        <v>777</v>
      </c>
      <c r="B778" t="s">
        <v>3664</v>
      </c>
      <c r="C778" t="s">
        <v>3665</v>
      </c>
    </row>
    <row r="779" spans="1:3" x14ac:dyDescent="0.25">
      <c r="A779">
        <v>778</v>
      </c>
      <c r="B779" t="s">
        <v>1903</v>
      </c>
      <c r="C779" t="s">
        <v>3666</v>
      </c>
    </row>
    <row r="780" spans="1:3" x14ac:dyDescent="0.25">
      <c r="A780">
        <v>779</v>
      </c>
      <c r="B780" t="s">
        <v>1953</v>
      </c>
      <c r="C780" t="s">
        <v>3667</v>
      </c>
    </row>
    <row r="781" spans="1:3" x14ac:dyDescent="0.25">
      <c r="A781">
        <v>780</v>
      </c>
      <c r="B781" t="s">
        <v>3668</v>
      </c>
      <c r="C781" t="s">
        <v>3669</v>
      </c>
    </row>
    <row r="782" spans="1:3" x14ac:dyDescent="0.25">
      <c r="A782">
        <v>781</v>
      </c>
      <c r="B782" t="s">
        <v>3670</v>
      </c>
      <c r="C782" t="s">
        <v>3671</v>
      </c>
    </row>
    <row r="783" spans="1:3" x14ac:dyDescent="0.25">
      <c r="A783">
        <v>782</v>
      </c>
      <c r="B783" t="s">
        <v>1048</v>
      </c>
      <c r="C783" t="s">
        <v>3672</v>
      </c>
    </row>
    <row r="784" spans="1:3" x14ac:dyDescent="0.25">
      <c r="A784">
        <v>783</v>
      </c>
      <c r="B784" t="s">
        <v>1948</v>
      </c>
      <c r="C784" t="s">
        <v>3673</v>
      </c>
    </row>
    <row r="785" spans="1:3" x14ac:dyDescent="0.25">
      <c r="A785">
        <v>784</v>
      </c>
      <c r="B785" t="s">
        <v>1021</v>
      </c>
      <c r="C785" t="s">
        <v>3674</v>
      </c>
    </row>
    <row r="786" spans="1:3" x14ac:dyDescent="0.25">
      <c r="A786">
        <v>785</v>
      </c>
      <c r="B786" t="s">
        <v>3675</v>
      </c>
      <c r="C786" t="s">
        <v>3676</v>
      </c>
    </row>
    <row r="787" spans="1:3" x14ac:dyDescent="0.25">
      <c r="A787">
        <v>786</v>
      </c>
      <c r="B787" t="s">
        <v>1236</v>
      </c>
      <c r="C787" t="s">
        <v>3677</v>
      </c>
    </row>
    <row r="788" spans="1:3" x14ac:dyDescent="0.25">
      <c r="A788">
        <v>787</v>
      </c>
      <c r="B788" t="s">
        <v>1575</v>
      </c>
      <c r="C788" t="s">
        <v>3678</v>
      </c>
    </row>
    <row r="789" spans="1:3" x14ac:dyDescent="0.25">
      <c r="A789">
        <v>788</v>
      </c>
      <c r="B789" t="s">
        <v>1171</v>
      </c>
      <c r="C789" t="s">
        <v>3679</v>
      </c>
    </row>
    <row r="790" spans="1:3" x14ac:dyDescent="0.25">
      <c r="A790">
        <v>789</v>
      </c>
      <c r="B790" t="s">
        <v>1986</v>
      </c>
      <c r="C790" t="s">
        <v>3680</v>
      </c>
    </row>
    <row r="791" spans="1:3" x14ac:dyDescent="0.25">
      <c r="A791">
        <v>790</v>
      </c>
      <c r="B791" t="s">
        <v>3681</v>
      </c>
      <c r="C791" t="s">
        <v>3682</v>
      </c>
    </row>
    <row r="792" spans="1:3" x14ac:dyDescent="0.25">
      <c r="A792">
        <v>791</v>
      </c>
      <c r="B792" t="s">
        <v>48</v>
      </c>
      <c r="C792" t="s">
        <v>3683</v>
      </c>
    </row>
    <row r="793" spans="1:3" x14ac:dyDescent="0.25">
      <c r="A793">
        <v>792</v>
      </c>
      <c r="B793" t="s">
        <v>945</v>
      </c>
      <c r="C793" t="s">
        <v>3684</v>
      </c>
    </row>
    <row r="794" spans="1:3" x14ac:dyDescent="0.25">
      <c r="A794">
        <v>793</v>
      </c>
      <c r="B794" t="s">
        <v>3685</v>
      </c>
      <c r="C794" t="s">
        <v>3686</v>
      </c>
    </row>
    <row r="795" spans="1:3" x14ac:dyDescent="0.25">
      <c r="A795">
        <v>794</v>
      </c>
      <c r="B795" t="s">
        <v>3687</v>
      </c>
      <c r="C795" t="s">
        <v>3688</v>
      </c>
    </row>
    <row r="796" spans="1:3" x14ac:dyDescent="0.25">
      <c r="A796">
        <v>795</v>
      </c>
      <c r="B796" t="s">
        <v>983</v>
      </c>
      <c r="C796" t="s">
        <v>3689</v>
      </c>
    </row>
    <row r="797" spans="1:3" x14ac:dyDescent="0.25">
      <c r="A797">
        <v>796</v>
      </c>
      <c r="B797" t="s">
        <v>1160</v>
      </c>
      <c r="C797" t="s">
        <v>3690</v>
      </c>
    </row>
    <row r="798" spans="1:3" x14ac:dyDescent="0.25">
      <c r="A798">
        <v>797</v>
      </c>
      <c r="B798" t="s">
        <v>1917</v>
      </c>
      <c r="C798" t="s">
        <v>3691</v>
      </c>
    </row>
    <row r="799" spans="1:3" x14ac:dyDescent="0.25">
      <c r="A799">
        <v>798</v>
      </c>
      <c r="B799" t="s">
        <v>1920</v>
      </c>
      <c r="C799" t="s">
        <v>3692</v>
      </c>
    </row>
    <row r="800" spans="1:3" x14ac:dyDescent="0.25">
      <c r="A800">
        <v>799</v>
      </c>
      <c r="B800" t="s">
        <v>1146</v>
      </c>
      <c r="C800" t="s">
        <v>3693</v>
      </c>
    </row>
    <row r="801" spans="1:3" x14ac:dyDescent="0.25">
      <c r="A801">
        <v>800</v>
      </c>
      <c r="B801" t="s">
        <v>210</v>
      </c>
      <c r="C801" t="s">
        <v>3694</v>
      </c>
    </row>
    <row r="802" spans="1:3" x14ac:dyDescent="0.25">
      <c r="A802">
        <v>801</v>
      </c>
      <c r="B802" t="s">
        <v>3695</v>
      </c>
      <c r="C802" t="s">
        <v>3696</v>
      </c>
    </row>
    <row r="803" spans="1:3" x14ac:dyDescent="0.25">
      <c r="A803">
        <v>802</v>
      </c>
      <c r="B803" t="s">
        <v>1886</v>
      </c>
      <c r="C803" t="s">
        <v>3697</v>
      </c>
    </row>
    <row r="804" spans="1:3" x14ac:dyDescent="0.25">
      <c r="A804">
        <v>803</v>
      </c>
      <c r="B804" t="s">
        <v>3698</v>
      </c>
      <c r="C804" t="s">
        <v>3699</v>
      </c>
    </row>
    <row r="805" spans="1:3" x14ac:dyDescent="0.25">
      <c r="A805">
        <v>804</v>
      </c>
      <c r="B805" t="s">
        <v>3700</v>
      </c>
      <c r="C805" t="s">
        <v>3701</v>
      </c>
    </row>
    <row r="806" spans="1:3" x14ac:dyDescent="0.25">
      <c r="A806">
        <v>805</v>
      </c>
      <c r="B806" t="s">
        <v>1148</v>
      </c>
      <c r="C806" t="s">
        <v>3702</v>
      </c>
    </row>
    <row r="807" spans="1:3" x14ac:dyDescent="0.25">
      <c r="A807">
        <v>806</v>
      </c>
      <c r="B807" t="s">
        <v>3703</v>
      </c>
      <c r="C807" t="s">
        <v>3704</v>
      </c>
    </row>
    <row r="808" spans="1:3" x14ac:dyDescent="0.25">
      <c r="A808">
        <v>807</v>
      </c>
      <c r="B808" t="s">
        <v>3705</v>
      </c>
      <c r="C808" t="s">
        <v>3706</v>
      </c>
    </row>
    <row r="809" spans="1:3" x14ac:dyDescent="0.25">
      <c r="A809">
        <v>808</v>
      </c>
      <c r="B809" t="s">
        <v>642</v>
      </c>
      <c r="C809" t="s">
        <v>3707</v>
      </c>
    </row>
    <row r="810" spans="1:3" x14ac:dyDescent="0.25">
      <c r="A810">
        <v>809</v>
      </c>
      <c r="B810" t="s">
        <v>1754</v>
      </c>
      <c r="C810" t="s">
        <v>3708</v>
      </c>
    </row>
    <row r="811" spans="1:3" x14ac:dyDescent="0.25">
      <c r="A811">
        <v>810</v>
      </c>
      <c r="B811" t="s">
        <v>3709</v>
      </c>
      <c r="C811" t="s">
        <v>3710</v>
      </c>
    </row>
    <row r="812" spans="1:3" x14ac:dyDescent="0.25">
      <c r="A812">
        <v>811</v>
      </c>
      <c r="B812" t="s">
        <v>1294</v>
      </c>
      <c r="C812" t="s">
        <v>3711</v>
      </c>
    </row>
    <row r="813" spans="1:3" x14ac:dyDescent="0.25">
      <c r="A813">
        <v>812</v>
      </c>
      <c r="B813" t="s">
        <v>3712</v>
      </c>
      <c r="C813" t="s">
        <v>3713</v>
      </c>
    </row>
    <row r="814" spans="1:3" x14ac:dyDescent="0.25">
      <c r="A814">
        <v>813</v>
      </c>
      <c r="B814" t="s">
        <v>1001</v>
      </c>
      <c r="C814" t="s">
        <v>3714</v>
      </c>
    </row>
    <row r="815" spans="1:3" x14ac:dyDescent="0.25">
      <c r="A815">
        <v>814</v>
      </c>
      <c r="B815" t="s">
        <v>3715</v>
      </c>
      <c r="C815" t="s">
        <v>3716</v>
      </c>
    </row>
    <row r="816" spans="1:3" x14ac:dyDescent="0.25">
      <c r="A816">
        <v>815</v>
      </c>
      <c r="B816" t="s">
        <v>1066</v>
      </c>
      <c r="C816" t="s">
        <v>3717</v>
      </c>
    </row>
    <row r="817" spans="1:3" x14ac:dyDescent="0.25">
      <c r="A817">
        <v>816</v>
      </c>
      <c r="B817" t="s">
        <v>1058</v>
      </c>
      <c r="C817" t="s">
        <v>3718</v>
      </c>
    </row>
    <row r="818" spans="1:3" x14ac:dyDescent="0.25">
      <c r="A818">
        <v>817</v>
      </c>
      <c r="B818" t="s">
        <v>953</v>
      </c>
      <c r="C818" t="s">
        <v>3719</v>
      </c>
    </row>
    <row r="819" spans="1:3" x14ac:dyDescent="0.25">
      <c r="A819">
        <v>818</v>
      </c>
      <c r="B819" t="s">
        <v>1108</v>
      </c>
      <c r="C819" t="s">
        <v>3720</v>
      </c>
    </row>
    <row r="820" spans="1:3" x14ac:dyDescent="0.25">
      <c r="A820">
        <v>819</v>
      </c>
      <c r="B820" t="s">
        <v>1190</v>
      </c>
      <c r="C820" t="s">
        <v>3721</v>
      </c>
    </row>
    <row r="821" spans="1:3" x14ac:dyDescent="0.25">
      <c r="A821">
        <v>820</v>
      </c>
      <c r="B821" t="s">
        <v>1940</v>
      </c>
      <c r="C821" t="s">
        <v>3722</v>
      </c>
    </row>
    <row r="822" spans="1:3" x14ac:dyDescent="0.25">
      <c r="A822">
        <v>821</v>
      </c>
      <c r="B822" t="s">
        <v>3723</v>
      </c>
      <c r="C822" t="s">
        <v>3724</v>
      </c>
    </row>
    <row r="823" spans="1:3" x14ac:dyDescent="0.25">
      <c r="A823">
        <v>822</v>
      </c>
      <c r="B823" t="s">
        <v>41</v>
      </c>
      <c r="C823" t="s">
        <v>3725</v>
      </c>
    </row>
    <row r="824" spans="1:3" x14ac:dyDescent="0.25">
      <c r="A824">
        <v>823</v>
      </c>
      <c r="B824" t="s">
        <v>1794</v>
      </c>
      <c r="C824" t="s">
        <v>3726</v>
      </c>
    </row>
    <row r="825" spans="1:3" x14ac:dyDescent="0.25">
      <c r="A825">
        <v>824</v>
      </c>
      <c r="B825" t="s">
        <v>941</v>
      </c>
      <c r="C825" t="s">
        <v>3727</v>
      </c>
    </row>
    <row r="826" spans="1:3" x14ac:dyDescent="0.25">
      <c r="A826">
        <v>825</v>
      </c>
      <c r="B826" t="s">
        <v>3728</v>
      </c>
      <c r="C826" t="s">
        <v>3729</v>
      </c>
    </row>
    <row r="827" spans="1:3" x14ac:dyDescent="0.25">
      <c r="A827">
        <v>826</v>
      </c>
      <c r="B827" t="s">
        <v>1807</v>
      </c>
      <c r="C827" t="s">
        <v>3730</v>
      </c>
    </row>
    <row r="828" spans="1:3" x14ac:dyDescent="0.25">
      <c r="A828">
        <v>827</v>
      </c>
      <c r="B828" t="s">
        <v>1003</v>
      </c>
      <c r="C828" t="s">
        <v>3731</v>
      </c>
    </row>
    <row r="829" spans="1:3" x14ac:dyDescent="0.25">
      <c r="A829">
        <v>828</v>
      </c>
      <c r="B829" t="s">
        <v>905</v>
      </c>
      <c r="C829" t="s">
        <v>3732</v>
      </c>
    </row>
    <row r="830" spans="1:3" x14ac:dyDescent="0.25">
      <c r="A830">
        <v>829</v>
      </c>
      <c r="B830" t="s">
        <v>1253</v>
      </c>
      <c r="C830" t="s">
        <v>3733</v>
      </c>
    </row>
    <row r="831" spans="1:3" x14ac:dyDescent="0.25">
      <c r="A831">
        <v>830</v>
      </c>
      <c r="B831" t="s">
        <v>5</v>
      </c>
      <c r="C831" t="s">
        <v>3734</v>
      </c>
    </row>
    <row r="832" spans="1:3" x14ac:dyDescent="0.25">
      <c r="A832">
        <v>831</v>
      </c>
      <c r="B832" t="s">
        <v>1201</v>
      </c>
      <c r="C832" t="s">
        <v>3735</v>
      </c>
    </row>
    <row r="833" spans="1:3" x14ac:dyDescent="0.25">
      <c r="A833">
        <v>832</v>
      </c>
      <c r="B833" t="s">
        <v>3736</v>
      </c>
      <c r="C833" t="s">
        <v>3737</v>
      </c>
    </row>
    <row r="834" spans="1:3" x14ac:dyDescent="0.25">
      <c r="A834">
        <v>833</v>
      </c>
      <c r="B834" t="s">
        <v>3738</v>
      </c>
      <c r="C834" t="s">
        <v>3739</v>
      </c>
    </row>
    <row r="835" spans="1:3" x14ac:dyDescent="0.25">
      <c r="A835">
        <v>834</v>
      </c>
      <c r="B835" t="s">
        <v>1817</v>
      </c>
      <c r="C835" t="s">
        <v>3740</v>
      </c>
    </row>
    <row r="836" spans="1:3" x14ac:dyDescent="0.25">
      <c r="A836">
        <v>835</v>
      </c>
      <c r="B836" t="s">
        <v>3741</v>
      </c>
      <c r="C836" t="s">
        <v>3742</v>
      </c>
    </row>
    <row r="837" spans="1:3" x14ac:dyDescent="0.25">
      <c r="A837">
        <v>836</v>
      </c>
      <c r="B837" t="s">
        <v>1961</v>
      </c>
      <c r="C837" t="s">
        <v>3743</v>
      </c>
    </row>
    <row r="838" spans="1:3" x14ac:dyDescent="0.25">
      <c r="A838">
        <v>837</v>
      </c>
      <c r="B838" t="s">
        <v>1000</v>
      </c>
      <c r="C838" t="s">
        <v>3744</v>
      </c>
    </row>
    <row r="839" spans="1:3" x14ac:dyDescent="0.25">
      <c r="A839">
        <v>838</v>
      </c>
      <c r="B839" t="s">
        <v>168</v>
      </c>
      <c r="C839" t="s">
        <v>3745</v>
      </c>
    </row>
    <row r="840" spans="1:3" x14ac:dyDescent="0.25">
      <c r="A840">
        <v>839</v>
      </c>
      <c r="B840" t="s">
        <v>3746</v>
      </c>
      <c r="C840" t="s">
        <v>3747</v>
      </c>
    </row>
    <row r="841" spans="1:3" x14ac:dyDescent="0.25">
      <c r="A841">
        <v>840</v>
      </c>
      <c r="B841" t="s">
        <v>3748</v>
      </c>
      <c r="C841" t="s">
        <v>3749</v>
      </c>
    </row>
    <row r="842" spans="1:3" x14ac:dyDescent="0.25">
      <c r="A842">
        <v>841</v>
      </c>
      <c r="B842" t="s">
        <v>3750</v>
      </c>
      <c r="C842" t="s">
        <v>3751</v>
      </c>
    </row>
    <row r="843" spans="1:3" x14ac:dyDescent="0.25">
      <c r="A843">
        <v>842</v>
      </c>
      <c r="B843" t="s">
        <v>3752</v>
      </c>
      <c r="C843" t="s">
        <v>3753</v>
      </c>
    </row>
    <row r="844" spans="1:3" x14ac:dyDescent="0.25">
      <c r="A844">
        <v>843</v>
      </c>
      <c r="B844" t="s">
        <v>3754</v>
      </c>
      <c r="C844" t="s">
        <v>3755</v>
      </c>
    </row>
    <row r="845" spans="1:3" x14ac:dyDescent="0.25">
      <c r="A845">
        <v>844</v>
      </c>
      <c r="B845" t="s">
        <v>3756</v>
      </c>
      <c r="C845" t="s">
        <v>3757</v>
      </c>
    </row>
    <row r="846" spans="1:3" x14ac:dyDescent="0.25">
      <c r="A846">
        <v>845</v>
      </c>
      <c r="B846" t="s">
        <v>1885</v>
      </c>
      <c r="C846" t="s">
        <v>3758</v>
      </c>
    </row>
    <row r="847" spans="1:3" x14ac:dyDescent="0.25">
      <c r="A847">
        <v>846</v>
      </c>
      <c r="B847" t="s">
        <v>1034</v>
      </c>
      <c r="C847" t="s">
        <v>3759</v>
      </c>
    </row>
    <row r="848" spans="1:3" x14ac:dyDescent="0.25">
      <c r="A848">
        <v>847</v>
      </c>
      <c r="B848" t="s">
        <v>1192</v>
      </c>
      <c r="C848" t="s">
        <v>3760</v>
      </c>
    </row>
    <row r="849" spans="1:3" x14ac:dyDescent="0.25">
      <c r="A849">
        <v>848</v>
      </c>
      <c r="B849" t="s">
        <v>1182</v>
      </c>
      <c r="C849" t="s">
        <v>3761</v>
      </c>
    </row>
    <row r="850" spans="1:3" x14ac:dyDescent="0.25">
      <c r="A850">
        <v>849</v>
      </c>
      <c r="B850" t="s">
        <v>1869</v>
      </c>
      <c r="C850" t="s">
        <v>3762</v>
      </c>
    </row>
    <row r="851" spans="1:3" x14ac:dyDescent="0.25">
      <c r="A851">
        <v>850</v>
      </c>
      <c r="B851" t="s">
        <v>3763</v>
      </c>
      <c r="C851" t="s">
        <v>3764</v>
      </c>
    </row>
    <row r="852" spans="1:3" x14ac:dyDescent="0.25">
      <c r="A852">
        <v>851</v>
      </c>
      <c r="B852" t="s">
        <v>1228</v>
      </c>
      <c r="C852" t="s">
        <v>3765</v>
      </c>
    </row>
    <row r="853" spans="1:3" x14ac:dyDescent="0.25">
      <c r="A853">
        <v>852</v>
      </c>
      <c r="B853" t="s">
        <v>3766</v>
      </c>
      <c r="C853" t="s">
        <v>3767</v>
      </c>
    </row>
    <row r="854" spans="1:3" x14ac:dyDescent="0.25">
      <c r="A854">
        <v>853</v>
      </c>
      <c r="B854" t="s">
        <v>3768</v>
      </c>
      <c r="C854" t="s">
        <v>3769</v>
      </c>
    </row>
    <row r="855" spans="1:3" x14ac:dyDescent="0.25">
      <c r="A855">
        <v>854</v>
      </c>
      <c r="B855" t="s">
        <v>3770</v>
      </c>
      <c r="C855" t="s">
        <v>3771</v>
      </c>
    </row>
    <row r="856" spans="1:3" x14ac:dyDescent="0.25">
      <c r="A856">
        <v>855</v>
      </c>
      <c r="B856" t="s">
        <v>626</v>
      </c>
      <c r="C856" t="s">
        <v>3772</v>
      </c>
    </row>
    <row r="857" spans="1:3" x14ac:dyDescent="0.25">
      <c r="A857">
        <v>856</v>
      </c>
      <c r="B857" t="s">
        <v>934</v>
      </c>
      <c r="C857" t="s">
        <v>3773</v>
      </c>
    </row>
    <row r="858" spans="1:3" x14ac:dyDescent="0.25">
      <c r="A858">
        <v>857</v>
      </c>
      <c r="B858" t="s">
        <v>1923</v>
      </c>
      <c r="C858" t="s">
        <v>3774</v>
      </c>
    </row>
    <row r="859" spans="1:3" x14ac:dyDescent="0.25">
      <c r="A859">
        <v>858</v>
      </c>
      <c r="B859" t="s">
        <v>1774</v>
      </c>
      <c r="C859" t="s">
        <v>3775</v>
      </c>
    </row>
    <row r="860" spans="1:3" x14ac:dyDescent="0.25">
      <c r="A860">
        <v>859</v>
      </c>
      <c r="B860" t="s">
        <v>1980</v>
      </c>
      <c r="C860" t="s">
        <v>3776</v>
      </c>
    </row>
    <row r="861" spans="1:3" x14ac:dyDescent="0.25">
      <c r="A861">
        <v>860</v>
      </c>
      <c r="B861" t="s">
        <v>1976</v>
      </c>
      <c r="C861" t="s">
        <v>3777</v>
      </c>
    </row>
    <row r="862" spans="1:3" x14ac:dyDescent="0.25">
      <c r="A862">
        <v>861</v>
      </c>
      <c r="B862" t="s">
        <v>926</v>
      </c>
      <c r="C862" t="s">
        <v>3778</v>
      </c>
    </row>
    <row r="863" spans="1:3" x14ac:dyDescent="0.25">
      <c r="A863">
        <v>862</v>
      </c>
      <c r="B863" t="s">
        <v>3779</v>
      </c>
      <c r="C863" t="s">
        <v>3780</v>
      </c>
    </row>
    <row r="864" spans="1:3" x14ac:dyDescent="0.25">
      <c r="A864">
        <v>863</v>
      </c>
      <c r="B864" t="s">
        <v>170</v>
      </c>
      <c r="C864" t="s">
        <v>3781</v>
      </c>
    </row>
    <row r="865" spans="1:3" x14ac:dyDescent="0.25">
      <c r="A865">
        <v>864</v>
      </c>
      <c r="B865" t="s">
        <v>1740</v>
      </c>
      <c r="C865" t="s">
        <v>3782</v>
      </c>
    </row>
    <row r="866" spans="1:3" x14ac:dyDescent="0.25">
      <c r="A866">
        <v>865</v>
      </c>
      <c r="B866" t="s">
        <v>1238</v>
      </c>
      <c r="C866" t="s">
        <v>3783</v>
      </c>
    </row>
    <row r="867" spans="1:3" x14ac:dyDescent="0.25">
      <c r="A867">
        <v>866</v>
      </c>
      <c r="B867" t="s">
        <v>1084</v>
      </c>
      <c r="C867" t="s">
        <v>3784</v>
      </c>
    </row>
    <row r="868" spans="1:3" x14ac:dyDescent="0.25">
      <c r="A868">
        <v>867</v>
      </c>
      <c r="B868" t="s">
        <v>1296</v>
      </c>
      <c r="C868" t="s">
        <v>3785</v>
      </c>
    </row>
    <row r="869" spans="1:3" x14ac:dyDescent="0.25">
      <c r="A869">
        <v>868</v>
      </c>
      <c r="B869" t="s">
        <v>3786</v>
      </c>
      <c r="C869" t="s">
        <v>3787</v>
      </c>
    </row>
    <row r="870" spans="1:3" x14ac:dyDescent="0.25">
      <c r="A870">
        <v>869</v>
      </c>
      <c r="B870" t="s">
        <v>1743</v>
      </c>
      <c r="C870" t="s">
        <v>3788</v>
      </c>
    </row>
    <row r="871" spans="1:3" x14ac:dyDescent="0.25">
      <c r="A871">
        <v>870</v>
      </c>
      <c r="B871" t="s">
        <v>3789</v>
      </c>
      <c r="C871" t="s">
        <v>3790</v>
      </c>
    </row>
    <row r="872" spans="1:3" x14ac:dyDescent="0.25">
      <c r="A872">
        <v>871</v>
      </c>
      <c r="B872" t="s">
        <v>3791</v>
      </c>
      <c r="C872" t="s">
        <v>3792</v>
      </c>
    </row>
    <row r="873" spans="1:3" x14ac:dyDescent="0.25">
      <c r="A873">
        <v>872</v>
      </c>
      <c r="B873" t="s">
        <v>1665</v>
      </c>
      <c r="C873" t="s">
        <v>3793</v>
      </c>
    </row>
    <row r="874" spans="1:3" x14ac:dyDescent="0.25">
      <c r="A874">
        <v>873</v>
      </c>
      <c r="B874" t="s">
        <v>1739</v>
      </c>
      <c r="C874" t="s">
        <v>3794</v>
      </c>
    </row>
    <row r="875" spans="1:3" x14ac:dyDescent="0.25">
      <c r="A875">
        <v>874</v>
      </c>
      <c r="B875" t="s">
        <v>1951</v>
      </c>
      <c r="C875" t="s">
        <v>3795</v>
      </c>
    </row>
    <row r="876" spans="1:3" x14ac:dyDescent="0.25">
      <c r="A876">
        <v>875</v>
      </c>
      <c r="B876" t="s">
        <v>1152</v>
      </c>
      <c r="C876" t="s">
        <v>3796</v>
      </c>
    </row>
    <row r="877" spans="1:3" x14ac:dyDescent="0.25">
      <c r="A877">
        <v>876</v>
      </c>
      <c r="B877" t="s">
        <v>3797</v>
      </c>
      <c r="C877" t="s">
        <v>3798</v>
      </c>
    </row>
    <row r="878" spans="1:3" x14ac:dyDescent="0.25">
      <c r="A878">
        <v>877</v>
      </c>
      <c r="B878" t="s">
        <v>1723</v>
      </c>
      <c r="C878" t="s">
        <v>3799</v>
      </c>
    </row>
    <row r="879" spans="1:3" x14ac:dyDescent="0.25">
      <c r="A879">
        <v>878</v>
      </c>
      <c r="B879" t="s">
        <v>1968</v>
      </c>
      <c r="C879" t="s">
        <v>3800</v>
      </c>
    </row>
    <row r="880" spans="1:3" x14ac:dyDescent="0.25">
      <c r="A880">
        <v>879</v>
      </c>
      <c r="B880" t="s">
        <v>3801</v>
      </c>
      <c r="C880" t="s">
        <v>3802</v>
      </c>
    </row>
    <row r="881" spans="1:3" x14ac:dyDescent="0.25">
      <c r="A881">
        <v>880</v>
      </c>
      <c r="B881" t="s">
        <v>3803</v>
      </c>
      <c r="C881" t="s">
        <v>3804</v>
      </c>
    </row>
    <row r="882" spans="1:3" x14ac:dyDescent="0.25">
      <c r="A882">
        <v>881</v>
      </c>
      <c r="B882" t="s">
        <v>1725</v>
      </c>
      <c r="C882" t="s">
        <v>3805</v>
      </c>
    </row>
    <row r="883" spans="1:3" x14ac:dyDescent="0.25">
      <c r="A883">
        <v>882</v>
      </c>
      <c r="B883" t="s">
        <v>3806</v>
      </c>
      <c r="C883" t="s">
        <v>3807</v>
      </c>
    </row>
    <row r="884" spans="1:3" x14ac:dyDescent="0.25">
      <c r="A884">
        <v>883</v>
      </c>
      <c r="B884" t="s">
        <v>3808</v>
      </c>
      <c r="C884" t="s">
        <v>3809</v>
      </c>
    </row>
    <row r="885" spans="1:3" x14ac:dyDescent="0.25">
      <c r="A885">
        <v>884</v>
      </c>
      <c r="B885" t="s">
        <v>998</v>
      </c>
      <c r="C885" t="s">
        <v>3810</v>
      </c>
    </row>
    <row r="886" spans="1:3" x14ac:dyDescent="0.25">
      <c r="A886">
        <v>885</v>
      </c>
      <c r="B886" t="s">
        <v>1178</v>
      </c>
      <c r="C886" t="s">
        <v>3811</v>
      </c>
    </row>
    <row r="887" spans="1:3" x14ac:dyDescent="0.25">
      <c r="A887">
        <v>886</v>
      </c>
      <c r="B887" t="s">
        <v>3812</v>
      </c>
      <c r="C887" t="s">
        <v>3813</v>
      </c>
    </row>
    <row r="888" spans="1:3" x14ac:dyDescent="0.25">
      <c r="A888">
        <v>887</v>
      </c>
      <c r="B888" t="s">
        <v>3814</v>
      </c>
      <c r="C888" t="s">
        <v>3815</v>
      </c>
    </row>
    <row r="889" spans="1:3" x14ac:dyDescent="0.25">
      <c r="A889">
        <v>888</v>
      </c>
      <c r="B889" t="s">
        <v>3816</v>
      </c>
      <c r="C889" t="s">
        <v>3817</v>
      </c>
    </row>
    <row r="890" spans="1:3" x14ac:dyDescent="0.25">
      <c r="A890">
        <v>889</v>
      </c>
      <c r="B890" t="s">
        <v>1822</v>
      </c>
      <c r="C890" t="s">
        <v>3818</v>
      </c>
    </row>
    <row r="891" spans="1:3" x14ac:dyDescent="0.25">
      <c r="A891">
        <v>890</v>
      </c>
      <c r="B891" t="s">
        <v>1714</v>
      </c>
      <c r="C891" t="s">
        <v>3819</v>
      </c>
    </row>
    <row r="892" spans="1:3" x14ac:dyDescent="0.25">
      <c r="A892">
        <v>891</v>
      </c>
      <c r="B892" t="s">
        <v>3820</v>
      </c>
      <c r="C892" t="s">
        <v>3821</v>
      </c>
    </row>
    <row r="893" spans="1:3" x14ac:dyDescent="0.25">
      <c r="A893">
        <v>892</v>
      </c>
      <c r="B893" t="s">
        <v>3822</v>
      </c>
      <c r="C893" t="s">
        <v>3823</v>
      </c>
    </row>
    <row r="894" spans="1:3" x14ac:dyDescent="0.25">
      <c r="A894">
        <v>893</v>
      </c>
      <c r="B894" t="s">
        <v>1372</v>
      </c>
      <c r="C894" t="s">
        <v>3824</v>
      </c>
    </row>
    <row r="895" spans="1:3" x14ac:dyDescent="0.25">
      <c r="A895">
        <v>894</v>
      </c>
      <c r="B895" t="s">
        <v>3825</v>
      </c>
      <c r="C895" t="s">
        <v>3826</v>
      </c>
    </row>
    <row r="896" spans="1:3" x14ac:dyDescent="0.25">
      <c r="A896">
        <v>895</v>
      </c>
      <c r="B896" t="s">
        <v>3827</v>
      </c>
      <c r="C896" t="s">
        <v>3828</v>
      </c>
    </row>
    <row r="897" spans="1:3" x14ac:dyDescent="0.25">
      <c r="A897">
        <v>896</v>
      </c>
      <c r="B897" t="s">
        <v>1941</v>
      </c>
      <c r="C897" t="s">
        <v>3829</v>
      </c>
    </row>
    <row r="898" spans="1:3" x14ac:dyDescent="0.25">
      <c r="A898">
        <v>897</v>
      </c>
      <c r="B898" t="s">
        <v>3830</v>
      </c>
      <c r="C898" t="s">
        <v>3831</v>
      </c>
    </row>
    <row r="899" spans="1:3" x14ac:dyDescent="0.25">
      <c r="A899">
        <v>898</v>
      </c>
      <c r="B899" t="s">
        <v>805</v>
      </c>
      <c r="C899" t="s">
        <v>3832</v>
      </c>
    </row>
    <row r="900" spans="1:3" x14ac:dyDescent="0.25">
      <c r="A900">
        <v>899</v>
      </c>
      <c r="B900" t="s">
        <v>3833</v>
      </c>
      <c r="C900" t="s">
        <v>3834</v>
      </c>
    </row>
    <row r="901" spans="1:3" x14ac:dyDescent="0.25">
      <c r="A901">
        <v>900</v>
      </c>
      <c r="B901" t="s">
        <v>915</v>
      </c>
      <c r="C901" t="s">
        <v>3835</v>
      </c>
    </row>
    <row r="902" spans="1:3" x14ac:dyDescent="0.25">
      <c r="A902">
        <v>901</v>
      </c>
      <c r="B902" t="s">
        <v>45</v>
      </c>
      <c r="C902" t="s">
        <v>3836</v>
      </c>
    </row>
    <row r="903" spans="1:3" x14ac:dyDescent="0.25">
      <c r="A903">
        <v>902</v>
      </c>
      <c r="B903" t="s">
        <v>1826</v>
      </c>
      <c r="C903" t="s">
        <v>3837</v>
      </c>
    </row>
    <row r="904" spans="1:3" x14ac:dyDescent="0.25">
      <c r="A904">
        <v>903</v>
      </c>
      <c r="B904" t="s">
        <v>1943</v>
      </c>
      <c r="C904" t="s">
        <v>3838</v>
      </c>
    </row>
    <row r="905" spans="1:3" x14ac:dyDescent="0.25">
      <c r="A905">
        <v>904</v>
      </c>
      <c r="B905" t="s">
        <v>2143</v>
      </c>
      <c r="C905" t="s">
        <v>3839</v>
      </c>
    </row>
    <row r="906" spans="1:3" x14ac:dyDescent="0.25">
      <c r="A906">
        <v>905</v>
      </c>
      <c r="B906" t="s">
        <v>995</v>
      </c>
      <c r="C906" t="s">
        <v>3840</v>
      </c>
    </row>
    <row r="907" spans="1:3" x14ac:dyDescent="0.25">
      <c r="A907">
        <v>906</v>
      </c>
      <c r="B907" t="s">
        <v>1772</v>
      </c>
      <c r="C907" t="s">
        <v>3841</v>
      </c>
    </row>
    <row r="908" spans="1:3" x14ac:dyDescent="0.25">
      <c r="A908">
        <v>907</v>
      </c>
      <c r="B908" t="s">
        <v>1967</v>
      </c>
      <c r="C908" t="s">
        <v>3842</v>
      </c>
    </row>
    <row r="909" spans="1:3" x14ac:dyDescent="0.25">
      <c r="A909">
        <v>908</v>
      </c>
      <c r="B909" t="s">
        <v>1030</v>
      </c>
      <c r="C909" t="s">
        <v>3843</v>
      </c>
    </row>
    <row r="910" spans="1:3" x14ac:dyDescent="0.25">
      <c r="A910">
        <v>909</v>
      </c>
      <c r="B910" t="s">
        <v>3844</v>
      </c>
      <c r="C910" t="s">
        <v>3845</v>
      </c>
    </row>
    <row r="911" spans="1:3" x14ac:dyDescent="0.25">
      <c r="A911">
        <v>910</v>
      </c>
      <c r="B911" t="s">
        <v>1910</v>
      </c>
      <c r="C911" t="s">
        <v>3846</v>
      </c>
    </row>
    <row r="912" spans="1:3" x14ac:dyDescent="0.25">
      <c r="A912">
        <v>911</v>
      </c>
      <c r="B912" t="s">
        <v>1896</v>
      </c>
      <c r="C912" t="s">
        <v>3847</v>
      </c>
    </row>
    <row r="913" spans="1:3" x14ac:dyDescent="0.25">
      <c r="A913">
        <v>912</v>
      </c>
      <c r="B913" t="s">
        <v>1985</v>
      </c>
      <c r="C913" t="s">
        <v>3848</v>
      </c>
    </row>
    <row r="914" spans="1:3" x14ac:dyDescent="0.25">
      <c r="A914">
        <v>913</v>
      </c>
      <c r="B914" t="s">
        <v>1230</v>
      </c>
      <c r="C914" t="s">
        <v>3849</v>
      </c>
    </row>
    <row r="915" spans="1:3" x14ac:dyDescent="0.25">
      <c r="A915">
        <v>914</v>
      </c>
      <c r="B915" t="s">
        <v>920</v>
      </c>
      <c r="C915" t="s">
        <v>3850</v>
      </c>
    </row>
    <row r="916" spans="1:3" x14ac:dyDescent="0.25">
      <c r="A916">
        <v>915</v>
      </c>
      <c r="B916" t="s">
        <v>3851</v>
      </c>
      <c r="C916" t="s">
        <v>3852</v>
      </c>
    </row>
    <row r="917" spans="1:3" x14ac:dyDescent="0.25">
      <c r="A917">
        <v>916</v>
      </c>
      <c r="B917" t="s">
        <v>3853</v>
      </c>
      <c r="C917" t="s">
        <v>3854</v>
      </c>
    </row>
    <row r="918" spans="1:3" x14ac:dyDescent="0.25">
      <c r="A918">
        <v>917</v>
      </c>
      <c r="B918" t="s">
        <v>3855</v>
      </c>
      <c r="C918" t="s">
        <v>3856</v>
      </c>
    </row>
    <row r="919" spans="1:3" x14ac:dyDescent="0.25">
      <c r="A919">
        <v>918</v>
      </c>
      <c r="B919" t="s">
        <v>1589</v>
      </c>
      <c r="C919" t="s">
        <v>3857</v>
      </c>
    </row>
    <row r="920" spans="1:3" x14ac:dyDescent="0.25">
      <c r="A920">
        <v>919</v>
      </c>
      <c r="B920" t="s">
        <v>1962</v>
      </c>
      <c r="C920" t="s">
        <v>3858</v>
      </c>
    </row>
    <row r="921" spans="1:3" x14ac:dyDescent="0.25">
      <c r="A921">
        <v>920</v>
      </c>
      <c r="B921" t="s">
        <v>3859</v>
      </c>
      <c r="C921" t="s">
        <v>3860</v>
      </c>
    </row>
    <row r="922" spans="1:3" x14ac:dyDescent="0.25">
      <c r="A922">
        <v>921</v>
      </c>
      <c r="B922" t="s">
        <v>3861</v>
      </c>
      <c r="C922" t="s">
        <v>3862</v>
      </c>
    </row>
    <row r="923" spans="1:3" x14ac:dyDescent="0.25">
      <c r="A923">
        <v>922</v>
      </c>
      <c r="B923" t="s">
        <v>3863</v>
      </c>
      <c r="C923" t="s">
        <v>3864</v>
      </c>
    </row>
    <row r="924" spans="1:3" x14ac:dyDescent="0.25">
      <c r="A924">
        <v>923</v>
      </c>
      <c r="B924" t="s">
        <v>3865</v>
      </c>
      <c r="C924" t="s">
        <v>3866</v>
      </c>
    </row>
    <row r="925" spans="1:3" x14ac:dyDescent="0.25">
      <c r="A925">
        <v>924</v>
      </c>
      <c r="B925" t="s">
        <v>924</v>
      </c>
      <c r="C925" t="s">
        <v>3867</v>
      </c>
    </row>
    <row r="926" spans="1:3" x14ac:dyDescent="0.25">
      <c r="A926">
        <v>925</v>
      </c>
      <c r="B926" t="s">
        <v>985</v>
      </c>
      <c r="C926" t="s">
        <v>3868</v>
      </c>
    </row>
    <row r="927" spans="1:3" x14ac:dyDescent="0.25">
      <c r="A927">
        <v>926</v>
      </c>
      <c r="B927" t="s">
        <v>879</v>
      </c>
      <c r="C927" t="s">
        <v>3869</v>
      </c>
    </row>
    <row r="928" spans="1:3" x14ac:dyDescent="0.25">
      <c r="A928">
        <v>927</v>
      </c>
      <c r="B928" t="s">
        <v>1288</v>
      </c>
      <c r="C928" t="s">
        <v>3870</v>
      </c>
    </row>
    <row r="929" spans="1:3" x14ac:dyDescent="0.25">
      <c r="A929">
        <v>928</v>
      </c>
      <c r="B929" t="s">
        <v>1597</v>
      </c>
      <c r="C929" t="s">
        <v>3871</v>
      </c>
    </row>
    <row r="930" spans="1:3" x14ac:dyDescent="0.25">
      <c r="A930">
        <v>929</v>
      </c>
      <c r="B930" t="s">
        <v>1224</v>
      </c>
      <c r="C930" t="s">
        <v>3872</v>
      </c>
    </row>
    <row r="931" spans="1:3" x14ac:dyDescent="0.25">
      <c r="A931">
        <v>930</v>
      </c>
      <c r="B931" t="s">
        <v>997</v>
      </c>
      <c r="C931" t="s">
        <v>3873</v>
      </c>
    </row>
    <row r="932" spans="1:3" x14ac:dyDescent="0.25">
      <c r="A932">
        <v>931</v>
      </c>
      <c r="B932" t="s">
        <v>1292</v>
      </c>
      <c r="C932" t="s">
        <v>3874</v>
      </c>
    </row>
    <row r="933" spans="1:3" x14ac:dyDescent="0.25">
      <c r="A933">
        <v>932</v>
      </c>
      <c r="B933" t="s">
        <v>3875</v>
      </c>
      <c r="C933" t="s">
        <v>3876</v>
      </c>
    </row>
    <row r="934" spans="1:3" x14ac:dyDescent="0.25">
      <c r="A934">
        <v>933</v>
      </c>
      <c r="B934" t="s">
        <v>2036</v>
      </c>
      <c r="C934" t="s">
        <v>3877</v>
      </c>
    </row>
    <row r="935" spans="1:3" x14ac:dyDescent="0.25">
      <c r="A935">
        <v>934</v>
      </c>
      <c r="B935" t="s">
        <v>918</v>
      </c>
      <c r="C935" t="s">
        <v>3878</v>
      </c>
    </row>
    <row r="936" spans="1:3" x14ac:dyDescent="0.25">
      <c r="A936">
        <v>935</v>
      </c>
      <c r="B936" t="s">
        <v>1023</v>
      </c>
      <c r="C936" t="s">
        <v>3879</v>
      </c>
    </row>
    <row r="937" spans="1:3" x14ac:dyDescent="0.25">
      <c r="A937">
        <v>936</v>
      </c>
      <c r="B937" t="s">
        <v>132</v>
      </c>
      <c r="C937" t="s">
        <v>3880</v>
      </c>
    </row>
    <row r="938" spans="1:3" x14ac:dyDescent="0.25">
      <c r="A938">
        <v>937</v>
      </c>
      <c r="B938" t="s">
        <v>3881</v>
      </c>
      <c r="C938" t="s">
        <v>3882</v>
      </c>
    </row>
    <row r="939" spans="1:3" x14ac:dyDescent="0.25">
      <c r="A939">
        <v>938</v>
      </c>
      <c r="B939" t="s">
        <v>3883</v>
      </c>
      <c r="C939" t="s">
        <v>3884</v>
      </c>
    </row>
    <row r="940" spans="1:3" x14ac:dyDescent="0.25">
      <c r="A940">
        <v>939</v>
      </c>
      <c r="B940" t="s">
        <v>3885</v>
      </c>
      <c r="C940" t="s">
        <v>3886</v>
      </c>
    </row>
    <row r="941" spans="1:3" x14ac:dyDescent="0.25">
      <c r="A941">
        <v>940</v>
      </c>
      <c r="B941" t="s">
        <v>3887</v>
      </c>
      <c r="C941" t="s">
        <v>3888</v>
      </c>
    </row>
    <row r="942" spans="1:3" x14ac:dyDescent="0.25">
      <c r="A942">
        <v>941</v>
      </c>
      <c r="B942" t="s">
        <v>3889</v>
      </c>
      <c r="C942" t="s">
        <v>3890</v>
      </c>
    </row>
    <row r="943" spans="1:3" x14ac:dyDescent="0.25">
      <c r="A943">
        <v>942</v>
      </c>
      <c r="B943" t="s">
        <v>669</v>
      </c>
      <c r="C943" t="s">
        <v>3891</v>
      </c>
    </row>
    <row r="944" spans="1:3" x14ac:dyDescent="0.25">
      <c r="A944">
        <v>943</v>
      </c>
      <c r="B944" t="s">
        <v>1268</v>
      </c>
      <c r="C944" t="s">
        <v>3892</v>
      </c>
    </row>
    <row r="945" spans="1:3" x14ac:dyDescent="0.25">
      <c r="A945">
        <v>944</v>
      </c>
      <c r="B945" t="s">
        <v>3893</v>
      </c>
      <c r="C945" t="s">
        <v>3894</v>
      </c>
    </row>
    <row r="946" spans="1:3" x14ac:dyDescent="0.25">
      <c r="A946">
        <v>945</v>
      </c>
      <c r="B946" t="s">
        <v>1864</v>
      </c>
      <c r="C946" t="s">
        <v>3895</v>
      </c>
    </row>
    <row r="947" spans="1:3" x14ac:dyDescent="0.25">
      <c r="A947">
        <v>946</v>
      </c>
      <c r="B947" t="s">
        <v>3896</v>
      </c>
      <c r="C947" t="s">
        <v>3897</v>
      </c>
    </row>
    <row r="948" spans="1:3" x14ac:dyDescent="0.25">
      <c r="A948">
        <v>947</v>
      </c>
      <c r="B948" t="s">
        <v>3898</v>
      </c>
      <c r="C948" t="s">
        <v>3899</v>
      </c>
    </row>
    <row r="949" spans="1:3" x14ac:dyDescent="0.25">
      <c r="A949">
        <v>948</v>
      </c>
      <c r="B949" t="s">
        <v>3900</v>
      </c>
      <c r="C949" t="s">
        <v>3901</v>
      </c>
    </row>
    <row r="950" spans="1:3" x14ac:dyDescent="0.25">
      <c r="A950">
        <v>949</v>
      </c>
      <c r="B950" t="s">
        <v>949</v>
      </c>
      <c r="C950" t="s">
        <v>3902</v>
      </c>
    </row>
    <row r="951" spans="1:3" x14ac:dyDescent="0.25">
      <c r="A951">
        <v>950</v>
      </c>
      <c r="B951" t="s">
        <v>990</v>
      </c>
      <c r="C951" t="s">
        <v>3903</v>
      </c>
    </row>
    <row r="952" spans="1:3" x14ac:dyDescent="0.25">
      <c r="A952">
        <v>951</v>
      </c>
      <c r="B952" t="s">
        <v>142</v>
      </c>
      <c r="C952" t="s">
        <v>3904</v>
      </c>
    </row>
    <row r="953" spans="1:3" x14ac:dyDescent="0.25">
      <c r="A953">
        <v>952</v>
      </c>
      <c r="B953" t="s">
        <v>1872</v>
      </c>
      <c r="C953" t="s">
        <v>3905</v>
      </c>
    </row>
    <row r="954" spans="1:3" x14ac:dyDescent="0.25">
      <c r="A954">
        <v>953</v>
      </c>
      <c r="B954" t="s">
        <v>3906</v>
      </c>
      <c r="C954" t="s">
        <v>3907</v>
      </c>
    </row>
    <row r="955" spans="1:3" x14ac:dyDescent="0.25">
      <c r="A955">
        <v>954</v>
      </c>
      <c r="B955" t="s">
        <v>3908</v>
      </c>
      <c r="C955" t="s">
        <v>3909</v>
      </c>
    </row>
    <row r="956" spans="1:3" x14ac:dyDescent="0.25">
      <c r="A956">
        <v>955</v>
      </c>
      <c r="B956" t="s">
        <v>1200</v>
      </c>
      <c r="C956" t="s">
        <v>3910</v>
      </c>
    </row>
    <row r="957" spans="1:3" x14ac:dyDescent="0.25">
      <c r="A957">
        <v>956</v>
      </c>
      <c r="B957" t="s">
        <v>943</v>
      </c>
      <c r="C957" t="s">
        <v>3911</v>
      </c>
    </row>
    <row r="958" spans="1:3" x14ac:dyDescent="0.25">
      <c r="A958">
        <v>957</v>
      </c>
      <c r="B958" t="s">
        <v>3912</v>
      </c>
      <c r="C958" t="s">
        <v>3913</v>
      </c>
    </row>
    <row r="959" spans="1:3" x14ac:dyDescent="0.25">
      <c r="A959">
        <v>958</v>
      </c>
      <c r="B959" t="s">
        <v>1385</v>
      </c>
      <c r="C959" t="s">
        <v>3914</v>
      </c>
    </row>
    <row r="960" spans="1:3" x14ac:dyDescent="0.25">
      <c r="A960">
        <v>959</v>
      </c>
      <c r="B960" t="s">
        <v>1956</v>
      </c>
      <c r="C960" t="s">
        <v>3915</v>
      </c>
    </row>
    <row r="961" spans="1:3" x14ac:dyDescent="0.25">
      <c r="A961">
        <v>960</v>
      </c>
      <c r="B961" t="s">
        <v>705</v>
      </c>
      <c r="C961" t="s">
        <v>3916</v>
      </c>
    </row>
    <row r="962" spans="1:3" x14ac:dyDescent="0.25">
      <c r="A962">
        <v>961</v>
      </c>
      <c r="B962" t="s">
        <v>1890</v>
      </c>
      <c r="C962" t="s">
        <v>3917</v>
      </c>
    </row>
    <row r="963" spans="1:3" x14ac:dyDescent="0.25">
      <c r="A963">
        <v>962</v>
      </c>
      <c r="B963" t="s">
        <v>936</v>
      </c>
      <c r="C963" t="s">
        <v>3918</v>
      </c>
    </row>
    <row r="964" spans="1:3" x14ac:dyDescent="0.25">
      <c r="A964">
        <v>963</v>
      </c>
      <c r="B964" t="s">
        <v>994</v>
      </c>
      <c r="C964" t="s">
        <v>3919</v>
      </c>
    </row>
    <row r="965" spans="1:3" x14ac:dyDescent="0.25">
      <c r="A965">
        <v>964</v>
      </c>
      <c r="B965" t="s">
        <v>1318</v>
      </c>
      <c r="C965" t="s">
        <v>3920</v>
      </c>
    </row>
    <row r="966" spans="1:3" x14ac:dyDescent="0.25">
      <c r="A966">
        <v>965</v>
      </c>
      <c r="B966" t="s">
        <v>3921</v>
      </c>
      <c r="C966" t="s">
        <v>3922</v>
      </c>
    </row>
    <row r="967" spans="1:3" x14ac:dyDescent="0.25">
      <c r="A967">
        <v>966</v>
      </c>
      <c r="B967" t="s">
        <v>1764</v>
      </c>
      <c r="C967" t="s">
        <v>3923</v>
      </c>
    </row>
    <row r="968" spans="1:3" x14ac:dyDescent="0.25">
      <c r="A968">
        <v>967</v>
      </c>
      <c r="B968" t="s">
        <v>2007</v>
      </c>
      <c r="C968" t="s">
        <v>3924</v>
      </c>
    </row>
    <row r="969" spans="1:3" x14ac:dyDescent="0.25">
      <c r="A969">
        <v>968</v>
      </c>
      <c r="B969" t="s">
        <v>3925</v>
      </c>
      <c r="C969" t="s">
        <v>3926</v>
      </c>
    </row>
    <row r="970" spans="1:3" x14ac:dyDescent="0.25">
      <c r="A970">
        <v>969</v>
      </c>
      <c r="B970" t="s">
        <v>916</v>
      </c>
      <c r="C970" t="s">
        <v>3927</v>
      </c>
    </row>
    <row r="971" spans="1:3" x14ac:dyDescent="0.25">
      <c r="A971">
        <v>970</v>
      </c>
      <c r="B971" t="s">
        <v>3928</v>
      </c>
      <c r="C971" t="s">
        <v>3929</v>
      </c>
    </row>
    <row r="972" spans="1:3" x14ac:dyDescent="0.25">
      <c r="A972">
        <v>971</v>
      </c>
      <c r="B972" t="s">
        <v>3930</v>
      </c>
      <c r="C972" t="s">
        <v>3931</v>
      </c>
    </row>
    <row r="973" spans="1:3" x14ac:dyDescent="0.25">
      <c r="A973">
        <v>972</v>
      </c>
      <c r="B973" t="s">
        <v>1436</v>
      </c>
      <c r="C973" t="s">
        <v>3932</v>
      </c>
    </row>
    <row r="974" spans="1:3" x14ac:dyDescent="0.25">
      <c r="A974">
        <v>973</v>
      </c>
      <c r="B974" t="s">
        <v>803</v>
      </c>
      <c r="C974" t="s">
        <v>3933</v>
      </c>
    </row>
    <row r="975" spans="1:3" x14ac:dyDescent="0.25">
      <c r="A975">
        <v>974</v>
      </c>
      <c r="B975" t="s">
        <v>3934</v>
      </c>
      <c r="C975" t="s">
        <v>3935</v>
      </c>
    </row>
    <row r="976" spans="1:3" x14ac:dyDescent="0.25">
      <c r="A976">
        <v>975</v>
      </c>
      <c r="B976" t="s">
        <v>2013</v>
      </c>
      <c r="C976" t="s">
        <v>3936</v>
      </c>
    </row>
    <row r="977" spans="1:3" x14ac:dyDescent="0.25">
      <c r="A977">
        <v>976</v>
      </c>
      <c r="B977" t="s">
        <v>1810</v>
      </c>
      <c r="C977" t="s">
        <v>3937</v>
      </c>
    </row>
    <row r="978" spans="1:3" x14ac:dyDescent="0.25">
      <c r="A978">
        <v>977</v>
      </c>
      <c r="B978" t="s">
        <v>1128</v>
      </c>
      <c r="C978" t="s">
        <v>3938</v>
      </c>
    </row>
    <row r="979" spans="1:3" x14ac:dyDescent="0.25">
      <c r="A979">
        <v>978</v>
      </c>
      <c r="B979" t="s">
        <v>1879</v>
      </c>
      <c r="C979" t="s">
        <v>3939</v>
      </c>
    </row>
    <row r="980" spans="1:3" x14ac:dyDescent="0.25">
      <c r="A980">
        <v>979</v>
      </c>
      <c r="B980" t="s">
        <v>1891</v>
      </c>
      <c r="C980" t="s">
        <v>3940</v>
      </c>
    </row>
    <row r="981" spans="1:3" x14ac:dyDescent="0.25">
      <c r="A981">
        <v>980</v>
      </c>
      <c r="B981" t="s">
        <v>939</v>
      </c>
      <c r="C981" t="s">
        <v>3941</v>
      </c>
    </row>
    <row r="982" spans="1:3" x14ac:dyDescent="0.25">
      <c r="A982">
        <v>981</v>
      </c>
      <c r="B982" t="s">
        <v>1154</v>
      </c>
      <c r="C982" t="s">
        <v>3942</v>
      </c>
    </row>
    <row r="983" spans="1:3" x14ac:dyDescent="0.25">
      <c r="A983">
        <v>982</v>
      </c>
      <c r="B983" t="s">
        <v>1156</v>
      </c>
      <c r="C983" t="s">
        <v>3943</v>
      </c>
    </row>
    <row r="984" spans="1:3" x14ac:dyDescent="0.25">
      <c r="A984">
        <v>983</v>
      </c>
      <c r="B984" t="s">
        <v>3944</v>
      </c>
      <c r="C984" t="s">
        <v>3945</v>
      </c>
    </row>
    <row r="985" spans="1:3" x14ac:dyDescent="0.25">
      <c r="A985">
        <v>984</v>
      </c>
      <c r="B985" t="s">
        <v>3946</v>
      </c>
      <c r="C985" t="s">
        <v>3947</v>
      </c>
    </row>
    <row r="986" spans="1:3" x14ac:dyDescent="0.25">
      <c r="A986">
        <v>985</v>
      </c>
      <c r="B986" t="s">
        <v>1184</v>
      </c>
      <c r="C986" t="s">
        <v>3948</v>
      </c>
    </row>
    <row r="987" spans="1:3" x14ac:dyDescent="0.25">
      <c r="A987">
        <v>986</v>
      </c>
      <c r="B987" t="s">
        <v>1088</v>
      </c>
      <c r="C987" t="s">
        <v>3949</v>
      </c>
    </row>
    <row r="988" spans="1:3" x14ac:dyDescent="0.25">
      <c r="A988">
        <v>987</v>
      </c>
      <c r="B988" t="s">
        <v>1898</v>
      </c>
      <c r="C988" t="s">
        <v>3950</v>
      </c>
    </row>
    <row r="989" spans="1:3" x14ac:dyDescent="0.25">
      <c r="A989">
        <v>988</v>
      </c>
      <c r="B989" t="s">
        <v>2304</v>
      </c>
      <c r="C989" t="s">
        <v>3951</v>
      </c>
    </row>
    <row r="990" spans="1:3" x14ac:dyDescent="0.25">
      <c r="A990">
        <v>989</v>
      </c>
      <c r="B990" t="s">
        <v>1257</v>
      </c>
      <c r="C990" t="s">
        <v>3952</v>
      </c>
    </row>
    <row r="991" spans="1:3" x14ac:dyDescent="0.25">
      <c r="A991">
        <v>990</v>
      </c>
      <c r="B991" t="s">
        <v>3953</v>
      </c>
      <c r="C991" t="s">
        <v>3954</v>
      </c>
    </row>
    <row r="992" spans="1:3" x14ac:dyDescent="0.25">
      <c r="A992">
        <v>991</v>
      </c>
      <c r="B992" t="s">
        <v>3955</v>
      </c>
      <c r="C992" t="s">
        <v>3956</v>
      </c>
    </row>
    <row r="993" spans="1:3" x14ac:dyDescent="0.25">
      <c r="A993">
        <v>992</v>
      </c>
      <c r="B993" t="s">
        <v>235</v>
      </c>
      <c r="C993" t="s">
        <v>3957</v>
      </c>
    </row>
    <row r="994" spans="1:3" x14ac:dyDescent="0.25">
      <c r="A994">
        <v>993</v>
      </c>
      <c r="B994" t="s">
        <v>695</v>
      </c>
      <c r="C994" t="s">
        <v>3958</v>
      </c>
    </row>
    <row r="995" spans="1:3" x14ac:dyDescent="0.25">
      <c r="A995">
        <v>994</v>
      </c>
      <c r="B995" t="s">
        <v>1998</v>
      </c>
      <c r="C995" t="s">
        <v>3959</v>
      </c>
    </row>
    <row r="996" spans="1:3" x14ac:dyDescent="0.25">
      <c r="A996">
        <v>995</v>
      </c>
      <c r="B996" t="s">
        <v>3960</v>
      </c>
      <c r="C996" t="s">
        <v>3961</v>
      </c>
    </row>
    <row r="997" spans="1:3" x14ac:dyDescent="0.25">
      <c r="A997">
        <v>996</v>
      </c>
      <c r="B997" t="s">
        <v>3962</v>
      </c>
      <c r="C997" t="s">
        <v>3963</v>
      </c>
    </row>
    <row r="998" spans="1:3" x14ac:dyDescent="0.25">
      <c r="A998">
        <v>997</v>
      </c>
      <c r="B998" t="s">
        <v>638</v>
      </c>
      <c r="C998" t="s">
        <v>3964</v>
      </c>
    </row>
    <row r="999" spans="1:3" x14ac:dyDescent="0.25">
      <c r="A999">
        <v>998</v>
      </c>
      <c r="B999" t="s">
        <v>80</v>
      </c>
      <c r="C999" t="s">
        <v>3965</v>
      </c>
    </row>
    <row r="1000" spans="1:3" x14ac:dyDescent="0.25">
      <c r="A1000">
        <v>999</v>
      </c>
      <c r="B1000" t="s">
        <v>3966</v>
      </c>
      <c r="C1000" t="s">
        <v>3967</v>
      </c>
    </row>
    <row r="1001" spans="1:3" x14ac:dyDescent="0.25">
      <c r="A1001">
        <v>1000</v>
      </c>
      <c r="B1001" t="s">
        <v>3968</v>
      </c>
      <c r="C1001" t="s">
        <v>3969</v>
      </c>
    </row>
    <row r="1002" spans="1:3" x14ac:dyDescent="0.25">
      <c r="A1002">
        <v>1001</v>
      </c>
      <c r="B1002" t="s">
        <v>3970</v>
      </c>
      <c r="C1002" t="s">
        <v>3971</v>
      </c>
    </row>
    <row r="1003" spans="1:3" x14ac:dyDescent="0.25">
      <c r="A1003">
        <v>1002</v>
      </c>
      <c r="B1003" t="s">
        <v>3972</v>
      </c>
      <c r="C1003" t="s">
        <v>3973</v>
      </c>
    </row>
    <row r="1004" spans="1:3" x14ac:dyDescent="0.25">
      <c r="A1004">
        <v>1003</v>
      </c>
      <c r="B1004" t="s">
        <v>1245</v>
      </c>
      <c r="C1004" t="s">
        <v>3974</v>
      </c>
    </row>
    <row r="1005" spans="1:3" x14ac:dyDescent="0.25">
      <c r="A1005">
        <v>1004</v>
      </c>
      <c r="B1005" t="s">
        <v>3975</v>
      </c>
      <c r="C1005" t="s">
        <v>3976</v>
      </c>
    </row>
    <row r="1006" spans="1:3" x14ac:dyDescent="0.25">
      <c r="A1006">
        <v>1005</v>
      </c>
      <c r="B1006" t="s">
        <v>3977</v>
      </c>
      <c r="C1006" t="s">
        <v>3978</v>
      </c>
    </row>
    <row r="1007" spans="1:3" x14ac:dyDescent="0.25">
      <c r="A1007">
        <v>1006</v>
      </c>
      <c r="B1007" t="s">
        <v>1168</v>
      </c>
      <c r="C1007" t="s">
        <v>3979</v>
      </c>
    </row>
    <row r="1008" spans="1:3" x14ac:dyDescent="0.25">
      <c r="A1008">
        <v>1007</v>
      </c>
      <c r="B1008" t="s">
        <v>3980</v>
      </c>
      <c r="C1008" t="s">
        <v>3981</v>
      </c>
    </row>
    <row r="1009" spans="1:3" x14ac:dyDescent="0.25">
      <c r="A1009">
        <v>1008</v>
      </c>
      <c r="B1009" t="s">
        <v>1336</v>
      </c>
      <c r="C1009" t="s">
        <v>3982</v>
      </c>
    </row>
    <row r="1010" spans="1:3" x14ac:dyDescent="0.25">
      <c r="A1010">
        <v>1009</v>
      </c>
      <c r="B1010" t="s">
        <v>693</v>
      </c>
      <c r="C1010" t="s">
        <v>3983</v>
      </c>
    </row>
    <row r="1011" spans="1:3" x14ac:dyDescent="0.25">
      <c r="A1011">
        <v>1010</v>
      </c>
      <c r="B1011" t="s">
        <v>3984</v>
      </c>
      <c r="C1011" t="s">
        <v>3985</v>
      </c>
    </row>
    <row r="1012" spans="1:3" x14ac:dyDescent="0.25">
      <c r="A1012">
        <v>1011</v>
      </c>
      <c r="B1012" t="s">
        <v>3986</v>
      </c>
      <c r="C1012" t="s">
        <v>3987</v>
      </c>
    </row>
    <row r="1013" spans="1:3" x14ac:dyDescent="0.25">
      <c r="A1013">
        <v>1012</v>
      </c>
      <c r="B1013" t="s">
        <v>2037</v>
      </c>
      <c r="C1013" t="s">
        <v>3988</v>
      </c>
    </row>
    <row r="1014" spans="1:3" x14ac:dyDescent="0.25">
      <c r="A1014">
        <v>1013</v>
      </c>
      <c r="B1014" t="s">
        <v>1616</v>
      </c>
      <c r="C1014" t="s">
        <v>3989</v>
      </c>
    </row>
    <row r="1015" spans="1:3" x14ac:dyDescent="0.25">
      <c r="A1015">
        <v>1014</v>
      </c>
      <c r="B1015" t="s">
        <v>3990</v>
      </c>
      <c r="C1015" t="s">
        <v>3991</v>
      </c>
    </row>
    <row r="1016" spans="1:3" x14ac:dyDescent="0.25">
      <c r="A1016">
        <v>1015</v>
      </c>
      <c r="B1016" t="s">
        <v>1622</v>
      </c>
      <c r="C1016" t="s">
        <v>3992</v>
      </c>
    </row>
    <row r="1017" spans="1:3" x14ac:dyDescent="0.25">
      <c r="A1017">
        <v>1016</v>
      </c>
      <c r="B1017" t="s">
        <v>3993</v>
      </c>
      <c r="C1017" t="s">
        <v>3994</v>
      </c>
    </row>
    <row r="1018" spans="1:3" x14ac:dyDescent="0.25">
      <c r="A1018">
        <v>1017</v>
      </c>
      <c r="B1018" t="s">
        <v>1605</v>
      </c>
      <c r="C1018" t="s">
        <v>3995</v>
      </c>
    </row>
    <row r="1019" spans="1:3" x14ac:dyDescent="0.25">
      <c r="A1019">
        <v>1018</v>
      </c>
      <c r="B1019" t="s">
        <v>3996</v>
      </c>
      <c r="C1019" t="s">
        <v>3997</v>
      </c>
    </row>
    <row r="1020" spans="1:3" x14ac:dyDescent="0.25">
      <c r="A1020">
        <v>1019</v>
      </c>
      <c r="B1020" t="s">
        <v>191</v>
      </c>
      <c r="C1020" t="s">
        <v>3998</v>
      </c>
    </row>
    <row r="1021" spans="1:3" x14ac:dyDescent="0.25">
      <c r="A1021">
        <v>1020</v>
      </c>
      <c r="B1021" t="s">
        <v>3999</v>
      </c>
      <c r="C1021" t="s">
        <v>4000</v>
      </c>
    </row>
    <row r="1022" spans="1:3" x14ac:dyDescent="0.25">
      <c r="A1022">
        <v>1021</v>
      </c>
      <c r="B1022" t="s">
        <v>4001</v>
      </c>
      <c r="C1022" t="s">
        <v>4002</v>
      </c>
    </row>
    <row r="1023" spans="1:3" x14ac:dyDescent="0.25">
      <c r="A1023">
        <v>1022</v>
      </c>
      <c r="B1023" t="s">
        <v>4003</v>
      </c>
      <c r="C1023" t="s">
        <v>4004</v>
      </c>
    </row>
    <row r="1024" spans="1:3" x14ac:dyDescent="0.25">
      <c r="A1024">
        <v>1023</v>
      </c>
      <c r="B1024" t="s">
        <v>4005</v>
      </c>
      <c r="C1024" t="s">
        <v>4006</v>
      </c>
    </row>
    <row r="1025" spans="1:3" x14ac:dyDescent="0.25">
      <c r="A1025">
        <v>1024</v>
      </c>
      <c r="B1025" t="s">
        <v>4007</v>
      </c>
      <c r="C1025" t="s">
        <v>4008</v>
      </c>
    </row>
    <row r="1026" spans="1:3" x14ac:dyDescent="0.25">
      <c r="A1026">
        <v>1025</v>
      </c>
      <c r="B1026" t="s">
        <v>4009</v>
      </c>
      <c r="C1026" t="s">
        <v>4010</v>
      </c>
    </row>
    <row r="1027" spans="1:3" x14ac:dyDescent="0.25">
      <c r="A1027">
        <v>1026</v>
      </c>
      <c r="B1027" t="s">
        <v>4011</v>
      </c>
      <c r="C1027" t="s">
        <v>4012</v>
      </c>
    </row>
    <row r="1028" spans="1:3" x14ac:dyDescent="0.25">
      <c r="A1028">
        <v>1027</v>
      </c>
      <c r="B1028" t="s">
        <v>4013</v>
      </c>
      <c r="C1028" t="s">
        <v>4014</v>
      </c>
    </row>
    <row r="1029" spans="1:3" x14ac:dyDescent="0.25">
      <c r="A1029">
        <v>1028</v>
      </c>
      <c r="B1029" t="s">
        <v>4015</v>
      </c>
      <c r="C1029" t="s">
        <v>4016</v>
      </c>
    </row>
    <row r="1030" spans="1:3" x14ac:dyDescent="0.25">
      <c r="A1030">
        <v>1029</v>
      </c>
      <c r="B1030" t="s">
        <v>4017</v>
      </c>
      <c r="C1030" t="s">
        <v>4018</v>
      </c>
    </row>
    <row r="1031" spans="1:3" x14ac:dyDescent="0.25">
      <c r="A1031">
        <v>1030</v>
      </c>
      <c r="B1031" t="s">
        <v>4019</v>
      </c>
      <c r="C1031" t="s">
        <v>4020</v>
      </c>
    </row>
    <row r="1032" spans="1:3" x14ac:dyDescent="0.25">
      <c r="A1032">
        <v>1031</v>
      </c>
      <c r="B1032" t="s">
        <v>4021</v>
      </c>
      <c r="C1032" t="s">
        <v>4022</v>
      </c>
    </row>
    <row r="1033" spans="1:3" x14ac:dyDescent="0.25">
      <c r="A1033">
        <v>1032</v>
      </c>
      <c r="B1033" t="s">
        <v>108</v>
      </c>
      <c r="C1033" t="s">
        <v>4023</v>
      </c>
    </row>
    <row r="1034" spans="1:3" x14ac:dyDescent="0.25">
      <c r="A1034">
        <v>1033</v>
      </c>
      <c r="B1034" t="s">
        <v>1329</v>
      </c>
      <c r="C1034" t="s">
        <v>4024</v>
      </c>
    </row>
    <row r="1035" spans="1:3" x14ac:dyDescent="0.25">
      <c r="A1035">
        <v>1034</v>
      </c>
      <c r="B1035" t="s">
        <v>4025</v>
      </c>
      <c r="C1035" t="s">
        <v>4026</v>
      </c>
    </row>
    <row r="1036" spans="1:3" x14ac:dyDescent="0.25">
      <c r="A1036">
        <v>1035</v>
      </c>
      <c r="B1036" t="s">
        <v>4027</v>
      </c>
      <c r="C1036" t="s">
        <v>4028</v>
      </c>
    </row>
    <row r="1037" spans="1:3" x14ac:dyDescent="0.25">
      <c r="A1037">
        <v>1036</v>
      </c>
      <c r="B1037" t="s">
        <v>1604</v>
      </c>
      <c r="C1037" t="s">
        <v>4029</v>
      </c>
    </row>
    <row r="1038" spans="1:3" x14ac:dyDescent="0.25">
      <c r="A1038">
        <v>1037</v>
      </c>
      <c r="B1038" t="s">
        <v>4030</v>
      </c>
      <c r="C1038" t="s">
        <v>4031</v>
      </c>
    </row>
    <row r="1039" spans="1:3" x14ac:dyDescent="0.25">
      <c r="A1039">
        <v>1038</v>
      </c>
      <c r="B1039" t="s">
        <v>4032</v>
      </c>
      <c r="C1039" t="s">
        <v>4033</v>
      </c>
    </row>
    <row r="1040" spans="1:3" x14ac:dyDescent="0.25">
      <c r="A1040">
        <v>1039</v>
      </c>
      <c r="B1040" t="s">
        <v>4034</v>
      </c>
      <c r="C1040" t="s">
        <v>4035</v>
      </c>
    </row>
    <row r="1041" spans="1:3" x14ac:dyDescent="0.25">
      <c r="A1041">
        <v>1040</v>
      </c>
      <c r="B1041" t="s">
        <v>4036</v>
      </c>
      <c r="C1041" t="s">
        <v>4037</v>
      </c>
    </row>
    <row r="1042" spans="1:3" x14ac:dyDescent="0.25">
      <c r="A1042">
        <v>1041</v>
      </c>
      <c r="B1042" t="s">
        <v>1855</v>
      </c>
      <c r="C1042" t="s">
        <v>4038</v>
      </c>
    </row>
    <row r="1043" spans="1:3" x14ac:dyDescent="0.25">
      <c r="A1043">
        <v>1042</v>
      </c>
      <c r="B1043" t="s">
        <v>594</v>
      </c>
      <c r="C1043" t="s">
        <v>4039</v>
      </c>
    </row>
    <row r="1044" spans="1:3" x14ac:dyDescent="0.25">
      <c r="A1044">
        <v>1043</v>
      </c>
      <c r="B1044" t="s">
        <v>231</v>
      </c>
      <c r="C1044" t="s">
        <v>4040</v>
      </c>
    </row>
    <row r="1045" spans="1:3" x14ac:dyDescent="0.25">
      <c r="A1045">
        <v>1044</v>
      </c>
      <c r="B1045" t="s">
        <v>140</v>
      </c>
      <c r="C1045" t="s">
        <v>4041</v>
      </c>
    </row>
    <row r="1046" spans="1:3" x14ac:dyDescent="0.25">
      <c r="A1046">
        <v>1045</v>
      </c>
      <c r="B1046" t="s">
        <v>226</v>
      </c>
      <c r="C1046" t="s">
        <v>4042</v>
      </c>
    </row>
    <row r="1047" spans="1:3" x14ac:dyDescent="0.25">
      <c r="A1047">
        <v>1046</v>
      </c>
      <c r="B1047" t="s">
        <v>4043</v>
      </c>
      <c r="C1047" t="s">
        <v>4044</v>
      </c>
    </row>
    <row r="1048" spans="1:3" x14ac:dyDescent="0.25">
      <c r="A1048">
        <v>1047</v>
      </c>
      <c r="B1048" t="s">
        <v>745</v>
      </c>
      <c r="C1048" t="s">
        <v>4045</v>
      </c>
    </row>
    <row r="1049" spans="1:3" x14ac:dyDescent="0.25">
      <c r="A1049">
        <v>1048</v>
      </c>
      <c r="B1049" t="s">
        <v>1173</v>
      </c>
      <c r="C1049" t="s">
        <v>4046</v>
      </c>
    </row>
    <row r="1050" spans="1:3" x14ac:dyDescent="0.25">
      <c r="A1050">
        <v>1049</v>
      </c>
      <c r="B1050" t="s">
        <v>4047</v>
      </c>
      <c r="C1050" t="s">
        <v>4048</v>
      </c>
    </row>
    <row r="1051" spans="1:3" x14ac:dyDescent="0.25">
      <c r="A1051">
        <v>1050</v>
      </c>
      <c r="B1051" t="s">
        <v>1601</v>
      </c>
      <c r="C1051" t="s">
        <v>4049</v>
      </c>
    </row>
    <row r="1052" spans="1:3" x14ac:dyDescent="0.25">
      <c r="A1052">
        <v>1051</v>
      </c>
      <c r="B1052" t="s">
        <v>4050</v>
      </c>
      <c r="C1052" t="s">
        <v>4051</v>
      </c>
    </row>
    <row r="1053" spans="1:3" x14ac:dyDescent="0.25">
      <c r="A1053">
        <v>1052</v>
      </c>
      <c r="B1053" t="s">
        <v>179</v>
      </c>
      <c r="C1053" t="s">
        <v>4052</v>
      </c>
    </row>
    <row r="1054" spans="1:3" x14ac:dyDescent="0.25">
      <c r="A1054">
        <v>1053</v>
      </c>
      <c r="B1054" t="s">
        <v>4053</v>
      </c>
      <c r="C1054" t="s">
        <v>4054</v>
      </c>
    </row>
    <row r="1055" spans="1:3" x14ac:dyDescent="0.25">
      <c r="A1055">
        <v>1054</v>
      </c>
      <c r="B1055" t="s">
        <v>821</v>
      </c>
      <c r="C1055" t="s">
        <v>4055</v>
      </c>
    </row>
    <row r="1056" spans="1:3" x14ac:dyDescent="0.25">
      <c r="A1056">
        <v>1055</v>
      </c>
      <c r="B1056" t="s">
        <v>1813</v>
      </c>
      <c r="C1056" t="s">
        <v>4056</v>
      </c>
    </row>
    <row r="1057" spans="1:3" x14ac:dyDescent="0.25">
      <c r="A1057">
        <v>1056</v>
      </c>
      <c r="B1057" t="s">
        <v>2088</v>
      </c>
      <c r="C1057" t="s">
        <v>4057</v>
      </c>
    </row>
    <row r="1058" spans="1:3" x14ac:dyDescent="0.25">
      <c r="A1058">
        <v>1057</v>
      </c>
      <c r="B1058" t="s">
        <v>223</v>
      </c>
      <c r="C1058" t="s">
        <v>4058</v>
      </c>
    </row>
    <row r="1059" spans="1:3" x14ac:dyDescent="0.25">
      <c r="A1059">
        <v>1058</v>
      </c>
      <c r="B1059" t="s">
        <v>4059</v>
      </c>
      <c r="C1059" t="s">
        <v>4060</v>
      </c>
    </row>
    <row r="1060" spans="1:3" x14ac:dyDescent="0.25">
      <c r="A1060">
        <v>1059</v>
      </c>
      <c r="B1060" t="s">
        <v>2262</v>
      </c>
      <c r="C1060" t="s">
        <v>4061</v>
      </c>
    </row>
    <row r="1061" spans="1:3" x14ac:dyDescent="0.25">
      <c r="A1061">
        <v>1060</v>
      </c>
      <c r="B1061" t="s">
        <v>4062</v>
      </c>
      <c r="C1061" t="s">
        <v>4063</v>
      </c>
    </row>
    <row r="1062" spans="1:3" x14ac:dyDescent="0.25">
      <c r="A1062">
        <v>1061</v>
      </c>
      <c r="B1062" t="s">
        <v>4064</v>
      </c>
      <c r="C1062" t="s">
        <v>4065</v>
      </c>
    </row>
    <row r="1063" spans="1:3" x14ac:dyDescent="0.25">
      <c r="A1063">
        <v>1062</v>
      </c>
      <c r="B1063" t="s">
        <v>660</v>
      </c>
      <c r="C1063" t="s">
        <v>4066</v>
      </c>
    </row>
    <row r="1064" spans="1:3" x14ac:dyDescent="0.25">
      <c r="A1064">
        <v>1063</v>
      </c>
      <c r="B1064" t="s">
        <v>1169</v>
      </c>
      <c r="C1064" t="s">
        <v>4067</v>
      </c>
    </row>
    <row r="1065" spans="1:3" x14ac:dyDescent="0.25">
      <c r="A1065">
        <v>1064</v>
      </c>
      <c r="B1065" t="s">
        <v>697</v>
      </c>
      <c r="C1065" t="s">
        <v>4068</v>
      </c>
    </row>
    <row r="1066" spans="1:3" x14ac:dyDescent="0.25">
      <c r="A1066">
        <v>1065</v>
      </c>
      <c r="B1066" t="s">
        <v>2256</v>
      </c>
      <c r="C1066" t="s">
        <v>4069</v>
      </c>
    </row>
    <row r="1067" spans="1:3" x14ac:dyDescent="0.25">
      <c r="A1067">
        <v>1066</v>
      </c>
      <c r="B1067" t="s">
        <v>396</v>
      </c>
      <c r="C1067" t="s">
        <v>4070</v>
      </c>
    </row>
    <row r="1068" spans="1:3" x14ac:dyDescent="0.25">
      <c r="A1068">
        <v>1067</v>
      </c>
      <c r="B1068" t="s">
        <v>897</v>
      </c>
      <c r="C1068" t="s">
        <v>4071</v>
      </c>
    </row>
    <row r="1069" spans="1:3" x14ac:dyDescent="0.25">
      <c r="A1069">
        <v>1068</v>
      </c>
      <c r="B1069" t="s">
        <v>789</v>
      </c>
      <c r="C1069" t="s">
        <v>4072</v>
      </c>
    </row>
    <row r="1070" spans="1:3" x14ac:dyDescent="0.25">
      <c r="A1070">
        <v>1069</v>
      </c>
      <c r="B1070" t="s">
        <v>4073</v>
      </c>
      <c r="C1070" t="s">
        <v>4074</v>
      </c>
    </row>
    <row r="1071" spans="1:3" x14ac:dyDescent="0.25">
      <c r="A1071">
        <v>1070</v>
      </c>
      <c r="B1071" t="s">
        <v>1721</v>
      </c>
      <c r="C1071" t="s">
        <v>4075</v>
      </c>
    </row>
    <row r="1072" spans="1:3" x14ac:dyDescent="0.25">
      <c r="A1072">
        <v>1071</v>
      </c>
      <c r="B1072" t="s">
        <v>1709</v>
      </c>
      <c r="C1072" t="s">
        <v>4076</v>
      </c>
    </row>
    <row r="1073" spans="1:3" x14ac:dyDescent="0.25">
      <c r="A1073">
        <v>1072</v>
      </c>
      <c r="B1073" t="s">
        <v>57</v>
      </c>
      <c r="C1073" t="s">
        <v>4077</v>
      </c>
    </row>
    <row r="1074" spans="1:3" x14ac:dyDescent="0.25">
      <c r="A1074">
        <v>1073</v>
      </c>
      <c r="B1074" t="s">
        <v>1620</v>
      </c>
      <c r="C1074" t="s">
        <v>4078</v>
      </c>
    </row>
    <row r="1075" spans="1:3" x14ac:dyDescent="0.25">
      <c r="A1075">
        <v>1074</v>
      </c>
      <c r="B1075" t="s">
        <v>548</v>
      </c>
      <c r="C1075" t="s">
        <v>4079</v>
      </c>
    </row>
    <row r="1076" spans="1:3" x14ac:dyDescent="0.25">
      <c r="A1076">
        <v>1075</v>
      </c>
      <c r="B1076" t="s">
        <v>4080</v>
      </c>
      <c r="C1076" t="s">
        <v>4081</v>
      </c>
    </row>
    <row r="1077" spans="1:3" x14ac:dyDescent="0.25">
      <c r="A1077">
        <v>1076</v>
      </c>
      <c r="B1077" t="s">
        <v>4082</v>
      </c>
      <c r="C1077" t="s">
        <v>4083</v>
      </c>
    </row>
    <row r="1078" spans="1:3" x14ac:dyDescent="0.25">
      <c r="A1078">
        <v>1077</v>
      </c>
      <c r="B1078" t="s">
        <v>4084</v>
      </c>
      <c r="C1078" t="s">
        <v>4085</v>
      </c>
    </row>
    <row r="1079" spans="1:3" x14ac:dyDescent="0.25">
      <c r="A1079">
        <v>1078</v>
      </c>
      <c r="B1079" t="s">
        <v>650</v>
      </c>
      <c r="C1079" t="s">
        <v>4086</v>
      </c>
    </row>
    <row r="1080" spans="1:3" x14ac:dyDescent="0.25">
      <c r="A1080">
        <v>1079</v>
      </c>
      <c r="B1080" t="s">
        <v>4087</v>
      </c>
      <c r="C1080" t="s">
        <v>4088</v>
      </c>
    </row>
    <row r="1081" spans="1:3" x14ac:dyDescent="0.25">
      <c r="A1081">
        <v>1080</v>
      </c>
      <c r="B1081" t="s">
        <v>1942</v>
      </c>
      <c r="C1081" t="s">
        <v>4089</v>
      </c>
    </row>
    <row r="1082" spans="1:3" x14ac:dyDescent="0.25">
      <c r="A1082">
        <v>1081</v>
      </c>
      <c r="B1082" t="s">
        <v>4090</v>
      </c>
      <c r="C1082" t="s">
        <v>4091</v>
      </c>
    </row>
    <row r="1083" spans="1:3" x14ac:dyDescent="0.25">
      <c r="A1083">
        <v>1082</v>
      </c>
      <c r="B1083" t="s">
        <v>771</v>
      </c>
      <c r="C1083" t="s">
        <v>4092</v>
      </c>
    </row>
    <row r="1084" spans="1:3" x14ac:dyDescent="0.25">
      <c r="A1084">
        <v>1083</v>
      </c>
      <c r="B1084" t="s">
        <v>610</v>
      </c>
      <c r="C1084" t="s">
        <v>4093</v>
      </c>
    </row>
    <row r="1085" spans="1:3" x14ac:dyDescent="0.25">
      <c r="A1085">
        <v>1084</v>
      </c>
      <c r="B1085" t="s">
        <v>1256</v>
      </c>
      <c r="C1085" t="s">
        <v>4094</v>
      </c>
    </row>
    <row r="1086" spans="1:3" x14ac:dyDescent="0.25">
      <c r="A1086">
        <v>1085</v>
      </c>
      <c r="B1086" t="s">
        <v>1672</v>
      </c>
      <c r="C1086" t="s">
        <v>4095</v>
      </c>
    </row>
    <row r="1087" spans="1:3" x14ac:dyDescent="0.25">
      <c r="A1087">
        <v>1086</v>
      </c>
      <c r="B1087" t="s">
        <v>1614</v>
      </c>
      <c r="C1087" t="s">
        <v>4096</v>
      </c>
    </row>
    <row r="1088" spans="1:3" x14ac:dyDescent="0.25">
      <c r="A1088">
        <v>1087</v>
      </c>
      <c r="B1088" t="s">
        <v>4097</v>
      </c>
      <c r="C1088" t="s">
        <v>4098</v>
      </c>
    </row>
    <row r="1089" spans="1:3" x14ac:dyDescent="0.25">
      <c r="A1089">
        <v>1088</v>
      </c>
      <c r="B1089" t="s">
        <v>262</v>
      </c>
      <c r="C1089" t="s">
        <v>4099</v>
      </c>
    </row>
    <row r="1090" spans="1:3" x14ac:dyDescent="0.25">
      <c r="A1090">
        <v>1089</v>
      </c>
      <c r="B1090" t="s">
        <v>1666</v>
      </c>
      <c r="C1090" t="s">
        <v>4100</v>
      </c>
    </row>
    <row r="1091" spans="1:3" x14ac:dyDescent="0.25">
      <c r="A1091">
        <v>1090</v>
      </c>
      <c r="B1091" t="s">
        <v>1641</v>
      </c>
      <c r="C1091" t="s">
        <v>4101</v>
      </c>
    </row>
    <row r="1092" spans="1:3" x14ac:dyDescent="0.25">
      <c r="A1092">
        <v>1091</v>
      </c>
      <c r="B1092" t="s">
        <v>4102</v>
      </c>
      <c r="C1092" t="s">
        <v>4103</v>
      </c>
    </row>
    <row r="1093" spans="1:3" x14ac:dyDescent="0.25">
      <c r="A1093">
        <v>1092</v>
      </c>
      <c r="B1093" t="s">
        <v>1804</v>
      </c>
      <c r="C1093" t="s">
        <v>4104</v>
      </c>
    </row>
    <row r="1094" spans="1:3" x14ac:dyDescent="0.25">
      <c r="A1094">
        <v>1093</v>
      </c>
      <c r="B1094" t="s">
        <v>4105</v>
      </c>
      <c r="C1094" t="s">
        <v>4106</v>
      </c>
    </row>
    <row r="1095" spans="1:3" x14ac:dyDescent="0.25">
      <c r="A1095">
        <v>1094</v>
      </c>
      <c r="B1095" t="s">
        <v>4107</v>
      </c>
      <c r="C1095" t="s">
        <v>4108</v>
      </c>
    </row>
    <row r="1096" spans="1:3" x14ac:dyDescent="0.25">
      <c r="A1096">
        <v>1095</v>
      </c>
      <c r="B1096" t="s">
        <v>1952</v>
      </c>
      <c r="C1096" t="s">
        <v>4109</v>
      </c>
    </row>
    <row r="1097" spans="1:3" x14ac:dyDescent="0.25">
      <c r="A1097">
        <v>1096</v>
      </c>
      <c r="B1097" t="s">
        <v>1957</v>
      </c>
      <c r="C1097" t="s">
        <v>4110</v>
      </c>
    </row>
    <row r="1098" spans="1:3" x14ac:dyDescent="0.25">
      <c r="A1098">
        <v>1097</v>
      </c>
      <c r="B1098" t="s">
        <v>1809</v>
      </c>
      <c r="C1098" t="s">
        <v>4111</v>
      </c>
    </row>
    <row r="1099" spans="1:3" x14ac:dyDescent="0.25">
      <c r="A1099">
        <v>1098</v>
      </c>
      <c r="B1099" t="s">
        <v>88</v>
      </c>
      <c r="C1099" t="s">
        <v>4112</v>
      </c>
    </row>
    <row r="1100" spans="1:3" x14ac:dyDescent="0.25">
      <c r="A1100">
        <v>1099</v>
      </c>
      <c r="B1100" t="s">
        <v>1837</v>
      </c>
      <c r="C1100" t="s">
        <v>4113</v>
      </c>
    </row>
    <row r="1101" spans="1:3" x14ac:dyDescent="0.25">
      <c r="A1101">
        <v>1100</v>
      </c>
      <c r="B1101" t="s">
        <v>1112</v>
      </c>
      <c r="C1101" t="s">
        <v>4114</v>
      </c>
    </row>
    <row r="1102" spans="1:3" x14ac:dyDescent="0.25">
      <c r="A1102">
        <v>1101</v>
      </c>
      <c r="B1102" t="s">
        <v>1658</v>
      </c>
      <c r="C1102" t="s">
        <v>4115</v>
      </c>
    </row>
    <row r="1103" spans="1:3" x14ac:dyDescent="0.25">
      <c r="A1103">
        <v>1102</v>
      </c>
      <c r="B1103" t="s">
        <v>138</v>
      </c>
      <c r="C1103" t="s">
        <v>4116</v>
      </c>
    </row>
    <row r="1104" spans="1:3" x14ac:dyDescent="0.25">
      <c r="A1104">
        <v>1103</v>
      </c>
      <c r="B1104" t="s">
        <v>4117</v>
      </c>
      <c r="C1104" t="s">
        <v>4118</v>
      </c>
    </row>
    <row r="1105" spans="1:3" x14ac:dyDescent="0.25">
      <c r="A1105">
        <v>1104</v>
      </c>
      <c r="B1105" t="s">
        <v>1624</v>
      </c>
      <c r="C1105" t="s">
        <v>4119</v>
      </c>
    </row>
    <row r="1106" spans="1:3" x14ac:dyDescent="0.25">
      <c r="A1106">
        <v>1105</v>
      </c>
      <c r="B1106" t="s">
        <v>761</v>
      </c>
      <c r="C1106" t="s">
        <v>4120</v>
      </c>
    </row>
    <row r="1107" spans="1:3" x14ac:dyDescent="0.25">
      <c r="A1107">
        <v>1106</v>
      </c>
      <c r="B1107" t="s">
        <v>630</v>
      </c>
      <c r="C1107" t="s">
        <v>4121</v>
      </c>
    </row>
    <row r="1108" spans="1:3" x14ac:dyDescent="0.25">
      <c r="A1108">
        <v>1107</v>
      </c>
      <c r="B1108" t="s">
        <v>1694</v>
      </c>
      <c r="C1108" t="s">
        <v>4122</v>
      </c>
    </row>
    <row r="1109" spans="1:3" x14ac:dyDescent="0.25">
      <c r="A1109">
        <v>1108</v>
      </c>
      <c r="B1109" t="s">
        <v>1670</v>
      </c>
      <c r="C1109" t="s">
        <v>4123</v>
      </c>
    </row>
    <row r="1110" spans="1:3" x14ac:dyDescent="0.25">
      <c r="A1110">
        <v>1109</v>
      </c>
      <c r="B1110" t="s">
        <v>1877</v>
      </c>
      <c r="C1110" t="s">
        <v>4124</v>
      </c>
    </row>
    <row r="1111" spans="1:3" x14ac:dyDescent="0.25">
      <c r="A1111">
        <v>1110</v>
      </c>
      <c r="B1111" t="s">
        <v>4125</v>
      </c>
      <c r="C1111" t="s">
        <v>4126</v>
      </c>
    </row>
    <row r="1112" spans="1:3" x14ac:dyDescent="0.25">
      <c r="A1112">
        <v>1111</v>
      </c>
      <c r="B1112" t="s">
        <v>4127</v>
      </c>
      <c r="C1112" t="s">
        <v>4128</v>
      </c>
    </row>
    <row r="1113" spans="1:3" x14ac:dyDescent="0.25">
      <c r="A1113">
        <v>1112</v>
      </c>
      <c r="B1113" t="s">
        <v>4129</v>
      </c>
      <c r="C1113" t="s">
        <v>4130</v>
      </c>
    </row>
    <row r="1114" spans="1:3" x14ac:dyDescent="0.25">
      <c r="A1114">
        <v>1113</v>
      </c>
      <c r="B1114" t="s">
        <v>1647</v>
      </c>
      <c r="C1114" t="s">
        <v>4131</v>
      </c>
    </row>
    <row r="1115" spans="1:3" x14ac:dyDescent="0.25">
      <c r="A1115">
        <v>1114</v>
      </c>
      <c r="B1115" t="s">
        <v>162</v>
      </c>
      <c r="C1115" t="s">
        <v>4132</v>
      </c>
    </row>
    <row r="1116" spans="1:3" x14ac:dyDescent="0.25">
      <c r="A1116">
        <v>1115</v>
      </c>
      <c r="B1116" t="s">
        <v>4133</v>
      </c>
      <c r="C1116" t="s">
        <v>4134</v>
      </c>
    </row>
    <row r="1117" spans="1:3" x14ac:dyDescent="0.25">
      <c r="A1117">
        <v>1116</v>
      </c>
      <c r="B1117" t="s">
        <v>4135</v>
      </c>
      <c r="C1117" t="s">
        <v>4136</v>
      </c>
    </row>
    <row r="1118" spans="1:3" x14ac:dyDescent="0.25">
      <c r="A1118">
        <v>1117</v>
      </c>
      <c r="B1118" t="s">
        <v>4137</v>
      </c>
      <c r="C1118" t="s">
        <v>4138</v>
      </c>
    </row>
    <row r="1119" spans="1:3" x14ac:dyDescent="0.25">
      <c r="A1119">
        <v>1118</v>
      </c>
      <c r="B1119" t="s">
        <v>2042</v>
      </c>
      <c r="C1119" t="s">
        <v>4139</v>
      </c>
    </row>
    <row r="1120" spans="1:3" x14ac:dyDescent="0.25">
      <c r="A1120">
        <v>1119</v>
      </c>
      <c r="B1120" t="s">
        <v>598</v>
      </c>
      <c r="C1120" t="s">
        <v>4140</v>
      </c>
    </row>
    <row r="1121" spans="1:3" x14ac:dyDescent="0.25">
      <c r="A1121">
        <v>1120</v>
      </c>
      <c r="B1121" t="s">
        <v>4141</v>
      </c>
      <c r="C1121" t="s">
        <v>4142</v>
      </c>
    </row>
    <row r="1122" spans="1:3" x14ac:dyDescent="0.25">
      <c r="A1122">
        <v>1121</v>
      </c>
      <c r="B1122" t="s">
        <v>4143</v>
      </c>
      <c r="C1122" t="s">
        <v>4144</v>
      </c>
    </row>
    <row r="1123" spans="1:3" x14ac:dyDescent="0.25">
      <c r="A1123">
        <v>1122</v>
      </c>
      <c r="B1123" t="s">
        <v>1579</v>
      </c>
      <c r="C1123" t="s">
        <v>4145</v>
      </c>
    </row>
    <row r="1124" spans="1:3" x14ac:dyDescent="0.25">
      <c r="A1124">
        <v>1123</v>
      </c>
      <c r="B1124" t="s">
        <v>202</v>
      </c>
      <c r="C1124" t="s">
        <v>4146</v>
      </c>
    </row>
    <row r="1125" spans="1:3" x14ac:dyDescent="0.25">
      <c r="A1125">
        <v>1124</v>
      </c>
      <c r="B1125" t="s">
        <v>4147</v>
      </c>
      <c r="C1125" t="s">
        <v>4148</v>
      </c>
    </row>
    <row r="1126" spans="1:3" x14ac:dyDescent="0.25">
      <c r="A1126">
        <v>1125</v>
      </c>
      <c r="B1126" t="s">
        <v>4149</v>
      </c>
      <c r="C1126" t="s">
        <v>4150</v>
      </c>
    </row>
    <row r="1127" spans="1:3" x14ac:dyDescent="0.25">
      <c r="A1127">
        <v>1126</v>
      </c>
      <c r="B1127" t="s">
        <v>4151</v>
      </c>
      <c r="C1127" t="s">
        <v>4152</v>
      </c>
    </row>
    <row r="1128" spans="1:3" x14ac:dyDescent="0.25">
      <c r="A1128">
        <v>1127</v>
      </c>
      <c r="B1128" t="s">
        <v>4153</v>
      </c>
      <c r="C1128" t="s">
        <v>4154</v>
      </c>
    </row>
    <row r="1129" spans="1:3" x14ac:dyDescent="0.25">
      <c r="A1129">
        <v>1128</v>
      </c>
      <c r="B1129" t="s">
        <v>4155</v>
      </c>
      <c r="C1129" t="s">
        <v>4156</v>
      </c>
    </row>
    <row r="1130" spans="1:3" x14ac:dyDescent="0.25">
      <c r="A1130">
        <v>1129</v>
      </c>
      <c r="B1130" t="s">
        <v>1577</v>
      </c>
      <c r="C1130" t="s">
        <v>4157</v>
      </c>
    </row>
    <row r="1131" spans="1:3" x14ac:dyDescent="0.25">
      <c r="A1131">
        <v>1130</v>
      </c>
      <c r="B1131" t="s">
        <v>1308</v>
      </c>
      <c r="C1131" t="s">
        <v>4158</v>
      </c>
    </row>
    <row r="1132" spans="1:3" x14ac:dyDescent="0.25">
      <c r="A1132">
        <v>1131</v>
      </c>
      <c r="B1132" t="s">
        <v>4159</v>
      </c>
      <c r="C1132" t="s">
        <v>4160</v>
      </c>
    </row>
    <row r="1133" spans="1:3" x14ac:dyDescent="0.25">
      <c r="A1133">
        <v>1132</v>
      </c>
      <c r="B1133" t="s">
        <v>4161</v>
      </c>
      <c r="C1133" t="s">
        <v>4162</v>
      </c>
    </row>
    <row r="1134" spans="1:3" x14ac:dyDescent="0.25">
      <c r="A1134">
        <v>1133</v>
      </c>
      <c r="B1134" t="s">
        <v>4163</v>
      </c>
      <c r="C1134" t="s">
        <v>4164</v>
      </c>
    </row>
    <row r="1135" spans="1:3" x14ac:dyDescent="0.25">
      <c r="A1135">
        <v>1134</v>
      </c>
      <c r="B1135" t="s">
        <v>4165</v>
      </c>
      <c r="C1135" t="s">
        <v>4166</v>
      </c>
    </row>
    <row r="1136" spans="1:3" x14ac:dyDescent="0.25">
      <c r="A1136">
        <v>1135</v>
      </c>
      <c r="B1136" t="s">
        <v>825</v>
      </c>
      <c r="C1136" t="s">
        <v>4167</v>
      </c>
    </row>
    <row r="1137" spans="1:3" x14ac:dyDescent="0.25">
      <c r="A1137">
        <v>1136</v>
      </c>
      <c r="B1137" t="s">
        <v>248</v>
      </c>
      <c r="C1137" t="s">
        <v>4168</v>
      </c>
    </row>
    <row r="1138" spans="1:3" x14ac:dyDescent="0.25">
      <c r="A1138">
        <v>1137</v>
      </c>
      <c r="B1138" t="s">
        <v>723</v>
      </c>
      <c r="C1138" t="s">
        <v>4169</v>
      </c>
    </row>
    <row r="1139" spans="1:3" x14ac:dyDescent="0.25">
      <c r="A1139">
        <v>1138</v>
      </c>
      <c r="B1139" t="s">
        <v>560</v>
      </c>
      <c r="C1139" t="s">
        <v>4170</v>
      </c>
    </row>
    <row r="1140" spans="1:3" x14ac:dyDescent="0.25">
      <c r="A1140">
        <v>1139</v>
      </c>
      <c r="B1140" t="s">
        <v>368</v>
      </c>
      <c r="C1140" t="s">
        <v>4171</v>
      </c>
    </row>
    <row r="1141" spans="1:3" x14ac:dyDescent="0.25">
      <c r="A1141">
        <v>1140</v>
      </c>
      <c r="B1141" t="s">
        <v>1073</v>
      </c>
      <c r="C1141" t="s">
        <v>4172</v>
      </c>
    </row>
    <row r="1142" spans="1:3" x14ac:dyDescent="0.25">
      <c r="A1142">
        <v>1141</v>
      </c>
      <c r="B1142" t="s">
        <v>4173</v>
      </c>
      <c r="C1142" t="s">
        <v>4174</v>
      </c>
    </row>
    <row r="1143" spans="1:3" x14ac:dyDescent="0.25">
      <c r="A1143">
        <v>1142</v>
      </c>
      <c r="B1143" t="s">
        <v>715</v>
      </c>
      <c r="C1143" t="s">
        <v>4175</v>
      </c>
    </row>
    <row r="1144" spans="1:3" x14ac:dyDescent="0.25">
      <c r="A1144">
        <v>1143</v>
      </c>
      <c r="B1144" t="s">
        <v>4176</v>
      </c>
      <c r="C1144" t="s">
        <v>4177</v>
      </c>
    </row>
    <row r="1145" spans="1:3" x14ac:dyDescent="0.25">
      <c r="A1145">
        <v>1144</v>
      </c>
      <c r="B1145" t="s">
        <v>1310</v>
      </c>
      <c r="C1145" t="s">
        <v>4178</v>
      </c>
    </row>
    <row r="1146" spans="1:3" x14ac:dyDescent="0.25">
      <c r="A1146">
        <v>1145</v>
      </c>
      <c r="B1146" t="s">
        <v>251</v>
      </c>
      <c r="C1146" t="s">
        <v>4179</v>
      </c>
    </row>
    <row r="1147" spans="1:3" x14ac:dyDescent="0.25">
      <c r="A1147">
        <v>1146</v>
      </c>
      <c r="B1147" t="s">
        <v>4180</v>
      </c>
      <c r="C1147" t="s">
        <v>4181</v>
      </c>
    </row>
    <row r="1148" spans="1:3" x14ac:dyDescent="0.25">
      <c r="A1148">
        <v>1147</v>
      </c>
      <c r="B1148" t="s">
        <v>4182</v>
      </c>
      <c r="C1148" t="s">
        <v>4183</v>
      </c>
    </row>
    <row r="1149" spans="1:3" x14ac:dyDescent="0.25">
      <c r="A1149">
        <v>1148</v>
      </c>
      <c r="B1149" t="s">
        <v>930</v>
      </c>
      <c r="C1149" t="s">
        <v>4184</v>
      </c>
    </row>
    <row r="1150" spans="1:3" x14ac:dyDescent="0.25">
      <c r="A1150">
        <v>1149</v>
      </c>
      <c r="B1150" t="s">
        <v>4185</v>
      </c>
      <c r="C1150" t="s">
        <v>4186</v>
      </c>
    </row>
    <row r="1151" spans="1:3" x14ac:dyDescent="0.25">
      <c r="A1151">
        <v>1150</v>
      </c>
      <c r="B1151" t="s">
        <v>1600</v>
      </c>
      <c r="C1151" t="s">
        <v>4187</v>
      </c>
    </row>
    <row r="1152" spans="1:3" x14ac:dyDescent="0.25">
      <c r="A1152">
        <v>1151</v>
      </c>
      <c r="B1152" t="s">
        <v>4188</v>
      </c>
      <c r="C1152" t="s">
        <v>4189</v>
      </c>
    </row>
    <row r="1153" spans="1:3" x14ac:dyDescent="0.25">
      <c r="A1153">
        <v>1152</v>
      </c>
      <c r="B1153" t="s">
        <v>160</v>
      </c>
      <c r="C1153" t="s">
        <v>4190</v>
      </c>
    </row>
    <row r="1154" spans="1:3" x14ac:dyDescent="0.25">
      <c r="A1154">
        <v>1153</v>
      </c>
      <c r="B1154" t="s">
        <v>624</v>
      </c>
      <c r="C1154" t="s">
        <v>4191</v>
      </c>
    </row>
    <row r="1155" spans="1:3" x14ac:dyDescent="0.25">
      <c r="A1155">
        <v>1154</v>
      </c>
      <c r="B1155" t="s">
        <v>566</v>
      </c>
      <c r="C1155" t="s">
        <v>4192</v>
      </c>
    </row>
    <row r="1156" spans="1:3" x14ac:dyDescent="0.25">
      <c r="A1156">
        <v>1155</v>
      </c>
      <c r="B1156" t="s">
        <v>4193</v>
      </c>
      <c r="C1156" t="s">
        <v>4194</v>
      </c>
    </row>
    <row r="1157" spans="1:3" x14ac:dyDescent="0.25">
      <c r="A1157">
        <v>1156</v>
      </c>
      <c r="B1157" t="s">
        <v>4195</v>
      </c>
      <c r="C1157" t="s">
        <v>4196</v>
      </c>
    </row>
    <row r="1158" spans="1:3" x14ac:dyDescent="0.25">
      <c r="A1158">
        <v>1157</v>
      </c>
      <c r="B1158" t="s">
        <v>4197</v>
      </c>
      <c r="C1158" t="s">
        <v>4198</v>
      </c>
    </row>
    <row r="1159" spans="1:3" x14ac:dyDescent="0.25">
      <c r="A1159">
        <v>1158</v>
      </c>
      <c r="B1159" t="s">
        <v>568</v>
      </c>
      <c r="C1159" t="s">
        <v>4199</v>
      </c>
    </row>
    <row r="1160" spans="1:3" x14ac:dyDescent="0.25">
      <c r="A1160">
        <v>1159</v>
      </c>
      <c r="B1160" t="s">
        <v>398</v>
      </c>
      <c r="C1160" t="s">
        <v>4200</v>
      </c>
    </row>
    <row r="1161" spans="1:3" x14ac:dyDescent="0.25">
      <c r="A1161">
        <v>1160</v>
      </c>
      <c r="B1161" t="s">
        <v>4201</v>
      </c>
      <c r="C1161" t="s">
        <v>4202</v>
      </c>
    </row>
    <row r="1162" spans="1:3" x14ac:dyDescent="0.25">
      <c r="A1162">
        <v>1161</v>
      </c>
      <c r="B1162" t="s">
        <v>4203</v>
      </c>
      <c r="C1162" t="s">
        <v>4204</v>
      </c>
    </row>
    <row r="1163" spans="1:3" x14ac:dyDescent="0.25">
      <c r="A1163">
        <v>1162</v>
      </c>
      <c r="B1163" t="s">
        <v>1699</v>
      </c>
      <c r="C1163" t="s">
        <v>4205</v>
      </c>
    </row>
    <row r="1164" spans="1:3" x14ac:dyDescent="0.25">
      <c r="A1164">
        <v>1163</v>
      </c>
      <c r="B1164" t="s">
        <v>2058</v>
      </c>
      <c r="C1164" t="s">
        <v>4206</v>
      </c>
    </row>
    <row r="1165" spans="1:3" x14ac:dyDescent="0.25">
      <c r="A1165">
        <v>1164</v>
      </c>
      <c r="B1165" t="s">
        <v>4207</v>
      </c>
      <c r="C1165" t="s">
        <v>4208</v>
      </c>
    </row>
    <row r="1166" spans="1:3" x14ac:dyDescent="0.25">
      <c r="A1166">
        <v>1165</v>
      </c>
      <c r="B1166" t="s">
        <v>670</v>
      </c>
      <c r="C1166" t="s">
        <v>4209</v>
      </c>
    </row>
    <row r="1167" spans="1:3" x14ac:dyDescent="0.25">
      <c r="A1167">
        <v>1166</v>
      </c>
      <c r="B1167" t="s">
        <v>4210</v>
      </c>
      <c r="C1167" t="s">
        <v>4211</v>
      </c>
    </row>
    <row r="1168" spans="1:3" x14ac:dyDescent="0.25">
      <c r="A1168">
        <v>1167</v>
      </c>
      <c r="B1168" t="s">
        <v>4212</v>
      </c>
      <c r="C1168" t="s">
        <v>4213</v>
      </c>
    </row>
    <row r="1169" spans="1:3" x14ac:dyDescent="0.25">
      <c r="A1169">
        <v>1168</v>
      </c>
      <c r="B1169" t="s">
        <v>4214</v>
      </c>
      <c r="C1169" t="s">
        <v>4215</v>
      </c>
    </row>
    <row r="1170" spans="1:3" x14ac:dyDescent="0.25">
      <c r="A1170">
        <v>1169</v>
      </c>
      <c r="B1170" t="s">
        <v>4216</v>
      </c>
      <c r="C1170" t="s">
        <v>4217</v>
      </c>
    </row>
    <row r="1171" spans="1:3" x14ac:dyDescent="0.25">
      <c r="A1171">
        <v>1170</v>
      </c>
      <c r="B1171" t="s">
        <v>392</v>
      </c>
      <c r="C1171" t="s">
        <v>4218</v>
      </c>
    </row>
    <row r="1172" spans="1:3" x14ac:dyDescent="0.25">
      <c r="A1172">
        <v>1171</v>
      </c>
      <c r="B1172" t="s">
        <v>1673</v>
      </c>
      <c r="C1172" t="s">
        <v>4219</v>
      </c>
    </row>
    <row r="1173" spans="1:3" x14ac:dyDescent="0.25">
      <c r="A1173">
        <v>1172</v>
      </c>
      <c r="B1173" t="s">
        <v>4220</v>
      </c>
      <c r="C1173" t="s">
        <v>4221</v>
      </c>
    </row>
    <row r="1174" spans="1:3" x14ac:dyDescent="0.25">
      <c r="A1174">
        <v>1173</v>
      </c>
      <c r="B1174" t="s">
        <v>4222</v>
      </c>
      <c r="C1174" t="s">
        <v>4223</v>
      </c>
    </row>
    <row r="1175" spans="1:3" x14ac:dyDescent="0.25">
      <c r="A1175">
        <v>1174</v>
      </c>
      <c r="B1175" t="s">
        <v>175</v>
      </c>
      <c r="C1175" t="s">
        <v>4224</v>
      </c>
    </row>
    <row r="1176" spans="1:3" x14ac:dyDescent="0.25">
      <c r="A1176">
        <v>1175</v>
      </c>
      <c r="B1176" t="s">
        <v>98</v>
      </c>
      <c r="C1176" t="s">
        <v>4225</v>
      </c>
    </row>
    <row r="1177" spans="1:3" x14ac:dyDescent="0.25">
      <c r="A1177">
        <v>1176</v>
      </c>
      <c r="B1177" t="s">
        <v>506</v>
      </c>
      <c r="C1177" t="s">
        <v>4226</v>
      </c>
    </row>
    <row r="1178" spans="1:3" x14ac:dyDescent="0.25">
      <c r="A1178">
        <v>1177</v>
      </c>
      <c r="B1178" t="s">
        <v>4227</v>
      </c>
      <c r="C1178" t="s">
        <v>4228</v>
      </c>
    </row>
    <row r="1179" spans="1:3" x14ac:dyDescent="0.25">
      <c r="A1179">
        <v>1178</v>
      </c>
      <c r="B1179" t="s">
        <v>4229</v>
      </c>
      <c r="C1179" t="s">
        <v>4230</v>
      </c>
    </row>
    <row r="1180" spans="1:3" x14ac:dyDescent="0.25">
      <c r="A1180">
        <v>1179</v>
      </c>
      <c r="B1180" t="s">
        <v>743</v>
      </c>
      <c r="C1180" t="s">
        <v>4231</v>
      </c>
    </row>
    <row r="1181" spans="1:3" x14ac:dyDescent="0.25">
      <c r="A1181">
        <v>1180</v>
      </c>
      <c r="B1181" t="s">
        <v>955</v>
      </c>
      <c r="C1181" t="s">
        <v>4232</v>
      </c>
    </row>
    <row r="1182" spans="1:3" x14ac:dyDescent="0.25">
      <c r="A1182">
        <v>1181</v>
      </c>
      <c r="B1182" t="s">
        <v>1747</v>
      </c>
      <c r="C1182" t="s">
        <v>4233</v>
      </c>
    </row>
    <row r="1183" spans="1:3" x14ac:dyDescent="0.25">
      <c r="A1183">
        <v>1182</v>
      </c>
      <c r="B1183" t="s">
        <v>1763</v>
      </c>
      <c r="C1183" t="s">
        <v>4234</v>
      </c>
    </row>
    <row r="1184" spans="1:3" x14ac:dyDescent="0.25">
      <c r="A1184">
        <v>1183</v>
      </c>
      <c r="B1184" t="s">
        <v>1783</v>
      </c>
      <c r="C1184" t="s">
        <v>4235</v>
      </c>
    </row>
    <row r="1185" spans="1:3" x14ac:dyDescent="0.25">
      <c r="A1185">
        <v>1184</v>
      </c>
      <c r="B1185" t="s">
        <v>4236</v>
      </c>
      <c r="C1185" t="s">
        <v>4237</v>
      </c>
    </row>
    <row r="1186" spans="1:3" x14ac:dyDescent="0.25">
      <c r="A1186">
        <v>1185</v>
      </c>
      <c r="B1186" t="s">
        <v>524</v>
      </c>
      <c r="C1186" t="s">
        <v>4238</v>
      </c>
    </row>
    <row r="1187" spans="1:3" x14ac:dyDescent="0.25">
      <c r="A1187">
        <v>1186</v>
      </c>
      <c r="B1187" t="s">
        <v>4239</v>
      </c>
      <c r="C1187" t="s">
        <v>4240</v>
      </c>
    </row>
    <row r="1188" spans="1:3" x14ac:dyDescent="0.25">
      <c r="A1188">
        <v>1187</v>
      </c>
      <c r="B1188" t="s">
        <v>1626</v>
      </c>
      <c r="C1188" t="s">
        <v>4241</v>
      </c>
    </row>
    <row r="1189" spans="1:3" x14ac:dyDescent="0.25">
      <c r="A1189">
        <v>1188</v>
      </c>
      <c r="B1189" t="s">
        <v>164</v>
      </c>
      <c r="C1189" t="s">
        <v>4242</v>
      </c>
    </row>
    <row r="1190" spans="1:3" x14ac:dyDescent="0.25">
      <c r="A1190">
        <v>1189</v>
      </c>
      <c r="B1190" t="s">
        <v>4243</v>
      </c>
      <c r="C1190" t="s">
        <v>4244</v>
      </c>
    </row>
    <row r="1191" spans="1:3" x14ac:dyDescent="0.25">
      <c r="A1191">
        <v>1190</v>
      </c>
      <c r="B1191" t="s">
        <v>4245</v>
      </c>
      <c r="C1191" t="s">
        <v>4246</v>
      </c>
    </row>
    <row r="1192" spans="1:3" x14ac:dyDescent="0.25">
      <c r="A1192">
        <v>1191</v>
      </c>
      <c r="B1192" t="s">
        <v>1283</v>
      </c>
      <c r="C1192" t="s">
        <v>4247</v>
      </c>
    </row>
    <row r="1193" spans="1:3" x14ac:dyDescent="0.25">
      <c r="A1193">
        <v>1192</v>
      </c>
      <c r="B1193" t="s">
        <v>158</v>
      </c>
      <c r="C1193" t="s">
        <v>4248</v>
      </c>
    </row>
    <row r="1194" spans="1:3" x14ac:dyDescent="0.25">
      <c r="A1194">
        <v>1193</v>
      </c>
      <c r="B1194" t="s">
        <v>4249</v>
      </c>
      <c r="C1194" t="s">
        <v>4250</v>
      </c>
    </row>
    <row r="1195" spans="1:3" x14ac:dyDescent="0.25">
      <c r="A1195">
        <v>1194</v>
      </c>
      <c r="B1195" t="s">
        <v>4251</v>
      </c>
      <c r="C1195" t="s">
        <v>4252</v>
      </c>
    </row>
    <row r="1196" spans="1:3" x14ac:dyDescent="0.25">
      <c r="A1196">
        <v>1195</v>
      </c>
      <c r="B1196" t="s">
        <v>4253</v>
      </c>
      <c r="C1196" t="s">
        <v>4254</v>
      </c>
    </row>
    <row r="1197" spans="1:3" x14ac:dyDescent="0.25">
      <c r="A1197">
        <v>1196</v>
      </c>
      <c r="B1197" t="s">
        <v>4255</v>
      </c>
      <c r="C1197" t="s">
        <v>4256</v>
      </c>
    </row>
    <row r="1198" spans="1:3" x14ac:dyDescent="0.25">
      <c r="A1198">
        <v>1197</v>
      </c>
      <c r="B1198" t="s">
        <v>4257</v>
      </c>
      <c r="C1198" t="s">
        <v>4258</v>
      </c>
    </row>
    <row r="1199" spans="1:3" x14ac:dyDescent="0.25">
      <c r="A1199">
        <v>1198</v>
      </c>
      <c r="B1199" t="s">
        <v>4259</v>
      </c>
      <c r="C1199" t="s">
        <v>4260</v>
      </c>
    </row>
    <row r="1200" spans="1:3" x14ac:dyDescent="0.25">
      <c r="A1200">
        <v>1199</v>
      </c>
      <c r="B1200" t="s">
        <v>4261</v>
      </c>
      <c r="C1200" t="s">
        <v>4262</v>
      </c>
    </row>
    <row r="1201" spans="1:3" x14ac:dyDescent="0.25">
      <c r="A1201">
        <v>1200</v>
      </c>
      <c r="B1201" t="s">
        <v>4263</v>
      </c>
      <c r="C1201" t="s">
        <v>4264</v>
      </c>
    </row>
    <row r="1202" spans="1:3" x14ac:dyDescent="0.25">
      <c r="A1202">
        <v>1201</v>
      </c>
      <c r="B1202" t="s">
        <v>4265</v>
      </c>
      <c r="C1202" t="s">
        <v>4266</v>
      </c>
    </row>
    <row r="1203" spans="1:3" x14ac:dyDescent="0.25">
      <c r="A1203">
        <v>1202</v>
      </c>
      <c r="B1203" t="s">
        <v>4267</v>
      </c>
      <c r="C1203" t="s">
        <v>4268</v>
      </c>
    </row>
    <row r="1204" spans="1:3" x14ac:dyDescent="0.25">
      <c r="A1204">
        <v>1203</v>
      </c>
      <c r="B1204" t="s">
        <v>4269</v>
      </c>
      <c r="C1204" t="s">
        <v>4270</v>
      </c>
    </row>
    <row r="1205" spans="1:3" x14ac:dyDescent="0.25">
      <c r="A1205">
        <v>1204</v>
      </c>
      <c r="B1205" t="s">
        <v>4271</v>
      </c>
      <c r="C1205" t="s">
        <v>4272</v>
      </c>
    </row>
    <row r="1206" spans="1:3" x14ac:dyDescent="0.25">
      <c r="A1206">
        <v>1205</v>
      </c>
      <c r="B1206" t="s">
        <v>4273</v>
      </c>
      <c r="C1206" t="s">
        <v>4274</v>
      </c>
    </row>
    <row r="1207" spans="1:3" x14ac:dyDescent="0.25">
      <c r="A1207">
        <v>1206</v>
      </c>
      <c r="B1207" t="s">
        <v>4275</v>
      </c>
      <c r="C1207" t="s">
        <v>4276</v>
      </c>
    </row>
    <row r="1208" spans="1:3" x14ac:dyDescent="0.25">
      <c r="A1208">
        <v>1207</v>
      </c>
      <c r="B1208" t="s">
        <v>4277</v>
      </c>
      <c r="C1208" t="s">
        <v>4278</v>
      </c>
    </row>
    <row r="1209" spans="1:3" x14ac:dyDescent="0.25">
      <c r="A1209">
        <v>1208</v>
      </c>
      <c r="B1209" t="s">
        <v>1549</v>
      </c>
      <c r="C1209" t="s">
        <v>4279</v>
      </c>
    </row>
    <row r="1210" spans="1:3" x14ac:dyDescent="0.25">
      <c r="A1210">
        <v>1209</v>
      </c>
      <c r="B1210" t="s">
        <v>4280</v>
      </c>
      <c r="C1210" t="s">
        <v>4281</v>
      </c>
    </row>
    <row r="1211" spans="1:3" x14ac:dyDescent="0.25">
      <c r="A1211">
        <v>1210</v>
      </c>
      <c r="B1211" t="s">
        <v>4282</v>
      </c>
      <c r="C1211" t="s">
        <v>4283</v>
      </c>
    </row>
    <row r="1212" spans="1:3" x14ac:dyDescent="0.25">
      <c r="A1212">
        <v>1211</v>
      </c>
      <c r="B1212" t="s">
        <v>4284</v>
      </c>
      <c r="C1212" t="s">
        <v>4285</v>
      </c>
    </row>
    <row r="1213" spans="1:3" x14ac:dyDescent="0.25">
      <c r="A1213">
        <v>1212</v>
      </c>
      <c r="B1213" t="s">
        <v>4286</v>
      </c>
      <c r="C1213" t="s">
        <v>4287</v>
      </c>
    </row>
    <row r="1214" spans="1:3" x14ac:dyDescent="0.25">
      <c r="A1214">
        <v>1213</v>
      </c>
      <c r="B1214" t="s">
        <v>4288</v>
      </c>
      <c r="C1214" t="s">
        <v>4289</v>
      </c>
    </row>
    <row r="1215" spans="1:3" x14ac:dyDescent="0.25">
      <c r="A1215">
        <v>1214</v>
      </c>
      <c r="B1215" t="s">
        <v>4290</v>
      </c>
      <c r="C1215" t="s">
        <v>4291</v>
      </c>
    </row>
    <row r="1216" spans="1:3" x14ac:dyDescent="0.25">
      <c r="A1216">
        <v>1215</v>
      </c>
      <c r="B1216" t="s">
        <v>4292</v>
      </c>
      <c r="C1216" t="s">
        <v>4293</v>
      </c>
    </row>
    <row r="1217" spans="1:3" x14ac:dyDescent="0.25">
      <c r="A1217">
        <v>1216</v>
      </c>
      <c r="B1217" t="s">
        <v>4294</v>
      </c>
      <c r="C1217" t="s">
        <v>4295</v>
      </c>
    </row>
    <row r="1218" spans="1:3" x14ac:dyDescent="0.25">
      <c r="A1218">
        <v>1217</v>
      </c>
      <c r="B1218" t="s">
        <v>4296</v>
      </c>
      <c r="C1218" t="s">
        <v>4297</v>
      </c>
    </row>
    <row r="1219" spans="1:3" x14ac:dyDescent="0.25">
      <c r="A1219">
        <v>1218</v>
      </c>
      <c r="B1219" t="s">
        <v>4298</v>
      </c>
      <c r="C1219" t="s">
        <v>4299</v>
      </c>
    </row>
    <row r="1220" spans="1:3" x14ac:dyDescent="0.25">
      <c r="A1220">
        <v>1219</v>
      </c>
      <c r="B1220" t="s">
        <v>4300</v>
      </c>
      <c r="C1220" t="s">
        <v>4301</v>
      </c>
    </row>
    <row r="1221" spans="1:3" x14ac:dyDescent="0.25">
      <c r="A1221">
        <v>1220</v>
      </c>
      <c r="B1221" t="s">
        <v>4302</v>
      </c>
      <c r="C1221" t="s">
        <v>4303</v>
      </c>
    </row>
    <row r="1222" spans="1:3" x14ac:dyDescent="0.25">
      <c r="A1222">
        <v>1221</v>
      </c>
      <c r="B1222" t="s">
        <v>673</v>
      </c>
      <c r="C1222" t="s">
        <v>4304</v>
      </c>
    </row>
    <row r="1223" spans="1:3" x14ac:dyDescent="0.25">
      <c r="A1223">
        <v>1222</v>
      </c>
      <c r="B1223" t="s">
        <v>452</v>
      </c>
      <c r="C1223" t="s">
        <v>4305</v>
      </c>
    </row>
    <row r="1224" spans="1:3" x14ac:dyDescent="0.25">
      <c r="A1224">
        <v>1223</v>
      </c>
      <c r="B1224" t="s">
        <v>281</v>
      </c>
      <c r="C1224" t="s">
        <v>4306</v>
      </c>
    </row>
    <row r="1225" spans="1:3" x14ac:dyDescent="0.25">
      <c r="A1225">
        <v>1224</v>
      </c>
      <c r="B1225" t="s">
        <v>4307</v>
      </c>
      <c r="C1225" t="s">
        <v>4308</v>
      </c>
    </row>
    <row r="1226" spans="1:3" x14ac:dyDescent="0.25">
      <c r="A1226">
        <v>1225</v>
      </c>
      <c r="B1226" t="s">
        <v>4309</v>
      </c>
      <c r="C1226" t="s">
        <v>4310</v>
      </c>
    </row>
    <row r="1227" spans="1:3" x14ac:dyDescent="0.25">
      <c r="A1227">
        <v>1226</v>
      </c>
      <c r="B1227" t="s">
        <v>4311</v>
      </c>
      <c r="C1227" t="s">
        <v>4312</v>
      </c>
    </row>
    <row r="1228" spans="1:3" x14ac:dyDescent="0.25">
      <c r="A1228">
        <v>1227</v>
      </c>
      <c r="B1228" t="s">
        <v>4313</v>
      </c>
      <c r="C1228" t="s">
        <v>4314</v>
      </c>
    </row>
    <row r="1229" spans="1:3" x14ac:dyDescent="0.25">
      <c r="A1229">
        <v>1228</v>
      </c>
      <c r="B1229" t="s">
        <v>1645</v>
      </c>
      <c r="C1229" t="s">
        <v>4315</v>
      </c>
    </row>
    <row r="1230" spans="1:3" x14ac:dyDescent="0.25">
      <c r="A1230">
        <v>1229</v>
      </c>
      <c r="B1230" t="s">
        <v>32</v>
      </c>
      <c r="C1230" t="s">
        <v>4316</v>
      </c>
    </row>
    <row r="1231" spans="1:3" x14ac:dyDescent="0.25">
      <c r="A1231">
        <v>1230</v>
      </c>
      <c r="B1231" t="s">
        <v>2080</v>
      </c>
      <c r="C1231" t="s">
        <v>4317</v>
      </c>
    </row>
    <row r="1232" spans="1:3" x14ac:dyDescent="0.25">
      <c r="A1232">
        <v>1231</v>
      </c>
      <c r="B1232" t="s">
        <v>1612</v>
      </c>
      <c r="C1232" t="s">
        <v>4318</v>
      </c>
    </row>
    <row r="1233" spans="1:3" x14ac:dyDescent="0.25">
      <c r="A1233">
        <v>1232</v>
      </c>
      <c r="B1233" t="s">
        <v>4319</v>
      </c>
      <c r="C1233" t="s">
        <v>4320</v>
      </c>
    </row>
    <row r="1234" spans="1:3" x14ac:dyDescent="0.25">
      <c r="A1234">
        <v>1233</v>
      </c>
      <c r="B1234" t="s">
        <v>4321</v>
      </c>
      <c r="C1234" t="s">
        <v>4322</v>
      </c>
    </row>
    <row r="1235" spans="1:3" x14ac:dyDescent="0.25">
      <c r="A1235">
        <v>1234</v>
      </c>
      <c r="B1235" t="s">
        <v>4323</v>
      </c>
      <c r="C1235" t="s">
        <v>4324</v>
      </c>
    </row>
    <row r="1236" spans="1:3" x14ac:dyDescent="0.25">
      <c r="A1236">
        <v>1235</v>
      </c>
      <c r="B1236" t="s">
        <v>4325</v>
      </c>
      <c r="C1236" t="s">
        <v>4326</v>
      </c>
    </row>
    <row r="1237" spans="1:3" x14ac:dyDescent="0.25">
      <c r="A1237">
        <v>1236</v>
      </c>
      <c r="B1237" t="s">
        <v>4327</v>
      </c>
      <c r="C1237" t="s">
        <v>4328</v>
      </c>
    </row>
    <row r="1238" spans="1:3" x14ac:dyDescent="0.25">
      <c r="A1238">
        <v>1237</v>
      </c>
      <c r="B1238" t="s">
        <v>4329</v>
      </c>
      <c r="C1238" t="s">
        <v>4330</v>
      </c>
    </row>
    <row r="1239" spans="1:3" x14ac:dyDescent="0.25">
      <c r="A1239">
        <v>1238</v>
      </c>
      <c r="B1239" t="s">
        <v>678</v>
      </c>
      <c r="C1239" t="s">
        <v>4331</v>
      </c>
    </row>
    <row r="1240" spans="1:3" x14ac:dyDescent="0.25">
      <c r="A1240">
        <v>1239</v>
      </c>
      <c r="B1240" t="s">
        <v>1254</v>
      </c>
      <c r="C1240" t="s">
        <v>4332</v>
      </c>
    </row>
    <row r="1241" spans="1:3" x14ac:dyDescent="0.25">
      <c r="A1241">
        <v>1240</v>
      </c>
      <c r="B1241" t="s">
        <v>4333</v>
      </c>
      <c r="C1241" t="s">
        <v>4334</v>
      </c>
    </row>
    <row r="1242" spans="1:3" x14ac:dyDescent="0.25">
      <c r="A1242">
        <v>1241</v>
      </c>
      <c r="B1242" t="s">
        <v>4335</v>
      </c>
      <c r="C1242" t="s">
        <v>4336</v>
      </c>
    </row>
    <row r="1243" spans="1:3" x14ac:dyDescent="0.25">
      <c r="A1243">
        <v>1242</v>
      </c>
      <c r="B1243" t="s">
        <v>4337</v>
      </c>
      <c r="C1243" t="s">
        <v>4338</v>
      </c>
    </row>
    <row r="1244" spans="1:3" x14ac:dyDescent="0.25">
      <c r="A1244">
        <v>1243</v>
      </c>
      <c r="B1244" t="s">
        <v>4339</v>
      </c>
      <c r="C1244" t="s">
        <v>4340</v>
      </c>
    </row>
    <row r="1245" spans="1:3" x14ac:dyDescent="0.25">
      <c r="A1245">
        <v>1244</v>
      </c>
      <c r="B1245" t="s">
        <v>1745</v>
      </c>
      <c r="C1245" t="s">
        <v>4341</v>
      </c>
    </row>
    <row r="1246" spans="1:3" x14ac:dyDescent="0.25">
      <c r="A1246">
        <v>1245</v>
      </c>
      <c r="B1246" t="s">
        <v>1691</v>
      </c>
      <c r="C1246" t="s">
        <v>4342</v>
      </c>
    </row>
    <row r="1247" spans="1:3" x14ac:dyDescent="0.25">
      <c r="A1247">
        <v>1246</v>
      </c>
      <c r="B1247" t="s">
        <v>4343</v>
      </c>
      <c r="C1247" t="s">
        <v>4344</v>
      </c>
    </row>
    <row r="1248" spans="1:3" x14ac:dyDescent="0.25">
      <c r="A1248">
        <v>1247</v>
      </c>
      <c r="B1248" t="s">
        <v>1733</v>
      </c>
      <c r="C1248" t="s">
        <v>4345</v>
      </c>
    </row>
    <row r="1249" spans="1:3" x14ac:dyDescent="0.25">
      <c r="A1249">
        <v>1248</v>
      </c>
      <c r="B1249" t="s">
        <v>888</v>
      </c>
      <c r="C1249" t="s">
        <v>4346</v>
      </c>
    </row>
    <row r="1250" spans="1:3" x14ac:dyDescent="0.25">
      <c r="A1250">
        <v>1249</v>
      </c>
      <c r="B1250" t="s">
        <v>696</v>
      </c>
      <c r="C1250" t="s">
        <v>4347</v>
      </c>
    </row>
    <row r="1251" spans="1:3" x14ac:dyDescent="0.25">
      <c r="A1251">
        <v>1250</v>
      </c>
      <c r="B1251" t="s">
        <v>4348</v>
      </c>
      <c r="C1251" t="s">
        <v>4349</v>
      </c>
    </row>
    <row r="1252" spans="1:3" x14ac:dyDescent="0.25">
      <c r="A1252">
        <v>1251</v>
      </c>
      <c r="B1252" t="s">
        <v>658</v>
      </c>
      <c r="C1252" t="s">
        <v>4350</v>
      </c>
    </row>
    <row r="1253" spans="1:3" x14ac:dyDescent="0.25">
      <c r="A1253">
        <v>1252</v>
      </c>
      <c r="B1253" t="s">
        <v>1252</v>
      </c>
      <c r="C1253" t="s">
        <v>4351</v>
      </c>
    </row>
    <row r="1254" spans="1:3" x14ac:dyDescent="0.25">
      <c r="A1254">
        <v>1253</v>
      </c>
      <c r="B1254" t="s">
        <v>4352</v>
      </c>
      <c r="C1254" t="s">
        <v>4353</v>
      </c>
    </row>
    <row r="1255" spans="1:3" x14ac:dyDescent="0.25">
      <c r="A1255">
        <v>1254</v>
      </c>
      <c r="B1255" t="s">
        <v>2278</v>
      </c>
      <c r="C1255" t="s">
        <v>4354</v>
      </c>
    </row>
    <row r="1256" spans="1:3" x14ac:dyDescent="0.25">
      <c r="A1256">
        <v>1255</v>
      </c>
      <c r="B1256" t="s">
        <v>4355</v>
      </c>
      <c r="C1256" t="s">
        <v>4356</v>
      </c>
    </row>
    <row r="1257" spans="1:3" x14ac:dyDescent="0.25">
      <c r="A1257">
        <v>1256</v>
      </c>
      <c r="B1257" t="s">
        <v>1442</v>
      </c>
      <c r="C1257" t="s">
        <v>4357</v>
      </c>
    </row>
    <row r="1258" spans="1:3" x14ac:dyDescent="0.25">
      <c r="A1258">
        <v>1257</v>
      </c>
      <c r="B1258" t="s">
        <v>634</v>
      </c>
      <c r="C1258" t="s">
        <v>4358</v>
      </c>
    </row>
    <row r="1259" spans="1:3" x14ac:dyDescent="0.25">
      <c r="A1259">
        <v>1258</v>
      </c>
      <c r="B1259" t="s">
        <v>1012</v>
      </c>
      <c r="C1259" t="s">
        <v>4359</v>
      </c>
    </row>
    <row r="1260" spans="1:3" x14ac:dyDescent="0.25">
      <c r="A1260">
        <v>1259</v>
      </c>
      <c r="B1260" t="s">
        <v>4360</v>
      </c>
      <c r="C1260" t="s">
        <v>4361</v>
      </c>
    </row>
    <row r="1261" spans="1:3" x14ac:dyDescent="0.25">
      <c r="A1261">
        <v>1260</v>
      </c>
      <c r="B1261" t="s">
        <v>4362</v>
      </c>
      <c r="C1261" t="s">
        <v>4363</v>
      </c>
    </row>
    <row r="1262" spans="1:3" x14ac:dyDescent="0.25">
      <c r="A1262">
        <v>1261</v>
      </c>
      <c r="B1262" t="s">
        <v>4364</v>
      </c>
      <c r="C1262" t="s">
        <v>4365</v>
      </c>
    </row>
    <row r="1263" spans="1:3" x14ac:dyDescent="0.25">
      <c r="A1263">
        <v>1262</v>
      </c>
      <c r="B1263" t="s">
        <v>4366</v>
      </c>
      <c r="C1263" t="s">
        <v>4367</v>
      </c>
    </row>
    <row r="1264" spans="1:3" x14ac:dyDescent="0.25">
      <c r="A1264">
        <v>1263</v>
      </c>
      <c r="B1264" t="s">
        <v>4368</v>
      </c>
      <c r="C1264" t="s">
        <v>4369</v>
      </c>
    </row>
    <row r="1265" spans="1:3" x14ac:dyDescent="0.25">
      <c r="A1265">
        <v>1264</v>
      </c>
      <c r="B1265" t="s">
        <v>4370</v>
      </c>
      <c r="C1265" t="s">
        <v>4371</v>
      </c>
    </row>
    <row r="1266" spans="1:3" x14ac:dyDescent="0.25">
      <c r="A1266">
        <v>1265</v>
      </c>
      <c r="B1266" t="s">
        <v>4372</v>
      </c>
      <c r="C1266" t="s">
        <v>4373</v>
      </c>
    </row>
    <row r="1267" spans="1:3" x14ac:dyDescent="0.25">
      <c r="A1267">
        <v>1266</v>
      </c>
      <c r="B1267" t="s">
        <v>807</v>
      </c>
      <c r="C1267" t="s">
        <v>4374</v>
      </c>
    </row>
    <row r="1268" spans="1:3" x14ac:dyDescent="0.25">
      <c r="A1268">
        <v>1267</v>
      </c>
      <c r="B1268" t="s">
        <v>686</v>
      </c>
      <c r="C1268" t="s">
        <v>4375</v>
      </c>
    </row>
    <row r="1269" spans="1:3" x14ac:dyDescent="0.25">
      <c r="A1269">
        <v>1268</v>
      </c>
      <c r="B1269" t="s">
        <v>4376</v>
      </c>
      <c r="C1269" t="s">
        <v>4377</v>
      </c>
    </row>
    <row r="1270" spans="1:3" x14ac:dyDescent="0.25">
      <c r="A1270">
        <v>1269</v>
      </c>
      <c r="B1270" t="s">
        <v>4378</v>
      </c>
      <c r="C1270" t="s">
        <v>4379</v>
      </c>
    </row>
    <row r="1271" spans="1:3" x14ac:dyDescent="0.25">
      <c r="A1271">
        <v>1270</v>
      </c>
      <c r="B1271" t="s">
        <v>4380</v>
      </c>
      <c r="C1271" t="s">
        <v>4381</v>
      </c>
    </row>
    <row r="1272" spans="1:3" x14ac:dyDescent="0.25">
      <c r="A1272">
        <v>1271</v>
      </c>
      <c r="B1272" t="s">
        <v>1293</v>
      </c>
      <c r="C1272" t="s">
        <v>4382</v>
      </c>
    </row>
    <row r="1273" spans="1:3" x14ac:dyDescent="0.25">
      <c r="A1273">
        <v>1272</v>
      </c>
      <c r="B1273" t="s">
        <v>4383</v>
      </c>
      <c r="C1273" t="s">
        <v>4384</v>
      </c>
    </row>
    <row r="1274" spans="1:3" x14ac:dyDescent="0.25">
      <c r="A1274">
        <v>1273</v>
      </c>
      <c r="B1274" t="s">
        <v>4385</v>
      </c>
      <c r="C1274" t="s">
        <v>4386</v>
      </c>
    </row>
    <row r="1275" spans="1:3" x14ac:dyDescent="0.25">
      <c r="A1275">
        <v>1274</v>
      </c>
      <c r="B1275" t="s">
        <v>4387</v>
      </c>
      <c r="C1275" t="s">
        <v>4388</v>
      </c>
    </row>
    <row r="1276" spans="1:3" x14ac:dyDescent="0.25">
      <c r="A1276">
        <v>1275</v>
      </c>
      <c r="B1276" t="s">
        <v>4389</v>
      </c>
      <c r="C1276" t="s">
        <v>4390</v>
      </c>
    </row>
    <row r="1277" spans="1:3" x14ac:dyDescent="0.25">
      <c r="A1277">
        <v>1276</v>
      </c>
      <c r="B1277" t="s">
        <v>163</v>
      </c>
      <c r="C1277" t="s">
        <v>4391</v>
      </c>
    </row>
    <row r="1278" spans="1:3" x14ac:dyDescent="0.25">
      <c r="A1278">
        <v>1277</v>
      </c>
      <c r="B1278" t="s">
        <v>4392</v>
      </c>
      <c r="C1278" t="s">
        <v>4393</v>
      </c>
    </row>
    <row r="1279" spans="1:3" x14ac:dyDescent="0.25">
      <c r="A1279">
        <v>1278</v>
      </c>
      <c r="B1279" t="s">
        <v>4394</v>
      </c>
      <c r="C1279" t="s">
        <v>4395</v>
      </c>
    </row>
    <row r="1280" spans="1:3" x14ac:dyDescent="0.25">
      <c r="A1280">
        <v>1279</v>
      </c>
      <c r="B1280" t="s">
        <v>4396</v>
      </c>
      <c r="C1280" t="s">
        <v>4397</v>
      </c>
    </row>
    <row r="1281" spans="1:3" x14ac:dyDescent="0.25">
      <c r="A1281">
        <v>1280</v>
      </c>
      <c r="B1281" t="s">
        <v>2179</v>
      </c>
      <c r="C1281" t="s">
        <v>4398</v>
      </c>
    </row>
    <row r="1282" spans="1:3" x14ac:dyDescent="0.25">
      <c r="A1282">
        <v>1281</v>
      </c>
      <c r="B1282" t="s">
        <v>228</v>
      </c>
      <c r="C1282" t="s">
        <v>4399</v>
      </c>
    </row>
    <row r="1283" spans="1:3" x14ac:dyDescent="0.25">
      <c r="A1283">
        <v>1282</v>
      </c>
      <c r="B1283" t="s">
        <v>4400</v>
      </c>
      <c r="C1283" t="s">
        <v>4401</v>
      </c>
    </row>
    <row r="1284" spans="1:3" x14ac:dyDescent="0.25">
      <c r="A1284">
        <v>1283</v>
      </c>
      <c r="B1284" t="s">
        <v>4402</v>
      </c>
      <c r="C1284" t="s">
        <v>4403</v>
      </c>
    </row>
    <row r="1285" spans="1:3" x14ac:dyDescent="0.25">
      <c r="A1285">
        <v>1284</v>
      </c>
      <c r="B1285" t="s">
        <v>4404</v>
      </c>
      <c r="C1285" t="s">
        <v>4405</v>
      </c>
    </row>
    <row r="1286" spans="1:3" x14ac:dyDescent="0.25">
      <c r="A1286">
        <v>1285</v>
      </c>
      <c r="B1286" t="s">
        <v>4406</v>
      </c>
      <c r="C1286" t="s">
        <v>4407</v>
      </c>
    </row>
    <row r="1287" spans="1:3" x14ac:dyDescent="0.25">
      <c r="A1287">
        <v>1286</v>
      </c>
      <c r="B1287" t="s">
        <v>4408</v>
      </c>
      <c r="C1287" t="s">
        <v>4409</v>
      </c>
    </row>
    <row r="1288" spans="1:3" x14ac:dyDescent="0.25">
      <c r="A1288">
        <v>1287</v>
      </c>
      <c r="B1288" t="s">
        <v>4410</v>
      </c>
      <c r="C1288" t="s">
        <v>4411</v>
      </c>
    </row>
    <row r="1289" spans="1:3" x14ac:dyDescent="0.25">
      <c r="A1289">
        <v>1288</v>
      </c>
      <c r="B1289" t="s">
        <v>4412</v>
      </c>
      <c r="C1289" t="s">
        <v>4413</v>
      </c>
    </row>
    <row r="1290" spans="1:3" x14ac:dyDescent="0.25">
      <c r="A1290">
        <v>1289</v>
      </c>
      <c r="B1290" t="s">
        <v>1040</v>
      </c>
      <c r="C1290" t="s">
        <v>4414</v>
      </c>
    </row>
    <row r="1291" spans="1:3" x14ac:dyDescent="0.25">
      <c r="A1291">
        <v>1290</v>
      </c>
      <c r="B1291" t="s">
        <v>960</v>
      </c>
      <c r="C1291" t="s">
        <v>4415</v>
      </c>
    </row>
    <row r="1292" spans="1:3" x14ac:dyDescent="0.25">
      <c r="A1292">
        <v>1291</v>
      </c>
      <c r="B1292" t="s">
        <v>1713</v>
      </c>
      <c r="C1292" t="s">
        <v>4416</v>
      </c>
    </row>
    <row r="1293" spans="1:3" x14ac:dyDescent="0.25">
      <c r="A1293">
        <v>1292</v>
      </c>
      <c r="B1293" t="s">
        <v>4417</v>
      </c>
      <c r="C1293" t="s">
        <v>4418</v>
      </c>
    </row>
    <row r="1294" spans="1:3" x14ac:dyDescent="0.25">
      <c r="A1294">
        <v>1293</v>
      </c>
      <c r="B1294" t="s">
        <v>755</v>
      </c>
      <c r="C1294" t="s">
        <v>4419</v>
      </c>
    </row>
    <row r="1295" spans="1:3" x14ac:dyDescent="0.25">
      <c r="A1295">
        <v>1294</v>
      </c>
      <c r="B1295" t="s">
        <v>4420</v>
      </c>
      <c r="C1295" t="s">
        <v>4421</v>
      </c>
    </row>
    <row r="1296" spans="1:3" x14ac:dyDescent="0.25">
      <c r="A1296">
        <v>1295</v>
      </c>
      <c r="B1296" t="s">
        <v>4422</v>
      </c>
      <c r="C1296" t="s">
        <v>4423</v>
      </c>
    </row>
    <row r="1297" spans="1:3" x14ac:dyDescent="0.25">
      <c r="A1297">
        <v>1296</v>
      </c>
      <c r="B1297" t="s">
        <v>4424</v>
      </c>
      <c r="C1297" t="s">
        <v>4425</v>
      </c>
    </row>
    <row r="1298" spans="1:3" x14ac:dyDescent="0.25">
      <c r="A1298">
        <v>1297</v>
      </c>
      <c r="B1298" t="s">
        <v>4426</v>
      </c>
      <c r="C1298" t="s">
        <v>4427</v>
      </c>
    </row>
    <row r="1299" spans="1:3" x14ac:dyDescent="0.25">
      <c r="A1299">
        <v>1298</v>
      </c>
      <c r="B1299" t="s">
        <v>4428</v>
      </c>
      <c r="C1299" t="s">
        <v>4429</v>
      </c>
    </row>
    <row r="1300" spans="1:3" x14ac:dyDescent="0.25">
      <c r="A1300">
        <v>1299</v>
      </c>
      <c r="B1300" t="s">
        <v>1029</v>
      </c>
      <c r="C1300" t="s">
        <v>4430</v>
      </c>
    </row>
    <row r="1301" spans="1:3" x14ac:dyDescent="0.25">
      <c r="A1301">
        <v>1300</v>
      </c>
      <c r="B1301" t="s">
        <v>173</v>
      </c>
      <c r="C1301" t="s">
        <v>4431</v>
      </c>
    </row>
    <row r="1302" spans="1:3" x14ac:dyDescent="0.25">
      <c r="A1302">
        <v>1301</v>
      </c>
      <c r="B1302" t="s">
        <v>193</v>
      </c>
      <c r="C1302" t="s">
        <v>4432</v>
      </c>
    </row>
    <row r="1303" spans="1:3" x14ac:dyDescent="0.25">
      <c r="A1303">
        <v>1302</v>
      </c>
      <c r="B1303" t="s">
        <v>1330</v>
      </c>
      <c r="C1303" t="s">
        <v>4433</v>
      </c>
    </row>
    <row r="1304" spans="1:3" x14ac:dyDescent="0.25">
      <c r="A1304">
        <v>1303</v>
      </c>
      <c r="B1304" t="s">
        <v>4434</v>
      </c>
      <c r="C1304" t="s">
        <v>4435</v>
      </c>
    </row>
    <row r="1305" spans="1:3" x14ac:dyDescent="0.25">
      <c r="A1305">
        <v>1304</v>
      </c>
      <c r="B1305" t="s">
        <v>4436</v>
      </c>
      <c r="C1305" t="s">
        <v>4437</v>
      </c>
    </row>
    <row r="1306" spans="1:3" x14ac:dyDescent="0.25">
      <c r="A1306">
        <v>1305</v>
      </c>
      <c r="B1306" t="s">
        <v>1568</v>
      </c>
      <c r="C1306" t="s">
        <v>4438</v>
      </c>
    </row>
    <row r="1307" spans="1:3" x14ac:dyDescent="0.25">
      <c r="A1307">
        <v>1306</v>
      </c>
      <c r="B1307" t="s">
        <v>1821</v>
      </c>
      <c r="C1307" t="s">
        <v>4439</v>
      </c>
    </row>
    <row r="1308" spans="1:3" x14ac:dyDescent="0.25">
      <c r="A1308">
        <v>1307</v>
      </c>
      <c r="B1308" t="s">
        <v>4440</v>
      </c>
      <c r="C1308" t="s">
        <v>4441</v>
      </c>
    </row>
    <row r="1309" spans="1:3" x14ac:dyDescent="0.25">
      <c r="A1309">
        <v>1308</v>
      </c>
      <c r="B1309" t="s">
        <v>4442</v>
      </c>
      <c r="C1309" t="s">
        <v>4443</v>
      </c>
    </row>
    <row r="1310" spans="1:3" x14ac:dyDescent="0.25">
      <c r="A1310">
        <v>1309</v>
      </c>
      <c r="B1310" t="s">
        <v>165</v>
      </c>
      <c r="C1310" t="s">
        <v>4444</v>
      </c>
    </row>
    <row r="1311" spans="1:3" x14ac:dyDescent="0.25">
      <c r="A1311">
        <v>1310</v>
      </c>
      <c r="B1311" t="s">
        <v>1707</v>
      </c>
      <c r="C1311" t="s">
        <v>4445</v>
      </c>
    </row>
    <row r="1312" spans="1:3" x14ac:dyDescent="0.25">
      <c r="A1312">
        <v>1311</v>
      </c>
      <c r="B1312" t="s">
        <v>751</v>
      </c>
      <c r="C1312" t="s">
        <v>4446</v>
      </c>
    </row>
    <row r="1313" spans="1:3" x14ac:dyDescent="0.25">
      <c r="A1313">
        <v>1312</v>
      </c>
      <c r="B1313" t="s">
        <v>4447</v>
      </c>
      <c r="C1313" t="s">
        <v>4448</v>
      </c>
    </row>
    <row r="1314" spans="1:3" x14ac:dyDescent="0.25">
      <c r="A1314">
        <v>1313</v>
      </c>
      <c r="B1314" t="s">
        <v>4449</v>
      </c>
      <c r="C1314" t="s">
        <v>4450</v>
      </c>
    </row>
    <row r="1315" spans="1:3" x14ac:dyDescent="0.25">
      <c r="A1315">
        <v>1314</v>
      </c>
      <c r="B1315" t="s">
        <v>4451</v>
      </c>
      <c r="C1315" t="s">
        <v>4452</v>
      </c>
    </row>
    <row r="1316" spans="1:3" x14ac:dyDescent="0.25">
      <c r="A1316">
        <v>1315</v>
      </c>
      <c r="B1316" t="s">
        <v>4453</v>
      </c>
      <c r="C1316" t="s">
        <v>4454</v>
      </c>
    </row>
    <row r="1317" spans="1:3" x14ac:dyDescent="0.25">
      <c r="A1317">
        <v>1316</v>
      </c>
      <c r="B1317" t="s">
        <v>4455</v>
      </c>
      <c r="C1317" t="s">
        <v>4456</v>
      </c>
    </row>
    <row r="1318" spans="1:3" x14ac:dyDescent="0.25">
      <c r="A1318">
        <v>1317</v>
      </c>
      <c r="B1318" t="s">
        <v>4457</v>
      </c>
      <c r="C1318" t="s">
        <v>4458</v>
      </c>
    </row>
    <row r="1319" spans="1:3" x14ac:dyDescent="0.25">
      <c r="A1319">
        <v>1318</v>
      </c>
      <c r="B1319" t="s">
        <v>4459</v>
      </c>
      <c r="C1319" t="s">
        <v>4460</v>
      </c>
    </row>
    <row r="1320" spans="1:3" x14ac:dyDescent="0.25">
      <c r="A1320">
        <v>1319</v>
      </c>
      <c r="B1320" t="s">
        <v>4461</v>
      </c>
      <c r="C1320" t="s">
        <v>4462</v>
      </c>
    </row>
    <row r="1321" spans="1:3" x14ac:dyDescent="0.25">
      <c r="A1321">
        <v>1320</v>
      </c>
      <c r="B1321" t="s">
        <v>823</v>
      </c>
      <c r="C1321" t="s">
        <v>4463</v>
      </c>
    </row>
    <row r="1322" spans="1:3" x14ac:dyDescent="0.25">
      <c r="A1322">
        <v>1321</v>
      </c>
      <c r="B1322" t="s">
        <v>1668</v>
      </c>
      <c r="C1322" t="s">
        <v>4464</v>
      </c>
    </row>
    <row r="1323" spans="1:3" x14ac:dyDescent="0.25">
      <c r="A1323">
        <v>1322</v>
      </c>
      <c r="B1323" t="s">
        <v>4465</v>
      </c>
      <c r="C1323" t="s">
        <v>4466</v>
      </c>
    </row>
    <row r="1324" spans="1:3" x14ac:dyDescent="0.25">
      <c r="A1324">
        <v>1323</v>
      </c>
      <c r="B1324" t="s">
        <v>4467</v>
      </c>
      <c r="C1324" t="s">
        <v>4468</v>
      </c>
    </row>
    <row r="1325" spans="1:3" x14ac:dyDescent="0.25">
      <c r="A1325">
        <v>1324</v>
      </c>
      <c r="B1325" t="s">
        <v>4469</v>
      </c>
      <c r="C1325" t="s">
        <v>4470</v>
      </c>
    </row>
    <row r="1326" spans="1:3" x14ac:dyDescent="0.25">
      <c r="A1326">
        <v>1325</v>
      </c>
      <c r="B1326" t="s">
        <v>1342</v>
      </c>
      <c r="C1326" t="s">
        <v>4471</v>
      </c>
    </row>
    <row r="1327" spans="1:3" x14ac:dyDescent="0.25">
      <c r="A1327">
        <v>1326</v>
      </c>
      <c r="B1327" t="s">
        <v>644</v>
      </c>
      <c r="C1327" t="s">
        <v>4472</v>
      </c>
    </row>
    <row r="1328" spans="1:3" x14ac:dyDescent="0.25">
      <c r="A1328">
        <v>1327</v>
      </c>
      <c r="B1328" t="s">
        <v>1780</v>
      </c>
      <c r="C1328" t="s">
        <v>4473</v>
      </c>
    </row>
    <row r="1329" spans="1:3" x14ac:dyDescent="0.25">
      <c r="A1329">
        <v>1328</v>
      </c>
      <c r="B1329" t="s">
        <v>4474</v>
      </c>
      <c r="C1329" t="s">
        <v>4475</v>
      </c>
    </row>
    <row r="1330" spans="1:3" x14ac:dyDescent="0.25">
      <c r="A1330">
        <v>1329</v>
      </c>
      <c r="B1330" t="s">
        <v>938</v>
      </c>
      <c r="C1330" t="s">
        <v>4476</v>
      </c>
    </row>
    <row r="1331" spans="1:3" x14ac:dyDescent="0.25">
      <c r="A1331">
        <v>1330</v>
      </c>
      <c r="B1331" t="s">
        <v>1724</v>
      </c>
      <c r="C1331" t="s">
        <v>4477</v>
      </c>
    </row>
    <row r="1332" spans="1:3" x14ac:dyDescent="0.25">
      <c r="A1332">
        <v>1331</v>
      </c>
      <c r="B1332" t="s">
        <v>1734</v>
      </c>
      <c r="C1332" t="s">
        <v>4478</v>
      </c>
    </row>
    <row r="1333" spans="1:3" x14ac:dyDescent="0.25">
      <c r="A1333">
        <v>1332</v>
      </c>
      <c r="B1333" t="s">
        <v>4479</v>
      </c>
      <c r="C1333" t="s">
        <v>4480</v>
      </c>
    </row>
    <row r="1334" spans="1:3" x14ac:dyDescent="0.25">
      <c r="A1334">
        <v>1333</v>
      </c>
      <c r="B1334" t="s">
        <v>4481</v>
      </c>
      <c r="C1334" t="s">
        <v>4482</v>
      </c>
    </row>
    <row r="1335" spans="1:3" x14ac:dyDescent="0.25">
      <c r="A1335">
        <v>1334</v>
      </c>
      <c r="B1335" t="s">
        <v>4483</v>
      </c>
      <c r="C1335" t="s">
        <v>4484</v>
      </c>
    </row>
    <row r="1336" spans="1:3" x14ac:dyDescent="0.25">
      <c r="A1336">
        <v>1335</v>
      </c>
      <c r="B1336" t="s">
        <v>829</v>
      </c>
      <c r="C1336" t="s">
        <v>4485</v>
      </c>
    </row>
    <row r="1337" spans="1:3" x14ac:dyDescent="0.25">
      <c r="A1337">
        <v>1336</v>
      </c>
      <c r="B1337" t="s">
        <v>4486</v>
      </c>
      <c r="C1337" t="s">
        <v>4487</v>
      </c>
    </row>
    <row r="1338" spans="1:3" x14ac:dyDescent="0.25">
      <c r="A1338">
        <v>1337</v>
      </c>
      <c r="B1338" t="s">
        <v>2087</v>
      </c>
      <c r="C1338" t="s">
        <v>4488</v>
      </c>
    </row>
    <row r="1339" spans="1:3" x14ac:dyDescent="0.25">
      <c r="A1339">
        <v>1338</v>
      </c>
      <c r="B1339" t="s">
        <v>1610</v>
      </c>
      <c r="C1339" t="s">
        <v>4489</v>
      </c>
    </row>
    <row r="1340" spans="1:3" x14ac:dyDescent="0.25">
      <c r="A1340">
        <v>1339</v>
      </c>
      <c r="B1340" t="s">
        <v>207</v>
      </c>
      <c r="C1340" t="s">
        <v>4490</v>
      </c>
    </row>
    <row r="1341" spans="1:3" x14ac:dyDescent="0.25">
      <c r="A1341">
        <v>1340</v>
      </c>
      <c r="B1341" t="s">
        <v>2140</v>
      </c>
      <c r="C1341" t="s">
        <v>4491</v>
      </c>
    </row>
    <row r="1342" spans="1:3" x14ac:dyDescent="0.25">
      <c r="A1342">
        <v>1341</v>
      </c>
      <c r="B1342" t="s">
        <v>863</v>
      </c>
      <c r="C1342" t="s">
        <v>4492</v>
      </c>
    </row>
    <row r="1343" spans="1:3" x14ac:dyDescent="0.25">
      <c r="A1343">
        <v>1342</v>
      </c>
      <c r="B1343" t="s">
        <v>4493</v>
      </c>
      <c r="C1343" t="s">
        <v>4494</v>
      </c>
    </row>
    <row r="1344" spans="1:3" x14ac:dyDescent="0.25">
      <c r="A1344">
        <v>1343</v>
      </c>
      <c r="B1344" t="s">
        <v>4495</v>
      </c>
      <c r="C1344" t="s">
        <v>4496</v>
      </c>
    </row>
    <row r="1345" spans="1:3" x14ac:dyDescent="0.25">
      <c r="A1345">
        <v>1344</v>
      </c>
      <c r="B1345" t="s">
        <v>185</v>
      </c>
      <c r="C1345" t="s">
        <v>4497</v>
      </c>
    </row>
    <row r="1346" spans="1:3" x14ac:dyDescent="0.25">
      <c r="A1346">
        <v>1345</v>
      </c>
      <c r="B1346" t="s">
        <v>4498</v>
      </c>
      <c r="C1346" t="s">
        <v>4499</v>
      </c>
    </row>
    <row r="1347" spans="1:3" x14ac:dyDescent="0.25">
      <c r="A1347">
        <v>1346</v>
      </c>
      <c r="B1347" t="s">
        <v>1660</v>
      </c>
      <c r="C1347" t="s">
        <v>4500</v>
      </c>
    </row>
    <row r="1348" spans="1:3" x14ac:dyDescent="0.25">
      <c r="A1348">
        <v>1347</v>
      </c>
      <c r="B1348" t="s">
        <v>4501</v>
      </c>
      <c r="C1348" t="s">
        <v>4502</v>
      </c>
    </row>
    <row r="1349" spans="1:3" x14ac:dyDescent="0.25">
      <c r="A1349">
        <v>1348</v>
      </c>
      <c r="B1349" t="s">
        <v>4503</v>
      </c>
      <c r="C1349" t="s">
        <v>4504</v>
      </c>
    </row>
    <row r="1350" spans="1:3" x14ac:dyDescent="0.25">
      <c r="A1350">
        <v>1349</v>
      </c>
      <c r="B1350" t="s">
        <v>1823</v>
      </c>
      <c r="C1350" t="s">
        <v>4505</v>
      </c>
    </row>
    <row r="1351" spans="1:3" x14ac:dyDescent="0.25">
      <c r="A1351">
        <v>1350</v>
      </c>
      <c r="B1351" t="s">
        <v>735</v>
      </c>
      <c r="C1351" t="s">
        <v>4506</v>
      </c>
    </row>
    <row r="1352" spans="1:3" x14ac:dyDescent="0.25">
      <c r="A1352">
        <v>1351</v>
      </c>
      <c r="B1352" t="s">
        <v>4507</v>
      </c>
      <c r="C1352" t="s">
        <v>4508</v>
      </c>
    </row>
    <row r="1353" spans="1:3" x14ac:dyDescent="0.25">
      <c r="A1353">
        <v>1352</v>
      </c>
      <c r="B1353" t="s">
        <v>4509</v>
      </c>
      <c r="C1353" t="s">
        <v>4510</v>
      </c>
    </row>
    <row r="1354" spans="1:3" x14ac:dyDescent="0.25">
      <c r="A1354">
        <v>1353</v>
      </c>
      <c r="B1354" t="s">
        <v>898</v>
      </c>
      <c r="C1354" t="s">
        <v>4511</v>
      </c>
    </row>
    <row r="1355" spans="1:3" x14ac:dyDescent="0.25">
      <c r="A1355">
        <v>1354</v>
      </c>
      <c r="B1355" t="s">
        <v>2059</v>
      </c>
      <c r="C1355" t="s">
        <v>4512</v>
      </c>
    </row>
    <row r="1356" spans="1:3" x14ac:dyDescent="0.25">
      <c r="A1356">
        <v>1355</v>
      </c>
      <c r="B1356" t="s">
        <v>812</v>
      </c>
      <c r="C1356" t="s">
        <v>4513</v>
      </c>
    </row>
    <row r="1357" spans="1:3" x14ac:dyDescent="0.25">
      <c r="A1357">
        <v>1356</v>
      </c>
      <c r="B1357" t="s">
        <v>4514</v>
      </c>
      <c r="C1357" t="s">
        <v>4515</v>
      </c>
    </row>
    <row r="1358" spans="1:3" x14ac:dyDescent="0.25">
      <c r="A1358">
        <v>1357</v>
      </c>
      <c r="B1358" t="s">
        <v>37</v>
      </c>
      <c r="C1358" t="s">
        <v>4516</v>
      </c>
    </row>
    <row r="1359" spans="1:3" x14ac:dyDescent="0.25">
      <c r="A1359">
        <v>1358</v>
      </c>
      <c r="B1359" t="s">
        <v>648</v>
      </c>
      <c r="C1359" t="s">
        <v>4517</v>
      </c>
    </row>
    <row r="1360" spans="1:3" x14ac:dyDescent="0.25">
      <c r="A1360">
        <v>1359</v>
      </c>
      <c r="B1360" t="s">
        <v>671</v>
      </c>
      <c r="C1360" t="s">
        <v>4518</v>
      </c>
    </row>
    <row r="1361" spans="1:3" x14ac:dyDescent="0.25">
      <c r="A1361">
        <v>1360</v>
      </c>
      <c r="B1361" t="s">
        <v>4519</v>
      </c>
      <c r="C1361" t="s">
        <v>4520</v>
      </c>
    </row>
    <row r="1362" spans="1:3" x14ac:dyDescent="0.25">
      <c r="A1362">
        <v>1361</v>
      </c>
      <c r="B1362" t="s">
        <v>187</v>
      </c>
      <c r="C1362" t="s">
        <v>4521</v>
      </c>
    </row>
    <row r="1363" spans="1:3" x14ac:dyDescent="0.25">
      <c r="A1363">
        <v>1362</v>
      </c>
      <c r="B1363" t="s">
        <v>1407</v>
      </c>
      <c r="C1363" t="s">
        <v>4522</v>
      </c>
    </row>
    <row r="1364" spans="1:3" x14ac:dyDescent="0.25">
      <c r="A1364">
        <v>1363</v>
      </c>
      <c r="B1364" t="s">
        <v>388</v>
      </c>
      <c r="C1364" t="s">
        <v>4523</v>
      </c>
    </row>
    <row r="1365" spans="1:3" x14ac:dyDescent="0.25">
      <c r="A1365">
        <v>1364</v>
      </c>
      <c r="B1365" t="s">
        <v>4524</v>
      </c>
      <c r="C1365" t="s">
        <v>4525</v>
      </c>
    </row>
    <row r="1366" spans="1:3" x14ac:dyDescent="0.25">
      <c r="A1366">
        <v>1365</v>
      </c>
      <c r="B1366" t="s">
        <v>206</v>
      </c>
      <c r="C1366" t="s">
        <v>4526</v>
      </c>
    </row>
    <row r="1367" spans="1:3" x14ac:dyDescent="0.25">
      <c r="A1367">
        <v>1366</v>
      </c>
      <c r="B1367" t="s">
        <v>4527</v>
      </c>
      <c r="C1367" t="s">
        <v>4528</v>
      </c>
    </row>
    <row r="1368" spans="1:3" x14ac:dyDescent="0.25">
      <c r="A1368">
        <v>1367</v>
      </c>
      <c r="B1368" t="s">
        <v>747</v>
      </c>
      <c r="C1368" t="s">
        <v>4529</v>
      </c>
    </row>
    <row r="1369" spans="1:3" x14ac:dyDescent="0.25">
      <c r="A1369">
        <v>1368</v>
      </c>
      <c r="B1369" t="s">
        <v>4530</v>
      </c>
      <c r="C1369" t="s">
        <v>4531</v>
      </c>
    </row>
    <row r="1370" spans="1:3" x14ac:dyDescent="0.25">
      <c r="A1370">
        <v>1369</v>
      </c>
      <c r="B1370" t="s">
        <v>380</v>
      </c>
      <c r="C1370" t="s">
        <v>4532</v>
      </c>
    </row>
    <row r="1371" spans="1:3" x14ac:dyDescent="0.25">
      <c r="A1371">
        <v>1370</v>
      </c>
      <c r="B1371" t="s">
        <v>4533</v>
      </c>
      <c r="C1371" t="s">
        <v>4534</v>
      </c>
    </row>
    <row r="1372" spans="1:3" x14ac:dyDescent="0.25">
      <c r="A1372">
        <v>1371</v>
      </c>
      <c r="B1372" t="s">
        <v>4535</v>
      </c>
      <c r="C1372" t="s">
        <v>4536</v>
      </c>
    </row>
    <row r="1373" spans="1:3" x14ac:dyDescent="0.25">
      <c r="A1373">
        <v>1372</v>
      </c>
      <c r="B1373" t="s">
        <v>448</v>
      </c>
      <c r="C1373" t="s">
        <v>4537</v>
      </c>
    </row>
    <row r="1374" spans="1:3" x14ac:dyDescent="0.25">
      <c r="A1374">
        <v>1373</v>
      </c>
      <c r="B1374" t="s">
        <v>4538</v>
      </c>
      <c r="C1374" t="s">
        <v>4539</v>
      </c>
    </row>
    <row r="1375" spans="1:3" x14ac:dyDescent="0.25">
      <c r="A1375">
        <v>1374</v>
      </c>
      <c r="B1375" t="s">
        <v>4540</v>
      </c>
      <c r="C1375" t="s">
        <v>4541</v>
      </c>
    </row>
    <row r="1376" spans="1:3" x14ac:dyDescent="0.25">
      <c r="A1376">
        <v>1375</v>
      </c>
      <c r="B1376" t="s">
        <v>4542</v>
      </c>
      <c r="C1376" t="s">
        <v>4543</v>
      </c>
    </row>
    <row r="1377" spans="1:3" x14ac:dyDescent="0.25">
      <c r="A1377">
        <v>1376</v>
      </c>
      <c r="B1377" t="s">
        <v>799</v>
      </c>
      <c r="C1377" t="s">
        <v>4544</v>
      </c>
    </row>
    <row r="1378" spans="1:3" x14ac:dyDescent="0.25">
      <c r="A1378">
        <v>1377</v>
      </c>
      <c r="B1378" t="s">
        <v>4545</v>
      </c>
      <c r="C1378" t="s">
        <v>4546</v>
      </c>
    </row>
    <row r="1379" spans="1:3" x14ac:dyDescent="0.25">
      <c r="A1379">
        <v>1378</v>
      </c>
      <c r="B1379" t="s">
        <v>1900</v>
      </c>
      <c r="C1379" t="s">
        <v>4547</v>
      </c>
    </row>
    <row r="1380" spans="1:3" x14ac:dyDescent="0.25">
      <c r="A1380">
        <v>1379</v>
      </c>
      <c r="B1380" t="s">
        <v>208</v>
      </c>
      <c r="C1380" t="s">
        <v>4548</v>
      </c>
    </row>
    <row r="1381" spans="1:3" x14ac:dyDescent="0.25">
      <c r="A1381">
        <v>1380</v>
      </c>
      <c r="B1381" t="s">
        <v>628</v>
      </c>
      <c r="C1381" t="s">
        <v>4549</v>
      </c>
    </row>
    <row r="1382" spans="1:3" x14ac:dyDescent="0.25">
      <c r="A1382">
        <v>1381</v>
      </c>
      <c r="B1382" t="s">
        <v>4550</v>
      </c>
      <c r="C1382" t="s">
        <v>4551</v>
      </c>
    </row>
    <row r="1383" spans="1:3" x14ac:dyDescent="0.25">
      <c r="A1383">
        <v>1382</v>
      </c>
      <c r="B1383" t="s">
        <v>4552</v>
      </c>
      <c r="C1383" t="s">
        <v>4553</v>
      </c>
    </row>
    <row r="1384" spans="1:3" x14ac:dyDescent="0.25">
      <c r="A1384">
        <v>1383</v>
      </c>
      <c r="B1384" t="s">
        <v>954</v>
      </c>
      <c r="C1384" t="s">
        <v>4554</v>
      </c>
    </row>
    <row r="1385" spans="1:3" x14ac:dyDescent="0.25">
      <c r="A1385">
        <v>1384</v>
      </c>
      <c r="B1385" t="s">
        <v>1602</v>
      </c>
      <c r="C1385" t="s">
        <v>4555</v>
      </c>
    </row>
    <row r="1386" spans="1:3" x14ac:dyDescent="0.25">
      <c r="A1386">
        <v>1385</v>
      </c>
      <c r="B1386" t="s">
        <v>4556</v>
      </c>
      <c r="C1386" t="s">
        <v>4557</v>
      </c>
    </row>
    <row r="1387" spans="1:3" x14ac:dyDescent="0.25">
      <c r="A1387">
        <v>1386</v>
      </c>
      <c r="B1387" t="s">
        <v>1237</v>
      </c>
      <c r="C1387" t="s">
        <v>4558</v>
      </c>
    </row>
    <row r="1388" spans="1:3" x14ac:dyDescent="0.25">
      <c r="A1388">
        <v>1387</v>
      </c>
      <c r="B1388" t="s">
        <v>4559</v>
      </c>
      <c r="C1388" t="s">
        <v>4560</v>
      </c>
    </row>
    <row r="1389" spans="1:3" x14ac:dyDescent="0.25">
      <c r="A1389">
        <v>1388</v>
      </c>
      <c r="B1389" t="s">
        <v>4561</v>
      </c>
      <c r="C1389" t="s">
        <v>4562</v>
      </c>
    </row>
    <row r="1390" spans="1:3" x14ac:dyDescent="0.25">
      <c r="A1390">
        <v>1389</v>
      </c>
      <c r="B1390" t="s">
        <v>4563</v>
      </c>
      <c r="C1390" t="s">
        <v>4564</v>
      </c>
    </row>
    <row r="1391" spans="1:3" x14ac:dyDescent="0.25">
      <c r="A1391">
        <v>1390</v>
      </c>
      <c r="B1391" t="s">
        <v>4565</v>
      </c>
      <c r="C1391" t="s">
        <v>4566</v>
      </c>
    </row>
    <row r="1392" spans="1:3" x14ac:dyDescent="0.25">
      <c r="A1392">
        <v>1391</v>
      </c>
      <c r="B1392" t="s">
        <v>492</v>
      </c>
      <c r="C1392" t="s">
        <v>4567</v>
      </c>
    </row>
    <row r="1393" spans="1:3" x14ac:dyDescent="0.25">
      <c r="A1393">
        <v>1392</v>
      </c>
      <c r="B1393" t="s">
        <v>360</v>
      </c>
      <c r="C1393" t="s">
        <v>4568</v>
      </c>
    </row>
    <row r="1394" spans="1:3" x14ac:dyDescent="0.25">
      <c r="A1394">
        <v>1393</v>
      </c>
      <c r="B1394" t="s">
        <v>592</v>
      </c>
      <c r="C1394" t="s">
        <v>4569</v>
      </c>
    </row>
    <row r="1395" spans="1:3" x14ac:dyDescent="0.25">
      <c r="A1395">
        <v>1394</v>
      </c>
      <c r="B1395" t="s">
        <v>4570</v>
      </c>
      <c r="C1395" t="s">
        <v>4571</v>
      </c>
    </row>
    <row r="1396" spans="1:3" x14ac:dyDescent="0.25">
      <c r="A1396">
        <v>1395</v>
      </c>
      <c r="B1396" t="s">
        <v>4572</v>
      </c>
      <c r="C1396" t="s">
        <v>4573</v>
      </c>
    </row>
    <row r="1397" spans="1:3" x14ac:dyDescent="0.25">
      <c r="A1397">
        <v>1396</v>
      </c>
      <c r="B1397" t="s">
        <v>4574</v>
      </c>
      <c r="C1397" t="s">
        <v>4575</v>
      </c>
    </row>
    <row r="1398" spans="1:3" x14ac:dyDescent="0.25">
      <c r="A1398">
        <v>1397</v>
      </c>
      <c r="B1398" t="s">
        <v>1637</v>
      </c>
      <c r="C1398" t="s">
        <v>4576</v>
      </c>
    </row>
    <row r="1399" spans="1:3" x14ac:dyDescent="0.25">
      <c r="A1399">
        <v>1398</v>
      </c>
      <c r="B1399" t="s">
        <v>90</v>
      </c>
      <c r="C1399" t="s">
        <v>4577</v>
      </c>
    </row>
    <row r="1400" spans="1:3" x14ac:dyDescent="0.25">
      <c r="A1400">
        <v>1399</v>
      </c>
      <c r="B1400" t="s">
        <v>4578</v>
      </c>
      <c r="C1400" t="s">
        <v>4579</v>
      </c>
    </row>
    <row r="1401" spans="1:3" x14ac:dyDescent="0.25">
      <c r="A1401">
        <v>1400</v>
      </c>
      <c r="B1401" t="s">
        <v>1737</v>
      </c>
      <c r="C1401" t="s">
        <v>4580</v>
      </c>
    </row>
    <row r="1402" spans="1:3" x14ac:dyDescent="0.25">
      <c r="A1402">
        <v>1401</v>
      </c>
      <c r="B1402" t="s">
        <v>688</v>
      </c>
      <c r="C1402" t="s">
        <v>4581</v>
      </c>
    </row>
    <row r="1403" spans="1:3" x14ac:dyDescent="0.25">
      <c r="A1403">
        <v>1402</v>
      </c>
      <c r="B1403" t="s">
        <v>4582</v>
      </c>
      <c r="C1403" t="s">
        <v>4583</v>
      </c>
    </row>
    <row r="1404" spans="1:3" x14ac:dyDescent="0.25">
      <c r="A1404">
        <v>1403</v>
      </c>
      <c r="B1404" t="s">
        <v>4584</v>
      </c>
      <c r="C1404" t="s">
        <v>4585</v>
      </c>
    </row>
    <row r="1405" spans="1:3" x14ac:dyDescent="0.25">
      <c r="A1405">
        <v>1404</v>
      </c>
      <c r="B1405" t="s">
        <v>2057</v>
      </c>
      <c r="C1405" t="s">
        <v>4586</v>
      </c>
    </row>
    <row r="1406" spans="1:3" x14ac:dyDescent="0.25">
      <c r="A1406">
        <v>1405</v>
      </c>
      <c r="B1406" t="s">
        <v>4587</v>
      </c>
      <c r="C1406" t="s">
        <v>4588</v>
      </c>
    </row>
    <row r="1407" spans="1:3" x14ac:dyDescent="0.25">
      <c r="A1407">
        <v>1406</v>
      </c>
      <c r="B1407" t="s">
        <v>4589</v>
      </c>
      <c r="C1407" t="s">
        <v>4590</v>
      </c>
    </row>
    <row r="1408" spans="1:3" x14ac:dyDescent="0.25">
      <c r="A1408">
        <v>1407</v>
      </c>
      <c r="B1408" t="s">
        <v>1347</v>
      </c>
      <c r="C1408" t="s">
        <v>4591</v>
      </c>
    </row>
    <row r="1409" spans="1:3" x14ac:dyDescent="0.25">
      <c r="A1409">
        <v>1408</v>
      </c>
      <c r="B1409" t="s">
        <v>516</v>
      </c>
      <c r="C1409" t="s">
        <v>4592</v>
      </c>
    </row>
    <row r="1410" spans="1:3" x14ac:dyDescent="0.25">
      <c r="A1410">
        <v>1409</v>
      </c>
      <c r="B1410" t="s">
        <v>1760</v>
      </c>
      <c r="C1410" t="s">
        <v>4593</v>
      </c>
    </row>
    <row r="1411" spans="1:3" x14ac:dyDescent="0.25">
      <c r="A1411">
        <v>1410</v>
      </c>
      <c r="B1411" t="s">
        <v>128</v>
      </c>
      <c r="C1411" t="s">
        <v>4594</v>
      </c>
    </row>
    <row r="1412" spans="1:3" x14ac:dyDescent="0.25">
      <c r="A1412">
        <v>1411</v>
      </c>
      <c r="B1412" t="s">
        <v>4595</v>
      </c>
      <c r="C1412" t="s">
        <v>4596</v>
      </c>
    </row>
    <row r="1413" spans="1:3" x14ac:dyDescent="0.25">
      <c r="A1413">
        <v>1412</v>
      </c>
      <c r="B1413" t="s">
        <v>4597</v>
      </c>
      <c r="C1413" t="s">
        <v>4598</v>
      </c>
    </row>
    <row r="1414" spans="1:3" x14ac:dyDescent="0.25">
      <c r="A1414">
        <v>1413</v>
      </c>
      <c r="B1414" t="s">
        <v>4599</v>
      </c>
      <c r="C1414" t="s">
        <v>4600</v>
      </c>
    </row>
    <row r="1415" spans="1:3" x14ac:dyDescent="0.25">
      <c r="A1415">
        <v>1414</v>
      </c>
      <c r="B1415" t="s">
        <v>4601</v>
      </c>
      <c r="C1415" t="s">
        <v>4602</v>
      </c>
    </row>
    <row r="1416" spans="1:3" x14ac:dyDescent="0.25">
      <c r="A1416">
        <v>1415</v>
      </c>
      <c r="B1416" t="s">
        <v>4603</v>
      </c>
      <c r="C1416" t="s">
        <v>4604</v>
      </c>
    </row>
    <row r="1417" spans="1:3" x14ac:dyDescent="0.25">
      <c r="A1417">
        <v>1416</v>
      </c>
      <c r="B1417" t="s">
        <v>4605</v>
      </c>
      <c r="C1417" t="s">
        <v>4606</v>
      </c>
    </row>
    <row r="1418" spans="1:3" x14ac:dyDescent="0.25">
      <c r="A1418">
        <v>1417</v>
      </c>
      <c r="B1418" t="s">
        <v>1664</v>
      </c>
      <c r="C1418" t="s">
        <v>4607</v>
      </c>
    </row>
    <row r="1419" spans="1:3" x14ac:dyDescent="0.25">
      <c r="A1419">
        <v>1418</v>
      </c>
      <c r="B1419" t="s">
        <v>4608</v>
      </c>
      <c r="C1419" t="s">
        <v>4609</v>
      </c>
    </row>
    <row r="1420" spans="1:3" x14ac:dyDescent="0.25">
      <c r="A1420">
        <v>1419</v>
      </c>
      <c r="B1420" t="s">
        <v>596</v>
      </c>
      <c r="C1420" t="s">
        <v>4610</v>
      </c>
    </row>
    <row r="1421" spans="1:3" x14ac:dyDescent="0.25">
      <c r="A1421">
        <v>1420</v>
      </c>
      <c r="B1421" t="s">
        <v>94</v>
      </c>
      <c r="C1421" t="s">
        <v>4611</v>
      </c>
    </row>
    <row r="1422" spans="1:3" x14ac:dyDescent="0.25">
      <c r="A1422">
        <v>1421</v>
      </c>
      <c r="B1422" t="s">
        <v>96</v>
      </c>
      <c r="C1422" t="s">
        <v>4612</v>
      </c>
    </row>
    <row r="1423" spans="1:3" x14ac:dyDescent="0.25">
      <c r="A1423">
        <v>1422</v>
      </c>
      <c r="B1423" t="s">
        <v>4613</v>
      </c>
      <c r="C1423" t="s">
        <v>4614</v>
      </c>
    </row>
    <row r="1424" spans="1:3" x14ac:dyDescent="0.25">
      <c r="A1424">
        <v>1423</v>
      </c>
      <c r="B1424" t="s">
        <v>2112</v>
      </c>
      <c r="C1424" t="s">
        <v>4615</v>
      </c>
    </row>
    <row r="1425" spans="1:3" x14ac:dyDescent="0.25">
      <c r="A1425">
        <v>1424</v>
      </c>
      <c r="B1425" t="s">
        <v>4616</v>
      </c>
      <c r="C1425" t="s">
        <v>4617</v>
      </c>
    </row>
    <row r="1426" spans="1:3" x14ac:dyDescent="0.25">
      <c r="A1426">
        <v>1425</v>
      </c>
      <c r="B1426" t="s">
        <v>4618</v>
      </c>
      <c r="C1426" t="s">
        <v>4619</v>
      </c>
    </row>
    <row r="1427" spans="1:3" x14ac:dyDescent="0.25">
      <c r="A1427">
        <v>1426</v>
      </c>
      <c r="B1427" t="s">
        <v>4620</v>
      </c>
      <c r="C1427" t="s">
        <v>4621</v>
      </c>
    </row>
    <row r="1428" spans="1:3" x14ac:dyDescent="0.25">
      <c r="A1428">
        <v>1427</v>
      </c>
      <c r="B1428" t="s">
        <v>4622</v>
      </c>
      <c r="C1428" t="s">
        <v>4623</v>
      </c>
    </row>
    <row r="1429" spans="1:3" x14ac:dyDescent="0.25">
      <c r="A1429">
        <v>1428</v>
      </c>
      <c r="B1429" t="s">
        <v>773</v>
      </c>
      <c r="C1429" t="s">
        <v>4624</v>
      </c>
    </row>
    <row r="1430" spans="1:3" x14ac:dyDescent="0.25">
      <c r="A1430">
        <v>1429</v>
      </c>
      <c r="B1430" t="s">
        <v>204</v>
      </c>
      <c r="C1430" t="s">
        <v>4625</v>
      </c>
    </row>
    <row r="1431" spans="1:3" x14ac:dyDescent="0.25">
      <c r="A1431">
        <v>1430</v>
      </c>
      <c r="B1431" t="s">
        <v>1562</v>
      </c>
      <c r="C1431" t="s">
        <v>4626</v>
      </c>
    </row>
    <row r="1432" spans="1:3" x14ac:dyDescent="0.25">
      <c r="A1432">
        <v>1431</v>
      </c>
      <c r="B1432" t="s">
        <v>4627</v>
      </c>
      <c r="C1432" t="s">
        <v>4628</v>
      </c>
    </row>
    <row r="1433" spans="1:3" x14ac:dyDescent="0.25">
      <c r="A1433">
        <v>1432</v>
      </c>
      <c r="B1433" t="s">
        <v>273</v>
      </c>
      <c r="C1433" t="s">
        <v>4629</v>
      </c>
    </row>
    <row r="1434" spans="1:3" x14ac:dyDescent="0.25">
      <c r="A1434">
        <v>1433</v>
      </c>
      <c r="B1434" t="s">
        <v>4630</v>
      </c>
      <c r="C1434" t="s">
        <v>4631</v>
      </c>
    </row>
    <row r="1435" spans="1:3" x14ac:dyDescent="0.25">
      <c r="A1435">
        <v>1434</v>
      </c>
      <c r="B1435" t="s">
        <v>4632</v>
      </c>
      <c r="C1435" t="s">
        <v>4633</v>
      </c>
    </row>
    <row r="1436" spans="1:3" x14ac:dyDescent="0.25">
      <c r="A1436">
        <v>1435</v>
      </c>
      <c r="B1436" t="s">
        <v>240</v>
      </c>
      <c r="C1436" t="s">
        <v>4634</v>
      </c>
    </row>
    <row r="1437" spans="1:3" x14ac:dyDescent="0.25">
      <c r="A1437">
        <v>1436</v>
      </c>
      <c r="B1437" t="s">
        <v>7</v>
      </c>
      <c r="C1437" t="s">
        <v>4635</v>
      </c>
    </row>
    <row r="1438" spans="1:3" x14ac:dyDescent="0.25">
      <c r="A1438">
        <v>1437</v>
      </c>
      <c r="B1438" t="s">
        <v>679</v>
      </c>
      <c r="C1438" t="s">
        <v>4636</v>
      </c>
    </row>
    <row r="1439" spans="1:3" x14ac:dyDescent="0.25">
      <c r="A1439">
        <v>1438</v>
      </c>
      <c r="B1439" t="s">
        <v>1608</v>
      </c>
      <c r="C1439" t="s">
        <v>4637</v>
      </c>
    </row>
    <row r="1440" spans="1:3" x14ac:dyDescent="0.25">
      <c r="A1440">
        <v>1439</v>
      </c>
      <c r="B1440" t="s">
        <v>1829</v>
      </c>
      <c r="C1440" t="s">
        <v>4638</v>
      </c>
    </row>
    <row r="1441" spans="1:3" x14ac:dyDescent="0.25">
      <c r="A1441">
        <v>1440</v>
      </c>
      <c r="B1441" t="s">
        <v>4639</v>
      </c>
      <c r="C1441" t="s">
        <v>4640</v>
      </c>
    </row>
    <row r="1442" spans="1:3" x14ac:dyDescent="0.25">
      <c r="A1442">
        <v>1441</v>
      </c>
      <c r="B1442" t="s">
        <v>4641</v>
      </c>
      <c r="C1442" t="s">
        <v>4642</v>
      </c>
    </row>
    <row r="1443" spans="1:3" x14ac:dyDescent="0.25">
      <c r="A1443">
        <v>1442</v>
      </c>
      <c r="B1443" t="s">
        <v>40</v>
      </c>
      <c r="C1443" t="s">
        <v>4643</v>
      </c>
    </row>
    <row r="1444" spans="1:3" x14ac:dyDescent="0.25">
      <c r="A1444">
        <v>1443</v>
      </c>
      <c r="B1444" t="s">
        <v>4644</v>
      </c>
      <c r="C1444" t="s">
        <v>4645</v>
      </c>
    </row>
    <row r="1445" spans="1:3" x14ac:dyDescent="0.25">
      <c r="A1445">
        <v>1444</v>
      </c>
      <c r="B1445" t="s">
        <v>1052</v>
      </c>
      <c r="C1445" t="s">
        <v>4646</v>
      </c>
    </row>
    <row r="1446" spans="1:3" x14ac:dyDescent="0.25">
      <c r="A1446">
        <v>1445</v>
      </c>
      <c r="B1446" t="s">
        <v>4647</v>
      </c>
      <c r="C1446" t="s">
        <v>4648</v>
      </c>
    </row>
    <row r="1447" spans="1:3" x14ac:dyDescent="0.25">
      <c r="A1447">
        <v>1446</v>
      </c>
      <c r="B1447" t="s">
        <v>197</v>
      </c>
      <c r="C1447" t="s">
        <v>4649</v>
      </c>
    </row>
    <row r="1448" spans="1:3" x14ac:dyDescent="0.25">
      <c r="A1448">
        <v>1447</v>
      </c>
      <c r="B1448" t="s">
        <v>2074</v>
      </c>
      <c r="C1448" t="s">
        <v>4650</v>
      </c>
    </row>
    <row r="1449" spans="1:3" x14ac:dyDescent="0.25">
      <c r="A1449">
        <v>1448</v>
      </c>
      <c r="B1449" t="s">
        <v>4651</v>
      </c>
      <c r="C1449" t="s">
        <v>4652</v>
      </c>
    </row>
    <row r="1450" spans="1:3" x14ac:dyDescent="0.25">
      <c r="A1450">
        <v>1449</v>
      </c>
      <c r="B1450" t="s">
        <v>1662</v>
      </c>
      <c r="C1450" t="s">
        <v>4653</v>
      </c>
    </row>
    <row r="1451" spans="1:3" x14ac:dyDescent="0.25">
      <c r="A1451">
        <v>1450</v>
      </c>
      <c r="B1451" t="s">
        <v>1786</v>
      </c>
      <c r="C1451" t="s">
        <v>4654</v>
      </c>
    </row>
    <row r="1452" spans="1:3" x14ac:dyDescent="0.25">
      <c r="A1452">
        <v>1451</v>
      </c>
      <c r="B1452" t="s">
        <v>4655</v>
      </c>
      <c r="C1452" t="s">
        <v>4656</v>
      </c>
    </row>
    <row r="1453" spans="1:3" x14ac:dyDescent="0.25">
      <c r="A1453">
        <v>1452</v>
      </c>
      <c r="B1453" t="s">
        <v>871</v>
      </c>
      <c r="C1453" t="s">
        <v>4657</v>
      </c>
    </row>
    <row r="1454" spans="1:3" x14ac:dyDescent="0.25">
      <c r="A1454">
        <v>1453</v>
      </c>
      <c r="B1454" t="s">
        <v>883</v>
      </c>
      <c r="C1454" t="s">
        <v>4658</v>
      </c>
    </row>
    <row r="1455" spans="1:3" x14ac:dyDescent="0.25">
      <c r="A1455">
        <v>1454</v>
      </c>
      <c r="B1455" t="s">
        <v>4659</v>
      </c>
      <c r="C1455" t="s">
        <v>4660</v>
      </c>
    </row>
    <row r="1456" spans="1:3" x14ac:dyDescent="0.25">
      <c r="A1456">
        <v>1455</v>
      </c>
      <c r="B1456" t="s">
        <v>1639</v>
      </c>
      <c r="C1456" t="s">
        <v>4661</v>
      </c>
    </row>
    <row r="1457" spans="1:3" x14ac:dyDescent="0.25">
      <c r="A1457">
        <v>1456</v>
      </c>
      <c r="B1457" t="s">
        <v>2103</v>
      </c>
      <c r="C1457" t="s">
        <v>4662</v>
      </c>
    </row>
    <row r="1458" spans="1:3" x14ac:dyDescent="0.25">
      <c r="A1458">
        <v>1457</v>
      </c>
      <c r="B1458" t="s">
        <v>4663</v>
      </c>
      <c r="C1458" t="s">
        <v>4664</v>
      </c>
    </row>
    <row r="1459" spans="1:3" x14ac:dyDescent="0.25">
      <c r="A1459">
        <v>1458</v>
      </c>
      <c r="B1459" t="s">
        <v>962</v>
      </c>
      <c r="C1459" t="s">
        <v>4665</v>
      </c>
    </row>
    <row r="1460" spans="1:3" x14ac:dyDescent="0.25">
      <c r="A1460">
        <v>1459</v>
      </c>
      <c r="B1460" t="s">
        <v>4339</v>
      </c>
      <c r="C1460" t="s">
        <v>4666</v>
      </c>
    </row>
    <row r="1461" spans="1:3" x14ac:dyDescent="0.25">
      <c r="A1461">
        <v>1460</v>
      </c>
      <c r="B1461" t="s">
        <v>1701</v>
      </c>
      <c r="C1461" t="s">
        <v>4667</v>
      </c>
    </row>
    <row r="1462" spans="1:3" x14ac:dyDescent="0.25">
      <c r="A1462">
        <v>1461</v>
      </c>
      <c r="B1462" t="s">
        <v>177</v>
      </c>
      <c r="C1462" t="s">
        <v>4668</v>
      </c>
    </row>
    <row r="1463" spans="1:3" x14ac:dyDescent="0.25">
      <c r="A1463">
        <v>1462</v>
      </c>
      <c r="B1463" t="s">
        <v>4669</v>
      </c>
      <c r="C1463" t="s">
        <v>4670</v>
      </c>
    </row>
    <row r="1464" spans="1:3" x14ac:dyDescent="0.25">
      <c r="A1464">
        <v>1463</v>
      </c>
      <c r="B1464" t="s">
        <v>4671</v>
      </c>
      <c r="C1464" t="s">
        <v>4672</v>
      </c>
    </row>
    <row r="1465" spans="1:3" x14ac:dyDescent="0.25">
      <c r="A1465">
        <v>1464</v>
      </c>
      <c r="B1465" t="s">
        <v>867</v>
      </c>
      <c r="C1465" t="s">
        <v>4673</v>
      </c>
    </row>
    <row r="1466" spans="1:3" x14ac:dyDescent="0.25">
      <c r="A1466">
        <v>1465</v>
      </c>
      <c r="B1466" t="s">
        <v>1841</v>
      </c>
      <c r="C1466" t="s">
        <v>4674</v>
      </c>
    </row>
    <row r="1467" spans="1:3" x14ac:dyDescent="0.25">
      <c r="A1467">
        <v>1466</v>
      </c>
      <c r="B1467" t="s">
        <v>1028</v>
      </c>
      <c r="C1467" t="s">
        <v>4675</v>
      </c>
    </row>
    <row r="1468" spans="1:3" x14ac:dyDescent="0.25">
      <c r="A1468">
        <v>1467</v>
      </c>
      <c r="B1468" t="s">
        <v>169</v>
      </c>
      <c r="C1468" t="s">
        <v>4676</v>
      </c>
    </row>
    <row r="1469" spans="1:3" x14ac:dyDescent="0.25">
      <c r="A1469">
        <v>1468</v>
      </c>
      <c r="B1469" t="s">
        <v>4616</v>
      </c>
      <c r="C1469" t="s">
        <v>4677</v>
      </c>
    </row>
    <row r="1470" spans="1:3" x14ac:dyDescent="0.25">
      <c r="A1470">
        <v>1469</v>
      </c>
      <c r="B1470" t="s">
        <v>2091</v>
      </c>
      <c r="C1470" t="s">
        <v>4678</v>
      </c>
    </row>
    <row r="1471" spans="1:3" x14ac:dyDescent="0.25">
      <c r="A1471">
        <v>1470</v>
      </c>
      <c r="B1471" t="s">
        <v>2152</v>
      </c>
      <c r="C1471" t="s">
        <v>4679</v>
      </c>
    </row>
    <row r="1472" spans="1:3" x14ac:dyDescent="0.25">
      <c r="A1472">
        <v>1471</v>
      </c>
      <c r="B1472" t="s">
        <v>913</v>
      </c>
      <c r="C1472" t="s">
        <v>4680</v>
      </c>
    </row>
    <row r="1473" spans="1:3" x14ac:dyDescent="0.25">
      <c r="A1473">
        <v>1472</v>
      </c>
      <c r="B1473" t="s">
        <v>1145</v>
      </c>
      <c r="C1473" t="s">
        <v>4681</v>
      </c>
    </row>
    <row r="1474" spans="1:3" x14ac:dyDescent="0.25">
      <c r="A1474">
        <v>1473</v>
      </c>
      <c r="B1474" t="s">
        <v>4682</v>
      </c>
      <c r="C1474" t="s">
        <v>4683</v>
      </c>
    </row>
    <row r="1475" spans="1:3" x14ac:dyDescent="0.25">
      <c r="A1475">
        <v>1474</v>
      </c>
      <c r="B1475" t="s">
        <v>753</v>
      </c>
      <c r="C1475" t="s">
        <v>4684</v>
      </c>
    </row>
    <row r="1476" spans="1:3" x14ac:dyDescent="0.25">
      <c r="A1476">
        <v>1475</v>
      </c>
      <c r="B1476" t="s">
        <v>4685</v>
      </c>
      <c r="C1476" t="s">
        <v>4686</v>
      </c>
    </row>
    <row r="1477" spans="1:3" x14ac:dyDescent="0.25">
      <c r="A1477">
        <v>1476</v>
      </c>
      <c r="B1477" t="s">
        <v>4687</v>
      </c>
      <c r="C1477" t="s">
        <v>4688</v>
      </c>
    </row>
    <row r="1478" spans="1:3" x14ac:dyDescent="0.25">
      <c r="A1478">
        <v>1477</v>
      </c>
      <c r="B1478" t="s">
        <v>946</v>
      </c>
      <c r="C1478" t="s">
        <v>4689</v>
      </c>
    </row>
    <row r="1479" spans="1:3" x14ac:dyDescent="0.25">
      <c r="A1479">
        <v>1478</v>
      </c>
      <c r="B1479" t="s">
        <v>1246</v>
      </c>
      <c r="C1479" t="s">
        <v>4690</v>
      </c>
    </row>
    <row r="1480" spans="1:3" x14ac:dyDescent="0.25">
      <c r="A1480">
        <v>1479</v>
      </c>
      <c r="B1480" t="s">
        <v>1946</v>
      </c>
      <c r="C1480" t="s">
        <v>4691</v>
      </c>
    </row>
    <row r="1481" spans="1:3" x14ac:dyDescent="0.25">
      <c r="A1481">
        <v>1480</v>
      </c>
      <c r="B1481" t="s">
        <v>1202</v>
      </c>
      <c r="C1481" t="s">
        <v>4692</v>
      </c>
    </row>
    <row r="1482" spans="1:3" x14ac:dyDescent="0.25">
      <c r="A1482">
        <v>1481</v>
      </c>
      <c r="B1482" t="s">
        <v>732</v>
      </c>
      <c r="C1482" t="s">
        <v>4693</v>
      </c>
    </row>
    <row r="1483" spans="1:3" x14ac:dyDescent="0.25">
      <c r="A1483">
        <v>1482</v>
      </c>
      <c r="B1483" t="s">
        <v>1704</v>
      </c>
      <c r="C1483" t="s">
        <v>4694</v>
      </c>
    </row>
    <row r="1484" spans="1:3" x14ac:dyDescent="0.25">
      <c r="A1484">
        <v>1483</v>
      </c>
      <c r="B1484" t="s">
        <v>737</v>
      </c>
      <c r="C1484" t="s">
        <v>4695</v>
      </c>
    </row>
    <row r="1485" spans="1:3" x14ac:dyDescent="0.25">
      <c r="A1485">
        <v>1484</v>
      </c>
      <c r="B1485" t="s">
        <v>4696</v>
      </c>
      <c r="C1485" t="s">
        <v>4697</v>
      </c>
    </row>
    <row r="1486" spans="1:3" x14ac:dyDescent="0.25">
      <c r="A1486">
        <v>1485</v>
      </c>
      <c r="B1486" t="s">
        <v>382</v>
      </c>
      <c r="C1486" t="s">
        <v>4698</v>
      </c>
    </row>
    <row r="1487" spans="1:3" x14ac:dyDescent="0.25">
      <c r="A1487">
        <v>1486</v>
      </c>
      <c r="B1487" t="s">
        <v>3</v>
      </c>
      <c r="C1487" t="s">
        <v>4699</v>
      </c>
    </row>
    <row r="1488" spans="1:3" x14ac:dyDescent="0.25">
      <c r="A1488">
        <v>1487</v>
      </c>
      <c r="B1488" t="s">
        <v>4700</v>
      </c>
      <c r="C1488" t="s">
        <v>4701</v>
      </c>
    </row>
    <row r="1489" spans="1:3" x14ac:dyDescent="0.25">
      <c r="A1489">
        <v>1488</v>
      </c>
      <c r="B1489" t="s">
        <v>4702</v>
      </c>
      <c r="C1489" t="s">
        <v>4703</v>
      </c>
    </row>
    <row r="1490" spans="1:3" x14ac:dyDescent="0.25">
      <c r="A1490">
        <v>1489</v>
      </c>
      <c r="B1490" t="s">
        <v>1643</v>
      </c>
      <c r="C1490" t="s">
        <v>4704</v>
      </c>
    </row>
    <row r="1491" spans="1:3" x14ac:dyDescent="0.25">
      <c r="A1491">
        <v>1490</v>
      </c>
      <c r="B1491" t="s">
        <v>1935</v>
      </c>
      <c r="C1491" t="s">
        <v>4705</v>
      </c>
    </row>
    <row r="1492" spans="1:3" x14ac:dyDescent="0.25">
      <c r="A1492">
        <v>1491</v>
      </c>
      <c r="B1492" t="s">
        <v>1762</v>
      </c>
      <c r="C1492" t="s">
        <v>4706</v>
      </c>
    </row>
    <row r="1493" spans="1:3" x14ac:dyDescent="0.25">
      <c r="A1493">
        <v>1492</v>
      </c>
      <c r="B1493" t="s">
        <v>386</v>
      </c>
      <c r="C1493" t="s">
        <v>4707</v>
      </c>
    </row>
    <row r="1494" spans="1:3" x14ac:dyDescent="0.25">
      <c r="A1494">
        <v>1493</v>
      </c>
      <c r="B1494" t="s">
        <v>4708</v>
      </c>
      <c r="C1494" t="s">
        <v>4709</v>
      </c>
    </row>
    <row r="1495" spans="1:3" x14ac:dyDescent="0.25">
      <c r="A1495">
        <v>1494</v>
      </c>
      <c r="B1495" t="s">
        <v>4710</v>
      </c>
      <c r="C1495" t="s">
        <v>4711</v>
      </c>
    </row>
    <row r="1496" spans="1:3" x14ac:dyDescent="0.25">
      <c r="A1496">
        <v>1495</v>
      </c>
      <c r="B1496" t="s">
        <v>4712</v>
      </c>
      <c r="C1496" t="s">
        <v>4713</v>
      </c>
    </row>
    <row r="1497" spans="1:3" x14ac:dyDescent="0.25">
      <c r="A1497">
        <v>1496</v>
      </c>
      <c r="B1497" t="s">
        <v>2150</v>
      </c>
      <c r="C1497" t="s">
        <v>4714</v>
      </c>
    </row>
    <row r="1498" spans="1:3" x14ac:dyDescent="0.25">
      <c r="A1498">
        <v>1497</v>
      </c>
      <c r="B1498" t="s">
        <v>2302</v>
      </c>
      <c r="C1498" t="s">
        <v>4715</v>
      </c>
    </row>
    <row r="1499" spans="1:3" x14ac:dyDescent="0.25">
      <c r="A1499">
        <v>1498</v>
      </c>
      <c r="B1499" t="s">
        <v>167</v>
      </c>
      <c r="C1499" t="s">
        <v>4716</v>
      </c>
    </row>
    <row r="1500" spans="1:3" x14ac:dyDescent="0.25">
      <c r="A1500">
        <v>1499</v>
      </c>
      <c r="B1500" t="s">
        <v>4717</v>
      </c>
      <c r="C1500" t="s">
        <v>4718</v>
      </c>
    </row>
    <row r="1501" spans="1:3" x14ac:dyDescent="0.25">
      <c r="A1501">
        <v>1500</v>
      </c>
      <c r="B1501" t="s">
        <v>1287</v>
      </c>
      <c r="C1501" t="s">
        <v>4719</v>
      </c>
    </row>
    <row r="1502" spans="1:3" x14ac:dyDescent="0.25">
      <c r="A1502">
        <v>1501</v>
      </c>
      <c r="B1502" t="s">
        <v>1444</v>
      </c>
      <c r="C1502" t="s">
        <v>4720</v>
      </c>
    </row>
    <row r="1503" spans="1:3" x14ac:dyDescent="0.25">
      <c r="A1503">
        <v>1502</v>
      </c>
      <c r="B1503" t="s">
        <v>181</v>
      </c>
      <c r="C1503" t="s">
        <v>4721</v>
      </c>
    </row>
    <row r="1504" spans="1:3" x14ac:dyDescent="0.25">
      <c r="A1504">
        <v>1503</v>
      </c>
      <c r="B1504" t="s">
        <v>384</v>
      </c>
      <c r="C1504" t="s">
        <v>4722</v>
      </c>
    </row>
    <row r="1505" spans="1:3" x14ac:dyDescent="0.25">
      <c r="A1505">
        <v>1504</v>
      </c>
      <c r="B1505" t="s">
        <v>4723</v>
      </c>
      <c r="C1505" t="s">
        <v>4724</v>
      </c>
    </row>
    <row r="1506" spans="1:3" x14ac:dyDescent="0.25">
      <c r="A1506">
        <v>1505</v>
      </c>
      <c r="B1506" t="s">
        <v>4725</v>
      </c>
      <c r="C1506" t="s">
        <v>4726</v>
      </c>
    </row>
    <row r="1507" spans="1:3" x14ac:dyDescent="0.25">
      <c r="A1507">
        <v>1506</v>
      </c>
      <c r="B1507" t="s">
        <v>4727</v>
      </c>
      <c r="C1507" t="s">
        <v>4728</v>
      </c>
    </row>
    <row r="1508" spans="1:3" x14ac:dyDescent="0.25">
      <c r="A1508">
        <v>1507</v>
      </c>
      <c r="B1508" t="s">
        <v>4729</v>
      </c>
      <c r="C1508" t="s">
        <v>4730</v>
      </c>
    </row>
    <row r="1509" spans="1:3" x14ac:dyDescent="0.25">
      <c r="A1509">
        <v>1508</v>
      </c>
      <c r="B1509" t="s">
        <v>4731</v>
      </c>
      <c r="C1509" t="s">
        <v>4732</v>
      </c>
    </row>
    <row r="1510" spans="1:3" x14ac:dyDescent="0.25">
      <c r="A1510">
        <v>1509</v>
      </c>
      <c r="B1510" t="s">
        <v>130</v>
      </c>
      <c r="C1510" t="s">
        <v>4733</v>
      </c>
    </row>
    <row r="1511" spans="1:3" x14ac:dyDescent="0.25">
      <c r="A1511">
        <v>1510</v>
      </c>
      <c r="B1511" t="s">
        <v>78</v>
      </c>
      <c r="C1511" t="s">
        <v>4734</v>
      </c>
    </row>
    <row r="1512" spans="1:3" x14ac:dyDescent="0.25">
      <c r="A1512">
        <v>1511</v>
      </c>
      <c r="B1512" t="s">
        <v>4735</v>
      </c>
      <c r="C1512" t="s">
        <v>4736</v>
      </c>
    </row>
    <row r="1513" spans="1:3" x14ac:dyDescent="0.25">
      <c r="A1513">
        <v>1512</v>
      </c>
      <c r="B1513" t="s">
        <v>656</v>
      </c>
      <c r="C1513" t="s">
        <v>4737</v>
      </c>
    </row>
    <row r="1514" spans="1:3" x14ac:dyDescent="0.25">
      <c r="A1514">
        <v>1513</v>
      </c>
      <c r="B1514" t="s">
        <v>4738</v>
      </c>
      <c r="C1514" t="s">
        <v>4739</v>
      </c>
    </row>
    <row r="1515" spans="1:3" x14ac:dyDescent="0.25">
      <c r="A1515">
        <v>1514</v>
      </c>
      <c r="B1515" t="s">
        <v>4740</v>
      </c>
      <c r="C1515" t="s">
        <v>4741</v>
      </c>
    </row>
    <row r="1516" spans="1:3" x14ac:dyDescent="0.25">
      <c r="A1516">
        <v>1515</v>
      </c>
      <c r="B1516" t="s">
        <v>4742</v>
      </c>
      <c r="C1516" t="s">
        <v>4743</v>
      </c>
    </row>
    <row r="1517" spans="1:3" x14ac:dyDescent="0.25">
      <c r="A1517">
        <v>1516</v>
      </c>
      <c r="B1517" t="s">
        <v>1888</v>
      </c>
      <c r="C1517" t="s">
        <v>4744</v>
      </c>
    </row>
    <row r="1518" spans="1:3" x14ac:dyDescent="0.25">
      <c r="A1518">
        <v>1517</v>
      </c>
      <c r="B1518" t="s">
        <v>731</v>
      </c>
      <c r="C1518" t="s">
        <v>4745</v>
      </c>
    </row>
    <row r="1519" spans="1:3" x14ac:dyDescent="0.25">
      <c r="A1519">
        <v>1518</v>
      </c>
      <c r="B1519" t="s">
        <v>1083</v>
      </c>
      <c r="C1519" t="s">
        <v>4746</v>
      </c>
    </row>
    <row r="1520" spans="1:3" x14ac:dyDescent="0.25">
      <c r="A1520">
        <v>1519</v>
      </c>
      <c r="B1520" t="s">
        <v>372</v>
      </c>
      <c r="C1520" t="s">
        <v>4747</v>
      </c>
    </row>
    <row r="1521" spans="1:3" x14ac:dyDescent="0.25">
      <c r="A1521">
        <v>1520</v>
      </c>
      <c r="B1521" t="s">
        <v>4748</v>
      </c>
      <c r="C1521" t="s">
        <v>4749</v>
      </c>
    </row>
    <row r="1522" spans="1:3" x14ac:dyDescent="0.25">
      <c r="A1522">
        <v>1521</v>
      </c>
      <c r="B1522" t="s">
        <v>84</v>
      </c>
      <c r="C1522" t="s">
        <v>4750</v>
      </c>
    </row>
    <row r="1523" spans="1:3" x14ac:dyDescent="0.25">
      <c r="A1523">
        <v>1522</v>
      </c>
      <c r="B1523" t="s">
        <v>1979</v>
      </c>
      <c r="C1523" t="s">
        <v>4751</v>
      </c>
    </row>
    <row r="1524" spans="1:3" x14ac:dyDescent="0.25">
      <c r="A1524">
        <v>1523</v>
      </c>
      <c r="B1524" t="s">
        <v>711</v>
      </c>
      <c r="C1524" t="s">
        <v>4752</v>
      </c>
    </row>
    <row r="1525" spans="1:3" x14ac:dyDescent="0.25">
      <c r="A1525">
        <v>1524</v>
      </c>
      <c r="B1525" t="s">
        <v>4753</v>
      </c>
      <c r="C1525" t="s">
        <v>4754</v>
      </c>
    </row>
    <row r="1526" spans="1:3" x14ac:dyDescent="0.25">
      <c r="A1526">
        <v>1525</v>
      </c>
      <c r="B1526" t="s">
        <v>4755</v>
      </c>
      <c r="C1526" t="s">
        <v>4756</v>
      </c>
    </row>
    <row r="1527" spans="1:3" x14ac:dyDescent="0.25">
      <c r="A1527">
        <v>1526</v>
      </c>
      <c r="B1527" t="s">
        <v>4757</v>
      </c>
      <c r="C1527" t="s">
        <v>4758</v>
      </c>
    </row>
    <row r="1528" spans="1:3" x14ac:dyDescent="0.25">
      <c r="A1528">
        <v>1527</v>
      </c>
      <c r="B1528" t="s">
        <v>4759</v>
      </c>
      <c r="C1528" t="s">
        <v>4760</v>
      </c>
    </row>
    <row r="1529" spans="1:3" x14ac:dyDescent="0.25">
      <c r="A1529">
        <v>1528</v>
      </c>
      <c r="B1529" t="s">
        <v>4761</v>
      </c>
      <c r="C1529" t="s">
        <v>4762</v>
      </c>
    </row>
    <row r="1530" spans="1:3" x14ac:dyDescent="0.25">
      <c r="A1530">
        <v>1529</v>
      </c>
      <c r="B1530" t="s">
        <v>4763</v>
      </c>
      <c r="C1530" t="s">
        <v>4764</v>
      </c>
    </row>
    <row r="1531" spans="1:3" x14ac:dyDescent="0.25">
      <c r="A1531">
        <v>1530</v>
      </c>
      <c r="B1531" t="s">
        <v>4765</v>
      </c>
      <c r="C1531" t="s">
        <v>4766</v>
      </c>
    </row>
    <row r="1532" spans="1:3" x14ac:dyDescent="0.25">
      <c r="A1532">
        <v>1531</v>
      </c>
      <c r="B1532" t="s">
        <v>2824</v>
      </c>
      <c r="C1532" t="s">
        <v>4767</v>
      </c>
    </row>
    <row r="1533" spans="1:3" x14ac:dyDescent="0.25">
      <c r="A1533">
        <v>1532</v>
      </c>
      <c r="B1533" t="s">
        <v>4768</v>
      </c>
      <c r="C1533" t="s">
        <v>4769</v>
      </c>
    </row>
    <row r="1534" spans="1:3" x14ac:dyDescent="0.25">
      <c r="A1534">
        <v>1533</v>
      </c>
      <c r="B1534" t="s">
        <v>4770</v>
      </c>
      <c r="C1534" t="s">
        <v>4771</v>
      </c>
    </row>
    <row r="1535" spans="1:3" x14ac:dyDescent="0.25">
      <c r="A1535">
        <v>1534</v>
      </c>
      <c r="B1535" t="s">
        <v>2812</v>
      </c>
      <c r="C1535" t="s">
        <v>4772</v>
      </c>
    </row>
    <row r="1536" spans="1:3" x14ac:dyDescent="0.25">
      <c r="A1536">
        <v>1535</v>
      </c>
      <c r="B1536" t="s">
        <v>1017</v>
      </c>
      <c r="C1536" t="s">
        <v>4773</v>
      </c>
    </row>
    <row r="1537" spans="1:3" x14ac:dyDescent="0.25">
      <c r="A1537">
        <v>1536</v>
      </c>
      <c r="B1537" t="s">
        <v>1583</v>
      </c>
      <c r="C1537" t="s">
        <v>4774</v>
      </c>
    </row>
    <row r="1538" spans="1:3" x14ac:dyDescent="0.25">
      <c r="A1538">
        <v>1537</v>
      </c>
      <c r="B1538" t="s">
        <v>370</v>
      </c>
      <c r="C1538" t="s">
        <v>4775</v>
      </c>
    </row>
    <row r="1539" spans="1:3" x14ac:dyDescent="0.25">
      <c r="A1539">
        <v>1538</v>
      </c>
      <c r="B1539" t="s">
        <v>4776</v>
      </c>
      <c r="C1539" t="s">
        <v>4777</v>
      </c>
    </row>
    <row r="1540" spans="1:3" x14ac:dyDescent="0.25">
      <c r="A1540">
        <v>1539</v>
      </c>
      <c r="B1540" t="s">
        <v>209</v>
      </c>
      <c r="C1540" t="s">
        <v>4778</v>
      </c>
    </row>
    <row r="1541" spans="1:3" x14ac:dyDescent="0.25">
      <c r="A1541">
        <v>1540</v>
      </c>
      <c r="B1541" t="s">
        <v>4779</v>
      </c>
      <c r="C1541" t="s">
        <v>4780</v>
      </c>
    </row>
    <row r="1542" spans="1:3" x14ac:dyDescent="0.25">
      <c r="A1542">
        <v>1541</v>
      </c>
      <c r="B1542" t="s">
        <v>556</v>
      </c>
      <c r="C1542" t="s">
        <v>4781</v>
      </c>
    </row>
    <row r="1543" spans="1:3" x14ac:dyDescent="0.25">
      <c r="A1543">
        <v>1542</v>
      </c>
      <c r="B1543" t="s">
        <v>2035</v>
      </c>
      <c r="C1543" t="s">
        <v>4782</v>
      </c>
    </row>
    <row r="1544" spans="1:3" x14ac:dyDescent="0.25">
      <c r="A1544">
        <v>1543</v>
      </c>
      <c r="B1544" t="s">
        <v>4783</v>
      </c>
      <c r="C1544" t="s">
        <v>4784</v>
      </c>
    </row>
    <row r="1545" spans="1:3" x14ac:dyDescent="0.25">
      <c r="A1545">
        <v>1544</v>
      </c>
      <c r="B1545" t="s">
        <v>214</v>
      </c>
      <c r="C1545" t="s">
        <v>4785</v>
      </c>
    </row>
    <row r="1546" spans="1:3" x14ac:dyDescent="0.25">
      <c r="A1546">
        <v>1545</v>
      </c>
      <c r="B1546" t="s">
        <v>4786</v>
      </c>
      <c r="C1546" t="s">
        <v>4787</v>
      </c>
    </row>
    <row r="1547" spans="1:3" x14ac:dyDescent="0.25">
      <c r="A1547">
        <v>1546</v>
      </c>
      <c r="B1547" t="s">
        <v>1139</v>
      </c>
      <c r="C1547" t="s">
        <v>4788</v>
      </c>
    </row>
    <row r="1548" spans="1:3" x14ac:dyDescent="0.25">
      <c r="A1548">
        <v>1547</v>
      </c>
      <c r="B1548" t="s">
        <v>1805</v>
      </c>
      <c r="C1548" t="s">
        <v>4789</v>
      </c>
    </row>
    <row r="1549" spans="1:3" x14ac:dyDescent="0.25">
      <c r="A1549">
        <v>1548</v>
      </c>
      <c r="B1549" t="s">
        <v>4790</v>
      </c>
      <c r="C1549" t="s">
        <v>4791</v>
      </c>
    </row>
    <row r="1550" spans="1:3" x14ac:dyDescent="0.25">
      <c r="A1550">
        <v>1549</v>
      </c>
      <c r="B1550" t="s">
        <v>4792</v>
      </c>
      <c r="C1550" t="s">
        <v>4793</v>
      </c>
    </row>
    <row r="1551" spans="1:3" x14ac:dyDescent="0.25">
      <c r="A1551">
        <v>1550</v>
      </c>
      <c r="B1551" t="s">
        <v>236</v>
      </c>
      <c r="C1551" t="s">
        <v>4794</v>
      </c>
    </row>
    <row r="1552" spans="1:3" x14ac:dyDescent="0.25">
      <c r="A1552">
        <v>1551</v>
      </c>
      <c r="B1552" t="s">
        <v>192</v>
      </c>
      <c r="C1552" t="s">
        <v>4795</v>
      </c>
    </row>
    <row r="1553" spans="1:3" x14ac:dyDescent="0.25">
      <c r="A1553">
        <v>1552</v>
      </c>
      <c r="B1553" t="s">
        <v>322</v>
      </c>
      <c r="C1553" t="s">
        <v>4796</v>
      </c>
    </row>
    <row r="1554" spans="1:3" x14ac:dyDescent="0.25">
      <c r="A1554">
        <v>1553</v>
      </c>
      <c r="B1554" t="s">
        <v>1907</v>
      </c>
      <c r="C1554" t="s">
        <v>4797</v>
      </c>
    </row>
    <row r="1555" spans="1:3" x14ac:dyDescent="0.25">
      <c r="A1555">
        <v>1554</v>
      </c>
      <c r="B1555" t="s">
        <v>1079</v>
      </c>
      <c r="C1555" t="s">
        <v>4798</v>
      </c>
    </row>
    <row r="1556" spans="1:3" x14ac:dyDescent="0.25">
      <c r="A1556">
        <v>1555</v>
      </c>
      <c r="B1556" t="s">
        <v>4799</v>
      </c>
      <c r="C1556" t="s">
        <v>4800</v>
      </c>
    </row>
    <row r="1557" spans="1:3" x14ac:dyDescent="0.25">
      <c r="A1557">
        <v>1556</v>
      </c>
      <c r="B1557" t="s">
        <v>1631</v>
      </c>
      <c r="C1557" t="s">
        <v>4801</v>
      </c>
    </row>
    <row r="1558" spans="1:3" x14ac:dyDescent="0.25">
      <c r="A1558">
        <v>1557</v>
      </c>
      <c r="B1558" t="s">
        <v>374</v>
      </c>
      <c r="C1558" t="s">
        <v>4802</v>
      </c>
    </row>
    <row r="1559" spans="1:3" x14ac:dyDescent="0.25">
      <c r="A1559">
        <v>1558</v>
      </c>
      <c r="B1559" t="s">
        <v>500</v>
      </c>
      <c r="C1559" t="s">
        <v>4803</v>
      </c>
    </row>
    <row r="1560" spans="1:3" x14ac:dyDescent="0.25">
      <c r="A1560">
        <v>1559</v>
      </c>
      <c r="B1560" t="s">
        <v>194</v>
      </c>
      <c r="C1560" t="s">
        <v>4804</v>
      </c>
    </row>
    <row r="1561" spans="1:3" x14ac:dyDescent="0.25">
      <c r="A1561">
        <v>1560</v>
      </c>
      <c r="B1561" t="s">
        <v>2244</v>
      </c>
      <c r="C1561" t="s">
        <v>4805</v>
      </c>
    </row>
    <row r="1562" spans="1:3" x14ac:dyDescent="0.25">
      <c r="A1562">
        <v>1561</v>
      </c>
      <c r="B1562" t="s">
        <v>244</v>
      </c>
      <c r="C1562" t="s">
        <v>4806</v>
      </c>
    </row>
    <row r="1563" spans="1:3" x14ac:dyDescent="0.25">
      <c r="A1563">
        <v>1562</v>
      </c>
      <c r="B1563" t="s">
        <v>2005</v>
      </c>
      <c r="C1563" t="s">
        <v>4807</v>
      </c>
    </row>
    <row r="1564" spans="1:3" x14ac:dyDescent="0.25">
      <c r="A1564">
        <v>1563</v>
      </c>
      <c r="B1564" t="s">
        <v>717</v>
      </c>
      <c r="C1564" t="s">
        <v>4808</v>
      </c>
    </row>
    <row r="1565" spans="1:3" x14ac:dyDescent="0.25">
      <c r="A1565">
        <v>1564</v>
      </c>
      <c r="B1565" t="s">
        <v>1775</v>
      </c>
      <c r="C1565" t="s">
        <v>4809</v>
      </c>
    </row>
    <row r="1566" spans="1:3" x14ac:dyDescent="0.25">
      <c r="A1566">
        <v>1565</v>
      </c>
      <c r="B1566" t="s">
        <v>4810</v>
      </c>
      <c r="C1566" t="s">
        <v>4811</v>
      </c>
    </row>
    <row r="1567" spans="1:3" x14ac:dyDescent="0.25">
      <c r="A1567">
        <v>1566</v>
      </c>
      <c r="B1567" t="s">
        <v>4812</v>
      </c>
      <c r="C1567" t="s">
        <v>4813</v>
      </c>
    </row>
    <row r="1568" spans="1:3" x14ac:dyDescent="0.25">
      <c r="A1568">
        <v>1567</v>
      </c>
      <c r="B1568" t="s">
        <v>4814</v>
      </c>
      <c r="C1568" t="s">
        <v>4815</v>
      </c>
    </row>
    <row r="1569" spans="1:3" x14ac:dyDescent="0.25">
      <c r="A1569">
        <v>1568</v>
      </c>
      <c r="B1569" t="s">
        <v>4816</v>
      </c>
      <c r="C1569" t="s">
        <v>4817</v>
      </c>
    </row>
    <row r="1570" spans="1:3" x14ac:dyDescent="0.25">
      <c r="A1570">
        <v>1569</v>
      </c>
      <c r="B1570" t="s">
        <v>1209</v>
      </c>
      <c r="C1570" t="s">
        <v>4818</v>
      </c>
    </row>
    <row r="1571" spans="1:3" x14ac:dyDescent="0.25">
      <c r="A1571">
        <v>1570</v>
      </c>
      <c r="B1571" t="s">
        <v>1233</v>
      </c>
      <c r="C1571" t="s">
        <v>4819</v>
      </c>
    </row>
    <row r="1572" spans="1:3" x14ac:dyDescent="0.25">
      <c r="A1572">
        <v>1571</v>
      </c>
      <c r="B1572" t="s">
        <v>4820</v>
      </c>
      <c r="C1572" t="s">
        <v>4821</v>
      </c>
    </row>
    <row r="1573" spans="1:3" x14ac:dyDescent="0.25">
      <c r="A1573">
        <v>1572</v>
      </c>
      <c r="B1573" t="s">
        <v>4822</v>
      </c>
      <c r="C1573" t="s">
        <v>4823</v>
      </c>
    </row>
    <row r="1574" spans="1:3" x14ac:dyDescent="0.25">
      <c r="A1574">
        <v>1573</v>
      </c>
      <c r="B1574" t="s">
        <v>1580</v>
      </c>
      <c r="C1574" t="s">
        <v>4824</v>
      </c>
    </row>
    <row r="1575" spans="1:3" x14ac:dyDescent="0.25">
      <c r="A1575">
        <v>1574</v>
      </c>
      <c r="B1575" t="s">
        <v>4825</v>
      </c>
      <c r="C1575" t="s">
        <v>4826</v>
      </c>
    </row>
    <row r="1576" spans="1:3" x14ac:dyDescent="0.25">
      <c r="A1576">
        <v>1575</v>
      </c>
      <c r="B1576" t="s">
        <v>4827</v>
      </c>
      <c r="C1576" t="s">
        <v>4828</v>
      </c>
    </row>
    <row r="1577" spans="1:3" x14ac:dyDescent="0.25">
      <c r="A1577">
        <v>1576</v>
      </c>
      <c r="B1577" t="s">
        <v>498</v>
      </c>
      <c r="C1577" t="s">
        <v>4829</v>
      </c>
    </row>
    <row r="1578" spans="1:3" x14ac:dyDescent="0.25">
      <c r="A1578">
        <v>1577</v>
      </c>
      <c r="B1578" t="s">
        <v>76</v>
      </c>
      <c r="C1578" t="s">
        <v>4830</v>
      </c>
    </row>
    <row r="1579" spans="1:3" x14ac:dyDescent="0.25">
      <c r="A1579">
        <v>1578</v>
      </c>
      <c r="B1579" t="s">
        <v>4831</v>
      </c>
      <c r="C1579" t="s">
        <v>4832</v>
      </c>
    </row>
    <row r="1580" spans="1:3" x14ac:dyDescent="0.25">
      <c r="A1580">
        <v>1579</v>
      </c>
      <c r="B1580" t="s">
        <v>4833</v>
      </c>
      <c r="C1580" t="s">
        <v>4834</v>
      </c>
    </row>
    <row r="1581" spans="1:3" x14ac:dyDescent="0.25">
      <c r="A1581">
        <v>1580</v>
      </c>
      <c r="B1581" t="s">
        <v>1897</v>
      </c>
      <c r="C1581" t="s">
        <v>4835</v>
      </c>
    </row>
    <row r="1582" spans="1:3" x14ac:dyDescent="0.25">
      <c r="A1582">
        <v>1581</v>
      </c>
      <c r="B1582" t="s">
        <v>1835</v>
      </c>
      <c r="C1582" t="s">
        <v>4836</v>
      </c>
    </row>
    <row r="1583" spans="1:3" x14ac:dyDescent="0.25">
      <c r="A1583">
        <v>1582</v>
      </c>
      <c r="B1583" t="s">
        <v>4837</v>
      </c>
      <c r="C1583" t="s">
        <v>4838</v>
      </c>
    </row>
    <row r="1584" spans="1:3" x14ac:dyDescent="0.25">
      <c r="A1584">
        <v>1583</v>
      </c>
      <c r="B1584" t="s">
        <v>4839</v>
      </c>
      <c r="C1584" t="s">
        <v>4840</v>
      </c>
    </row>
    <row r="1585" spans="1:3" x14ac:dyDescent="0.25">
      <c r="A1585">
        <v>1584</v>
      </c>
      <c r="B1585" t="s">
        <v>324</v>
      </c>
      <c r="C1585" t="s">
        <v>4841</v>
      </c>
    </row>
    <row r="1586" spans="1:3" x14ac:dyDescent="0.25">
      <c r="A1586">
        <v>1585</v>
      </c>
      <c r="B1586" t="s">
        <v>2032</v>
      </c>
      <c r="C1586" t="s">
        <v>4842</v>
      </c>
    </row>
    <row r="1587" spans="1:3" x14ac:dyDescent="0.25">
      <c r="A1587">
        <v>1586</v>
      </c>
      <c r="B1587" t="s">
        <v>4843</v>
      </c>
      <c r="C1587" t="s">
        <v>4844</v>
      </c>
    </row>
    <row r="1588" spans="1:3" x14ac:dyDescent="0.25">
      <c r="A1588">
        <v>1587</v>
      </c>
      <c r="B1588" t="s">
        <v>4845</v>
      </c>
      <c r="C1588" t="s">
        <v>4846</v>
      </c>
    </row>
    <row r="1589" spans="1:3" x14ac:dyDescent="0.25">
      <c r="A1589">
        <v>1588</v>
      </c>
      <c r="B1589" t="s">
        <v>4847</v>
      </c>
      <c r="C1589" t="s">
        <v>4848</v>
      </c>
    </row>
    <row r="1590" spans="1:3" x14ac:dyDescent="0.25">
      <c r="A1590">
        <v>1589</v>
      </c>
      <c r="B1590" t="s">
        <v>1116</v>
      </c>
      <c r="C1590" t="s">
        <v>4849</v>
      </c>
    </row>
    <row r="1591" spans="1:3" x14ac:dyDescent="0.25">
      <c r="A1591">
        <v>1590</v>
      </c>
      <c r="B1591" t="s">
        <v>4850</v>
      </c>
      <c r="C1591" t="s">
        <v>4851</v>
      </c>
    </row>
    <row r="1592" spans="1:3" x14ac:dyDescent="0.25">
      <c r="A1592">
        <v>1591</v>
      </c>
      <c r="B1592" t="s">
        <v>2192</v>
      </c>
      <c r="C1592" t="s">
        <v>4852</v>
      </c>
    </row>
    <row r="1593" spans="1:3" x14ac:dyDescent="0.25">
      <c r="A1593">
        <v>1592</v>
      </c>
      <c r="B1593" t="s">
        <v>257</v>
      </c>
      <c r="C1593" t="s">
        <v>4853</v>
      </c>
    </row>
    <row r="1594" spans="1:3" x14ac:dyDescent="0.25">
      <c r="A1594">
        <v>1593</v>
      </c>
      <c r="B1594" t="s">
        <v>253</v>
      </c>
      <c r="C1594" t="s">
        <v>4854</v>
      </c>
    </row>
    <row r="1595" spans="1:3" x14ac:dyDescent="0.25">
      <c r="A1595">
        <v>1594</v>
      </c>
      <c r="B1595" t="s">
        <v>4855</v>
      </c>
      <c r="C1595" t="s">
        <v>4856</v>
      </c>
    </row>
    <row r="1596" spans="1:3" x14ac:dyDescent="0.25">
      <c r="A1596">
        <v>1595</v>
      </c>
      <c r="B1596" t="s">
        <v>4857</v>
      </c>
      <c r="C1596" t="s">
        <v>4858</v>
      </c>
    </row>
    <row r="1597" spans="1:3" x14ac:dyDescent="0.25">
      <c r="A1597">
        <v>1596</v>
      </c>
      <c r="B1597" t="s">
        <v>4859</v>
      </c>
      <c r="C1597" t="s">
        <v>4860</v>
      </c>
    </row>
    <row r="1598" spans="1:3" x14ac:dyDescent="0.25">
      <c r="A1598">
        <v>1597</v>
      </c>
      <c r="B1598" t="s">
        <v>4861</v>
      </c>
      <c r="C1598" t="s">
        <v>4862</v>
      </c>
    </row>
    <row r="1599" spans="1:3" x14ac:dyDescent="0.25">
      <c r="A1599">
        <v>1598</v>
      </c>
      <c r="B1599" t="s">
        <v>1300</v>
      </c>
      <c r="C1599" t="s">
        <v>4863</v>
      </c>
    </row>
    <row r="1600" spans="1:3" x14ac:dyDescent="0.25">
      <c r="A1600">
        <v>1599</v>
      </c>
      <c r="B1600" t="s">
        <v>1210</v>
      </c>
      <c r="C1600" t="s">
        <v>4864</v>
      </c>
    </row>
    <row r="1601" spans="1:3" x14ac:dyDescent="0.25">
      <c r="A1601">
        <v>1600</v>
      </c>
      <c r="B1601" t="s">
        <v>203</v>
      </c>
      <c r="C1601" t="s">
        <v>4865</v>
      </c>
    </row>
    <row r="1602" spans="1:3" x14ac:dyDescent="0.25">
      <c r="A1602">
        <v>1601</v>
      </c>
      <c r="B1602" t="s">
        <v>1729</v>
      </c>
      <c r="C1602" t="s">
        <v>4866</v>
      </c>
    </row>
    <row r="1603" spans="1:3" x14ac:dyDescent="0.25">
      <c r="A1603">
        <v>1602</v>
      </c>
      <c r="B1603" t="s">
        <v>4867</v>
      </c>
      <c r="C1603" t="s">
        <v>4868</v>
      </c>
    </row>
    <row r="1604" spans="1:3" x14ac:dyDescent="0.25">
      <c r="A1604">
        <v>1603</v>
      </c>
      <c r="B1604" t="s">
        <v>4869</v>
      </c>
      <c r="C1604" t="s">
        <v>4870</v>
      </c>
    </row>
    <row r="1605" spans="1:3" x14ac:dyDescent="0.25">
      <c r="A1605">
        <v>1604</v>
      </c>
      <c r="B1605" t="s">
        <v>4871</v>
      </c>
      <c r="C1605" t="s">
        <v>4872</v>
      </c>
    </row>
    <row r="1606" spans="1:3" x14ac:dyDescent="0.25">
      <c r="A1606">
        <v>1605</v>
      </c>
      <c r="B1606" t="s">
        <v>1918</v>
      </c>
      <c r="C1606" t="s">
        <v>4873</v>
      </c>
    </row>
    <row r="1607" spans="1:3" x14ac:dyDescent="0.25">
      <c r="A1607">
        <v>1606</v>
      </c>
      <c r="B1607" t="s">
        <v>4874</v>
      </c>
      <c r="C1607" t="s">
        <v>4875</v>
      </c>
    </row>
    <row r="1608" spans="1:3" x14ac:dyDescent="0.25">
      <c r="A1608">
        <v>1607</v>
      </c>
      <c r="B1608" t="s">
        <v>4876</v>
      </c>
      <c r="C1608" t="s">
        <v>4877</v>
      </c>
    </row>
    <row r="1609" spans="1:3" x14ac:dyDescent="0.25">
      <c r="A1609">
        <v>1608</v>
      </c>
      <c r="B1609" t="s">
        <v>219</v>
      </c>
      <c r="C1609" t="s">
        <v>4878</v>
      </c>
    </row>
    <row r="1610" spans="1:3" x14ac:dyDescent="0.25">
      <c r="A1610">
        <v>1609</v>
      </c>
      <c r="B1610" t="s">
        <v>1564</v>
      </c>
      <c r="C1610" t="s">
        <v>4879</v>
      </c>
    </row>
    <row r="1611" spans="1:3" x14ac:dyDescent="0.25">
      <c r="A1611">
        <v>1610</v>
      </c>
      <c r="B1611" t="s">
        <v>1842</v>
      </c>
      <c r="C1611" t="s">
        <v>4880</v>
      </c>
    </row>
    <row r="1612" spans="1:3" x14ac:dyDescent="0.25">
      <c r="A1612">
        <v>1611</v>
      </c>
      <c r="B1612" t="s">
        <v>1787</v>
      </c>
      <c r="C1612" t="s">
        <v>4881</v>
      </c>
    </row>
    <row r="1613" spans="1:3" x14ac:dyDescent="0.25">
      <c r="A1613">
        <v>1612</v>
      </c>
      <c r="B1613" t="s">
        <v>482</v>
      </c>
      <c r="C1613" t="s">
        <v>4882</v>
      </c>
    </row>
    <row r="1614" spans="1:3" x14ac:dyDescent="0.25">
      <c r="A1614">
        <v>1613</v>
      </c>
      <c r="B1614" t="s">
        <v>488</v>
      </c>
      <c r="C1614" t="s">
        <v>4883</v>
      </c>
    </row>
    <row r="1615" spans="1:3" x14ac:dyDescent="0.25">
      <c r="A1615">
        <v>1614</v>
      </c>
      <c r="B1615" t="s">
        <v>4884</v>
      </c>
      <c r="C1615" t="s">
        <v>4885</v>
      </c>
    </row>
    <row r="1616" spans="1:3" x14ac:dyDescent="0.25">
      <c r="A1616">
        <v>1615</v>
      </c>
      <c r="B1616" t="s">
        <v>334</v>
      </c>
      <c r="C1616" t="s">
        <v>4886</v>
      </c>
    </row>
    <row r="1617" spans="1:3" x14ac:dyDescent="0.25">
      <c r="A1617">
        <v>1616</v>
      </c>
      <c r="B1617" t="s">
        <v>4887</v>
      </c>
      <c r="C1617" t="s">
        <v>4888</v>
      </c>
    </row>
    <row r="1618" spans="1:3" x14ac:dyDescent="0.25">
      <c r="A1618">
        <v>1617</v>
      </c>
      <c r="B1618" t="s">
        <v>4889</v>
      </c>
      <c r="C1618" t="s">
        <v>4890</v>
      </c>
    </row>
    <row r="1619" spans="1:3" x14ac:dyDescent="0.25">
      <c r="A1619">
        <v>1618</v>
      </c>
      <c r="B1619" t="s">
        <v>4891</v>
      </c>
      <c r="C1619" t="s">
        <v>4892</v>
      </c>
    </row>
    <row r="1620" spans="1:3" x14ac:dyDescent="0.25">
      <c r="A1620">
        <v>1619</v>
      </c>
      <c r="B1620" t="s">
        <v>1085</v>
      </c>
      <c r="C1620" t="s">
        <v>4893</v>
      </c>
    </row>
    <row r="1621" spans="1:3" x14ac:dyDescent="0.25">
      <c r="A1621">
        <v>1620</v>
      </c>
      <c r="B1621" t="s">
        <v>4894</v>
      </c>
      <c r="C1621" t="s">
        <v>4895</v>
      </c>
    </row>
    <row r="1622" spans="1:3" x14ac:dyDescent="0.25">
      <c r="A1622">
        <v>1621</v>
      </c>
      <c r="B1622" t="s">
        <v>2191</v>
      </c>
      <c r="C1622" t="s">
        <v>4896</v>
      </c>
    </row>
    <row r="1623" spans="1:3" x14ac:dyDescent="0.25">
      <c r="A1623">
        <v>1622</v>
      </c>
      <c r="B1623" t="s">
        <v>552</v>
      </c>
      <c r="C1623" t="s">
        <v>4897</v>
      </c>
    </row>
    <row r="1624" spans="1:3" x14ac:dyDescent="0.25">
      <c r="A1624">
        <v>1623</v>
      </c>
      <c r="B1624" t="s">
        <v>4898</v>
      </c>
      <c r="C1624" t="s">
        <v>4899</v>
      </c>
    </row>
    <row r="1625" spans="1:3" x14ac:dyDescent="0.25">
      <c r="A1625">
        <v>1624</v>
      </c>
      <c r="B1625" t="s">
        <v>254</v>
      </c>
      <c r="C1625" t="s">
        <v>4900</v>
      </c>
    </row>
    <row r="1626" spans="1:3" x14ac:dyDescent="0.25">
      <c r="A1626">
        <v>1625</v>
      </c>
      <c r="B1626" t="s">
        <v>4901</v>
      </c>
      <c r="C1626" t="s">
        <v>4902</v>
      </c>
    </row>
    <row r="1627" spans="1:3" x14ac:dyDescent="0.25">
      <c r="A1627">
        <v>1626</v>
      </c>
      <c r="B1627" t="s">
        <v>1089</v>
      </c>
      <c r="C1627" t="s">
        <v>4903</v>
      </c>
    </row>
    <row r="1628" spans="1:3" x14ac:dyDescent="0.25">
      <c r="A1628">
        <v>1627</v>
      </c>
      <c r="B1628" t="s">
        <v>4904</v>
      </c>
      <c r="C1628" t="s">
        <v>4905</v>
      </c>
    </row>
    <row r="1629" spans="1:3" x14ac:dyDescent="0.25">
      <c r="A1629">
        <v>1628</v>
      </c>
      <c r="B1629" t="s">
        <v>330</v>
      </c>
      <c r="C1629" t="s">
        <v>4906</v>
      </c>
    </row>
    <row r="1630" spans="1:3" x14ac:dyDescent="0.25">
      <c r="A1630">
        <v>1629</v>
      </c>
      <c r="B1630" t="s">
        <v>4907</v>
      </c>
      <c r="C1630" t="s">
        <v>4908</v>
      </c>
    </row>
    <row r="1631" spans="1:3" x14ac:dyDescent="0.25">
      <c r="A1631">
        <v>1630</v>
      </c>
      <c r="B1631" t="s">
        <v>4909</v>
      </c>
      <c r="C1631" t="s">
        <v>4910</v>
      </c>
    </row>
    <row r="1632" spans="1:3" x14ac:dyDescent="0.25">
      <c r="A1632">
        <v>1631</v>
      </c>
      <c r="B1632" t="s">
        <v>4911</v>
      </c>
      <c r="C1632" t="s">
        <v>4912</v>
      </c>
    </row>
    <row r="1633" spans="1:3" x14ac:dyDescent="0.25">
      <c r="A1633">
        <v>1632</v>
      </c>
      <c r="B1633" t="s">
        <v>4913</v>
      </c>
      <c r="C1633" t="s">
        <v>4914</v>
      </c>
    </row>
    <row r="1634" spans="1:3" x14ac:dyDescent="0.25">
      <c r="A1634">
        <v>1633</v>
      </c>
      <c r="B1634" t="s">
        <v>4915</v>
      </c>
      <c r="C1634" t="s">
        <v>4916</v>
      </c>
    </row>
    <row r="1635" spans="1:3" x14ac:dyDescent="0.25">
      <c r="A1635">
        <v>1634</v>
      </c>
      <c r="B1635" t="s">
        <v>2155</v>
      </c>
      <c r="C1635" t="s">
        <v>4917</v>
      </c>
    </row>
    <row r="1636" spans="1:3" x14ac:dyDescent="0.25">
      <c r="A1636">
        <v>1635</v>
      </c>
      <c r="B1636" t="s">
        <v>4918</v>
      </c>
      <c r="C1636" t="s">
        <v>4919</v>
      </c>
    </row>
    <row r="1637" spans="1:3" x14ac:dyDescent="0.25">
      <c r="A1637">
        <v>1636</v>
      </c>
      <c r="B1637" t="s">
        <v>43</v>
      </c>
      <c r="C1637" t="s">
        <v>4920</v>
      </c>
    </row>
    <row r="1638" spans="1:3" x14ac:dyDescent="0.25">
      <c r="A1638">
        <v>1637</v>
      </c>
      <c r="B1638" t="s">
        <v>154</v>
      </c>
      <c r="C1638" t="s">
        <v>4921</v>
      </c>
    </row>
    <row r="1639" spans="1:3" x14ac:dyDescent="0.25">
      <c r="A1639">
        <v>1638</v>
      </c>
      <c r="B1639" t="s">
        <v>148</v>
      </c>
      <c r="C1639" t="s">
        <v>4922</v>
      </c>
    </row>
    <row r="1640" spans="1:3" x14ac:dyDescent="0.25">
      <c r="A1640">
        <v>1639</v>
      </c>
      <c r="B1640" t="s">
        <v>612</v>
      </c>
      <c r="C1640" t="s">
        <v>4923</v>
      </c>
    </row>
    <row r="1641" spans="1:3" x14ac:dyDescent="0.25">
      <c r="A1641">
        <v>1640</v>
      </c>
      <c r="B1641" t="s">
        <v>1987</v>
      </c>
      <c r="C1641" t="s">
        <v>4924</v>
      </c>
    </row>
    <row r="1642" spans="1:3" x14ac:dyDescent="0.25">
      <c r="A1642">
        <v>1641</v>
      </c>
      <c r="B1642" t="s">
        <v>4925</v>
      </c>
      <c r="C1642" t="s">
        <v>4926</v>
      </c>
    </row>
    <row r="1643" spans="1:3" x14ac:dyDescent="0.25">
      <c r="A1643">
        <v>1642</v>
      </c>
      <c r="B1643" t="s">
        <v>627</v>
      </c>
      <c r="C1643" t="s">
        <v>4927</v>
      </c>
    </row>
    <row r="1644" spans="1:3" x14ac:dyDescent="0.25">
      <c r="A1644">
        <v>1643</v>
      </c>
      <c r="B1644" t="s">
        <v>320</v>
      </c>
      <c r="C1644" t="s">
        <v>4928</v>
      </c>
    </row>
    <row r="1645" spans="1:3" x14ac:dyDescent="0.25">
      <c r="A1645">
        <v>1644</v>
      </c>
      <c r="B1645" t="s">
        <v>4929</v>
      </c>
      <c r="C1645" t="s">
        <v>4930</v>
      </c>
    </row>
    <row r="1646" spans="1:3" x14ac:dyDescent="0.25">
      <c r="A1646">
        <v>1645</v>
      </c>
      <c r="B1646" t="s">
        <v>4931</v>
      </c>
      <c r="C1646" t="s">
        <v>4932</v>
      </c>
    </row>
    <row r="1647" spans="1:3" x14ac:dyDescent="0.25">
      <c r="A1647">
        <v>1646</v>
      </c>
      <c r="B1647" t="s">
        <v>4933</v>
      </c>
      <c r="C1647" t="s">
        <v>4934</v>
      </c>
    </row>
    <row r="1648" spans="1:3" x14ac:dyDescent="0.25">
      <c r="A1648">
        <v>1647</v>
      </c>
      <c r="B1648" t="s">
        <v>562</v>
      </c>
      <c r="C1648" t="s">
        <v>4935</v>
      </c>
    </row>
    <row r="1649" spans="1:3" x14ac:dyDescent="0.25">
      <c r="A1649">
        <v>1648</v>
      </c>
      <c r="B1649" t="s">
        <v>238</v>
      </c>
      <c r="C1649" t="s">
        <v>4936</v>
      </c>
    </row>
    <row r="1650" spans="1:3" x14ac:dyDescent="0.25">
      <c r="A1650">
        <v>1649</v>
      </c>
      <c r="B1650" t="s">
        <v>4937</v>
      </c>
      <c r="C1650" t="s">
        <v>4938</v>
      </c>
    </row>
    <row r="1651" spans="1:3" x14ac:dyDescent="0.25">
      <c r="A1651">
        <v>1650</v>
      </c>
      <c r="B1651" t="s">
        <v>4939</v>
      </c>
      <c r="C1651" t="s">
        <v>4940</v>
      </c>
    </row>
    <row r="1652" spans="1:3" x14ac:dyDescent="0.25">
      <c r="A1652">
        <v>1651</v>
      </c>
      <c r="B1652" t="s">
        <v>174</v>
      </c>
      <c r="C1652" t="s">
        <v>4941</v>
      </c>
    </row>
    <row r="1653" spans="1:3" x14ac:dyDescent="0.25">
      <c r="A1653">
        <v>1652</v>
      </c>
      <c r="B1653" t="s">
        <v>1015</v>
      </c>
      <c r="C1653" t="s">
        <v>4942</v>
      </c>
    </row>
    <row r="1654" spans="1:3" x14ac:dyDescent="0.25">
      <c r="A1654">
        <v>1653</v>
      </c>
      <c r="B1654" t="s">
        <v>4943</v>
      </c>
      <c r="C1654" t="s">
        <v>4944</v>
      </c>
    </row>
    <row r="1655" spans="1:3" x14ac:dyDescent="0.25">
      <c r="A1655">
        <v>1654</v>
      </c>
      <c r="B1655" t="s">
        <v>4945</v>
      </c>
      <c r="C1655" t="s">
        <v>4946</v>
      </c>
    </row>
    <row r="1656" spans="1:3" x14ac:dyDescent="0.25">
      <c r="A1656">
        <v>1655</v>
      </c>
      <c r="B1656" t="s">
        <v>4947</v>
      </c>
      <c r="C1656" t="s">
        <v>4948</v>
      </c>
    </row>
    <row r="1657" spans="1:3" x14ac:dyDescent="0.25">
      <c r="A1657">
        <v>1656</v>
      </c>
      <c r="B1657" t="s">
        <v>4949</v>
      </c>
      <c r="C1657" t="s">
        <v>4950</v>
      </c>
    </row>
    <row r="1658" spans="1:3" x14ac:dyDescent="0.25">
      <c r="A1658">
        <v>1657</v>
      </c>
      <c r="B1658" t="s">
        <v>221</v>
      </c>
      <c r="C1658" t="s">
        <v>4951</v>
      </c>
    </row>
    <row r="1659" spans="1:3" x14ac:dyDescent="0.25">
      <c r="A1659">
        <v>1658</v>
      </c>
      <c r="B1659" t="s">
        <v>4952</v>
      </c>
      <c r="C1659" t="s">
        <v>4953</v>
      </c>
    </row>
    <row r="1660" spans="1:3" x14ac:dyDescent="0.25">
      <c r="A1660">
        <v>1659</v>
      </c>
      <c r="B1660" t="s">
        <v>4954</v>
      </c>
      <c r="C1660" t="s">
        <v>4955</v>
      </c>
    </row>
    <row r="1661" spans="1:3" x14ac:dyDescent="0.25">
      <c r="A1661">
        <v>1660</v>
      </c>
      <c r="B1661" t="s">
        <v>4956</v>
      </c>
      <c r="C1661" t="s">
        <v>4957</v>
      </c>
    </row>
    <row r="1662" spans="1:3" x14ac:dyDescent="0.25">
      <c r="A1662">
        <v>1661</v>
      </c>
      <c r="B1662" t="s">
        <v>2190</v>
      </c>
      <c r="C1662" t="s">
        <v>4958</v>
      </c>
    </row>
    <row r="1663" spans="1:3" x14ac:dyDescent="0.25">
      <c r="A1663">
        <v>1662</v>
      </c>
      <c r="B1663" t="s">
        <v>4959</v>
      </c>
      <c r="C1663" t="s">
        <v>4960</v>
      </c>
    </row>
    <row r="1664" spans="1:3" x14ac:dyDescent="0.25">
      <c r="A1664">
        <v>1663</v>
      </c>
      <c r="B1664" t="s">
        <v>4961</v>
      </c>
      <c r="C1664" t="s">
        <v>4962</v>
      </c>
    </row>
    <row r="1665" spans="1:3" x14ac:dyDescent="0.25">
      <c r="A1665">
        <v>1664</v>
      </c>
      <c r="B1665" t="s">
        <v>1077</v>
      </c>
      <c r="C1665" t="s">
        <v>4963</v>
      </c>
    </row>
    <row r="1666" spans="1:3" x14ac:dyDescent="0.25">
      <c r="A1666">
        <v>1665</v>
      </c>
      <c r="B1666" t="s">
        <v>4964</v>
      </c>
      <c r="C1666" t="s">
        <v>4965</v>
      </c>
    </row>
    <row r="1667" spans="1:3" x14ac:dyDescent="0.25">
      <c r="A1667">
        <v>1666</v>
      </c>
      <c r="B1667" t="s">
        <v>1905</v>
      </c>
      <c r="C1667" t="s">
        <v>4966</v>
      </c>
    </row>
    <row r="1668" spans="1:3" x14ac:dyDescent="0.25">
      <c r="A1668">
        <v>1667</v>
      </c>
      <c r="B1668" t="s">
        <v>1761</v>
      </c>
      <c r="C1668" t="s">
        <v>4967</v>
      </c>
    </row>
    <row r="1669" spans="1:3" x14ac:dyDescent="0.25">
      <c r="A1669">
        <v>1668</v>
      </c>
      <c r="B1669" t="s">
        <v>4968</v>
      </c>
      <c r="C1669" t="s">
        <v>4969</v>
      </c>
    </row>
    <row r="1670" spans="1:3" x14ac:dyDescent="0.25">
      <c r="A1670">
        <v>1669</v>
      </c>
      <c r="B1670" t="s">
        <v>1306</v>
      </c>
      <c r="C1670" t="s">
        <v>4970</v>
      </c>
    </row>
    <row r="1671" spans="1:3" x14ac:dyDescent="0.25">
      <c r="A1671">
        <v>1670</v>
      </c>
      <c r="B1671" t="s">
        <v>1949</v>
      </c>
      <c r="C1671" t="s">
        <v>4971</v>
      </c>
    </row>
    <row r="1672" spans="1:3" x14ac:dyDescent="0.25">
      <c r="A1672">
        <v>1671</v>
      </c>
      <c r="B1672" t="s">
        <v>141</v>
      </c>
      <c r="C1672" t="s">
        <v>4972</v>
      </c>
    </row>
    <row r="1673" spans="1:3" x14ac:dyDescent="0.25">
      <c r="A1673">
        <v>1672</v>
      </c>
      <c r="B1673" t="s">
        <v>1718</v>
      </c>
      <c r="C1673" t="s">
        <v>4973</v>
      </c>
    </row>
    <row r="1674" spans="1:3" x14ac:dyDescent="0.25">
      <c r="A1674">
        <v>1673</v>
      </c>
      <c r="B1674" t="s">
        <v>446</v>
      </c>
      <c r="C1674" t="s">
        <v>4974</v>
      </c>
    </row>
    <row r="1675" spans="1:3" x14ac:dyDescent="0.25">
      <c r="A1675">
        <v>1674</v>
      </c>
      <c r="B1675" t="s">
        <v>4975</v>
      </c>
      <c r="C1675" t="s">
        <v>4976</v>
      </c>
    </row>
    <row r="1676" spans="1:3" x14ac:dyDescent="0.25">
      <c r="A1676">
        <v>1675</v>
      </c>
      <c r="B1676" t="s">
        <v>4977</v>
      </c>
      <c r="C1676" t="s">
        <v>4978</v>
      </c>
    </row>
    <row r="1677" spans="1:3" x14ac:dyDescent="0.25">
      <c r="A1677">
        <v>1676</v>
      </c>
      <c r="B1677" t="s">
        <v>725</v>
      </c>
      <c r="C1677" t="s">
        <v>4979</v>
      </c>
    </row>
    <row r="1678" spans="1:3" x14ac:dyDescent="0.25">
      <c r="A1678">
        <v>1677</v>
      </c>
      <c r="B1678" t="s">
        <v>2333</v>
      </c>
      <c r="C1678" t="s">
        <v>4980</v>
      </c>
    </row>
    <row r="1679" spans="1:3" x14ac:dyDescent="0.25">
      <c r="A1679">
        <v>1678</v>
      </c>
      <c r="B1679" t="s">
        <v>186</v>
      </c>
      <c r="C1679" t="s">
        <v>4981</v>
      </c>
    </row>
    <row r="1680" spans="1:3" x14ac:dyDescent="0.25">
      <c r="A1680">
        <v>1679</v>
      </c>
      <c r="B1680" t="s">
        <v>504</v>
      </c>
      <c r="C1680" t="s">
        <v>4982</v>
      </c>
    </row>
    <row r="1681" spans="1:3" x14ac:dyDescent="0.25">
      <c r="A1681">
        <v>1680</v>
      </c>
      <c r="B1681" t="s">
        <v>4983</v>
      </c>
      <c r="C1681" t="s">
        <v>4984</v>
      </c>
    </row>
    <row r="1682" spans="1:3" x14ac:dyDescent="0.25">
      <c r="A1682">
        <v>1681</v>
      </c>
      <c r="B1682" t="s">
        <v>4985</v>
      </c>
      <c r="C1682" t="s">
        <v>4986</v>
      </c>
    </row>
    <row r="1683" spans="1:3" x14ac:dyDescent="0.25">
      <c r="A1683">
        <v>1682</v>
      </c>
      <c r="B1683" t="s">
        <v>4987</v>
      </c>
      <c r="C1683" t="s">
        <v>4988</v>
      </c>
    </row>
    <row r="1684" spans="1:3" x14ac:dyDescent="0.25">
      <c r="A1684">
        <v>1683</v>
      </c>
      <c r="B1684" t="s">
        <v>279</v>
      </c>
      <c r="C1684" t="s">
        <v>4989</v>
      </c>
    </row>
    <row r="1685" spans="1:3" x14ac:dyDescent="0.25">
      <c r="A1685">
        <v>1684</v>
      </c>
      <c r="B1685" t="s">
        <v>4990</v>
      </c>
      <c r="C1685" t="s">
        <v>4991</v>
      </c>
    </row>
    <row r="1686" spans="1:3" x14ac:dyDescent="0.25">
      <c r="A1686">
        <v>1685</v>
      </c>
      <c r="B1686" t="s">
        <v>218</v>
      </c>
      <c r="C1686" t="s">
        <v>4992</v>
      </c>
    </row>
    <row r="1687" spans="1:3" x14ac:dyDescent="0.25">
      <c r="A1687">
        <v>1686</v>
      </c>
      <c r="B1687" t="s">
        <v>1908</v>
      </c>
      <c r="C1687" t="s">
        <v>4993</v>
      </c>
    </row>
    <row r="1688" spans="1:3" x14ac:dyDescent="0.25">
      <c r="A1688">
        <v>1687</v>
      </c>
      <c r="B1688" t="s">
        <v>4994</v>
      </c>
      <c r="C1688" t="s">
        <v>4995</v>
      </c>
    </row>
    <row r="1689" spans="1:3" x14ac:dyDescent="0.25">
      <c r="A1689">
        <v>1688</v>
      </c>
      <c r="B1689" t="s">
        <v>791</v>
      </c>
      <c r="C1689" t="s">
        <v>4996</v>
      </c>
    </row>
    <row r="1690" spans="1:3" x14ac:dyDescent="0.25">
      <c r="A1690">
        <v>1689</v>
      </c>
      <c r="B1690" t="s">
        <v>4997</v>
      </c>
      <c r="C1690" t="s">
        <v>4998</v>
      </c>
    </row>
    <row r="1691" spans="1:3" x14ac:dyDescent="0.25">
      <c r="A1691">
        <v>1690</v>
      </c>
      <c r="B1691" t="s">
        <v>1334</v>
      </c>
      <c r="C1691" t="s">
        <v>4999</v>
      </c>
    </row>
    <row r="1692" spans="1:3" x14ac:dyDescent="0.25">
      <c r="A1692">
        <v>1691</v>
      </c>
      <c r="B1692" t="s">
        <v>729</v>
      </c>
      <c r="C1692" t="s">
        <v>5000</v>
      </c>
    </row>
    <row r="1693" spans="1:3" x14ac:dyDescent="0.25">
      <c r="A1693">
        <v>1692</v>
      </c>
      <c r="B1693" t="s">
        <v>1801</v>
      </c>
      <c r="C1693" t="s">
        <v>5001</v>
      </c>
    </row>
    <row r="1694" spans="1:3" x14ac:dyDescent="0.25">
      <c r="A1694">
        <v>1693</v>
      </c>
      <c r="B1694" t="s">
        <v>352</v>
      </c>
      <c r="C1694" t="s">
        <v>5002</v>
      </c>
    </row>
    <row r="1695" spans="1:3" x14ac:dyDescent="0.25">
      <c r="A1695">
        <v>1694</v>
      </c>
      <c r="B1695" t="s">
        <v>422</v>
      </c>
      <c r="C1695" t="s">
        <v>5003</v>
      </c>
    </row>
    <row r="1696" spans="1:3" x14ac:dyDescent="0.25">
      <c r="A1696">
        <v>1695</v>
      </c>
      <c r="B1696" t="s">
        <v>5004</v>
      </c>
      <c r="C1696" t="s">
        <v>5005</v>
      </c>
    </row>
    <row r="1697" spans="1:3" x14ac:dyDescent="0.25">
      <c r="A1697">
        <v>1696</v>
      </c>
      <c r="B1697" t="s">
        <v>205</v>
      </c>
      <c r="C1697" t="s">
        <v>5006</v>
      </c>
    </row>
    <row r="1698" spans="1:3" x14ac:dyDescent="0.25">
      <c r="A1698">
        <v>1697</v>
      </c>
      <c r="B1698" t="s">
        <v>5007</v>
      </c>
      <c r="C1698" t="s">
        <v>5008</v>
      </c>
    </row>
    <row r="1699" spans="1:3" x14ac:dyDescent="0.25">
      <c r="A1699">
        <v>1698</v>
      </c>
      <c r="B1699" t="s">
        <v>5009</v>
      </c>
      <c r="C1699" t="s">
        <v>5010</v>
      </c>
    </row>
    <row r="1700" spans="1:3" x14ac:dyDescent="0.25">
      <c r="A1700">
        <v>1699</v>
      </c>
      <c r="B1700" t="s">
        <v>476</v>
      </c>
      <c r="C1700" t="s">
        <v>5011</v>
      </c>
    </row>
    <row r="1701" spans="1:3" x14ac:dyDescent="0.25">
      <c r="A1701">
        <v>1700</v>
      </c>
      <c r="B1701" t="s">
        <v>232</v>
      </c>
      <c r="C1701" t="s">
        <v>5012</v>
      </c>
    </row>
    <row r="1702" spans="1:3" x14ac:dyDescent="0.25">
      <c r="A1702">
        <v>1701</v>
      </c>
      <c r="B1702" t="s">
        <v>1269</v>
      </c>
      <c r="C1702" t="s">
        <v>5013</v>
      </c>
    </row>
    <row r="1703" spans="1:3" x14ac:dyDescent="0.25">
      <c r="A1703">
        <v>1702</v>
      </c>
      <c r="B1703" t="s">
        <v>5014</v>
      </c>
      <c r="C1703" t="s">
        <v>5015</v>
      </c>
    </row>
    <row r="1704" spans="1:3" x14ac:dyDescent="0.25">
      <c r="A1704">
        <v>1703</v>
      </c>
      <c r="B1704" t="s">
        <v>477</v>
      </c>
      <c r="C1704" t="s">
        <v>5016</v>
      </c>
    </row>
    <row r="1705" spans="1:3" x14ac:dyDescent="0.25">
      <c r="A1705">
        <v>1704</v>
      </c>
      <c r="B1705" t="s">
        <v>1741</v>
      </c>
      <c r="C1705" t="s">
        <v>5017</v>
      </c>
    </row>
    <row r="1706" spans="1:3" x14ac:dyDescent="0.25">
      <c r="A1706">
        <v>1705</v>
      </c>
      <c r="B1706" t="s">
        <v>1176</v>
      </c>
      <c r="C1706" t="s">
        <v>5018</v>
      </c>
    </row>
    <row r="1707" spans="1:3" x14ac:dyDescent="0.25">
      <c r="A1707">
        <v>1706</v>
      </c>
      <c r="B1707" t="s">
        <v>5019</v>
      </c>
      <c r="C1707" t="s">
        <v>5020</v>
      </c>
    </row>
    <row r="1708" spans="1:3" x14ac:dyDescent="0.25">
      <c r="A1708">
        <v>1707</v>
      </c>
      <c r="B1708" t="s">
        <v>942</v>
      </c>
      <c r="C1708" t="s">
        <v>5021</v>
      </c>
    </row>
    <row r="1709" spans="1:3" x14ac:dyDescent="0.25">
      <c r="A1709">
        <v>1708</v>
      </c>
      <c r="B1709" t="s">
        <v>1975</v>
      </c>
      <c r="C1709" t="s">
        <v>5022</v>
      </c>
    </row>
    <row r="1710" spans="1:3" x14ac:dyDescent="0.25">
      <c r="A1710">
        <v>1709</v>
      </c>
      <c r="B1710" t="s">
        <v>1779</v>
      </c>
      <c r="C1710" t="s">
        <v>5023</v>
      </c>
    </row>
    <row r="1711" spans="1:3" x14ac:dyDescent="0.25">
      <c r="A1711">
        <v>1710</v>
      </c>
      <c r="B1711" t="s">
        <v>5024</v>
      </c>
      <c r="C1711" t="s">
        <v>5025</v>
      </c>
    </row>
    <row r="1712" spans="1:3" x14ac:dyDescent="0.25">
      <c r="A1712">
        <v>1711</v>
      </c>
      <c r="B1712" t="s">
        <v>5026</v>
      </c>
      <c r="C1712" t="s">
        <v>5027</v>
      </c>
    </row>
    <row r="1713" spans="1:3" x14ac:dyDescent="0.25">
      <c r="A1713">
        <v>1712</v>
      </c>
      <c r="B1713" t="s">
        <v>1650</v>
      </c>
      <c r="C1713" t="s">
        <v>5028</v>
      </c>
    </row>
    <row r="1714" spans="1:3" x14ac:dyDescent="0.25">
      <c r="A1714">
        <v>1713</v>
      </c>
      <c r="B1714" t="s">
        <v>5029</v>
      </c>
      <c r="C1714" t="s">
        <v>5030</v>
      </c>
    </row>
    <row r="1715" spans="1:3" x14ac:dyDescent="0.25">
      <c r="A1715">
        <v>1714</v>
      </c>
      <c r="B1715" t="s">
        <v>5031</v>
      </c>
      <c r="C1715" t="s">
        <v>5032</v>
      </c>
    </row>
    <row r="1716" spans="1:3" x14ac:dyDescent="0.25">
      <c r="A1716">
        <v>1715</v>
      </c>
      <c r="B1716" t="s">
        <v>5033</v>
      </c>
      <c r="C1716" t="s">
        <v>5034</v>
      </c>
    </row>
    <row r="1717" spans="1:3" x14ac:dyDescent="0.25">
      <c r="A1717">
        <v>1716</v>
      </c>
      <c r="B1717" t="s">
        <v>1755</v>
      </c>
      <c r="C1717" t="s">
        <v>5035</v>
      </c>
    </row>
    <row r="1718" spans="1:3" x14ac:dyDescent="0.25">
      <c r="A1718">
        <v>1717</v>
      </c>
      <c r="B1718" t="s">
        <v>1789</v>
      </c>
      <c r="C1718" t="s">
        <v>5036</v>
      </c>
    </row>
    <row r="1719" spans="1:3" x14ac:dyDescent="0.25">
      <c r="A1719">
        <v>1718</v>
      </c>
      <c r="B1719" t="s">
        <v>5037</v>
      </c>
      <c r="C1719" t="s">
        <v>5038</v>
      </c>
    </row>
    <row r="1720" spans="1:3" x14ac:dyDescent="0.25">
      <c r="A1720">
        <v>1719</v>
      </c>
      <c r="B1720" t="s">
        <v>1989</v>
      </c>
      <c r="C1720" t="s">
        <v>5039</v>
      </c>
    </row>
    <row r="1721" spans="1:3" x14ac:dyDescent="0.25">
      <c r="A1721">
        <v>1720</v>
      </c>
      <c r="B1721" t="s">
        <v>5040</v>
      </c>
      <c r="C1721" t="s">
        <v>5041</v>
      </c>
    </row>
    <row r="1722" spans="1:3" x14ac:dyDescent="0.25">
      <c r="A1722">
        <v>1721</v>
      </c>
      <c r="B1722" t="s">
        <v>5042</v>
      </c>
      <c r="C1722" t="s">
        <v>5043</v>
      </c>
    </row>
    <row r="1723" spans="1:3" x14ac:dyDescent="0.25">
      <c r="A1723">
        <v>1722</v>
      </c>
      <c r="B1723" t="s">
        <v>344</v>
      </c>
      <c r="C1723" t="s">
        <v>5044</v>
      </c>
    </row>
    <row r="1724" spans="1:3" x14ac:dyDescent="0.25">
      <c r="A1724">
        <v>1723</v>
      </c>
      <c r="B1724" t="s">
        <v>474</v>
      </c>
      <c r="C1724" t="s">
        <v>5045</v>
      </c>
    </row>
    <row r="1725" spans="1:3" x14ac:dyDescent="0.25">
      <c r="A1725">
        <v>1724</v>
      </c>
      <c r="B1725" t="s">
        <v>554</v>
      </c>
      <c r="C1725" t="s">
        <v>5046</v>
      </c>
    </row>
    <row r="1726" spans="1:3" x14ac:dyDescent="0.25">
      <c r="A1726">
        <v>1725</v>
      </c>
      <c r="B1726" t="s">
        <v>350</v>
      </c>
      <c r="C1726" t="s">
        <v>5047</v>
      </c>
    </row>
    <row r="1727" spans="1:3" x14ac:dyDescent="0.25">
      <c r="A1727">
        <v>1726</v>
      </c>
      <c r="B1727" t="s">
        <v>5048</v>
      </c>
      <c r="C1727" t="s">
        <v>5049</v>
      </c>
    </row>
    <row r="1728" spans="1:3" x14ac:dyDescent="0.25">
      <c r="A1728">
        <v>1727</v>
      </c>
      <c r="B1728" t="s">
        <v>1127</v>
      </c>
      <c r="C1728" t="s">
        <v>5050</v>
      </c>
    </row>
    <row r="1729" spans="1:3" x14ac:dyDescent="0.25">
      <c r="A1729">
        <v>1728</v>
      </c>
      <c r="B1729" t="s">
        <v>5051</v>
      </c>
      <c r="C1729" t="s">
        <v>5052</v>
      </c>
    </row>
    <row r="1730" spans="1:3" x14ac:dyDescent="0.25">
      <c r="A1730">
        <v>1729</v>
      </c>
      <c r="B1730" t="s">
        <v>1207</v>
      </c>
      <c r="C1730" t="s">
        <v>5053</v>
      </c>
    </row>
    <row r="1731" spans="1:3" x14ac:dyDescent="0.25">
      <c r="A1731">
        <v>1730</v>
      </c>
      <c r="B1731" t="s">
        <v>5054</v>
      </c>
      <c r="C1731" t="s">
        <v>5055</v>
      </c>
    </row>
    <row r="1732" spans="1:3" x14ac:dyDescent="0.25">
      <c r="A1732">
        <v>1731</v>
      </c>
      <c r="B1732" t="s">
        <v>5056</v>
      </c>
      <c r="C1732" t="s">
        <v>5057</v>
      </c>
    </row>
    <row r="1733" spans="1:3" x14ac:dyDescent="0.25">
      <c r="A1733">
        <v>1732</v>
      </c>
      <c r="B1733" t="s">
        <v>2016</v>
      </c>
      <c r="C1733" t="s">
        <v>5058</v>
      </c>
    </row>
    <row r="1734" spans="1:3" x14ac:dyDescent="0.25">
      <c r="A1734">
        <v>1733</v>
      </c>
      <c r="B1734" t="s">
        <v>5059</v>
      </c>
      <c r="C1734" t="s">
        <v>5060</v>
      </c>
    </row>
    <row r="1735" spans="1:3" x14ac:dyDescent="0.25">
      <c r="A1735">
        <v>1734</v>
      </c>
      <c r="B1735" t="s">
        <v>5061</v>
      </c>
      <c r="C1735" t="s">
        <v>5062</v>
      </c>
    </row>
    <row r="1736" spans="1:3" x14ac:dyDescent="0.25">
      <c r="A1736">
        <v>1735</v>
      </c>
      <c r="B1736" t="s">
        <v>1748</v>
      </c>
      <c r="C1736" t="s">
        <v>5063</v>
      </c>
    </row>
    <row r="1737" spans="1:3" x14ac:dyDescent="0.25">
      <c r="A1737">
        <v>1736</v>
      </c>
      <c r="B1737" t="s">
        <v>176</v>
      </c>
      <c r="C1737" t="s">
        <v>5064</v>
      </c>
    </row>
    <row r="1738" spans="1:3" x14ac:dyDescent="0.25">
      <c r="A1738">
        <v>1737</v>
      </c>
      <c r="B1738" t="s">
        <v>1873</v>
      </c>
      <c r="C1738" t="s">
        <v>5065</v>
      </c>
    </row>
    <row r="1739" spans="1:3" x14ac:dyDescent="0.25">
      <c r="A1739">
        <v>1738</v>
      </c>
      <c r="B1739" t="s">
        <v>5066</v>
      </c>
      <c r="C1739" t="s">
        <v>5067</v>
      </c>
    </row>
    <row r="1740" spans="1:3" x14ac:dyDescent="0.25">
      <c r="A1740">
        <v>1739</v>
      </c>
      <c r="B1740" t="s">
        <v>358</v>
      </c>
      <c r="C1740" t="s">
        <v>5068</v>
      </c>
    </row>
    <row r="1741" spans="1:3" x14ac:dyDescent="0.25">
      <c r="A1741">
        <v>1740</v>
      </c>
      <c r="B1741" t="s">
        <v>5069</v>
      </c>
      <c r="C1741" t="s">
        <v>5070</v>
      </c>
    </row>
    <row r="1742" spans="1:3" x14ac:dyDescent="0.25">
      <c r="A1742">
        <v>1741</v>
      </c>
      <c r="B1742" t="s">
        <v>1899</v>
      </c>
      <c r="C1742" t="s">
        <v>5071</v>
      </c>
    </row>
    <row r="1743" spans="1:3" x14ac:dyDescent="0.25">
      <c r="A1743">
        <v>1742</v>
      </c>
      <c r="B1743" t="s">
        <v>675</v>
      </c>
      <c r="C1743" t="s">
        <v>5072</v>
      </c>
    </row>
    <row r="1744" spans="1:3" x14ac:dyDescent="0.25">
      <c r="A1744">
        <v>1743</v>
      </c>
      <c r="B1744" t="s">
        <v>1832</v>
      </c>
      <c r="C1744" t="s">
        <v>5073</v>
      </c>
    </row>
    <row r="1745" spans="1:3" x14ac:dyDescent="0.25">
      <c r="A1745">
        <v>1744</v>
      </c>
      <c r="B1745" t="s">
        <v>550</v>
      </c>
      <c r="C1745" t="s">
        <v>5074</v>
      </c>
    </row>
    <row r="1746" spans="1:3" x14ac:dyDescent="0.25">
      <c r="A1746">
        <v>1745</v>
      </c>
      <c r="B1746" t="s">
        <v>5075</v>
      </c>
      <c r="C1746" t="s">
        <v>5076</v>
      </c>
    </row>
    <row r="1747" spans="1:3" x14ac:dyDescent="0.25">
      <c r="A1747">
        <v>1746</v>
      </c>
      <c r="B1747" t="s">
        <v>5077</v>
      </c>
      <c r="C1747" t="s">
        <v>5078</v>
      </c>
    </row>
    <row r="1748" spans="1:3" x14ac:dyDescent="0.25">
      <c r="A1748">
        <v>1747</v>
      </c>
      <c r="B1748" t="s">
        <v>5079</v>
      </c>
      <c r="C1748" t="s">
        <v>5080</v>
      </c>
    </row>
    <row r="1749" spans="1:3" x14ac:dyDescent="0.25">
      <c r="A1749">
        <v>1748</v>
      </c>
      <c r="B1749" t="s">
        <v>1773</v>
      </c>
      <c r="C1749" t="s">
        <v>5081</v>
      </c>
    </row>
    <row r="1750" spans="1:3" x14ac:dyDescent="0.25">
      <c r="A1750">
        <v>1749</v>
      </c>
      <c r="B1750" t="s">
        <v>5082</v>
      </c>
      <c r="C1750" t="s">
        <v>5083</v>
      </c>
    </row>
    <row r="1751" spans="1:3" x14ac:dyDescent="0.25">
      <c r="A1751">
        <v>1750</v>
      </c>
      <c r="B1751" t="s">
        <v>216</v>
      </c>
      <c r="C1751" t="s">
        <v>5084</v>
      </c>
    </row>
    <row r="1752" spans="1:3" x14ac:dyDescent="0.25">
      <c r="A1752">
        <v>1751</v>
      </c>
      <c r="B1752" t="s">
        <v>5085</v>
      </c>
      <c r="C1752" t="s">
        <v>5086</v>
      </c>
    </row>
    <row r="1753" spans="1:3" x14ac:dyDescent="0.25">
      <c r="A1753">
        <v>1752</v>
      </c>
      <c r="B1753" t="s">
        <v>1587</v>
      </c>
      <c r="C1753" t="s">
        <v>5087</v>
      </c>
    </row>
    <row r="1754" spans="1:3" x14ac:dyDescent="0.25">
      <c r="A1754">
        <v>1753</v>
      </c>
      <c r="B1754" t="s">
        <v>1574</v>
      </c>
      <c r="C1754" t="s">
        <v>5088</v>
      </c>
    </row>
    <row r="1755" spans="1:3" x14ac:dyDescent="0.25">
      <c r="A1755">
        <v>1754</v>
      </c>
      <c r="B1755" t="s">
        <v>5089</v>
      </c>
      <c r="C1755" t="s">
        <v>5090</v>
      </c>
    </row>
    <row r="1756" spans="1:3" x14ac:dyDescent="0.25">
      <c r="A1756">
        <v>1755</v>
      </c>
      <c r="B1756" t="s">
        <v>5091</v>
      </c>
      <c r="C1756" t="s">
        <v>5092</v>
      </c>
    </row>
    <row r="1757" spans="1:3" x14ac:dyDescent="0.25">
      <c r="A1757">
        <v>1756</v>
      </c>
      <c r="B1757" t="s">
        <v>1936</v>
      </c>
      <c r="C1757" t="s">
        <v>5093</v>
      </c>
    </row>
    <row r="1758" spans="1:3" x14ac:dyDescent="0.25">
      <c r="A1758">
        <v>1757</v>
      </c>
      <c r="B1758" t="s">
        <v>5094</v>
      </c>
      <c r="C1758" t="s">
        <v>5095</v>
      </c>
    </row>
    <row r="1759" spans="1:3" x14ac:dyDescent="0.25">
      <c r="A1759">
        <v>1758</v>
      </c>
      <c r="B1759" t="s">
        <v>5096</v>
      </c>
      <c r="C1759" t="s">
        <v>5097</v>
      </c>
    </row>
    <row r="1760" spans="1:3" x14ac:dyDescent="0.25">
      <c r="A1760">
        <v>1759</v>
      </c>
      <c r="B1760" t="s">
        <v>5098</v>
      </c>
      <c r="C1760" t="s">
        <v>5099</v>
      </c>
    </row>
    <row r="1761" spans="1:3" x14ac:dyDescent="0.25">
      <c r="A1761">
        <v>1760</v>
      </c>
      <c r="B1761" t="s">
        <v>342</v>
      </c>
      <c r="C1761" t="s">
        <v>5100</v>
      </c>
    </row>
    <row r="1762" spans="1:3" x14ac:dyDescent="0.25">
      <c r="A1762">
        <v>1761</v>
      </c>
      <c r="B1762" t="s">
        <v>1750</v>
      </c>
      <c r="C1762" t="s">
        <v>5101</v>
      </c>
    </row>
    <row r="1763" spans="1:3" x14ac:dyDescent="0.25">
      <c r="A1763">
        <v>1762</v>
      </c>
      <c r="B1763" t="s">
        <v>366</v>
      </c>
      <c r="C1763" t="s">
        <v>5102</v>
      </c>
    </row>
    <row r="1764" spans="1:3" x14ac:dyDescent="0.25">
      <c r="A1764">
        <v>1763</v>
      </c>
      <c r="B1764" t="s">
        <v>222</v>
      </c>
      <c r="C1764" t="s">
        <v>5103</v>
      </c>
    </row>
    <row r="1765" spans="1:3" x14ac:dyDescent="0.25">
      <c r="A1765">
        <v>1764</v>
      </c>
      <c r="B1765" t="s">
        <v>136</v>
      </c>
      <c r="C1765" t="s">
        <v>5104</v>
      </c>
    </row>
    <row r="1766" spans="1:3" x14ac:dyDescent="0.25">
      <c r="A1766">
        <v>1765</v>
      </c>
      <c r="B1766" t="s">
        <v>180</v>
      </c>
      <c r="C1766" t="s">
        <v>5105</v>
      </c>
    </row>
    <row r="1767" spans="1:3" x14ac:dyDescent="0.25">
      <c r="A1767">
        <v>1766</v>
      </c>
      <c r="B1767" t="s">
        <v>47</v>
      </c>
      <c r="C1767" t="s">
        <v>5106</v>
      </c>
    </row>
    <row r="1768" spans="1:3" x14ac:dyDescent="0.25">
      <c r="A1768">
        <v>1767</v>
      </c>
      <c r="B1768" t="s">
        <v>5107</v>
      </c>
      <c r="C1768" t="s">
        <v>5108</v>
      </c>
    </row>
    <row r="1769" spans="1:3" x14ac:dyDescent="0.25">
      <c r="A1769">
        <v>1768</v>
      </c>
      <c r="B1769" t="s">
        <v>1596</v>
      </c>
      <c r="C1769" t="s">
        <v>5109</v>
      </c>
    </row>
    <row r="1770" spans="1:3" x14ac:dyDescent="0.25">
      <c r="A1770">
        <v>1769</v>
      </c>
      <c r="B1770" t="s">
        <v>195</v>
      </c>
      <c r="C1770" t="s">
        <v>5110</v>
      </c>
    </row>
    <row r="1771" spans="1:3" x14ac:dyDescent="0.25">
      <c r="A1771">
        <v>1770</v>
      </c>
      <c r="B1771" t="s">
        <v>1799</v>
      </c>
      <c r="C1771" t="s">
        <v>5111</v>
      </c>
    </row>
    <row r="1772" spans="1:3" x14ac:dyDescent="0.25">
      <c r="A1772">
        <v>1771</v>
      </c>
      <c r="B1772" t="s">
        <v>150</v>
      </c>
      <c r="C1772" t="s">
        <v>5112</v>
      </c>
    </row>
    <row r="1773" spans="1:3" x14ac:dyDescent="0.25">
      <c r="A1773">
        <v>1772</v>
      </c>
      <c r="B1773" t="s">
        <v>1767</v>
      </c>
      <c r="C1773" t="s">
        <v>5113</v>
      </c>
    </row>
    <row r="1774" spans="1:3" x14ac:dyDescent="0.25">
      <c r="A1774">
        <v>1773</v>
      </c>
      <c r="B1774" t="s">
        <v>338</v>
      </c>
      <c r="C1774" t="s">
        <v>5114</v>
      </c>
    </row>
    <row r="1775" spans="1:3" x14ac:dyDescent="0.25">
      <c r="A1775">
        <v>1774</v>
      </c>
      <c r="B1775" t="s">
        <v>5115</v>
      </c>
      <c r="C1775" t="s">
        <v>5116</v>
      </c>
    </row>
    <row r="1776" spans="1:3" x14ac:dyDescent="0.25">
      <c r="A1776">
        <v>1775</v>
      </c>
      <c r="B1776" t="s">
        <v>5117</v>
      </c>
      <c r="C1776" t="s">
        <v>5118</v>
      </c>
    </row>
    <row r="1777" spans="1:3" x14ac:dyDescent="0.25">
      <c r="A1777">
        <v>1776</v>
      </c>
      <c r="B1777" t="s">
        <v>196</v>
      </c>
      <c r="C1777" t="s">
        <v>5119</v>
      </c>
    </row>
    <row r="1778" spans="1:3" x14ac:dyDescent="0.25">
      <c r="A1778">
        <v>1777</v>
      </c>
      <c r="B1778" t="s">
        <v>1856</v>
      </c>
      <c r="C1778" t="s">
        <v>5120</v>
      </c>
    </row>
    <row r="1779" spans="1:3" x14ac:dyDescent="0.25">
      <c r="A1779">
        <v>1778</v>
      </c>
      <c r="B1779" t="s">
        <v>5121</v>
      </c>
      <c r="C1779" t="s">
        <v>5122</v>
      </c>
    </row>
    <row r="1780" spans="1:3" x14ac:dyDescent="0.25">
      <c r="A1780">
        <v>1779</v>
      </c>
      <c r="B1780" t="s">
        <v>117</v>
      </c>
      <c r="C1780" t="s">
        <v>5123</v>
      </c>
    </row>
    <row r="1781" spans="1:3" x14ac:dyDescent="0.25">
      <c r="A1781">
        <v>1780</v>
      </c>
      <c r="B1781" t="s">
        <v>5124</v>
      </c>
      <c r="C1781" t="s">
        <v>5125</v>
      </c>
    </row>
    <row r="1782" spans="1:3" x14ac:dyDescent="0.25">
      <c r="A1782">
        <v>1781</v>
      </c>
      <c r="B1782" t="s">
        <v>1757</v>
      </c>
      <c r="C1782" t="s">
        <v>5126</v>
      </c>
    </row>
    <row r="1783" spans="1:3" x14ac:dyDescent="0.25">
      <c r="A1783">
        <v>1782</v>
      </c>
      <c r="B1783" t="s">
        <v>1977</v>
      </c>
      <c r="C1783" t="s">
        <v>5127</v>
      </c>
    </row>
    <row r="1784" spans="1:3" x14ac:dyDescent="0.25">
      <c r="A1784">
        <v>1783</v>
      </c>
      <c r="B1784" t="s">
        <v>1559</v>
      </c>
      <c r="C1784" t="s">
        <v>5128</v>
      </c>
    </row>
    <row r="1785" spans="1:3" x14ac:dyDescent="0.25">
      <c r="A1785">
        <v>1784</v>
      </c>
      <c r="B1785" t="s">
        <v>190</v>
      </c>
      <c r="C1785" t="s">
        <v>5129</v>
      </c>
    </row>
    <row r="1786" spans="1:3" x14ac:dyDescent="0.25">
      <c r="A1786">
        <v>1785</v>
      </c>
      <c r="B1786" t="s">
        <v>1815</v>
      </c>
      <c r="C1786" t="s">
        <v>5130</v>
      </c>
    </row>
    <row r="1787" spans="1:3" x14ac:dyDescent="0.25">
      <c r="A1787">
        <v>1786</v>
      </c>
      <c r="B1787" t="s">
        <v>847</v>
      </c>
      <c r="C1787" t="s">
        <v>5131</v>
      </c>
    </row>
    <row r="1788" spans="1:3" x14ac:dyDescent="0.25">
      <c r="A1788">
        <v>1787</v>
      </c>
      <c r="B1788" t="s">
        <v>456</v>
      </c>
      <c r="C1788" t="s">
        <v>5132</v>
      </c>
    </row>
    <row r="1789" spans="1:3" x14ac:dyDescent="0.25">
      <c r="A1789">
        <v>1788</v>
      </c>
      <c r="B1789" t="s">
        <v>5133</v>
      </c>
      <c r="C1789" t="s">
        <v>5134</v>
      </c>
    </row>
    <row r="1790" spans="1:3" x14ac:dyDescent="0.25">
      <c r="A1790">
        <v>1789</v>
      </c>
      <c r="B1790" t="s">
        <v>376</v>
      </c>
      <c r="C1790" t="s">
        <v>5135</v>
      </c>
    </row>
    <row r="1791" spans="1:3" x14ac:dyDescent="0.25">
      <c r="A1791">
        <v>1790</v>
      </c>
      <c r="B1791" t="s">
        <v>188</v>
      </c>
      <c r="C1791" t="s">
        <v>5136</v>
      </c>
    </row>
    <row r="1792" spans="1:3" x14ac:dyDescent="0.25">
      <c r="A1792">
        <v>1791</v>
      </c>
      <c r="B1792" t="s">
        <v>249</v>
      </c>
      <c r="C1792" t="s">
        <v>5137</v>
      </c>
    </row>
    <row r="1793" spans="1:3" x14ac:dyDescent="0.25">
      <c r="A1793">
        <v>1792</v>
      </c>
      <c r="B1793" t="s">
        <v>5138</v>
      </c>
      <c r="C1793" t="s">
        <v>5139</v>
      </c>
    </row>
    <row r="1794" spans="1:3" x14ac:dyDescent="0.25">
      <c r="A1794">
        <v>1793</v>
      </c>
      <c r="B1794" t="s">
        <v>5140</v>
      </c>
      <c r="C1794" t="s">
        <v>5141</v>
      </c>
    </row>
    <row r="1795" spans="1:3" x14ac:dyDescent="0.25">
      <c r="A1795">
        <v>1794</v>
      </c>
      <c r="B1795" t="s">
        <v>959</v>
      </c>
      <c r="C1795" t="s">
        <v>5142</v>
      </c>
    </row>
    <row r="1796" spans="1:3" x14ac:dyDescent="0.25">
      <c r="A1796">
        <v>1795</v>
      </c>
      <c r="B1796" t="s">
        <v>1870</v>
      </c>
      <c r="C1796" t="s">
        <v>5143</v>
      </c>
    </row>
    <row r="1797" spans="1:3" x14ac:dyDescent="0.25">
      <c r="A1797">
        <v>1796</v>
      </c>
      <c r="B1797" t="s">
        <v>1795</v>
      </c>
      <c r="C1797" t="s">
        <v>5144</v>
      </c>
    </row>
    <row r="1798" spans="1:3" x14ac:dyDescent="0.25">
      <c r="A1798">
        <v>1797</v>
      </c>
      <c r="B1798" t="s">
        <v>1093</v>
      </c>
      <c r="C1798" t="s">
        <v>5145</v>
      </c>
    </row>
    <row r="1799" spans="1:3" x14ac:dyDescent="0.25">
      <c r="A1799">
        <v>1798</v>
      </c>
      <c r="B1799" t="s">
        <v>5146</v>
      </c>
      <c r="C1799" t="s">
        <v>5147</v>
      </c>
    </row>
    <row r="1800" spans="1:3" x14ac:dyDescent="0.25">
      <c r="A1800">
        <v>1799</v>
      </c>
      <c r="B1800" t="s">
        <v>1916</v>
      </c>
      <c r="C1800" t="s">
        <v>5148</v>
      </c>
    </row>
    <row r="1801" spans="1:3" x14ac:dyDescent="0.25">
      <c r="A1801">
        <v>1800</v>
      </c>
      <c r="B1801" t="s">
        <v>5149</v>
      </c>
      <c r="C1801" t="s">
        <v>5150</v>
      </c>
    </row>
    <row r="1802" spans="1:3" x14ac:dyDescent="0.25">
      <c r="A1802">
        <v>1801</v>
      </c>
      <c r="B1802" t="s">
        <v>5151</v>
      </c>
      <c r="C1802" t="s">
        <v>5152</v>
      </c>
    </row>
    <row r="1803" spans="1:3" x14ac:dyDescent="0.25">
      <c r="A1803">
        <v>1802</v>
      </c>
      <c r="B1803" t="s">
        <v>5153</v>
      </c>
      <c r="C1803" t="s">
        <v>5154</v>
      </c>
    </row>
    <row r="1804" spans="1:3" x14ac:dyDescent="0.25">
      <c r="A1804">
        <v>1803</v>
      </c>
      <c r="B1804" t="s">
        <v>470</v>
      </c>
      <c r="C1804" t="s">
        <v>5155</v>
      </c>
    </row>
    <row r="1805" spans="1:3" x14ac:dyDescent="0.25">
      <c r="A1805">
        <v>1804</v>
      </c>
      <c r="B1805" t="s">
        <v>318</v>
      </c>
      <c r="C1805" t="s">
        <v>5156</v>
      </c>
    </row>
    <row r="1806" spans="1:3" x14ac:dyDescent="0.25">
      <c r="A1806">
        <v>1805</v>
      </c>
      <c r="B1806" t="s">
        <v>1212</v>
      </c>
      <c r="C1806" t="s">
        <v>5157</v>
      </c>
    </row>
    <row r="1807" spans="1:3" x14ac:dyDescent="0.25">
      <c r="A1807">
        <v>1806</v>
      </c>
      <c r="B1807" t="s">
        <v>5158</v>
      </c>
      <c r="C1807" t="s">
        <v>5159</v>
      </c>
    </row>
    <row r="1808" spans="1:3" x14ac:dyDescent="0.25">
      <c r="A1808">
        <v>1807</v>
      </c>
      <c r="B1808" t="s">
        <v>1906</v>
      </c>
      <c r="C1808" t="s">
        <v>5160</v>
      </c>
    </row>
    <row r="1809" spans="1:3" x14ac:dyDescent="0.25">
      <c r="A1809">
        <v>1808</v>
      </c>
      <c r="B1809" t="s">
        <v>5161</v>
      </c>
      <c r="C1809" t="s">
        <v>5162</v>
      </c>
    </row>
    <row r="1810" spans="1:3" x14ac:dyDescent="0.25">
      <c r="A1810">
        <v>1809</v>
      </c>
      <c r="B1810" t="s">
        <v>5163</v>
      </c>
      <c r="C1810" t="s">
        <v>5164</v>
      </c>
    </row>
    <row r="1811" spans="1:3" x14ac:dyDescent="0.25">
      <c r="A1811">
        <v>1810</v>
      </c>
      <c r="B1811" t="s">
        <v>5165</v>
      </c>
      <c r="C1811" t="s">
        <v>5166</v>
      </c>
    </row>
    <row r="1812" spans="1:3" x14ac:dyDescent="0.25">
      <c r="A1812">
        <v>1811</v>
      </c>
      <c r="B1812" t="s">
        <v>5167</v>
      </c>
      <c r="C1812" t="s">
        <v>5168</v>
      </c>
    </row>
    <row r="1813" spans="1:3" x14ac:dyDescent="0.25">
      <c r="A1813">
        <v>1812</v>
      </c>
      <c r="B1813" t="s">
        <v>5169</v>
      </c>
      <c r="C1813" t="s">
        <v>5170</v>
      </c>
    </row>
    <row r="1814" spans="1:3" x14ac:dyDescent="0.25">
      <c r="A1814">
        <v>1813</v>
      </c>
      <c r="B1814" t="s">
        <v>1105</v>
      </c>
      <c r="C1814" t="s">
        <v>5171</v>
      </c>
    </row>
    <row r="1815" spans="1:3" x14ac:dyDescent="0.25">
      <c r="A1815">
        <v>1814</v>
      </c>
      <c r="B1815" t="s">
        <v>126</v>
      </c>
      <c r="C1815" t="s">
        <v>5172</v>
      </c>
    </row>
    <row r="1816" spans="1:3" x14ac:dyDescent="0.25">
      <c r="A1816">
        <v>1815</v>
      </c>
      <c r="B1816" t="s">
        <v>5173</v>
      </c>
      <c r="C1816" t="s">
        <v>5174</v>
      </c>
    </row>
    <row r="1817" spans="1:3" x14ac:dyDescent="0.25">
      <c r="A1817">
        <v>1816</v>
      </c>
      <c r="B1817" t="s">
        <v>38</v>
      </c>
      <c r="C1817" t="s">
        <v>5175</v>
      </c>
    </row>
    <row r="1818" spans="1:3" x14ac:dyDescent="0.25">
      <c r="A1818">
        <v>1817</v>
      </c>
      <c r="B1818" t="s">
        <v>5176</v>
      </c>
      <c r="C1818" t="s">
        <v>5177</v>
      </c>
    </row>
    <row r="1819" spans="1:3" x14ac:dyDescent="0.25">
      <c r="A1819">
        <v>1818</v>
      </c>
      <c r="B1819" t="s">
        <v>5178</v>
      </c>
      <c r="C1819" t="s">
        <v>5179</v>
      </c>
    </row>
    <row r="1820" spans="1:3" x14ac:dyDescent="0.25">
      <c r="A1820">
        <v>1819</v>
      </c>
      <c r="B1820" t="s">
        <v>1009</v>
      </c>
      <c r="C1820" t="s">
        <v>5180</v>
      </c>
    </row>
    <row r="1821" spans="1:3" x14ac:dyDescent="0.25">
      <c r="A1821">
        <v>1820</v>
      </c>
      <c r="B1821" t="s">
        <v>5181</v>
      </c>
      <c r="C1821" t="s">
        <v>5182</v>
      </c>
    </row>
    <row r="1822" spans="1:3" x14ac:dyDescent="0.25">
      <c r="A1822">
        <v>1821</v>
      </c>
      <c r="B1822" t="s">
        <v>198</v>
      </c>
      <c r="C1822" t="s">
        <v>5183</v>
      </c>
    </row>
    <row r="1823" spans="1:3" x14ac:dyDescent="0.25">
      <c r="A1823">
        <v>1822</v>
      </c>
      <c r="B1823" t="s">
        <v>1581</v>
      </c>
      <c r="C1823" t="s">
        <v>5184</v>
      </c>
    </row>
    <row r="1824" spans="1:3" x14ac:dyDescent="0.25">
      <c r="A1824">
        <v>1823</v>
      </c>
      <c r="B1824" t="s">
        <v>5185</v>
      </c>
      <c r="C1824" t="s">
        <v>5186</v>
      </c>
    </row>
    <row r="1825" spans="1:3" x14ac:dyDescent="0.25">
      <c r="A1825">
        <v>1824</v>
      </c>
      <c r="B1825" t="s">
        <v>5187</v>
      </c>
      <c r="C1825" t="s">
        <v>5188</v>
      </c>
    </row>
    <row r="1826" spans="1:3" x14ac:dyDescent="0.25">
      <c r="A1826">
        <v>1825</v>
      </c>
      <c r="B1826" t="s">
        <v>340</v>
      </c>
      <c r="C1826" t="s">
        <v>5189</v>
      </c>
    </row>
    <row r="1827" spans="1:3" x14ac:dyDescent="0.25">
      <c r="A1827">
        <v>1826</v>
      </c>
      <c r="B1827" t="s">
        <v>269</v>
      </c>
      <c r="C1827" t="s">
        <v>5190</v>
      </c>
    </row>
    <row r="1828" spans="1:3" x14ac:dyDescent="0.25">
      <c r="A1828">
        <v>1827</v>
      </c>
      <c r="B1828" t="s">
        <v>5191</v>
      </c>
      <c r="C1828" t="s">
        <v>5192</v>
      </c>
    </row>
    <row r="1829" spans="1:3" x14ac:dyDescent="0.25">
      <c r="A1829">
        <v>1828</v>
      </c>
      <c r="B1829" t="s">
        <v>5193</v>
      </c>
      <c r="C1829" t="s">
        <v>5194</v>
      </c>
    </row>
    <row r="1830" spans="1:3" x14ac:dyDescent="0.25">
      <c r="A1830">
        <v>1829</v>
      </c>
      <c r="B1830" t="s">
        <v>5195</v>
      </c>
      <c r="C1830" t="s">
        <v>5196</v>
      </c>
    </row>
    <row r="1831" spans="1:3" x14ac:dyDescent="0.25">
      <c r="A1831">
        <v>1830</v>
      </c>
      <c r="B1831" t="s">
        <v>5197</v>
      </c>
      <c r="C1831" t="s">
        <v>5198</v>
      </c>
    </row>
    <row r="1832" spans="1:3" x14ac:dyDescent="0.25">
      <c r="A1832">
        <v>1831</v>
      </c>
      <c r="B1832" t="s">
        <v>134</v>
      </c>
      <c r="C1832" t="s">
        <v>5199</v>
      </c>
    </row>
    <row r="1833" spans="1:3" x14ac:dyDescent="0.25">
      <c r="A1833">
        <v>1832</v>
      </c>
      <c r="B1833" t="s">
        <v>1535</v>
      </c>
      <c r="C1833" t="s">
        <v>5200</v>
      </c>
    </row>
    <row r="1834" spans="1:3" x14ac:dyDescent="0.25">
      <c r="A1834">
        <v>1833</v>
      </c>
      <c r="B1834" t="s">
        <v>225</v>
      </c>
      <c r="C1834" t="s">
        <v>5201</v>
      </c>
    </row>
    <row r="1835" spans="1:3" x14ac:dyDescent="0.25">
      <c r="A1835">
        <v>1834</v>
      </c>
      <c r="B1835" t="s">
        <v>277</v>
      </c>
      <c r="C1835" t="s">
        <v>5202</v>
      </c>
    </row>
    <row r="1836" spans="1:3" x14ac:dyDescent="0.25">
      <c r="A1836">
        <v>1835</v>
      </c>
      <c r="B1836" t="s">
        <v>1572</v>
      </c>
      <c r="C1836" t="s">
        <v>5203</v>
      </c>
    </row>
    <row r="1837" spans="1:3" x14ac:dyDescent="0.25">
      <c r="A1837">
        <v>1836</v>
      </c>
      <c r="B1837" t="s">
        <v>200</v>
      </c>
      <c r="C1837" t="s">
        <v>5204</v>
      </c>
    </row>
    <row r="1838" spans="1:3" x14ac:dyDescent="0.25">
      <c r="A1838">
        <v>1837</v>
      </c>
      <c r="B1838" t="s">
        <v>881</v>
      </c>
      <c r="C1838" t="s">
        <v>5205</v>
      </c>
    </row>
    <row r="1839" spans="1:3" x14ac:dyDescent="0.25">
      <c r="A1839">
        <v>1838</v>
      </c>
      <c r="B1839" t="s">
        <v>1970</v>
      </c>
      <c r="C1839" t="s">
        <v>5206</v>
      </c>
    </row>
    <row r="1840" spans="1:3" x14ac:dyDescent="0.25">
      <c r="A1840">
        <v>1839</v>
      </c>
      <c r="B1840" t="s">
        <v>5207</v>
      </c>
      <c r="C1840" t="s">
        <v>5208</v>
      </c>
    </row>
    <row r="1841" spans="1:3" x14ac:dyDescent="0.25">
      <c r="A1841">
        <v>1840</v>
      </c>
      <c r="B1841" t="s">
        <v>817</v>
      </c>
      <c r="C1841" t="s">
        <v>5209</v>
      </c>
    </row>
    <row r="1842" spans="1:3" x14ac:dyDescent="0.25">
      <c r="A1842">
        <v>1841</v>
      </c>
      <c r="B1842" t="s">
        <v>5210</v>
      </c>
      <c r="C1842" t="s">
        <v>5211</v>
      </c>
    </row>
    <row r="1843" spans="1:3" x14ac:dyDescent="0.25">
      <c r="A1843">
        <v>1842</v>
      </c>
      <c r="B1843" t="s">
        <v>5212</v>
      </c>
      <c r="C1843" t="s">
        <v>5213</v>
      </c>
    </row>
    <row r="1844" spans="1:3" x14ac:dyDescent="0.25">
      <c r="A1844">
        <v>1843</v>
      </c>
      <c r="B1844" t="s">
        <v>58</v>
      </c>
      <c r="C1844" t="s">
        <v>5214</v>
      </c>
    </row>
    <row r="1845" spans="1:3" x14ac:dyDescent="0.25">
      <c r="A1845">
        <v>1844</v>
      </c>
      <c r="B1845" t="s">
        <v>5215</v>
      </c>
      <c r="C1845" t="s">
        <v>5216</v>
      </c>
    </row>
    <row r="1846" spans="1:3" x14ac:dyDescent="0.25">
      <c r="A1846">
        <v>1845</v>
      </c>
      <c r="B1846" t="s">
        <v>5217</v>
      </c>
      <c r="C1846" t="s">
        <v>5218</v>
      </c>
    </row>
    <row r="1847" spans="1:3" x14ac:dyDescent="0.25">
      <c r="A1847">
        <v>1846</v>
      </c>
      <c r="B1847" t="s">
        <v>5219</v>
      </c>
      <c r="C1847" t="s">
        <v>5220</v>
      </c>
    </row>
    <row r="1848" spans="1:3" x14ac:dyDescent="0.25">
      <c r="A1848">
        <v>1847</v>
      </c>
      <c r="B1848" t="s">
        <v>5221</v>
      </c>
      <c r="C1848" t="s">
        <v>5222</v>
      </c>
    </row>
    <row r="1849" spans="1:3" x14ac:dyDescent="0.25">
      <c r="A1849">
        <v>1848</v>
      </c>
      <c r="B1849" t="s">
        <v>5223</v>
      </c>
      <c r="C1849" t="s">
        <v>5224</v>
      </c>
    </row>
    <row r="1850" spans="1:3" x14ac:dyDescent="0.25">
      <c r="A1850">
        <v>1849</v>
      </c>
      <c r="B1850" t="s">
        <v>1124</v>
      </c>
      <c r="C1850" t="s">
        <v>5225</v>
      </c>
    </row>
    <row r="1851" spans="1:3" x14ac:dyDescent="0.25">
      <c r="A1851">
        <v>1850</v>
      </c>
      <c r="B1851" t="s">
        <v>588</v>
      </c>
      <c r="C1851" t="s">
        <v>5226</v>
      </c>
    </row>
    <row r="1852" spans="1:3" x14ac:dyDescent="0.25">
      <c r="A1852">
        <v>1851</v>
      </c>
      <c r="B1852" t="s">
        <v>5227</v>
      </c>
      <c r="C1852" t="s">
        <v>5228</v>
      </c>
    </row>
    <row r="1853" spans="1:3" x14ac:dyDescent="0.25">
      <c r="A1853">
        <v>1852</v>
      </c>
      <c r="B1853" t="s">
        <v>5229</v>
      </c>
      <c r="C1853" t="s">
        <v>5230</v>
      </c>
    </row>
    <row r="1854" spans="1:3" x14ac:dyDescent="0.25">
      <c r="A1854">
        <v>1853</v>
      </c>
      <c r="B1854" t="s">
        <v>1095</v>
      </c>
      <c r="C1854" t="s">
        <v>5231</v>
      </c>
    </row>
    <row r="1855" spans="1:3" x14ac:dyDescent="0.25">
      <c r="A1855">
        <v>1854</v>
      </c>
      <c r="B1855" t="s">
        <v>1814</v>
      </c>
      <c r="C1855" t="s">
        <v>5232</v>
      </c>
    </row>
    <row r="1856" spans="1:3" x14ac:dyDescent="0.25">
      <c r="A1856">
        <v>1855</v>
      </c>
      <c r="B1856" t="s">
        <v>314</v>
      </c>
      <c r="C1856" t="s">
        <v>5233</v>
      </c>
    </row>
    <row r="1857" spans="1:3" x14ac:dyDescent="0.25">
      <c r="A1857">
        <v>1856</v>
      </c>
      <c r="B1857" t="s">
        <v>1113</v>
      </c>
      <c r="C1857" t="s">
        <v>5234</v>
      </c>
    </row>
    <row r="1858" spans="1:3" x14ac:dyDescent="0.25">
      <c r="A1858">
        <v>1857</v>
      </c>
      <c r="B1858" t="s">
        <v>1434</v>
      </c>
      <c r="C1858" t="s">
        <v>5235</v>
      </c>
    </row>
    <row r="1859" spans="1:3" x14ac:dyDescent="0.25">
      <c r="A1859">
        <v>1858</v>
      </c>
      <c r="B1859" t="s">
        <v>1206</v>
      </c>
      <c r="C1859" t="s">
        <v>5236</v>
      </c>
    </row>
    <row r="1860" spans="1:3" x14ac:dyDescent="0.25">
      <c r="A1860">
        <v>1859</v>
      </c>
      <c r="B1860" t="s">
        <v>859</v>
      </c>
      <c r="C1860" t="s">
        <v>5237</v>
      </c>
    </row>
    <row r="1861" spans="1:3" x14ac:dyDescent="0.25">
      <c r="A1861">
        <v>1860</v>
      </c>
      <c r="B1861" t="s">
        <v>902</v>
      </c>
      <c r="C1861" t="s">
        <v>5238</v>
      </c>
    </row>
    <row r="1862" spans="1:3" x14ac:dyDescent="0.25">
      <c r="A1862">
        <v>1861</v>
      </c>
      <c r="B1862" t="s">
        <v>5239</v>
      </c>
      <c r="C1862" t="s">
        <v>5240</v>
      </c>
    </row>
    <row r="1863" spans="1:3" x14ac:dyDescent="0.25">
      <c r="A1863">
        <v>1862</v>
      </c>
      <c r="B1863" t="s">
        <v>6</v>
      </c>
      <c r="C1863" t="s">
        <v>5241</v>
      </c>
    </row>
    <row r="1864" spans="1:3" x14ac:dyDescent="0.25">
      <c r="A1864">
        <v>1863</v>
      </c>
      <c r="B1864" t="s">
        <v>1839</v>
      </c>
      <c r="C1864" t="s">
        <v>5242</v>
      </c>
    </row>
    <row r="1865" spans="1:3" x14ac:dyDescent="0.25">
      <c r="A1865">
        <v>1864</v>
      </c>
      <c r="B1865" t="s">
        <v>5243</v>
      </c>
      <c r="C1865" t="s">
        <v>5244</v>
      </c>
    </row>
    <row r="1866" spans="1:3" x14ac:dyDescent="0.25">
      <c r="A1866">
        <v>1865</v>
      </c>
      <c r="B1866" t="s">
        <v>741</v>
      </c>
      <c r="C1866" t="s">
        <v>5245</v>
      </c>
    </row>
    <row r="1867" spans="1:3" x14ac:dyDescent="0.25">
      <c r="A1867">
        <v>1866</v>
      </c>
      <c r="B1867" t="s">
        <v>5246</v>
      </c>
      <c r="C1867" t="s">
        <v>5247</v>
      </c>
    </row>
    <row r="1868" spans="1:3" x14ac:dyDescent="0.25">
      <c r="A1868">
        <v>1867</v>
      </c>
      <c r="B1868" t="s">
        <v>1824</v>
      </c>
      <c r="C1868" t="s">
        <v>5248</v>
      </c>
    </row>
    <row r="1869" spans="1:3" x14ac:dyDescent="0.25">
      <c r="A1869">
        <v>1868</v>
      </c>
      <c r="B1869" t="s">
        <v>1808</v>
      </c>
      <c r="C1869" t="s">
        <v>5249</v>
      </c>
    </row>
    <row r="1870" spans="1:3" x14ac:dyDescent="0.25">
      <c r="A1870">
        <v>1869</v>
      </c>
      <c r="B1870" t="s">
        <v>961</v>
      </c>
      <c r="C1870" t="s">
        <v>5250</v>
      </c>
    </row>
    <row r="1871" spans="1:3" x14ac:dyDescent="0.25">
      <c r="A1871">
        <v>1870</v>
      </c>
      <c r="B1871" t="s">
        <v>475</v>
      </c>
      <c r="C1871" t="s">
        <v>5251</v>
      </c>
    </row>
    <row r="1872" spans="1:3" x14ac:dyDescent="0.25">
      <c r="A1872">
        <v>1871</v>
      </c>
      <c r="B1872" t="s">
        <v>5252</v>
      </c>
      <c r="C1872" t="s">
        <v>5253</v>
      </c>
    </row>
    <row r="1873" spans="1:3" x14ac:dyDescent="0.25">
      <c r="A1873">
        <v>1872</v>
      </c>
      <c r="B1873" t="s">
        <v>5254</v>
      </c>
      <c r="C1873" t="s">
        <v>5255</v>
      </c>
    </row>
    <row r="1874" spans="1:3" x14ac:dyDescent="0.25">
      <c r="A1874">
        <v>1873</v>
      </c>
      <c r="B1874" t="s">
        <v>811</v>
      </c>
      <c r="C1874" t="s">
        <v>5256</v>
      </c>
    </row>
    <row r="1875" spans="1:3" x14ac:dyDescent="0.25">
      <c r="A1875">
        <v>1874</v>
      </c>
      <c r="B1875" t="s">
        <v>5257</v>
      </c>
      <c r="C1875" t="s">
        <v>5258</v>
      </c>
    </row>
    <row r="1876" spans="1:3" x14ac:dyDescent="0.25">
      <c r="A1876">
        <v>1875</v>
      </c>
      <c r="B1876" t="s">
        <v>986</v>
      </c>
      <c r="C1876" t="s">
        <v>5259</v>
      </c>
    </row>
    <row r="1877" spans="1:3" x14ac:dyDescent="0.25">
      <c r="A1877">
        <v>1876</v>
      </c>
      <c r="B1877" t="s">
        <v>5260</v>
      </c>
      <c r="C1877" t="s">
        <v>5261</v>
      </c>
    </row>
    <row r="1878" spans="1:3" x14ac:dyDescent="0.25">
      <c r="A1878">
        <v>1877</v>
      </c>
      <c r="B1878" t="s">
        <v>1271</v>
      </c>
      <c r="C1878" t="s">
        <v>5262</v>
      </c>
    </row>
    <row r="1879" spans="1:3" x14ac:dyDescent="0.25">
      <c r="A1879">
        <v>1878</v>
      </c>
      <c r="B1879" t="s">
        <v>1114</v>
      </c>
      <c r="C1879" t="s">
        <v>5263</v>
      </c>
    </row>
    <row r="1880" spans="1:3" x14ac:dyDescent="0.25">
      <c r="A1880">
        <v>1879</v>
      </c>
      <c r="B1880" t="s">
        <v>5264</v>
      </c>
      <c r="C1880" t="s">
        <v>5265</v>
      </c>
    </row>
    <row r="1881" spans="1:3" x14ac:dyDescent="0.25">
      <c r="A1881">
        <v>1880</v>
      </c>
      <c r="B1881" t="s">
        <v>224</v>
      </c>
      <c r="C1881" t="s">
        <v>5266</v>
      </c>
    </row>
    <row r="1882" spans="1:3" x14ac:dyDescent="0.25">
      <c r="A1882">
        <v>1881</v>
      </c>
      <c r="B1882" t="s">
        <v>5267</v>
      </c>
      <c r="C1882" t="s">
        <v>5268</v>
      </c>
    </row>
    <row r="1883" spans="1:3" x14ac:dyDescent="0.25">
      <c r="A1883">
        <v>1882</v>
      </c>
      <c r="B1883" t="s">
        <v>1902</v>
      </c>
      <c r="C1883" t="s">
        <v>5269</v>
      </c>
    </row>
    <row r="1884" spans="1:3" x14ac:dyDescent="0.25">
      <c r="A1884">
        <v>1883</v>
      </c>
      <c r="B1884" t="s">
        <v>5270</v>
      </c>
      <c r="C1884" t="s">
        <v>5271</v>
      </c>
    </row>
    <row r="1885" spans="1:3" x14ac:dyDescent="0.25">
      <c r="A1885">
        <v>1884</v>
      </c>
      <c r="B1885" t="s">
        <v>400</v>
      </c>
      <c r="C1885" t="s">
        <v>5272</v>
      </c>
    </row>
    <row r="1886" spans="1:3" x14ac:dyDescent="0.25">
      <c r="A1886">
        <v>1885</v>
      </c>
      <c r="B1886" t="s">
        <v>5273</v>
      </c>
      <c r="C1886" t="s">
        <v>5274</v>
      </c>
    </row>
    <row r="1887" spans="1:3" x14ac:dyDescent="0.25">
      <c r="A1887">
        <v>1886</v>
      </c>
      <c r="B1887" t="s">
        <v>5275</v>
      </c>
      <c r="C1887" t="s">
        <v>5276</v>
      </c>
    </row>
    <row r="1888" spans="1:3" x14ac:dyDescent="0.25">
      <c r="A1888">
        <v>1887</v>
      </c>
      <c r="B1888" t="s">
        <v>1871</v>
      </c>
      <c r="C1888" t="s">
        <v>5277</v>
      </c>
    </row>
    <row r="1889" spans="1:3" x14ac:dyDescent="0.25">
      <c r="A1889">
        <v>1888</v>
      </c>
      <c r="B1889" t="s">
        <v>72</v>
      </c>
      <c r="C1889" t="s">
        <v>5278</v>
      </c>
    </row>
    <row r="1890" spans="1:3" x14ac:dyDescent="0.25">
      <c r="A1890">
        <v>1889</v>
      </c>
      <c r="B1890" t="s">
        <v>1825</v>
      </c>
      <c r="C1890" t="s">
        <v>5279</v>
      </c>
    </row>
    <row r="1891" spans="1:3" x14ac:dyDescent="0.25">
      <c r="A1891">
        <v>1890</v>
      </c>
      <c r="B1891" t="s">
        <v>5280</v>
      </c>
      <c r="C1891" t="s">
        <v>5281</v>
      </c>
    </row>
    <row r="1892" spans="1:3" x14ac:dyDescent="0.25">
      <c r="A1892">
        <v>1891</v>
      </c>
      <c r="B1892" t="s">
        <v>5282</v>
      </c>
      <c r="C1892" t="s">
        <v>5283</v>
      </c>
    </row>
    <row r="1893" spans="1:3" x14ac:dyDescent="0.25">
      <c r="A1893">
        <v>1892</v>
      </c>
      <c r="B1893" t="s">
        <v>5284</v>
      </c>
      <c r="C1893" t="s">
        <v>5285</v>
      </c>
    </row>
    <row r="1894" spans="1:3" x14ac:dyDescent="0.25">
      <c r="A1894">
        <v>1893</v>
      </c>
      <c r="B1894" t="s">
        <v>75</v>
      </c>
      <c r="C1894" t="s">
        <v>5286</v>
      </c>
    </row>
    <row r="1895" spans="1:3" x14ac:dyDescent="0.25">
      <c r="A1895">
        <v>1894</v>
      </c>
      <c r="B1895" t="s">
        <v>5287</v>
      </c>
      <c r="C1895" t="s">
        <v>5288</v>
      </c>
    </row>
    <row r="1896" spans="1:3" x14ac:dyDescent="0.25">
      <c r="A1896">
        <v>1895</v>
      </c>
      <c r="B1896" t="s">
        <v>2286</v>
      </c>
      <c r="C1896" t="s">
        <v>5289</v>
      </c>
    </row>
    <row r="1897" spans="1:3" x14ac:dyDescent="0.25">
      <c r="A1897">
        <v>1896</v>
      </c>
      <c r="B1897" t="s">
        <v>1688</v>
      </c>
      <c r="C1897" t="s">
        <v>5290</v>
      </c>
    </row>
    <row r="1898" spans="1:3" x14ac:dyDescent="0.25">
      <c r="A1898">
        <v>1897</v>
      </c>
      <c r="B1898" t="s">
        <v>757</v>
      </c>
      <c r="C1898" t="s">
        <v>5291</v>
      </c>
    </row>
    <row r="1899" spans="1:3" x14ac:dyDescent="0.25">
      <c r="A1899">
        <v>1898</v>
      </c>
      <c r="B1899" t="s">
        <v>5292</v>
      </c>
      <c r="C1899" t="s">
        <v>5293</v>
      </c>
    </row>
    <row r="1900" spans="1:3" x14ac:dyDescent="0.25">
      <c r="A1900">
        <v>1899</v>
      </c>
      <c r="B1900" t="s">
        <v>1578</v>
      </c>
      <c r="C1900" t="s">
        <v>5294</v>
      </c>
    </row>
    <row r="1901" spans="1:3" x14ac:dyDescent="0.25">
      <c r="A1901">
        <v>1900</v>
      </c>
      <c r="B1901" t="s">
        <v>5295</v>
      </c>
      <c r="C1901" t="s">
        <v>5296</v>
      </c>
    </row>
    <row r="1902" spans="1:3" x14ac:dyDescent="0.25">
      <c r="A1902">
        <v>1901</v>
      </c>
      <c r="B1902" t="s">
        <v>5297</v>
      </c>
      <c r="C1902" t="s">
        <v>5298</v>
      </c>
    </row>
    <row r="1903" spans="1:3" x14ac:dyDescent="0.25">
      <c r="A1903">
        <v>1902</v>
      </c>
      <c r="B1903" t="s">
        <v>851</v>
      </c>
      <c r="C1903" t="s">
        <v>5299</v>
      </c>
    </row>
    <row r="1904" spans="1:3" x14ac:dyDescent="0.25">
      <c r="A1904">
        <v>1903</v>
      </c>
      <c r="B1904" t="s">
        <v>5300</v>
      </c>
      <c r="C1904" t="s">
        <v>5301</v>
      </c>
    </row>
    <row r="1905" spans="1:3" x14ac:dyDescent="0.25">
      <c r="A1905">
        <v>1904</v>
      </c>
      <c r="B1905" t="s">
        <v>733</v>
      </c>
      <c r="C1905" t="s">
        <v>5302</v>
      </c>
    </row>
    <row r="1906" spans="1:3" x14ac:dyDescent="0.25">
      <c r="A1906">
        <v>1905</v>
      </c>
      <c r="B1906" t="s">
        <v>538</v>
      </c>
      <c r="C1906" t="s">
        <v>5303</v>
      </c>
    </row>
    <row r="1907" spans="1:3" x14ac:dyDescent="0.25">
      <c r="A1907">
        <v>1906</v>
      </c>
      <c r="B1907" t="s">
        <v>1803</v>
      </c>
      <c r="C1907" t="s">
        <v>5304</v>
      </c>
    </row>
    <row r="1908" spans="1:3" x14ac:dyDescent="0.25">
      <c r="A1908">
        <v>1907</v>
      </c>
      <c r="B1908" t="s">
        <v>904</v>
      </c>
      <c r="C1908" t="s">
        <v>5305</v>
      </c>
    </row>
    <row r="1909" spans="1:3" x14ac:dyDescent="0.25">
      <c r="A1909">
        <v>1908</v>
      </c>
      <c r="B1909" t="s">
        <v>1536</v>
      </c>
      <c r="C1909" t="s">
        <v>5306</v>
      </c>
    </row>
    <row r="1910" spans="1:3" x14ac:dyDescent="0.25">
      <c r="A1910">
        <v>1909</v>
      </c>
      <c r="B1910" t="s">
        <v>5307</v>
      </c>
      <c r="C1910" t="s">
        <v>5308</v>
      </c>
    </row>
    <row r="1911" spans="1:3" x14ac:dyDescent="0.25">
      <c r="A1911">
        <v>1910</v>
      </c>
      <c r="B1911" t="s">
        <v>1819</v>
      </c>
      <c r="C1911" t="s">
        <v>5309</v>
      </c>
    </row>
    <row r="1912" spans="1:3" x14ac:dyDescent="0.25">
      <c r="A1912">
        <v>1911</v>
      </c>
      <c r="B1912" t="s">
        <v>5310</v>
      </c>
      <c r="C1912" t="s">
        <v>5311</v>
      </c>
    </row>
    <row r="1913" spans="1:3" x14ac:dyDescent="0.25">
      <c r="A1913">
        <v>1912</v>
      </c>
      <c r="B1913" t="s">
        <v>183</v>
      </c>
      <c r="C1913" t="s">
        <v>5312</v>
      </c>
    </row>
    <row r="1914" spans="1:3" x14ac:dyDescent="0.25">
      <c r="A1914">
        <v>1913</v>
      </c>
      <c r="B1914" t="s">
        <v>5313</v>
      </c>
      <c r="C1914" t="s">
        <v>5314</v>
      </c>
    </row>
    <row r="1915" spans="1:3" x14ac:dyDescent="0.25">
      <c r="A1915">
        <v>1914</v>
      </c>
      <c r="B1915" t="s">
        <v>42</v>
      </c>
      <c r="C1915" t="s">
        <v>5315</v>
      </c>
    </row>
    <row r="1916" spans="1:3" x14ac:dyDescent="0.25">
      <c r="A1916">
        <v>1915</v>
      </c>
      <c r="B1916" t="s">
        <v>229</v>
      </c>
      <c r="C1916" t="s">
        <v>5316</v>
      </c>
    </row>
    <row r="1917" spans="1:3" x14ac:dyDescent="0.25">
      <c r="A1917">
        <v>1916</v>
      </c>
      <c r="B1917" t="s">
        <v>861</v>
      </c>
      <c r="C1917" t="s">
        <v>5317</v>
      </c>
    </row>
    <row r="1918" spans="1:3" x14ac:dyDescent="0.25">
      <c r="A1918">
        <v>1917</v>
      </c>
      <c r="B1918" t="s">
        <v>5318</v>
      </c>
      <c r="C1918" t="s">
        <v>5319</v>
      </c>
    </row>
    <row r="1919" spans="1:3" x14ac:dyDescent="0.25">
      <c r="A1919">
        <v>1918</v>
      </c>
      <c r="B1919" t="s">
        <v>5320</v>
      </c>
      <c r="C1919" t="s">
        <v>5321</v>
      </c>
    </row>
    <row r="1920" spans="1:3" x14ac:dyDescent="0.25">
      <c r="A1920">
        <v>1919</v>
      </c>
      <c r="B1920" t="s">
        <v>5322</v>
      </c>
      <c r="C1920" t="s">
        <v>5323</v>
      </c>
    </row>
    <row r="1921" spans="1:3" x14ac:dyDescent="0.25">
      <c r="A1921">
        <v>1920</v>
      </c>
      <c r="B1921" t="s">
        <v>5324</v>
      </c>
      <c r="C1921" t="s">
        <v>5325</v>
      </c>
    </row>
    <row r="1922" spans="1:3" x14ac:dyDescent="0.25">
      <c r="A1922">
        <v>1921</v>
      </c>
      <c r="B1922" t="s">
        <v>508</v>
      </c>
      <c r="C1922" t="s">
        <v>5326</v>
      </c>
    </row>
    <row r="1923" spans="1:3" x14ac:dyDescent="0.25">
      <c r="A1923">
        <v>1922</v>
      </c>
      <c r="B1923" t="s">
        <v>247</v>
      </c>
      <c r="C1923" t="s">
        <v>5327</v>
      </c>
    </row>
    <row r="1924" spans="1:3" x14ac:dyDescent="0.25">
      <c r="A1924">
        <v>1923</v>
      </c>
      <c r="B1924" t="s">
        <v>5328</v>
      </c>
      <c r="C1924" t="s">
        <v>5329</v>
      </c>
    </row>
    <row r="1925" spans="1:3" x14ac:dyDescent="0.25">
      <c r="A1925">
        <v>1924</v>
      </c>
      <c r="B1925" t="s">
        <v>5330</v>
      </c>
      <c r="C1925" t="s">
        <v>5331</v>
      </c>
    </row>
    <row r="1926" spans="1:3" x14ac:dyDescent="0.25">
      <c r="A1926">
        <v>1925</v>
      </c>
      <c r="B1926" t="s">
        <v>885</v>
      </c>
      <c r="C1926" t="s">
        <v>5332</v>
      </c>
    </row>
    <row r="1927" spans="1:3" x14ac:dyDescent="0.25">
      <c r="A1927">
        <v>1926</v>
      </c>
      <c r="B1927" t="s">
        <v>5333</v>
      </c>
      <c r="C1927" t="s">
        <v>5334</v>
      </c>
    </row>
    <row r="1928" spans="1:3" x14ac:dyDescent="0.25">
      <c r="A1928">
        <v>1927</v>
      </c>
      <c r="B1928" t="s">
        <v>2122</v>
      </c>
      <c r="C1928" t="s">
        <v>5335</v>
      </c>
    </row>
    <row r="1929" spans="1:3" x14ac:dyDescent="0.25">
      <c r="A1929">
        <v>1928</v>
      </c>
      <c r="B1929" t="s">
        <v>408</v>
      </c>
      <c r="C1929" t="s">
        <v>5336</v>
      </c>
    </row>
    <row r="1930" spans="1:3" x14ac:dyDescent="0.25">
      <c r="A1930">
        <v>1929</v>
      </c>
      <c r="B1930" t="s">
        <v>5337</v>
      </c>
      <c r="C1930" t="s">
        <v>5338</v>
      </c>
    </row>
    <row r="1931" spans="1:3" x14ac:dyDescent="0.25">
      <c r="A1931">
        <v>1930</v>
      </c>
      <c r="B1931" t="s">
        <v>82</v>
      </c>
      <c r="C1931" t="s">
        <v>5339</v>
      </c>
    </row>
    <row r="1932" spans="1:3" x14ac:dyDescent="0.25">
      <c r="A1932">
        <v>1931</v>
      </c>
      <c r="B1932" t="s">
        <v>759</v>
      </c>
      <c r="C1932" t="s">
        <v>5340</v>
      </c>
    </row>
    <row r="1933" spans="1:3" x14ac:dyDescent="0.25">
      <c r="A1933">
        <v>1932</v>
      </c>
      <c r="B1933" t="s">
        <v>77</v>
      </c>
      <c r="C1933" t="s">
        <v>5341</v>
      </c>
    </row>
    <row r="1934" spans="1:3" x14ac:dyDescent="0.25">
      <c r="A1934">
        <v>1933</v>
      </c>
      <c r="B1934" t="s">
        <v>5342</v>
      </c>
      <c r="C1934" t="s">
        <v>5343</v>
      </c>
    </row>
    <row r="1935" spans="1:3" x14ac:dyDescent="0.25">
      <c r="A1935">
        <v>1934</v>
      </c>
      <c r="B1935" t="s">
        <v>171</v>
      </c>
      <c r="C1935" t="s">
        <v>5344</v>
      </c>
    </row>
    <row r="1936" spans="1:3" x14ac:dyDescent="0.25">
      <c r="A1936">
        <v>1935</v>
      </c>
      <c r="B1936" t="s">
        <v>5345</v>
      </c>
      <c r="C1936" t="s">
        <v>5346</v>
      </c>
    </row>
    <row r="1937" spans="1:3" x14ac:dyDescent="0.25">
      <c r="A1937">
        <v>1936</v>
      </c>
      <c r="B1937" t="s">
        <v>394</v>
      </c>
      <c r="C1937" t="s">
        <v>5347</v>
      </c>
    </row>
    <row r="1938" spans="1:3" x14ac:dyDescent="0.25">
      <c r="A1938">
        <v>1937</v>
      </c>
      <c r="B1938" t="s">
        <v>865</v>
      </c>
      <c r="C1938" t="s">
        <v>5348</v>
      </c>
    </row>
    <row r="1939" spans="1:3" x14ac:dyDescent="0.25">
      <c r="A1939">
        <v>1938</v>
      </c>
      <c r="B1939" t="s">
        <v>1566</v>
      </c>
      <c r="C1939" t="s">
        <v>5349</v>
      </c>
    </row>
    <row r="1940" spans="1:3" x14ac:dyDescent="0.25">
      <c r="A1940">
        <v>1939</v>
      </c>
      <c r="B1940" t="s">
        <v>5350</v>
      </c>
      <c r="C1940" t="s">
        <v>5351</v>
      </c>
    </row>
    <row r="1941" spans="1:3" x14ac:dyDescent="0.25">
      <c r="A1941">
        <v>1940</v>
      </c>
      <c r="B1941" t="s">
        <v>1635</v>
      </c>
      <c r="C1941" t="s">
        <v>5352</v>
      </c>
    </row>
    <row r="1942" spans="1:3" x14ac:dyDescent="0.25">
      <c r="A1942">
        <v>1941</v>
      </c>
      <c r="B1942" t="s">
        <v>1603</v>
      </c>
      <c r="C1942" t="s">
        <v>5353</v>
      </c>
    </row>
    <row r="1943" spans="1:3" x14ac:dyDescent="0.25">
      <c r="A1943">
        <v>1942</v>
      </c>
      <c r="B1943" t="s">
        <v>5354</v>
      </c>
      <c r="C1943" t="s">
        <v>5355</v>
      </c>
    </row>
    <row r="1944" spans="1:3" x14ac:dyDescent="0.25">
      <c r="A1944">
        <v>1943</v>
      </c>
      <c r="B1944" t="s">
        <v>5356</v>
      </c>
      <c r="C1944" t="s">
        <v>5357</v>
      </c>
    </row>
    <row r="1945" spans="1:3" x14ac:dyDescent="0.25">
      <c r="A1945">
        <v>1944</v>
      </c>
      <c r="B1945" t="s">
        <v>5358</v>
      </c>
      <c r="C1945" t="s">
        <v>5359</v>
      </c>
    </row>
    <row r="1946" spans="1:3" x14ac:dyDescent="0.25">
      <c r="A1946">
        <v>1945</v>
      </c>
      <c r="B1946" t="s">
        <v>1570</v>
      </c>
      <c r="C1946" t="s">
        <v>5360</v>
      </c>
    </row>
    <row r="1947" spans="1:3" x14ac:dyDescent="0.25">
      <c r="A1947">
        <v>1946</v>
      </c>
      <c r="B1947" t="s">
        <v>79</v>
      </c>
      <c r="C1947" t="s">
        <v>5361</v>
      </c>
    </row>
    <row r="1948" spans="1:3" x14ac:dyDescent="0.25">
      <c r="A1948">
        <v>1947</v>
      </c>
      <c r="B1948" t="s">
        <v>5362</v>
      </c>
      <c r="C1948" t="s">
        <v>5363</v>
      </c>
    </row>
    <row r="1949" spans="1:3" x14ac:dyDescent="0.25">
      <c r="A1949">
        <v>1948</v>
      </c>
      <c r="B1949" t="s">
        <v>958</v>
      </c>
      <c r="C1949" t="s">
        <v>5364</v>
      </c>
    </row>
    <row r="1950" spans="1:3" x14ac:dyDescent="0.25">
      <c r="A1950">
        <v>1949</v>
      </c>
      <c r="B1950" t="s">
        <v>5365</v>
      </c>
      <c r="C1950" t="s">
        <v>5366</v>
      </c>
    </row>
    <row r="1951" spans="1:3" x14ac:dyDescent="0.25">
      <c r="A1951">
        <v>1950</v>
      </c>
      <c r="B1951" t="s">
        <v>5367</v>
      </c>
      <c r="C1951" t="s">
        <v>5368</v>
      </c>
    </row>
    <row r="1952" spans="1:3" x14ac:dyDescent="0.25">
      <c r="A1952">
        <v>1951</v>
      </c>
      <c r="B1952" t="s">
        <v>416</v>
      </c>
      <c r="C1952" t="s">
        <v>5369</v>
      </c>
    </row>
    <row r="1953" spans="1:3" x14ac:dyDescent="0.25">
      <c r="A1953">
        <v>1952</v>
      </c>
      <c r="B1953" t="s">
        <v>2189</v>
      </c>
      <c r="C1953" t="s">
        <v>5370</v>
      </c>
    </row>
    <row r="1954" spans="1:3" x14ac:dyDescent="0.25">
      <c r="A1954">
        <v>1953</v>
      </c>
      <c r="B1954" t="s">
        <v>5371</v>
      </c>
      <c r="C1954" t="s">
        <v>5372</v>
      </c>
    </row>
    <row r="1955" spans="1:3" x14ac:dyDescent="0.25">
      <c r="A1955">
        <v>1954</v>
      </c>
      <c r="B1955" t="s">
        <v>5373</v>
      </c>
      <c r="C1955" t="s">
        <v>5374</v>
      </c>
    </row>
    <row r="1956" spans="1:3" x14ac:dyDescent="0.25">
      <c r="A1956">
        <v>1955</v>
      </c>
      <c r="B1956" t="s">
        <v>44</v>
      </c>
      <c r="C1956" t="s">
        <v>5375</v>
      </c>
    </row>
    <row r="1957" spans="1:3" x14ac:dyDescent="0.25">
      <c r="A1957">
        <v>1956</v>
      </c>
      <c r="B1957" t="s">
        <v>480</v>
      </c>
      <c r="C1957" t="s">
        <v>5376</v>
      </c>
    </row>
    <row r="1958" spans="1:3" x14ac:dyDescent="0.25">
      <c r="A1958">
        <v>1957</v>
      </c>
      <c r="B1958" t="s">
        <v>336</v>
      </c>
      <c r="C1958" t="s">
        <v>5377</v>
      </c>
    </row>
    <row r="1959" spans="1:3" x14ac:dyDescent="0.25">
      <c r="A1959">
        <v>1958</v>
      </c>
      <c r="B1959" t="s">
        <v>5378</v>
      </c>
      <c r="C1959" t="s">
        <v>5379</v>
      </c>
    </row>
    <row r="1960" spans="1:3" x14ac:dyDescent="0.25">
      <c r="A1960">
        <v>1959</v>
      </c>
      <c r="B1960" t="s">
        <v>5380</v>
      </c>
      <c r="C1960" t="s">
        <v>5381</v>
      </c>
    </row>
    <row r="1961" spans="1:3" x14ac:dyDescent="0.25">
      <c r="A1961">
        <v>1960</v>
      </c>
      <c r="B1961" t="s">
        <v>1796</v>
      </c>
      <c r="C1961" t="s">
        <v>5382</v>
      </c>
    </row>
    <row r="1962" spans="1:3" x14ac:dyDescent="0.25">
      <c r="A1962">
        <v>1961</v>
      </c>
      <c r="B1962" t="s">
        <v>5383</v>
      </c>
      <c r="C1962" t="s">
        <v>5384</v>
      </c>
    </row>
    <row r="1963" spans="1:3" x14ac:dyDescent="0.25">
      <c r="A1963">
        <v>1962</v>
      </c>
      <c r="B1963" t="s">
        <v>5385</v>
      </c>
      <c r="C1963" t="s">
        <v>5386</v>
      </c>
    </row>
    <row r="1964" spans="1:3" x14ac:dyDescent="0.25">
      <c r="A1964">
        <v>1963</v>
      </c>
      <c r="B1964" t="s">
        <v>1087</v>
      </c>
      <c r="C1964" t="s">
        <v>5387</v>
      </c>
    </row>
    <row r="1965" spans="1:3" x14ac:dyDescent="0.25">
      <c r="A1965">
        <v>1964</v>
      </c>
      <c r="B1965" t="s">
        <v>857</v>
      </c>
      <c r="C1965" t="s">
        <v>5388</v>
      </c>
    </row>
    <row r="1966" spans="1:3" x14ac:dyDescent="0.25">
      <c r="A1966">
        <v>1965</v>
      </c>
      <c r="B1966" t="s">
        <v>496</v>
      </c>
      <c r="C1966" t="s">
        <v>5389</v>
      </c>
    </row>
    <row r="1967" spans="1:3" x14ac:dyDescent="0.25">
      <c r="A1967">
        <v>1966</v>
      </c>
      <c r="B1967" t="s">
        <v>5390</v>
      </c>
      <c r="C1967" t="s">
        <v>5391</v>
      </c>
    </row>
    <row r="1968" spans="1:3" x14ac:dyDescent="0.25">
      <c r="A1968">
        <v>1967</v>
      </c>
      <c r="B1968" t="s">
        <v>1868</v>
      </c>
      <c r="C1968" t="s">
        <v>5392</v>
      </c>
    </row>
    <row r="1969" spans="1:3" x14ac:dyDescent="0.25">
      <c r="A1969">
        <v>1968</v>
      </c>
      <c r="B1969" t="s">
        <v>5393</v>
      </c>
      <c r="C1969" t="s">
        <v>5394</v>
      </c>
    </row>
    <row r="1970" spans="1:3" x14ac:dyDescent="0.25">
      <c r="A1970">
        <v>1969</v>
      </c>
      <c r="B1970" t="s">
        <v>2249</v>
      </c>
      <c r="C1970" t="s">
        <v>5395</v>
      </c>
    </row>
    <row r="1971" spans="1:3" x14ac:dyDescent="0.25">
      <c r="A1971">
        <v>1970</v>
      </c>
      <c r="B1971" t="s">
        <v>5396</v>
      </c>
      <c r="C1971" t="s">
        <v>5397</v>
      </c>
    </row>
    <row r="1972" spans="1:3" x14ac:dyDescent="0.25">
      <c r="A1972">
        <v>1971</v>
      </c>
      <c r="B1972" t="s">
        <v>86</v>
      </c>
      <c r="C1972" t="s">
        <v>5398</v>
      </c>
    </row>
    <row r="1973" spans="1:3" x14ac:dyDescent="0.25">
      <c r="A1973">
        <v>1972</v>
      </c>
      <c r="B1973" t="s">
        <v>1702</v>
      </c>
      <c r="C1973" t="s">
        <v>5399</v>
      </c>
    </row>
    <row r="1974" spans="1:3" x14ac:dyDescent="0.25">
      <c r="A1974">
        <v>1973</v>
      </c>
      <c r="B1974" t="s">
        <v>2008</v>
      </c>
      <c r="C1974" t="s">
        <v>5400</v>
      </c>
    </row>
    <row r="1975" spans="1:3" x14ac:dyDescent="0.25">
      <c r="A1975">
        <v>1974</v>
      </c>
      <c r="B1975" t="s">
        <v>2169</v>
      </c>
      <c r="C1975" t="s">
        <v>5401</v>
      </c>
    </row>
    <row r="1976" spans="1:3" x14ac:dyDescent="0.25">
      <c r="A1976">
        <v>1975</v>
      </c>
      <c r="B1976" t="s">
        <v>5402</v>
      </c>
      <c r="C1976" t="s">
        <v>5403</v>
      </c>
    </row>
    <row r="1977" spans="1:3" x14ac:dyDescent="0.25">
      <c r="A1977">
        <v>1976</v>
      </c>
      <c r="B1977" t="s">
        <v>1235</v>
      </c>
      <c r="C1977" t="s">
        <v>5404</v>
      </c>
    </row>
    <row r="1978" spans="1:3" x14ac:dyDescent="0.25">
      <c r="A1978">
        <v>1977</v>
      </c>
      <c r="B1978" t="s">
        <v>2010</v>
      </c>
      <c r="C1978" t="s">
        <v>5405</v>
      </c>
    </row>
    <row r="1979" spans="1:3" x14ac:dyDescent="0.25">
      <c r="A1979">
        <v>1978</v>
      </c>
      <c r="B1979" t="s">
        <v>2142</v>
      </c>
      <c r="C1979" t="s">
        <v>5406</v>
      </c>
    </row>
    <row r="1980" spans="1:3" x14ac:dyDescent="0.25">
      <c r="A1980">
        <v>1979</v>
      </c>
      <c r="B1980" t="s">
        <v>328</v>
      </c>
      <c r="C1980" t="s">
        <v>5407</v>
      </c>
    </row>
    <row r="1981" spans="1:3" x14ac:dyDescent="0.25">
      <c r="A1981">
        <v>1980</v>
      </c>
      <c r="B1981" t="s">
        <v>1880</v>
      </c>
      <c r="C1981" t="s">
        <v>5408</v>
      </c>
    </row>
    <row r="1982" spans="1:3" x14ac:dyDescent="0.25">
      <c r="A1982">
        <v>1981</v>
      </c>
      <c r="B1982" t="s">
        <v>4761</v>
      </c>
      <c r="C1982" t="s">
        <v>5409</v>
      </c>
    </row>
    <row r="1983" spans="1:3" x14ac:dyDescent="0.25">
      <c r="A1983">
        <v>1982</v>
      </c>
      <c r="B1983" t="s">
        <v>5410</v>
      </c>
      <c r="C1983" t="s">
        <v>5411</v>
      </c>
    </row>
    <row r="1984" spans="1:3" x14ac:dyDescent="0.25">
      <c r="A1984">
        <v>1983</v>
      </c>
      <c r="B1984" t="s">
        <v>1004</v>
      </c>
      <c r="C1984" t="s">
        <v>5412</v>
      </c>
    </row>
    <row r="1985" spans="1:3" x14ac:dyDescent="0.25">
      <c r="A1985">
        <v>1984</v>
      </c>
      <c r="B1985" t="s">
        <v>719</v>
      </c>
      <c r="C1985" t="s">
        <v>5413</v>
      </c>
    </row>
    <row r="1986" spans="1:3" x14ac:dyDescent="0.25">
      <c r="A1986">
        <v>1985</v>
      </c>
      <c r="B1986" t="s">
        <v>901</v>
      </c>
      <c r="C1986" t="s">
        <v>5414</v>
      </c>
    </row>
    <row r="1987" spans="1:3" x14ac:dyDescent="0.25">
      <c r="A1987">
        <v>1986</v>
      </c>
      <c r="B1987" t="s">
        <v>608</v>
      </c>
      <c r="C1987" t="s">
        <v>5415</v>
      </c>
    </row>
    <row r="1988" spans="1:3" x14ac:dyDescent="0.25">
      <c r="A1988">
        <v>1987</v>
      </c>
      <c r="B1988" t="s">
        <v>1180</v>
      </c>
      <c r="C1988" t="s">
        <v>5416</v>
      </c>
    </row>
    <row r="1989" spans="1:3" x14ac:dyDescent="0.25">
      <c r="A1989">
        <v>1988</v>
      </c>
      <c r="B1989" t="s">
        <v>354</v>
      </c>
      <c r="C1989" t="s">
        <v>5417</v>
      </c>
    </row>
    <row r="1990" spans="1:3" x14ac:dyDescent="0.25">
      <c r="A1990">
        <v>1989</v>
      </c>
      <c r="B1990" t="s">
        <v>490</v>
      </c>
      <c r="C1990" t="s">
        <v>5418</v>
      </c>
    </row>
    <row r="1991" spans="1:3" x14ac:dyDescent="0.25">
      <c r="A1991">
        <v>1990</v>
      </c>
      <c r="B1991" t="s">
        <v>5419</v>
      </c>
      <c r="C1991" t="s">
        <v>5420</v>
      </c>
    </row>
    <row r="1992" spans="1:3" x14ac:dyDescent="0.25">
      <c r="A1992">
        <v>1991</v>
      </c>
      <c r="B1992" t="s">
        <v>1735</v>
      </c>
      <c r="C1992" t="s">
        <v>5421</v>
      </c>
    </row>
    <row r="1993" spans="1:3" x14ac:dyDescent="0.25">
      <c r="A1993">
        <v>1992</v>
      </c>
      <c r="B1993" t="s">
        <v>1118</v>
      </c>
      <c r="C1993" t="s">
        <v>5422</v>
      </c>
    </row>
    <row r="1994" spans="1:3" x14ac:dyDescent="0.25">
      <c r="A1994">
        <v>1993</v>
      </c>
      <c r="B1994" t="s">
        <v>1215</v>
      </c>
      <c r="C1994" t="s">
        <v>5423</v>
      </c>
    </row>
    <row r="1995" spans="1:3" x14ac:dyDescent="0.25">
      <c r="A1995">
        <v>1994</v>
      </c>
      <c r="B1995" t="s">
        <v>5424</v>
      </c>
      <c r="C1995" t="s">
        <v>5425</v>
      </c>
    </row>
    <row r="1996" spans="1:3" x14ac:dyDescent="0.25">
      <c r="A1996">
        <v>1995</v>
      </c>
      <c r="B1996" t="s">
        <v>1993</v>
      </c>
      <c r="C1996" t="s">
        <v>5426</v>
      </c>
    </row>
    <row r="1997" spans="1:3" x14ac:dyDescent="0.25">
      <c r="A1997">
        <v>1996</v>
      </c>
      <c r="B1997" t="s">
        <v>5427</v>
      </c>
      <c r="C1997" t="s">
        <v>5428</v>
      </c>
    </row>
    <row r="1998" spans="1:3" x14ac:dyDescent="0.25">
      <c r="A1998">
        <v>1997</v>
      </c>
      <c r="B1998" t="s">
        <v>1777</v>
      </c>
      <c r="C1998" t="s">
        <v>5429</v>
      </c>
    </row>
    <row r="1999" spans="1:3" x14ac:dyDescent="0.25">
      <c r="A1999">
        <v>1998</v>
      </c>
      <c r="B1999" t="s">
        <v>1640</v>
      </c>
      <c r="C1999" t="s">
        <v>5430</v>
      </c>
    </row>
    <row r="2000" spans="1:3" x14ac:dyDescent="0.25">
      <c r="A2000">
        <v>1999</v>
      </c>
      <c r="B2000" t="s">
        <v>1642</v>
      </c>
      <c r="C2000" t="s">
        <v>5431</v>
      </c>
    </row>
    <row r="2001" spans="1:3" x14ac:dyDescent="0.25">
      <c r="A2001">
        <v>2000</v>
      </c>
      <c r="B2001" t="s">
        <v>5432</v>
      </c>
      <c r="C2001" t="s">
        <v>5433</v>
      </c>
    </row>
    <row r="2002" spans="1:3" x14ac:dyDescent="0.25">
      <c r="A2002">
        <v>2001</v>
      </c>
      <c r="B2002" t="s">
        <v>2043</v>
      </c>
      <c r="C2002" t="s">
        <v>5434</v>
      </c>
    </row>
    <row r="2003" spans="1:3" x14ac:dyDescent="0.25">
      <c r="A2003">
        <v>2002</v>
      </c>
      <c r="B2003" t="s">
        <v>120</v>
      </c>
      <c r="C2003" t="s">
        <v>5435</v>
      </c>
    </row>
    <row r="2004" spans="1:3" x14ac:dyDescent="0.25">
      <c r="A2004">
        <v>2003</v>
      </c>
      <c r="B2004" t="s">
        <v>5436</v>
      </c>
      <c r="C2004" t="s">
        <v>5437</v>
      </c>
    </row>
    <row r="2005" spans="1:3" x14ac:dyDescent="0.25">
      <c r="A2005">
        <v>2004</v>
      </c>
      <c r="B2005" t="s">
        <v>2252</v>
      </c>
      <c r="C2005" t="s">
        <v>5438</v>
      </c>
    </row>
    <row r="2006" spans="1:3" x14ac:dyDescent="0.25">
      <c r="A2006">
        <v>2005</v>
      </c>
      <c r="B2006" t="s">
        <v>5439</v>
      </c>
      <c r="C2006" t="s">
        <v>5440</v>
      </c>
    </row>
    <row r="2007" spans="1:3" x14ac:dyDescent="0.25">
      <c r="A2007">
        <v>2006</v>
      </c>
      <c r="B2007" t="s">
        <v>795</v>
      </c>
      <c r="C2007" t="s">
        <v>5441</v>
      </c>
    </row>
    <row r="2008" spans="1:3" x14ac:dyDescent="0.25">
      <c r="A2008">
        <v>2007</v>
      </c>
      <c r="B2008" t="s">
        <v>5442</v>
      </c>
      <c r="C2008" t="s">
        <v>5443</v>
      </c>
    </row>
    <row r="2009" spans="1:3" x14ac:dyDescent="0.25">
      <c r="A2009">
        <v>2008</v>
      </c>
      <c r="B2009" t="s">
        <v>1644</v>
      </c>
      <c r="C2009" t="s">
        <v>5444</v>
      </c>
    </row>
    <row r="2010" spans="1:3" x14ac:dyDescent="0.25">
      <c r="A2010">
        <v>2009</v>
      </c>
      <c r="B2010" t="s">
        <v>114</v>
      </c>
      <c r="C2010" t="s">
        <v>5445</v>
      </c>
    </row>
    <row r="2011" spans="1:3" x14ac:dyDescent="0.25">
      <c r="A2011">
        <v>2010</v>
      </c>
      <c r="B2011" t="s">
        <v>5446</v>
      </c>
      <c r="C2011" t="s">
        <v>5447</v>
      </c>
    </row>
    <row r="2012" spans="1:3" x14ac:dyDescent="0.25">
      <c r="A2012">
        <v>2011</v>
      </c>
      <c r="B2012" t="s">
        <v>2116</v>
      </c>
      <c r="C2012" t="s">
        <v>5448</v>
      </c>
    </row>
    <row r="2013" spans="1:3" x14ac:dyDescent="0.25">
      <c r="A2013">
        <v>2012</v>
      </c>
      <c r="B2013" t="s">
        <v>5449</v>
      </c>
      <c r="C2013" t="s">
        <v>5450</v>
      </c>
    </row>
    <row r="2014" spans="1:3" x14ac:dyDescent="0.25">
      <c r="A2014">
        <v>2013</v>
      </c>
      <c r="B2014" t="s">
        <v>5451</v>
      </c>
      <c r="C2014" t="s">
        <v>5452</v>
      </c>
    </row>
    <row r="2015" spans="1:3" x14ac:dyDescent="0.25">
      <c r="A2015">
        <v>2014</v>
      </c>
      <c r="B2015" t="s">
        <v>1069</v>
      </c>
      <c r="C2015" t="s">
        <v>5453</v>
      </c>
    </row>
    <row r="2016" spans="1:3" x14ac:dyDescent="0.25">
      <c r="A2016">
        <v>2015</v>
      </c>
      <c r="B2016" t="s">
        <v>5454</v>
      </c>
      <c r="C2016" t="s">
        <v>5455</v>
      </c>
    </row>
    <row r="2017" spans="1:3" x14ac:dyDescent="0.25">
      <c r="A2017">
        <v>2016</v>
      </c>
      <c r="B2017" t="s">
        <v>2073</v>
      </c>
      <c r="C2017" t="s">
        <v>5456</v>
      </c>
    </row>
    <row r="2018" spans="1:3" x14ac:dyDescent="0.25">
      <c r="A2018">
        <v>2017</v>
      </c>
      <c r="B2018" t="s">
        <v>2119</v>
      </c>
      <c r="C2018" t="s">
        <v>5457</v>
      </c>
    </row>
    <row r="2019" spans="1:3" x14ac:dyDescent="0.25">
      <c r="A2019">
        <v>2018</v>
      </c>
      <c r="B2019" t="s">
        <v>5458</v>
      </c>
      <c r="C2019" t="s">
        <v>5459</v>
      </c>
    </row>
    <row r="2020" spans="1:3" x14ac:dyDescent="0.25">
      <c r="A2020">
        <v>2019</v>
      </c>
      <c r="B2020" t="s">
        <v>762</v>
      </c>
      <c r="C2020" t="s">
        <v>5460</v>
      </c>
    </row>
    <row r="2021" spans="1:3" x14ac:dyDescent="0.25">
      <c r="A2021">
        <v>2020</v>
      </c>
      <c r="B2021" t="s">
        <v>5461</v>
      </c>
      <c r="C2021" t="s">
        <v>5462</v>
      </c>
    </row>
    <row r="2022" spans="1:3" x14ac:dyDescent="0.25">
      <c r="A2022">
        <v>2021</v>
      </c>
      <c r="B2022" t="s">
        <v>770</v>
      </c>
      <c r="C2022" t="s">
        <v>5463</v>
      </c>
    </row>
    <row r="2023" spans="1:3" x14ac:dyDescent="0.25">
      <c r="A2023">
        <v>2022</v>
      </c>
      <c r="B2023" t="s">
        <v>2257</v>
      </c>
      <c r="C2023" t="s">
        <v>5464</v>
      </c>
    </row>
    <row r="2024" spans="1:3" x14ac:dyDescent="0.25">
      <c r="A2024">
        <v>2023</v>
      </c>
      <c r="B2024" t="s">
        <v>1349</v>
      </c>
      <c r="C2024" t="s">
        <v>5465</v>
      </c>
    </row>
    <row r="2025" spans="1:3" x14ac:dyDescent="0.25">
      <c r="A2025">
        <v>2024</v>
      </c>
      <c r="B2025" t="s">
        <v>5466</v>
      </c>
      <c r="C2025" t="s">
        <v>5467</v>
      </c>
    </row>
    <row r="2026" spans="1:3" x14ac:dyDescent="0.25">
      <c r="A2026">
        <v>2025</v>
      </c>
      <c r="B2026" t="s">
        <v>968</v>
      </c>
      <c r="C2026" t="s">
        <v>5468</v>
      </c>
    </row>
    <row r="2027" spans="1:3" x14ac:dyDescent="0.25">
      <c r="A2027">
        <v>2026</v>
      </c>
      <c r="B2027" t="s">
        <v>849</v>
      </c>
      <c r="C2027" t="s">
        <v>5469</v>
      </c>
    </row>
    <row r="2028" spans="1:3" x14ac:dyDescent="0.25">
      <c r="A2028">
        <v>2027</v>
      </c>
      <c r="B2028" t="s">
        <v>5470</v>
      </c>
      <c r="C2028" t="s">
        <v>5471</v>
      </c>
    </row>
    <row r="2029" spans="1:3" x14ac:dyDescent="0.25">
      <c r="A2029">
        <v>2028</v>
      </c>
      <c r="B2029" t="s">
        <v>2003</v>
      </c>
      <c r="C2029" t="s">
        <v>5472</v>
      </c>
    </row>
    <row r="2030" spans="1:3" x14ac:dyDescent="0.25">
      <c r="A2030">
        <v>2029</v>
      </c>
      <c r="B2030" t="s">
        <v>5473</v>
      </c>
      <c r="C2030" t="s">
        <v>5474</v>
      </c>
    </row>
    <row r="2031" spans="1:3" x14ac:dyDescent="0.25">
      <c r="A2031">
        <v>2030</v>
      </c>
      <c r="B2031" t="s">
        <v>931</v>
      </c>
      <c r="C2031" t="s">
        <v>5475</v>
      </c>
    </row>
    <row r="2032" spans="1:3" x14ac:dyDescent="0.25">
      <c r="A2032">
        <v>2031</v>
      </c>
      <c r="B2032" t="s">
        <v>5476</v>
      </c>
      <c r="C2032" t="s">
        <v>5477</v>
      </c>
    </row>
    <row r="2033" spans="1:3" x14ac:dyDescent="0.25">
      <c r="A2033">
        <v>2032</v>
      </c>
      <c r="B2033" t="s">
        <v>5478</v>
      </c>
      <c r="C2033" t="s">
        <v>5479</v>
      </c>
    </row>
    <row r="2034" spans="1:3" x14ac:dyDescent="0.25">
      <c r="A2034">
        <v>2033</v>
      </c>
      <c r="B2034" t="s">
        <v>929</v>
      </c>
      <c r="C2034" t="s">
        <v>5480</v>
      </c>
    </row>
    <row r="2035" spans="1:3" x14ac:dyDescent="0.25">
      <c r="A2035">
        <v>2034</v>
      </c>
      <c r="B2035" t="s">
        <v>1074</v>
      </c>
      <c r="C2035" t="s">
        <v>5481</v>
      </c>
    </row>
    <row r="2036" spans="1:3" x14ac:dyDescent="0.25">
      <c r="A2036">
        <v>2035</v>
      </c>
      <c r="B2036" t="s">
        <v>1076</v>
      </c>
      <c r="C2036" t="s">
        <v>5482</v>
      </c>
    </row>
    <row r="2037" spans="1:3" x14ac:dyDescent="0.25">
      <c r="A2037">
        <v>2036</v>
      </c>
      <c r="B2037" t="s">
        <v>2064</v>
      </c>
      <c r="C2037" t="s">
        <v>5483</v>
      </c>
    </row>
    <row r="2038" spans="1:3" x14ac:dyDescent="0.25">
      <c r="A2038">
        <v>2037</v>
      </c>
      <c r="B2038" t="s">
        <v>243</v>
      </c>
      <c r="C2038" t="s">
        <v>5484</v>
      </c>
    </row>
    <row r="2039" spans="1:3" x14ac:dyDescent="0.25">
      <c r="A2039">
        <v>2038</v>
      </c>
      <c r="B2039" t="s">
        <v>2306</v>
      </c>
      <c r="C2039" t="s">
        <v>5485</v>
      </c>
    </row>
    <row r="2040" spans="1:3" x14ac:dyDescent="0.25">
      <c r="A2040">
        <v>2039</v>
      </c>
      <c r="B2040" t="s">
        <v>5486</v>
      </c>
      <c r="C2040" t="s">
        <v>5487</v>
      </c>
    </row>
    <row r="2041" spans="1:3" x14ac:dyDescent="0.25">
      <c r="A2041">
        <v>2040</v>
      </c>
      <c r="B2041" t="s">
        <v>685</v>
      </c>
      <c r="C2041" t="s">
        <v>5488</v>
      </c>
    </row>
    <row r="2042" spans="1:3" x14ac:dyDescent="0.25">
      <c r="A2042">
        <v>2041</v>
      </c>
      <c r="B2042" t="s">
        <v>2285</v>
      </c>
      <c r="C2042" t="s">
        <v>5489</v>
      </c>
    </row>
    <row r="2043" spans="1:3" x14ac:dyDescent="0.25">
      <c r="A2043">
        <v>2042</v>
      </c>
      <c r="B2043" t="s">
        <v>749</v>
      </c>
      <c r="C2043" t="s">
        <v>5490</v>
      </c>
    </row>
    <row r="2044" spans="1:3" x14ac:dyDescent="0.25">
      <c r="A2044">
        <v>2043</v>
      </c>
      <c r="B2044" t="s">
        <v>241</v>
      </c>
      <c r="C2044" t="s">
        <v>5491</v>
      </c>
    </row>
    <row r="2045" spans="1:3" x14ac:dyDescent="0.25">
      <c r="A2045">
        <v>2044</v>
      </c>
      <c r="B2045" t="s">
        <v>5492</v>
      </c>
      <c r="C2045" t="s">
        <v>5493</v>
      </c>
    </row>
    <row r="2046" spans="1:3" x14ac:dyDescent="0.25">
      <c r="A2046">
        <v>2045</v>
      </c>
      <c r="B2046" t="s">
        <v>828</v>
      </c>
      <c r="C2046" t="s">
        <v>5494</v>
      </c>
    </row>
    <row r="2047" spans="1:3" x14ac:dyDescent="0.25">
      <c r="A2047">
        <v>2046</v>
      </c>
      <c r="B2047" t="s">
        <v>5495</v>
      </c>
      <c r="C2047" t="s">
        <v>5496</v>
      </c>
    </row>
    <row r="2048" spans="1:3" x14ac:dyDescent="0.25">
      <c r="A2048">
        <v>2047</v>
      </c>
      <c r="B2048" t="s">
        <v>5497</v>
      </c>
      <c r="C2048" t="s">
        <v>5498</v>
      </c>
    </row>
    <row r="2049" spans="1:3" x14ac:dyDescent="0.25">
      <c r="A2049">
        <v>2048</v>
      </c>
      <c r="B2049" t="s">
        <v>830</v>
      </c>
      <c r="C2049" t="s">
        <v>5499</v>
      </c>
    </row>
    <row r="2050" spans="1:3" x14ac:dyDescent="0.25">
      <c r="A2050">
        <v>2049</v>
      </c>
      <c r="B2050" t="s">
        <v>5500</v>
      </c>
      <c r="C2050" t="s">
        <v>5501</v>
      </c>
    </row>
    <row r="2051" spans="1:3" x14ac:dyDescent="0.25">
      <c r="A2051">
        <v>2050</v>
      </c>
      <c r="B2051" t="s">
        <v>5502</v>
      </c>
      <c r="C2051" t="s">
        <v>5503</v>
      </c>
    </row>
    <row r="2052" spans="1:3" x14ac:dyDescent="0.25">
      <c r="A2052">
        <v>2051</v>
      </c>
      <c r="B2052" t="s">
        <v>5504</v>
      </c>
      <c r="C2052" t="s">
        <v>5505</v>
      </c>
    </row>
    <row r="2053" spans="1:3" x14ac:dyDescent="0.25">
      <c r="A2053">
        <v>2052</v>
      </c>
      <c r="B2053" t="s">
        <v>5506</v>
      </c>
      <c r="C2053" t="s">
        <v>5507</v>
      </c>
    </row>
    <row r="2054" spans="1:3" x14ac:dyDescent="0.25">
      <c r="A2054">
        <v>2053</v>
      </c>
      <c r="B2054" t="s">
        <v>5508</v>
      </c>
      <c r="C2054" t="s">
        <v>5509</v>
      </c>
    </row>
    <row r="2055" spans="1:3" x14ac:dyDescent="0.25">
      <c r="A2055">
        <v>2054</v>
      </c>
      <c r="B2055" t="s">
        <v>285</v>
      </c>
      <c r="C2055" t="s">
        <v>5510</v>
      </c>
    </row>
    <row r="2056" spans="1:3" x14ac:dyDescent="0.25">
      <c r="A2056">
        <v>2055</v>
      </c>
      <c r="B2056" t="s">
        <v>1374</v>
      </c>
      <c r="C2056" t="s">
        <v>5511</v>
      </c>
    </row>
    <row r="2057" spans="1:3" x14ac:dyDescent="0.25">
      <c r="A2057">
        <v>2056</v>
      </c>
      <c r="B2057" t="s">
        <v>5512</v>
      </c>
      <c r="C2057" t="s">
        <v>5513</v>
      </c>
    </row>
    <row r="2058" spans="1:3" x14ac:dyDescent="0.25">
      <c r="A2058">
        <v>2057</v>
      </c>
      <c r="B2058" t="s">
        <v>819</v>
      </c>
      <c r="C2058" t="s">
        <v>5514</v>
      </c>
    </row>
    <row r="2059" spans="1:3" x14ac:dyDescent="0.25">
      <c r="A2059">
        <v>2058</v>
      </c>
      <c r="B2059" t="s">
        <v>5515</v>
      </c>
      <c r="C2059" t="s">
        <v>5516</v>
      </c>
    </row>
    <row r="2060" spans="1:3" x14ac:dyDescent="0.25">
      <c r="A2060">
        <v>2059</v>
      </c>
      <c r="B2060" t="s">
        <v>2101</v>
      </c>
      <c r="C2060" t="s">
        <v>5517</v>
      </c>
    </row>
    <row r="2061" spans="1:3" x14ac:dyDescent="0.25">
      <c r="A2061">
        <v>2060</v>
      </c>
      <c r="B2061" t="s">
        <v>2205</v>
      </c>
      <c r="C2061" t="s">
        <v>5518</v>
      </c>
    </row>
    <row r="2062" spans="1:3" x14ac:dyDescent="0.25">
      <c r="A2062">
        <v>2061</v>
      </c>
      <c r="B2062" t="s">
        <v>5519</v>
      </c>
      <c r="C2062" t="s">
        <v>5520</v>
      </c>
    </row>
    <row r="2063" spans="1:3" x14ac:dyDescent="0.25">
      <c r="A2063">
        <v>2062</v>
      </c>
      <c r="B2063" t="s">
        <v>5521</v>
      </c>
      <c r="C2063" t="s">
        <v>5522</v>
      </c>
    </row>
    <row r="2064" spans="1:3" x14ac:dyDescent="0.25">
      <c r="A2064">
        <v>2063</v>
      </c>
      <c r="B2064" t="s">
        <v>1591</v>
      </c>
      <c r="C2064" t="s">
        <v>5523</v>
      </c>
    </row>
    <row r="2065" spans="1:3" x14ac:dyDescent="0.25">
      <c r="A2065">
        <v>2064</v>
      </c>
      <c r="B2065" t="s">
        <v>2215</v>
      </c>
      <c r="C2065" t="s">
        <v>5524</v>
      </c>
    </row>
    <row r="2066" spans="1:3" x14ac:dyDescent="0.25">
      <c r="A2066">
        <v>2065</v>
      </c>
      <c r="B2066" t="s">
        <v>2217</v>
      </c>
      <c r="C2066" t="s">
        <v>5525</v>
      </c>
    </row>
    <row r="2067" spans="1:3" x14ac:dyDescent="0.25">
      <c r="A2067">
        <v>2066</v>
      </c>
      <c r="B2067" t="s">
        <v>5526</v>
      </c>
      <c r="C2067" t="s">
        <v>5527</v>
      </c>
    </row>
    <row r="2068" spans="1:3" x14ac:dyDescent="0.25">
      <c r="A2068">
        <v>2067</v>
      </c>
      <c r="B2068" t="s">
        <v>5528</v>
      </c>
      <c r="C2068" t="s">
        <v>5529</v>
      </c>
    </row>
    <row r="2069" spans="1:3" x14ac:dyDescent="0.25">
      <c r="A2069">
        <v>2068</v>
      </c>
      <c r="B2069" t="s">
        <v>2209</v>
      </c>
      <c r="C2069" t="s">
        <v>5530</v>
      </c>
    </row>
    <row r="2070" spans="1:3" x14ac:dyDescent="0.25">
      <c r="A2070">
        <v>2069</v>
      </c>
      <c r="B2070" t="s">
        <v>2213</v>
      </c>
      <c r="C2070" t="s">
        <v>5531</v>
      </c>
    </row>
    <row r="2071" spans="1:3" x14ac:dyDescent="0.25">
      <c r="A2071">
        <v>2070</v>
      </c>
      <c r="B2071" t="s">
        <v>1561</v>
      </c>
      <c r="C2071" t="s">
        <v>5532</v>
      </c>
    </row>
    <row r="2072" spans="1:3" x14ac:dyDescent="0.25">
      <c r="A2072">
        <v>2071</v>
      </c>
      <c r="B2072" t="s">
        <v>1682</v>
      </c>
      <c r="C2072" t="s">
        <v>5533</v>
      </c>
    </row>
    <row r="2073" spans="1:3" x14ac:dyDescent="0.25">
      <c r="A2073">
        <v>2072</v>
      </c>
      <c r="B2073" t="s">
        <v>814</v>
      </c>
      <c r="C2073" t="s">
        <v>5534</v>
      </c>
    </row>
    <row r="2074" spans="1:3" x14ac:dyDescent="0.25">
      <c r="A2074">
        <v>2073</v>
      </c>
      <c r="B2074" t="s">
        <v>127</v>
      </c>
      <c r="C2074" t="s">
        <v>5535</v>
      </c>
    </row>
    <row r="2075" spans="1:3" x14ac:dyDescent="0.25">
      <c r="A2075">
        <v>2074</v>
      </c>
      <c r="B2075" t="s">
        <v>824</v>
      </c>
      <c r="C2075" t="s">
        <v>5536</v>
      </c>
    </row>
    <row r="2076" spans="1:3" x14ac:dyDescent="0.25">
      <c r="A2076">
        <v>2075</v>
      </c>
      <c r="B2076" t="s">
        <v>116</v>
      </c>
      <c r="C2076" t="s">
        <v>5537</v>
      </c>
    </row>
    <row r="2077" spans="1:3" x14ac:dyDescent="0.25">
      <c r="A2077">
        <v>2076</v>
      </c>
      <c r="B2077" t="s">
        <v>750</v>
      </c>
      <c r="C2077" t="s">
        <v>5538</v>
      </c>
    </row>
    <row r="2078" spans="1:3" x14ac:dyDescent="0.25">
      <c r="A2078">
        <v>2077</v>
      </c>
      <c r="B2078" t="s">
        <v>5539</v>
      </c>
      <c r="C2078" t="s">
        <v>5540</v>
      </c>
    </row>
    <row r="2079" spans="1:3" x14ac:dyDescent="0.25">
      <c r="A2079">
        <v>2078</v>
      </c>
      <c r="B2079" t="s">
        <v>2204</v>
      </c>
      <c r="C2079" t="s">
        <v>5541</v>
      </c>
    </row>
    <row r="2080" spans="1:3" x14ac:dyDescent="0.25">
      <c r="A2080">
        <v>2079</v>
      </c>
      <c r="B2080" t="s">
        <v>1054</v>
      </c>
      <c r="C2080" t="s">
        <v>5542</v>
      </c>
    </row>
    <row r="2081" spans="1:3" x14ac:dyDescent="0.25">
      <c r="A2081">
        <v>2080</v>
      </c>
      <c r="B2081" t="s">
        <v>2184</v>
      </c>
      <c r="C2081" t="s">
        <v>5543</v>
      </c>
    </row>
    <row r="2082" spans="1:3" x14ac:dyDescent="0.25">
      <c r="A2082">
        <v>2081</v>
      </c>
      <c r="B2082" t="s">
        <v>834</v>
      </c>
      <c r="C2082" t="s">
        <v>5544</v>
      </c>
    </row>
    <row r="2083" spans="1:3" x14ac:dyDescent="0.25">
      <c r="A2083">
        <v>2082</v>
      </c>
      <c r="B2083" t="s">
        <v>2298</v>
      </c>
      <c r="C2083" t="s">
        <v>5545</v>
      </c>
    </row>
    <row r="2084" spans="1:3" x14ac:dyDescent="0.25">
      <c r="A2084">
        <v>2083</v>
      </c>
      <c r="B2084" t="s">
        <v>1045</v>
      </c>
      <c r="C2084" t="s">
        <v>5546</v>
      </c>
    </row>
    <row r="2085" spans="1:3" x14ac:dyDescent="0.25">
      <c r="A2085">
        <v>2084</v>
      </c>
      <c r="B2085" t="s">
        <v>2305</v>
      </c>
      <c r="C2085" t="s">
        <v>5547</v>
      </c>
    </row>
    <row r="2086" spans="1:3" x14ac:dyDescent="0.25">
      <c r="A2086">
        <v>2085</v>
      </c>
      <c r="B2086" t="s">
        <v>1047</v>
      </c>
      <c r="C2086" t="s">
        <v>5548</v>
      </c>
    </row>
    <row r="2087" spans="1:3" x14ac:dyDescent="0.25">
      <c r="A2087">
        <v>2086</v>
      </c>
      <c r="B2087" t="s">
        <v>2197</v>
      </c>
      <c r="C2087" t="s">
        <v>5549</v>
      </c>
    </row>
    <row r="2088" spans="1:3" x14ac:dyDescent="0.25">
      <c r="A2088">
        <v>2087</v>
      </c>
      <c r="B2088" t="s">
        <v>2050</v>
      </c>
      <c r="C2088" t="s">
        <v>5550</v>
      </c>
    </row>
    <row r="2089" spans="1:3" x14ac:dyDescent="0.25">
      <c r="A2089">
        <v>2088</v>
      </c>
      <c r="B2089" t="s">
        <v>816</v>
      </c>
      <c r="C2089" t="s">
        <v>5551</v>
      </c>
    </row>
    <row r="2090" spans="1:3" x14ac:dyDescent="0.25">
      <c r="A2090">
        <v>2089</v>
      </c>
      <c r="B2090" t="s">
        <v>2132</v>
      </c>
      <c r="C2090" t="s">
        <v>5552</v>
      </c>
    </row>
    <row r="2091" spans="1:3" x14ac:dyDescent="0.25">
      <c r="A2091">
        <v>2090</v>
      </c>
      <c r="B2091" t="s">
        <v>1646</v>
      </c>
      <c r="C2091" t="s">
        <v>5553</v>
      </c>
    </row>
    <row r="2092" spans="1:3" x14ac:dyDescent="0.25">
      <c r="A2092">
        <v>2091</v>
      </c>
      <c r="B2092" t="s">
        <v>5554</v>
      </c>
      <c r="C2092" t="s">
        <v>5555</v>
      </c>
    </row>
    <row r="2093" spans="1:3" x14ac:dyDescent="0.25">
      <c r="A2093">
        <v>2092</v>
      </c>
      <c r="B2093" t="s">
        <v>2288</v>
      </c>
      <c r="C2093" t="s">
        <v>5556</v>
      </c>
    </row>
    <row r="2094" spans="1:3" x14ac:dyDescent="0.25">
      <c r="A2094">
        <v>2093</v>
      </c>
      <c r="B2094" t="s">
        <v>2173</v>
      </c>
      <c r="C2094" t="s">
        <v>5557</v>
      </c>
    </row>
    <row r="2095" spans="1:3" x14ac:dyDescent="0.25">
      <c r="A2095">
        <v>2094</v>
      </c>
      <c r="B2095" t="s">
        <v>110</v>
      </c>
      <c r="C2095" t="s">
        <v>5558</v>
      </c>
    </row>
    <row r="2096" spans="1:3" x14ac:dyDescent="0.25">
      <c r="A2096">
        <v>2095</v>
      </c>
      <c r="B2096" t="s">
        <v>2133</v>
      </c>
      <c r="C2096" t="s">
        <v>5559</v>
      </c>
    </row>
    <row r="2097" spans="1:3" x14ac:dyDescent="0.25">
      <c r="A2097">
        <v>2096</v>
      </c>
      <c r="B2097" t="s">
        <v>646</v>
      </c>
      <c r="C2097" t="s">
        <v>5560</v>
      </c>
    </row>
    <row r="2098" spans="1:3" x14ac:dyDescent="0.25">
      <c r="A2098">
        <v>2097</v>
      </c>
      <c r="B2098" t="s">
        <v>2044</v>
      </c>
      <c r="C2098" t="s">
        <v>5561</v>
      </c>
    </row>
    <row r="2099" spans="1:3" x14ac:dyDescent="0.25">
      <c r="A2099">
        <v>2098</v>
      </c>
      <c r="B2099" t="s">
        <v>309</v>
      </c>
      <c r="C2099" t="s">
        <v>5562</v>
      </c>
    </row>
    <row r="2100" spans="1:3" x14ac:dyDescent="0.25">
      <c r="A2100">
        <v>2099</v>
      </c>
      <c r="B2100" t="s">
        <v>1708</v>
      </c>
      <c r="C2100" t="s">
        <v>5563</v>
      </c>
    </row>
    <row r="2101" spans="1:3" x14ac:dyDescent="0.25">
      <c r="A2101">
        <v>2100</v>
      </c>
      <c r="B2101" t="s">
        <v>1712</v>
      </c>
      <c r="C2101" t="s">
        <v>5564</v>
      </c>
    </row>
    <row r="2102" spans="1:3" x14ac:dyDescent="0.25">
      <c r="A2102">
        <v>2101</v>
      </c>
      <c r="B2102" t="s">
        <v>35</v>
      </c>
      <c r="C2102" t="s">
        <v>5565</v>
      </c>
    </row>
    <row r="2103" spans="1:3" x14ac:dyDescent="0.25">
      <c r="A2103">
        <v>2102</v>
      </c>
      <c r="B2103" t="s">
        <v>8</v>
      </c>
      <c r="C2103" t="s">
        <v>5566</v>
      </c>
    </row>
    <row r="2104" spans="1:3" x14ac:dyDescent="0.25">
      <c r="A2104">
        <v>2103</v>
      </c>
      <c r="B2104" t="s">
        <v>5567</v>
      </c>
      <c r="C2104" t="s">
        <v>5568</v>
      </c>
    </row>
    <row r="2105" spans="1:3" x14ac:dyDescent="0.25">
      <c r="A2105">
        <v>2104</v>
      </c>
      <c r="B2105" t="s">
        <v>2265</v>
      </c>
      <c r="C2105" t="s">
        <v>5569</v>
      </c>
    </row>
    <row r="2106" spans="1:3" x14ac:dyDescent="0.25">
      <c r="A2106">
        <v>2105</v>
      </c>
      <c r="B2106" t="s">
        <v>1676</v>
      </c>
      <c r="C2106" t="s">
        <v>5570</v>
      </c>
    </row>
    <row r="2107" spans="1:3" x14ac:dyDescent="0.25">
      <c r="A2107">
        <v>2106</v>
      </c>
      <c r="B2107" t="s">
        <v>2276</v>
      </c>
      <c r="C2107" t="s">
        <v>5571</v>
      </c>
    </row>
    <row r="2108" spans="1:3" x14ac:dyDescent="0.25">
      <c r="A2108">
        <v>2107</v>
      </c>
      <c r="B2108" t="s">
        <v>2128</v>
      </c>
      <c r="C2108" t="s">
        <v>5572</v>
      </c>
    </row>
    <row r="2109" spans="1:3" x14ac:dyDescent="0.25">
      <c r="A2109">
        <v>2108</v>
      </c>
      <c r="B2109" t="s">
        <v>2156</v>
      </c>
      <c r="C2109" t="s">
        <v>5573</v>
      </c>
    </row>
    <row r="2110" spans="1:3" x14ac:dyDescent="0.25">
      <c r="A2110">
        <v>2109</v>
      </c>
      <c r="B2110" t="s">
        <v>2049</v>
      </c>
      <c r="C2110" t="s">
        <v>5574</v>
      </c>
    </row>
    <row r="2111" spans="1:3" x14ac:dyDescent="0.25">
      <c r="A2111">
        <v>2110</v>
      </c>
      <c r="B2111" t="s">
        <v>2258</v>
      </c>
      <c r="C2111" t="s">
        <v>5575</v>
      </c>
    </row>
    <row r="2112" spans="1:3" x14ac:dyDescent="0.25">
      <c r="A2112">
        <v>2111</v>
      </c>
      <c r="B2112" t="s">
        <v>2275</v>
      </c>
      <c r="C2112" t="s">
        <v>5576</v>
      </c>
    </row>
    <row r="2113" spans="1:3" x14ac:dyDescent="0.25">
      <c r="A2113">
        <v>2112</v>
      </c>
      <c r="B2113" t="s">
        <v>1746</v>
      </c>
      <c r="C2113" t="s">
        <v>5577</v>
      </c>
    </row>
    <row r="2114" spans="1:3" x14ac:dyDescent="0.25">
      <c r="A2114">
        <v>2113</v>
      </c>
      <c r="B2114" t="s">
        <v>2146</v>
      </c>
      <c r="C2114" t="s">
        <v>5578</v>
      </c>
    </row>
    <row r="2115" spans="1:3" x14ac:dyDescent="0.25">
      <c r="A2115">
        <v>2114</v>
      </c>
      <c r="B2115" t="s">
        <v>832</v>
      </c>
      <c r="C2115" t="s">
        <v>5579</v>
      </c>
    </row>
    <row r="2116" spans="1:3" x14ac:dyDescent="0.25">
      <c r="A2116">
        <v>2115</v>
      </c>
      <c r="B2116" t="s">
        <v>5580</v>
      </c>
      <c r="C2116" t="s">
        <v>5581</v>
      </c>
    </row>
    <row r="2117" spans="1:3" x14ac:dyDescent="0.25">
      <c r="A2117">
        <v>2116</v>
      </c>
      <c r="B2117" t="s">
        <v>5582</v>
      </c>
      <c r="C2117" t="s">
        <v>5583</v>
      </c>
    </row>
    <row r="2118" spans="1:3" x14ac:dyDescent="0.25">
      <c r="A2118">
        <v>2117</v>
      </c>
      <c r="B2118" t="s">
        <v>590</v>
      </c>
      <c r="C2118" t="s">
        <v>5584</v>
      </c>
    </row>
    <row r="2119" spans="1:3" x14ac:dyDescent="0.25">
      <c r="A2119">
        <v>2118</v>
      </c>
      <c r="B2119" t="s">
        <v>5585</v>
      </c>
      <c r="C2119" t="s">
        <v>5586</v>
      </c>
    </row>
    <row r="2120" spans="1:3" x14ac:dyDescent="0.25">
      <c r="A2120">
        <v>2119</v>
      </c>
      <c r="B2120" t="s">
        <v>798</v>
      </c>
      <c r="C2120" t="s">
        <v>5587</v>
      </c>
    </row>
    <row r="2121" spans="1:3" x14ac:dyDescent="0.25">
      <c r="A2121">
        <v>2120</v>
      </c>
      <c r="B2121" t="s">
        <v>31</v>
      </c>
      <c r="C2121" t="s">
        <v>5588</v>
      </c>
    </row>
    <row r="2122" spans="1:3" x14ac:dyDescent="0.25">
      <c r="A2122">
        <v>2121</v>
      </c>
      <c r="B2122" t="s">
        <v>2052</v>
      </c>
      <c r="C2122" t="s">
        <v>5589</v>
      </c>
    </row>
    <row r="2123" spans="1:3" x14ac:dyDescent="0.25">
      <c r="A2123">
        <v>2122</v>
      </c>
      <c r="B2123" t="s">
        <v>1297</v>
      </c>
      <c r="C2123" t="s">
        <v>5590</v>
      </c>
    </row>
    <row r="2124" spans="1:3" x14ac:dyDescent="0.25">
      <c r="A2124">
        <v>2123</v>
      </c>
      <c r="B2124" t="s">
        <v>1299</v>
      </c>
      <c r="C2124" t="s">
        <v>5591</v>
      </c>
    </row>
    <row r="2125" spans="1:3" x14ac:dyDescent="0.25">
      <c r="A2125">
        <v>2124</v>
      </c>
      <c r="B2125" t="s">
        <v>245</v>
      </c>
      <c r="C2125" t="s">
        <v>5592</v>
      </c>
    </row>
    <row r="2126" spans="1:3" x14ac:dyDescent="0.25">
      <c r="A2126">
        <v>2125</v>
      </c>
      <c r="B2126" t="s">
        <v>784</v>
      </c>
      <c r="C2126" t="s">
        <v>5593</v>
      </c>
    </row>
    <row r="2127" spans="1:3" x14ac:dyDescent="0.25">
      <c r="A2127">
        <v>2126</v>
      </c>
      <c r="B2127" t="s">
        <v>5594</v>
      </c>
      <c r="C2127" t="s">
        <v>5595</v>
      </c>
    </row>
    <row r="2128" spans="1:3" x14ac:dyDescent="0.25">
      <c r="A2128">
        <v>2127</v>
      </c>
      <c r="B2128" t="s">
        <v>5596</v>
      </c>
      <c r="C2128" t="s">
        <v>5597</v>
      </c>
    </row>
    <row r="2129" spans="1:3" x14ac:dyDescent="0.25">
      <c r="A2129">
        <v>2128</v>
      </c>
      <c r="B2129" t="s">
        <v>1042</v>
      </c>
      <c r="C2129" t="s">
        <v>5598</v>
      </c>
    </row>
    <row r="2130" spans="1:3" x14ac:dyDescent="0.25">
      <c r="A2130">
        <v>2129</v>
      </c>
      <c r="B2130" t="s">
        <v>1766</v>
      </c>
      <c r="C2130" t="s">
        <v>5599</v>
      </c>
    </row>
    <row r="2131" spans="1:3" x14ac:dyDescent="0.25">
      <c r="A2131">
        <v>2130</v>
      </c>
      <c r="B2131" t="s">
        <v>720</v>
      </c>
      <c r="C2131" t="s">
        <v>5600</v>
      </c>
    </row>
    <row r="2132" spans="1:3" x14ac:dyDescent="0.25">
      <c r="A2132">
        <v>2131</v>
      </c>
      <c r="B2132" t="s">
        <v>1324</v>
      </c>
      <c r="C2132" t="s">
        <v>5601</v>
      </c>
    </row>
    <row r="2133" spans="1:3" x14ac:dyDescent="0.25">
      <c r="A2133">
        <v>2132</v>
      </c>
      <c r="B2133" t="s">
        <v>239</v>
      </c>
      <c r="C2133" t="s">
        <v>5602</v>
      </c>
    </row>
    <row r="2134" spans="1:3" x14ac:dyDescent="0.25">
      <c r="A2134">
        <v>2133</v>
      </c>
      <c r="B2134" t="s">
        <v>882</v>
      </c>
      <c r="C2134" t="s">
        <v>5603</v>
      </c>
    </row>
    <row r="2135" spans="1:3" x14ac:dyDescent="0.25">
      <c r="A2135">
        <v>2134</v>
      </c>
      <c r="B2135" t="s">
        <v>5604</v>
      </c>
      <c r="C2135" t="s">
        <v>5605</v>
      </c>
    </row>
    <row r="2136" spans="1:3" x14ac:dyDescent="0.25">
      <c r="A2136">
        <v>2135</v>
      </c>
      <c r="B2136" t="s">
        <v>792</v>
      </c>
      <c r="C2136" t="s">
        <v>5606</v>
      </c>
    </row>
    <row r="2137" spans="1:3" x14ac:dyDescent="0.25">
      <c r="A2137">
        <v>2136</v>
      </c>
      <c r="B2137" t="s">
        <v>5607</v>
      </c>
      <c r="C2137" t="s">
        <v>5608</v>
      </c>
    </row>
    <row r="2138" spans="1:3" x14ac:dyDescent="0.25">
      <c r="A2138">
        <v>2137</v>
      </c>
      <c r="B2138" t="s">
        <v>776</v>
      </c>
      <c r="C2138" t="s">
        <v>5609</v>
      </c>
    </row>
    <row r="2139" spans="1:3" x14ac:dyDescent="0.25">
      <c r="A2139">
        <v>2138</v>
      </c>
      <c r="B2139" t="s">
        <v>744</v>
      </c>
      <c r="C2139" t="s">
        <v>5610</v>
      </c>
    </row>
    <row r="2140" spans="1:3" x14ac:dyDescent="0.25">
      <c r="A2140">
        <v>2139</v>
      </c>
      <c r="B2140" t="s">
        <v>5611</v>
      </c>
      <c r="C2140" t="s">
        <v>5612</v>
      </c>
    </row>
    <row r="2141" spans="1:3" x14ac:dyDescent="0.25">
      <c r="A2141">
        <v>2140</v>
      </c>
      <c r="B2141" t="s">
        <v>752</v>
      </c>
      <c r="C2141" t="s">
        <v>5613</v>
      </c>
    </row>
    <row r="2142" spans="1:3" x14ac:dyDescent="0.25">
      <c r="A2142">
        <v>2141</v>
      </c>
      <c r="B2142" t="s">
        <v>5614</v>
      </c>
      <c r="C2142" t="s">
        <v>5615</v>
      </c>
    </row>
    <row r="2143" spans="1:3" x14ac:dyDescent="0.25">
      <c r="A2143">
        <v>2142</v>
      </c>
      <c r="B2143" t="s">
        <v>2172</v>
      </c>
      <c r="C2143" t="s">
        <v>5616</v>
      </c>
    </row>
    <row r="2144" spans="1:3" x14ac:dyDescent="0.25">
      <c r="A2144">
        <v>2143</v>
      </c>
      <c r="B2144" t="s">
        <v>458</v>
      </c>
      <c r="C2144" t="s">
        <v>5617</v>
      </c>
    </row>
    <row r="2145" spans="1:3" x14ac:dyDescent="0.25">
      <c r="A2145">
        <v>2144</v>
      </c>
      <c r="B2145" t="s">
        <v>293</v>
      </c>
      <c r="C2145" t="s">
        <v>5618</v>
      </c>
    </row>
    <row r="2146" spans="1:3" x14ac:dyDescent="0.25">
      <c r="A2146">
        <v>2145</v>
      </c>
      <c r="B2146" t="s">
        <v>5619</v>
      </c>
      <c r="C2146" t="s">
        <v>5620</v>
      </c>
    </row>
    <row r="2147" spans="1:3" x14ac:dyDescent="0.25">
      <c r="A2147">
        <v>2146</v>
      </c>
      <c r="B2147" t="s">
        <v>833</v>
      </c>
      <c r="C2147" t="s">
        <v>5621</v>
      </c>
    </row>
    <row r="2148" spans="1:3" x14ac:dyDescent="0.25">
      <c r="A2148">
        <v>2147</v>
      </c>
      <c r="B2148" t="s">
        <v>780</v>
      </c>
      <c r="C2148" t="s">
        <v>5622</v>
      </c>
    </row>
    <row r="2149" spans="1:3" x14ac:dyDescent="0.25">
      <c r="A2149">
        <v>2148</v>
      </c>
      <c r="B2149" t="s">
        <v>584</v>
      </c>
      <c r="C2149" t="s">
        <v>5623</v>
      </c>
    </row>
    <row r="2150" spans="1:3" x14ac:dyDescent="0.25">
      <c r="A2150">
        <v>2149</v>
      </c>
      <c r="B2150" t="s">
        <v>544</v>
      </c>
      <c r="C2150" t="s">
        <v>5624</v>
      </c>
    </row>
    <row r="2151" spans="1:3" x14ac:dyDescent="0.25">
      <c r="A2151">
        <v>2150</v>
      </c>
      <c r="B2151" t="s">
        <v>464</v>
      </c>
      <c r="C2151" t="s">
        <v>5625</v>
      </c>
    </row>
    <row r="2152" spans="1:3" x14ac:dyDescent="0.25">
      <c r="A2152">
        <v>2151</v>
      </c>
      <c r="B2152" t="s">
        <v>466</v>
      </c>
      <c r="C2152" t="s">
        <v>5626</v>
      </c>
    </row>
    <row r="2153" spans="1:3" x14ac:dyDescent="0.25">
      <c r="A2153">
        <v>2152</v>
      </c>
      <c r="B2153" t="s">
        <v>2048</v>
      </c>
      <c r="C2153" t="s">
        <v>5627</v>
      </c>
    </row>
    <row r="2154" spans="1:3" x14ac:dyDescent="0.25">
      <c r="A2154">
        <v>2153</v>
      </c>
      <c r="B2154" t="s">
        <v>2072</v>
      </c>
      <c r="C2154" t="s">
        <v>5628</v>
      </c>
    </row>
    <row r="2155" spans="1:3" x14ac:dyDescent="0.25">
      <c r="A2155">
        <v>2154</v>
      </c>
      <c r="B2155" t="s">
        <v>1563</v>
      </c>
      <c r="C2155" t="s">
        <v>5629</v>
      </c>
    </row>
    <row r="2156" spans="1:3" x14ac:dyDescent="0.25">
      <c r="A2156">
        <v>2155</v>
      </c>
      <c r="B2156" t="s">
        <v>5630</v>
      </c>
      <c r="C2156" t="s">
        <v>5631</v>
      </c>
    </row>
    <row r="2157" spans="1:3" x14ac:dyDescent="0.25">
      <c r="A2157">
        <v>2156</v>
      </c>
      <c r="B2157" t="s">
        <v>297</v>
      </c>
      <c r="C2157" t="s">
        <v>5632</v>
      </c>
    </row>
    <row r="2158" spans="1:3" x14ac:dyDescent="0.25">
      <c r="A2158">
        <v>2157</v>
      </c>
      <c r="B2158" t="s">
        <v>462</v>
      </c>
      <c r="C2158" t="s">
        <v>5633</v>
      </c>
    </row>
    <row r="2159" spans="1:3" x14ac:dyDescent="0.25">
      <c r="A2159">
        <v>2158</v>
      </c>
      <c r="B2159" t="s">
        <v>299</v>
      </c>
      <c r="C2159" t="s">
        <v>5634</v>
      </c>
    </row>
    <row r="2160" spans="1:3" x14ac:dyDescent="0.25">
      <c r="A2160">
        <v>2159</v>
      </c>
      <c r="B2160" t="s">
        <v>301</v>
      </c>
      <c r="C2160" t="s">
        <v>5635</v>
      </c>
    </row>
    <row r="2161" spans="1:3" x14ac:dyDescent="0.25">
      <c r="A2161">
        <v>2160</v>
      </c>
      <c r="B2161" t="s">
        <v>303</v>
      </c>
      <c r="C2161" t="s">
        <v>5636</v>
      </c>
    </row>
    <row r="2162" spans="1:3" x14ac:dyDescent="0.25">
      <c r="A2162">
        <v>2161</v>
      </c>
      <c r="B2162" t="s">
        <v>620</v>
      </c>
      <c r="C2162" t="s">
        <v>5637</v>
      </c>
    </row>
    <row r="2163" spans="1:3" x14ac:dyDescent="0.25">
      <c r="A2163">
        <v>2162</v>
      </c>
      <c r="B2163" t="s">
        <v>305</v>
      </c>
      <c r="C2163" t="s">
        <v>5638</v>
      </c>
    </row>
    <row r="2164" spans="1:3" x14ac:dyDescent="0.25">
      <c r="A2164">
        <v>2163</v>
      </c>
      <c r="B2164" t="s">
        <v>307</v>
      </c>
      <c r="C2164" t="s">
        <v>5639</v>
      </c>
    </row>
    <row r="2165" spans="1:3" x14ac:dyDescent="0.25">
      <c r="A2165">
        <v>2164</v>
      </c>
      <c r="B2165" t="s">
        <v>546</v>
      </c>
      <c r="C2165" t="s">
        <v>5640</v>
      </c>
    </row>
    <row r="2166" spans="1:3" x14ac:dyDescent="0.25">
      <c r="A2166">
        <v>2165</v>
      </c>
      <c r="B2166" t="s">
        <v>295</v>
      </c>
      <c r="C2166" t="s">
        <v>5641</v>
      </c>
    </row>
    <row r="2167" spans="1:3" x14ac:dyDescent="0.25">
      <c r="A2167">
        <v>2166</v>
      </c>
      <c r="B2167" t="s">
        <v>460</v>
      </c>
      <c r="C2167" t="s">
        <v>5642</v>
      </c>
    </row>
    <row r="2168" spans="1:3" x14ac:dyDescent="0.25">
      <c r="A2168">
        <v>2167</v>
      </c>
      <c r="B2168" t="s">
        <v>2145</v>
      </c>
      <c r="C2168" t="s">
        <v>5643</v>
      </c>
    </row>
    <row r="2169" spans="1:3" x14ac:dyDescent="0.25">
      <c r="A2169">
        <v>2168</v>
      </c>
      <c r="B2169" t="s">
        <v>5644</v>
      </c>
      <c r="C2169" t="s">
        <v>5645</v>
      </c>
    </row>
    <row r="2170" spans="1:3" x14ac:dyDescent="0.25">
      <c r="A2170">
        <v>2169</v>
      </c>
      <c r="B2170" t="s">
        <v>827</v>
      </c>
      <c r="C2170" t="s">
        <v>5646</v>
      </c>
    </row>
    <row r="2171" spans="1:3" x14ac:dyDescent="0.25">
      <c r="A2171">
        <v>2170</v>
      </c>
      <c r="B2171" t="s">
        <v>1070</v>
      </c>
      <c r="C2171" t="s">
        <v>5647</v>
      </c>
    </row>
    <row r="2172" spans="1:3" x14ac:dyDescent="0.25">
      <c r="A2172">
        <v>2171</v>
      </c>
      <c r="B2172" t="s">
        <v>5648</v>
      </c>
      <c r="C2172" t="s">
        <v>5649</v>
      </c>
    </row>
    <row r="2173" spans="1:3" x14ac:dyDescent="0.25">
      <c r="A2173">
        <v>2172</v>
      </c>
      <c r="B2173" t="s">
        <v>2241</v>
      </c>
      <c r="C2173" t="s">
        <v>5650</v>
      </c>
    </row>
    <row r="2174" spans="1:3" x14ac:dyDescent="0.25">
      <c r="A2174">
        <v>2173</v>
      </c>
      <c r="B2174" t="s">
        <v>5651</v>
      </c>
      <c r="C2174" t="s">
        <v>5652</v>
      </c>
    </row>
    <row r="2175" spans="1:3" x14ac:dyDescent="0.25">
      <c r="A2175">
        <v>2174</v>
      </c>
      <c r="B2175" t="s">
        <v>739</v>
      </c>
      <c r="C2175" t="s">
        <v>5653</v>
      </c>
    </row>
    <row r="2176" spans="1:3" x14ac:dyDescent="0.25">
      <c r="A2176">
        <v>2175</v>
      </c>
      <c r="B2176" t="s">
        <v>2223</v>
      </c>
      <c r="C2176" t="s">
        <v>5654</v>
      </c>
    </row>
    <row r="2177" spans="1:3" x14ac:dyDescent="0.25">
      <c r="A2177">
        <v>2176</v>
      </c>
      <c r="B2177" t="s">
        <v>2081</v>
      </c>
      <c r="C2177" t="s">
        <v>5655</v>
      </c>
    </row>
    <row r="2178" spans="1:3" x14ac:dyDescent="0.25">
      <c r="A2178">
        <v>2177</v>
      </c>
      <c r="B2178" t="s">
        <v>5656</v>
      </c>
      <c r="C2178" t="s">
        <v>5657</v>
      </c>
    </row>
    <row r="2179" spans="1:3" x14ac:dyDescent="0.25">
      <c r="A2179">
        <v>2178</v>
      </c>
      <c r="B2179" t="s">
        <v>818</v>
      </c>
      <c r="C2179" t="s">
        <v>5658</v>
      </c>
    </row>
    <row r="2180" spans="1:3" x14ac:dyDescent="0.25">
      <c r="A2180">
        <v>2179</v>
      </c>
      <c r="B2180" t="s">
        <v>5659</v>
      </c>
      <c r="C2180" t="s">
        <v>5660</v>
      </c>
    </row>
    <row r="2181" spans="1:3" x14ac:dyDescent="0.25">
      <c r="A2181">
        <v>2180</v>
      </c>
      <c r="B2181" t="s">
        <v>5661</v>
      </c>
      <c r="C2181" t="s">
        <v>5662</v>
      </c>
    </row>
    <row r="2182" spans="1:3" x14ac:dyDescent="0.25">
      <c r="A2182">
        <v>2181</v>
      </c>
      <c r="B2182" t="s">
        <v>5663</v>
      </c>
      <c r="C2182" t="s">
        <v>5664</v>
      </c>
    </row>
    <row r="2183" spans="1:3" x14ac:dyDescent="0.25">
      <c r="A2183">
        <v>2182</v>
      </c>
      <c r="B2183" t="s">
        <v>5665</v>
      </c>
      <c r="C2183" t="s">
        <v>5666</v>
      </c>
    </row>
    <row r="2184" spans="1:3" x14ac:dyDescent="0.25">
      <c r="A2184">
        <v>2183</v>
      </c>
      <c r="B2184" t="s">
        <v>2202</v>
      </c>
      <c r="C2184" t="s">
        <v>5667</v>
      </c>
    </row>
    <row r="2185" spans="1:3" x14ac:dyDescent="0.25">
      <c r="A2185">
        <v>2184</v>
      </c>
      <c r="B2185" t="s">
        <v>1193</v>
      </c>
      <c r="C2185" t="s">
        <v>5668</v>
      </c>
    </row>
    <row r="2186" spans="1:3" x14ac:dyDescent="0.25">
      <c r="A2186">
        <v>2185</v>
      </c>
      <c r="B2186" t="s">
        <v>2136</v>
      </c>
      <c r="C2186" t="s">
        <v>5669</v>
      </c>
    </row>
    <row r="2187" spans="1:3" x14ac:dyDescent="0.25">
      <c r="A2187">
        <v>2186</v>
      </c>
      <c r="B2187" t="s">
        <v>1576</v>
      </c>
      <c r="C2187" t="s">
        <v>5670</v>
      </c>
    </row>
    <row r="2188" spans="1:3" x14ac:dyDescent="0.25">
      <c r="A2188">
        <v>2187</v>
      </c>
      <c r="B2188" t="s">
        <v>5671</v>
      </c>
      <c r="C2188" t="s">
        <v>5672</v>
      </c>
    </row>
    <row r="2189" spans="1:3" x14ac:dyDescent="0.25">
      <c r="A2189">
        <v>2188</v>
      </c>
      <c r="B2189" t="s">
        <v>112</v>
      </c>
      <c r="C2189" t="s">
        <v>5673</v>
      </c>
    </row>
    <row r="2190" spans="1:3" x14ac:dyDescent="0.25">
      <c r="A2190">
        <v>2189</v>
      </c>
      <c r="B2190" t="s">
        <v>1680</v>
      </c>
      <c r="C2190" t="s">
        <v>5674</v>
      </c>
    </row>
    <row r="2191" spans="1:3" x14ac:dyDescent="0.25">
      <c r="A2191">
        <v>2190</v>
      </c>
      <c r="B2191" t="s">
        <v>5675</v>
      </c>
      <c r="C2191" t="s">
        <v>5676</v>
      </c>
    </row>
    <row r="2192" spans="1:3" x14ac:dyDescent="0.25">
      <c r="A2192">
        <v>2191</v>
      </c>
      <c r="B2192" t="s">
        <v>2212</v>
      </c>
      <c r="C2192" t="s">
        <v>5677</v>
      </c>
    </row>
    <row r="2193" spans="1:3" x14ac:dyDescent="0.25">
      <c r="A2193">
        <v>2192</v>
      </c>
      <c r="B2193" t="s">
        <v>2228</v>
      </c>
      <c r="C2193" t="s">
        <v>5678</v>
      </c>
    </row>
    <row r="2194" spans="1:3" x14ac:dyDescent="0.25">
      <c r="A2194">
        <v>2193</v>
      </c>
      <c r="B2194" t="s">
        <v>2214</v>
      </c>
      <c r="C2194" t="s">
        <v>5679</v>
      </c>
    </row>
    <row r="2195" spans="1:3" x14ac:dyDescent="0.25">
      <c r="A2195">
        <v>2194</v>
      </c>
      <c r="B2195" t="s">
        <v>2100</v>
      </c>
      <c r="C2195" t="s">
        <v>5680</v>
      </c>
    </row>
    <row r="2196" spans="1:3" x14ac:dyDescent="0.25">
      <c r="A2196">
        <v>2195</v>
      </c>
      <c r="B2196" t="s">
        <v>2220</v>
      </c>
      <c r="C2196" t="s">
        <v>5681</v>
      </c>
    </row>
    <row r="2197" spans="1:3" x14ac:dyDescent="0.25">
      <c r="A2197">
        <v>2196</v>
      </c>
      <c r="B2197" t="s">
        <v>2222</v>
      </c>
      <c r="C2197" t="s">
        <v>5682</v>
      </c>
    </row>
    <row r="2198" spans="1:3" x14ac:dyDescent="0.25">
      <c r="A2198">
        <v>2197</v>
      </c>
      <c r="B2198" t="s">
        <v>2099</v>
      </c>
      <c r="C2198" t="s">
        <v>5683</v>
      </c>
    </row>
    <row r="2199" spans="1:3" x14ac:dyDescent="0.25">
      <c r="A2199">
        <v>2198</v>
      </c>
      <c r="B2199" t="s">
        <v>2211</v>
      </c>
      <c r="C2199" t="s">
        <v>5684</v>
      </c>
    </row>
    <row r="2200" spans="1:3" x14ac:dyDescent="0.25">
      <c r="A2200">
        <v>2199</v>
      </c>
      <c r="B2200" t="s">
        <v>1265</v>
      </c>
      <c r="C2200" t="s">
        <v>5685</v>
      </c>
    </row>
    <row r="2201" spans="1:3" x14ac:dyDescent="0.25">
      <c r="A2201">
        <v>2200</v>
      </c>
      <c r="B2201" t="s">
        <v>2210</v>
      </c>
      <c r="C2201" t="s">
        <v>5686</v>
      </c>
    </row>
    <row r="2202" spans="1:3" x14ac:dyDescent="0.25">
      <c r="A2202">
        <v>2201</v>
      </c>
      <c r="B2202" t="s">
        <v>2102</v>
      </c>
      <c r="C2202" t="s">
        <v>5687</v>
      </c>
    </row>
    <row r="2203" spans="1:3" x14ac:dyDescent="0.25">
      <c r="A2203">
        <v>2202</v>
      </c>
      <c r="B2203" t="s">
        <v>2224</v>
      </c>
      <c r="C2203" t="s">
        <v>5688</v>
      </c>
    </row>
    <row r="2204" spans="1:3" x14ac:dyDescent="0.25">
      <c r="A2204">
        <v>2203</v>
      </c>
      <c r="B2204" t="s">
        <v>1565</v>
      </c>
      <c r="C2204" t="s">
        <v>5689</v>
      </c>
    </row>
    <row r="2205" spans="1:3" x14ac:dyDescent="0.25">
      <c r="A2205">
        <v>2204</v>
      </c>
      <c r="B2205" t="s">
        <v>2183</v>
      </c>
      <c r="C2205" t="s">
        <v>5690</v>
      </c>
    </row>
    <row r="2206" spans="1:3" x14ac:dyDescent="0.25">
      <c r="A2206">
        <v>2205</v>
      </c>
      <c r="B2206" t="s">
        <v>1538</v>
      </c>
      <c r="C2206" t="s">
        <v>5691</v>
      </c>
    </row>
    <row r="2207" spans="1:3" x14ac:dyDescent="0.25">
      <c r="A2207">
        <v>2206</v>
      </c>
      <c r="B2207" t="s">
        <v>2219</v>
      </c>
      <c r="C2207" t="s">
        <v>5692</v>
      </c>
    </row>
    <row r="2208" spans="1:3" x14ac:dyDescent="0.25">
      <c r="A2208">
        <v>2207</v>
      </c>
      <c r="B2208" t="s">
        <v>260</v>
      </c>
      <c r="C2208" t="s">
        <v>5693</v>
      </c>
    </row>
    <row r="2209" spans="1:3" x14ac:dyDescent="0.25">
      <c r="A2209">
        <v>2208</v>
      </c>
      <c r="B2209" t="s">
        <v>5694</v>
      </c>
      <c r="C2209" t="s">
        <v>5695</v>
      </c>
    </row>
    <row r="2210" spans="1:3" x14ac:dyDescent="0.25">
      <c r="A2210">
        <v>2209</v>
      </c>
      <c r="B2210" t="s">
        <v>2207</v>
      </c>
      <c r="C2210" t="s">
        <v>5696</v>
      </c>
    </row>
    <row r="2211" spans="1:3" x14ac:dyDescent="0.25">
      <c r="A2211">
        <v>2210</v>
      </c>
      <c r="B2211" t="s">
        <v>2046</v>
      </c>
      <c r="C2211" t="s">
        <v>5697</v>
      </c>
    </row>
    <row r="2212" spans="1:3" x14ac:dyDescent="0.25">
      <c r="A2212">
        <v>2211</v>
      </c>
      <c r="B2212" t="s">
        <v>2176</v>
      </c>
      <c r="C2212" t="s">
        <v>5698</v>
      </c>
    </row>
    <row r="2213" spans="1:3" x14ac:dyDescent="0.25">
      <c r="A2213">
        <v>2212</v>
      </c>
      <c r="B2213" t="s">
        <v>2251</v>
      </c>
      <c r="C2213" t="s">
        <v>5699</v>
      </c>
    </row>
    <row r="2214" spans="1:3" x14ac:dyDescent="0.25">
      <c r="A2214">
        <v>2213</v>
      </c>
      <c r="B2214" t="s">
        <v>2282</v>
      </c>
      <c r="C2214" t="s">
        <v>5700</v>
      </c>
    </row>
    <row r="2215" spans="1:3" x14ac:dyDescent="0.25">
      <c r="A2215">
        <v>2214</v>
      </c>
      <c r="B2215" t="s">
        <v>5701</v>
      </c>
      <c r="C2215" t="s">
        <v>5702</v>
      </c>
    </row>
    <row r="2216" spans="1:3" x14ac:dyDescent="0.25">
      <c r="A2216">
        <v>2215</v>
      </c>
      <c r="B2216" t="s">
        <v>5703</v>
      </c>
      <c r="C2216" t="s">
        <v>5704</v>
      </c>
    </row>
    <row r="2217" spans="1:3" x14ac:dyDescent="0.25">
      <c r="A2217">
        <v>2216</v>
      </c>
      <c r="B2217" t="s">
        <v>2260</v>
      </c>
      <c r="C2217" t="s">
        <v>5705</v>
      </c>
    </row>
    <row r="2218" spans="1:3" x14ac:dyDescent="0.25">
      <c r="A2218">
        <v>2217</v>
      </c>
      <c r="B2218" t="s">
        <v>5706</v>
      </c>
      <c r="C2218" t="s">
        <v>5707</v>
      </c>
    </row>
    <row r="2219" spans="1:3" x14ac:dyDescent="0.25">
      <c r="A2219">
        <v>2218</v>
      </c>
      <c r="B2219" t="s">
        <v>5708</v>
      </c>
      <c r="C2219" t="s">
        <v>5709</v>
      </c>
    </row>
    <row r="2220" spans="1:3" x14ac:dyDescent="0.25">
      <c r="A2220">
        <v>2219</v>
      </c>
      <c r="B2220" t="s">
        <v>838</v>
      </c>
      <c r="C2220" t="s">
        <v>5710</v>
      </c>
    </row>
    <row r="2221" spans="1:3" x14ac:dyDescent="0.25">
      <c r="A2221">
        <v>2220</v>
      </c>
      <c r="B2221" t="s">
        <v>5711</v>
      </c>
      <c r="C2221" t="s">
        <v>5712</v>
      </c>
    </row>
    <row r="2222" spans="1:3" x14ac:dyDescent="0.25">
      <c r="A2222">
        <v>2221</v>
      </c>
      <c r="B2222" t="s">
        <v>21</v>
      </c>
      <c r="C2222" t="s">
        <v>5713</v>
      </c>
    </row>
    <row r="2223" spans="1:3" x14ac:dyDescent="0.25">
      <c r="A2223">
        <v>2222</v>
      </c>
      <c r="B2223" t="s">
        <v>5714</v>
      </c>
      <c r="C2223" t="s">
        <v>5715</v>
      </c>
    </row>
    <row r="2224" spans="1:3" x14ac:dyDescent="0.25">
      <c r="A2224">
        <v>2223</v>
      </c>
      <c r="B2224" t="s">
        <v>2314</v>
      </c>
      <c r="C2224" t="s">
        <v>5716</v>
      </c>
    </row>
    <row r="2225" spans="1:3" x14ac:dyDescent="0.25">
      <c r="A2225">
        <v>2224</v>
      </c>
      <c r="B2225" t="s">
        <v>2203</v>
      </c>
      <c r="C2225" t="s">
        <v>5717</v>
      </c>
    </row>
    <row r="2226" spans="1:3" x14ac:dyDescent="0.25">
      <c r="A2226">
        <v>2225</v>
      </c>
      <c r="B2226" t="s">
        <v>1630</v>
      </c>
      <c r="C2226" t="s">
        <v>5718</v>
      </c>
    </row>
    <row r="2227" spans="1:3" x14ac:dyDescent="0.25">
      <c r="A2227">
        <v>2226</v>
      </c>
      <c r="B2227" t="s">
        <v>1320</v>
      </c>
      <c r="C2227" t="s">
        <v>5719</v>
      </c>
    </row>
    <row r="2228" spans="1:3" x14ac:dyDescent="0.25">
      <c r="A2228">
        <v>2227</v>
      </c>
      <c r="B2228" t="s">
        <v>684</v>
      </c>
      <c r="C2228" t="s">
        <v>5720</v>
      </c>
    </row>
    <row r="2229" spans="1:3" x14ac:dyDescent="0.25">
      <c r="A2229">
        <v>2228</v>
      </c>
      <c r="B2229" t="s">
        <v>5721</v>
      </c>
      <c r="C2229" t="s">
        <v>5722</v>
      </c>
    </row>
    <row r="2230" spans="1:3" x14ac:dyDescent="0.25">
      <c r="A2230">
        <v>2229</v>
      </c>
      <c r="B2230" t="s">
        <v>831</v>
      </c>
      <c r="C2230" t="s">
        <v>5723</v>
      </c>
    </row>
    <row r="2231" spans="1:3" x14ac:dyDescent="0.25">
      <c r="A2231">
        <v>2230</v>
      </c>
      <c r="B2231" t="s">
        <v>74</v>
      </c>
      <c r="C2231" t="s">
        <v>5724</v>
      </c>
    </row>
    <row r="2232" spans="1:3" x14ac:dyDescent="0.25">
      <c r="A2232">
        <v>2231</v>
      </c>
      <c r="B2232" t="s">
        <v>5725</v>
      </c>
      <c r="C2232" t="s">
        <v>5726</v>
      </c>
    </row>
    <row r="2233" spans="1:3" x14ac:dyDescent="0.25">
      <c r="A2233">
        <v>2232</v>
      </c>
      <c r="B2233" t="s">
        <v>5727</v>
      </c>
      <c r="C2233" t="s">
        <v>5728</v>
      </c>
    </row>
    <row r="2234" spans="1:3" x14ac:dyDescent="0.25">
      <c r="A2234">
        <v>2233</v>
      </c>
      <c r="B2234" t="s">
        <v>1634</v>
      </c>
      <c r="C2234" t="s">
        <v>5729</v>
      </c>
    </row>
    <row r="2235" spans="1:3" x14ac:dyDescent="0.25">
      <c r="A2235">
        <v>2234</v>
      </c>
      <c r="B2235" t="s">
        <v>5730</v>
      </c>
      <c r="C2235" t="s">
        <v>5731</v>
      </c>
    </row>
    <row r="2236" spans="1:3" x14ac:dyDescent="0.25">
      <c r="A2236">
        <v>2235</v>
      </c>
      <c r="B2236" t="s">
        <v>672</v>
      </c>
      <c r="C2236" t="s">
        <v>5732</v>
      </c>
    </row>
    <row r="2237" spans="1:3" x14ac:dyDescent="0.25">
      <c r="A2237">
        <v>2236</v>
      </c>
      <c r="B2237" t="s">
        <v>2329</v>
      </c>
      <c r="C2237" t="s">
        <v>5733</v>
      </c>
    </row>
    <row r="2238" spans="1:3" x14ac:dyDescent="0.25">
      <c r="A2238">
        <v>2237</v>
      </c>
      <c r="B2238" t="s">
        <v>604</v>
      </c>
      <c r="C2238" t="s">
        <v>5734</v>
      </c>
    </row>
    <row r="2239" spans="1:3" x14ac:dyDescent="0.25">
      <c r="A2239">
        <v>2238</v>
      </c>
      <c r="B2239" t="s">
        <v>5735</v>
      </c>
      <c r="C2239" t="s">
        <v>5736</v>
      </c>
    </row>
    <row r="2240" spans="1:3" x14ac:dyDescent="0.25">
      <c r="A2240">
        <v>2239</v>
      </c>
      <c r="B2240" t="s">
        <v>5737</v>
      </c>
      <c r="C2240" t="s">
        <v>5738</v>
      </c>
    </row>
    <row r="2241" spans="1:3" x14ac:dyDescent="0.25">
      <c r="A2241">
        <v>2240</v>
      </c>
      <c r="B2241" t="s">
        <v>5739</v>
      </c>
      <c r="C2241" t="s">
        <v>5740</v>
      </c>
    </row>
    <row r="2242" spans="1:3" x14ac:dyDescent="0.25">
      <c r="A2242">
        <v>2241</v>
      </c>
      <c r="B2242" t="s">
        <v>5741</v>
      </c>
      <c r="C2242" t="s">
        <v>5742</v>
      </c>
    </row>
    <row r="2243" spans="1:3" x14ac:dyDescent="0.25">
      <c r="A2243">
        <v>2242</v>
      </c>
      <c r="B2243" t="s">
        <v>740</v>
      </c>
      <c r="C2243" t="s">
        <v>5743</v>
      </c>
    </row>
    <row r="2244" spans="1:3" x14ac:dyDescent="0.25">
      <c r="A2244">
        <v>2243</v>
      </c>
      <c r="B2244" t="s">
        <v>5744</v>
      </c>
      <c r="C2244" t="s">
        <v>5745</v>
      </c>
    </row>
    <row r="2245" spans="1:3" x14ac:dyDescent="0.25">
      <c r="A2245">
        <v>2244</v>
      </c>
      <c r="B2245" t="s">
        <v>5746</v>
      </c>
      <c r="C2245" t="s">
        <v>5747</v>
      </c>
    </row>
    <row r="2246" spans="1:3" x14ac:dyDescent="0.25">
      <c r="A2246">
        <v>2245</v>
      </c>
      <c r="B2246" t="s">
        <v>1692</v>
      </c>
      <c r="C2246" t="s">
        <v>5748</v>
      </c>
    </row>
    <row r="2247" spans="1:3" x14ac:dyDescent="0.25">
      <c r="A2247">
        <v>2246</v>
      </c>
      <c r="B2247" t="s">
        <v>1618</v>
      </c>
      <c r="C2247" t="s">
        <v>5749</v>
      </c>
    </row>
    <row r="2248" spans="1:3" x14ac:dyDescent="0.25">
      <c r="A2248">
        <v>2247</v>
      </c>
      <c r="B2248" t="s">
        <v>5750</v>
      </c>
      <c r="C2248" t="s">
        <v>5751</v>
      </c>
    </row>
    <row r="2249" spans="1:3" x14ac:dyDescent="0.25">
      <c r="A2249">
        <v>2248</v>
      </c>
      <c r="B2249" t="s">
        <v>1248</v>
      </c>
      <c r="C2249" t="s">
        <v>5752</v>
      </c>
    </row>
    <row r="2250" spans="1:3" x14ac:dyDescent="0.25">
      <c r="A2250">
        <v>2249</v>
      </c>
      <c r="B2250" t="s">
        <v>5753</v>
      </c>
      <c r="C2250" t="s">
        <v>5754</v>
      </c>
    </row>
    <row r="2251" spans="1:3" x14ac:dyDescent="0.25">
      <c r="A2251">
        <v>2250</v>
      </c>
      <c r="B2251" t="s">
        <v>124</v>
      </c>
      <c r="C2251" t="s">
        <v>5755</v>
      </c>
    </row>
    <row r="2252" spans="1:3" x14ac:dyDescent="0.25">
      <c r="A2252">
        <v>2251</v>
      </c>
      <c r="B2252" t="s">
        <v>102</v>
      </c>
      <c r="C2252" t="s">
        <v>5756</v>
      </c>
    </row>
    <row r="2253" spans="1:3" x14ac:dyDescent="0.25">
      <c r="A2253">
        <v>2252</v>
      </c>
      <c r="B2253" t="s">
        <v>754</v>
      </c>
      <c r="C2253" t="s">
        <v>5757</v>
      </c>
    </row>
    <row r="2254" spans="1:3" x14ac:dyDescent="0.25">
      <c r="A2254">
        <v>2253</v>
      </c>
      <c r="B2254" t="s">
        <v>5758</v>
      </c>
      <c r="C2254" t="s">
        <v>5759</v>
      </c>
    </row>
    <row r="2255" spans="1:3" x14ac:dyDescent="0.25">
      <c r="A2255">
        <v>2254</v>
      </c>
      <c r="B2255" t="s">
        <v>184</v>
      </c>
      <c r="C2255" t="s">
        <v>5760</v>
      </c>
    </row>
    <row r="2256" spans="1:3" x14ac:dyDescent="0.25">
      <c r="A2256">
        <v>2255</v>
      </c>
      <c r="B2256" t="s">
        <v>250</v>
      </c>
      <c r="C2256" t="s">
        <v>5761</v>
      </c>
    </row>
    <row r="2257" spans="1:3" x14ac:dyDescent="0.25">
      <c r="A2257">
        <v>2256</v>
      </c>
      <c r="B2257" t="s">
        <v>213</v>
      </c>
      <c r="C2257" t="s">
        <v>5762</v>
      </c>
    </row>
    <row r="2258" spans="1:3" x14ac:dyDescent="0.25">
      <c r="A2258">
        <v>2257</v>
      </c>
      <c r="B2258" t="s">
        <v>5763</v>
      </c>
      <c r="C2258" t="s">
        <v>5764</v>
      </c>
    </row>
    <row r="2259" spans="1:3" x14ac:dyDescent="0.25">
      <c r="A2259">
        <v>2258</v>
      </c>
      <c r="B2259" t="s">
        <v>1727</v>
      </c>
      <c r="C2259" t="s">
        <v>5765</v>
      </c>
    </row>
    <row r="2260" spans="1:3" x14ac:dyDescent="0.25">
      <c r="A2260">
        <v>2259</v>
      </c>
      <c r="B2260" t="s">
        <v>152</v>
      </c>
      <c r="C2260" t="s">
        <v>5766</v>
      </c>
    </row>
    <row r="2261" spans="1:3" x14ac:dyDescent="0.25">
      <c r="A2261">
        <v>2260</v>
      </c>
      <c r="B2261" t="s">
        <v>5767</v>
      </c>
      <c r="C2261" t="s">
        <v>5768</v>
      </c>
    </row>
    <row r="2262" spans="1:3" x14ac:dyDescent="0.25">
      <c r="A2262">
        <v>2261</v>
      </c>
      <c r="B2262" t="s">
        <v>5769</v>
      </c>
      <c r="C2262" t="s">
        <v>5770</v>
      </c>
    </row>
    <row r="2263" spans="1:3" x14ac:dyDescent="0.25">
      <c r="A2263">
        <v>2262</v>
      </c>
      <c r="B2263" t="s">
        <v>1014</v>
      </c>
      <c r="C2263" t="s">
        <v>5771</v>
      </c>
    </row>
    <row r="2264" spans="1:3" x14ac:dyDescent="0.25">
      <c r="A2264">
        <v>2263</v>
      </c>
      <c r="B2264" t="s">
        <v>5772</v>
      </c>
      <c r="C2264" t="s">
        <v>5773</v>
      </c>
    </row>
    <row r="2265" spans="1:3" x14ac:dyDescent="0.25">
      <c r="A2265">
        <v>2264</v>
      </c>
      <c r="B2265" t="s">
        <v>5774</v>
      </c>
      <c r="C2265" t="s">
        <v>5775</v>
      </c>
    </row>
    <row r="2266" spans="1:3" x14ac:dyDescent="0.25">
      <c r="A2266">
        <v>2265</v>
      </c>
      <c r="B2266" t="s">
        <v>5776</v>
      </c>
      <c r="C2266" t="s">
        <v>5777</v>
      </c>
    </row>
    <row r="2267" spans="1:3" x14ac:dyDescent="0.25">
      <c r="A2267">
        <v>2266</v>
      </c>
      <c r="B2267" t="s">
        <v>632</v>
      </c>
      <c r="C2267" t="s">
        <v>5778</v>
      </c>
    </row>
    <row r="2268" spans="1:3" x14ac:dyDescent="0.25">
      <c r="A2268">
        <v>2267</v>
      </c>
      <c r="B2268" t="s">
        <v>726</v>
      </c>
      <c r="C2268" t="s">
        <v>5779</v>
      </c>
    </row>
    <row r="2269" spans="1:3" x14ac:dyDescent="0.25">
      <c r="A2269">
        <v>2268</v>
      </c>
      <c r="B2269" t="s">
        <v>5780</v>
      </c>
      <c r="C2269" t="s">
        <v>5781</v>
      </c>
    </row>
    <row r="2270" spans="1:3" x14ac:dyDescent="0.25">
      <c r="A2270">
        <v>2269</v>
      </c>
      <c r="B2270" t="s">
        <v>5782</v>
      </c>
      <c r="C2270" t="s">
        <v>5783</v>
      </c>
    </row>
    <row r="2271" spans="1:3" x14ac:dyDescent="0.25">
      <c r="A2271">
        <v>2270</v>
      </c>
      <c r="B2271" t="s">
        <v>2147</v>
      </c>
      <c r="C2271" t="s">
        <v>5784</v>
      </c>
    </row>
    <row r="2272" spans="1:3" x14ac:dyDescent="0.25">
      <c r="A2272">
        <v>2271</v>
      </c>
      <c r="B2272" t="s">
        <v>5785</v>
      </c>
      <c r="C2272" t="s">
        <v>5786</v>
      </c>
    </row>
    <row r="2273" spans="1:3" x14ac:dyDescent="0.25">
      <c r="A2273">
        <v>2272</v>
      </c>
      <c r="B2273" t="s">
        <v>5787</v>
      </c>
      <c r="C2273" t="s">
        <v>5788</v>
      </c>
    </row>
    <row r="2274" spans="1:3" x14ac:dyDescent="0.25">
      <c r="A2274">
        <v>2273</v>
      </c>
      <c r="B2274" t="s">
        <v>5789</v>
      </c>
      <c r="C2274" t="s">
        <v>5790</v>
      </c>
    </row>
    <row r="2275" spans="1:3" x14ac:dyDescent="0.25">
      <c r="A2275">
        <v>2274</v>
      </c>
      <c r="B2275" t="s">
        <v>5791</v>
      </c>
      <c r="C2275" t="s">
        <v>5792</v>
      </c>
    </row>
    <row r="2276" spans="1:3" x14ac:dyDescent="0.25">
      <c r="A2276">
        <v>2275</v>
      </c>
      <c r="B2276" t="s">
        <v>5793</v>
      </c>
      <c r="C2276" t="s">
        <v>5794</v>
      </c>
    </row>
    <row r="2277" spans="1:3" x14ac:dyDescent="0.25">
      <c r="A2277">
        <v>2276</v>
      </c>
      <c r="B2277" t="s">
        <v>2097</v>
      </c>
      <c r="C2277" t="s">
        <v>5795</v>
      </c>
    </row>
    <row r="2278" spans="1:3" x14ac:dyDescent="0.25">
      <c r="A2278">
        <v>2277</v>
      </c>
      <c r="B2278" t="s">
        <v>1720</v>
      </c>
      <c r="C2278" t="s">
        <v>5796</v>
      </c>
    </row>
    <row r="2279" spans="1:3" x14ac:dyDescent="0.25">
      <c r="A2279">
        <v>2278</v>
      </c>
      <c r="B2279" t="s">
        <v>522</v>
      </c>
      <c r="C2279" t="s">
        <v>5797</v>
      </c>
    </row>
    <row r="2280" spans="1:3" x14ac:dyDescent="0.25">
      <c r="A2280">
        <v>2279</v>
      </c>
      <c r="B2280" t="s">
        <v>5798</v>
      </c>
      <c r="C2280" t="s">
        <v>5799</v>
      </c>
    </row>
    <row r="2281" spans="1:3" x14ac:dyDescent="0.25">
      <c r="A2281">
        <v>2280</v>
      </c>
      <c r="B2281" t="s">
        <v>748</v>
      </c>
      <c r="C2281" t="s">
        <v>5800</v>
      </c>
    </row>
    <row r="2282" spans="1:3" x14ac:dyDescent="0.25">
      <c r="A2282">
        <v>2281</v>
      </c>
      <c r="B2282" t="s">
        <v>5801</v>
      </c>
      <c r="C2282" t="s">
        <v>5802</v>
      </c>
    </row>
    <row r="2283" spans="1:3" x14ac:dyDescent="0.25">
      <c r="A2283">
        <v>2282</v>
      </c>
      <c r="B2283" t="s">
        <v>704</v>
      </c>
      <c r="C2283" t="s">
        <v>5803</v>
      </c>
    </row>
    <row r="2284" spans="1:3" x14ac:dyDescent="0.25">
      <c r="A2284">
        <v>2283</v>
      </c>
      <c r="B2284" t="s">
        <v>5804</v>
      </c>
      <c r="C2284" t="s">
        <v>5805</v>
      </c>
    </row>
    <row r="2285" spans="1:3" x14ac:dyDescent="0.25">
      <c r="A2285">
        <v>2284</v>
      </c>
      <c r="B2285" t="s">
        <v>5806</v>
      </c>
      <c r="C2285" t="s">
        <v>5807</v>
      </c>
    </row>
    <row r="2286" spans="1:3" x14ac:dyDescent="0.25">
      <c r="A2286">
        <v>2285</v>
      </c>
      <c r="B2286" t="s">
        <v>1258</v>
      </c>
      <c r="C2286" t="s">
        <v>5808</v>
      </c>
    </row>
    <row r="2287" spans="1:3" x14ac:dyDescent="0.25">
      <c r="A2287">
        <v>2286</v>
      </c>
      <c r="B2287" t="s">
        <v>5809</v>
      </c>
      <c r="C2287" t="s">
        <v>5810</v>
      </c>
    </row>
    <row r="2288" spans="1:3" x14ac:dyDescent="0.25">
      <c r="A2288">
        <v>2287</v>
      </c>
      <c r="B2288" t="s">
        <v>5811</v>
      </c>
      <c r="C2288" t="s">
        <v>5812</v>
      </c>
    </row>
    <row r="2289" spans="1:3" x14ac:dyDescent="0.25">
      <c r="A2289">
        <v>2288</v>
      </c>
      <c r="B2289" t="s">
        <v>1260</v>
      </c>
      <c r="C2289" t="s">
        <v>5813</v>
      </c>
    </row>
    <row r="2290" spans="1:3" x14ac:dyDescent="0.25">
      <c r="A2290">
        <v>2289</v>
      </c>
      <c r="B2290" t="s">
        <v>1811</v>
      </c>
      <c r="C2290" t="s">
        <v>5814</v>
      </c>
    </row>
    <row r="2291" spans="1:3" x14ac:dyDescent="0.25">
      <c r="A2291">
        <v>2290</v>
      </c>
      <c r="B2291" t="s">
        <v>5815</v>
      </c>
      <c r="C2291" t="s">
        <v>5816</v>
      </c>
    </row>
    <row r="2292" spans="1:3" x14ac:dyDescent="0.25">
      <c r="A2292">
        <v>2291</v>
      </c>
      <c r="B2292" t="s">
        <v>5817</v>
      </c>
      <c r="C2292" t="s">
        <v>5818</v>
      </c>
    </row>
    <row r="2293" spans="1:3" x14ac:dyDescent="0.25">
      <c r="A2293">
        <v>2292</v>
      </c>
      <c r="B2293" t="s">
        <v>2208</v>
      </c>
      <c r="C2293" t="s">
        <v>5819</v>
      </c>
    </row>
    <row r="2294" spans="1:3" x14ac:dyDescent="0.25">
      <c r="A2294">
        <v>2293</v>
      </c>
      <c r="B2294" t="s">
        <v>5820</v>
      </c>
      <c r="C2294" t="s">
        <v>5821</v>
      </c>
    </row>
    <row r="2295" spans="1:3" x14ac:dyDescent="0.25">
      <c r="A2295">
        <v>2294</v>
      </c>
      <c r="B2295" t="s">
        <v>2254</v>
      </c>
      <c r="C2295" t="s">
        <v>5822</v>
      </c>
    </row>
    <row r="2296" spans="1:3" x14ac:dyDescent="0.25">
      <c r="A2296">
        <v>2295</v>
      </c>
      <c r="B2296" t="s">
        <v>2041</v>
      </c>
      <c r="C2296" t="s">
        <v>5823</v>
      </c>
    </row>
    <row r="2297" spans="1:3" x14ac:dyDescent="0.25">
      <c r="A2297">
        <v>2296</v>
      </c>
      <c r="B2297" t="s">
        <v>2040</v>
      </c>
      <c r="C2297" t="s">
        <v>5824</v>
      </c>
    </row>
    <row r="2298" spans="1:3" x14ac:dyDescent="0.25">
      <c r="A2298">
        <v>2297</v>
      </c>
      <c r="B2298" t="s">
        <v>606</v>
      </c>
      <c r="C2298" t="s">
        <v>5825</v>
      </c>
    </row>
    <row r="2299" spans="1:3" x14ac:dyDescent="0.25">
      <c r="A2299">
        <v>2298</v>
      </c>
      <c r="B2299" t="s">
        <v>1016</v>
      </c>
      <c r="C2299" t="s">
        <v>5826</v>
      </c>
    </row>
    <row r="2300" spans="1:3" x14ac:dyDescent="0.25">
      <c r="A2300">
        <v>2299</v>
      </c>
      <c r="B2300" t="s">
        <v>1700</v>
      </c>
      <c r="C2300" t="s">
        <v>5827</v>
      </c>
    </row>
    <row r="2301" spans="1:3" x14ac:dyDescent="0.25">
      <c r="A2301">
        <v>2300</v>
      </c>
      <c r="B2301" t="s">
        <v>2247</v>
      </c>
      <c r="C2301" t="s">
        <v>5828</v>
      </c>
    </row>
    <row r="2302" spans="1:3" x14ac:dyDescent="0.25">
      <c r="A2302">
        <v>2301</v>
      </c>
      <c r="B2302" t="s">
        <v>5829</v>
      </c>
      <c r="C2302" t="s">
        <v>5830</v>
      </c>
    </row>
    <row r="2303" spans="1:3" x14ac:dyDescent="0.25">
      <c r="A2303">
        <v>2302</v>
      </c>
      <c r="B2303" t="s">
        <v>5831</v>
      </c>
      <c r="C2303" t="s">
        <v>5832</v>
      </c>
    </row>
    <row r="2304" spans="1:3" x14ac:dyDescent="0.25">
      <c r="A2304">
        <v>2303</v>
      </c>
      <c r="B2304" t="s">
        <v>2054</v>
      </c>
      <c r="C2304" t="s">
        <v>5833</v>
      </c>
    </row>
    <row r="2305" spans="1:3" x14ac:dyDescent="0.25">
      <c r="A2305">
        <v>2304</v>
      </c>
      <c r="B2305" t="s">
        <v>252</v>
      </c>
      <c r="C2305" t="s">
        <v>5834</v>
      </c>
    </row>
    <row r="2306" spans="1:3" x14ac:dyDescent="0.25">
      <c r="A2306">
        <v>2305</v>
      </c>
      <c r="B2306" t="s">
        <v>5835</v>
      </c>
      <c r="C2306" t="s">
        <v>5836</v>
      </c>
    </row>
    <row r="2307" spans="1:3" x14ac:dyDescent="0.25">
      <c r="A2307">
        <v>2306</v>
      </c>
      <c r="B2307" t="s">
        <v>746</v>
      </c>
      <c r="C2307" t="s">
        <v>5837</v>
      </c>
    </row>
    <row r="2308" spans="1:3" x14ac:dyDescent="0.25">
      <c r="A2308">
        <v>2307</v>
      </c>
      <c r="B2308" t="s">
        <v>1219</v>
      </c>
      <c r="C2308" t="s">
        <v>5838</v>
      </c>
    </row>
    <row r="2309" spans="1:3" x14ac:dyDescent="0.25">
      <c r="A2309">
        <v>2308</v>
      </c>
      <c r="B2309" t="s">
        <v>674</v>
      </c>
      <c r="C2309" t="s">
        <v>5839</v>
      </c>
    </row>
    <row r="2310" spans="1:3" x14ac:dyDescent="0.25">
      <c r="A2310">
        <v>2309</v>
      </c>
      <c r="B2310" t="s">
        <v>5840</v>
      </c>
      <c r="C2310" t="s">
        <v>5841</v>
      </c>
    </row>
    <row r="2311" spans="1:3" x14ac:dyDescent="0.25">
      <c r="A2311">
        <v>2310</v>
      </c>
      <c r="B2311" t="s">
        <v>5842</v>
      </c>
      <c r="C2311" t="s">
        <v>5843</v>
      </c>
    </row>
    <row r="2312" spans="1:3" x14ac:dyDescent="0.25">
      <c r="A2312">
        <v>2311</v>
      </c>
      <c r="B2312" t="s">
        <v>2303</v>
      </c>
      <c r="C2312" t="s">
        <v>5844</v>
      </c>
    </row>
    <row r="2313" spans="1:3" x14ac:dyDescent="0.25">
      <c r="A2313">
        <v>2312</v>
      </c>
      <c r="B2313" t="s">
        <v>5845</v>
      </c>
      <c r="C2313" t="s">
        <v>5846</v>
      </c>
    </row>
    <row r="2314" spans="1:3" x14ac:dyDescent="0.25">
      <c r="A2314">
        <v>2313</v>
      </c>
      <c r="B2314" t="s">
        <v>5847</v>
      </c>
      <c r="C2314" t="s">
        <v>5848</v>
      </c>
    </row>
    <row r="2315" spans="1:3" x14ac:dyDescent="0.25">
      <c r="A2315">
        <v>2314</v>
      </c>
      <c r="B2315" t="s">
        <v>5849</v>
      </c>
      <c r="C2315" t="s">
        <v>5850</v>
      </c>
    </row>
    <row r="2316" spans="1:3" x14ac:dyDescent="0.25">
      <c r="A2316">
        <v>2315</v>
      </c>
      <c r="B2316" t="s">
        <v>5851</v>
      </c>
      <c r="C2316" t="s">
        <v>5852</v>
      </c>
    </row>
    <row r="2317" spans="1:3" x14ac:dyDescent="0.25">
      <c r="A2317">
        <v>2316</v>
      </c>
      <c r="B2317" t="s">
        <v>5853</v>
      </c>
      <c r="C2317" t="s">
        <v>5854</v>
      </c>
    </row>
    <row r="2318" spans="1:3" x14ac:dyDescent="0.25">
      <c r="A2318">
        <v>2317</v>
      </c>
      <c r="B2318" t="s">
        <v>5855</v>
      </c>
      <c r="C2318" t="s">
        <v>5856</v>
      </c>
    </row>
    <row r="2319" spans="1:3" x14ac:dyDescent="0.25">
      <c r="A2319">
        <v>2318</v>
      </c>
      <c r="B2319" t="s">
        <v>5857</v>
      </c>
      <c r="C2319" t="s">
        <v>5858</v>
      </c>
    </row>
    <row r="2320" spans="1:3" x14ac:dyDescent="0.25">
      <c r="A2320">
        <v>2319</v>
      </c>
      <c r="B2320" t="s">
        <v>1765</v>
      </c>
      <c r="C2320" t="s">
        <v>5859</v>
      </c>
    </row>
    <row r="2321" spans="1:3" x14ac:dyDescent="0.25">
      <c r="A2321">
        <v>2320</v>
      </c>
      <c r="B2321" t="s">
        <v>1325</v>
      </c>
      <c r="C2321" t="s">
        <v>5860</v>
      </c>
    </row>
    <row r="2322" spans="1:3" x14ac:dyDescent="0.25">
      <c r="A2322">
        <v>2321</v>
      </c>
      <c r="B2322" t="s">
        <v>1627</v>
      </c>
      <c r="C2322" t="s">
        <v>5861</v>
      </c>
    </row>
    <row r="2323" spans="1:3" x14ac:dyDescent="0.25">
      <c r="A2323">
        <v>2322</v>
      </c>
      <c r="B2323" t="s">
        <v>664</v>
      </c>
      <c r="C2323" t="s">
        <v>5862</v>
      </c>
    </row>
    <row r="2324" spans="1:3" x14ac:dyDescent="0.25">
      <c r="A2324">
        <v>2323</v>
      </c>
      <c r="B2324" t="s">
        <v>178</v>
      </c>
      <c r="C2324" t="s">
        <v>5863</v>
      </c>
    </row>
    <row r="2325" spans="1:3" x14ac:dyDescent="0.25">
      <c r="A2325">
        <v>2324</v>
      </c>
      <c r="B2325" t="s">
        <v>242</v>
      </c>
      <c r="C2325" t="s">
        <v>5864</v>
      </c>
    </row>
    <row r="2326" spans="1:3" x14ac:dyDescent="0.25">
      <c r="A2326">
        <v>2325</v>
      </c>
      <c r="B2326" t="s">
        <v>5865</v>
      </c>
      <c r="C2326" t="s">
        <v>5866</v>
      </c>
    </row>
    <row r="2327" spans="1:3" x14ac:dyDescent="0.25">
      <c r="A2327">
        <v>2326</v>
      </c>
      <c r="B2327" t="s">
        <v>736</v>
      </c>
      <c r="C2327" t="s">
        <v>5867</v>
      </c>
    </row>
    <row r="2328" spans="1:3" x14ac:dyDescent="0.25">
      <c r="A2328">
        <v>2327</v>
      </c>
      <c r="B2328" t="s">
        <v>454</v>
      </c>
      <c r="C2328" t="s">
        <v>5868</v>
      </c>
    </row>
    <row r="2329" spans="1:3" x14ac:dyDescent="0.25">
      <c r="A2329">
        <v>2328</v>
      </c>
      <c r="B2329" t="s">
        <v>1726</v>
      </c>
      <c r="C2329" t="s">
        <v>5869</v>
      </c>
    </row>
    <row r="2330" spans="1:3" x14ac:dyDescent="0.25">
      <c r="A2330">
        <v>2329</v>
      </c>
      <c r="B2330" t="s">
        <v>1217</v>
      </c>
      <c r="C2330" t="s">
        <v>5870</v>
      </c>
    </row>
    <row r="2331" spans="1:3" x14ac:dyDescent="0.25">
      <c r="A2331">
        <v>2330</v>
      </c>
      <c r="B2331" t="s">
        <v>1103</v>
      </c>
      <c r="C2331" t="s">
        <v>5871</v>
      </c>
    </row>
    <row r="2332" spans="1:3" x14ac:dyDescent="0.25">
      <c r="A2332">
        <v>2331</v>
      </c>
      <c r="B2332" t="s">
        <v>2157</v>
      </c>
      <c r="C2332" t="s">
        <v>5872</v>
      </c>
    </row>
    <row r="2333" spans="1:3" x14ac:dyDescent="0.25">
      <c r="A2333">
        <v>2332</v>
      </c>
      <c r="B2333" t="s">
        <v>5873</v>
      </c>
      <c r="C2333" t="s">
        <v>5874</v>
      </c>
    </row>
    <row r="2334" spans="1:3" x14ac:dyDescent="0.25">
      <c r="A2334">
        <v>2333</v>
      </c>
      <c r="B2334" t="s">
        <v>1317</v>
      </c>
      <c r="C2334" t="s">
        <v>5875</v>
      </c>
    </row>
    <row r="2335" spans="1:3" x14ac:dyDescent="0.25">
      <c r="A2335">
        <v>2334</v>
      </c>
      <c r="B2335" t="s">
        <v>5876</v>
      </c>
      <c r="C2335" t="s">
        <v>5877</v>
      </c>
    </row>
    <row r="2336" spans="1:3" x14ac:dyDescent="0.25">
      <c r="A2336">
        <v>2335</v>
      </c>
      <c r="B2336" t="s">
        <v>5878</v>
      </c>
      <c r="C2336" t="s">
        <v>5879</v>
      </c>
    </row>
    <row r="2337" spans="1:3" x14ac:dyDescent="0.25">
      <c r="A2337">
        <v>2336</v>
      </c>
      <c r="B2337" t="s">
        <v>5880</v>
      </c>
      <c r="C2337" t="s">
        <v>5881</v>
      </c>
    </row>
    <row r="2338" spans="1:3" x14ac:dyDescent="0.25">
      <c r="A2338">
        <v>2337</v>
      </c>
      <c r="B2338" t="s">
        <v>5882</v>
      </c>
      <c r="C2338" t="s">
        <v>5883</v>
      </c>
    </row>
    <row r="2339" spans="1:3" x14ac:dyDescent="0.25">
      <c r="A2339">
        <v>2338</v>
      </c>
      <c r="B2339" t="s">
        <v>259</v>
      </c>
      <c r="C2339" t="s">
        <v>5884</v>
      </c>
    </row>
    <row r="2340" spans="1:3" x14ac:dyDescent="0.25">
      <c r="A2340">
        <v>2339</v>
      </c>
      <c r="B2340" t="s">
        <v>1960</v>
      </c>
      <c r="C2340" t="s">
        <v>5885</v>
      </c>
    </row>
    <row r="2341" spans="1:3" x14ac:dyDescent="0.25">
      <c r="A2341">
        <v>2340</v>
      </c>
      <c r="B2341" t="s">
        <v>921</v>
      </c>
      <c r="C2341" t="s">
        <v>5886</v>
      </c>
    </row>
    <row r="2342" spans="1:3" x14ac:dyDescent="0.25">
      <c r="A2342">
        <v>2341</v>
      </c>
      <c r="B2342" t="s">
        <v>11</v>
      </c>
      <c r="C2342" t="s">
        <v>5887</v>
      </c>
    </row>
    <row r="2343" spans="1:3" x14ac:dyDescent="0.25">
      <c r="A2343">
        <v>2342</v>
      </c>
      <c r="B2343" t="s">
        <v>27</v>
      </c>
      <c r="C2343" t="s">
        <v>5888</v>
      </c>
    </row>
    <row r="2344" spans="1:3" x14ac:dyDescent="0.25">
      <c r="A2344">
        <v>2343</v>
      </c>
      <c r="B2344" t="s">
        <v>5889</v>
      </c>
      <c r="C2344" t="s">
        <v>5890</v>
      </c>
    </row>
    <row r="2345" spans="1:3" x14ac:dyDescent="0.25">
      <c r="A2345">
        <v>2344</v>
      </c>
      <c r="B2345" t="s">
        <v>1858</v>
      </c>
      <c r="C2345" t="s">
        <v>5891</v>
      </c>
    </row>
    <row r="2346" spans="1:3" x14ac:dyDescent="0.25">
      <c r="A2346">
        <v>2345</v>
      </c>
      <c r="B2346" t="s">
        <v>903</v>
      </c>
      <c r="C2346" t="s">
        <v>5892</v>
      </c>
    </row>
    <row r="2347" spans="1:3" x14ac:dyDescent="0.25">
      <c r="A2347">
        <v>2346</v>
      </c>
      <c r="B2347" t="s">
        <v>5893</v>
      </c>
      <c r="C2347" t="s">
        <v>5894</v>
      </c>
    </row>
    <row r="2348" spans="1:3" x14ac:dyDescent="0.25">
      <c r="A2348">
        <v>2347</v>
      </c>
      <c r="B2348" t="s">
        <v>957</v>
      </c>
      <c r="C2348" t="s">
        <v>5895</v>
      </c>
    </row>
    <row r="2349" spans="1:3" x14ac:dyDescent="0.25">
      <c r="A2349">
        <v>2348</v>
      </c>
      <c r="B2349" t="s">
        <v>5896</v>
      </c>
      <c r="C2349" t="s">
        <v>5897</v>
      </c>
    </row>
    <row r="2350" spans="1:3" x14ac:dyDescent="0.25">
      <c r="A2350">
        <v>2349</v>
      </c>
      <c r="B2350" t="s">
        <v>5898</v>
      </c>
      <c r="C2350" t="s">
        <v>5899</v>
      </c>
    </row>
    <row r="2351" spans="1:3" x14ac:dyDescent="0.25">
      <c r="A2351">
        <v>2350</v>
      </c>
      <c r="B2351" t="s">
        <v>1191</v>
      </c>
      <c r="C2351" t="s">
        <v>5900</v>
      </c>
    </row>
    <row r="2352" spans="1:3" x14ac:dyDescent="0.25">
      <c r="A2352">
        <v>2351</v>
      </c>
      <c r="B2352" t="s">
        <v>5901</v>
      </c>
      <c r="C2352" t="s">
        <v>5902</v>
      </c>
    </row>
    <row r="2353" spans="1:3" x14ac:dyDescent="0.25">
      <c r="A2353">
        <v>2352</v>
      </c>
      <c r="B2353" t="s">
        <v>5903</v>
      </c>
      <c r="C2353" t="s">
        <v>5904</v>
      </c>
    </row>
    <row r="2354" spans="1:3" x14ac:dyDescent="0.25">
      <c r="A2354">
        <v>2353</v>
      </c>
      <c r="B2354" t="s">
        <v>33</v>
      </c>
      <c r="C2354" t="s">
        <v>5905</v>
      </c>
    </row>
    <row r="2355" spans="1:3" x14ac:dyDescent="0.25">
      <c r="A2355">
        <v>2354</v>
      </c>
      <c r="B2355" t="s">
        <v>572</v>
      </c>
      <c r="C2355" t="s">
        <v>5906</v>
      </c>
    </row>
    <row r="2356" spans="1:3" x14ac:dyDescent="0.25">
      <c r="A2356">
        <v>2355</v>
      </c>
      <c r="B2356" t="s">
        <v>5907</v>
      </c>
      <c r="C2356" t="s">
        <v>5908</v>
      </c>
    </row>
    <row r="2357" spans="1:3" x14ac:dyDescent="0.25">
      <c r="A2357">
        <v>2356</v>
      </c>
      <c r="B2357" t="s">
        <v>5909</v>
      </c>
      <c r="C2357" t="s">
        <v>5910</v>
      </c>
    </row>
    <row r="2358" spans="1:3" x14ac:dyDescent="0.25">
      <c r="A2358">
        <v>2357</v>
      </c>
      <c r="B2358" t="s">
        <v>5911</v>
      </c>
      <c r="C2358" t="s">
        <v>5912</v>
      </c>
    </row>
    <row r="2359" spans="1:3" x14ac:dyDescent="0.25">
      <c r="A2359">
        <v>2358</v>
      </c>
      <c r="B2359" t="s">
        <v>5913</v>
      </c>
      <c r="C2359" t="s">
        <v>5914</v>
      </c>
    </row>
    <row r="2360" spans="1:3" x14ac:dyDescent="0.25">
      <c r="A2360">
        <v>2359</v>
      </c>
      <c r="B2360" t="s">
        <v>5915</v>
      </c>
      <c r="C2360" t="s">
        <v>5916</v>
      </c>
    </row>
    <row r="2361" spans="1:3" x14ac:dyDescent="0.25">
      <c r="A2361">
        <v>2360</v>
      </c>
      <c r="B2361" t="s">
        <v>5917</v>
      </c>
      <c r="C2361" t="s">
        <v>5918</v>
      </c>
    </row>
    <row r="2362" spans="1:3" x14ac:dyDescent="0.25">
      <c r="A2362">
        <v>2361</v>
      </c>
      <c r="B2362" t="s">
        <v>2121</v>
      </c>
      <c r="C2362" t="s">
        <v>5919</v>
      </c>
    </row>
    <row r="2363" spans="1:3" x14ac:dyDescent="0.25">
      <c r="A2363">
        <v>2362</v>
      </c>
      <c r="B2363" t="s">
        <v>5920</v>
      </c>
      <c r="C2363" t="s">
        <v>5921</v>
      </c>
    </row>
    <row r="2364" spans="1:3" x14ac:dyDescent="0.25">
      <c r="A2364">
        <v>2363</v>
      </c>
      <c r="B2364" t="s">
        <v>5922</v>
      </c>
      <c r="C2364" t="s">
        <v>5923</v>
      </c>
    </row>
    <row r="2365" spans="1:3" x14ac:dyDescent="0.25">
      <c r="A2365">
        <v>2364</v>
      </c>
      <c r="B2365" t="s">
        <v>5924</v>
      </c>
      <c r="C2365" t="s">
        <v>5925</v>
      </c>
    </row>
    <row r="2366" spans="1:3" x14ac:dyDescent="0.25">
      <c r="A2366">
        <v>2365</v>
      </c>
      <c r="B2366" t="s">
        <v>788</v>
      </c>
      <c r="C2366" t="s">
        <v>5926</v>
      </c>
    </row>
    <row r="2367" spans="1:3" x14ac:dyDescent="0.25">
      <c r="A2367">
        <v>2366</v>
      </c>
      <c r="B2367" t="s">
        <v>5927</v>
      </c>
      <c r="C2367" t="s">
        <v>5928</v>
      </c>
    </row>
    <row r="2368" spans="1:3" x14ac:dyDescent="0.25">
      <c r="A2368">
        <v>2367</v>
      </c>
      <c r="B2368" t="s">
        <v>2294</v>
      </c>
      <c r="C2368" t="s">
        <v>5929</v>
      </c>
    </row>
    <row r="2369" spans="1:3" x14ac:dyDescent="0.25">
      <c r="A2369">
        <v>2368</v>
      </c>
      <c r="B2369" t="s">
        <v>5930</v>
      </c>
      <c r="C2369" t="s">
        <v>5931</v>
      </c>
    </row>
    <row r="2370" spans="1:3" x14ac:dyDescent="0.25">
      <c r="A2370">
        <v>2369</v>
      </c>
      <c r="B2370" t="s">
        <v>5932</v>
      </c>
      <c r="C2370" t="s">
        <v>5933</v>
      </c>
    </row>
    <row r="2371" spans="1:3" x14ac:dyDescent="0.25">
      <c r="A2371">
        <v>2370</v>
      </c>
      <c r="B2371" t="s">
        <v>1208</v>
      </c>
      <c r="C2371" t="s">
        <v>5934</v>
      </c>
    </row>
    <row r="2372" spans="1:3" x14ac:dyDescent="0.25">
      <c r="A2372">
        <v>2371</v>
      </c>
      <c r="B2372" t="s">
        <v>1628</v>
      </c>
      <c r="C2372" t="s">
        <v>5935</v>
      </c>
    </row>
    <row r="2373" spans="1:3" x14ac:dyDescent="0.25">
      <c r="A2373">
        <v>2372</v>
      </c>
      <c r="B2373" t="s">
        <v>22</v>
      </c>
      <c r="C2373" t="s">
        <v>5936</v>
      </c>
    </row>
    <row r="2374" spans="1:3" x14ac:dyDescent="0.25">
      <c r="A2374">
        <v>2373</v>
      </c>
      <c r="B2374" t="s">
        <v>5937</v>
      </c>
      <c r="C2374" t="s">
        <v>5938</v>
      </c>
    </row>
    <row r="2375" spans="1:3" x14ac:dyDescent="0.25">
      <c r="A2375">
        <v>2374</v>
      </c>
      <c r="B2375" t="s">
        <v>5939</v>
      </c>
      <c r="C2375" t="s">
        <v>5940</v>
      </c>
    </row>
    <row r="2376" spans="1:3" x14ac:dyDescent="0.25">
      <c r="A2376">
        <v>2375</v>
      </c>
      <c r="B2376" t="s">
        <v>5941</v>
      </c>
      <c r="C2376" t="s">
        <v>5942</v>
      </c>
    </row>
    <row r="2377" spans="1:3" x14ac:dyDescent="0.25">
      <c r="A2377">
        <v>2376</v>
      </c>
      <c r="B2377" t="s">
        <v>5943</v>
      </c>
      <c r="C2377" t="s">
        <v>5944</v>
      </c>
    </row>
    <row r="2378" spans="1:3" x14ac:dyDescent="0.25">
      <c r="A2378">
        <v>2377</v>
      </c>
      <c r="B2378" t="s">
        <v>5945</v>
      </c>
      <c r="C2378" t="s">
        <v>5946</v>
      </c>
    </row>
    <row r="2379" spans="1:3" x14ac:dyDescent="0.25">
      <c r="A2379">
        <v>2378</v>
      </c>
      <c r="B2379" t="s">
        <v>5947</v>
      </c>
      <c r="C2379" t="s">
        <v>5948</v>
      </c>
    </row>
    <row r="2380" spans="1:3" x14ac:dyDescent="0.25">
      <c r="A2380">
        <v>2379</v>
      </c>
      <c r="B2380" t="s">
        <v>5949</v>
      </c>
      <c r="C2380" t="s">
        <v>5950</v>
      </c>
    </row>
    <row r="2381" spans="1:3" x14ac:dyDescent="0.25">
      <c r="A2381">
        <v>2380</v>
      </c>
      <c r="B2381" t="s">
        <v>1262</v>
      </c>
      <c r="C2381" t="s">
        <v>5951</v>
      </c>
    </row>
    <row r="2382" spans="1:3" x14ac:dyDescent="0.25">
      <c r="A2382">
        <v>2381</v>
      </c>
      <c r="B2382" t="s">
        <v>5952</v>
      </c>
      <c r="C2382" t="s">
        <v>5953</v>
      </c>
    </row>
    <row r="2383" spans="1:3" x14ac:dyDescent="0.25">
      <c r="A2383">
        <v>2382</v>
      </c>
      <c r="B2383" t="s">
        <v>5954</v>
      </c>
      <c r="C2383" t="s">
        <v>5955</v>
      </c>
    </row>
    <row r="2384" spans="1:3" x14ac:dyDescent="0.25">
      <c r="A2384">
        <v>2383</v>
      </c>
      <c r="B2384" t="s">
        <v>5956</v>
      </c>
      <c r="C2384" t="s">
        <v>5957</v>
      </c>
    </row>
    <row r="2385" spans="1:3" x14ac:dyDescent="0.25">
      <c r="A2385">
        <v>2384</v>
      </c>
      <c r="B2385" t="s">
        <v>1615</v>
      </c>
      <c r="C2385" t="s">
        <v>5958</v>
      </c>
    </row>
    <row r="2386" spans="1:3" x14ac:dyDescent="0.25">
      <c r="A2386">
        <v>2385</v>
      </c>
      <c r="B2386" t="s">
        <v>159</v>
      </c>
      <c r="C2386" t="s">
        <v>5959</v>
      </c>
    </row>
    <row r="2387" spans="1:3" x14ac:dyDescent="0.25">
      <c r="A2387">
        <v>2386</v>
      </c>
      <c r="B2387" t="s">
        <v>115</v>
      </c>
      <c r="C2387" t="s">
        <v>5960</v>
      </c>
    </row>
    <row r="2388" spans="1:3" x14ac:dyDescent="0.25">
      <c r="A2388">
        <v>2387</v>
      </c>
      <c r="B2388" t="s">
        <v>111</v>
      </c>
      <c r="C2388" t="s">
        <v>5961</v>
      </c>
    </row>
    <row r="2389" spans="1:3" x14ac:dyDescent="0.25">
      <c r="A2389">
        <v>2388</v>
      </c>
      <c r="B2389" t="s">
        <v>5962</v>
      </c>
      <c r="C2389" t="s">
        <v>5963</v>
      </c>
    </row>
    <row r="2390" spans="1:3" x14ac:dyDescent="0.25">
      <c r="A2390">
        <v>2389</v>
      </c>
      <c r="B2390" t="s">
        <v>1326</v>
      </c>
      <c r="C2390" t="s">
        <v>5964</v>
      </c>
    </row>
    <row r="2391" spans="1:3" x14ac:dyDescent="0.25">
      <c r="A2391">
        <v>2390</v>
      </c>
      <c r="B2391" t="s">
        <v>147</v>
      </c>
      <c r="C2391" t="s">
        <v>5965</v>
      </c>
    </row>
    <row r="2392" spans="1:3" x14ac:dyDescent="0.25">
      <c r="A2392">
        <v>2391</v>
      </c>
      <c r="B2392" t="s">
        <v>5966</v>
      </c>
      <c r="C2392" t="s">
        <v>5967</v>
      </c>
    </row>
    <row r="2393" spans="1:3" x14ac:dyDescent="0.25">
      <c r="A2393">
        <v>2392</v>
      </c>
      <c r="B2393" t="s">
        <v>5968</v>
      </c>
      <c r="C2393" t="s">
        <v>5969</v>
      </c>
    </row>
    <row r="2394" spans="1:3" x14ac:dyDescent="0.25">
      <c r="A2394">
        <v>2393</v>
      </c>
      <c r="B2394" t="s">
        <v>5970</v>
      </c>
      <c r="C2394" t="s">
        <v>5971</v>
      </c>
    </row>
    <row r="2395" spans="1:3" x14ac:dyDescent="0.25">
      <c r="A2395">
        <v>2394</v>
      </c>
      <c r="B2395" t="s">
        <v>137</v>
      </c>
      <c r="C2395" t="s">
        <v>5972</v>
      </c>
    </row>
    <row r="2396" spans="1:3" x14ac:dyDescent="0.25">
      <c r="A2396">
        <v>2395</v>
      </c>
      <c r="B2396" t="s">
        <v>1697</v>
      </c>
      <c r="C2396" t="s">
        <v>5973</v>
      </c>
    </row>
    <row r="2397" spans="1:3" x14ac:dyDescent="0.25">
      <c r="A2397">
        <v>2396</v>
      </c>
      <c r="B2397" t="s">
        <v>1705</v>
      </c>
      <c r="C2397" t="s">
        <v>5974</v>
      </c>
    </row>
    <row r="2398" spans="1:3" x14ac:dyDescent="0.25">
      <c r="A2398">
        <v>2397</v>
      </c>
      <c r="B2398" t="s">
        <v>1617</v>
      </c>
      <c r="C2398" t="s">
        <v>5975</v>
      </c>
    </row>
    <row r="2399" spans="1:3" x14ac:dyDescent="0.25">
      <c r="A2399">
        <v>2398</v>
      </c>
      <c r="B2399" t="s">
        <v>1623</v>
      </c>
      <c r="C2399" t="s">
        <v>5976</v>
      </c>
    </row>
    <row r="2400" spans="1:3" x14ac:dyDescent="0.25">
      <c r="A2400">
        <v>2399</v>
      </c>
      <c r="B2400" t="s">
        <v>1629</v>
      </c>
      <c r="C2400" t="s">
        <v>5977</v>
      </c>
    </row>
    <row r="2401" spans="1:3" x14ac:dyDescent="0.25">
      <c r="A2401">
        <v>2400</v>
      </c>
      <c r="B2401" t="s">
        <v>1633</v>
      </c>
      <c r="C2401" t="s">
        <v>5978</v>
      </c>
    </row>
    <row r="2402" spans="1:3" x14ac:dyDescent="0.25">
      <c r="A2402">
        <v>2401</v>
      </c>
      <c r="B2402" t="s">
        <v>99</v>
      </c>
      <c r="C2402" t="s">
        <v>5979</v>
      </c>
    </row>
    <row r="2403" spans="1:3" x14ac:dyDescent="0.25">
      <c r="A2403">
        <v>2402</v>
      </c>
      <c r="B2403" t="s">
        <v>131</v>
      </c>
      <c r="C2403" t="s">
        <v>5980</v>
      </c>
    </row>
    <row r="2404" spans="1:3" x14ac:dyDescent="0.25">
      <c r="A2404">
        <v>2403</v>
      </c>
      <c r="B2404" t="s">
        <v>1651</v>
      </c>
      <c r="C2404" t="s">
        <v>5981</v>
      </c>
    </row>
    <row r="2405" spans="1:3" x14ac:dyDescent="0.25">
      <c r="A2405">
        <v>2404</v>
      </c>
      <c r="B2405" t="s">
        <v>101</v>
      </c>
      <c r="C2405" t="s">
        <v>5982</v>
      </c>
    </row>
    <row r="2406" spans="1:3" x14ac:dyDescent="0.25">
      <c r="A2406">
        <v>2405</v>
      </c>
      <c r="B2406" t="s">
        <v>73</v>
      </c>
      <c r="C2406" t="s">
        <v>5983</v>
      </c>
    </row>
    <row r="2407" spans="1:3" x14ac:dyDescent="0.25">
      <c r="A2407">
        <v>2406</v>
      </c>
      <c r="B2407" t="s">
        <v>5984</v>
      </c>
      <c r="C2407" t="s">
        <v>5985</v>
      </c>
    </row>
    <row r="2408" spans="1:3" x14ac:dyDescent="0.25">
      <c r="A2408">
        <v>2407</v>
      </c>
      <c r="B2408" t="s">
        <v>5986</v>
      </c>
      <c r="C2408" t="s">
        <v>5987</v>
      </c>
    </row>
    <row r="2409" spans="1:3" x14ac:dyDescent="0.25">
      <c r="A2409">
        <v>2408</v>
      </c>
      <c r="B2409" t="s">
        <v>5988</v>
      </c>
      <c r="C2409" t="s">
        <v>5989</v>
      </c>
    </row>
    <row r="2410" spans="1:3" x14ac:dyDescent="0.25">
      <c r="A2410">
        <v>2409</v>
      </c>
      <c r="B2410" t="s">
        <v>2118</v>
      </c>
      <c r="C2410" t="s">
        <v>5990</v>
      </c>
    </row>
    <row r="2411" spans="1:3" x14ac:dyDescent="0.25">
      <c r="A2411">
        <v>2410</v>
      </c>
      <c r="B2411" t="s">
        <v>2038</v>
      </c>
      <c r="C2411" t="s">
        <v>5991</v>
      </c>
    </row>
    <row r="2412" spans="1:3" x14ac:dyDescent="0.25">
      <c r="A2412">
        <v>2411</v>
      </c>
      <c r="B2412" t="s">
        <v>5992</v>
      </c>
      <c r="C2412" t="s">
        <v>5993</v>
      </c>
    </row>
    <row r="2413" spans="1:3" x14ac:dyDescent="0.25">
      <c r="A2413">
        <v>2412</v>
      </c>
      <c r="B2413" t="s">
        <v>1005</v>
      </c>
      <c r="C2413" t="s">
        <v>5994</v>
      </c>
    </row>
    <row r="2414" spans="1:3" x14ac:dyDescent="0.25">
      <c r="A2414">
        <v>2413</v>
      </c>
      <c r="B2414" t="s">
        <v>5995</v>
      </c>
      <c r="C2414" t="s">
        <v>5996</v>
      </c>
    </row>
    <row r="2415" spans="1:3" x14ac:dyDescent="0.25">
      <c r="A2415">
        <v>2414</v>
      </c>
      <c r="B2415" t="s">
        <v>1175</v>
      </c>
      <c r="C2415" t="s">
        <v>5997</v>
      </c>
    </row>
    <row r="2416" spans="1:3" x14ac:dyDescent="0.25">
      <c r="A2416">
        <v>2415</v>
      </c>
      <c r="B2416" t="s">
        <v>1661</v>
      </c>
      <c r="C2416" t="s">
        <v>5998</v>
      </c>
    </row>
    <row r="2417" spans="1:3" x14ac:dyDescent="0.25">
      <c r="A2417">
        <v>2416</v>
      </c>
      <c r="B2417" t="s">
        <v>1663</v>
      </c>
      <c r="C2417" t="s">
        <v>5999</v>
      </c>
    </row>
    <row r="2418" spans="1:3" x14ac:dyDescent="0.25">
      <c r="A2418">
        <v>2417</v>
      </c>
      <c r="B2418" t="s">
        <v>1669</v>
      </c>
      <c r="C2418" t="s">
        <v>6000</v>
      </c>
    </row>
    <row r="2419" spans="1:3" x14ac:dyDescent="0.25">
      <c r="A2419">
        <v>2418</v>
      </c>
      <c r="B2419" t="s">
        <v>1679</v>
      </c>
      <c r="C2419" t="s">
        <v>6001</v>
      </c>
    </row>
    <row r="2420" spans="1:3" x14ac:dyDescent="0.25">
      <c r="A2420">
        <v>2419</v>
      </c>
      <c r="B2420" t="s">
        <v>149</v>
      </c>
      <c r="C2420" t="s">
        <v>6002</v>
      </c>
    </row>
    <row r="2421" spans="1:3" x14ac:dyDescent="0.25">
      <c r="A2421">
        <v>2420</v>
      </c>
      <c r="B2421" t="s">
        <v>6003</v>
      </c>
      <c r="C2421" t="s">
        <v>6004</v>
      </c>
    </row>
    <row r="2422" spans="1:3" x14ac:dyDescent="0.25">
      <c r="A2422">
        <v>2421</v>
      </c>
      <c r="B2422" t="s">
        <v>6005</v>
      </c>
      <c r="C2422" t="s">
        <v>6006</v>
      </c>
    </row>
    <row r="2423" spans="1:3" x14ac:dyDescent="0.25">
      <c r="A2423">
        <v>2422</v>
      </c>
      <c r="B2423" t="s">
        <v>708</v>
      </c>
      <c r="C2423" t="s">
        <v>6007</v>
      </c>
    </row>
    <row r="2424" spans="1:3" x14ac:dyDescent="0.25">
      <c r="A2424">
        <v>2423</v>
      </c>
      <c r="B2424" t="s">
        <v>6008</v>
      </c>
      <c r="C2424" t="s">
        <v>6009</v>
      </c>
    </row>
    <row r="2425" spans="1:3" x14ac:dyDescent="0.25">
      <c r="A2425">
        <v>2424</v>
      </c>
      <c r="B2425" t="s">
        <v>1166</v>
      </c>
      <c r="C2425" t="s">
        <v>6010</v>
      </c>
    </row>
    <row r="2426" spans="1:3" x14ac:dyDescent="0.25">
      <c r="A2426">
        <v>2425</v>
      </c>
      <c r="B2426" t="s">
        <v>1315</v>
      </c>
      <c r="C2426" t="s">
        <v>6011</v>
      </c>
    </row>
    <row r="2427" spans="1:3" x14ac:dyDescent="0.25">
      <c r="A2427">
        <v>2426</v>
      </c>
      <c r="B2427" t="s">
        <v>802</v>
      </c>
      <c r="C2427" t="s">
        <v>6012</v>
      </c>
    </row>
    <row r="2428" spans="1:3" x14ac:dyDescent="0.25">
      <c r="A2428">
        <v>2427</v>
      </c>
      <c r="B2428" t="s">
        <v>237</v>
      </c>
      <c r="C2428" t="s">
        <v>6013</v>
      </c>
    </row>
    <row r="2429" spans="1:3" x14ac:dyDescent="0.25">
      <c r="A2429">
        <v>2428</v>
      </c>
      <c r="B2429" t="s">
        <v>6014</v>
      </c>
      <c r="C2429" t="s">
        <v>6015</v>
      </c>
    </row>
    <row r="2430" spans="1:3" x14ac:dyDescent="0.25">
      <c r="A2430">
        <v>2429</v>
      </c>
      <c r="B2430" t="s">
        <v>1136</v>
      </c>
      <c r="C2430" t="s">
        <v>6016</v>
      </c>
    </row>
    <row r="2431" spans="1:3" x14ac:dyDescent="0.25">
      <c r="A2431">
        <v>2430</v>
      </c>
      <c r="B2431" t="s">
        <v>1250</v>
      </c>
      <c r="C2431" t="s">
        <v>6017</v>
      </c>
    </row>
    <row r="2432" spans="1:3" x14ac:dyDescent="0.25">
      <c r="A2432">
        <v>2431</v>
      </c>
      <c r="B2432" t="s">
        <v>97</v>
      </c>
      <c r="C2432" t="s">
        <v>6018</v>
      </c>
    </row>
    <row r="2433" spans="1:3" x14ac:dyDescent="0.25">
      <c r="A2433">
        <v>2432</v>
      </c>
      <c r="B2433" t="s">
        <v>1613</v>
      </c>
      <c r="C2433" t="s">
        <v>6019</v>
      </c>
    </row>
    <row r="2434" spans="1:3" x14ac:dyDescent="0.25">
      <c r="A2434">
        <v>2433</v>
      </c>
      <c r="B2434" t="s">
        <v>161</v>
      </c>
      <c r="C2434" t="s">
        <v>6020</v>
      </c>
    </row>
    <row r="2435" spans="1:3" x14ac:dyDescent="0.25">
      <c r="A2435">
        <v>2434</v>
      </c>
      <c r="B2435" t="s">
        <v>1653</v>
      </c>
      <c r="C2435" t="s">
        <v>6021</v>
      </c>
    </row>
    <row r="2436" spans="1:3" x14ac:dyDescent="0.25">
      <c r="A2436">
        <v>2435</v>
      </c>
      <c r="B2436" t="s">
        <v>133</v>
      </c>
      <c r="C2436" t="s">
        <v>6022</v>
      </c>
    </row>
    <row r="2437" spans="1:3" x14ac:dyDescent="0.25">
      <c r="A2437">
        <v>2436</v>
      </c>
      <c r="B2437" t="s">
        <v>6023</v>
      </c>
      <c r="C2437" t="s">
        <v>6024</v>
      </c>
    </row>
    <row r="2438" spans="1:3" x14ac:dyDescent="0.25">
      <c r="A2438">
        <v>2437</v>
      </c>
      <c r="B2438" t="s">
        <v>6025</v>
      </c>
      <c r="C2438" t="s">
        <v>6026</v>
      </c>
    </row>
    <row r="2439" spans="1:3" x14ac:dyDescent="0.25">
      <c r="A2439">
        <v>2438</v>
      </c>
      <c r="B2439" t="s">
        <v>2070</v>
      </c>
      <c r="C2439" t="s">
        <v>6027</v>
      </c>
    </row>
    <row r="2440" spans="1:3" x14ac:dyDescent="0.25">
      <c r="A2440">
        <v>2439</v>
      </c>
      <c r="B2440" t="s">
        <v>6028</v>
      </c>
      <c r="C2440" t="s">
        <v>6029</v>
      </c>
    </row>
    <row r="2441" spans="1:3" x14ac:dyDescent="0.25">
      <c r="A2441">
        <v>2440</v>
      </c>
      <c r="B2441" t="s">
        <v>6030</v>
      </c>
      <c r="C2441" t="s">
        <v>6031</v>
      </c>
    </row>
    <row r="2442" spans="1:3" x14ac:dyDescent="0.25">
      <c r="A2442">
        <v>2441</v>
      </c>
      <c r="B2442" t="s">
        <v>636</v>
      </c>
      <c r="C2442" t="s">
        <v>6032</v>
      </c>
    </row>
    <row r="2443" spans="1:3" x14ac:dyDescent="0.25">
      <c r="A2443">
        <v>2442</v>
      </c>
      <c r="B2443" t="s">
        <v>698</v>
      </c>
      <c r="C2443" t="s">
        <v>6033</v>
      </c>
    </row>
    <row r="2444" spans="1:3" x14ac:dyDescent="0.25">
      <c r="A2444">
        <v>2443</v>
      </c>
      <c r="B2444" t="s">
        <v>1695</v>
      </c>
      <c r="C2444" t="s">
        <v>6034</v>
      </c>
    </row>
    <row r="2445" spans="1:3" x14ac:dyDescent="0.25">
      <c r="A2445">
        <v>2444</v>
      </c>
      <c r="B2445" t="s">
        <v>1703</v>
      </c>
      <c r="C2445" t="s">
        <v>6035</v>
      </c>
    </row>
    <row r="2446" spans="1:3" x14ac:dyDescent="0.25">
      <c r="A2446">
        <v>2445</v>
      </c>
      <c r="B2446" t="s">
        <v>139</v>
      </c>
      <c r="C2446" t="s">
        <v>6036</v>
      </c>
    </row>
    <row r="2447" spans="1:3" x14ac:dyDescent="0.25">
      <c r="A2447">
        <v>2446</v>
      </c>
      <c r="B2447" t="s">
        <v>1711</v>
      </c>
      <c r="C2447" t="s">
        <v>6037</v>
      </c>
    </row>
    <row r="2448" spans="1:3" x14ac:dyDescent="0.25">
      <c r="A2448">
        <v>2447</v>
      </c>
      <c r="B2448" t="s">
        <v>6038</v>
      </c>
      <c r="C2448" t="s">
        <v>6039</v>
      </c>
    </row>
    <row r="2449" spans="1:3" x14ac:dyDescent="0.25">
      <c r="A2449">
        <v>2448</v>
      </c>
      <c r="B2449" t="s">
        <v>6040</v>
      </c>
      <c r="C2449" t="s">
        <v>6041</v>
      </c>
    </row>
    <row r="2450" spans="1:3" x14ac:dyDescent="0.25">
      <c r="A2450">
        <v>2449</v>
      </c>
      <c r="B2450" t="s">
        <v>6042</v>
      </c>
      <c r="C2450" t="s">
        <v>6043</v>
      </c>
    </row>
    <row r="2451" spans="1:3" x14ac:dyDescent="0.25">
      <c r="A2451">
        <v>2450</v>
      </c>
      <c r="B2451" t="s">
        <v>6044</v>
      </c>
      <c r="C2451" t="s">
        <v>6045</v>
      </c>
    </row>
    <row r="2452" spans="1:3" x14ac:dyDescent="0.25">
      <c r="A2452">
        <v>2451</v>
      </c>
      <c r="B2452" t="s">
        <v>6046</v>
      </c>
      <c r="C2452" t="s">
        <v>6047</v>
      </c>
    </row>
    <row r="2453" spans="1:3" x14ac:dyDescent="0.25">
      <c r="A2453">
        <v>2452</v>
      </c>
      <c r="B2453" t="s">
        <v>6048</v>
      </c>
      <c r="C2453" t="s">
        <v>6049</v>
      </c>
    </row>
    <row r="2454" spans="1:3" x14ac:dyDescent="0.25">
      <c r="A2454">
        <v>2453</v>
      </c>
      <c r="B2454" t="s">
        <v>6050</v>
      </c>
      <c r="C2454" t="s">
        <v>6051</v>
      </c>
    </row>
    <row r="2455" spans="1:3" x14ac:dyDescent="0.25">
      <c r="A2455">
        <v>2454</v>
      </c>
      <c r="B2455" t="s">
        <v>6052</v>
      </c>
      <c r="C2455" t="s">
        <v>6053</v>
      </c>
    </row>
    <row r="2456" spans="1:3" x14ac:dyDescent="0.25">
      <c r="A2456">
        <v>2455</v>
      </c>
      <c r="B2456" t="s">
        <v>710</v>
      </c>
      <c r="C2456" t="s">
        <v>6054</v>
      </c>
    </row>
    <row r="2457" spans="1:3" x14ac:dyDescent="0.25">
      <c r="A2457">
        <v>2456</v>
      </c>
      <c r="B2457" t="s">
        <v>6055</v>
      </c>
      <c r="C2457" t="s">
        <v>6056</v>
      </c>
    </row>
    <row r="2458" spans="1:3" x14ac:dyDescent="0.25">
      <c r="A2458">
        <v>2457</v>
      </c>
      <c r="B2458" t="s">
        <v>1706</v>
      </c>
      <c r="C2458" t="s">
        <v>6057</v>
      </c>
    </row>
    <row r="2459" spans="1:3" x14ac:dyDescent="0.25">
      <c r="A2459">
        <v>2458</v>
      </c>
      <c r="B2459" t="s">
        <v>906</v>
      </c>
      <c r="C2459" t="s">
        <v>6058</v>
      </c>
    </row>
    <row r="2460" spans="1:3" x14ac:dyDescent="0.25">
      <c r="A2460">
        <v>2459</v>
      </c>
      <c r="B2460" t="s">
        <v>2225</v>
      </c>
      <c r="C2460" t="s">
        <v>6059</v>
      </c>
    </row>
    <row r="2461" spans="1:3" x14ac:dyDescent="0.25">
      <c r="A2461">
        <v>2460</v>
      </c>
      <c r="B2461" t="s">
        <v>6060</v>
      </c>
      <c r="C2461" t="s">
        <v>6061</v>
      </c>
    </row>
    <row r="2462" spans="1:3" x14ac:dyDescent="0.25">
      <c r="A2462">
        <v>2461</v>
      </c>
      <c r="B2462" t="s">
        <v>1732</v>
      </c>
      <c r="C2462" t="s">
        <v>6062</v>
      </c>
    </row>
    <row r="2463" spans="1:3" x14ac:dyDescent="0.25">
      <c r="A2463">
        <v>2462</v>
      </c>
      <c r="B2463" t="s">
        <v>6063</v>
      </c>
      <c r="C2463" t="s">
        <v>6064</v>
      </c>
    </row>
    <row r="2464" spans="1:3" x14ac:dyDescent="0.25">
      <c r="A2464">
        <v>2463</v>
      </c>
      <c r="B2464" t="s">
        <v>1264</v>
      </c>
      <c r="C2464" t="s">
        <v>6065</v>
      </c>
    </row>
    <row r="2465" spans="1:3" x14ac:dyDescent="0.25">
      <c r="A2465">
        <v>2464</v>
      </c>
      <c r="B2465" t="s">
        <v>6066</v>
      </c>
      <c r="C2465" t="s">
        <v>6067</v>
      </c>
    </row>
    <row r="2466" spans="1:3" x14ac:dyDescent="0.25">
      <c r="A2466">
        <v>2465</v>
      </c>
      <c r="B2466" t="s">
        <v>2231</v>
      </c>
      <c r="C2466" t="s">
        <v>6068</v>
      </c>
    </row>
    <row r="2467" spans="1:3" x14ac:dyDescent="0.25">
      <c r="A2467">
        <v>2466</v>
      </c>
      <c r="B2467" t="s">
        <v>103</v>
      </c>
      <c r="C2467" t="s">
        <v>6069</v>
      </c>
    </row>
    <row r="2468" spans="1:3" x14ac:dyDescent="0.25">
      <c r="A2468">
        <v>2467</v>
      </c>
      <c r="B2468" t="s">
        <v>1655</v>
      </c>
      <c r="C2468" t="s">
        <v>6070</v>
      </c>
    </row>
    <row r="2469" spans="1:3" x14ac:dyDescent="0.25">
      <c r="A2469">
        <v>2468</v>
      </c>
      <c r="B2469" t="s">
        <v>1657</v>
      </c>
      <c r="C2469" t="s">
        <v>6071</v>
      </c>
    </row>
    <row r="2470" spans="1:3" x14ac:dyDescent="0.25">
      <c r="A2470">
        <v>2469</v>
      </c>
      <c r="B2470" t="s">
        <v>105</v>
      </c>
      <c r="C2470" t="s">
        <v>6072</v>
      </c>
    </row>
    <row r="2471" spans="1:3" x14ac:dyDescent="0.25">
      <c r="A2471">
        <v>2470</v>
      </c>
      <c r="B2471" t="s">
        <v>155</v>
      </c>
      <c r="C2471" t="s">
        <v>6073</v>
      </c>
    </row>
    <row r="2472" spans="1:3" x14ac:dyDescent="0.25">
      <c r="A2472">
        <v>2471</v>
      </c>
      <c r="B2472" t="s">
        <v>1659</v>
      </c>
      <c r="C2472" t="s">
        <v>6074</v>
      </c>
    </row>
    <row r="2473" spans="1:3" x14ac:dyDescent="0.25">
      <c r="A2473">
        <v>2472</v>
      </c>
      <c r="B2473" t="s">
        <v>6075</v>
      </c>
      <c r="C2473" t="s">
        <v>6076</v>
      </c>
    </row>
    <row r="2474" spans="1:3" x14ac:dyDescent="0.25">
      <c r="A2474">
        <v>2473</v>
      </c>
      <c r="B2474" t="s">
        <v>6077</v>
      </c>
      <c r="C2474" t="s">
        <v>6078</v>
      </c>
    </row>
    <row r="2475" spans="1:3" x14ac:dyDescent="0.25">
      <c r="A2475">
        <v>2474</v>
      </c>
      <c r="B2475" t="s">
        <v>283</v>
      </c>
      <c r="C2475" t="s">
        <v>6079</v>
      </c>
    </row>
    <row r="2476" spans="1:3" x14ac:dyDescent="0.25">
      <c r="A2476">
        <v>2475</v>
      </c>
      <c r="B2476" t="s">
        <v>6080</v>
      </c>
      <c r="C2476" t="s">
        <v>6081</v>
      </c>
    </row>
    <row r="2477" spans="1:3" x14ac:dyDescent="0.25">
      <c r="A2477">
        <v>2476</v>
      </c>
      <c r="B2477" t="s">
        <v>6082</v>
      </c>
      <c r="C2477" t="s">
        <v>6083</v>
      </c>
    </row>
    <row r="2478" spans="1:3" x14ac:dyDescent="0.25">
      <c r="A2478">
        <v>2477</v>
      </c>
      <c r="B2478" t="s">
        <v>6084</v>
      </c>
      <c r="C2478" t="s">
        <v>6085</v>
      </c>
    </row>
    <row r="2479" spans="1:3" x14ac:dyDescent="0.25">
      <c r="A2479">
        <v>2478</v>
      </c>
      <c r="B2479" t="s">
        <v>6086</v>
      </c>
      <c r="C2479" t="s">
        <v>6087</v>
      </c>
    </row>
    <row r="2480" spans="1:3" x14ac:dyDescent="0.25">
      <c r="A2480">
        <v>2479</v>
      </c>
      <c r="B2480" t="s">
        <v>1611</v>
      </c>
      <c r="C2480" t="s">
        <v>6088</v>
      </c>
    </row>
    <row r="2481" spans="1:3" x14ac:dyDescent="0.25">
      <c r="A2481">
        <v>2480</v>
      </c>
      <c r="B2481" t="s">
        <v>6089</v>
      </c>
      <c r="C2481" t="s">
        <v>6090</v>
      </c>
    </row>
    <row r="2482" spans="1:3" x14ac:dyDescent="0.25">
      <c r="A2482">
        <v>2481</v>
      </c>
      <c r="B2482" t="s">
        <v>6091</v>
      </c>
      <c r="C2482" t="s">
        <v>6092</v>
      </c>
    </row>
    <row r="2483" spans="1:3" x14ac:dyDescent="0.25">
      <c r="A2483">
        <v>2482</v>
      </c>
      <c r="B2483" t="s">
        <v>6093</v>
      </c>
      <c r="C2483" t="s">
        <v>6094</v>
      </c>
    </row>
    <row r="2484" spans="1:3" x14ac:dyDescent="0.25">
      <c r="A2484">
        <v>2483</v>
      </c>
      <c r="B2484" t="s">
        <v>1806</v>
      </c>
      <c r="C2484" t="s">
        <v>6095</v>
      </c>
    </row>
    <row r="2485" spans="1:3" x14ac:dyDescent="0.25">
      <c r="A2485">
        <v>2484</v>
      </c>
      <c r="B2485" t="s">
        <v>1352</v>
      </c>
      <c r="C2485" t="s">
        <v>6096</v>
      </c>
    </row>
    <row r="2486" spans="1:3" x14ac:dyDescent="0.25">
      <c r="A2486">
        <v>2485</v>
      </c>
      <c r="B2486" t="s">
        <v>1649</v>
      </c>
      <c r="C2486" t="s">
        <v>6097</v>
      </c>
    </row>
    <row r="2487" spans="1:3" x14ac:dyDescent="0.25">
      <c r="A2487">
        <v>2486</v>
      </c>
      <c r="B2487" t="s">
        <v>107</v>
      </c>
      <c r="C2487" t="s">
        <v>6098</v>
      </c>
    </row>
    <row r="2488" spans="1:3" x14ac:dyDescent="0.25">
      <c r="A2488">
        <v>2487</v>
      </c>
      <c r="B2488" t="s">
        <v>135</v>
      </c>
      <c r="C2488" t="s">
        <v>6099</v>
      </c>
    </row>
    <row r="2489" spans="1:3" x14ac:dyDescent="0.25">
      <c r="A2489">
        <v>2488</v>
      </c>
      <c r="B2489" t="s">
        <v>109</v>
      </c>
      <c r="C2489" t="s">
        <v>6100</v>
      </c>
    </row>
    <row r="2490" spans="1:3" x14ac:dyDescent="0.25">
      <c r="A2490">
        <v>2489</v>
      </c>
      <c r="B2490" t="s">
        <v>1671</v>
      </c>
      <c r="C2490" t="s">
        <v>6101</v>
      </c>
    </row>
    <row r="2491" spans="1:3" x14ac:dyDescent="0.25">
      <c r="A2491">
        <v>2490</v>
      </c>
      <c r="B2491" t="s">
        <v>1675</v>
      </c>
      <c r="C2491" t="s">
        <v>6102</v>
      </c>
    </row>
    <row r="2492" spans="1:3" x14ac:dyDescent="0.25">
      <c r="A2492">
        <v>2491</v>
      </c>
      <c r="B2492" t="s">
        <v>2230</v>
      </c>
      <c r="C2492" t="s">
        <v>6103</v>
      </c>
    </row>
    <row r="2493" spans="1:3" x14ac:dyDescent="0.25">
      <c r="A2493">
        <v>2492</v>
      </c>
      <c r="B2493" t="s">
        <v>1681</v>
      </c>
      <c r="C2493" t="s">
        <v>6104</v>
      </c>
    </row>
    <row r="2494" spans="1:3" x14ac:dyDescent="0.25">
      <c r="A2494">
        <v>2493</v>
      </c>
      <c r="B2494" t="s">
        <v>1683</v>
      </c>
      <c r="C2494" t="s">
        <v>6105</v>
      </c>
    </row>
    <row r="2495" spans="1:3" x14ac:dyDescent="0.25">
      <c r="A2495">
        <v>2494</v>
      </c>
      <c r="B2495" t="s">
        <v>1685</v>
      </c>
      <c r="C2495" t="s">
        <v>6106</v>
      </c>
    </row>
    <row r="2496" spans="1:3" x14ac:dyDescent="0.25">
      <c r="A2496">
        <v>2495</v>
      </c>
      <c r="B2496" t="s">
        <v>1687</v>
      </c>
      <c r="C2496" t="s">
        <v>6107</v>
      </c>
    </row>
    <row r="2497" spans="1:3" x14ac:dyDescent="0.25">
      <c r="A2497">
        <v>2496</v>
      </c>
      <c r="B2497" t="s">
        <v>1689</v>
      </c>
      <c r="C2497" t="s">
        <v>6108</v>
      </c>
    </row>
    <row r="2498" spans="1:3" x14ac:dyDescent="0.25">
      <c r="A2498">
        <v>2497</v>
      </c>
      <c r="B2498" t="s">
        <v>6109</v>
      </c>
      <c r="C2498" t="s">
        <v>6110</v>
      </c>
    </row>
    <row r="2499" spans="1:3" x14ac:dyDescent="0.25">
      <c r="A2499">
        <v>2498</v>
      </c>
      <c r="B2499" t="s">
        <v>6111</v>
      </c>
      <c r="C2499" t="s">
        <v>6112</v>
      </c>
    </row>
    <row r="2500" spans="1:3" x14ac:dyDescent="0.25">
      <c r="A2500">
        <v>2499</v>
      </c>
      <c r="B2500" t="s">
        <v>582</v>
      </c>
      <c r="C2500" t="s">
        <v>6113</v>
      </c>
    </row>
    <row r="2501" spans="1:3" x14ac:dyDescent="0.25">
      <c r="A2501">
        <v>2500</v>
      </c>
      <c r="B2501" t="s">
        <v>6114</v>
      </c>
      <c r="C2501" t="s">
        <v>6115</v>
      </c>
    </row>
    <row r="2502" spans="1:3" x14ac:dyDescent="0.25">
      <c r="A2502">
        <v>2501</v>
      </c>
      <c r="B2502" t="s">
        <v>6116</v>
      </c>
      <c r="C2502" t="s">
        <v>6117</v>
      </c>
    </row>
    <row r="2503" spans="1:3" x14ac:dyDescent="0.25">
      <c r="A2503">
        <v>2502</v>
      </c>
      <c r="B2503" t="s">
        <v>772</v>
      </c>
      <c r="C2503" t="s">
        <v>6118</v>
      </c>
    </row>
    <row r="2504" spans="1:3" x14ac:dyDescent="0.25">
      <c r="A2504">
        <v>2503</v>
      </c>
      <c r="B2504" t="s">
        <v>6119</v>
      </c>
      <c r="C2504" t="s">
        <v>6120</v>
      </c>
    </row>
    <row r="2505" spans="1:3" x14ac:dyDescent="0.25">
      <c r="A2505">
        <v>2504</v>
      </c>
      <c r="B2505" t="s">
        <v>6121</v>
      </c>
      <c r="C2505" t="s">
        <v>6122</v>
      </c>
    </row>
    <row r="2506" spans="1:3" x14ac:dyDescent="0.25">
      <c r="A2506">
        <v>2505</v>
      </c>
      <c r="B2506" t="s">
        <v>6123</v>
      </c>
      <c r="C2506" t="s">
        <v>6124</v>
      </c>
    </row>
    <row r="2507" spans="1:3" x14ac:dyDescent="0.25">
      <c r="A2507">
        <v>2506</v>
      </c>
      <c r="B2507" t="s">
        <v>6125</v>
      </c>
      <c r="C2507" t="s">
        <v>6126</v>
      </c>
    </row>
    <row r="2508" spans="1:3" x14ac:dyDescent="0.25">
      <c r="A2508">
        <v>2507</v>
      </c>
      <c r="B2508" t="s">
        <v>692</v>
      </c>
      <c r="C2508" t="s">
        <v>6127</v>
      </c>
    </row>
    <row r="2509" spans="1:3" x14ac:dyDescent="0.25">
      <c r="A2509">
        <v>2508</v>
      </c>
      <c r="B2509" t="s">
        <v>1738</v>
      </c>
      <c r="C2509" t="s">
        <v>6128</v>
      </c>
    </row>
    <row r="2510" spans="1:3" x14ac:dyDescent="0.25">
      <c r="A2510">
        <v>2509</v>
      </c>
      <c r="B2510" t="s">
        <v>6129</v>
      </c>
      <c r="C2510" t="s">
        <v>6130</v>
      </c>
    </row>
    <row r="2511" spans="1:3" x14ac:dyDescent="0.25">
      <c r="A2511">
        <v>2510</v>
      </c>
      <c r="B2511" t="s">
        <v>2293</v>
      </c>
      <c r="C2511" t="s">
        <v>6131</v>
      </c>
    </row>
    <row r="2512" spans="1:3" x14ac:dyDescent="0.25">
      <c r="A2512">
        <v>2511</v>
      </c>
      <c r="B2512" t="s">
        <v>6132</v>
      </c>
      <c r="C2512" t="s">
        <v>6133</v>
      </c>
    </row>
    <row r="2513" spans="1:3" x14ac:dyDescent="0.25">
      <c r="A2513">
        <v>2512</v>
      </c>
      <c r="B2513" t="s">
        <v>6134</v>
      </c>
      <c r="C2513" t="s">
        <v>6135</v>
      </c>
    </row>
    <row r="2514" spans="1:3" x14ac:dyDescent="0.25">
      <c r="A2514">
        <v>2513</v>
      </c>
      <c r="B2514" t="s">
        <v>6136</v>
      </c>
      <c r="C2514" t="s">
        <v>6137</v>
      </c>
    </row>
    <row r="2515" spans="1:3" x14ac:dyDescent="0.25">
      <c r="A2515">
        <v>2514</v>
      </c>
      <c r="B2515" t="s">
        <v>680</v>
      </c>
      <c r="C2515" t="s">
        <v>6138</v>
      </c>
    </row>
    <row r="2516" spans="1:3" x14ac:dyDescent="0.25">
      <c r="A2516">
        <v>2515</v>
      </c>
      <c r="B2516" t="s">
        <v>6139</v>
      </c>
      <c r="C2516" t="s">
        <v>6140</v>
      </c>
    </row>
    <row r="2517" spans="1:3" x14ac:dyDescent="0.25">
      <c r="A2517">
        <v>2516</v>
      </c>
      <c r="B2517" t="s">
        <v>1195</v>
      </c>
      <c r="C2517" t="s">
        <v>6141</v>
      </c>
    </row>
    <row r="2518" spans="1:3" x14ac:dyDescent="0.25">
      <c r="A2518">
        <v>2517</v>
      </c>
      <c r="B2518" t="s">
        <v>6142</v>
      </c>
      <c r="C2518" t="s">
        <v>6143</v>
      </c>
    </row>
    <row r="2519" spans="1:3" x14ac:dyDescent="0.25">
      <c r="A2519">
        <v>2518</v>
      </c>
      <c r="B2519" t="s">
        <v>6144</v>
      </c>
      <c r="C2519" t="s">
        <v>6145</v>
      </c>
    </row>
    <row r="2520" spans="1:3" x14ac:dyDescent="0.25">
      <c r="A2520">
        <v>2519</v>
      </c>
      <c r="B2520" t="s">
        <v>6146</v>
      </c>
      <c r="C2520" t="s">
        <v>6147</v>
      </c>
    </row>
    <row r="2521" spans="1:3" x14ac:dyDescent="0.25">
      <c r="A2521">
        <v>2520</v>
      </c>
      <c r="B2521" t="s">
        <v>6148</v>
      </c>
      <c r="C2521" t="s">
        <v>6149</v>
      </c>
    </row>
    <row r="2522" spans="1:3" x14ac:dyDescent="0.25">
      <c r="A2522">
        <v>2521</v>
      </c>
      <c r="B2522" t="s">
        <v>722</v>
      </c>
      <c r="C2522" t="s">
        <v>6150</v>
      </c>
    </row>
    <row r="2523" spans="1:3" x14ac:dyDescent="0.25">
      <c r="A2523">
        <v>2522</v>
      </c>
      <c r="B2523" t="s">
        <v>6151</v>
      </c>
      <c r="C2523" t="s">
        <v>6152</v>
      </c>
    </row>
    <row r="2524" spans="1:3" x14ac:dyDescent="0.25">
      <c r="A2524">
        <v>2523</v>
      </c>
      <c r="B2524" t="s">
        <v>923</v>
      </c>
      <c r="C2524" t="s">
        <v>6153</v>
      </c>
    </row>
    <row r="2525" spans="1:3" x14ac:dyDescent="0.25">
      <c r="A2525">
        <v>2524</v>
      </c>
      <c r="B2525" t="s">
        <v>6154</v>
      </c>
      <c r="C2525" t="s">
        <v>6155</v>
      </c>
    </row>
    <row r="2526" spans="1:3" x14ac:dyDescent="0.25">
      <c r="A2526">
        <v>2525</v>
      </c>
      <c r="B2526" t="s">
        <v>6156</v>
      </c>
      <c r="C2526" t="s">
        <v>6157</v>
      </c>
    </row>
    <row r="2527" spans="1:3" x14ac:dyDescent="0.25">
      <c r="A2527">
        <v>2526</v>
      </c>
      <c r="B2527" t="s">
        <v>2089</v>
      </c>
      <c r="C2527" t="s">
        <v>6158</v>
      </c>
    </row>
    <row r="2528" spans="1:3" x14ac:dyDescent="0.25">
      <c r="A2528">
        <v>2527</v>
      </c>
      <c r="B2528" t="s">
        <v>6159</v>
      </c>
      <c r="C2528" t="s">
        <v>6160</v>
      </c>
    </row>
    <row r="2529" spans="1:3" x14ac:dyDescent="0.25">
      <c r="A2529">
        <v>2528</v>
      </c>
      <c r="B2529" t="s">
        <v>782</v>
      </c>
      <c r="C2529" t="s">
        <v>6161</v>
      </c>
    </row>
    <row r="2530" spans="1:3" x14ac:dyDescent="0.25">
      <c r="A2530">
        <v>2529</v>
      </c>
      <c r="B2530" t="s">
        <v>1988</v>
      </c>
      <c r="C2530" t="s">
        <v>6162</v>
      </c>
    </row>
    <row r="2531" spans="1:3" x14ac:dyDescent="0.25">
      <c r="A2531">
        <v>2530</v>
      </c>
      <c r="B2531" t="s">
        <v>1621</v>
      </c>
      <c r="C2531" t="s">
        <v>6163</v>
      </c>
    </row>
    <row r="2532" spans="1:3" x14ac:dyDescent="0.25">
      <c r="A2532">
        <v>2531</v>
      </c>
      <c r="B2532" t="s">
        <v>2092</v>
      </c>
      <c r="C2532" t="s">
        <v>6164</v>
      </c>
    </row>
    <row r="2533" spans="1:3" x14ac:dyDescent="0.25">
      <c r="A2533">
        <v>2532</v>
      </c>
      <c r="B2533" t="s">
        <v>1013</v>
      </c>
      <c r="C2533" t="s">
        <v>6165</v>
      </c>
    </row>
    <row r="2534" spans="1:3" x14ac:dyDescent="0.25">
      <c r="A2534">
        <v>2533</v>
      </c>
      <c r="B2534" t="s">
        <v>2308</v>
      </c>
      <c r="C2534" t="s">
        <v>6166</v>
      </c>
    </row>
    <row r="2535" spans="1:3" x14ac:dyDescent="0.25">
      <c r="A2535">
        <v>2534</v>
      </c>
      <c r="B2535" t="s">
        <v>6167</v>
      </c>
      <c r="C2535" t="s">
        <v>6168</v>
      </c>
    </row>
    <row r="2536" spans="1:3" x14ac:dyDescent="0.25">
      <c r="A2536">
        <v>2535</v>
      </c>
      <c r="B2536" t="s">
        <v>6169</v>
      </c>
      <c r="C2536" t="s">
        <v>6170</v>
      </c>
    </row>
    <row r="2537" spans="1:3" x14ac:dyDescent="0.25">
      <c r="A2537">
        <v>2536</v>
      </c>
      <c r="B2537" t="s">
        <v>1041</v>
      </c>
      <c r="C2537" t="s">
        <v>6171</v>
      </c>
    </row>
    <row r="2538" spans="1:3" x14ac:dyDescent="0.25">
      <c r="A2538">
        <v>2537</v>
      </c>
      <c r="B2538" t="s">
        <v>24</v>
      </c>
      <c r="C2538" t="s">
        <v>6172</v>
      </c>
    </row>
    <row r="2539" spans="1:3" x14ac:dyDescent="0.25">
      <c r="A2539">
        <v>2538</v>
      </c>
      <c r="B2539" t="s">
        <v>17</v>
      </c>
      <c r="C2539" t="s">
        <v>6173</v>
      </c>
    </row>
    <row r="2540" spans="1:3" x14ac:dyDescent="0.25">
      <c r="A2540">
        <v>2539</v>
      </c>
      <c r="B2540" t="s">
        <v>1573</v>
      </c>
      <c r="C2540" t="s">
        <v>6174</v>
      </c>
    </row>
    <row r="2541" spans="1:3" x14ac:dyDescent="0.25">
      <c r="A2541">
        <v>2540</v>
      </c>
      <c r="B2541" t="s">
        <v>6175</v>
      </c>
      <c r="C2541" t="s">
        <v>6176</v>
      </c>
    </row>
    <row r="2542" spans="1:3" x14ac:dyDescent="0.25">
      <c r="A2542">
        <v>2541</v>
      </c>
      <c r="B2542" t="s">
        <v>6177</v>
      </c>
      <c r="C2542" t="s">
        <v>6178</v>
      </c>
    </row>
    <row r="2543" spans="1:3" x14ac:dyDescent="0.25">
      <c r="A2543">
        <v>2542</v>
      </c>
      <c r="B2543" t="s">
        <v>6179</v>
      </c>
      <c r="C2543" t="s">
        <v>6180</v>
      </c>
    </row>
    <row r="2544" spans="1:3" x14ac:dyDescent="0.25">
      <c r="A2544">
        <v>2543</v>
      </c>
      <c r="B2544" t="s">
        <v>6181</v>
      </c>
      <c r="C2544" t="s">
        <v>6182</v>
      </c>
    </row>
    <row r="2545" spans="1:3" x14ac:dyDescent="0.25">
      <c r="A2545">
        <v>2544</v>
      </c>
      <c r="B2545" t="s">
        <v>6183</v>
      </c>
      <c r="C2545" t="s">
        <v>6184</v>
      </c>
    </row>
    <row r="2546" spans="1:3" x14ac:dyDescent="0.25">
      <c r="A2546">
        <v>2545</v>
      </c>
      <c r="B2546" t="s">
        <v>6185</v>
      </c>
      <c r="C2546" t="s">
        <v>6186</v>
      </c>
    </row>
    <row r="2547" spans="1:3" x14ac:dyDescent="0.25">
      <c r="A2547">
        <v>2546</v>
      </c>
      <c r="B2547" t="s">
        <v>1551</v>
      </c>
      <c r="C2547" t="s">
        <v>6187</v>
      </c>
    </row>
    <row r="2548" spans="1:3" x14ac:dyDescent="0.25">
      <c r="A2548">
        <v>2547</v>
      </c>
      <c r="B2548" t="s">
        <v>113</v>
      </c>
      <c r="C2548" t="s">
        <v>6188</v>
      </c>
    </row>
    <row r="2549" spans="1:3" x14ac:dyDescent="0.25">
      <c r="A2549">
        <v>2548</v>
      </c>
      <c r="B2549" t="s">
        <v>6189</v>
      </c>
      <c r="C2549" t="s">
        <v>6190</v>
      </c>
    </row>
    <row r="2550" spans="1:3" x14ac:dyDescent="0.25">
      <c r="A2550">
        <v>2549</v>
      </c>
      <c r="B2550" t="s">
        <v>6191</v>
      </c>
      <c r="C2550" t="s">
        <v>6192</v>
      </c>
    </row>
    <row r="2551" spans="1:3" x14ac:dyDescent="0.25">
      <c r="A2551">
        <v>2550</v>
      </c>
      <c r="B2551" t="s">
        <v>676</v>
      </c>
      <c r="C2551" t="s">
        <v>6193</v>
      </c>
    </row>
    <row r="2552" spans="1:3" x14ac:dyDescent="0.25">
      <c r="A2552">
        <v>2551</v>
      </c>
      <c r="B2552" t="s">
        <v>1632</v>
      </c>
      <c r="C2552" t="s">
        <v>6194</v>
      </c>
    </row>
    <row r="2553" spans="1:3" x14ac:dyDescent="0.25">
      <c r="A2553">
        <v>2552</v>
      </c>
      <c r="B2553" t="s">
        <v>925</v>
      </c>
      <c r="C2553" t="s">
        <v>6195</v>
      </c>
    </row>
    <row r="2554" spans="1:3" x14ac:dyDescent="0.25">
      <c r="A2554">
        <v>2553</v>
      </c>
      <c r="B2554" t="s">
        <v>6196</v>
      </c>
      <c r="C2554" t="s">
        <v>6197</v>
      </c>
    </row>
    <row r="2555" spans="1:3" x14ac:dyDescent="0.25">
      <c r="A2555">
        <v>2554</v>
      </c>
      <c r="B2555" t="s">
        <v>6198</v>
      </c>
      <c r="C2555" t="s">
        <v>6199</v>
      </c>
    </row>
    <row r="2556" spans="1:3" x14ac:dyDescent="0.25">
      <c r="A2556">
        <v>2555</v>
      </c>
      <c r="B2556" t="s">
        <v>6200</v>
      </c>
      <c r="C2556" t="s">
        <v>6201</v>
      </c>
    </row>
    <row r="2557" spans="1:3" x14ac:dyDescent="0.25">
      <c r="A2557">
        <v>2556</v>
      </c>
      <c r="B2557" t="s">
        <v>768</v>
      </c>
      <c r="C2557" t="s">
        <v>6202</v>
      </c>
    </row>
    <row r="2558" spans="1:3" x14ac:dyDescent="0.25">
      <c r="A2558">
        <v>2557</v>
      </c>
      <c r="B2558" t="s">
        <v>6203</v>
      </c>
      <c r="C2558" t="s">
        <v>6204</v>
      </c>
    </row>
    <row r="2559" spans="1:3" x14ac:dyDescent="0.25">
      <c r="A2559">
        <v>2558</v>
      </c>
      <c r="B2559" t="s">
        <v>1396</v>
      </c>
      <c r="C2559" t="s">
        <v>6205</v>
      </c>
    </row>
    <row r="2560" spans="1:3" x14ac:dyDescent="0.25">
      <c r="A2560">
        <v>2559</v>
      </c>
      <c r="B2560" t="s">
        <v>6206</v>
      </c>
      <c r="C2560" t="s">
        <v>6207</v>
      </c>
    </row>
    <row r="2561" spans="1:3" x14ac:dyDescent="0.25">
      <c r="A2561">
        <v>2560</v>
      </c>
      <c r="B2561" t="s">
        <v>6208</v>
      </c>
      <c r="C2561" t="s">
        <v>6209</v>
      </c>
    </row>
    <row r="2562" spans="1:3" x14ac:dyDescent="0.25">
      <c r="A2562">
        <v>2561</v>
      </c>
      <c r="B2562" t="s">
        <v>6210</v>
      </c>
      <c r="C2562" t="s">
        <v>6211</v>
      </c>
    </row>
    <row r="2563" spans="1:3" x14ac:dyDescent="0.25">
      <c r="A2563">
        <v>2562</v>
      </c>
      <c r="B2563" t="s">
        <v>1313</v>
      </c>
      <c r="C2563" t="s">
        <v>6212</v>
      </c>
    </row>
    <row r="2564" spans="1:3" x14ac:dyDescent="0.25">
      <c r="A2564">
        <v>2563</v>
      </c>
      <c r="B2564" t="s">
        <v>6213</v>
      </c>
      <c r="C2564" t="s">
        <v>6214</v>
      </c>
    </row>
    <row r="2565" spans="1:3" x14ac:dyDescent="0.25">
      <c r="A2565">
        <v>2564</v>
      </c>
      <c r="B2565" t="s">
        <v>6215</v>
      </c>
      <c r="C2565" t="s">
        <v>6216</v>
      </c>
    </row>
    <row r="2566" spans="1:3" x14ac:dyDescent="0.25">
      <c r="A2566">
        <v>2565</v>
      </c>
      <c r="B2566" t="s">
        <v>6217</v>
      </c>
      <c r="C2566" t="s">
        <v>6218</v>
      </c>
    </row>
    <row r="2567" spans="1:3" x14ac:dyDescent="0.25">
      <c r="A2567">
        <v>2566</v>
      </c>
      <c r="B2567" t="s">
        <v>6219</v>
      </c>
      <c r="C2567" t="s">
        <v>6220</v>
      </c>
    </row>
    <row r="2568" spans="1:3" x14ac:dyDescent="0.25">
      <c r="A2568">
        <v>2567</v>
      </c>
      <c r="B2568" t="s">
        <v>18</v>
      </c>
      <c r="C2568" t="s">
        <v>6221</v>
      </c>
    </row>
    <row r="2569" spans="1:3" x14ac:dyDescent="0.25">
      <c r="A2569">
        <v>2568</v>
      </c>
      <c r="B2569" t="s">
        <v>2104</v>
      </c>
      <c r="C2569" t="s">
        <v>6222</v>
      </c>
    </row>
    <row r="2570" spans="1:3" x14ac:dyDescent="0.25">
      <c r="A2570">
        <v>2569</v>
      </c>
      <c r="B2570" t="s">
        <v>6223</v>
      </c>
      <c r="C2570" t="s">
        <v>6224</v>
      </c>
    </row>
    <row r="2571" spans="1:3" x14ac:dyDescent="0.25">
      <c r="A2571">
        <v>2570</v>
      </c>
      <c r="B2571" t="s">
        <v>2079</v>
      </c>
      <c r="C2571" t="s">
        <v>6225</v>
      </c>
    </row>
    <row r="2572" spans="1:3" x14ac:dyDescent="0.25">
      <c r="A2572">
        <v>2571</v>
      </c>
      <c r="B2572" t="s">
        <v>6226</v>
      </c>
      <c r="C2572" t="s">
        <v>6227</v>
      </c>
    </row>
    <row r="2573" spans="1:3" x14ac:dyDescent="0.25">
      <c r="A2573">
        <v>2572</v>
      </c>
      <c r="B2573" t="s">
        <v>6228</v>
      </c>
      <c r="C2573" t="s">
        <v>6229</v>
      </c>
    </row>
    <row r="2574" spans="1:3" x14ac:dyDescent="0.25">
      <c r="A2574">
        <v>2573</v>
      </c>
      <c r="B2574" t="s">
        <v>520</v>
      </c>
      <c r="C2574" t="s">
        <v>6230</v>
      </c>
    </row>
    <row r="2575" spans="1:3" x14ac:dyDescent="0.25">
      <c r="A2575">
        <v>2574</v>
      </c>
      <c r="B2575" t="s">
        <v>6231</v>
      </c>
      <c r="C2575" t="s">
        <v>6232</v>
      </c>
    </row>
    <row r="2576" spans="1:3" x14ac:dyDescent="0.25">
      <c r="A2576">
        <v>2575</v>
      </c>
      <c r="B2576" t="s">
        <v>6233</v>
      </c>
      <c r="C2576" t="s">
        <v>6234</v>
      </c>
    </row>
    <row r="2577" spans="1:3" x14ac:dyDescent="0.25">
      <c r="A2577">
        <v>2576</v>
      </c>
      <c r="B2577" t="s">
        <v>758</v>
      </c>
      <c r="C2577" t="s">
        <v>6235</v>
      </c>
    </row>
    <row r="2578" spans="1:3" x14ac:dyDescent="0.25">
      <c r="A2578">
        <v>2577</v>
      </c>
      <c r="B2578" t="s">
        <v>6236</v>
      </c>
      <c r="C2578" t="s">
        <v>6237</v>
      </c>
    </row>
    <row r="2579" spans="1:3" x14ac:dyDescent="0.25">
      <c r="A2579">
        <v>2578</v>
      </c>
      <c r="B2579" t="s">
        <v>6238</v>
      </c>
      <c r="C2579" t="s">
        <v>6239</v>
      </c>
    </row>
    <row r="2580" spans="1:3" x14ac:dyDescent="0.25">
      <c r="A2580">
        <v>2579</v>
      </c>
      <c r="B2580" t="s">
        <v>1674</v>
      </c>
      <c r="C2580" t="s">
        <v>6240</v>
      </c>
    </row>
    <row r="2581" spans="1:3" x14ac:dyDescent="0.25">
      <c r="A2581">
        <v>2580</v>
      </c>
      <c r="B2581" t="s">
        <v>760</v>
      </c>
      <c r="C2581" t="s">
        <v>6241</v>
      </c>
    </row>
    <row r="2582" spans="1:3" x14ac:dyDescent="0.25">
      <c r="A2582">
        <v>2581</v>
      </c>
      <c r="B2582" t="s">
        <v>100</v>
      </c>
      <c r="C2582" t="s">
        <v>6242</v>
      </c>
    </row>
    <row r="2583" spans="1:3" x14ac:dyDescent="0.25">
      <c r="A2583">
        <v>2582</v>
      </c>
      <c r="B2583" t="s">
        <v>1183</v>
      </c>
      <c r="C2583" t="s">
        <v>6243</v>
      </c>
    </row>
    <row r="2584" spans="1:3" x14ac:dyDescent="0.25">
      <c r="A2584">
        <v>2583</v>
      </c>
      <c r="B2584" t="s">
        <v>1162</v>
      </c>
      <c r="C2584" t="s">
        <v>6244</v>
      </c>
    </row>
    <row r="2585" spans="1:3" x14ac:dyDescent="0.25">
      <c r="A2585">
        <v>2584</v>
      </c>
      <c r="B2585" t="s">
        <v>6245</v>
      </c>
      <c r="C2585" t="s">
        <v>6246</v>
      </c>
    </row>
    <row r="2586" spans="1:3" x14ac:dyDescent="0.25">
      <c r="A2586">
        <v>2585</v>
      </c>
      <c r="B2586" t="s">
        <v>742</v>
      </c>
      <c r="C2586" t="s">
        <v>6247</v>
      </c>
    </row>
    <row r="2587" spans="1:3" x14ac:dyDescent="0.25">
      <c r="A2587">
        <v>2586</v>
      </c>
      <c r="B2587" t="s">
        <v>1130</v>
      </c>
      <c r="C2587" t="s">
        <v>6248</v>
      </c>
    </row>
    <row r="2588" spans="1:3" x14ac:dyDescent="0.25">
      <c r="A2588">
        <v>2587</v>
      </c>
      <c r="B2588" t="s">
        <v>1170</v>
      </c>
      <c r="C2588" t="s">
        <v>6249</v>
      </c>
    </row>
    <row r="2589" spans="1:3" x14ac:dyDescent="0.25">
      <c r="A2589">
        <v>2588</v>
      </c>
      <c r="B2589" t="s">
        <v>6250</v>
      </c>
      <c r="C2589" t="s">
        <v>6251</v>
      </c>
    </row>
    <row r="2590" spans="1:3" x14ac:dyDescent="0.25">
      <c r="A2590">
        <v>2589</v>
      </c>
      <c r="B2590" t="s">
        <v>690</v>
      </c>
      <c r="C2590" t="s">
        <v>6252</v>
      </c>
    </row>
    <row r="2591" spans="1:3" x14ac:dyDescent="0.25">
      <c r="A2591">
        <v>2590</v>
      </c>
      <c r="B2591" t="s">
        <v>2295</v>
      </c>
      <c r="C2591" t="s">
        <v>6253</v>
      </c>
    </row>
    <row r="2592" spans="1:3" x14ac:dyDescent="0.25">
      <c r="A2592">
        <v>2591</v>
      </c>
      <c r="B2592" t="s">
        <v>2160</v>
      </c>
      <c r="C2592" t="s">
        <v>6254</v>
      </c>
    </row>
    <row r="2593" spans="1:3" x14ac:dyDescent="0.25">
      <c r="A2593">
        <v>2592</v>
      </c>
      <c r="B2593" t="s">
        <v>20</v>
      </c>
      <c r="C2593" t="s">
        <v>6255</v>
      </c>
    </row>
    <row r="2594" spans="1:3" x14ac:dyDescent="0.25">
      <c r="A2594">
        <v>2593</v>
      </c>
      <c r="B2594" t="s">
        <v>730</v>
      </c>
      <c r="C2594" t="s">
        <v>6256</v>
      </c>
    </row>
    <row r="2595" spans="1:3" x14ac:dyDescent="0.25">
      <c r="A2595">
        <v>2594</v>
      </c>
      <c r="B2595" t="s">
        <v>6257</v>
      </c>
      <c r="C2595" t="s">
        <v>6258</v>
      </c>
    </row>
    <row r="2596" spans="1:3" x14ac:dyDescent="0.25">
      <c r="A2596">
        <v>2595</v>
      </c>
      <c r="B2596" t="s">
        <v>1848</v>
      </c>
      <c r="C2596" t="s">
        <v>6259</v>
      </c>
    </row>
    <row r="2597" spans="1:3" x14ac:dyDescent="0.25">
      <c r="A2597">
        <v>2596</v>
      </c>
      <c r="B2597" t="s">
        <v>6260</v>
      </c>
      <c r="C2597" t="s">
        <v>6261</v>
      </c>
    </row>
    <row r="2598" spans="1:3" x14ac:dyDescent="0.25">
      <c r="A2598">
        <v>2597</v>
      </c>
      <c r="B2598" t="s">
        <v>6262</v>
      </c>
      <c r="C2598" t="s">
        <v>6263</v>
      </c>
    </row>
    <row r="2599" spans="1:3" x14ac:dyDescent="0.25">
      <c r="A2599">
        <v>2598</v>
      </c>
      <c r="B2599" t="s">
        <v>1197</v>
      </c>
      <c r="C2599" t="s">
        <v>6264</v>
      </c>
    </row>
    <row r="2600" spans="1:3" x14ac:dyDescent="0.25">
      <c r="A2600">
        <v>2599</v>
      </c>
      <c r="B2600" t="s">
        <v>6265</v>
      </c>
      <c r="C2600" t="s">
        <v>6266</v>
      </c>
    </row>
    <row r="2601" spans="1:3" x14ac:dyDescent="0.25">
      <c r="A2601">
        <v>2600</v>
      </c>
      <c r="B2601" t="s">
        <v>6267</v>
      </c>
      <c r="C2601" t="s">
        <v>6268</v>
      </c>
    </row>
    <row r="2602" spans="1:3" x14ac:dyDescent="0.25">
      <c r="A2602">
        <v>2601</v>
      </c>
      <c r="B2602" t="s">
        <v>6269</v>
      </c>
      <c r="C2602" t="s">
        <v>6270</v>
      </c>
    </row>
    <row r="2603" spans="1:3" x14ac:dyDescent="0.25">
      <c r="A2603">
        <v>2602</v>
      </c>
      <c r="B2603" t="s">
        <v>1261</v>
      </c>
      <c r="C2603" t="s">
        <v>6271</v>
      </c>
    </row>
    <row r="2604" spans="1:3" x14ac:dyDescent="0.25">
      <c r="A2604">
        <v>2603</v>
      </c>
      <c r="B2604" t="s">
        <v>6272</v>
      </c>
      <c r="C2604" t="s">
        <v>6273</v>
      </c>
    </row>
    <row r="2605" spans="1:3" x14ac:dyDescent="0.25">
      <c r="A2605">
        <v>2604</v>
      </c>
      <c r="B2605" t="s">
        <v>6274</v>
      </c>
      <c r="C2605" t="s">
        <v>6275</v>
      </c>
    </row>
    <row r="2606" spans="1:3" x14ac:dyDescent="0.25">
      <c r="A2606">
        <v>2605</v>
      </c>
      <c r="B2606" t="s">
        <v>6276</v>
      </c>
      <c r="C2606" t="s">
        <v>6277</v>
      </c>
    </row>
    <row r="2607" spans="1:3" x14ac:dyDescent="0.25">
      <c r="A2607">
        <v>2606</v>
      </c>
      <c r="B2607" t="s">
        <v>6278</v>
      </c>
      <c r="C2607" t="s">
        <v>6279</v>
      </c>
    </row>
    <row r="2608" spans="1:3" x14ac:dyDescent="0.25">
      <c r="A2608">
        <v>2607</v>
      </c>
      <c r="B2608" t="s">
        <v>6280</v>
      </c>
      <c r="C2608" t="s">
        <v>6281</v>
      </c>
    </row>
    <row r="2609" spans="1:3" x14ac:dyDescent="0.25">
      <c r="A2609">
        <v>2608</v>
      </c>
      <c r="B2609" t="s">
        <v>1043</v>
      </c>
      <c r="C2609" t="s">
        <v>6282</v>
      </c>
    </row>
    <row r="2610" spans="1:3" x14ac:dyDescent="0.25">
      <c r="A2610">
        <v>2609</v>
      </c>
      <c r="B2610" t="s">
        <v>734</v>
      </c>
      <c r="C2610" t="s">
        <v>6283</v>
      </c>
    </row>
    <row r="2611" spans="1:3" x14ac:dyDescent="0.25">
      <c r="A2611">
        <v>2610</v>
      </c>
      <c r="B2611" t="s">
        <v>50</v>
      </c>
      <c r="C2611" t="s">
        <v>6284</v>
      </c>
    </row>
    <row r="2612" spans="1:3" x14ac:dyDescent="0.25">
      <c r="A2612">
        <v>2611</v>
      </c>
      <c r="B2612" t="s">
        <v>6285</v>
      </c>
      <c r="C2612" t="s">
        <v>6286</v>
      </c>
    </row>
    <row r="2613" spans="1:3" x14ac:dyDescent="0.25">
      <c r="A2613">
        <v>2612</v>
      </c>
      <c r="B2613" t="s">
        <v>6287</v>
      </c>
      <c r="C2613" t="s">
        <v>6288</v>
      </c>
    </row>
    <row r="2614" spans="1:3" x14ac:dyDescent="0.25">
      <c r="A2614">
        <v>2613</v>
      </c>
      <c r="B2614" t="s">
        <v>694</v>
      </c>
      <c r="C2614" t="s">
        <v>6289</v>
      </c>
    </row>
    <row r="2615" spans="1:3" x14ac:dyDescent="0.25">
      <c r="A2615">
        <v>2614</v>
      </c>
      <c r="B2615" t="s">
        <v>6290</v>
      </c>
      <c r="C2615" t="s">
        <v>6291</v>
      </c>
    </row>
    <row r="2616" spans="1:3" x14ac:dyDescent="0.25">
      <c r="A2616">
        <v>2615</v>
      </c>
      <c r="B2616" t="s">
        <v>1181</v>
      </c>
      <c r="C2616" t="s">
        <v>6292</v>
      </c>
    </row>
    <row r="2617" spans="1:3" x14ac:dyDescent="0.25">
      <c r="A2617">
        <v>2616</v>
      </c>
      <c r="B2617" t="s">
        <v>6293</v>
      </c>
      <c r="C2617" t="s">
        <v>6294</v>
      </c>
    </row>
    <row r="2618" spans="1:3" x14ac:dyDescent="0.25">
      <c r="A2618">
        <v>2617</v>
      </c>
      <c r="B2618" t="s">
        <v>6295</v>
      </c>
      <c r="C2618" t="s">
        <v>6296</v>
      </c>
    </row>
    <row r="2619" spans="1:3" x14ac:dyDescent="0.25">
      <c r="A2619">
        <v>2618</v>
      </c>
      <c r="B2619" t="s">
        <v>6297</v>
      </c>
      <c r="C2619" t="s">
        <v>6298</v>
      </c>
    </row>
    <row r="2620" spans="1:3" x14ac:dyDescent="0.25">
      <c r="A2620">
        <v>2619</v>
      </c>
      <c r="B2620" t="s">
        <v>6299</v>
      </c>
      <c r="C2620" t="s">
        <v>6300</v>
      </c>
    </row>
    <row r="2621" spans="1:3" x14ac:dyDescent="0.25">
      <c r="A2621">
        <v>2620</v>
      </c>
      <c r="B2621" t="s">
        <v>6301</v>
      </c>
      <c r="C2621" t="s">
        <v>6302</v>
      </c>
    </row>
    <row r="2622" spans="1:3" x14ac:dyDescent="0.25">
      <c r="A2622">
        <v>2621</v>
      </c>
      <c r="B2622" t="s">
        <v>6303</v>
      </c>
      <c r="C2622" t="s">
        <v>6304</v>
      </c>
    </row>
    <row r="2623" spans="1:3" x14ac:dyDescent="0.25">
      <c r="A2623">
        <v>2622</v>
      </c>
      <c r="B2623" t="s">
        <v>6305</v>
      </c>
      <c r="C2623" t="s">
        <v>6306</v>
      </c>
    </row>
    <row r="2624" spans="1:3" x14ac:dyDescent="0.25">
      <c r="A2624">
        <v>2623</v>
      </c>
      <c r="B2624" t="s">
        <v>6307</v>
      </c>
      <c r="C2624" t="s">
        <v>6308</v>
      </c>
    </row>
    <row r="2625" spans="1:3" x14ac:dyDescent="0.25">
      <c r="A2625">
        <v>2624</v>
      </c>
      <c r="B2625" t="s">
        <v>6309</v>
      </c>
      <c r="C2625" t="s">
        <v>6310</v>
      </c>
    </row>
    <row r="2626" spans="1:3" x14ac:dyDescent="0.25">
      <c r="A2626">
        <v>2625</v>
      </c>
      <c r="B2626" t="s">
        <v>6311</v>
      </c>
      <c r="C2626" t="s">
        <v>6312</v>
      </c>
    </row>
    <row r="2627" spans="1:3" x14ac:dyDescent="0.25">
      <c r="A2627">
        <v>2626</v>
      </c>
      <c r="B2627" t="s">
        <v>6313</v>
      </c>
      <c r="C2627" t="s">
        <v>6314</v>
      </c>
    </row>
    <row r="2628" spans="1:3" x14ac:dyDescent="0.25">
      <c r="A2628">
        <v>2627</v>
      </c>
      <c r="B2628" t="s">
        <v>6315</v>
      </c>
      <c r="C2628" t="s">
        <v>6316</v>
      </c>
    </row>
    <row r="2629" spans="1:3" x14ac:dyDescent="0.25">
      <c r="A2629">
        <v>2628</v>
      </c>
      <c r="B2629" t="s">
        <v>6317</v>
      </c>
      <c r="C2629" t="s">
        <v>6318</v>
      </c>
    </row>
    <row r="2630" spans="1:3" x14ac:dyDescent="0.25">
      <c r="A2630">
        <v>2629</v>
      </c>
      <c r="B2630" t="s">
        <v>6319</v>
      </c>
      <c r="C2630" t="s">
        <v>6320</v>
      </c>
    </row>
    <row r="2631" spans="1:3" x14ac:dyDescent="0.25">
      <c r="A2631">
        <v>2630</v>
      </c>
      <c r="B2631" t="s">
        <v>6321</v>
      </c>
      <c r="C2631" t="s">
        <v>6322</v>
      </c>
    </row>
    <row r="2632" spans="1:3" x14ac:dyDescent="0.25">
      <c r="A2632">
        <v>2631</v>
      </c>
      <c r="B2632" t="s">
        <v>6323</v>
      </c>
      <c r="C2632" t="s">
        <v>6324</v>
      </c>
    </row>
    <row r="2633" spans="1:3" x14ac:dyDescent="0.25">
      <c r="A2633">
        <v>2632</v>
      </c>
      <c r="B2633" t="s">
        <v>6325</v>
      </c>
      <c r="C2633" t="s">
        <v>6326</v>
      </c>
    </row>
    <row r="2634" spans="1:3" x14ac:dyDescent="0.25">
      <c r="A2634">
        <v>2633</v>
      </c>
      <c r="B2634" t="s">
        <v>2206</v>
      </c>
      <c r="C2634" t="s">
        <v>6327</v>
      </c>
    </row>
    <row r="2635" spans="1:3" x14ac:dyDescent="0.25">
      <c r="A2635">
        <v>2634</v>
      </c>
      <c r="B2635" t="s">
        <v>1696</v>
      </c>
      <c r="C2635" t="s">
        <v>6328</v>
      </c>
    </row>
    <row r="2636" spans="1:3" x14ac:dyDescent="0.25">
      <c r="A2636">
        <v>2635</v>
      </c>
      <c r="B2636" t="s">
        <v>6329</v>
      </c>
      <c r="C2636" t="s">
        <v>6330</v>
      </c>
    </row>
    <row r="2637" spans="1:3" x14ac:dyDescent="0.25">
      <c r="A2637">
        <v>2636</v>
      </c>
      <c r="B2637" t="s">
        <v>2181</v>
      </c>
      <c r="C2637" t="s">
        <v>6331</v>
      </c>
    </row>
    <row r="2638" spans="1:3" x14ac:dyDescent="0.25">
      <c r="A2638">
        <v>2637</v>
      </c>
      <c r="B2638" t="s">
        <v>6332</v>
      </c>
      <c r="C2638" t="s">
        <v>6333</v>
      </c>
    </row>
    <row r="2639" spans="1:3" x14ac:dyDescent="0.25">
      <c r="A2639">
        <v>2638</v>
      </c>
      <c r="B2639" t="s">
        <v>6334</v>
      </c>
      <c r="C2639" t="s">
        <v>6335</v>
      </c>
    </row>
    <row r="2640" spans="1:3" x14ac:dyDescent="0.25">
      <c r="A2640">
        <v>2639</v>
      </c>
      <c r="B2640" t="s">
        <v>6336</v>
      </c>
      <c r="C2640" t="s">
        <v>6337</v>
      </c>
    </row>
    <row r="2641" spans="1:3" x14ac:dyDescent="0.25">
      <c r="A2641">
        <v>2640</v>
      </c>
      <c r="B2641" t="s">
        <v>6338</v>
      </c>
      <c r="C2641" t="s">
        <v>6339</v>
      </c>
    </row>
    <row r="2642" spans="1:3" x14ac:dyDescent="0.25">
      <c r="A2642">
        <v>2641</v>
      </c>
      <c r="B2642" t="s">
        <v>6340</v>
      </c>
      <c r="C2642" t="s">
        <v>6341</v>
      </c>
    </row>
    <row r="2643" spans="1:3" x14ac:dyDescent="0.25">
      <c r="A2643">
        <v>2642</v>
      </c>
      <c r="B2643" t="s">
        <v>6342</v>
      </c>
      <c r="C2643" t="s">
        <v>6343</v>
      </c>
    </row>
    <row r="2644" spans="1:3" x14ac:dyDescent="0.25">
      <c r="A2644">
        <v>2643</v>
      </c>
      <c r="B2644" t="s">
        <v>6344</v>
      </c>
      <c r="C2644" t="s">
        <v>6345</v>
      </c>
    </row>
    <row r="2645" spans="1:3" x14ac:dyDescent="0.25">
      <c r="A2645">
        <v>2644</v>
      </c>
      <c r="B2645" t="s">
        <v>718</v>
      </c>
      <c r="C2645" t="s">
        <v>6346</v>
      </c>
    </row>
    <row r="2646" spans="1:3" x14ac:dyDescent="0.25">
      <c r="A2646">
        <v>2645</v>
      </c>
      <c r="B2646" t="s">
        <v>1134</v>
      </c>
      <c r="C2646" t="s">
        <v>6347</v>
      </c>
    </row>
    <row r="2647" spans="1:3" x14ac:dyDescent="0.25">
      <c r="A2647">
        <v>2646</v>
      </c>
      <c r="B2647" t="s">
        <v>6348</v>
      </c>
      <c r="C2647" t="s">
        <v>6349</v>
      </c>
    </row>
    <row r="2648" spans="1:3" x14ac:dyDescent="0.25">
      <c r="A2648">
        <v>2647</v>
      </c>
      <c r="B2648" t="s">
        <v>1199</v>
      </c>
      <c r="C2648" t="s">
        <v>6350</v>
      </c>
    </row>
    <row r="2649" spans="1:3" x14ac:dyDescent="0.25">
      <c r="A2649">
        <v>2648</v>
      </c>
      <c r="B2649" t="s">
        <v>1356</v>
      </c>
      <c r="C2649" t="s">
        <v>6351</v>
      </c>
    </row>
    <row r="2650" spans="1:3" x14ac:dyDescent="0.25">
      <c r="A2650">
        <v>2649</v>
      </c>
      <c r="B2650" t="s">
        <v>1355</v>
      </c>
      <c r="C2650" t="s">
        <v>6352</v>
      </c>
    </row>
    <row r="2651" spans="1:3" x14ac:dyDescent="0.25">
      <c r="A2651">
        <v>2650</v>
      </c>
      <c r="B2651" t="s">
        <v>6353</v>
      </c>
      <c r="C2651" t="s">
        <v>6354</v>
      </c>
    </row>
    <row r="2652" spans="1:3" x14ac:dyDescent="0.25">
      <c r="A2652">
        <v>2651</v>
      </c>
      <c r="B2652" t="s">
        <v>6355</v>
      </c>
      <c r="C2652" t="s">
        <v>6356</v>
      </c>
    </row>
    <row r="2653" spans="1:3" x14ac:dyDescent="0.25">
      <c r="A2653">
        <v>2652</v>
      </c>
      <c r="B2653" t="s">
        <v>6357</v>
      </c>
      <c r="C2653" t="s">
        <v>6358</v>
      </c>
    </row>
    <row r="2654" spans="1:3" x14ac:dyDescent="0.25">
      <c r="A2654">
        <v>2653</v>
      </c>
      <c r="B2654" t="s">
        <v>970</v>
      </c>
      <c r="C2654" t="s">
        <v>6359</v>
      </c>
    </row>
    <row r="2655" spans="1:3" x14ac:dyDescent="0.25">
      <c r="A2655">
        <v>2654</v>
      </c>
      <c r="B2655" t="s">
        <v>6360</v>
      </c>
      <c r="C2655" t="s">
        <v>6361</v>
      </c>
    </row>
    <row r="2656" spans="1:3" x14ac:dyDescent="0.25">
      <c r="A2656">
        <v>2655</v>
      </c>
      <c r="B2656" t="s">
        <v>6362</v>
      </c>
      <c r="C2656" t="s">
        <v>6363</v>
      </c>
    </row>
    <row r="2657" spans="1:3" x14ac:dyDescent="0.25">
      <c r="A2657">
        <v>2656</v>
      </c>
      <c r="B2657" t="s">
        <v>6364</v>
      </c>
      <c r="C2657" t="s">
        <v>6365</v>
      </c>
    </row>
    <row r="2658" spans="1:3" x14ac:dyDescent="0.25">
      <c r="A2658">
        <v>2657</v>
      </c>
      <c r="B2658" t="s">
        <v>714</v>
      </c>
      <c r="C2658" t="s">
        <v>6366</v>
      </c>
    </row>
    <row r="2659" spans="1:3" x14ac:dyDescent="0.25">
      <c r="A2659">
        <v>2658</v>
      </c>
      <c r="B2659" t="s">
        <v>6367</v>
      </c>
      <c r="C2659" t="s">
        <v>6368</v>
      </c>
    </row>
    <row r="2660" spans="1:3" x14ac:dyDescent="0.25">
      <c r="A2660">
        <v>2659</v>
      </c>
      <c r="B2660" t="s">
        <v>412</v>
      </c>
      <c r="C2660" t="s">
        <v>6369</v>
      </c>
    </row>
    <row r="2661" spans="1:3" x14ac:dyDescent="0.25">
      <c r="A2661">
        <v>2660</v>
      </c>
      <c r="B2661" t="s">
        <v>777</v>
      </c>
      <c r="C2661" t="s">
        <v>6370</v>
      </c>
    </row>
    <row r="2662" spans="1:3" x14ac:dyDescent="0.25">
      <c r="A2662">
        <v>2661</v>
      </c>
      <c r="B2662" t="s">
        <v>6371</v>
      </c>
      <c r="C2662" t="s">
        <v>6372</v>
      </c>
    </row>
    <row r="2663" spans="1:3" x14ac:dyDescent="0.25">
      <c r="A2663">
        <v>2662</v>
      </c>
      <c r="B2663" t="s">
        <v>6373</v>
      </c>
      <c r="C2663" t="s">
        <v>6374</v>
      </c>
    </row>
    <row r="2664" spans="1:3" x14ac:dyDescent="0.25">
      <c r="A2664">
        <v>2663</v>
      </c>
      <c r="B2664" t="s">
        <v>683</v>
      </c>
      <c r="C2664" t="s">
        <v>6375</v>
      </c>
    </row>
    <row r="2665" spans="1:3" x14ac:dyDescent="0.25">
      <c r="A2665">
        <v>2664</v>
      </c>
      <c r="B2665" t="s">
        <v>1255</v>
      </c>
      <c r="C2665" t="s">
        <v>6376</v>
      </c>
    </row>
    <row r="2666" spans="1:3" x14ac:dyDescent="0.25">
      <c r="A2666">
        <v>2665</v>
      </c>
      <c r="B2666" t="s">
        <v>778</v>
      </c>
      <c r="C2666" t="s">
        <v>6377</v>
      </c>
    </row>
    <row r="2667" spans="1:3" x14ac:dyDescent="0.25">
      <c r="A2667">
        <v>2666</v>
      </c>
      <c r="B2667" t="s">
        <v>800</v>
      </c>
      <c r="C2667" t="s">
        <v>6378</v>
      </c>
    </row>
    <row r="2668" spans="1:3" x14ac:dyDescent="0.25">
      <c r="A2668">
        <v>2667</v>
      </c>
      <c r="B2668" t="s">
        <v>927</v>
      </c>
      <c r="C2668" t="s">
        <v>6379</v>
      </c>
    </row>
    <row r="2669" spans="1:3" x14ac:dyDescent="0.25">
      <c r="A2669">
        <v>2668</v>
      </c>
      <c r="B2669" t="s">
        <v>6380</v>
      </c>
      <c r="C2669" t="s">
        <v>6381</v>
      </c>
    </row>
    <row r="2670" spans="1:3" x14ac:dyDescent="0.25">
      <c r="A2670">
        <v>2669</v>
      </c>
      <c r="B2670" t="s">
        <v>6382</v>
      </c>
      <c r="C2670" t="s">
        <v>6383</v>
      </c>
    </row>
    <row r="2671" spans="1:3" x14ac:dyDescent="0.25">
      <c r="A2671">
        <v>2670</v>
      </c>
      <c r="B2671" t="s">
        <v>6384</v>
      </c>
      <c r="C2671" t="s">
        <v>6385</v>
      </c>
    </row>
    <row r="2672" spans="1:3" x14ac:dyDescent="0.25">
      <c r="A2672">
        <v>2671</v>
      </c>
      <c r="B2672" t="s">
        <v>6386</v>
      </c>
      <c r="C2672" t="s">
        <v>6387</v>
      </c>
    </row>
    <row r="2673" spans="1:3" x14ac:dyDescent="0.25">
      <c r="A2673">
        <v>2672</v>
      </c>
      <c r="B2673" t="s">
        <v>6388</v>
      </c>
      <c r="C2673" t="s">
        <v>6389</v>
      </c>
    </row>
    <row r="2674" spans="1:3" x14ac:dyDescent="0.25">
      <c r="A2674">
        <v>2673</v>
      </c>
      <c r="B2674" t="s">
        <v>2245</v>
      </c>
      <c r="C2674" t="s">
        <v>6390</v>
      </c>
    </row>
    <row r="2675" spans="1:3" x14ac:dyDescent="0.25">
      <c r="A2675">
        <v>2674</v>
      </c>
      <c r="B2675" t="s">
        <v>6391</v>
      </c>
      <c r="C2675" t="s">
        <v>6392</v>
      </c>
    </row>
    <row r="2676" spans="1:3" x14ac:dyDescent="0.25">
      <c r="A2676">
        <v>2675</v>
      </c>
      <c r="B2676" t="s">
        <v>702</v>
      </c>
      <c r="C2676" t="s">
        <v>6393</v>
      </c>
    </row>
    <row r="2677" spans="1:3" x14ac:dyDescent="0.25">
      <c r="A2677">
        <v>2676</v>
      </c>
      <c r="B2677" t="s">
        <v>1185</v>
      </c>
      <c r="C2677" t="s">
        <v>6394</v>
      </c>
    </row>
    <row r="2678" spans="1:3" x14ac:dyDescent="0.25">
      <c r="A2678">
        <v>2677</v>
      </c>
      <c r="B2678" t="s">
        <v>2045</v>
      </c>
      <c r="C2678" t="s">
        <v>6395</v>
      </c>
    </row>
    <row r="2679" spans="1:3" x14ac:dyDescent="0.25">
      <c r="A2679">
        <v>2678</v>
      </c>
      <c r="B2679" t="s">
        <v>6396</v>
      </c>
      <c r="C2679" t="s">
        <v>6397</v>
      </c>
    </row>
    <row r="2680" spans="1:3" x14ac:dyDescent="0.25">
      <c r="A2680">
        <v>2679</v>
      </c>
      <c r="B2680" t="s">
        <v>1607</v>
      </c>
      <c r="C2680" t="s">
        <v>6398</v>
      </c>
    </row>
    <row r="2681" spans="1:3" x14ac:dyDescent="0.25">
      <c r="A2681">
        <v>2680</v>
      </c>
      <c r="B2681" t="s">
        <v>95</v>
      </c>
      <c r="C2681" t="s">
        <v>6399</v>
      </c>
    </row>
    <row r="2682" spans="1:3" x14ac:dyDescent="0.25">
      <c r="A2682">
        <v>2681</v>
      </c>
      <c r="B2682" t="s">
        <v>1521</v>
      </c>
      <c r="C2682" t="s">
        <v>6400</v>
      </c>
    </row>
    <row r="2683" spans="1:3" x14ac:dyDescent="0.25">
      <c r="A2683">
        <v>2682</v>
      </c>
      <c r="B2683" t="s">
        <v>6401</v>
      </c>
      <c r="C2683" t="s">
        <v>6402</v>
      </c>
    </row>
    <row r="2684" spans="1:3" x14ac:dyDescent="0.25">
      <c r="A2684">
        <v>2683</v>
      </c>
      <c r="B2684" t="s">
        <v>1335</v>
      </c>
      <c r="C2684" t="s">
        <v>6403</v>
      </c>
    </row>
    <row r="2685" spans="1:3" x14ac:dyDescent="0.25">
      <c r="A2685">
        <v>2684</v>
      </c>
      <c r="B2685" t="s">
        <v>774</v>
      </c>
      <c r="C2685" t="s">
        <v>6404</v>
      </c>
    </row>
    <row r="2686" spans="1:3" x14ac:dyDescent="0.25">
      <c r="A2686">
        <v>2685</v>
      </c>
      <c r="B2686" t="s">
        <v>6405</v>
      </c>
      <c r="C2686" t="s">
        <v>6406</v>
      </c>
    </row>
    <row r="2687" spans="1:3" x14ac:dyDescent="0.25">
      <c r="A2687">
        <v>2686</v>
      </c>
      <c r="B2687" t="s">
        <v>6407</v>
      </c>
      <c r="C2687" t="s">
        <v>6408</v>
      </c>
    </row>
    <row r="2688" spans="1:3" x14ac:dyDescent="0.25">
      <c r="A2688">
        <v>2687</v>
      </c>
      <c r="B2688" t="s">
        <v>6409</v>
      </c>
      <c r="C2688" t="s">
        <v>6410</v>
      </c>
    </row>
    <row r="2689" spans="1:3" x14ac:dyDescent="0.25">
      <c r="A2689">
        <v>2688</v>
      </c>
      <c r="B2689" t="s">
        <v>2235</v>
      </c>
      <c r="C2689" t="s">
        <v>6411</v>
      </c>
    </row>
    <row r="2690" spans="1:3" x14ac:dyDescent="0.25">
      <c r="A2690">
        <v>2689</v>
      </c>
      <c r="B2690" t="s">
        <v>2226</v>
      </c>
      <c r="C2690" t="s">
        <v>6412</v>
      </c>
    </row>
    <row r="2691" spans="1:3" x14ac:dyDescent="0.25">
      <c r="A2691">
        <v>2690</v>
      </c>
      <c r="B2691" t="s">
        <v>6413</v>
      </c>
      <c r="C2691" t="s">
        <v>6414</v>
      </c>
    </row>
    <row r="2692" spans="1:3" x14ac:dyDescent="0.25">
      <c r="A2692">
        <v>2691</v>
      </c>
      <c r="B2692" t="s">
        <v>6415</v>
      </c>
      <c r="C2692" t="s">
        <v>6416</v>
      </c>
    </row>
    <row r="2693" spans="1:3" x14ac:dyDescent="0.25">
      <c r="A2693">
        <v>2692</v>
      </c>
      <c r="B2693" t="s">
        <v>2218</v>
      </c>
      <c r="C2693" t="s">
        <v>6417</v>
      </c>
    </row>
    <row r="2694" spans="1:3" x14ac:dyDescent="0.25">
      <c r="A2694">
        <v>2693</v>
      </c>
      <c r="B2694" t="s">
        <v>1997</v>
      </c>
      <c r="C2694" t="s">
        <v>6418</v>
      </c>
    </row>
    <row r="2695" spans="1:3" x14ac:dyDescent="0.25">
      <c r="A2695">
        <v>2694</v>
      </c>
      <c r="B2695" t="s">
        <v>2229</v>
      </c>
      <c r="C2695" t="s">
        <v>6419</v>
      </c>
    </row>
    <row r="2696" spans="1:3" x14ac:dyDescent="0.25">
      <c r="A2696">
        <v>2695</v>
      </c>
      <c r="B2696" t="s">
        <v>1323</v>
      </c>
      <c r="C2696" t="s">
        <v>6420</v>
      </c>
    </row>
    <row r="2697" spans="1:3" x14ac:dyDescent="0.25">
      <c r="A2697">
        <v>2696</v>
      </c>
      <c r="B2697" t="s">
        <v>6421</v>
      </c>
      <c r="C2697" t="s">
        <v>6422</v>
      </c>
    </row>
    <row r="2698" spans="1:3" x14ac:dyDescent="0.25">
      <c r="A2698">
        <v>2697</v>
      </c>
      <c r="B2698" t="s">
        <v>6423</v>
      </c>
      <c r="C2698" t="s">
        <v>6424</v>
      </c>
    </row>
    <row r="2699" spans="1:3" x14ac:dyDescent="0.25">
      <c r="A2699">
        <v>2698</v>
      </c>
      <c r="B2699" t="s">
        <v>6425</v>
      </c>
      <c r="C2699" t="s">
        <v>6426</v>
      </c>
    </row>
    <row r="2700" spans="1:3" x14ac:dyDescent="0.25">
      <c r="A2700">
        <v>2699</v>
      </c>
      <c r="B2700" t="s">
        <v>6427</v>
      </c>
      <c r="C2700" t="s">
        <v>6428</v>
      </c>
    </row>
    <row r="2701" spans="1:3" x14ac:dyDescent="0.25">
      <c r="A2701">
        <v>2700</v>
      </c>
      <c r="B2701" t="s">
        <v>6429</v>
      </c>
      <c r="C2701" t="s">
        <v>6430</v>
      </c>
    </row>
    <row r="2702" spans="1:3" x14ac:dyDescent="0.25">
      <c r="A2702">
        <v>2701</v>
      </c>
      <c r="B2702" t="s">
        <v>6431</v>
      </c>
      <c r="C2702" t="s">
        <v>6432</v>
      </c>
    </row>
    <row r="2703" spans="1:3" x14ac:dyDescent="0.25">
      <c r="A2703">
        <v>2702</v>
      </c>
      <c r="B2703" t="s">
        <v>6433</v>
      </c>
      <c r="C2703" t="s">
        <v>6434</v>
      </c>
    </row>
    <row r="2704" spans="1:3" x14ac:dyDescent="0.25">
      <c r="A2704">
        <v>2703</v>
      </c>
      <c r="B2704" t="s">
        <v>6435</v>
      </c>
      <c r="C2704" t="s">
        <v>6436</v>
      </c>
    </row>
    <row r="2705" spans="1:3" x14ac:dyDescent="0.25">
      <c r="A2705">
        <v>2704</v>
      </c>
      <c r="B2705" t="s">
        <v>6437</v>
      </c>
      <c r="C2705" t="s">
        <v>6438</v>
      </c>
    </row>
    <row r="2706" spans="1:3" x14ac:dyDescent="0.25">
      <c r="A2706">
        <v>2705</v>
      </c>
      <c r="B2706" t="s">
        <v>796</v>
      </c>
      <c r="C2706" t="s">
        <v>6439</v>
      </c>
    </row>
    <row r="2707" spans="1:3" x14ac:dyDescent="0.25">
      <c r="A2707">
        <v>2706</v>
      </c>
      <c r="B2707" t="s">
        <v>6440</v>
      </c>
      <c r="C2707" t="s">
        <v>6441</v>
      </c>
    </row>
    <row r="2708" spans="1:3" x14ac:dyDescent="0.25">
      <c r="A2708">
        <v>2707</v>
      </c>
      <c r="B2708" t="s">
        <v>6442</v>
      </c>
      <c r="C2708" t="s">
        <v>6443</v>
      </c>
    </row>
    <row r="2709" spans="1:3" x14ac:dyDescent="0.25">
      <c r="A2709">
        <v>2708</v>
      </c>
      <c r="B2709" t="s">
        <v>6444</v>
      </c>
      <c r="C2709" t="s">
        <v>6445</v>
      </c>
    </row>
    <row r="2710" spans="1:3" x14ac:dyDescent="0.25">
      <c r="A2710">
        <v>2709</v>
      </c>
      <c r="B2710" t="s">
        <v>6446</v>
      </c>
      <c r="C2710" t="s">
        <v>6447</v>
      </c>
    </row>
    <row r="2711" spans="1:3" x14ac:dyDescent="0.25">
      <c r="A2711">
        <v>2710</v>
      </c>
      <c r="B2711" t="s">
        <v>6448</v>
      </c>
      <c r="C2711" t="s">
        <v>6449</v>
      </c>
    </row>
    <row r="2712" spans="1:3" x14ac:dyDescent="0.25">
      <c r="A2712">
        <v>2711</v>
      </c>
      <c r="B2712" t="s">
        <v>6450</v>
      </c>
      <c r="C2712" t="s">
        <v>6451</v>
      </c>
    </row>
    <row r="2713" spans="1:3" x14ac:dyDescent="0.25">
      <c r="A2713">
        <v>2712</v>
      </c>
      <c r="B2713" t="s">
        <v>6452</v>
      </c>
      <c r="C2713" t="s">
        <v>6453</v>
      </c>
    </row>
    <row r="2714" spans="1:3" x14ac:dyDescent="0.25">
      <c r="A2714">
        <v>2713</v>
      </c>
      <c r="B2714" t="s">
        <v>6454</v>
      </c>
      <c r="C2714" t="s">
        <v>6455</v>
      </c>
    </row>
    <row r="2715" spans="1:3" x14ac:dyDescent="0.25">
      <c r="A2715">
        <v>2714</v>
      </c>
      <c r="B2715" t="s">
        <v>6456</v>
      </c>
      <c r="C2715" t="s">
        <v>6457</v>
      </c>
    </row>
    <row r="2716" spans="1:3" x14ac:dyDescent="0.25">
      <c r="A2716">
        <v>2715</v>
      </c>
      <c r="B2716" t="s">
        <v>6458</v>
      </c>
      <c r="C2716" t="s">
        <v>6459</v>
      </c>
    </row>
    <row r="2717" spans="1:3" x14ac:dyDescent="0.25">
      <c r="A2717">
        <v>2716</v>
      </c>
      <c r="B2717" t="s">
        <v>6460</v>
      </c>
      <c r="C2717" t="s">
        <v>6461</v>
      </c>
    </row>
    <row r="2718" spans="1:3" x14ac:dyDescent="0.25">
      <c r="A2718">
        <v>2717</v>
      </c>
      <c r="B2718" t="s">
        <v>6462</v>
      </c>
      <c r="C2718" t="s">
        <v>6463</v>
      </c>
    </row>
    <row r="2719" spans="1:3" x14ac:dyDescent="0.25">
      <c r="A2719">
        <v>2718</v>
      </c>
      <c r="B2719" t="s">
        <v>6464</v>
      </c>
      <c r="C2719" t="s">
        <v>6465</v>
      </c>
    </row>
    <row r="2720" spans="1:3" x14ac:dyDescent="0.25">
      <c r="A2720">
        <v>2719</v>
      </c>
      <c r="B2720" t="s">
        <v>6466</v>
      </c>
      <c r="C2720" t="s">
        <v>6467</v>
      </c>
    </row>
    <row r="2721" spans="1:3" x14ac:dyDescent="0.25">
      <c r="A2721">
        <v>2720</v>
      </c>
      <c r="B2721" t="s">
        <v>6468</v>
      </c>
      <c r="C2721" t="s">
        <v>6469</v>
      </c>
    </row>
    <row r="2722" spans="1:3" x14ac:dyDescent="0.25">
      <c r="A2722">
        <v>2721</v>
      </c>
      <c r="B2722" t="s">
        <v>6470</v>
      </c>
      <c r="C2722" t="s">
        <v>6471</v>
      </c>
    </row>
    <row r="2723" spans="1:3" x14ac:dyDescent="0.25">
      <c r="A2723">
        <v>2722</v>
      </c>
      <c r="B2723" t="s">
        <v>6472</v>
      </c>
      <c r="C2723" t="s">
        <v>6473</v>
      </c>
    </row>
    <row r="2724" spans="1:3" x14ac:dyDescent="0.25">
      <c r="A2724">
        <v>2723</v>
      </c>
      <c r="B2724" t="s">
        <v>6474</v>
      </c>
      <c r="C2724" t="s">
        <v>6475</v>
      </c>
    </row>
    <row r="2725" spans="1:3" x14ac:dyDescent="0.25">
      <c r="A2725">
        <v>2724</v>
      </c>
      <c r="B2725" t="s">
        <v>6476</v>
      </c>
      <c r="C2725" t="s">
        <v>6477</v>
      </c>
    </row>
    <row r="2726" spans="1:3" x14ac:dyDescent="0.25">
      <c r="A2726">
        <v>2725</v>
      </c>
      <c r="B2726" t="s">
        <v>6478</v>
      </c>
      <c r="C2726" t="s">
        <v>6479</v>
      </c>
    </row>
    <row r="2727" spans="1:3" x14ac:dyDescent="0.25">
      <c r="A2727">
        <v>2726</v>
      </c>
      <c r="B2727" t="s">
        <v>6480</v>
      </c>
      <c r="C2727" t="s">
        <v>6481</v>
      </c>
    </row>
    <row r="2728" spans="1:3" x14ac:dyDescent="0.25">
      <c r="A2728">
        <v>2727</v>
      </c>
      <c r="B2728" t="s">
        <v>2124</v>
      </c>
      <c r="C2728" t="s">
        <v>6482</v>
      </c>
    </row>
    <row r="2729" spans="1:3" x14ac:dyDescent="0.25">
      <c r="A2729">
        <v>2728</v>
      </c>
      <c r="B2729" t="s">
        <v>6483</v>
      </c>
      <c r="C2729" t="s">
        <v>6484</v>
      </c>
    </row>
    <row r="2730" spans="1:3" x14ac:dyDescent="0.25">
      <c r="A2730">
        <v>2729</v>
      </c>
      <c r="B2730" t="s">
        <v>6485</v>
      </c>
      <c r="C2730" t="s">
        <v>6486</v>
      </c>
    </row>
    <row r="2731" spans="1:3" x14ac:dyDescent="0.25">
      <c r="A2731">
        <v>2730</v>
      </c>
      <c r="B2731" t="s">
        <v>2292</v>
      </c>
      <c r="C2731" t="s">
        <v>6487</v>
      </c>
    </row>
    <row r="2732" spans="1:3" x14ac:dyDescent="0.25">
      <c r="A2732">
        <v>2731</v>
      </c>
      <c r="B2732" t="s">
        <v>2227</v>
      </c>
      <c r="C2732" t="s">
        <v>6488</v>
      </c>
    </row>
    <row r="2733" spans="1:3" x14ac:dyDescent="0.25">
      <c r="A2733">
        <v>2732</v>
      </c>
      <c r="B2733" t="s">
        <v>6489</v>
      </c>
      <c r="C2733" t="s">
        <v>6490</v>
      </c>
    </row>
    <row r="2734" spans="1:3" x14ac:dyDescent="0.25">
      <c r="A2734">
        <v>2733</v>
      </c>
      <c r="B2734" t="s">
        <v>6491</v>
      </c>
      <c r="C2734" t="s">
        <v>6492</v>
      </c>
    </row>
    <row r="2735" spans="1:3" x14ac:dyDescent="0.25">
      <c r="A2735">
        <v>2734</v>
      </c>
      <c r="B2735" t="s">
        <v>1132</v>
      </c>
      <c r="C2735" t="s">
        <v>6493</v>
      </c>
    </row>
    <row r="2736" spans="1:3" x14ac:dyDescent="0.25">
      <c r="A2736">
        <v>2735</v>
      </c>
      <c r="B2736" t="s">
        <v>806</v>
      </c>
      <c r="C2736" t="s">
        <v>6494</v>
      </c>
    </row>
    <row r="2737" spans="1:3" x14ac:dyDescent="0.25">
      <c r="A2737">
        <v>2736</v>
      </c>
      <c r="B2737" t="s">
        <v>1413</v>
      </c>
      <c r="C2737" t="s">
        <v>6495</v>
      </c>
    </row>
    <row r="2738" spans="1:3" x14ac:dyDescent="0.25">
      <c r="A2738">
        <v>2737</v>
      </c>
      <c r="B2738" t="s">
        <v>1177</v>
      </c>
      <c r="C2738" t="s">
        <v>6496</v>
      </c>
    </row>
    <row r="2739" spans="1:3" x14ac:dyDescent="0.25">
      <c r="A2739">
        <v>2738</v>
      </c>
      <c r="B2739" t="s">
        <v>1788</v>
      </c>
      <c r="C2739" t="s">
        <v>6497</v>
      </c>
    </row>
    <row r="2740" spans="1:3" x14ac:dyDescent="0.25">
      <c r="A2740">
        <v>2739</v>
      </c>
      <c r="B2740" t="s">
        <v>6498</v>
      </c>
      <c r="C2740" t="s">
        <v>6499</v>
      </c>
    </row>
    <row r="2741" spans="1:3" x14ac:dyDescent="0.25">
      <c r="A2741">
        <v>2740</v>
      </c>
      <c r="B2741" t="s">
        <v>2201</v>
      </c>
      <c r="C2741" t="s">
        <v>6500</v>
      </c>
    </row>
    <row r="2742" spans="1:3" x14ac:dyDescent="0.25">
      <c r="A2742">
        <v>2741</v>
      </c>
      <c r="B2742" t="s">
        <v>6501</v>
      </c>
      <c r="C2742" t="s">
        <v>6502</v>
      </c>
    </row>
    <row r="2743" spans="1:3" x14ac:dyDescent="0.25">
      <c r="A2743">
        <v>2742</v>
      </c>
      <c r="B2743" t="s">
        <v>1187</v>
      </c>
      <c r="C2743" t="s">
        <v>6503</v>
      </c>
    </row>
    <row r="2744" spans="1:3" x14ac:dyDescent="0.25">
      <c r="A2744">
        <v>2743</v>
      </c>
      <c r="B2744" t="s">
        <v>6504</v>
      </c>
      <c r="C2744" t="s">
        <v>6505</v>
      </c>
    </row>
    <row r="2745" spans="1:3" x14ac:dyDescent="0.25">
      <c r="A2745">
        <v>2744</v>
      </c>
      <c r="B2745" t="s">
        <v>6506</v>
      </c>
      <c r="C2745" t="s">
        <v>6507</v>
      </c>
    </row>
    <row r="2746" spans="1:3" x14ac:dyDescent="0.25">
      <c r="A2746">
        <v>2745</v>
      </c>
      <c r="B2746" t="s">
        <v>6508</v>
      </c>
      <c r="C2746" t="s">
        <v>6509</v>
      </c>
    </row>
    <row r="2747" spans="1:3" x14ac:dyDescent="0.25">
      <c r="A2747">
        <v>2746</v>
      </c>
      <c r="B2747" t="s">
        <v>1322</v>
      </c>
      <c r="C2747" t="s">
        <v>6510</v>
      </c>
    </row>
    <row r="2748" spans="1:3" x14ac:dyDescent="0.25">
      <c r="A2748">
        <v>2747</v>
      </c>
      <c r="B2748" t="s">
        <v>6511</v>
      </c>
      <c r="C2748" t="s">
        <v>6512</v>
      </c>
    </row>
    <row r="2749" spans="1:3" x14ac:dyDescent="0.25">
      <c r="A2749">
        <v>2748</v>
      </c>
      <c r="B2749" t="s">
        <v>1295</v>
      </c>
      <c r="C2749" t="s">
        <v>6513</v>
      </c>
    </row>
    <row r="2750" spans="1:3" x14ac:dyDescent="0.25">
      <c r="A2750">
        <v>2749</v>
      </c>
      <c r="B2750" t="s">
        <v>6514</v>
      </c>
      <c r="C2750" t="s">
        <v>6515</v>
      </c>
    </row>
    <row r="2751" spans="1:3" x14ac:dyDescent="0.25">
      <c r="A2751">
        <v>2750</v>
      </c>
      <c r="B2751" t="s">
        <v>6516</v>
      </c>
      <c r="C2751" t="s">
        <v>6517</v>
      </c>
    </row>
    <row r="2752" spans="1:3" x14ac:dyDescent="0.25">
      <c r="A2752">
        <v>2751</v>
      </c>
      <c r="B2752" t="s">
        <v>16</v>
      </c>
      <c r="C2752" t="s">
        <v>6518</v>
      </c>
    </row>
    <row r="2753" spans="1:3" x14ac:dyDescent="0.25">
      <c r="A2753">
        <v>2752</v>
      </c>
      <c r="B2753" t="s">
        <v>6519</v>
      </c>
      <c r="C2753" t="s">
        <v>6520</v>
      </c>
    </row>
    <row r="2754" spans="1:3" x14ac:dyDescent="0.25">
      <c r="A2754">
        <v>2753</v>
      </c>
      <c r="B2754" t="s">
        <v>10</v>
      </c>
      <c r="C2754" t="s">
        <v>6521</v>
      </c>
    </row>
    <row r="2755" spans="1:3" x14ac:dyDescent="0.25">
      <c r="A2755">
        <v>2754</v>
      </c>
      <c r="B2755" t="s">
        <v>23</v>
      </c>
      <c r="C2755" t="s">
        <v>6522</v>
      </c>
    </row>
    <row r="2756" spans="1:3" x14ac:dyDescent="0.25">
      <c r="A2756">
        <v>2755</v>
      </c>
      <c r="B2756" t="s">
        <v>1179</v>
      </c>
      <c r="C2756" t="s">
        <v>6523</v>
      </c>
    </row>
    <row r="2757" spans="1:3" x14ac:dyDescent="0.25">
      <c r="A2757">
        <v>2756</v>
      </c>
      <c r="B2757" t="s">
        <v>6524</v>
      </c>
      <c r="C2757" t="s">
        <v>6525</v>
      </c>
    </row>
    <row r="2758" spans="1:3" x14ac:dyDescent="0.25">
      <c r="A2758">
        <v>2757</v>
      </c>
      <c r="B2758" t="s">
        <v>820</v>
      </c>
      <c r="C2758" t="s">
        <v>6526</v>
      </c>
    </row>
    <row r="2759" spans="1:3" x14ac:dyDescent="0.25">
      <c r="A2759">
        <v>2758</v>
      </c>
      <c r="B2759" t="s">
        <v>822</v>
      </c>
      <c r="C2759" t="s">
        <v>6527</v>
      </c>
    </row>
    <row r="2760" spans="1:3" x14ac:dyDescent="0.25">
      <c r="A2760">
        <v>2759</v>
      </c>
      <c r="B2760" t="s">
        <v>815</v>
      </c>
      <c r="C2760" t="s">
        <v>6528</v>
      </c>
    </row>
    <row r="2761" spans="1:3" x14ac:dyDescent="0.25">
      <c r="A2761">
        <v>2760</v>
      </c>
      <c r="B2761" t="s">
        <v>6529</v>
      </c>
      <c r="C2761" t="s">
        <v>6530</v>
      </c>
    </row>
    <row r="2762" spans="1:3" x14ac:dyDescent="0.25">
      <c r="A2762">
        <v>2761</v>
      </c>
      <c r="B2762" t="s">
        <v>6531</v>
      </c>
      <c r="C2762" t="s">
        <v>6532</v>
      </c>
    </row>
    <row r="2763" spans="1:3" x14ac:dyDescent="0.25">
      <c r="A2763">
        <v>2762</v>
      </c>
      <c r="B2763" t="s">
        <v>6533</v>
      </c>
      <c r="C2763" t="s">
        <v>6534</v>
      </c>
    </row>
    <row r="2764" spans="1:3" x14ac:dyDescent="0.25">
      <c r="A2764">
        <v>2763</v>
      </c>
      <c r="B2764" t="s">
        <v>2154</v>
      </c>
      <c r="C2764" t="s">
        <v>6535</v>
      </c>
    </row>
    <row r="2765" spans="1:3" x14ac:dyDescent="0.25">
      <c r="A2765">
        <v>2764</v>
      </c>
      <c r="B2765" t="s">
        <v>6536</v>
      </c>
      <c r="C2765" t="s">
        <v>6537</v>
      </c>
    </row>
    <row r="2766" spans="1:3" x14ac:dyDescent="0.25">
      <c r="A2766">
        <v>2765</v>
      </c>
      <c r="B2766" t="s">
        <v>6538</v>
      </c>
      <c r="C2766" t="s">
        <v>6539</v>
      </c>
    </row>
    <row r="2767" spans="1:3" x14ac:dyDescent="0.25">
      <c r="A2767">
        <v>2766</v>
      </c>
      <c r="B2767" t="s">
        <v>14</v>
      </c>
      <c r="C2767" t="s">
        <v>6540</v>
      </c>
    </row>
    <row r="2768" spans="1:3" x14ac:dyDescent="0.25">
      <c r="A2768">
        <v>2767</v>
      </c>
      <c r="B2768" t="s">
        <v>6541</v>
      </c>
      <c r="C2768" t="s">
        <v>6542</v>
      </c>
    </row>
    <row r="2769" spans="1:3" x14ac:dyDescent="0.25">
      <c r="A2769">
        <v>2768</v>
      </c>
      <c r="B2769" t="s">
        <v>346</v>
      </c>
      <c r="C2769" t="s">
        <v>6543</v>
      </c>
    </row>
    <row r="2770" spans="1:3" x14ac:dyDescent="0.25">
      <c r="A2770">
        <v>2769</v>
      </c>
      <c r="B2770" t="s">
        <v>1263</v>
      </c>
      <c r="C2770" t="s">
        <v>6544</v>
      </c>
    </row>
    <row r="2771" spans="1:3" x14ac:dyDescent="0.25">
      <c r="A2771">
        <v>2770</v>
      </c>
      <c r="B2771" t="s">
        <v>6545</v>
      </c>
      <c r="C2771" t="s">
        <v>6546</v>
      </c>
    </row>
    <row r="2772" spans="1:3" x14ac:dyDescent="0.25">
      <c r="A2772">
        <v>2771</v>
      </c>
      <c r="B2772" t="s">
        <v>6547</v>
      </c>
      <c r="C2772" t="s">
        <v>6548</v>
      </c>
    </row>
    <row r="2773" spans="1:3" x14ac:dyDescent="0.25">
      <c r="A2773">
        <v>2772</v>
      </c>
      <c r="B2773" t="s">
        <v>1138</v>
      </c>
      <c r="C2773" t="s">
        <v>6549</v>
      </c>
    </row>
    <row r="2774" spans="1:3" x14ac:dyDescent="0.25">
      <c r="A2774">
        <v>2773</v>
      </c>
      <c r="B2774" t="s">
        <v>19</v>
      </c>
      <c r="C2774" t="s">
        <v>6550</v>
      </c>
    </row>
    <row r="2775" spans="1:3" x14ac:dyDescent="0.25">
      <c r="A2775">
        <v>2774</v>
      </c>
      <c r="B2775" t="s">
        <v>12</v>
      </c>
      <c r="C2775" t="s">
        <v>6551</v>
      </c>
    </row>
    <row r="2776" spans="1:3" x14ac:dyDescent="0.25">
      <c r="A2776">
        <v>2775</v>
      </c>
      <c r="B2776" t="s">
        <v>26</v>
      </c>
      <c r="C2776" t="s">
        <v>6552</v>
      </c>
    </row>
    <row r="2777" spans="1:3" x14ac:dyDescent="0.25">
      <c r="A2777">
        <v>2776</v>
      </c>
      <c r="B2777" t="s">
        <v>728</v>
      </c>
      <c r="C2777" t="s">
        <v>6553</v>
      </c>
    </row>
    <row r="2778" spans="1:3" x14ac:dyDescent="0.25">
      <c r="A2778">
        <v>2777</v>
      </c>
      <c r="B2778" t="s">
        <v>6554</v>
      </c>
      <c r="C2778" t="s">
        <v>6555</v>
      </c>
    </row>
    <row r="2779" spans="1:3" x14ac:dyDescent="0.25">
      <c r="A2779">
        <v>2778</v>
      </c>
      <c r="B2779" t="s">
        <v>15</v>
      </c>
      <c r="C2779" t="s">
        <v>6556</v>
      </c>
    </row>
    <row r="2780" spans="1:3" x14ac:dyDescent="0.25">
      <c r="A2780">
        <v>2779</v>
      </c>
      <c r="B2780" t="s">
        <v>1582</v>
      </c>
      <c r="C2780" t="s">
        <v>6557</v>
      </c>
    </row>
    <row r="2781" spans="1:3" x14ac:dyDescent="0.25">
      <c r="A2781">
        <v>2780</v>
      </c>
      <c r="B2781" t="s">
        <v>2174</v>
      </c>
      <c r="C2781" t="s">
        <v>6558</v>
      </c>
    </row>
    <row r="2782" spans="1:3" x14ac:dyDescent="0.25">
      <c r="A2782">
        <v>2781</v>
      </c>
      <c r="B2782" t="s">
        <v>2056</v>
      </c>
      <c r="C2782" t="s">
        <v>6559</v>
      </c>
    </row>
    <row r="2783" spans="1:3" x14ac:dyDescent="0.25">
      <c r="A2783">
        <v>2782</v>
      </c>
      <c r="B2783" t="s">
        <v>6560</v>
      </c>
      <c r="C2783" t="s">
        <v>6561</v>
      </c>
    </row>
    <row r="2784" spans="1:3" x14ac:dyDescent="0.25">
      <c r="A2784">
        <v>2783</v>
      </c>
      <c r="B2784" t="s">
        <v>2098</v>
      </c>
      <c r="C2784" t="s">
        <v>6562</v>
      </c>
    </row>
    <row r="2785" spans="1:3" x14ac:dyDescent="0.25">
      <c r="A2785">
        <v>2784</v>
      </c>
      <c r="B2785" t="s">
        <v>6563</v>
      </c>
      <c r="C2785" t="s">
        <v>6564</v>
      </c>
    </row>
    <row r="2786" spans="1:3" x14ac:dyDescent="0.25">
      <c r="A2786">
        <v>2785</v>
      </c>
      <c r="B2786" t="s">
        <v>2221</v>
      </c>
      <c r="C2786" t="s">
        <v>6565</v>
      </c>
    </row>
    <row r="2787" spans="1:3" x14ac:dyDescent="0.25">
      <c r="A2787">
        <v>2786</v>
      </c>
      <c r="B2787" t="s">
        <v>1547</v>
      </c>
      <c r="C2787" t="s">
        <v>6566</v>
      </c>
    </row>
    <row r="2788" spans="1:3" x14ac:dyDescent="0.25">
      <c r="A2788">
        <v>2787</v>
      </c>
      <c r="B2788" t="s">
        <v>2053</v>
      </c>
      <c r="C2788" t="s">
        <v>6567</v>
      </c>
    </row>
    <row r="2789" spans="1:3" x14ac:dyDescent="0.25">
      <c r="A2789">
        <v>2788</v>
      </c>
      <c r="B2789" t="s">
        <v>2291</v>
      </c>
      <c r="C2789" t="s">
        <v>6568</v>
      </c>
    </row>
    <row r="2790" spans="1:3" x14ac:dyDescent="0.25">
      <c r="A2790">
        <v>2789</v>
      </c>
      <c r="B2790" t="s">
        <v>766</v>
      </c>
      <c r="C2790" t="s">
        <v>6569</v>
      </c>
    </row>
    <row r="2791" spans="1:3" x14ac:dyDescent="0.25">
      <c r="A2791">
        <v>2790</v>
      </c>
      <c r="B2791" t="s">
        <v>756</v>
      </c>
      <c r="C2791" t="s">
        <v>6570</v>
      </c>
    </row>
    <row r="2792" spans="1:3" x14ac:dyDescent="0.25">
      <c r="A2792">
        <v>2791</v>
      </c>
      <c r="B2792" t="s">
        <v>6571</v>
      </c>
      <c r="C2792" t="s">
        <v>6572</v>
      </c>
    </row>
    <row r="2793" spans="1:3" x14ac:dyDescent="0.25">
      <c r="A2793">
        <v>2792</v>
      </c>
      <c r="B2793" t="s">
        <v>93</v>
      </c>
      <c r="C2793" t="s">
        <v>6573</v>
      </c>
    </row>
    <row r="2794" spans="1:3" x14ac:dyDescent="0.25">
      <c r="A2794">
        <v>2793</v>
      </c>
      <c r="B2794" t="s">
        <v>1715</v>
      </c>
      <c r="C2794" t="s">
        <v>6574</v>
      </c>
    </row>
    <row r="2795" spans="1:3" x14ac:dyDescent="0.25">
      <c r="A2795">
        <v>2794</v>
      </c>
      <c r="B2795" t="s">
        <v>1189</v>
      </c>
      <c r="C2795" t="s">
        <v>6575</v>
      </c>
    </row>
    <row r="2796" spans="1:3" x14ac:dyDescent="0.25">
      <c r="A2796">
        <v>2795</v>
      </c>
      <c r="B2796" t="s">
        <v>6576</v>
      </c>
      <c r="C2796" t="s">
        <v>6577</v>
      </c>
    </row>
    <row r="2797" spans="1:3" x14ac:dyDescent="0.25">
      <c r="A2797">
        <v>2796</v>
      </c>
      <c r="B2797" t="s">
        <v>92</v>
      </c>
      <c r="C2797" t="s">
        <v>6578</v>
      </c>
    </row>
    <row r="2798" spans="1:3" x14ac:dyDescent="0.25">
      <c r="A2798">
        <v>2797</v>
      </c>
      <c r="B2798" t="s">
        <v>6579</v>
      </c>
      <c r="C2798" t="s">
        <v>6580</v>
      </c>
    </row>
    <row r="2799" spans="1:3" x14ac:dyDescent="0.25">
      <c r="A2799">
        <v>2798</v>
      </c>
      <c r="B2799" t="s">
        <v>895</v>
      </c>
      <c r="C2799" t="s">
        <v>6581</v>
      </c>
    </row>
    <row r="2800" spans="1:3" x14ac:dyDescent="0.25">
      <c r="A2800">
        <v>2799</v>
      </c>
      <c r="B2800" t="s">
        <v>652</v>
      </c>
      <c r="C2800" t="s">
        <v>6582</v>
      </c>
    </row>
    <row r="2801" spans="1:3" x14ac:dyDescent="0.25">
      <c r="A2801">
        <v>2800</v>
      </c>
      <c r="B2801" t="s">
        <v>654</v>
      </c>
      <c r="C2801" t="s">
        <v>6583</v>
      </c>
    </row>
    <row r="2802" spans="1:3" x14ac:dyDescent="0.25">
      <c r="A2802">
        <v>2801</v>
      </c>
      <c r="B2802" t="s">
        <v>1598</v>
      </c>
      <c r="C2802" t="s">
        <v>6584</v>
      </c>
    </row>
    <row r="2803" spans="1:3" x14ac:dyDescent="0.25">
      <c r="A2803">
        <v>2802</v>
      </c>
      <c r="B2803" t="s">
        <v>2233</v>
      </c>
      <c r="C2803" t="s">
        <v>6585</v>
      </c>
    </row>
    <row r="2804" spans="1:3" x14ac:dyDescent="0.25">
      <c r="A2804">
        <v>2803</v>
      </c>
      <c r="B2804" t="s">
        <v>2084</v>
      </c>
      <c r="C2804" t="s">
        <v>6586</v>
      </c>
    </row>
    <row r="2805" spans="1:3" x14ac:dyDescent="0.25">
      <c r="A2805">
        <v>2804</v>
      </c>
      <c r="B2805" t="s">
        <v>839</v>
      </c>
      <c r="C2805" t="s">
        <v>6587</v>
      </c>
    </row>
    <row r="2806" spans="1:3" x14ac:dyDescent="0.25">
      <c r="A2806">
        <v>2805</v>
      </c>
      <c r="B2806" t="s">
        <v>1239</v>
      </c>
      <c r="C2806" t="s">
        <v>6588</v>
      </c>
    </row>
    <row r="2807" spans="1:3" x14ac:dyDescent="0.25">
      <c r="A2807">
        <v>2806</v>
      </c>
      <c r="B2807" t="s">
        <v>2129</v>
      </c>
      <c r="C2807" t="s">
        <v>6589</v>
      </c>
    </row>
    <row r="2808" spans="1:3" x14ac:dyDescent="0.25">
      <c r="A2808">
        <v>2807</v>
      </c>
      <c r="B2808" t="s">
        <v>6590</v>
      </c>
      <c r="C2808" t="s">
        <v>6591</v>
      </c>
    </row>
    <row r="2809" spans="1:3" x14ac:dyDescent="0.25">
      <c r="A2809">
        <v>2808</v>
      </c>
      <c r="B2809" t="s">
        <v>6592</v>
      </c>
      <c r="C2809" t="s">
        <v>6593</v>
      </c>
    </row>
    <row r="2810" spans="1:3" x14ac:dyDescent="0.25">
      <c r="A2810">
        <v>2809</v>
      </c>
      <c r="B2810" t="s">
        <v>6594</v>
      </c>
      <c r="C2810" t="s">
        <v>6595</v>
      </c>
    </row>
    <row r="2811" spans="1:3" x14ac:dyDescent="0.25">
      <c r="A2811">
        <v>2810</v>
      </c>
      <c r="B2811" t="s">
        <v>6596</v>
      </c>
      <c r="C2811" t="s">
        <v>6597</v>
      </c>
    </row>
    <row r="2812" spans="1:3" x14ac:dyDescent="0.25">
      <c r="A2812">
        <v>2811</v>
      </c>
      <c r="B2812" t="s">
        <v>6598</v>
      </c>
      <c r="C2812" t="s">
        <v>6599</v>
      </c>
    </row>
    <row r="2813" spans="1:3" x14ac:dyDescent="0.25">
      <c r="A2813">
        <v>2812</v>
      </c>
      <c r="B2813" t="s">
        <v>6600</v>
      </c>
      <c r="C2813" t="s">
        <v>6601</v>
      </c>
    </row>
    <row r="2814" spans="1:3" x14ac:dyDescent="0.25">
      <c r="A2814">
        <v>2813</v>
      </c>
      <c r="B2814" t="s">
        <v>6602</v>
      </c>
      <c r="C2814" t="s">
        <v>6603</v>
      </c>
    </row>
    <row r="2815" spans="1:3" x14ac:dyDescent="0.25">
      <c r="A2815">
        <v>2814</v>
      </c>
      <c r="B2815" t="s">
        <v>1259</v>
      </c>
      <c r="C2815" t="s">
        <v>6604</v>
      </c>
    </row>
    <row r="2816" spans="1:3" x14ac:dyDescent="0.25">
      <c r="A2816">
        <v>2815</v>
      </c>
      <c r="B2816" t="s">
        <v>6605</v>
      </c>
      <c r="C2816" t="s">
        <v>6606</v>
      </c>
    </row>
    <row r="2817" spans="1:3" x14ac:dyDescent="0.25">
      <c r="A2817">
        <v>2816</v>
      </c>
      <c r="B2817" t="s">
        <v>6607</v>
      </c>
      <c r="C2817" t="s">
        <v>6608</v>
      </c>
    </row>
    <row r="2818" spans="1:3" x14ac:dyDescent="0.25">
      <c r="A2818">
        <v>2817</v>
      </c>
      <c r="B2818" t="s">
        <v>6609</v>
      </c>
      <c r="C2818" t="s">
        <v>6610</v>
      </c>
    </row>
    <row r="2819" spans="1:3" x14ac:dyDescent="0.25">
      <c r="A2819">
        <v>2818</v>
      </c>
      <c r="B2819" t="s">
        <v>6611</v>
      </c>
      <c r="C2819" t="s">
        <v>6612</v>
      </c>
    </row>
    <row r="2820" spans="1:3" x14ac:dyDescent="0.25">
      <c r="A2820">
        <v>2819</v>
      </c>
      <c r="B2820" t="s">
        <v>2232</v>
      </c>
      <c r="C2820" t="s">
        <v>6613</v>
      </c>
    </row>
    <row r="2821" spans="1:3" x14ac:dyDescent="0.25">
      <c r="A2821">
        <v>2820</v>
      </c>
      <c r="B2821" t="s">
        <v>6614</v>
      </c>
      <c r="C2821" t="s">
        <v>6615</v>
      </c>
    </row>
    <row r="2822" spans="1:3" x14ac:dyDescent="0.25">
      <c r="A2822">
        <v>2821</v>
      </c>
      <c r="B2822" t="s">
        <v>6616</v>
      </c>
      <c r="C2822" t="s">
        <v>6617</v>
      </c>
    </row>
    <row r="2823" spans="1:3" x14ac:dyDescent="0.25">
      <c r="A2823">
        <v>2822</v>
      </c>
      <c r="B2823" t="s">
        <v>6618</v>
      </c>
      <c r="C2823" t="s">
        <v>6619</v>
      </c>
    </row>
    <row r="2824" spans="1:3" x14ac:dyDescent="0.25">
      <c r="A2824">
        <v>2823</v>
      </c>
      <c r="B2824" t="s">
        <v>6620</v>
      </c>
      <c r="C2824" t="s">
        <v>6621</v>
      </c>
    </row>
    <row r="2825" spans="1:3" x14ac:dyDescent="0.25">
      <c r="A2825">
        <v>2824</v>
      </c>
      <c r="B2825" t="s">
        <v>6622</v>
      </c>
      <c r="C2825" t="s">
        <v>6623</v>
      </c>
    </row>
    <row r="2826" spans="1:3" x14ac:dyDescent="0.25">
      <c r="A2826">
        <v>2825</v>
      </c>
      <c r="B2826" t="s">
        <v>104</v>
      </c>
      <c r="C2826" t="s">
        <v>6624</v>
      </c>
    </row>
    <row r="2827" spans="1:3" x14ac:dyDescent="0.25">
      <c r="A2827">
        <v>2826</v>
      </c>
      <c r="B2827" t="s">
        <v>106</v>
      </c>
      <c r="C2827" t="s">
        <v>6625</v>
      </c>
    </row>
    <row r="2828" spans="1:3" x14ac:dyDescent="0.25">
      <c r="A2828">
        <v>2827</v>
      </c>
      <c r="B2828" t="s">
        <v>1850</v>
      </c>
      <c r="C2828" t="s">
        <v>6626</v>
      </c>
    </row>
    <row r="2829" spans="1:3" x14ac:dyDescent="0.25">
      <c r="A2829">
        <v>2828</v>
      </c>
      <c r="B2829" t="s">
        <v>6627</v>
      </c>
      <c r="C2829" t="s">
        <v>6628</v>
      </c>
    </row>
    <row r="2830" spans="1:3" x14ac:dyDescent="0.25">
      <c r="A2830">
        <v>2829</v>
      </c>
      <c r="B2830" t="s">
        <v>6629</v>
      </c>
      <c r="C2830" t="s">
        <v>6630</v>
      </c>
    </row>
    <row r="2831" spans="1:3" x14ac:dyDescent="0.25">
      <c r="A2831">
        <v>2830</v>
      </c>
      <c r="B2831" t="s">
        <v>189</v>
      </c>
      <c r="C2831" t="s">
        <v>6631</v>
      </c>
    </row>
    <row r="2832" spans="1:3" x14ac:dyDescent="0.25">
      <c r="A2832">
        <v>2831</v>
      </c>
      <c r="B2832" t="s">
        <v>6632</v>
      </c>
      <c r="C2832" t="s">
        <v>6633</v>
      </c>
    </row>
    <row r="2833" spans="1:3" x14ac:dyDescent="0.25">
      <c r="A2833">
        <v>2832</v>
      </c>
      <c r="B2833" t="s">
        <v>122</v>
      </c>
      <c r="C2833" t="s">
        <v>6634</v>
      </c>
    </row>
    <row r="2834" spans="1:3" x14ac:dyDescent="0.25">
      <c r="A2834">
        <v>2833</v>
      </c>
      <c r="B2834" t="s">
        <v>2011</v>
      </c>
      <c r="C2834" t="s">
        <v>6635</v>
      </c>
    </row>
    <row r="2835" spans="1:3" x14ac:dyDescent="0.25">
      <c r="A2835">
        <v>2834</v>
      </c>
      <c r="B2835" t="s">
        <v>2273</v>
      </c>
      <c r="C2835" t="s">
        <v>6636</v>
      </c>
    </row>
    <row r="2836" spans="1:3" x14ac:dyDescent="0.25">
      <c r="A2836">
        <v>2835</v>
      </c>
      <c r="B2836" t="s">
        <v>1996</v>
      </c>
      <c r="C2836" t="s">
        <v>6637</v>
      </c>
    </row>
    <row r="2837" spans="1:3" x14ac:dyDescent="0.25">
      <c r="A2837">
        <v>2836</v>
      </c>
      <c r="B2837" t="s">
        <v>51</v>
      </c>
      <c r="C2837" t="s">
        <v>6638</v>
      </c>
    </row>
    <row r="2838" spans="1:3" x14ac:dyDescent="0.25">
      <c r="A2838">
        <v>2837</v>
      </c>
      <c r="B2838" t="s">
        <v>6639</v>
      </c>
      <c r="C2838" t="s">
        <v>6640</v>
      </c>
    </row>
    <row r="2839" spans="1:3" x14ac:dyDescent="0.25">
      <c r="A2839">
        <v>2838</v>
      </c>
      <c r="B2839" t="s">
        <v>6641</v>
      </c>
      <c r="C2839" t="s">
        <v>6642</v>
      </c>
    </row>
    <row r="2840" spans="1:3" x14ac:dyDescent="0.25">
      <c r="A2840">
        <v>2839</v>
      </c>
      <c r="B2840" t="s">
        <v>6643</v>
      </c>
      <c r="C2840" t="s">
        <v>6644</v>
      </c>
    </row>
    <row r="2841" spans="1:3" x14ac:dyDescent="0.25">
      <c r="A2841">
        <v>2840</v>
      </c>
      <c r="B2841" t="s">
        <v>2238</v>
      </c>
      <c r="C2841" t="s">
        <v>6645</v>
      </c>
    </row>
    <row r="2842" spans="1:3" x14ac:dyDescent="0.25">
      <c r="A2842">
        <v>2841</v>
      </c>
      <c r="B2842" t="s">
        <v>6646</v>
      </c>
      <c r="C2842" t="s">
        <v>6647</v>
      </c>
    </row>
    <row r="2843" spans="1:3" x14ac:dyDescent="0.25">
      <c r="A2843">
        <v>2842</v>
      </c>
      <c r="B2843" t="s">
        <v>2082</v>
      </c>
      <c r="C2843" t="s">
        <v>6648</v>
      </c>
    </row>
    <row r="2844" spans="1:3" x14ac:dyDescent="0.25">
      <c r="A2844">
        <v>2843</v>
      </c>
      <c r="B2844" t="s">
        <v>2180</v>
      </c>
      <c r="C2844" t="s">
        <v>6649</v>
      </c>
    </row>
    <row r="2845" spans="1:3" x14ac:dyDescent="0.25">
      <c r="A2845">
        <v>2844</v>
      </c>
      <c r="B2845" t="s">
        <v>2047</v>
      </c>
      <c r="C2845" t="s">
        <v>6650</v>
      </c>
    </row>
    <row r="2846" spans="1:3" x14ac:dyDescent="0.25">
      <c r="A2846">
        <v>2845</v>
      </c>
      <c r="B2846" t="s">
        <v>891</v>
      </c>
      <c r="C2846" t="s">
        <v>6651</v>
      </c>
    </row>
    <row r="2847" spans="1:3" x14ac:dyDescent="0.25">
      <c r="A2847">
        <v>2846</v>
      </c>
      <c r="B2847" t="s">
        <v>424</v>
      </c>
      <c r="C2847" t="s">
        <v>6652</v>
      </c>
    </row>
    <row r="2848" spans="1:3" x14ac:dyDescent="0.25">
      <c r="A2848">
        <v>2847</v>
      </c>
      <c r="B2848" t="s">
        <v>2236</v>
      </c>
      <c r="C2848" t="s">
        <v>6653</v>
      </c>
    </row>
    <row r="2849" spans="1:3" x14ac:dyDescent="0.25">
      <c r="A2849">
        <v>2848</v>
      </c>
      <c r="B2849" t="s">
        <v>1064</v>
      </c>
      <c r="C2849" t="s">
        <v>6654</v>
      </c>
    </row>
    <row r="2850" spans="1:3" x14ac:dyDescent="0.25">
      <c r="A2850">
        <v>2849</v>
      </c>
      <c r="B2850" t="s">
        <v>1934</v>
      </c>
      <c r="C2850" t="s">
        <v>6655</v>
      </c>
    </row>
    <row r="2851" spans="1:3" x14ac:dyDescent="0.25">
      <c r="A2851">
        <v>2850</v>
      </c>
      <c r="B2851" t="s">
        <v>2065</v>
      </c>
      <c r="C2851" t="s">
        <v>6656</v>
      </c>
    </row>
    <row r="2852" spans="1:3" x14ac:dyDescent="0.25">
      <c r="A2852">
        <v>2851</v>
      </c>
      <c r="B2852" t="s">
        <v>2060</v>
      </c>
      <c r="C2852" t="s">
        <v>6657</v>
      </c>
    </row>
    <row r="2853" spans="1:3" x14ac:dyDescent="0.25">
      <c r="A2853">
        <v>2852</v>
      </c>
      <c r="B2853" t="s">
        <v>2330</v>
      </c>
      <c r="C2853" t="s">
        <v>6658</v>
      </c>
    </row>
    <row r="2854" spans="1:3" x14ac:dyDescent="0.25">
      <c r="A2854">
        <v>2853</v>
      </c>
      <c r="B2854" t="s">
        <v>1072</v>
      </c>
      <c r="C2854" t="s">
        <v>6659</v>
      </c>
    </row>
    <row r="2855" spans="1:3" x14ac:dyDescent="0.25">
      <c r="A2855">
        <v>2854</v>
      </c>
      <c r="B2855" t="s">
        <v>1648</v>
      </c>
      <c r="C2855" t="s">
        <v>6660</v>
      </c>
    </row>
    <row r="2856" spans="1:3" x14ac:dyDescent="0.25">
      <c r="A2856">
        <v>2855</v>
      </c>
      <c r="B2856" t="s">
        <v>6661</v>
      </c>
      <c r="C2856" t="s">
        <v>6662</v>
      </c>
    </row>
    <row r="2857" spans="1:3" x14ac:dyDescent="0.25">
      <c r="A2857">
        <v>2856</v>
      </c>
      <c r="B2857" t="s">
        <v>1636</v>
      </c>
      <c r="C2857" t="s">
        <v>6663</v>
      </c>
    </row>
    <row r="2858" spans="1:3" x14ac:dyDescent="0.25">
      <c r="A2858">
        <v>2857</v>
      </c>
      <c r="B2858" t="s">
        <v>6664</v>
      </c>
      <c r="C2858" t="s">
        <v>6665</v>
      </c>
    </row>
    <row r="2859" spans="1:3" x14ac:dyDescent="0.25">
      <c r="A2859">
        <v>2858</v>
      </c>
      <c r="B2859" t="s">
        <v>6666</v>
      </c>
      <c r="C2859" t="s">
        <v>6667</v>
      </c>
    </row>
    <row r="2860" spans="1:3" x14ac:dyDescent="0.25">
      <c r="A2860">
        <v>2859</v>
      </c>
      <c r="B2860" t="s">
        <v>1569</v>
      </c>
      <c r="C2860" t="s">
        <v>6668</v>
      </c>
    </row>
    <row r="2861" spans="1:3" x14ac:dyDescent="0.25">
      <c r="A2861">
        <v>2860</v>
      </c>
      <c r="B2861" t="s">
        <v>2246</v>
      </c>
      <c r="C2861" t="s">
        <v>6669</v>
      </c>
    </row>
    <row r="2862" spans="1:3" x14ac:dyDescent="0.25">
      <c r="A2862">
        <v>2861</v>
      </c>
      <c r="B2862" t="s">
        <v>786</v>
      </c>
      <c r="C2862" t="s">
        <v>6670</v>
      </c>
    </row>
    <row r="2863" spans="1:3" x14ac:dyDescent="0.25">
      <c r="A2863">
        <v>2862</v>
      </c>
      <c r="B2863" t="s">
        <v>2109</v>
      </c>
      <c r="C2863" t="s">
        <v>6671</v>
      </c>
    </row>
    <row r="2864" spans="1:3" x14ac:dyDescent="0.25">
      <c r="A2864">
        <v>2863</v>
      </c>
      <c r="B2864" t="s">
        <v>974</v>
      </c>
      <c r="C2864" t="s">
        <v>6672</v>
      </c>
    </row>
    <row r="2865" spans="1:3" x14ac:dyDescent="0.25">
      <c r="A2865">
        <v>2864</v>
      </c>
      <c r="B2865" t="s">
        <v>794</v>
      </c>
      <c r="C2865" t="s">
        <v>6673</v>
      </c>
    </row>
    <row r="2866" spans="1:3" x14ac:dyDescent="0.25">
      <c r="A2866">
        <v>2865</v>
      </c>
      <c r="B2866" t="s">
        <v>2162</v>
      </c>
      <c r="C2866" t="s">
        <v>6674</v>
      </c>
    </row>
    <row r="2867" spans="1:3" x14ac:dyDescent="0.25">
      <c r="A2867">
        <v>2866</v>
      </c>
      <c r="B2867" t="s">
        <v>2188</v>
      </c>
      <c r="C2867" t="s">
        <v>6675</v>
      </c>
    </row>
    <row r="2868" spans="1:3" x14ac:dyDescent="0.25">
      <c r="A2868">
        <v>2867</v>
      </c>
      <c r="B2868" t="s">
        <v>1560</v>
      </c>
      <c r="C2868" t="s">
        <v>6676</v>
      </c>
    </row>
    <row r="2869" spans="1:3" x14ac:dyDescent="0.25">
      <c r="A2869">
        <v>2868</v>
      </c>
      <c r="B2869" t="s">
        <v>2300</v>
      </c>
      <c r="C2869" t="s">
        <v>6677</v>
      </c>
    </row>
    <row r="2870" spans="1:3" x14ac:dyDescent="0.25">
      <c r="A2870">
        <v>2869</v>
      </c>
      <c r="B2870" t="s">
        <v>6678</v>
      </c>
      <c r="C2870" t="s">
        <v>6679</v>
      </c>
    </row>
    <row r="2871" spans="1:3" x14ac:dyDescent="0.25">
      <c r="A2871">
        <v>2870</v>
      </c>
      <c r="B2871" t="s">
        <v>2120</v>
      </c>
      <c r="C2871" t="s">
        <v>6680</v>
      </c>
    </row>
    <row r="2872" spans="1:3" x14ac:dyDescent="0.25">
      <c r="A2872">
        <v>2871</v>
      </c>
      <c r="B2872" t="s">
        <v>972</v>
      </c>
      <c r="C2872" t="s">
        <v>6681</v>
      </c>
    </row>
    <row r="2873" spans="1:3" x14ac:dyDescent="0.25">
      <c r="A2873">
        <v>2872</v>
      </c>
      <c r="B2873" t="s">
        <v>6682</v>
      </c>
      <c r="C2873" t="s">
        <v>6683</v>
      </c>
    </row>
    <row r="2874" spans="1:3" x14ac:dyDescent="0.25">
      <c r="A2874">
        <v>2873</v>
      </c>
      <c r="B2874" t="s">
        <v>649</v>
      </c>
      <c r="C2874" t="s">
        <v>6684</v>
      </c>
    </row>
    <row r="2875" spans="1:3" x14ac:dyDescent="0.25">
      <c r="A2875">
        <v>2874</v>
      </c>
      <c r="B2875" t="s">
        <v>2309</v>
      </c>
      <c r="C2875" t="s">
        <v>6685</v>
      </c>
    </row>
    <row r="2876" spans="1:3" x14ac:dyDescent="0.25">
      <c r="A2876">
        <v>2875</v>
      </c>
      <c r="B2876" t="s">
        <v>2323</v>
      </c>
      <c r="C2876" t="s">
        <v>6686</v>
      </c>
    </row>
    <row r="2877" spans="1:3" x14ac:dyDescent="0.25">
      <c r="A2877">
        <v>2876</v>
      </c>
      <c r="B2877" t="s">
        <v>6687</v>
      </c>
      <c r="C2877" t="s">
        <v>6688</v>
      </c>
    </row>
    <row r="2878" spans="1:3" x14ac:dyDescent="0.25">
      <c r="A2878">
        <v>2877</v>
      </c>
      <c r="B2878" t="s">
        <v>29</v>
      </c>
      <c r="C2878" t="s">
        <v>6689</v>
      </c>
    </row>
    <row r="2879" spans="1:3" x14ac:dyDescent="0.25">
      <c r="A2879">
        <v>2878</v>
      </c>
      <c r="B2879" t="s">
        <v>6690</v>
      </c>
      <c r="C2879" t="s">
        <v>6691</v>
      </c>
    </row>
    <row r="2880" spans="1:3" x14ac:dyDescent="0.25">
      <c r="A2880">
        <v>2879</v>
      </c>
      <c r="B2880" t="s">
        <v>1678</v>
      </c>
      <c r="C2880" t="s">
        <v>6692</v>
      </c>
    </row>
    <row r="2881" spans="1:3" x14ac:dyDescent="0.25">
      <c r="A2881">
        <v>2880</v>
      </c>
      <c r="B2881" t="s">
        <v>6693</v>
      </c>
      <c r="C2881" t="s">
        <v>6694</v>
      </c>
    </row>
    <row r="2882" spans="1:3" x14ac:dyDescent="0.25">
      <c r="A2882">
        <v>2881</v>
      </c>
      <c r="B2882" t="s">
        <v>1854</v>
      </c>
      <c r="C2882" t="s">
        <v>6695</v>
      </c>
    </row>
    <row r="2883" spans="1:3" x14ac:dyDescent="0.25">
      <c r="A2883">
        <v>2882</v>
      </c>
      <c r="B2883" t="s">
        <v>420</v>
      </c>
      <c r="C2883" t="s">
        <v>6696</v>
      </c>
    </row>
    <row r="2884" spans="1:3" x14ac:dyDescent="0.25">
      <c r="A2884">
        <v>2883</v>
      </c>
      <c r="B2884" t="s">
        <v>2248</v>
      </c>
      <c r="C2884" t="s">
        <v>6697</v>
      </c>
    </row>
    <row r="2885" spans="1:3" x14ac:dyDescent="0.25">
      <c r="A2885">
        <v>2884</v>
      </c>
      <c r="B2885" t="s">
        <v>414</v>
      </c>
      <c r="C2885" t="s">
        <v>6698</v>
      </c>
    </row>
    <row r="2886" spans="1:3" x14ac:dyDescent="0.25">
      <c r="A2886">
        <v>2885</v>
      </c>
      <c r="B2886" t="s">
        <v>846</v>
      </c>
      <c r="C2886" t="s">
        <v>6699</v>
      </c>
    </row>
    <row r="2887" spans="1:3" x14ac:dyDescent="0.25">
      <c r="A2887">
        <v>2886</v>
      </c>
      <c r="B2887" t="s">
        <v>844</v>
      </c>
      <c r="C2887" t="s">
        <v>6700</v>
      </c>
    </row>
    <row r="2888" spans="1:3" x14ac:dyDescent="0.25">
      <c r="A2888">
        <v>2887</v>
      </c>
      <c r="B2888" t="s">
        <v>2068</v>
      </c>
      <c r="C2888" t="s">
        <v>6701</v>
      </c>
    </row>
    <row r="2889" spans="1:3" x14ac:dyDescent="0.25">
      <c r="A2889">
        <v>2888</v>
      </c>
      <c r="B2889" t="s">
        <v>6702</v>
      </c>
      <c r="C2889" t="s">
        <v>6703</v>
      </c>
    </row>
    <row r="2890" spans="1:3" x14ac:dyDescent="0.25">
      <c r="A2890">
        <v>2889</v>
      </c>
      <c r="B2890" t="s">
        <v>6704</v>
      </c>
      <c r="C2890" t="s">
        <v>6705</v>
      </c>
    </row>
    <row r="2891" spans="1:3" x14ac:dyDescent="0.25">
      <c r="A2891">
        <v>2890</v>
      </c>
      <c r="B2891" t="s">
        <v>6706</v>
      </c>
      <c r="C2891" t="s">
        <v>6707</v>
      </c>
    </row>
    <row r="2892" spans="1:3" x14ac:dyDescent="0.25">
      <c r="A2892">
        <v>2891</v>
      </c>
      <c r="B2892" t="s">
        <v>2108</v>
      </c>
      <c r="C2892" t="s">
        <v>6708</v>
      </c>
    </row>
    <row r="2893" spans="1:3" x14ac:dyDescent="0.25">
      <c r="A2893">
        <v>2892</v>
      </c>
      <c r="B2893" t="s">
        <v>6709</v>
      </c>
      <c r="C2893" t="s">
        <v>6710</v>
      </c>
    </row>
    <row r="2894" spans="1:3" x14ac:dyDescent="0.25">
      <c r="A2894">
        <v>2893</v>
      </c>
      <c r="B2894" t="s">
        <v>6711</v>
      </c>
      <c r="C2894" t="s">
        <v>6712</v>
      </c>
    </row>
    <row r="2895" spans="1:3" x14ac:dyDescent="0.25">
      <c r="A2895">
        <v>2894</v>
      </c>
      <c r="B2895" t="s">
        <v>2290</v>
      </c>
      <c r="C2895" t="s">
        <v>6713</v>
      </c>
    </row>
    <row r="2896" spans="1:3" x14ac:dyDescent="0.25">
      <c r="A2896">
        <v>2895</v>
      </c>
      <c r="B2896" t="s">
        <v>836</v>
      </c>
      <c r="C2896" t="s">
        <v>6714</v>
      </c>
    </row>
    <row r="2897" spans="1:3" x14ac:dyDescent="0.25">
      <c r="A2897">
        <v>2896</v>
      </c>
      <c r="B2897" t="s">
        <v>6715</v>
      </c>
      <c r="C2897" t="s">
        <v>6716</v>
      </c>
    </row>
    <row r="2898" spans="1:3" x14ac:dyDescent="0.25">
      <c r="A2898">
        <v>2897</v>
      </c>
      <c r="B2898" t="s">
        <v>1078</v>
      </c>
      <c r="C2898" t="s">
        <v>6717</v>
      </c>
    </row>
    <row r="2899" spans="1:3" x14ac:dyDescent="0.25">
      <c r="A2899">
        <v>2898</v>
      </c>
      <c r="B2899" t="s">
        <v>2237</v>
      </c>
      <c r="C2899" t="s">
        <v>6718</v>
      </c>
    </row>
    <row r="2900" spans="1:3" x14ac:dyDescent="0.25">
      <c r="A2900">
        <v>2899</v>
      </c>
      <c r="B2900" t="s">
        <v>1698</v>
      </c>
      <c r="C2900" t="s">
        <v>6719</v>
      </c>
    </row>
    <row r="2901" spans="1:3" x14ac:dyDescent="0.25">
      <c r="A2901">
        <v>2900</v>
      </c>
      <c r="B2901" t="s">
        <v>6720</v>
      </c>
      <c r="C2901" t="s">
        <v>6721</v>
      </c>
    </row>
    <row r="2902" spans="1:3" x14ac:dyDescent="0.25">
      <c r="A2902">
        <v>2901</v>
      </c>
      <c r="B2902" t="s">
        <v>2185</v>
      </c>
      <c r="C2902" t="s">
        <v>6722</v>
      </c>
    </row>
    <row r="2903" spans="1:3" x14ac:dyDescent="0.25">
      <c r="A2903">
        <v>2902</v>
      </c>
      <c r="B2903" t="s">
        <v>850</v>
      </c>
      <c r="C2903" t="s">
        <v>6723</v>
      </c>
    </row>
    <row r="2904" spans="1:3" x14ac:dyDescent="0.25">
      <c r="A2904">
        <v>2903</v>
      </c>
      <c r="B2904" t="s">
        <v>2318</v>
      </c>
      <c r="C2904" t="s">
        <v>6724</v>
      </c>
    </row>
    <row r="2905" spans="1:3" x14ac:dyDescent="0.25">
      <c r="A2905">
        <v>2904</v>
      </c>
      <c r="B2905" t="s">
        <v>2310</v>
      </c>
      <c r="C2905" t="s">
        <v>6725</v>
      </c>
    </row>
    <row r="2906" spans="1:3" x14ac:dyDescent="0.25">
      <c r="A2906">
        <v>2905</v>
      </c>
      <c r="B2906" t="s">
        <v>2316</v>
      </c>
      <c r="C2906" t="s">
        <v>6726</v>
      </c>
    </row>
    <row r="2907" spans="1:3" x14ac:dyDescent="0.25">
      <c r="A2907">
        <v>2906</v>
      </c>
      <c r="B2907" t="s">
        <v>6727</v>
      </c>
      <c r="C2907" t="s">
        <v>6728</v>
      </c>
    </row>
    <row r="2908" spans="1:3" x14ac:dyDescent="0.25">
      <c r="A2908">
        <v>2907</v>
      </c>
      <c r="B2908" t="s">
        <v>6729</v>
      </c>
      <c r="C2908" t="s">
        <v>6730</v>
      </c>
    </row>
    <row r="2909" spans="1:3" x14ac:dyDescent="0.25">
      <c r="A2909">
        <v>2908</v>
      </c>
      <c r="B2909" t="s">
        <v>6731</v>
      </c>
      <c r="C2909" t="s">
        <v>6732</v>
      </c>
    </row>
    <row r="2910" spans="1:3" x14ac:dyDescent="0.25">
      <c r="A2910">
        <v>2909</v>
      </c>
      <c r="B2910" t="s">
        <v>6733</v>
      </c>
      <c r="C2910" t="s">
        <v>6734</v>
      </c>
    </row>
    <row r="2911" spans="1:3" x14ac:dyDescent="0.25">
      <c r="A2911">
        <v>2910</v>
      </c>
      <c r="B2911" t="s">
        <v>6735</v>
      </c>
      <c r="C2911" t="s">
        <v>6736</v>
      </c>
    </row>
    <row r="2912" spans="1:3" x14ac:dyDescent="0.25">
      <c r="A2912">
        <v>2911</v>
      </c>
      <c r="B2912" t="s">
        <v>6737</v>
      </c>
      <c r="C2912" t="s">
        <v>6738</v>
      </c>
    </row>
    <row r="2913" spans="1:3" x14ac:dyDescent="0.25">
      <c r="A2913">
        <v>2912</v>
      </c>
      <c r="B2913" t="s">
        <v>6739</v>
      </c>
      <c r="C2913" t="s">
        <v>6740</v>
      </c>
    </row>
    <row r="2914" spans="1:3" x14ac:dyDescent="0.25">
      <c r="A2914">
        <v>2913</v>
      </c>
      <c r="B2914" t="s">
        <v>2178</v>
      </c>
      <c r="C2914" t="s">
        <v>6741</v>
      </c>
    </row>
    <row r="2915" spans="1:3" x14ac:dyDescent="0.25">
      <c r="A2915">
        <v>2914</v>
      </c>
      <c r="B2915" t="s">
        <v>6742</v>
      </c>
      <c r="C2915" t="s">
        <v>6743</v>
      </c>
    </row>
    <row r="2916" spans="1:3" x14ac:dyDescent="0.25">
      <c r="A2916">
        <v>2915</v>
      </c>
      <c r="B2916" t="s">
        <v>2009</v>
      </c>
      <c r="C2916" t="s">
        <v>6744</v>
      </c>
    </row>
    <row r="2917" spans="1:3" x14ac:dyDescent="0.25">
      <c r="A2917">
        <v>2916</v>
      </c>
      <c r="B2917" t="s">
        <v>1567</v>
      </c>
      <c r="C2917" t="s">
        <v>6745</v>
      </c>
    </row>
    <row r="2918" spans="1:3" x14ac:dyDescent="0.25">
      <c r="A2918">
        <v>2917</v>
      </c>
      <c r="B2918" t="s">
        <v>842</v>
      </c>
      <c r="C2918" t="s">
        <v>6746</v>
      </c>
    </row>
    <row r="2919" spans="1:3" x14ac:dyDescent="0.25">
      <c r="A2919">
        <v>2918</v>
      </c>
      <c r="B2919" t="s">
        <v>6747</v>
      </c>
      <c r="C2919" t="s">
        <v>6748</v>
      </c>
    </row>
    <row r="2920" spans="1:3" x14ac:dyDescent="0.25">
      <c r="A2920">
        <v>2919</v>
      </c>
      <c r="B2920" t="s">
        <v>6749</v>
      </c>
      <c r="C2920" t="s">
        <v>6750</v>
      </c>
    </row>
    <row r="2921" spans="1:3" x14ac:dyDescent="0.25">
      <c r="A2921">
        <v>2920</v>
      </c>
      <c r="B2921" t="s">
        <v>840</v>
      </c>
      <c r="C2921" t="s">
        <v>6751</v>
      </c>
    </row>
    <row r="2922" spans="1:3" x14ac:dyDescent="0.25">
      <c r="A2922">
        <v>2921</v>
      </c>
      <c r="B2922" t="s">
        <v>951</v>
      </c>
      <c r="C2922" t="s">
        <v>6752</v>
      </c>
    </row>
    <row r="2923" spans="1:3" x14ac:dyDescent="0.25">
      <c r="A2923">
        <v>2922</v>
      </c>
      <c r="B2923" t="s">
        <v>1375</v>
      </c>
      <c r="C2923" t="s">
        <v>6753</v>
      </c>
    </row>
    <row r="2924" spans="1:3" x14ac:dyDescent="0.25">
      <c r="A2924">
        <v>2923</v>
      </c>
      <c r="B2924" t="s">
        <v>2096</v>
      </c>
      <c r="C2924" t="s">
        <v>6754</v>
      </c>
    </row>
    <row r="2925" spans="1:3" x14ac:dyDescent="0.25">
      <c r="A2925">
        <v>2924</v>
      </c>
      <c r="B2925" t="s">
        <v>963</v>
      </c>
      <c r="C2925" t="s">
        <v>6755</v>
      </c>
    </row>
    <row r="2926" spans="1:3" x14ac:dyDescent="0.25">
      <c r="A2926">
        <v>2925</v>
      </c>
      <c r="B2926" t="s">
        <v>1427</v>
      </c>
      <c r="C2926" t="s">
        <v>6756</v>
      </c>
    </row>
    <row r="2927" spans="1:3" x14ac:dyDescent="0.25">
      <c r="A2927">
        <v>2926</v>
      </c>
      <c r="B2927" t="s">
        <v>826</v>
      </c>
      <c r="C2927" t="s">
        <v>6757</v>
      </c>
    </row>
    <row r="2928" spans="1:3" x14ac:dyDescent="0.25">
      <c r="A2928">
        <v>2927</v>
      </c>
      <c r="B2928" t="s">
        <v>6758</v>
      </c>
      <c r="C2928" t="s">
        <v>6759</v>
      </c>
    </row>
    <row r="2929" spans="1:3" x14ac:dyDescent="0.25">
      <c r="A2929">
        <v>2928</v>
      </c>
      <c r="B2929" t="s">
        <v>856</v>
      </c>
      <c r="C2929" t="s">
        <v>6760</v>
      </c>
    </row>
    <row r="2930" spans="1:3" x14ac:dyDescent="0.25">
      <c r="A2930">
        <v>2929</v>
      </c>
      <c r="B2930" t="s">
        <v>858</v>
      </c>
      <c r="C2930" t="s">
        <v>6761</v>
      </c>
    </row>
    <row r="2931" spans="1:3" x14ac:dyDescent="0.25">
      <c r="A2931">
        <v>2930</v>
      </c>
      <c r="B2931" t="s">
        <v>6762</v>
      </c>
      <c r="C2931" t="s">
        <v>6763</v>
      </c>
    </row>
    <row r="2932" spans="1:3" x14ac:dyDescent="0.25">
      <c r="A2932">
        <v>2931</v>
      </c>
      <c r="B2932" t="s">
        <v>848</v>
      </c>
      <c r="C2932" t="s">
        <v>6764</v>
      </c>
    </row>
    <row r="2933" spans="1:3" x14ac:dyDescent="0.25">
      <c r="A2933">
        <v>2932</v>
      </c>
      <c r="B2933" t="s">
        <v>6765</v>
      </c>
      <c r="C2933" t="s">
        <v>6766</v>
      </c>
    </row>
    <row r="2934" spans="1:3" x14ac:dyDescent="0.25">
      <c r="A2934">
        <v>2933</v>
      </c>
      <c r="B2934" t="s">
        <v>2025</v>
      </c>
      <c r="C2934" t="s">
        <v>6767</v>
      </c>
    </row>
    <row r="2935" spans="1:3" x14ac:dyDescent="0.25">
      <c r="A2935">
        <v>2934</v>
      </c>
      <c r="B2935" t="s">
        <v>2331</v>
      </c>
      <c r="C2935" t="s">
        <v>6768</v>
      </c>
    </row>
    <row r="2936" spans="1:3" x14ac:dyDescent="0.25">
      <c r="A2936">
        <v>2935</v>
      </c>
      <c r="B2936" t="s">
        <v>2272</v>
      </c>
      <c r="C2936" t="s">
        <v>6769</v>
      </c>
    </row>
    <row r="2937" spans="1:3" x14ac:dyDescent="0.25">
      <c r="A2937">
        <v>2936</v>
      </c>
      <c r="B2937" t="s">
        <v>2332</v>
      </c>
      <c r="C2937" t="s">
        <v>6770</v>
      </c>
    </row>
    <row r="2938" spans="1:3" x14ac:dyDescent="0.25">
      <c r="A2938">
        <v>2937</v>
      </c>
      <c r="B2938" t="s">
        <v>2264</v>
      </c>
      <c r="C2938" t="s">
        <v>6771</v>
      </c>
    </row>
    <row r="2939" spans="1:3" x14ac:dyDescent="0.25">
      <c r="A2939">
        <v>2938</v>
      </c>
      <c r="B2939" t="s">
        <v>2195</v>
      </c>
      <c r="C2939" t="s">
        <v>6772</v>
      </c>
    </row>
    <row r="2940" spans="1:3" x14ac:dyDescent="0.25">
      <c r="A2940">
        <v>2939</v>
      </c>
      <c r="B2940" t="s">
        <v>2271</v>
      </c>
      <c r="C2940" t="s">
        <v>6773</v>
      </c>
    </row>
    <row r="2941" spans="1:3" x14ac:dyDescent="0.25">
      <c r="A2941">
        <v>2940</v>
      </c>
      <c r="B2941" t="s">
        <v>2024</v>
      </c>
      <c r="C2941" t="s">
        <v>6774</v>
      </c>
    </row>
    <row r="2942" spans="1:3" x14ac:dyDescent="0.25">
      <c r="A2942">
        <v>2941</v>
      </c>
      <c r="B2942" t="s">
        <v>6775</v>
      </c>
      <c r="C2942" t="s">
        <v>6776</v>
      </c>
    </row>
    <row r="2943" spans="1:3" x14ac:dyDescent="0.25">
      <c r="A2943">
        <v>2942</v>
      </c>
      <c r="B2943" t="s">
        <v>36</v>
      </c>
      <c r="C2943" t="s">
        <v>6777</v>
      </c>
    </row>
    <row r="2944" spans="1:3" x14ac:dyDescent="0.25">
      <c r="A2944">
        <v>2943</v>
      </c>
      <c r="B2944" t="s">
        <v>6778</v>
      </c>
      <c r="C2944" t="s">
        <v>6779</v>
      </c>
    </row>
    <row r="2945" spans="1:3" x14ac:dyDescent="0.25">
      <c r="A2945">
        <v>2944</v>
      </c>
      <c r="B2945" t="s">
        <v>1590</v>
      </c>
      <c r="C2945" t="s">
        <v>6780</v>
      </c>
    </row>
    <row r="2946" spans="1:3" x14ac:dyDescent="0.25">
      <c r="A2946">
        <v>2945</v>
      </c>
      <c r="B2946" t="s">
        <v>1654</v>
      </c>
      <c r="C2946" t="s">
        <v>6781</v>
      </c>
    </row>
    <row r="2947" spans="1:3" x14ac:dyDescent="0.25">
      <c r="A2947">
        <v>2946</v>
      </c>
      <c r="B2947" t="s">
        <v>2187</v>
      </c>
      <c r="C2947" t="s">
        <v>6782</v>
      </c>
    </row>
    <row r="2948" spans="1:3" x14ac:dyDescent="0.25">
      <c r="A2948">
        <v>2947</v>
      </c>
      <c r="B2948" t="s">
        <v>6783</v>
      </c>
      <c r="C2948" t="s">
        <v>6784</v>
      </c>
    </row>
    <row r="2949" spans="1:3" x14ac:dyDescent="0.25">
      <c r="A2949">
        <v>2948</v>
      </c>
      <c r="B2949" t="s">
        <v>2280</v>
      </c>
      <c r="C2949" t="s">
        <v>6785</v>
      </c>
    </row>
    <row r="2950" spans="1:3" x14ac:dyDescent="0.25">
      <c r="A2950">
        <v>2949</v>
      </c>
      <c r="B2950" t="s">
        <v>6786</v>
      </c>
      <c r="C2950" t="s">
        <v>6787</v>
      </c>
    </row>
    <row r="2951" spans="1:3" x14ac:dyDescent="0.25">
      <c r="A2951">
        <v>2950</v>
      </c>
      <c r="B2951" t="s">
        <v>6788</v>
      </c>
      <c r="C2951" t="s">
        <v>6789</v>
      </c>
    </row>
    <row r="2952" spans="1:3" x14ac:dyDescent="0.25">
      <c r="A2952">
        <v>2951</v>
      </c>
      <c r="B2952" t="s">
        <v>862</v>
      </c>
      <c r="C2952" t="s">
        <v>6790</v>
      </c>
    </row>
    <row r="2953" spans="1:3" x14ac:dyDescent="0.25">
      <c r="A2953">
        <v>2952</v>
      </c>
      <c r="B2953" t="s">
        <v>854</v>
      </c>
      <c r="C2953" t="s">
        <v>6791</v>
      </c>
    </row>
    <row r="2954" spans="1:3" x14ac:dyDescent="0.25">
      <c r="A2954">
        <v>2953</v>
      </c>
      <c r="B2954" t="s">
        <v>6792</v>
      </c>
      <c r="C2954" t="s">
        <v>6793</v>
      </c>
    </row>
    <row r="2955" spans="1:3" x14ac:dyDescent="0.25">
      <c r="A2955">
        <v>2954</v>
      </c>
      <c r="B2955" t="s">
        <v>804</v>
      </c>
      <c r="C2955" t="s">
        <v>6794</v>
      </c>
    </row>
    <row r="2956" spans="1:3" x14ac:dyDescent="0.25">
      <c r="A2956">
        <v>2955</v>
      </c>
      <c r="B2956" t="s">
        <v>966</v>
      </c>
      <c r="C2956" t="s">
        <v>6795</v>
      </c>
    </row>
    <row r="2957" spans="1:3" x14ac:dyDescent="0.25">
      <c r="A2957">
        <v>2956</v>
      </c>
      <c r="B2957" t="s">
        <v>118</v>
      </c>
      <c r="C2957" t="s">
        <v>6796</v>
      </c>
    </row>
    <row r="2958" spans="1:3" x14ac:dyDescent="0.25">
      <c r="A2958">
        <v>2957</v>
      </c>
      <c r="B2958" t="s">
        <v>1558</v>
      </c>
      <c r="C2958" t="s">
        <v>6797</v>
      </c>
    </row>
    <row r="2959" spans="1:3" x14ac:dyDescent="0.25">
      <c r="A2959">
        <v>2958</v>
      </c>
      <c r="B2959" t="s">
        <v>1020</v>
      </c>
      <c r="C2959" t="s">
        <v>6798</v>
      </c>
    </row>
    <row r="2960" spans="1:3" x14ac:dyDescent="0.25">
      <c r="A2960">
        <v>2959</v>
      </c>
      <c r="B2960" t="s">
        <v>2062</v>
      </c>
      <c r="C2960" t="s">
        <v>6799</v>
      </c>
    </row>
    <row r="2961" spans="1:3" x14ac:dyDescent="0.25">
      <c r="A2961">
        <v>2960</v>
      </c>
      <c r="B2961" t="s">
        <v>6800</v>
      </c>
      <c r="C2961" t="s">
        <v>6801</v>
      </c>
    </row>
    <row r="2962" spans="1:3" x14ac:dyDescent="0.25">
      <c r="A2962">
        <v>2961</v>
      </c>
      <c r="B2962" t="s">
        <v>6802</v>
      </c>
      <c r="C2962" t="s">
        <v>6803</v>
      </c>
    </row>
    <row r="2963" spans="1:3" x14ac:dyDescent="0.25">
      <c r="A2963">
        <v>2962</v>
      </c>
      <c r="B2963" t="s">
        <v>6804</v>
      </c>
      <c r="C2963" t="s">
        <v>6805</v>
      </c>
    </row>
    <row r="2964" spans="1:3" x14ac:dyDescent="0.25">
      <c r="A2964">
        <v>2963</v>
      </c>
      <c r="B2964" t="s">
        <v>6806</v>
      </c>
      <c r="C2964" t="s">
        <v>6807</v>
      </c>
    </row>
    <row r="2965" spans="1:3" x14ac:dyDescent="0.25">
      <c r="A2965">
        <v>2964</v>
      </c>
      <c r="B2965" t="s">
        <v>2313</v>
      </c>
      <c r="C2965" t="s">
        <v>6808</v>
      </c>
    </row>
    <row r="2966" spans="1:3" x14ac:dyDescent="0.25">
      <c r="A2966">
        <v>2965</v>
      </c>
      <c r="B2966" t="s">
        <v>860</v>
      </c>
      <c r="C2966" t="s">
        <v>6809</v>
      </c>
    </row>
    <row r="2967" spans="1:3" x14ac:dyDescent="0.25">
      <c r="A2967">
        <v>2966</v>
      </c>
      <c r="B2967" t="s">
        <v>6810</v>
      </c>
      <c r="C2967" t="s">
        <v>6811</v>
      </c>
    </row>
    <row r="2968" spans="1:3" x14ac:dyDescent="0.25">
      <c r="A2968">
        <v>2967</v>
      </c>
      <c r="B2968" t="s">
        <v>2279</v>
      </c>
      <c r="C2968" t="s">
        <v>6812</v>
      </c>
    </row>
    <row r="2969" spans="1:3" x14ac:dyDescent="0.25">
      <c r="A2969">
        <v>2968</v>
      </c>
      <c r="B2969" t="s">
        <v>6813</v>
      </c>
      <c r="C2969" t="s">
        <v>6814</v>
      </c>
    </row>
    <row r="2970" spans="1:3" x14ac:dyDescent="0.25">
      <c r="A2970">
        <v>2969</v>
      </c>
      <c r="B2970" t="s">
        <v>1394</v>
      </c>
      <c r="C2970" t="s">
        <v>6815</v>
      </c>
    </row>
    <row r="2971" spans="1:3" x14ac:dyDescent="0.25">
      <c r="A2971">
        <v>2970</v>
      </c>
      <c r="B2971" t="s">
        <v>2321</v>
      </c>
      <c r="C2971" t="s">
        <v>6816</v>
      </c>
    </row>
    <row r="2972" spans="1:3" x14ac:dyDescent="0.25">
      <c r="A2972">
        <v>2971</v>
      </c>
      <c r="B2972" t="s">
        <v>2325</v>
      </c>
      <c r="C2972" t="s">
        <v>6817</v>
      </c>
    </row>
    <row r="2973" spans="1:3" x14ac:dyDescent="0.25">
      <c r="A2973">
        <v>2972</v>
      </c>
      <c r="B2973" t="s">
        <v>864</v>
      </c>
      <c r="C2973" t="s">
        <v>6818</v>
      </c>
    </row>
    <row r="2974" spans="1:3" x14ac:dyDescent="0.25">
      <c r="A2974">
        <v>2973</v>
      </c>
      <c r="B2974" t="s">
        <v>2315</v>
      </c>
      <c r="C2974" t="s">
        <v>6819</v>
      </c>
    </row>
    <row r="2975" spans="1:3" x14ac:dyDescent="0.25">
      <c r="A2975">
        <v>2974</v>
      </c>
      <c r="B2975" t="s">
        <v>1638</v>
      </c>
      <c r="C2975" t="s">
        <v>6820</v>
      </c>
    </row>
    <row r="2976" spans="1:3" x14ac:dyDescent="0.25">
      <c r="A2976">
        <v>2975</v>
      </c>
      <c r="B2976" t="s">
        <v>2312</v>
      </c>
      <c r="C2976" t="s">
        <v>6821</v>
      </c>
    </row>
    <row r="2977" spans="1:3" x14ac:dyDescent="0.25">
      <c r="A2977">
        <v>2976</v>
      </c>
      <c r="B2977" t="s">
        <v>1465</v>
      </c>
      <c r="C2977" t="s">
        <v>6822</v>
      </c>
    </row>
    <row r="2978" spans="1:3" x14ac:dyDescent="0.25">
      <c r="A2978">
        <v>2977</v>
      </c>
      <c r="B2978" t="s">
        <v>6823</v>
      </c>
      <c r="C2978" t="s">
        <v>6824</v>
      </c>
    </row>
    <row r="2979" spans="1:3" x14ac:dyDescent="0.25">
      <c r="A2979">
        <v>2978</v>
      </c>
      <c r="B2979" t="s">
        <v>2198</v>
      </c>
      <c r="C2979" t="s">
        <v>6825</v>
      </c>
    </row>
    <row r="2980" spans="1:3" x14ac:dyDescent="0.25">
      <c r="A2980">
        <v>2979</v>
      </c>
      <c r="B2980" t="s">
        <v>2111</v>
      </c>
      <c r="C2980" t="s">
        <v>6826</v>
      </c>
    </row>
    <row r="2981" spans="1:3" x14ac:dyDescent="0.25">
      <c r="A2981">
        <v>2980</v>
      </c>
      <c r="B2981" t="s">
        <v>6827</v>
      </c>
      <c r="C2981" t="s">
        <v>6828</v>
      </c>
    </row>
    <row r="2982" spans="1:3" x14ac:dyDescent="0.25">
      <c r="A2982">
        <v>2981</v>
      </c>
      <c r="B2982" t="s">
        <v>852</v>
      </c>
      <c r="C2982" t="s">
        <v>6829</v>
      </c>
    </row>
    <row r="2983" spans="1:3" x14ac:dyDescent="0.25">
      <c r="A2983">
        <v>2982</v>
      </c>
      <c r="B2983" t="s">
        <v>2051</v>
      </c>
      <c r="C2983" t="s">
        <v>6830</v>
      </c>
    </row>
    <row r="2984" spans="1:3" x14ac:dyDescent="0.25">
      <c r="A2984">
        <v>2983</v>
      </c>
      <c r="B2984" t="s">
        <v>53</v>
      </c>
      <c r="C2984" t="s">
        <v>6831</v>
      </c>
    </row>
    <row r="2985" spans="1:3" x14ac:dyDescent="0.25">
      <c r="A2985">
        <v>2984</v>
      </c>
      <c r="B2985" t="s">
        <v>2069</v>
      </c>
      <c r="C2985" t="s">
        <v>6832</v>
      </c>
    </row>
    <row r="2986" spans="1:3" x14ac:dyDescent="0.25">
      <c r="A2986">
        <v>2985</v>
      </c>
      <c r="B2986" t="s">
        <v>6833</v>
      </c>
      <c r="C2986" t="s">
        <v>6834</v>
      </c>
    </row>
    <row r="2987" spans="1:3" x14ac:dyDescent="0.25">
      <c r="A2987">
        <v>2986</v>
      </c>
      <c r="B2987" t="s">
        <v>2194</v>
      </c>
      <c r="C2987" t="s">
        <v>6835</v>
      </c>
    </row>
    <row r="2988" spans="1:3" x14ac:dyDescent="0.25">
      <c r="A2988">
        <v>2987</v>
      </c>
      <c r="B2988" t="s">
        <v>479</v>
      </c>
      <c r="C2988" t="s">
        <v>6836</v>
      </c>
    </row>
    <row r="2989" spans="1:3" x14ac:dyDescent="0.25">
      <c r="A2989">
        <v>2988</v>
      </c>
      <c r="B2989" t="s">
        <v>6837</v>
      </c>
      <c r="C2989" t="s">
        <v>6838</v>
      </c>
    </row>
    <row r="2990" spans="1:3" x14ac:dyDescent="0.25">
      <c r="A2990">
        <v>2989</v>
      </c>
      <c r="B2990" t="s">
        <v>964</v>
      </c>
      <c r="C2990" t="s">
        <v>6839</v>
      </c>
    </row>
    <row r="2991" spans="1:3" x14ac:dyDescent="0.25">
      <c r="A2991">
        <v>2990</v>
      </c>
      <c r="B2991" t="s">
        <v>6840</v>
      </c>
      <c r="C2991" t="s">
        <v>6841</v>
      </c>
    </row>
    <row r="2992" spans="1:3" x14ac:dyDescent="0.25">
      <c r="A2992">
        <v>2991</v>
      </c>
      <c r="B2992" t="s">
        <v>123</v>
      </c>
      <c r="C2992" t="s">
        <v>6842</v>
      </c>
    </row>
    <row r="2993" spans="1:3" x14ac:dyDescent="0.25">
      <c r="A2993">
        <v>2992</v>
      </c>
      <c r="B2993" t="s">
        <v>6843</v>
      </c>
      <c r="C2993" t="s">
        <v>6844</v>
      </c>
    </row>
    <row r="2994" spans="1:3" x14ac:dyDescent="0.25">
      <c r="A2994">
        <v>2993</v>
      </c>
      <c r="B2994" t="s">
        <v>2319</v>
      </c>
      <c r="C2994" t="s">
        <v>6845</v>
      </c>
    </row>
    <row r="2995" spans="1:3" x14ac:dyDescent="0.25">
      <c r="A2995">
        <v>2994</v>
      </c>
      <c r="B2995" t="s">
        <v>6846</v>
      </c>
      <c r="C2995" t="s">
        <v>6847</v>
      </c>
    </row>
    <row r="2996" spans="1:3" x14ac:dyDescent="0.25">
      <c r="A2996">
        <v>2995</v>
      </c>
      <c r="B2996" t="s">
        <v>1656</v>
      </c>
      <c r="C2996" t="s">
        <v>6848</v>
      </c>
    </row>
    <row r="2997" spans="1:3" x14ac:dyDescent="0.25">
      <c r="A2997">
        <v>2996</v>
      </c>
      <c r="B2997" t="s">
        <v>1592</v>
      </c>
      <c r="C2997" t="s">
        <v>6849</v>
      </c>
    </row>
    <row r="2998" spans="1:3" x14ac:dyDescent="0.25">
      <c r="A2998">
        <v>2997</v>
      </c>
      <c r="B2998" t="s">
        <v>2274</v>
      </c>
      <c r="C2998" t="s">
        <v>6850</v>
      </c>
    </row>
    <row r="2999" spans="1:3" x14ac:dyDescent="0.25">
      <c r="A2999">
        <v>2998</v>
      </c>
      <c r="B2999" t="s">
        <v>2287</v>
      </c>
      <c r="C2999" t="s">
        <v>6851</v>
      </c>
    </row>
    <row r="3000" spans="1:3" x14ac:dyDescent="0.25">
      <c r="A3000">
        <v>2999</v>
      </c>
      <c r="B3000" t="s">
        <v>2139</v>
      </c>
      <c r="C3000" t="s">
        <v>6852</v>
      </c>
    </row>
    <row r="3001" spans="1:3" x14ac:dyDescent="0.25">
      <c r="A3001">
        <v>3000</v>
      </c>
      <c r="B3001" t="s">
        <v>2033</v>
      </c>
      <c r="C3001" t="s">
        <v>6853</v>
      </c>
    </row>
    <row r="3002" spans="1:3" x14ac:dyDescent="0.25">
      <c r="A3002">
        <v>3001</v>
      </c>
      <c r="B3002" t="s">
        <v>2076</v>
      </c>
      <c r="C3002" t="s">
        <v>6854</v>
      </c>
    </row>
    <row r="3003" spans="1:3" x14ac:dyDescent="0.25">
      <c r="A3003">
        <v>3002</v>
      </c>
      <c r="B3003" t="s">
        <v>2077</v>
      </c>
      <c r="C3003" t="s">
        <v>6855</v>
      </c>
    </row>
    <row r="3004" spans="1:3" x14ac:dyDescent="0.25">
      <c r="A3004">
        <v>3003</v>
      </c>
      <c r="B3004" t="s">
        <v>6856</v>
      </c>
      <c r="C3004" t="s">
        <v>6857</v>
      </c>
    </row>
    <row r="3005" spans="1:3" x14ac:dyDescent="0.25">
      <c r="A3005">
        <v>3004</v>
      </c>
      <c r="B3005" t="s">
        <v>1588</v>
      </c>
      <c r="C3005" t="s">
        <v>6858</v>
      </c>
    </row>
    <row r="3006" spans="1:3" x14ac:dyDescent="0.25">
      <c r="A3006">
        <v>3005</v>
      </c>
      <c r="B3006" t="s">
        <v>6859</v>
      </c>
      <c r="C3006" t="s">
        <v>6860</v>
      </c>
    </row>
    <row r="3007" spans="1:3" x14ac:dyDescent="0.25">
      <c r="A3007">
        <v>3006</v>
      </c>
      <c r="B3007" t="s">
        <v>899</v>
      </c>
      <c r="C3007" t="s">
        <v>6861</v>
      </c>
    </row>
    <row r="3008" spans="1:3" x14ac:dyDescent="0.25">
      <c r="A3008">
        <v>3007</v>
      </c>
      <c r="B3008" t="s">
        <v>1111</v>
      </c>
      <c r="C3008" t="s">
        <v>6862</v>
      </c>
    </row>
    <row r="3009" spans="1:3" x14ac:dyDescent="0.25">
      <c r="A3009">
        <v>3008</v>
      </c>
      <c r="B3009" t="s">
        <v>362</v>
      </c>
      <c r="C3009" t="s">
        <v>6863</v>
      </c>
    </row>
    <row r="3010" spans="1:3" x14ac:dyDescent="0.25">
      <c r="A3010">
        <v>3009</v>
      </c>
      <c r="B3010" t="s">
        <v>6864</v>
      </c>
      <c r="C3010" t="s">
        <v>6865</v>
      </c>
    </row>
    <row r="3011" spans="1:3" x14ac:dyDescent="0.25">
      <c r="A3011">
        <v>3010</v>
      </c>
      <c r="B3011" t="s">
        <v>709</v>
      </c>
      <c r="C3011" t="s">
        <v>6866</v>
      </c>
    </row>
    <row r="3012" spans="1:3" x14ac:dyDescent="0.25">
      <c r="A3012">
        <v>3011</v>
      </c>
      <c r="B3012" t="s">
        <v>6867</v>
      </c>
      <c r="C3012" t="s">
        <v>6868</v>
      </c>
    </row>
    <row r="3013" spans="1:3" x14ac:dyDescent="0.25">
      <c r="A3013">
        <v>3012</v>
      </c>
      <c r="B3013" t="s">
        <v>6869</v>
      </c>
      <c r="C3013" t="s">
        <v>6870</v>
      </c>
    </row>
    <row r="3014" spans="1:3" x14ac:dyDescent="0.25">
      <c r="A3014">
        <v>3013</v>
      </c>
      <c r="B3014" t="s">
        <v>6871</v>
      </c>
      <c r="C3014" t="s">
        <v>6872</v>
      </c>
    </row>
    <row r="3015" spans="1:3" x14ac:dyDescent="0.25">
      <c r="A3015">
        <v>3014</v>
      </c>
      <c r="B3015" t="s">
        <v>6873</v>
      </c>
      <c r="C3015" t="s">
        <v>6874</v>
      </c>
    </row>
    <row r="3016" spans="1:3" x14ac:dyDescent="0.25">
      <c r="A3016">
        <v>3015</v>
      </c>
      <c r="B3016" t="s">
        <v>233</v>
      </c>
      <c r="C3016" t="s">
        <v>6875</v>
      </c>
    </row>
    <row r="3017" spans="1:3" x14ac:dyDescent="0.25">
      <c r="A3017">
        <v>3016</v>
      </c>
      <c r="B3017" t="s">
        <v>6876</v>
      </c>
      <c r="C3017" t="s">
        <v>6877</v>
      </c>
    </row>
    <row r="3018" spans="1:3" x14ac:dyDescent="0.25">
      <c r="A3018">
        <v>3017</v>
      </c>
      <c r="B3018" t="s">
        <v>1053</v>
      </c>
      <c r="C3018" t="s">
        <v>6878</v>
      </c>
    </row>
    <row r="3019" spans="1:3" x14ac:dyDescent="0.25">
      <c r="A3019">
        <v>3018</v>
      </c>
      <c r="B3019" t="s">
        <v>6879</v>
      </c>
      <c r="C3019" t="s">
        <v>6880</v>
      </c>
    </row>
    <row r="3020" spans="1:3" x14ac:dyDescent="0.25">
      <c r="A3020">
        <v>3019</v>
      </c>
      <c r="B3020" t="s">
        <v>1291</v>
      </c>
      <c r="C3020" t="s">
        <v>6881</v>
      </c>
    </row>
    <row r="3021" spans="1:3" x14ac:dyDescent="0.25">
      <c r="A3021">
        <v>3020</v>
      </c>
      <c r="B3021" t="s">
        <v>6882</v>
      </c>
      <c r="C3021" t="s">
        <v>6883</v>
      </c>
    </row>
    <row r="3022" spans="1:3" x14ac:dyDescent="0.25">
      <c r="A3022">
        <v>3021</v>
      </c>
      <c r="B3022" t="s">
        <v>129</v>
      </c>
      <c r="C3022" t="s">
        <v>6884</v>
      </c>
    </row>
    <row r="3023" spans="1:3" x14ac:dyDescent="0.25">
      <c r="A3023">
        <v>3022</v>
      </c>
      <c r="B3023" t="s">
        <v>6885</v>
      </c>
      <c r="C3023" t="s">
        <v>6886</v>
      </c>
    </row>
    <row r="3024" spans="1:3" x14ac:dyDescent="0.25">
      <c r="A3024">
        <v>3023</v>
      </c>
      <c r="B3024" t="s">
        <v>2216</v>
      </c>
      <c r="C3024" t="s">
        <v>6887</v>
      </c>
    </row>
    <row r="3025" spans="1:3" x14ac:dyDescent="0.25">
      <c r="A3025">
        <v>3024</v>
      </c>
      <c r="B3025" t="s">
        <v>6888</v>
      </c>
      <c r="C3025" t="s">
        <v>6889</v>
      </c>
    </row>
    <row r="3026" spans="1:3" x14ac:dyDescent="0.25">
      <c r="A3026">
        <v>3025</v>
      </c>
      <c r="B3026" t="s">
        <v>227</v>
      </c>
      <c r="C3026" t="s">
        <v>6890</v>
      </c>
    </row>
    <row r="3027" spans="1:3" x14ac:dyDescent="0.25">
      <c r="A3027">
        <v>3026</v>
      </c>
      <c r="B3027" t="s">
        <v>6891</v>
      </c>
      <c r="C3027" t="s">
        <v>6892</v>
      </c>
    </row>
    <row r="3028" spans="1:3" x14ac:dyDescent="0.25">
      <c r="A3028">
        <v>3027</v>
      </c>
      <c r="B3028" t="s">
        <v>790</v>
      </c>
      <c r="C3028" t="s">
        <v>6893</v>
      </c>
    </row>
    <row r="3029" spans="1:3" x14ac:dyDescent="0.25">
      <c r="A3029">
        <v>3028</v>
      </c>
      <c r="B3029" t="s">
        <v>6894</v>
      </c>
      <c r="C3029" t="s">
        <v>6895</v>
      </c>
    </row>
    <row r="3030" spans="1:3" x14ac:dyDescent="0.25">
      <c r="A3030">
        <v>3029</v>
      </c>
      <c r="B3030" t="s">
        <v>6896</v>
      </c>
      <c r="C3030" t="s">
        <v>6897</v>
      </c>
    </row>
    <row r="3031" spans="1:3" x14ac:dyDescent="0.25">
      <c r="A3031">
        <v>3030</v>
      </c>
      <c r="B3031" t="s">
        <v>1164</v>
      </c>
      <c r="C3031" t="s">
        <v>6898</v>
      </c>
    </row>
    <row r="3032" spans="1:3" x14ac:dyDescent="0.25">
      <c r="A3032">
        <v>3031</v>
      </c>
      <c r="B3032" t="s">
        <v>145</v>
      </c>
      <c r="C3032" t="s">
        <v>6899</v>
      </c>
    </row>
    <row r="3033" spans="1:3" x14ac:dyDescent="0.25">
      <c r="A3033">
        <v>3032</v>
      </c>
      <c r="B3033" t="s">
        <v>6900</v>
      </c>
      <c r="C3033" t="s">
        <v>6901</v>
      </c>
    </row>
    <row r="3034" spans="1:3" x14ac:dyDescent="0.25">
      <c r="A3034">
        <v>3033</v>
      </c>
      <c r="B3034" t="s">
        <v>70</v>
      </c>
      <c r="C3034" t="s">
        <v>6902</v>
      </c>
    </row>
    <row r="3035" spans="1:3" x14ac:dyDescent="0.25">
      <c r="A3035">
        <v>3034</v>
      </c>
      <c r="B3035" t="s">
        <v>6903</v>
      </c>
      <c r="C3035" t="s">
        <v>6904</v>
      </c>
    </row>
    <row r="3036" spans="1:3" x14ac:dyDescent="0.25">
      <c r="A3036">
        <v>3035</v>
      </c>
      <c r="B3036" t="s">
        <v>4763</v>
      </c>
      <c r="C3036" t="s">
        <v>6905</v>
      </c>
    </row>
    <row r="3037" spans="1:3" x14ac:dyDescent="0.25">
      <c r="A3037">
        <v>3036</v>
      </c>
      <c r="B3037" t="s">
        <v>6906</v>
      </c>
      <c r="C3037" t="s">
        <v>6907</v>
      </c>
    </row>
    <row r="3038" spans="1:3" x14ac:dyDescent="0.25">
      <c r="A3038">
        <v>3037</v>
      </c>
      <c r="B3038" t="s">
        <v>6908</v>
      </c>
      <c r="C3038" t="s">
        <v>6909</v>
      </c>
    </row>
    <row r="3039" spans="1:3" x14ac:dyDescent="0.25">
      <c r="A3039">
        <v>3038</v>
      </c>
      <c r="B3039" t="s">
        <v>6910</v>
      </c>
      <c r="C3039" t="s">
        <v>6911</v>
      </c>
    </row>
    <row r="3040" spans="1:3" x14ac:dyDescent="0.25">
      <c r="A3040">
        <v>3039</v>
      </c>
      <c r="B3040" t="s">
        <v>6912</v>
      </c>
      <c r="C3040" t="s">
        <v>6913</v>
      </c>
    </row>
    <row r="3041" spans="1:3" x14ac:dyDescent="0.25">
      <c r="A3041">
        <v>3040</v>
      </c>
      <c r="B3041" t="s">
        <v>6914</v>
      </c>
      <c r="C3041" t="s">
        <v>6915</v>
      </c>
    </row>
    <row r="3042" spans="1:3" x14ac:dyDescent="0.25">
      <c r="A3042">
        <v>3041</v>
      </c>
      <c r="B3042" t="s">
        <v>6916</v>
      </c>
      <c r="C3042" t="s">
        <v>6917</v>
      </c>
    </row>
    <row r="3043" spans="1:3" x14ac:dyDescent="0.25">
      <c r="A3043">
        <v>3042</v>
      </c>
      <c r="B3043" t="s">
        <v>2200</v>
      </c>
      <c r="C3043" t="s">
        <v>6918</v>
      </c>
    </row>
    <row r="3044" spans="1:3" x14ac:dyDescent="0.25">
      <c r="A3044">
        <v>3043</v>
      </c>
      <c r="B3044" t="s">
        <v>666</v>
      </c>
      <c r="C3044" t="s">
        <v>6919</v>
      </c>
    </row>
    <row r="3045" spans="1:3" x14ac:dyDescent="0.25">
      <c r="A3045">
        <v>3044</v>
      </c>
      <c r="B3045" t="s">
        <v>6920</v>
      </c>
      <c r="C3045" t="s">
        <v>6921</v>
      </c>
    </row>
    <row r="3046" spans="1:3" x14ac:dyDescent="0.25">
      <c r="A3046">
        <v>3045</v>
      </c>
      <c r="B3046" t="s">
        <v>6922</v>
      </c>
      <c r="C3046" t="s">
        <v>6923</v>
      </c>
    </row>
    <row r="3047" spans="1:3" x14ac:dyDescent="0.25">
      <c r="A3047">
        <v>3046</v>
      </c>
      <c r="B3047" t="s">
        <v>6924</v>
      </c>
      <c r="C3047" t="s">
        <v>6925</v>
      </c>
    </row>
    <row r="3048" spans="1:3" x14ac:dyDescent="0.25">
      <c r="A3048">
        <v>3047</v>
      </c>
      <c r="B3048" t="s">
        <v>6926</v>
      </c>
      <c r="C3048" t="s">
        <v>6927</v>
      </c>
    </row>
    <row r="3049" spans="1:3" x14ac:dyDescent="0.25">
      <c r="A3049">
        <v>3048</v>
      </c>
      <c r="B3049" t="s">
        <v>6928</v>
      </c>
      <c r="C3049" t="s">
        <v>6929</v>
      </c>
    </row>
    <row r="3050" spans="1:3" x14ac:dyDescent="0.25">
      <c r="A3050">
        <v>3049</v>
      </c>
      <c r="B3050" t="s">
        <v>2021</v>
      </c>
      <c r="C3050" t="s">
        <v>6930</v>
      </c>
    </row>
    <row r="3051" spans="1:3" x14ac:dyDescent="0.25">
      <c r="A3051">
        <v>3050</v>
      </c>
      <c r="B3051" t="s">
        <v>6931</v>
      </c>
      <c r="C3051" t="s">
        <v>6932</v>
      </c>
    </row>
    <row r="3052" spans="1:3" x14ac:dyDescent="0.25">
      <c r="A3052">
        <v>3051</v>
      </c>
      <c r="B3052" t="s">
        <v>6933</v>
      </c>
      <c r="C3052" t="s">
        <v>6934</v>
      </c>
    </row>
    <row r="3053" spans="1:3" x14ac:dyDescent="0.25">
      <c r="A3053">
        <v>3052</v>
      </c>
      <c r="B3053" t="s">
        <v>2034</v>
      </c>
      <c r="C3053" t="s">
        <v>6935</v>
      </c>
    </row>
    <row r="3054" spans="1:3" x14ac:dyDescent="0.25">
      <c r="A3054">
        <v>3053</v>
      </c>
      <c r="B3054" t="s">
        <v>2135</v>
      </c>
      <c r="C3054" t="s">
        <v>6936</v>
      </c>
    </row>
    <row r="3055" spans="1:3" x14ac:dyDescent="0.25">
      <c r="A3055">
        <v>3054</v>
      </c>
      <c r="B3055" t="s">
        <v>2144</v>
      </c>
      <c r="C3055" t="s">
        <v>6937</v>
      </c>
    </row>
    <row r="3056" spans="1:3" x14ac:dyDescent="0.25">
      <c r="A3056">
        <v>3055</v>
      </c>
      <c r="B3056" t="s">
        <v>6938</v>
      </c>
      <c r="C3056" t="s">
        <v>6939</v>
      </c>
    </row>
    <row r="3057" spans="1:3" x14ac:dyDescent="0.25">
      <c r="A3057">
        <v>3056</v>
      </c>
      <c r="B3057" t="s">
        <v>6940</v>
      </c>
      <c r="C3057" t="s">
        <v>6941</v>
      </c>
    </row>
    <row r="3058" spans="1:3" x14ac:dyDescent="0.25">
      <c r="A3058">
        <v>3057</v>
      </c>
      <c r="B3058" t="s">
        <v>6942</v>
      </c>
      <c r="C3058" t="s">
        <v>6943</v>
      </c>
    </row>
    <row r="3059" spans="1:3" x14ac:dyDescent="0.25">
      <c r="A3059">
        <v>3058</v>
      </c>
      <c r="B3059" t="s">
        <v>6944</v>
      </c>
      <c r="C3059" t="s">
        <v>6945</v>
      </c>
    </row>
    <row r="3060" spans="1:3" x14ac:dyDescent="0.25">
      <c r="A3060">
        <v>3059</v>
      </c>
      <c r="B3060" t="s">
        <v>6946</v>
      </c>
      <c r="C3060" t="s">
        <v>6947</v>
      </c>
    </row>
    <row r="3061" spans="1:3" x14ac:dyDescent="0.25">
      <c r="A3061">
        <v>3060</v>
      </c>
      <c r="B3061" t="s">
        <v>6948</v>
      </c>
      <c r="C3061" t="s">
        <v>6949</v>
      </c>
    </row>
    <row r="3062" spans="1:3" x14ac:dyDescent="0.25">
      <c r="A3062">
        <v>3061</v>
      </c>
      <c r="B3062" t="s">
        <v>6950</v>
      </c>
      <c r="C3062" t="s">
        <v>6951</v>
      </c>
    </row>
    <row r="3063" spans="1:3" x14ac:dyDescent="0.25">
      <c r="A3063">
        <v>3062</v>
      </c>
      <c r="B3063" t="s">
        <v>6952</v>
      </c>
      <c r="C3063" t="s">
        <v>6953</v>
      </c>
    </row>
    <row r="3064" spans="1:3" x14ac:dyDescent="0.25">
      <c r="A3064">
        <v>3063</v>
      </c>
      <c r="B3064" t="s">
        <v>6954</v>
      </c>
      <c r="C3064" t="s">
        <v>6955</v>
      </c>
    </row>
    <row r="3065" spans="1:3" x14ac:dyDescent="0.25">
      <c r="A3065">
        <v>3064</v>
      </c>
      <c r="B3065" t="s">
        <v>6956</v>
      </c>
      <c r="C3065" t="s">
        <v>6957</v>
      </c>
    </row>
    <row r="3066" spans="1:3" x14ac:dyDescent="0.25">
      <c r="A3066">
        <v>3065</v>
      </c>
      <c r="B3066" t="s">
        <v>6958</v>
      </c>
      <c r="C3066" t="s">
        <v>6959</v>
      </c>
    </row>
    <row r="3067" spans="1:3" x14ac:dyDescent="0.25">
      <c r="A3067">
        <v>3066</v>
      </c>
      <c r="B3067" t="s">
        <v>6960</v>
      </c>
      <c r="C3067" t="s">
        <v>6961</v>
      </c>
    </row>
    <row r="3068" spans="1:3" x14ac:dyDescent="0.25">
      <c r="A3068">
        <v>3067</v>
      </c>
      <c r="B3068" t="s">
        <v>6962</v>
      </c>
      <c r="C3068" t="s">
        <v>6963</v>
      </c>
    </row>
    <row r="3069" spans="1:3" x14ac:dyDescent="0.25">
      <c r="A3069">
        <v>3068</v>
      </c>
      <c r="B3069" t="s">
        <v>1431</v>
      </c>
      <c r="C3069" t="s">
        <v>6964</v>
      </c>
    </row>
    <row r="3070" spans="1:3" x14ac:dyDescent="0.25">
      <c r="A3070">
        <v>3069</v>
      </c>
      <c r="B3070" t="s">
        <v>6965</v>
      </c>
      <c r="C3070" t="s">
        <v>6966</v>
      </c>
    </row>
    <row r="3071" spans="1:3" x14ac:dyDescent="0.25">
      <c r="A3071">
        <v>3070</v>
      </c>
      <c r="B3071" t="s">
        <v>378</v>
      </c>
      <c r="C3071" t="s">
        <v>6967</v>
      </c>
    </row>
    <row r="3072" spans="1:3" x14ac:dyDescent="0.25">
      <c r="A3072">
        <v>3071</v>
      </c>
      <c r="B3072" t="s">
        <v>884</v>
      </c>
      <c r="C3072" t="s">
        <v>6968</v>
      </c>
    </row>
    <row r="3073" spans="1:3" x14ac:dyDescent="0.25">
      <c r="A3073">
        <v>3072</v>
      </c>
      <c r="B3073" t="s">
        <v>6969</v>
      </c>
      <c r="C3073" t="s">
        <v>6970</v>
      </c>
    </row>
    <row r="3074" spans="1:3" x14ac:dyDescent="0.25">
      <c r="A3074">
        <v>3073</v>
      </c>
      <c r="B3074" t="s">
        <v>6971</v>
      </c>
      <c r="C3074" t="s">
        <v>6972</v>
      </c>
    </row>
    <row r="3075" spans="1:3" x14ac:dyDescent="0.25">
      <c r="A3075">
        <v>3074</v>
      </c>
      <c r="B3075" t="s">
        <v>6973</v>
      </c>
      <c r="C3075" t="s">
        <v>6974</v>
      </c>
    </row>
    <row r="3076" spans="1:3" x14ac:dyDescent="0.25">
      <c r="A3076">
        <v>3075</v>
      </c>
      <c r="B3076" t="s">
        <v>6975</v>
      </c>
      <c r="C3076" t="s">
        <v>6976</v>
      </c>
    </row>
    <row r="3077" spans="1:3" x14ac:dyDescent="0.25">
      <c r="A3077">
        <v>3076</v>
      </c>
      <c r="B3077" t="s">
        <v>6977</v>
      </c>
      <c r="C3077" t="s">
        <v>6978</v>
      </c>
    </row>
    <row r="3078" spans="1:3" x14ac:dyDescent="0.25">
      <c r="A3078">
        <v>3077</v>
      </c>
      <c r="B3078" t="s">
        <v>6979</v>
      </c>
      <c r="C3078" t="s">
        <v>6980</v>
      </c>
    </row>
    <row r="3079" spans="1:3" x14ac:dyDescent="0.25">
      <c r="A3079">
        <v>3078</v>
      </c>
      <c r="B3079" t="s">
        <v>6981</v>
      </c>
      <c r="C3079" t="s">
        <v>6982</v>
      </c>
    </row>
    <row r="3080" spans="1:3" x14ac:dyDescent="0.25">
      <c r="A3080">
        <v>3079</v>
      </c>
      <c r="B3080" t="s">
        <v>469</v>
      </c>
      <c r="C3080" t="s">
        <v>6983</v>
      </c>
    </row>
    <row r="3081" spans="1:3" x14ac:dyDescent="0.25">
      <c r="A3081">
        <v>3080</v>
      </c>
      <c r="B3081" t="s">
        <v>6984</v>
      </c>
      <c r="C3081" t="s">
        <v>6985</v>
      </c>
    </row>
    <row r="3082" spans="1:3" x14ac:dyDescent="0.25">
      <c r="A3082">
        <v>3081</v>
      </c>
      <c r="B3082" t="s">
        <v>6986</v>
      </c>
      <c r="C3082" t="s">
        <v>6987</v>
      </c>
    </row>
    <row r="3083" spans="1:3" x14ac:dyDescent="0.25">
      <c r="A3083">
        <v>3082</v>
      </c>
      <c r="B3083" t="s">
        <v>6988</v>
      </c>
      <c r="C3083" t="s">
        <v>6989</v>
      </c>
    </row>
    <row r="3084" spans="1:3" x14ac:dyDescent="0.25">
      <c r="A3084">
        <v>3083</v>
      </c>
      <c r="B3084" t="s">
        <v>764</v>
      </c>
      <c r="C3084" t="s">
        <v>6990</v>
      </c>
    </row>
    <row r="3085" spans="1:3" x14ac:dyDescent="0.25">
      <c r="A3085">
        <v>3084</v>
      </c>
      <c r="B3085" t="s">
        <v>810</v>
      </c>
      <c r="C3085" t="s">
        <v>6991</v>
      </c>
    </row>
    <row r="3086" spans="1:3" x14ac:dyDescent="0.25">
      <c r="A3086">
        <v>3085</v>
      </c>
      <c r="B3086" t="s">
        <v>808</v>
      </c>
      <c r="C3086" t="s">
        <v>6992</v>
      </c>
    </row>
    <row r="3087" spans="1:3" x14ac:dyDescent="0.25">
      <c r="A3087">
        <v>3086</v>
      </c>
      <c r="B3087" t="s">
        <v>6993</v>
      </c>
      <c r="C3087" t="s">
        <v>6994</v>
      </c>
    </row>
    <row r="3088" spans="1:3" x14ac:dyDescent="0.25">
      <c r="A3088">
        <v>3087</v>
      </c>
      <c r="B3088" t="s">
        <v>6995</v>
      </c>
      <c r="C3088" t="s">
        <v>6996</v>
      </c>
    </row>
    <row r="3089" spans="1:3" x14ac:dyDescent="0.25">
      <c r="A3089">
        <v>3088</v>
      </c>
      <c r="B3089" t="s">
        <v>6997</v>
      </c>
      <c r="C3089" t="s">
        <v>6998</v>
      </c>
    </row>
    <row r="3090" spans="1:3" x14ac:dyDescent="0.25">
      <c r="A3090">
        <v>3089</v>
      </c>
      <c r="B3090" t="s">
        <v>6999</v>
      </c>
      <c r="C3090" t="s">
        <v>7000</v>
      </c>
    </row>
    <row r="3091" spans="1:3" x14ac:dyDescent="0.25">
      <c r="A3091">
        <v>3090</v>
      </c>
      <c r="B3091" t="s">
        <v>7001</v>
      </c>
      <c r="C3091" t="s">
        <v>7002</v>
      </c>
    </row>
    <row r="3092" spans="1:3" x14ac:dyDescent="0.25">
      <c r="A3092">
        <v>3091</v>
      </c>
      <c r="B3092" t="s">
        <v>2240</v>
      </c>
      <c r="C3092" t="s">
        <v>7003</v>
      </c>
    </row>
    <row r="3093" spans="1:3" x14ac:dyDescent="0.25">
      <c r="A3093">
        <v>3092</v>
      </c>
      <c r="B3093" t="s">
        <v>7004</v>
      </c>
      <c r="C3093" t="s">
        <v>7005</v>
      </c>
    </row>
    <row r="3094" spans="1:3" x14ac:dyDescent="0.25">
      <c r="A3094">
        <v>3093</v>
      </c>
      <c r="B3094" t="s">
        <v>7006</v>
      </c>
      <c r="C3094" t="s">
        <v>7007</v>
      </c>
    </row>
    <row r="3095" spans="1:3" x14ac:dyDescent="0.25">
      <c r="A3095">
        <v>3094</v>
      </c>
      <c r="B3095" t="s">
        <v>7008</v>
      </c>
      <c r="C3095" t="s">
        <v>7009</v>
      </c>
    </row>
    <row r="3096" spans="1:3" x14ac:dyDescent="0.25">
      <c r="A3096">
        <v>3095</v>
      </c>
      <c r="B3096" t="s">
        <v>7010</v>
      </c>
      <c r="C3096" t="s">
        <v>7011</v>
      </c>
    </row>
    <row r="3097" spans="1:3" x14ac:dyDescent="0.25">
      <c r="A3097">
        <v>3096</v>
      </c>
      <c r="B3097" t="s">
        <v>2023</v>
      </c>
      <c r="C3097" t="s">
        <v>7012</v>
      </c>
    </row>
    <row r="3098" spans="1:3" x14ac:dyDescent="0.25">
      <c r="A3098">
        <v>3097</v>
      </c>
      <c r="B3098" t="s">
        <v>2075</v>
      </c>
      <c r="C3098" t="s">
        <v>7013</v>
      </c>
    </row>
    <row r="3099" spans="1:3" x14ac:dyDescent="0.25">
      <c r="A3099">
        <v>3098</v>
      </c>
      <c r="B3099" t="s">
        <v>2196</v>
      </c>
      <c r="C3099" t="s">
        <v>7014</v>
      </c>
    </row>
    <row r="3100" spans="1:3" x14ac:dyDescent="0.25">
      <c r="A3100">
        <v>3099</v>
      </c>
      <c r="B3100" t="s">
        <v>2289</v>
      </c>
      <c r="C3100" t="s">
        <v>7015</v>
      </c>
    </row>
    <row r="3101" spans="1:3" x14ac:dyDescent="0.25">
      <c r="A3101">
        <v>3100</v>
      </c>
      <c r="B3101" t="s">
        <v>7016</v>
      </c>
      <c r="C3101" t="s">
        <v>7017</v>
      </c>
    </row>
    <row r="3102" spans="1:3" x14ac:dyDescent="0.25">
      <c r="A3102">
        <v>3101</v>
      </c>
      <c r="B3102" t="s">
        <v>7018</v>
      </c>
      <c r="C3102" t="s">
        <v>7019</v>
      </c>
    </row>
    <row r="3103" spans="1:3" x14ac:dyDescent="0.25">
      <c r="A3103">
        <v>3102</v>
      </c>
      <c r="B3103" t="s">
        <v>7020</v>
      </c>
      <c r="C3103" t="s">
        <v>7021</v>
      </c>
    </row>
    <row r="3104" spans="1:3" x14ac:dyDescent="0.25">
      <c r="A3104">
        <v>3103</v>
      </c>
      <c r="B3104" t="s">
        <v>7022</v>
      </c>
      <c r="C3104" t="s">
        <v>7023</v>
      </c>
    </row>
    <row r="3105" spans="1:3" x14ac:dyDescent="0.25">
      <c r="A3105">
        <v>3104</v>
      </c>
      <c r="B3105" t="s">
        <v>7024</v>
      </c>
      <c r="C3105" t="s">
        <v>7025</v>
      </c>
    </row>
    <row r="3106" spans="1:3" x14ac:dyDescent="0.25">
      <c r="A3106">
        <v>3105</v>
      </c>
      <c r="B3106" t="s">
        <v>7026</v>
      </c>
      <c r="C3106" t="s">
        <v>7027</v>
      </c>
    </row>
    <row r="3107" spans="1:3" x14ac:dyDescent="0.25">
      <c r="A3107">
        <v>3106</v>
      </c>
      <c r="B3107" t="s">
        <v>7028</v>
      </c>
      <c r="C3107" t="s">
        <v>7029</v>
      </c>
    </row>
    <row r="3108" spans="1:3" x14ac:dyDescent="0.25">
      <c r="A3108">
        <v>3107</v>
      </c>
      <c r="B3108" t="s">
        <v>7030</v>
      </c>
      <c r="C3108" t="s">
        <v>7031</v>
      </c>
    </row>
    <row r="3109" spans="1:3" x14ac:dyDescent="0.25">
      <c r="A3109">
        <v>3108</v>
      </c>
      <c r="B3109" t="s">
        <v>7032</v>
      </c>
      <c r="C3109" t="s">
        <v>7033</v>
      </c>
    </row>
    <row r="3110" spans="1:3" x14ac:dyDescent="0.25">
      <c r="A3110">
        <v>3109</v>
      </c>
      <c r="B3110" t="s">
        <v>7034</v>
      </c>
      <c r="C3110" t="s">
        <v>7035</v>
      </c>
    </row>
    <row r="3111" spans="1:3" x14ac:dyDescent="0.25">
      <c r="A3111">
        <v>3110</v>
      </c>
      <c r="B3111" t="s">
        <v>7036</v>
      </c>
      <c r="C3111" t="s">
        <v>7037</v>
      </c>
    </row>
    <row r="3112" spans="1:3" x14ac:dyDescent="0.25">
      <c r="A3112">
        <v>3111</v>
      </c>
      <c r="B3112" t="s">
        <v>7038</v>
      </c>
      <c r="C3112" t="s">
        <v>7039</v>
      </c>
    </row>
    <row r="3113" spans="1:3" x14ac:dyDescent="0.25">
      <c r="A3113">
        <v>3112</v>
      </c>
      <c r="B3113" t="s">
        <v>7040</v>
      </c>
      <c r="C3113" t="s">
        <v>7041</v>
      </c>
    </row>
    <row r="3114" spans="1:3" x14ac:dyDescent="0.25">
      <c r="A3114">
        <v>3113</v>
      </c>
      <c r="B3114" t="s">
        <v>7042</v>
      </c>
      <c r="C3114" t="s">
        <v>7043</v>
      </c>
    </row>
    <row r="3115" spans="1:3" x14ac:dyDescent="0.25">
      <c r="A3115">
        <v>3114</v>
      </c>
      <c r="B3115" t="s">
        <v>7044</v>
      </c>
      <c r="C3115" t="s">
        <v>7045</v>
      </c>
    </row>
    <row r="3116" spans="1:3" x14ac:dyDescent="0.25">
      <c r="A3116">
        <v>3115</v>
      </c>
      <c r="B3116" t="s">
        <v>7046</v>
      </c>
      <c r="C3116" t="s">
        <v>7047</v>
      </c>
    </row>
    <row r="3117" spans="1:3" x14ac:dyDescent="0.25">
      <c r="A3117">
        <v>3116</v>
      </c>
      <c r="B3117" t="s">
        <v>7048</v>
      </c>
      <c r="C3117" t="s">
        <v>7049</v>
      </c>
    </row>
    <row r="3118" spans="1:3" x14ac:dyDescent="0.25">
      <c r="A3118">
        <v>3117</v>
      </c>
      <c r="B3118" t="s">
        <v>7050</v>
      </c>
      <c r="C3118" t="s">
        <v>7051</v>
      </c>
    </row>
    <row r="3119" spans="1:3" x14ac:dyDescent="0.25">
      <c r="A3119">
        <v>3118</v>
      </c>
      <c r="B3119" t="s">
        <v>7052</v>
      </c>
      <c r="C3119" t="s">
        <v>7053</v>
      </c>
    </row>
    <row r="3120" spans="1:3" x14ac:dyDescent="0.25">
      <c r="A3120">
        <v>3119</v>
      </c>
      <c r="B3120" t="s">
        <v>7054</v>
      </c>
      <c r="C3120" t="s">
        <v>7055</v>
      </c>
    </row>
    <row r="3121" spans="1:3" x14ac:dyDescent="0.25">
      <c r="A3121">
        <v>3120</v>
      </c>
      <c r="B3121" t="s">
        <v>7056</v>
      </c>
      <c r="C3121" t="s">
        <v>7057</v>
      </c>
    </row>
    <row r="3122" spans="1:3" x14ac:dyDescent="0.25">
      <c r="A3122">
        <v>3121</v>
      </c>
      <c r="B3122" t="s">
        <v>7058</v>
      </c>
      <c r="C3122" t="s">
        <v>7059</v>
      </c>
    </row>
    <row r="3123" spans="1:3" x14ac:dyDescent="0.25">
      <c r="A3123">
        <v>3122</v>
      </c>
      <c r="B3123" t="s">
        <v>7060</v>
      </c>
      <c r="C3123" t="s">
        <v>7061</v>
      </c>
    </row>
    <row r="3124" spans="1:3" x14ac:dyDescent="0.25">
      <c r="A3124">
        <v>3123</v>
      </c>
      <c r="B3124" t="s">
        <v>7062</v>
      </c>
      <c r="C3124" t="s">
        <v>7063</v>
      </c>
    </row>
    <row r="3125" spans="1:3" x14ac:dyDescent="0.25">
      <c r="A3125">
        <v>3124</v>
      </c>
      <c r="B3125" t="s">
        <v>7064</v>
      </c>
      <c r="C3125" t="s">
        <v>7065</v>
      </c>
    </row>
    <row r="3126" spans="1:3" x14ac:dyDescent="0.25">
      <c r="A3126">
        <v>3125</v>
      </c>
      <c r="B3126" t="s">
        <v>7066</v>
      </c>
      <c r="C3126" t="s">
        <v>7067</v>
      </c>
    </row>
    <row r="3127" spans="1:3" x14ac:dyDescent="0.25">
      <c r="A3127">
        <v>3126</v>
      </c>
      <c r="B3127" t="s">
        <v>7068</v>
      </c>
      <c r="C3127" t="s">
        <v>7069</v>
      </c>
    </row>
    <row r="3128" spans="1:3" x14ac:dyDescent="0.25">
      <c r="A3128">
        <v>3127</v>
      </c>
      <c r="B3128" t="s">
        <v>7070</v>
      </c>
      <c r="C3128" t="s">
        <v>7071</v>
      </c>
    </row>
    <row r="3129" spans="1:3" x14ac:dyDescent="0.25">
      <c r="A3129">
        <v>3128</v>
      </c>
      <c r="B3129" t="s">
        <v>7072</v>
      </c>
      <c r="C3129" t="s">
        <v>7073</v>
      </c>
    </row>
    <row r="3130" spans="1:3" x14ac:dyDescent="0.25">
      <c r="A3130">
        <v>3129</v>
      </c>
      <c r="B3130" t="s">
        <v>7074</v>
      </c>
      <c r="C3130" t="s">
        <v>7075</v>
      </c>
    </row>
    <row r="3131" spans="1:3" x14ac:dyDescent="0.25">
      <c r="A3131">
        <v>3130</v>
      </c>
      <c r="B3131" t="s">
        <v>2086</v>
      </c>
      <c r="C3131" t="s">
        <v>7076</v>
      </c>
    </row>
    <row r="3132" spans="1:3" x14ac:dyDescent="0.25">
      <c r="A3132">
        <v>3131</v>
      </c>
      <c r="B3132" t="s">
        <v>7077</v>
      </c>
      <c r="C3132" t="s">
        <v>7078</v>
      </c>
    </row>
    <row r="3133" spans="1:3" x14ac:dyDescent="0.25">
      <c r="A3133">
        <v>3132</v>
      </c>
      <c r="B3133" t="s">
        <v>7079</v>
      </c>
      <c r="C3133" t="s">
        <v>7080</v>
      </c>
    </row>
    <row r="3134" spans="1:3" x14ac:dyDescent="0.25">
      <c r="A3134">
        <v>3133</v>
      </c>
      <c r="B3134" t="s">
        <v>7081</v>
      </c>
      <c r="C3134" t="s">
        <v>7082</v>
      </c>
    </row>
    <row r="3135" spans="1:3" x14ac:dyDescent="0.25">
      <c r="A3135">
        <v>3134</v>
      </c>
      <c r="B3135" t="s">
        <v>7083</v>
      </c>
      <c r="C3135" t="s">
        <v>7084</v>
      </c>
    </row>
    <row r="3136" spans="1:3" x14ac:dyDescent="0.25">
      <c r="A3136">
        <v>3135</v>
      </c>
      <c r="B3136" t="s">
        <v>2055</v>
      </c>
      <c r="C3136" t="s">
        <v>7085</v>
      </c>
    </row>
    <row r="3137" spans="1:3" x14ac:dyDescent="0.25">
      <c r="A3137">
        <v>3136</v>
      </c>
      <c r="B3137" t="s">
        <v>7086</v>
      </c>
      <c r="C3137" t="s">
        <v>7087</v>
      </c>
    </row>
    <row r="3138" spans="1:3" x14ac:dyDescent="0.25">
      <c r="A3138">
        <v>3137</v>
      </c>
      <c r="B3138" t="s">
        <v>7088</v>
      </c>
      <c r="C3138" t="s">
        <v>7089</v>
      </c>
    </row>
    <row r="3139" spans="1:3" x14ac:dyDescent="0.25">
      <c r="A3139">
        <v>3138</v>
      </c>
      <c r="B3139" t="s">
        <v>7090</v>
      </c>
      <c r="C3139" t="s">
        <v>7091</v>
      </c>
    </row>
    <row r="3140" spans="1:3" x14ac:dyDescent="0.25">
      <c r="A3140">
        <v>3139</v>
      </c>
      <c r="B3140" t="s">
        <v>7092</v>
      </c>
      <c r="C3140" t="s">
        <v>7093</v>
      </c>
    </row>
    <row r="3141" spans="1:3" x14ac:dyDescent="0.25">
      <c r="A3141">
        <v>3140</v>
      </c>
      <c r="B3141" t="s">
        <v>7094</v>
      </c>
      <c r="C3141" t="s">
        <v>7095</v>
      </c>
    </row>
    <row r="3142" spans="1:3" x14ac:dyDescent="0.25">
      <c r="A3142">
        <v>3141</v>
      </c>
      <c r="B3142" t="s">
        <v>7096</v>
      </c>
      <c r="C3142" t="s">
        <v>7097</v>
      </c>
    </row>
    <row r="3143" spans="1:3" x14ac:dyDescent="0.25">
      <c r="A3143">
        <v>3142</v>
      </c>
      <c r="B3143" t="s">
        <v>7098</v>
      </c>
      <c r="C3143" t="s">
        <v>7099</v>
      </c>
    </row>
    <row r="3144" spans="1:3" x14ac:dyDescent="0.25">
      <c r="A3144">
        <v>3143</v>
      </c>
      <c r="B3144" t="s">
        <v>7100</v>
      </c>
      <c r="C3144" t="s">
        <v>7101</v>
      </c>
    </row>
    <row r="3145" spans="1:3" x14ac:dyDescent="0.25">
      <c r="A3145">
        <v>3144</v>
      </c>
      <c r="B3145" t="s">
        <v>917</v>
      </c>
      <c r="C3145" t="s">
        <v>7102</v>
      </c>
    </row>
    <row r="3146" spans="1:3" x14ac:dyDescent="0.25">
      <c r="A3146">
        <v>3145</v>
      </c>
      <c r="B3146" t="s">
        <v>993</v>
      </c>
      <c r="C3146" t="s">
        <v>7103</v>
      </c>
    </row>
    <row r="3147" spans="1:3" x14ac:dyDescent="0.25">
      <c r="A3147">
        <v>3146</v>
      </c>
      <c r="B3147" t="s">
        <v>7104</v>
      </c>
      <c r="C3147" t="s">
        <v>7105</v>
      </c>
    </row>
    <row r="3148" spans="1:3" x14ac:dyDescent="0.25">
      <c r="A3148">
        <v>3147</v>
      </c>
      <c r="B3148" t="s">
        <v>1481</v>
      </c>
      <c r="C3148" t="s">
        <v>7106</v>
      </c>
    </row>
    <row r="3149" spans="1:3" x14ac:dyDescent="0.25">
      <c r="A3149">
        <v>3148</v>
      </c>
      <c r="B3149" t="s">
        <v>7107</v>
      </c>
      <c r="C3149" t="s">
        <v>7108</v>
      </c>
    </row>
    <row r="3150" spans="1:3" x14ac:dyDescent="0.25">
      <c r="A3150">
        <v>3149</v>
      </c>
      <c r="B3150" t="s">
        <v>7109</v>
      </c>
      <c r="C3150" t="s">
        <v>7110</v>
      </c>
    </row>
    <row r="3151" spans="1:3" x14ac:dyDescent="0.25">
      <c r="A3151">
        <v>3150</v>
      </c>
      <c r="B3151" t="s">
        <v>2127</v>
      </c>
      <c r="C3151" t="s">
        <v>7111</v>
      </c>
    </row>
    <row r="3152" spans="1:3" x14ac:dyDescent="0.25">
      <c r="A3152">
        <v>3151</v>
      </c>
      <c r="B3152" t="s">
        <v>7112</v>
      </c>
      <c r="C3152" t="s">
        <v>7113</v>
      </c>
    </row>
    <row r="3153" spans="1:3" x14ac:dyDescent="0.25">
      <c r="A3153">
        <v>3152</v>
      </c>
      <c r="B3153" t="s">
        <v>7114</v>
      </c>
      <c r="C3153" t="s">
        <v>7115</v>
      </c>
    </row>
    <row r="3154" spans="1:3" x14ac:dyDescent="0.25">
      <c r="A3154">
        <v>3153</v>
      </c>
      <c r="B3154" t="s">
        <v>7116</v>
      </c>
      <c r="C3154" t="s">
        <v>7117</v>
      </c>
    </row>
    <row r="3155" spans="1:3" x14ac:dyDescent="0.25">
      <c r="A3155">
        <v>3154</v>
      </c>
      <c r="B3155" t="s">
        <v>7118</v>
      </c>
      <c r="C3155" t="s">
        <v>7119</v>
      </c>
    </row>
    <row r="3156" spans="1:3" x14ac:dyDescent="0.25">
      <c r="A3156">
        <v>3155</v>
      </c>
      <c r="B3156" t="s">
        <v>7120</v>
      </c>
      <c r="C3156" t="s">
        <v>7121</v>
      </c>
    </row>
    <row r="3157" spans="1:3" x14ac:dyDescent="0.25">
      <c r="A3157">
        <v>3156</v>
      </c>
      <c r="B3157" t="s">
        <v>536</v>
      </c>
      <c r="C3157" t="s">
        <v>7122</v>
      </c>
    </row>
    <row r="3158" spans="1:3" x14ac:dyDescent="0.25">
      <c r="A3158">
        <v>3157</v>
      </c>
      <c r="B3158" t="s">
        <v>7123</v>
      </c>
      <c r="C3158" t="s">
        <v>7124</v>
      </c>
    </row>
    <row r="3159" spans="1:3" x14ac:dyDescent="0.25">
      <c r="A3159">
        <v>3158</v>
      </c>
      <c r="B3159" t="s">
        <v>7125</v>
      </c>
      <c r="C3159" t="s">
        <v>7126</v>
      </c>
    </row>
    <row r="3160" spans="1:3" x14ac:dyDescent="0.25">
      <c r="A3160">
        <v>3159</v>
      </c>
      <c r="B3160" t="s">
        <v>7127</v>
      </c>
      <c r="C3160" t="s">
        <v>7128</v>
      </c>
    </row>
    <row r="3161" spans="1:3" x14ac:dyDescent="0.25">
      <c r="A3161">
        <v>3160</v>
      </c>
      <c r="B3161" t="s">
        <v>7129</v>
      </c>
      <c r="C3161" t="s">
        <v>7130</v>
      </c>
    </row>
    <row r="3162" spans="1:3" x14ac:dyDescent="0.25">
      <c r="A3162">
        <v>3161</v>
      </c>
      <c r="B3162" t="s">
        <v>7131</v>
      </c>
      <c r="C3162" t="s">
        <v>7132</v>
      </c>
    </row>
    <row r="3163" spans="1:3" x14ac:dyDescent="0.25">
      <c r="A3163">
        <v>3162</v>
      </c>
      <c r="B3163" t="s">
        <v>7133</v>
      </c>
      <c r="C3163" t="s">
        <v>7134</v>
      </c>
    </row>
    <row r="3164" spans="1:3" x14ac:dyDescent="0.25">
      <c r="A3164">
        <v>3163</v>
      </c>
      <c r="B3164" t="s">
        <v>7135</v>
      </c>
      <c r="C3164" t="s">
        <v>7136</v>
      </c>
    </row>
    <row r="3165" spans="1:3" x14ac:dyDescent="0.25">
      <c r="A3165">
        <v>3164</v>
      </c>
      <c r="B3165" t="s">
        <v>1046</v>
      </c>
      <c r="C3165" t="s">
        <v>7137</v>
      </c>
    </row>
    <row r="3166" spans="1:3" x14ac:dyDescent="0.25">
      <c r="A3166">
        <v>3165</v>
      </c>
      <c r="B3166" t="s">
        <v>7138</v>
      </c>
      <c r="C3166" t="s">
        <v>7139</v>
      </c>
    </row>
    <row r="3167" spans="1:3" x14ac:dyDescent="0.25">
      <c r="A3167">
        <v>3166</v>
      </c>
      <c r="B3167" t="s">
        <v>7140</v>
      </c>
      <c r="C3167" t="s">
        <v>7141</v>
      </c>
    </row>
    <row r="3168" spans="1:3" x14ac:dyDescent="0.25">
      <c r="A3168">
        <v>3167</v>
      </c>
      <c r="B3168" t="s">
        <v>7142</v>
      </c>
      <c r="C3168" t="s">
        <v>7143</v>
      </c>
    </row>
    <row r="3169" spans="1:3" x14ac:dyDescent="0.25">
      <c r="A3169">
        <v>3168</v>
      </c>
      <c r="B3169" t="s">
        <v>7144</v>
      </c>
      <c r="C3169" t="s">
        <v>7145</v>
      </c>
    </row>
    <row r="3170" spans="1:3" x14ac:dyDescent="0.25">
      <c r="A3170">
        <v>3169</v>
      </c>
      <c r="B3170" t="s">
        <v>1332</v>
      </c>
      <c r="C3170" t="s">
        <v>7146</v>
      </c>
    </row>
    <row r="3171" spans="1:3" x14ac:dyDescent="0.25">
      <c r="A3171">
        <v>3170</v>
      </c>
      <c r="B3171" t="s">
        <v>1035</v>
      </c>
      <c r="C3171" t="s">
        <v>7147</v>
      </c>
    </row>
    <row r="3172" spans="1:3" x14ac:dyDescent="0.25">
      <c r="A3172">
        <v>3171</v>
      </c>
      <c r="B3172" t="s">
        <v>7148</v>
      </c>
      <c r="C3172" t="s">
        <v>7149</v>
      </c>
    </row>
    <row r="3173" spans="1:3" x14ac:dyDescent="0.25">
      <c r="A3173">
        <v>3172</v>
      </c>
      <c r="B3173" t="s">
        <v>7150</v>
      </c>
      <c r="C3173" t="s">
        <v>7151</v>
      </c>
    </row>
    <row r="3174" spans="1:3" x14ac:dyDescent="0.25">
      <c r="A3174">
        <v>3173</v>
      </c>
      <c r="B3174" t="s">
        <v>7152</v>
      </c>
      <c r="C3174" t="s">
        <v>7153</v>
      </c>
    </row>
    <row r="3175" spans="1:3" x14ac:dyDescent="0.25">
      <c r="A3175">
        <v>3174</v>
      </c>
      <c r="B3175" t="s">
        <v>7154</v>
      </c>
      <c r="C3175" t="s">
        <v>7155</v>
      </c>
    </row>
    <row r="3176" spans="1:3" x14ac:dyDescent="0.25">
      <c r="A3176">
        <v>3175</v>
      </c>
      <c r="B3176" t="s">
        <v>28</v>
      </c>
      <c r="C3176" t="s">
        <v>7156</v>
      </c>
    </row>
    <row r="3177" spans="1:3" x14ac:dyDescent="0.25">
      <c r="A3177">
        <v>3176</v>
      </c>
      <c r="B3177" t="s">
        <v>7157</v>
      </c>
      <c r="C3177" t="s">
        <v>7158</v>
      </c>
    </row>
    <row r="3178" spans="1:3" x14ac:dyDescent="0.25">
      <c r="A3178">
        <v>3177</v>
      </c>
      <c r="B3178" t="s">
        <v>1019</v>
      </c>
      <c r="C3178" t="s">
        <v>7159</v>
      </c>
    </row>
    <row r="3179" spans="1:3" x14ac:dyDescent="0.25">
      <c r="A3179">
        <v>3178</v>
      </c>
      <c r="B3179" t="s">
        <v>7160</v>
      </c>
      <c r="C3179" t="s">
        <v>7161</v>
      </c>
    </row>
    <row r="3180" spans="1:3" x14ac:dyDescent="0.25">
      <c r="A3180">
        <v>3179</v>
      </c>
      <c r="B3180" t="s">
        <v>7162</v>
      </c>
      <c r="C3180" t="s">
        <v>7163</v>
      </c>
    </row>
    <row r="3181" spans="1:3" x14ac:dyDescent="0.25">
      <c r="A3181">
        <v>3180</v>
      </c>
      <c r="B3181" t="s">
        <v>7164</v>
      </c>
      <c r="C3181" t="s">
        <v>7165</v>
      </c>
    </row>
    <row r="3182" spans="1:3" x14ac:dyDescent="0.25">
      <c r="A3182">
        <v>3181</v>
      </c>
      <c r="B3182" t="s">
        <v>7166</v>
      </c>
      <c r="C3182" t="s">
        <v>7167</v>
      </c>
    </row>
    <row r="3183" spans="1:3" x14ac:dyDescent="0.25">
      <c r="A3183">
        <v>3182</v>
      </c>
      <c r="B3183" t="s">
        <v>7168</v>
      </c>
      <c r="C3183" t="s">
        <v>7169</v>
      </c>
    </row>
    <row r="3184" spans="1:3" x14ac:dyDescent="0.25">
      <c r="A3184">
        <v>3183</v>
      </c>
      <c r="B3184" t="s">
        <v>7170</v>
      </c>
      <c r="C3184" t="s">
        <v>7171</v>
      </c>
    </row>
    <row r="3185" spans="1:3" x14ac:dyDescent="0.25">
      <c r="A3185">
        <v>3184</v>
      </c>
      <c r="B3185" t="s">
        <v>7172</v>
      </c>
      <c r="C3185" t="s">
        <v>7173</v>
      </c>
    </row>
    <row r="3186" spans="1:3" x14ac:dyDescent="0.25">
      <c r="A3186">
        <v>3185</v>
      </c>
      <c r="B3186" t="s">
        <v>7174</v>
      </c>
      <c r="C3186" t="s">
        <v>7175</v>
      </c>
    </row>
    <row r="3187" spans="1:3" x14ac:dyDescent="0.25">
      <c r="A3187">
        <v>3186</v>
      </c>
      <c r="B3187" t="s">
        <v>7176</v>
      </c>
      <c r="C3187" t="s">
        <v>7177</v>
      </c>
    </row>
    <row r="3188" spans="1:3" x14ac:dyDescent="0.25">
      <c r="A3188">
        <v>3187</v>
      </c>
      <c r="B3188" t="s">
        <v>7178</v>
      </c>
      <c r="C3188" t="s">
        <v>7179</v>
      </c>
    </row>
    <row r="3189" spans="1:3" x14ac:dyDescent="0.25">
      <c r="A3189">
        <v>3188</v>
      </c>
      <c r="B3189" t="s">
        <v>7180</v>
      </c>
      <c r="C3189" t="s">
        <v>7181</v>
      </c>
    </row>
    <row r="3190" spans="1:3" x14ac:dyDescent="0.25">
      <c r="A3190">
        <v>3189</v>
      </c>
      <c r="B3190" t="s">
        <v>7182</v>
      </c>
      <c r="C3190" t="s">
        <v>7183</v>
      </c>
    </row>
    <row r="3191" spans="1:3" x14ac:dyDescent="0.25">
      <c r="A3191">
        <v>3190</v>
      </c>
      <c r="B3191" t="s">
        <v>7184</v>
      </c>
      <c r="C3191" t="s">
        <v>7185</v>
      </c>
    </row>
    <row r="3192" spans="1:3" x14ac:dyDescent="0.25">
      <c r="A3192">
        <v>3191</v>
      </c>
      <c r="B3192" t="s">
        <v>7186</v>
      </c>
      <c r="C3192" t="s">
        <v>7187</v>
      </c>
    </row>
    <row r="3193" spans="1:3" x14ac:dyDescent="0.25">
      <c r="A3193">
        <v>3192</v>
      </c>
      <c r="B3193" t="s">
        <v>7188</v>
      </c>
      <c r="C3193" t="s">
        <v>7189</v>
      </c>
    </row>
    <row r="3194" spans="1:3" x14ac:dyDescent="0.25">
      <c r="A3194">
        <v>3193</v>
      </c>
      <c r="B3194" t="s">
        <v>510</v>
      </c>
      <c r="C3194" t="s">
        <v>7190</v>
      </c>
    </row>
    <row r="3195" spans="1:3" x14ac:dyDescent="0.25">
      <c r="A3195">
        <v>3194</v>
      </c>
      <c r="B3195" t="s">
        <v>7191</v>
      </c>
      <c r="C3195" t="s">
        <v>7192</v>
      </c>
    </row>
    <row r="3196" spans="1:3" x14ac:dyDescent="0.25">
      <c r="A3196">
        <v>3195</v>
      </c>
      <c r="B3196" t="s">
        <v>7193</v>
      </c>
      <c r="C3196" t="s">
        <v>7194</v>
      </c>
    </row>
    <row r="3197" spans="1:3" x14ac:dyDescent="0.25">
      <c r="A3197">
        <v>3196</v>
      </c>
      <c r="B3197" t="s">
        <v>7195</v>
      </c>
      <c r="C3197" t="s">
        <v>7196</v>
      </c>
    </row>
    <row r="3198" spans="1:3" x14ac:dyDescent="0.25">
      <c r="A3198">
        <v>3197</v>
      </c>
      <c r="B3198" t="s">
        <v>7197</v>
      </c>
      <c r="C3198" t="s">
        <v>7198</v>
      </c>
    </row>
    <row r="3199" spans="1:3" x14ac:dyDescent="0.25">
      <c r="A3199">
        <v>3198</v>
      </c>
      <c r="B3199" t="s">
        <v>2067</v>
      </c>
      <c r="C3199" t="s">
        <v>7199</v>
      </c>
    </row>
    <row r="3200" spans="1:3" x14ac:dyDescent="0.25">
      <c r="A3200">
        <v>3199</v>
      </c>
      <c r="B3200" t="s">
        <v>7200</v>
      </c>
      <c r="C3200" t="s">
        <v>7201</v>
      </c>
    </row>
    <row r="3201" spans="1:3" x14ac:dyDescent="0.25">
      <c r="A3201">
        <v>3200</v>
      </c>
      <c r="B3201" t="s">
        <v>7202</v>
      </c>
      <c r="C3201" t="s">
        <v>7203</v>
      </c>
    </row>
    <row r="3202" spans="1:3" x14ac:dyDescent="0.25">
      <c r="A3202">
        <v>3201</v>
      </c>
      <c r="B3202" t="s">
        <v>7204</v>
      </c>
      <c r="C3202" t="s">
        <v>7205</v>
      </c>
    </row>
    <row r="3203" spans="1:3" x14ac:dyDescent="0.25">
      <c r="A3203">
        <v>3202</v>
      </c>
      <c r="B3203" t="s">
        <v>7206</v>
      </c>
      <c r="C3203" t="s">
        <v>7207</v>
      </c>
    </row>
    <row r="3204" spans="1:3" x14ac:dyDescent="0.25">
      <c r="A3204">
        <v>3203</v>
      </c>
      <c r="B3204" t="s">
        <v>7208</v>
      </c>
      <c r="C3204" t="s">
        <v>7209</v>
      </c>
    </row>
    <row r="3205" spans="1:3" x14ac:dyDescent="0.25">
      <c r="A3205">
        <v>3204</v>
      </c>
      <c r="B3205" t="s">
        <v>7210</v>
      </c>
      <c r="C3205" t="s">
        <v>7211</v>
      </c>
    </row>
    <row r="3206" spans="1:3" x14ac:dyDescent="0.25">
      <c r="A3206">
        <v>3205</v>
      </c>
      <c r="B3206" t="s">
        <v>7212</v>
      </c>
      <c r="C3206" t="s">
        <v>7213</v>
      </c>
    </row>
    <row r="3207" spans="1:3" x14ac:dyDescent="0.25">
      <c r="A3207">
        <v>3206</v>
      </c>
      <c r="B3207" t="s">
        <v>7214</v>
      </c>
      <c r="C3207" t="s">
        <v>7215</v>
      </c>
    </row>
    <row r="3208" spans="1:3" x14ac:dyDescent="0.25">
      <c r="A3208">
        <v>3207</v>
      </c>
      <c r="B3208" t="s">
        <v>7216</v>
      </c>
      <c r="C3208" t="s">
        <v>7217</v>
      </c>
    </row>
    <row r="3209" spans="1:3" x14ac:dyDescent="0.25">
      <c r="A3209">
        <v>3208</v>
      </c>
      <c r="B3209" t="s">
        <v>7218</v>
      </c>
      <c r="C3209" t="s">
        <v>7219</v>
      </c>
    </row>
    <row r="3210" spans="1:3" x14ac:dyDescent="0.25">
      <c r="A3210">
        <v>3209</v>
      </c>
      <c r="B3210" t="s">
        <v>7220</v>
      </c>
      <c r="C3210" t="s">
        <v>7221</v>
      </c>
    </row>
    <row r="3211" spans="1:3" x14ac:dyDescent="0.25">
      <c r="A3211">
        <v>3210</v>
      </c>
      <c r="B3211" t="s">
        <v>7222</v>
      </c>
      <c r="C3211" t="s">
        <v>7223</v>
      </c>
    </row>
    <row r="3212" spans="1:3" x14ac:dyDescent="0.25">
      <c r="A3212">
        <v>3211</v>
      </c>
      <c r="B3212" t="s">
        <v>919</v>
      </c>
      <c r="C3212" t="s">
        <v>7224</v>
      </c>
    </row>
    <row r="3213" spans="1:3" x14ac:dyDescent="0.25">
      <c r="A3213">
        <v>3212</v>
      </c>
      <c r="B3213" t="s">
        <v>7225</v>
      </c>
      <c r="C3213" t="s">
        <v>7226</v>
      </c>
    </row>
    <row r="3214" spans="1:3" x14ac:dyDescent="0.25">
      <c r="A3214">
        <v>3213</v>
      </c>
      <c r="B3214" t="s">
        <v>7227</v>
      </c>
      <c r="C3214" t="s">
        <v>7228</v>
      </c>
    </row>
    <row r="3215" spans="1:3" x14ac:dyDescent="0.25">
      <c r="A3215">
        <v>3214</v>
      </c>
      <c r="B3215" t="s">
        <v>7229</v>
      </c>
      <c r="C3215" t="s">
        <v>7230</v>
      </c>
    </row>
    <row r="3216" spans="1:3" x14ac:dyDescent="0.25">
      <c r="A3216">
        <v>3215</v>
      </c>
      <c r="B3216" t="s">
        <v>886</v>
      </c>
      <c r="C3216" t="s">
        <v>7231</v>
      </c>
    </row>
    <row r="3217" spans="1:3" x14ac:dyDescent="0.25">
      <c r="A3217">
        <v>3216</v>
      </c>
      <c r="B3217" t="s">
        <v>7232</v>
      </c>
      <c r="C3217" t="s">
        <v>7233</v>
      </c>
    </row>
    <row r="3218" spans="1:3" x14ac:dyDescent="0.25">
      <c r="A3218">
        <v>3217</v>
      </c>
      <c r="B3218" t="s">
        <v>7234</v>
      </c>
      <c r="C3218" t="s">
        <v>7235</v>
      </c>
    </row>
    <row r="3219" spans="1:3" x14ac:dyDescent="0.25">
      <c r="A3219">
        <v>3218</v>
      </c>
      <c r="B3219" t="s">
        <v>7236</v>
      </c>
      <c r="C3219" t="s">
        <v>7237</v>
      </c>
    </row>
    <row r="3220" spans="1:3" x14ac:dyDescent="0.25">
      <c r="A3220">
        <v>3219</v>
      </c>
      <c r="B3220" t="s">
        <v>7238</v>
      </c>
      <c r="C3220" t="s">
        <v>7239</v>
      </c>
    </row>
    <row r="3221" spans="1:3" x14ac:dyDescent="0.25">
      <c r="A3221">
        <v>3220</v>
      </c>
      <c r="B3221" t="s">
        <v>7240</v>
      </c>
      <c r="C3221" t="s">
        <v>7241</v>
      </c>
    </row>
    <row r="3222" spans="1:3" x14ac:dyDescent="0.25">
      <c r="A3222">
        <v>3221</v>
      </c>
      <c r="B3222" t="s">
        <v>7242</v>
      </c>
      <c r="C3222" t="s">
        <v>7243</v>
      </c>
    </row>
    <row r="3223" spans="1:3" x14ac:dyDescent="0.25">
      <c r="A3223">
        <v>3222</v>
      </c>
      <c r="B3223" t="s">
        <v>7244</v>
      </c>
      <c r="C3223" t="s">
        <v>7245</v>
      </c>
    </row>
    <row r="3224" spans="1:3" x14ac:dyDescent="0.25">
      <c r="A3224">
        <v>3223</v>
      </c>
      <c r="B3224" t="s">
        <v>7246</v>
      </c>
      <c r="C3224" t="s">
        <v>7247</v>
      </c>
    </row>
    <row r="3225" spans="1:3" x14ac:dyDescent="0.25">
      <c r="A3225">
        <v>3224</v>
      </c>
      <c r="B3225" t="s">
        <v>7248</v>
      </c>
      <c r="C3225" t="s">
        <v>7249</v>
      </c>
    </row>
    <row r="3226" spans="1:3" x14ac:dyDescent="0.25">
      <c r="A3226">
        <v>3225</v>
      </c>
      <c r="B3226" t="s">
        <v>7250</v>
      </c>
      <c r="C3226" t="s">
        <v>7251</v>
      </c>
    </row>
    <row r="3227" spans="1:3" x14ac:dyDescent="0.25">
      <c r="A3227">
        <v>3226</v>
      </c>
      <c r="B3227" t="s">
        <v>7252</v>
      </c>
      <c r="C3227" t="s">
        <v>7253</v>
      </c>
    </row>
    <row r="3228" spans="1:3" x14ac:dyDescent="0.25">
      <c r="A3228">
        <v>3227</v>
      </c>
      <c r="B3228" t="s">
        <v>900</v>
      </c>
      <c r="C3228" t="s">
        <v>7254</v>
      </c>
    </row>
    <row r="3229" spans="1:3" x14ac:dyDescent="0.25">
      <c r="A3229">
        <v>3228</v>
      </c>
      <c r="B3229" t="s">
        <v>7255</v>
      </c>
      <c r="C3229" t="s">
        <v>7256</v>
      </c>
    </row>
    <row r="3230" spans="1:3" x14ac:dyDescent="0.25">
      <c r="A3230">
        <v>3229</v>
      </c>
      <c r="B3230" t="s">
        <v>7257</v>
      </c>
      <c r="C3230" t="s">
        <v>7258</v>
      </c>
    </row>
    <row r="3231" spans="1:3" x14ac:dyDescent="0.25">
      <c r="A3231">
        <v>3230</v>
      </c>
      <c r="B3231" t="s">
        <v>7259</v>
      </c>
      <c r="C3231" t="s">
        <v>7260</v>
      </c>
    </row>
    <row r="3232" spans="1:3" x14ac:dyDescent="0.25">
      <c r="A3232">
        <v>3231</v>
      </c>
      <c r="B3232" t="s">
        <v>7261</v>
      </c>
      <c r="C3232" t="s">
        <v>7262</v>
      </c>
    </row>
    <row r="3233" spans="1:3" x14ac:dyDescent="0.25">
      <c r="A3233">
        <v>3232</v>
      </c>
      <c r="B3233" t="s">
        <v>7263</v>
      </c>
      <c r="C3233" t="s">
        <v>7264</v>
      </c>
    </row>
    <row r="3234" spans="1:3" x14ac:dyDescent="0.25">
      <c r="A3234">
        <v>3233</v>
      </c>
      <c r="B3234" t="s">
        <v>7265</v>
      </c>
      <c r="C3234" t="s">
        <v>7266</v>
      </c>
    </row>
    <row r="3235" spans="1:3" x14ac:dyDescent="0.25">
      <c r="A3235">
        <v>3234</v>
      </c>
      <c r="B3235" t="s">
        <v>465</v>
      </c>
      <c r="C3235" t="s">
        <v>7267</v>
      </c>
    </row>
    <row r="3236" spans="1:3" x14ac:dyDescent="0.25">
      <c r="A3236">
        <v>3235</v>
      </c>
      <c r="B3236" t="s">
        <v>467</v>
      </c>
      <c r="C3236" t="s">
        <v>7268</v>
      </c>
    </row>
    <row r="3237" spans="1:3" x14ac:dyDescent="0.25">
      <c r="A3237">
        <v>3236</v>
      </c>
      <c r="B3237" t="s">
        <v>7269</v>
      </c>
      <c r="C3237" t="s">
        <v>7270</v>
      </c>
    </row>
    <row r="3238" spans="1:3" x14ac:dyDescent="0.25">
      <c r="A3238">
        <v>3237</v>
      </c>
      <c r="B3238" t="s">
        <v>7271</v>
      </c>
      <c r="C3238" t="s">
        <v>7272</v>
      </c>
    </row>
    <row r="3239" spans="1:3" x14ac:dyDescent="0.25">
      <c r="A3239">
        <v>3238</v>
      </c>
      <c r="B3239" t="s">
        <v>7273</v>
      </c>
      <c r="C3239" t="s">
        <v>7274</v>
      </c>
    </row>
    <row r="3240" spans="1:3" x14ac:dyDescent="0.25">
      <c r="A3240">
        <v>3239</v>
      </c>
      <c r="B3240" t="s">
        <v>872</v>
      </c>
      <c r="C3240" t="s">
        <v>7275</v>
      </c>
    </row>
    <row r="3241" spans="1:3" x14ac:dyDescent="0.25">
      <c r="A3241">
        <v>3240</v>
      </c>
      <c r="B3241" t="s">
        <v>7276</v>
      </c>
      <c r="C3241" t="s">
        <v>7277</v>
      </c>
    </row>
    <row r="3242" spans="1:3" x14ac:dyDescent="0.25">
      <c r="A3242">
        <v>3241</v>
      </c>
      <c r="B3242" t="s">
        <v>7278</v>
      </c>
      <c r="C3242" t="s">
        <v>7279</v>
      </c>
    </row>
    <row r="3243" spans="1:3" x14ac:dyDescent="0.25">
      <c r="A3243">
        <v>3242</v>
      </c>
      <c r="B3243" t="s">
        <v>432</v>
      </c>
      <c r="C3243" t="s">
        <v>7280</v>
      </c>
    </row>
    <row r="3244" spans="1:3" x14ac:dyDescent="0.25">
      <c r="A3244">
        <v>3243</v>
      </c>
      <c r="B3244" t="s">
        <v>7281</v>
      </c>
      <c r="C3244" t="s">
        <v>7282</v>
      </c>
    </row>
    <row r="3245" spans="1:3" x14ac:dyDescent="0.25">
      <c r="A3245">
        <v>3244</v>
      </c>
      <c r="B3245" t="s">
        <v>7283</v>
      </c>
      <c r="C3245" t="s">
        <v>7284</v>
      </c>
    </row>
    <row r="3246" spans="1:3" x14ac:dyDescent="0.25">
      <c r="A3246">
        <v>3245</v>
      </c>
      <c r="B3246" t="s">
        <v>7285</v>
      </c>
      <c r="C3246" t="s">
        <v>7286</v>
      </c>
    </row>
    <row r="3247" spans="1:3" x14ac:dyDescent="0.25">
      <c r="A3247">
        <v>3246</v>
      </c>
      <c r="B3247" t="s">
        <v>7287</v>
      </c>
      <c r="C3247" t="s">
        <v>7288</v>
      </c>
    </row>
    <row r="3248" spans="1:3" x14ac:dyDescent="0.25">
      <c r="A3248">
        <v>3247</v>
      </c>
      <c r="B3248" t="s">
        <v>7289</v>
      </c>
      <c r="C3248" t="s">
        <v>7290</v>
      </c>
    </row>
    <row r="3249" spans="1:3" x14ac:dyDescent="0.25">
      <c r="A3249">
        <v>3248</v>
      </c>
      <c r="B3249" t="s">
        <v>2153</v>
      </c>
      <c r="C3249" t="s">
        <v>7291</v>
      </c>
    </row>
    <row r="3250" spans="1:3" x14ac:dyDescent="0.25">
      <c r="A3250">
        <v>3249</v>
      </c>
      <c r="B3250" t="s">
        <v>7292</v>
      </c>
      <c r="C3250" t="s">
        <v>7293</v>
      </c>
    </row>
    <row r="3251" spans="1:3" x14ac:dyDescent="0.25">
      <c r="A3251">
        <v>3250</v>
      </c>
      <c r="B3251" t="s">
        <v>7294</v>
      </c>
      <c r="C3251" t="s">
        <v>7295</v>
      </c>
    </row>
    <row r="3252" spans="1:3" x14ac:dyDescent="0.25">
      <c r="A3252">
        <v>3251</v>
      </c>
      <c r="B3252" t="s">
        <v>7296</v>
      </c>
      <c r="C3252" t="s">
        <v>7297</v>
      </c>
    </row>
    <row r="3253" spans="1:3" x14ac:dyDescent="0.25">
      <c r="A3253">
        <v>3252</v>
      </c>
      <c r="B3253" t="s">
        <v>7298</v>
      </c>
      <c r="C3253" t="s">
        <v>7299</v>
      </c>
    </row>
    <row r="3254" spans="1:3" x14ac:dyDescent="0.25">
      <c r="A3254">
        <v>3253</v>
      </c>
      <c r="B3254" t="s">
        <v>7300</v>
      </c>
      <c r="C3254" t="s">
        <v>7301</v>
      </c>
    </row>
    <row r="3255" spans="1:3" x14ac:dyDescent="0.25">
      <c r="A3255">
        <v>3254</v>
      </c>
      <c r="B3255" t="s">
        <v>7302</v>
      </c>
      <c r="C3255" t="s">
        <v>7303</v>
      </c>
    </row>
    <row r="3256" spans="1:3" x14ac:dyDescent="0.25">
      <c r="A3256">
        <v>3255</v>
      </c>
      <c r="B3256" t="s">
        <v>7304</v>
      </c>
      <c r="C3256" t="s">
        <v>7305</v>
      </c>
    </row>
    <row r="3257" spans="1:3" x14ac:dyDescent="0.25">
      <c r="A3257">
        <v>3256</v>
      </c>
      <c r="B3257" t="s">
        <v>7306</v>
      </c>
      <c r="C3257" t="s">
        <v>7307</v>
      </c>
    </row>
    <row r="3258" spans="1:3" x14ac:dyDescent="0.25">
      <c r="A3258">
        <v>3257</v>
      </c>
      <c r="B3258" t="s">
        <v>7308</v>
      </c>
      <c r="C3258" t="s">
        <v>7309</v>
      </c>
    </row>
    <row r="3259" spans="1:3" x14ac:dyDescent="0.25">
      <c r="A3259">
        <v>3258</v>
      </c>
      <c r="B3259" t="s">
        <v>7310</v>
      </c>
      <c r="C3259" t="s">
        <v>7311</v>
      </c>
    </row>
    <row r="3260" spans="1:3" x14ac:dyDescent="0.25">
      <c r="A3260">
        <v>3259</v>
      </c>
      <c r="B3260" t="s">
        <v>7312</v>
      </c>
      <c r="C3260" t="s">
        <v>7313</v>
      </c>
    </row>
    <row r="3261" spans="1:3" x14ac:dyDescent="0.25">
      <c r="A3261">
        <v>3260</v>
      </c>
      <c r="B3261" t="s">
        <v>7314</v>
      </c>
      <c r="C3261" t="s">
        <v>7315</v>
      </c>
    </row>
    <row r="3262" spans="1:3" x14ac:dyDescent="0.25">
      <c r="A3262">
        <v>3261</v>
      </c>
      <c r="B3262" t="s">
        <v>7316</v>
      </c>
      <c r="C3262" t="s">
        <v>7317</v>
      </c>
    </row>
    <row r="3263" spans="1:3" x14ac:dyDescent="0.25">
      <c r="A3263">
        <v>3262</v>
      </c>
      <c r="B3263" t="s">
        <v>7318</v>
      </c>
      <c r="C3263" t="s">
        <v>7319</v>
      </c>
    </row>
    <row r="3264" spans="1:3" x14ac:dyDescent="0.25">
      <c r="A3264">
        <v>3263</v>
      </c>
      <c r="B3264" t="s">
        <v>7320</v>
      </c>
      <c r="C3264" t="s">
        <v>7321</v>
      </c>
    </row>
    <row r="3265" spans="1:3" x14ac:dyDescent="0.25">
      <c r="A3265">
        <v>3264</v>
      </c>
      <c r="B3265" t="s">
        <v>7322</v>
      </c>
      <c r="C3265" t="s">
        <v>7323</v>
      </c>
    </row>
    <row r="3266" spans="1:3" x14ac:dyDescent="0.25">
      <c r="A3266">
        <v>3265</v>
      </c>
      <c r="B3266" t="s">
        <v>7324</v>
      </c>
      <c r="C3266" t="s">
        <v>7325</v>
      </c>
    </row>
    <row r="3267" spans="1:3" x14ac:dyDescent="0.25">
      <c r="A3267">
        <v>3266</v>
      </c>
      <c r="B3267" t="s">
        <v>7326</v>
      </c>
      <c r="C3267" t="s">
        <v>7327</v>
      </c>
    </row>
    <row r="3268" spans="1:3" x14ac:dyDescent="0.25">
      <c r="A3268">
        <v>3267</v>
      </c>
      <c r="B3268" t="s">
        <v>7328</v>
      </c>
      <c r="C3268" t="s">
        <v>7329</v>
      </c>
    </row>
    <row r="3269" spans="1:3" x14ac:dyDescent="0.25">
      <c r="A3269">
        <v>3268</v>
      </c>
      <c r="B3269" t="s">
        <v>143</v>
      </c>
      <c r="C3269" t="s">
        <v>7330</v>
      </c>
    </row>
    <row r="3270" spans="1:3" x14ac:dyDescent="0.25">
      <c r="A3270">
        <v>3269</v>
      </c>
      <c r="B3270" t="s">
        <v>7331</v>
      </c>
      <c r="C3270" t="s">
        <v>7332</v>
      </c>
    </row>
    <row r="3271" spans="1:3" x14ac:dyDescent="0.25">
      <c r="A3271">
        <v>3270</v>
      </c>
      <c r="B3271" t="s">
        <v>7333</v>
      </c>
      <c r="C3271" t="s">
        <v>7334</v>
      </c>
    </row>
    <row r="3272" spans="1:3" x14ac:dyDescent="0.25">
      <c r="A3272">
        <v>3271</v>
      </c>
      <c r="B3272" t="s">
        <v>7335</v>
      </c>
      <c r="C3272" t="s">
        <v>7336</v>
      </c>
    </row>
    <row r="3273" spans="1:3" x14ac:dyDescent="0.25">
      <c r="A3273">
        <v>3272</v>
      </c>
      <c r="B3273" t="s">
        <v>310</v>
      </c>
      <c r="C3273" t="s">
        <v>7337</v>
      </c>
    </row>
    <row r="3274" spans="1:3" x14ac:dyDescent="0.25">
      <c r="A3274">
        <v>3273</v>
      </c>
      <c r="B3274" t="s">
        <v>313</v>
      </c>
      <c r="C3274" t="s">
        <v>7338</v>
      </c>
    </row>
    <row r="3275" spans="1:3" x14ac:dyDescent="0.25">
      <c r="A3275">
        <v>3274</v>
      </c>
      <c r="B3275" t="s">
        <v>383</v>
      </c>
      <c r="C3275" t="s">
        <v>7339</v>
      </c>
    </row>
    <row r="3276" spans="1:3" x14ac:dyDescent="0.25">
      <c r="A3276">
        <v>3275</v>
      </c>
      <c r="B3276" t="s">
        <v>385</v>
      </c>
      <c r="C3276" t="s">
        <v>7340</v>
      </c>
    </row>
    <row r="3277" spans="1:3" x14ac:dyDescent="0.25">
      <c r="A3277">
        <v>3276</v>
      </c>
      <c r="B3277" t="s">
        <v>7341</v>
      </c>
      <c r="C3277" t="s">
        <v>7342</v>
      </c>
    </row>
    <row r="3278" spans="1:3" x14ac:dyDescent="0.25">
      <c r="A3278">
        <v>3277</v>
      </c>
      <c r="B3278" t="s">
        <v>7343</v>
      </c>
      <c r="C3278" t="s">
        <v>7344</v>
      </c>
    </row>
    <row r="3279" spans="1:3" x14ac:dyDescent="0.25">
      <c r="A3279">
        <v>3278</v>
      </c>
      <c r="B3279" t="s">
        <v>738</v>
      </c>
      <c r="C3279" t="s">
        <v>7345</v>
      </c>
    </row>
    <row r="3280" spans="1:3" x14ac:dyDescent="0.25">
      <c r="A3280">
        <v>3279</v>
      </c>
      <c r="B3280" t="s">
        <v>7346</v>
      </c>
      <c r="C3280" t="s">
        <v>7347</v>
      </c>
    </row>
    <row r="3281" spans="1:3" x14ac:dyDescent="0.25">
      <c r="A3281">
        <v>3280</v>
      </c>
      <c r="B3281" t="s">
        <v>793</v>
      </c>
      <c r="C3281" t="s">
        <v>7348</v>
      </c>
    </row>
    <row r="3282" spans="1:3" x14ac:dyDescent="0.25">
      <c r="A3282">
        <v>3281</v>
      </c>
      <c r="B3282" t="s">
        <v>2182</v>
      </c>
      <c r="C3282" t="s">
        <v>7349</v>
      </c>
    </row>
    <row r="3283" spans="1:3" x14ac:dyDescent="0.25">
      <c r="A3283">
        <v>3282</v>
      </c>
      <c r="B3283" t="s">
        <v>2171</v>
      </c>
      <c r="C3283" t="s">
        <v>7350</v>
      </c>
    </row>
    <row r="3284" spans="1:3" x14ac:dyDescent="0.25">
      <c r="A3284">
        <v>3283</v>
      </c>
      <c r="B3284" t="s">
        <v>7351</v>
      </c>
      <c r="C3284" t="s">
        <v>7352</v>
      </c>
    </row>
    <row r="3285" spans="1:3" x14ac:dyDescent="0.25">
      <c r="A3285">
        <v>3284</v>
      </c>
      <c r="B3285" t="s">
        <v>34</v>
      </c>
      <c r="C3285" t="s">
        <v>7353</v>
      </c>
    </row>
    <row r="3286" spans="1:3" x14ac:dyDescent="0.25">
      <c r="A3286">
        <v>3285</v>
      </c>
      <c r="B3286" t="s">
        <v>7354</v>
      </c>
      <c r="C3286" t="s">
        <v>7355</v>
      </c>
    </row>
    <row r="3287" spans="1:3" x14ac:dyDescent="0.25">
      <c r="A3287">
        <v>3286</v>
      </c>
      <c r="B3287" t="s">
        <v>405</v>
      </c>
      <c r="C3287" t="s">
        <v>7356</v>
      </c>
    </row>
    <row r="3288" spans="1:3" x14ac:dyDescent="0.25">
      <c r="A3288">
        <v>3287</v>
      </c>
      <c r="B3288" t="s">
        <v>2113</v>
      </c>
      <c r="C3288" t="s">
        <v>7357</v>
      </c>
    </row>
    <row r="3289" spans="1:3" x14ac:dyDescent="0.25">
      <c r="A3289">
        <v>3288</v>
      </c>
      <c r="B3289" t="s">
        <v>1684</v>
      </c>
      <c r="C3289" t="s">
        <v>7358</v>
      </c>
    </row>
    <row r="3290" spans="1:3" x14ac:dyDescent="0.25">
      <c r="A3290">
        <v>3289</v>
      </c>
      <c r="B3290" t="s">
        <v>724</v>
      </c>
      <c r="C3290" t="s">
        <v>7359</v>
      </c>
    </row>
    <row r="3291" spans="1:3" x14ac:dyDescent="0.25">
      <c r="A3291">
        <v>3290</v>
      </c>
      <c r="B3291" t="s">
        <v>1690</v>
      </c>
      <c r="C3291" t="s">
        <v>7360</v>
      </c>
    </row>
    <row r="3292" spans="1:3" x14ac:dyDescent="0.25">
      <c r="A3292">
        <v>3291</v>
      </c>
      <c r="B3292" t="s">
        <v>7361</v>
      </c>
      <c r="C3292" t="s">
        <v>7362</v>
      </c>
    </row>
    <row r="3293" spans="1:3" x14ac:dyDescent="0.25">
      <c r="A3293">
        <v>3292</v>
      </c>
      <c r="B3293" t="s">
        <v>7363</v>
      </c>
      <c r="C3293" t="s">
        <v>7364</v>
      </c>
    </row>
    <row r="3294" spans="1:3" x14ac:dyDescent="0.25">
      <c r="A3294">
        <v>3293</v>
      </c>
      <c r="B3294" t="s">
        <v>7365</v>
      </c>
      <c r="C3294" t="s">
        <v>7366</v>
      </c>
    </row>
    <row r="3295" spans="1:3" x14ac:dyDescent="0.25">
      <c r="A3295">
        <v>3294</v>
      </c>
      <c r="B3295" t="s">
        <v>7367</v>
      </c>
      <c r="C3295" t="s">
        <v>7368</v>
      </c>
    </row>
    <row r="3296" spans="1:3" x14ac:dyDescent="0.25">
      <c r="A3296">
        <v>3295</v>
      </c>
      <c r="B3296" t="s">
        <v>7369</v>
      </c>
      <c r="C3296" t="s">
        <v>7370</v>
      </c>
    </row>
    <row r="3297" spans="1:3" x14ac:dyDescent="0.25">
      <c r="A3297">
        <v>3296</v>
      </c>
      <c r="B3297" t="s">
        <v>7371</v>
      </c>
      <c r="C3297" t="s">
        <v>7372</v>
      </c>
    </row>
    <row r="3298" spans="1:3" x14ac:dyDescent="0.25">
      <c r="A3298">
        <v>3297</v>
      </c>
      <c r="B3298" t="s">
        <v>7373</v>
      </c>
      <c r="C3298" t="s">
        <v>7374</v>
      </c>
    </row>
    <row r="3299" spans="1:3" x14ac:dyDescent="0.25">
      <c r="A3299">
        <v>3298</v>
      </c>
      <c r="B3299" t="s">
        <v>7375</v>
      </c>
      <c r="C3299" t="s">
        <v>7376</v>
      </c>
    </row>
    <row r="3300" spans="1:3" x14ac:dyDescent="0.25">
      <c r="A3300">
        <v>3299</v>
      </c>
      <c r="B3300" t="s">
        <v>7377</v>
      </c>
      <c r="C3300" t="s">
        <v>7378</v>
      </c>
    </row>
    <row r="3301" spans="1:3" x14ac:dyDescent="0.25">
      <c r="A3301">
        <v>3300</v>
      </c>
      <c r="B3301" t="s">
        <v>7379</v>
      </c>
      <c r="C3301" t="s">
        <v>7380</v>
      </c>
    </row>
    <row r="3302" spans="1:3" x14ac:dyDescent="0.25">
      <c r="A3302">
        <v>3301</v>
      </c>
      <c r="B3302" t="s">
        <v>662</v>
      </c>
      <c r="C3302" t="s">
        <v>7381</v>
      </c>
    </row>
    <row r="3303" spans="1:3" x14ac:dyDescent="0.25">
      <c r="A3303">
        <v>3302</v>
      </c>
      <c r="B3303" t="s">
        <v>682</v>
      </c>
      <c r="C3303" t="s">
        <v>7382</v>
      </c>
    </row>
    <row r="3304" spans="1:3" x14ac:dyDescent="0.25">
      <c r="A3304">
        <v>3303</v>
      </c>
      <c r="B3304" t="s">
        <v>700</v>
      </c>
      <c r="C3304" t="s">
        <v>7383</v>
      </c>
    </row>
    <row r="3305" spans="1:3" x14ac:dyDescent="0.25">
      <c r="A3305">
        <v>3304</v>
      </c>
      <c r="B3305" t="s">
        <v>357</v>
      </c>
      <c r="C3305" t="s">
        <v>7384</v>
      </c>
    </row>
    <row r="3306" spans="1:3" x14ac:dyDescent="0.25">
      <c r="A3306">
        <v>3305</v>
      </c>
      <c r="B3306" t="s">
        <v>393</v>
      </c>
      <c r="C3306" t="s">
        <v>7385</v>
      </c>
    </row>
    <row r="3307" spans="1:3" x14ac:dyDescent="0.25">
      <c r="A3307">
        <v>3306</v>
      </c>
      <c r="B3307" t="s">
        <v>395</v>
      </c>
      <c r="C3307" t="s">
        <v>7386</v>
      </c>
    </row>
    <row r="3308" spans="1:3" x14ac:dyDescent="0.25">
      <c r="A3308">
        <v>3307</v>
      </c>
      <c r="B3308" t="s">
        <v>397</v>
      </c>
      <c r="C3308" t="s">
        <v>7387</v>
      </c>
    </row>
    <row r="3309" spans="1:3" x14ac:dyDescent="0.25">
      <c r="A3309">
        <v>3308</v>
      </c>
      <c r="B3309" t="s">
        <v>399</v>
      </c>
      <c r="C3309" t="s">
        <v>7388</v>
      </c>
    </row>
    <row r="3310" spans="1:3" x14ac:dyDescent="0.25">
      <c r="A3310">
        <v>3309</v>
      </c>
      <c r="B3310" t="s">
        <v>401</v>
      </c>
      <c r="C3310" t="s">
        <v>7389</v>
      </c>
    </row>
    <row r="3311" spans="1:3" x14ac:dyDescent="0.25">
      <c r="A3311">
        <v>3310</v>
      </c>
      <c r="B3311" t="s">
        <v>409</v>
      </c>
      <c r="C3311" t="s">
        <v>7390</v>
      </c>
    </row>
    <row r="3312" spans="1:3" x14ac:dyDescent="0.25">
      <c r="A3312">
        <v>3311</v>
      </c>
      <c r="B3312" t="s">
        <v>411</v>
      </c>
      <c r="C3312" t="s">
        <v>7391</v>
      </c>
    </row>
    <row r="3313" spans="1:3" x14ac:dyDescent="0.25">
      <c r="A3313">
        <v>3312</v>
      </c>
      <c r="B3313" t="s">
        <v>413</v>
      </c>
      <c r="C3313" t="s">
        <v>7392</v>
      </c>
    </row>
    <row r="3314" spans="1:3" x14ac:dyDescent="0.25">
      <c r="A3314">
        <v>3313</v>
      </c>
      <c r="B3314" t="s">
        <v>2000</v>
      </c>
      <c r="C3314" t="s">
        <v>7393</v>
      </c>
    </row>
    <row r="3315" spans="1:3" x14ac:dyDescent="0.25">
      <c r="A3315">
        <v>3314</v>
      </c>
      <c r="B3315" t="s">
        <v>7394</v>
      </c>
      <c r="C3315" t="s">
        <v>7395</v>
      </c>
    </row>
    <row r="3316" spans="1:3" x14ac:dyDescent="0.25">
      <c r="A3316">
        <v>3315</v>
      </c>
      <c r="B3316" t="s">
        <v>415</v>
      </c>
      <c r="C3316" t="s">
        <v>7396</v>
      </c>
    </row>
    <row r="3317" spans="1:3" x14ac:dyDescent="0.25">
      <c r="A3317">
        <v>3316</v>
      </c>
      <c r="B3317" t="s">
        <v>417</v>
      </c>
      <c r="C3317" t="s">
        <v>7397</v>
      </c>
    </row>
    <row r="3318" spans="1:3" x14ac:dyDescent="0.25">
      <c r="A3318">
        <v>3317</v>
      </c>
      <c r="B3318" t="s">
        <v>421</v>
      </c>
      <c r="C3318" t="s">
        <v>7398</v>
      </c>
    </row>
    <row r="3319" spans="1:3" x14ac:dyDescent="0.25">
      <c r="A3319">
        <v>3318</v>
      </c>
      <c r="B3319" t="s">
        <v>423</v>
      </c>
      <c r="C3319" t="s">
        <v>7399</v>
      </c>
    </row>
    <row r="3320" spans="1:3" x14ac:dyDescent="0.25">
      <c r="A3320">
        <v>3319</v>
      </c>
      <c r="B3320" t="s">
        <v>407</v>
      </c>
      <c r="C3320" t="s">
        <v>7400</v>
      </c>
    </row>
    <row r="3321" spans="1:3" x14ac:dyDescent="0.25">
      <c r="A3321">
        <v>3320</v>
      </c>
      <c r="B3321" t="s">
        <v>7401</v>
      </c>
      <c r="C3321" t="s">
        <v>7402</v>
      </c>
    </row>
    <row r="3322" spans="1:3" x14ac:dyDescent="0.25">
      <c r="A3322">
        <v>3321</v>
      </c>
      <c r="B3322" t="s">
        <v>681</v>
      </c>
      <c r="C3322" t="s">
        <v>7403</v>
      </c>
    </row>
    <row r="3323" spans="1:3" x14ac:dyDescent="0.25">
      <c r="A3323">
        <v>3322</v>
      </c>
      <c r="B3323" t="s">
        <v>1044</v>
      </c>
      <c r="C3323" t="s">
        <v>7404</v>
      </c>
    </row>
    <row r="3324" spans="1:3" x14ac:dyDescent="0.25">
      <c r="A3324">
        <v>3323</v>
      </c>
      <c r="B3324" t="s">
        <v>2186</v>
      </c>
      <c r="C3324" t="s">
        <v>7405</v>
      </c>
    </row>
    <row r="3325" spans="1:3" x14ac:dyDescent="0.25">
      <c r="A3325">
        <v>3324</v>
      </c>
      <c r="B3325" t="s">
        <v>87</v>
      </c>
      <c r="C3325" t="s">
        <v>7406</v>
      </c>
    </row>
    <row r="3326" spans="1:3" x14ac:dyDescent="0.25">
      <c r="A3326">
        <v>3325</v>
      </c>
      <c r="B3326" t="s">
        <v>389</v>
      </c>
      <c r="C3326" t="s">
        <v>7407</v>
      </c>
    </row>
    <row r="3327" spans="1:3" x14ac:dyDescent="0.25">
      <c r="A3327">
        <v>3326</v>
      </c>
      <c r="B3327" t="s">
        <v>391</v>
      </c>
      <c r="C3327" t="s">
        <v>7408</v>
      </c>
    </row>
    <row r="3328" spans="1:3" x14ac:dyDescent="0.25">
      <c r="A3328">
        <v>3327</v>
      </c>
      <c r="B3328" t="s">
        <v>403</v>
      </c>
      <c r="C3328" t="s">
        <v>7409</v>
      </c>
    </row>
    <row r="3329" spans="1:3" x14ac:dyDescent="0.25">
      <c r="A3329">
        <v>3328</v>
      </c>
      <c r="B3329" t="s">
        <v>419</v>
      </c>
      <c r="C3329" t="s">
        <v>7410</v>
      </c>
    </row>
    <row r="3330" spans="1:3" x14ac:dyDescent="0.25">
      <c r="A3330">
        <v>3329</v>
      </c>
      <c r="B3330" t="s">
        <v>689</v>
      </c>
      <c r="C3330" t="s">
        <v>7411</v>
      </c>
    </row>
    <row r="3331" spans="1:3" x14ac:dyDescent="0.25">
      <c r="A3331">
        <v>3330</v>
      </c>
      <c r="B3331" t="s">
        <v>526</v>
      </c>
      <c r="C3331" t="s">
        <v>7412</v>
      </c>
    </row>
    <row r="3332" spans="1:3" x14ac:dyDescent="0.25">
      <c r="A3332">
        <v>3331</v>
      </c>
      <c r="B3332" t="s">
        <v>425</v>
      </c>
      <c r="C3332" t="s">
        <v>7413</v>
      </c>
    </row>
    <row r="3333" spans="1:3" x14ac:dyDescent="0.25">
      <c r="A3333">
        <v>3332</v>
      </c>
      <c r="B3333" t="s">
        <v>427</v>
      </c>
      <c r="C3333" t="s">
        <v>7414</v>
      </c>
    </row>
    <row r="3334" spans="1:3" x14ac:dyDescent="0.25">
      <c r="A3334">
        <v>3333</v>
      </c>
      <c r="B3334" t="s">
        <v>429</v>
      </c>
      <c r="C3334" t="s">
        <v>7415</v>
      </c>
    </row>
    <row r="3335" spans="1:3" x14ac:dyDescent="0.25">
      <c r="A3335">
        <v>3334</v>
      </c>
      <c r="B3335" t="s">
        <v>431</v>
      </c>
      <c r="C3335" t="s">
        <v>7416</v>
      </c>
    </row>
    <row r="3336" spans="1:3" x14ac:dyDescent="0.25">
      <c r="A3336">
        <v>3335</v>
      </c>
      <c r="B3336" t="s">
        <v>433</v>
      </c>
      <c r="C3336" t="s">
        <v>7417</v>
      </c>
    </row>
    <row r="3337" spans="1:3" x14ac:dyDescent="0.25">
      <c r="A3337">
        <v>3336</v>
      </c>
      <c r="B3337" t="s">
        <v>435</v>
      </c>
      <c r="C3337" t="s">
        <v>7418</v>
      </c>
    </row>
    <row r="3338" spans="1:3" x14ac:dyDescent="0.25">
      <c r="A3338">
        <v>3337</v>
      </c>
      <c r="B3338" t="s">
        <v>437</v>
      </c>
      <c r="C3338" t="s">
        <v>7419</v>
      </c>
    </row>
    <row r="3339" spans="1:3" x14ac:dyDescent="0.25">
      <c r="A3339">
        <v>3338</v>
      </c>
      <c r="B3339" t="s">
        <v>439</v>
      </c>
      <c r="C3339" t="s">
        <v>7420</v>
      </c>
    </row>
    <row r="3340" spans="1:3" x14ac:dyDescent="0.25">
      <c r="A3340">
        <v>3339</v>
      </c>
      <c r="B3340" t="s">
        <v>7421</v>
      </c>
      <c r="C3340" t="s">
        <v>7422</v>
      </c>
    </row>
    <row r="3341" spans="1:3" x14ac:dyDescent="0.25">
      <c r="A3341">
        <v>3340</v>
      </c>
      <c r="B3341" t="s">
        <v>272</v>
      </c>
      <c r="C3341" t="s">
        <v>7423</v>
      </c>
    </row>
    <row r="3342" spans="1:3" x14ac:dyDescent="0.25">
      <c r="A3342">
        <v>3341</v>
      </c>
      <c r="B3342" t="s">
        <v>7424</v>
      </c>
      <c r="C3342" t="s">
        <v>7425</v>
      </c>
    </row>
    <row r="3343" spans="1:3" x14ac:dyDescent="0.25">
      <c r="A3343">
        <v>3342</v>
      </c>
      <c r="B3343" t="s">
        <v>2277</v>
      </c>
      <c r="C3343" t="s">
        <v>7426</v>
      </c>
    </row>
    <row r="3344" spans="1:3" x14ac:dyDescent="0.25">
      <c r="A3344">
        <v>3343</v>
      </c>
      <c r="B3344" t="s">
        <v>877</v>
      </c>
      <c r="C3344" t="s">
        <v>7427</v>
      </c>
    </row>
    <row r="3345" spans="1:3" x14ac:dyDescent="0.25">
      <c r="A3345">
        <v>3344</v>
      </c>
      <c r="B3345" t="s">
        <v>7428</v>
      </c>
      <c r="C3345" t="s">
        <v>7429</v>
      </c>
    </row>
    <row r="3346" spans="1:3" x14ac:dyDescent="0.25">
      <c r="A3346">
        <v>3345</v>
      </c>
      <c r="B3346" t="s">
        <v>373</v>
      </c>
      <c r="C3346" t="s">
        <v>7430</v>
      </c>
    </row>
    <row r="3347" spans="1:3" x14ac:dyDescent="0.25">
      <c r="A3347">
        <v>3346</v>
      </c>
      <c r="B3347" t="s">
        <v>7431</v>
      </c>
      <c r="C3347" t="s">
        <v>7432</v>
      </c>
    </row>
    <row r="3348" spans="1:3" x14ac:dyDescent="0.25">
      <c r="A3348">
        <v>3347</v>
      </c>
      <c r="B3348" t="s">
        <v>2284</v>
      </c>
      <c r="C3348" t="s">
        <v>7433</v>
      </c>
    </row>
    <row r="3349" spans="1:3" x14ac:dyDescent="0.25">
      <c r="A3349">
        <v>3348</v>
      </c>
      <c r="B3349" t="s">
        <v>300</v>
      </c>
      <c r="C3349" t="s">
        <v>7434</v>
      </c>
    </row>
    <row r="3350" spans="1:3" x14ac:dyDescent="0.25">
      <c r="A3350">
        <v>3349</v>
      </c>
      <c r="B3350" t="s">
        <v>302</v>
      </c>
      <c r="C3350" t="s">
        <v>7435</v>
      </c>
    </row>
    <row r="3351" spans="1:3" x14ac:dyDescent="0.25">
      <c r="A3351">
        <v>3350</v>
      </c>
      <c r="B3351" t="s">
        <v>1999</v>
      </c>
      <c r="C3351" t="s">
        <v>7436</v>
      </c>
    </row>
    <row r="3352" spans="1:3" x14ac:dyDescent="0.25">
      <c r="A3352">
        <v>3351</v>
      </c>
      <c r="B3352" t="s">
        <v>436</v>
      </c>
      <c r="C3352" t="s">
        <v>7437</v>
      </c>
    </row>
    <row r="3353" spans="1:3" x14ac:dyDescent="0.25">
      <c r="A3353">
        <v>3352</v>
      </c>
      <c r="B3353" t="s">
        <v>268</v>
      </c>
      <c r="C3353" t="s">
        <v>7438</v>
      </c>
    </row>
    <row r="3354" spans="1:3" x14ac:dyDescent="0.25">
      <c r="A3354">
        <v>3353</v>
      </c>
      <c r="B3354" t="s">
        <v>712</v>
      </c>
      <c r="C3354" t="s">
        <v>7439</v>
      </c>
    </row>
    <row r="3355" spans="1:3" x14ac:dyDescent="0.25">
      <c r="A3355">
        <v>3354</v>
      </c>
      <c r="B3355" t="s">
        <v>270</v>
      </c>
      <c r="C3355" t="s">
        <v>7440</v>
      </c>
    </row>
    <row r="3356" spans="1:3" x14ac:dyDescent="0.25">
      <c r="A3356">
        <v>3355</v>
      </c>
      <c r="B3356" t="s">
        <v>1080</v>
      </c>
      <c r="C3356" t="s">
        <v>7441</v>
      </c>
    </row>
    <row r="3357" spans="1:3" x14ac:dyDescent="0.25">
      <c r="A3357">
        <v>3356</v>
      </c>
      <c r="B3357" t="s">
        <v>7442</v>
      </c>
      <c r="C3357" t="s">
        <v>7443</v>
      </c>
    </row>
    <row r="3358" spans="1:3" x14ac:dyDescent="0.25">
      <c r="A3358">
        <v>3357</v>
      </c>
      <c r="B3358" t="s">
        <v>461</v>
      </c>
      <c r="C3358" t="s">
        <v>7444</v>
      </c>
    </row>
    <row r="3359" spans="1:3" x14ac:dyDescent="0.25">
      <c r="A3359">
        <v>3358</v>
      </c>
      <c r="B3359" t="s">
        <v>371</v>
      </c>
      <c r="C3359" t="s">
        <v>7445</v>
      </c>
    </row>
    <row r="3360" spans="1:3" x14ac:dyDescent="0.25">
      <c r="A3360">
        <v>3359</v>
      </c>
      <c r="B3360" t="s">
        <v>578</v>
      </c>
      <c r="C3360" t="s">
        <v>7446</v>
      </c>
    </row>
    <row r="3361" spans="1:3" x14ac:dyDescent="0.25">
      <c r="A3361">
        <v>3360</v>
      </c>
      <c r="B3361" t="s">
        <v>978</v>
      </c>
      <c r="C3361" t="s">
        <v>7447</v>
      </c>
    </row>
    <row r="3362" spans="1:3" x14ac:dyDescent="0.25">
      <c r="A3362">
        <v>3361</v>
      </c>
      <c r="B3362" t="s">
        <v>668</v>
      </c>
      <c r="C3362" t="s">
        <v>7448</v>
      </c>
    </row>
    <row r="3363" spans="1:3" x14ac:dyDescent="0.25">
      <c r="A3363">
        <v>3362</v>
      </c>
      <c r="B3363" t="s">
        <v>418</v>
      </c>
      <c r="C3363" t="s">
        <v>7449</v>
      </c>
    </row>
    <row r="3364" spans="1:3" x14ac:dyDescent="0.25">
      <c r="A3364">
        <v>3363</v>
      </c>
      <c r="B3364" t="s">
        <v>7450</v>
      </c>
      <c r="C3364" t="s">
        <v>7451</v>
      </c>
    </row>
    <row r="3365" spans="1:3" x14ac:dyDescent="0.25">
      <c r="A3365">
        <v>3364</v>
      </c>
      <c r="B3365" t="s">
        <v>2301</v>
      </c>
      <c r="C3365" t="s">
        <v>7452</v>
      </c>
    </row>
    <row r="3366" spans="1:3" x14ac:dyDescent="0.25">
      <c r="A3366">
        <v>3365</v>
      </c>
      <c r="B3366" t="s">
        <v>976</v>
      </c>
      <c r="C3366" t="s">
        <v>7453</v>
      </c>
    </row>
    <row r="3367" spans="1:3" x14ac:dyDescent="0.25">
      <c r="A3367">
        <v>3366</v>
      </c>
      <c r="B3367" t="s">
        <v>2283</v>
      </c>
      <c r="C3367" t="s">
        <v>7454</v>
      </c>
    </row>
    <row r="3368" spans="1:3" x14ac:dyDescent="0.25">
      <c r="A3368">
        <v>3367</v>
      </c>
      <c r="B3368" t="s">
        <v>81</v>
      </c>
      <c r="C3368" t="s">
        <v>7455</v>
      </c>
    </row>
    <row r="3369" spans="1:3" x14ac:dyDescent="0.25">
      <c r="A3369">
        <v>3368</v>
      </c>
      <c r="B3369" t="s">
        <v>447</v>
      </c>
      <c r="C3369" t="s">
        <v>7456</v>
      </c>
    </row>
    <row r="3370" spans="1:3" x14ac:dyDescent="0.25">
      <c r="A3370">
        <v>3369</v>
      </c>
      <c r="B3370" t="s">
        <v>7457</v>
      </c>
      <c r="C3370" t="s">
        <v>7458</v>
      </c>
    </row>
    <row r="3371" spans="1:3" x14ac:dyDescent="0.25">
      <c r="A3371">
        <v>3370</v>
      </c>
      <c r="B3371" t="s">
        <v>580</v>
      </c>
      <c r="C3371" t="s">
        <v>7459</v>
      </c>
    </row>
    <row r="3372" spans="1:3" x14ac:dyDescent="0.25">
      <c r="A3372">
        <v>3371</v>
      </c>
      <c r="B3372" t="s">
        <v>288</v>
      </c>
      <c r="C3372" t="s">
        <v>7460</v>
      </c>
    </row>
    <row r="3373" spans="1:3" x14ac:dyDescent="0.25">
      <c r="A3373">
        <v>3372</v>
      </c>
      <c r="B3373" t="s">
        <v>290</v>
      </c>
      <c r="C3373" t="s">
        <v>7461</v>
      </c>
    </row>
    <row r="3374" spans="1:3" x14ac:dyDescent="0.25">
      <c r="A3374">
        <v>3373</v>
      </c>
      <c r="B3374" t="s">
        <v>1022</v>
      </c>
      <c r="C3374" t="s">
        <v>7462</v>
      </c>
    </row>
    <row r="3375" spans="1:3" x14ac:dyDescent="0.25">
      <c r="A3375">
        <v>3374</v>
      </c>
      <c r="B3375" t="s">
        <v>7463</v>
      </c>
      <c r="C3375" t="s">
        <v>7464</v>
      </c>
    </row>
    <row r="3376" spans="1:3" x14ac:dyDescent="0.25">
      <c r="A3376">
        <v>3375</v>
      </c>
      <c r="B3376" t="s">
        <v>7465</v>
      </c>
      <c r="C3376" t="s">
        <v>7466</v>
      </c>
    </row>
    <row r="3377" spans="1:3" x14ac:dyDescent="0.25">
      <c r="A3377">
        <v>3376</v>
      </c>
      <c r="B3377" t="s">
        <v>7467</v>
      </c>
      <c r="C3377" t="s">
        <v>7468</v>
      </c>
    </row>
    <row r="3378" spans="1:3" x14ac:dyDescent="0.25">
      <c r="A3378">
        <v>3377</v>
      </c>
      <c r="B3378" t="s">
        <v>7469</v>
      </c>
      <c r="C3378" t="s">
        <v>7470</v>
      </c>
    </row>
    <row r="3379" spans="1:3" x14ac:dyDescent="0.25">
      <c r="A3379">
        <v>3378</v>
      </c>
      <c r="B3379" t="s">
        <v>7471</v>
      </c>
      <c r="C3379" t="s">
        <v>7472</v>
      </c>
    </row>
    <row r="3380" spans="1:3" x14ac:dyDescent="0.25">
      <c r="A3380">
        <v>3379</v>
      </c>
      <c r="B3380" t="s">
        <v>866</v>
      </c>
      <c r="C3380" t="s">
        <v>7473</v>
      </c>
    </row>
    <row r="3381" spans="1:3" x14ac:dyDescent="0.25">
      <c r="A3381">
        <v>3380</v>
      </c>
      <c r="B3381" t="s">
        <v>7474</v>
      </c>
      <c r="C3381" t="s">
        <v>7475</v>
      </c>
    </row>
    <row r="3382" spans="1:3" x14ac:dyDescent="0.25">
      <c r="A3382">
        <v>3381</v>
      </c>
      <c r="B3382" t="s">
        <v>716</v>
      </c>
      <c r="C3382" t="s">
        <v>7476</v>
      </c>
    </row>
    <row r="3383" spans="1:3" x14ac:dyDescent="0.25">
      <c r="A3383">
        <v>3382</v>
      </c>
      <c r="B3383" t="s">
        <v>7477</v>
      </c>
      <c r="C3383" t="s">
        <v>7478</v>
      </c>
    </row>
    <row r="3384" spans="1:3" x14ac:dyDescent="0.25">
      <c r="A3384">
        <v>3383</v>
      </c>
      <c r="B3384" t="s">
        <v>7479</v>
      </c>
      <c r="C3384" t="s">
        <v>7480</v>
      </c>
    </row>
    <row r="3385" spans="1:3" x14ac:dyDescent="0.25">
      <c r="A3385">
        <v>3384</v>
      </c>
      <c r="B3385" t="s">
        <v>7481</v>
      </c>
      <c r="C3385" t="s">
        <v>7482</v>
      </c>
    </row>
    <row r="3386" spans="1:3" x14ac:dyDescent="0.25">
      <c r="A3386">
        <v>3385</v>
      </c>
      <c r="B3386" t="s">
        <v>7483</v>
      </c>
      <c r="C3386" t="s">
        <v>7484</v>
      </c>
    </row>
    <row r="3387" spans="1:3" x14ac:dyDescent="0.25">
      <c r="A3387">
        <v>3386</v>
      </c>
      <c r="B3387" t="s">
        <v>7485</v>
      </c>
      <c r="C3387" t="s">
        <v>7486</v>
      </c>
    </row>
    <row r="3388" spans="1:3" x14ac:dyDescent="0.25">
      <c r="A3388">
        <v>3387</v>
      </c>
      <c r="B3388" t="s">
        <v>481</v>
      </c>
      <c r="C3388" t="s">
        <v>7487</v>
      </c>
    </row>
    <row r="3389" spans="1:3" x14ac:dyDescent="0.25">
      <c r="A3389">
        <v>3388</v>
      </c>
      <c r="B3389" t="s">
        <v>797</v>
      </c>
      <c r="C3389" t="s">
        <v>7488</v>
      </c>
    </row>
    <row r="3390" spans="1:3" x14ac:dyDescent="0.25">
      <c r="A3390">
        <v>3389</v>
      </c>
      <c r="B3390" t="s">
        <v>306</v>
      </c>
      <c r="C3390" t="s">
        <v>7489</v>
      </c>
    </row>
    <row r="3391" spans="1:3" x14ac:dyDescent="0.25">
      <c r="A3391">
        <v>3390</v>
      </c>
      <c r="B3391" t="s">
        <v>7490</v>
      </c>
      <c r="C3391" t="s">
        <v>7491</v>
      </c>
    </row>
    <row r="3392" spans="1:3" x14ac:dyDescent="0.25">
      <c r="A3392">
        <v>3391</v>
      </c>
      <c r="B3392" t="s">
        <v>89</v>
      </c>
      <c r="C3392" t="s">
        <v>7492</v>
      </c>
    </row>
    <row r="3393" spans="1:3" x14ac:dyDescent="0.25">
      <c r="A3393">
        <v>3392</v>
      </c>
      <c r="B3393" t="s">
        <v>1441</v>
      </c>
      <c r="C3393" t="s">
        <v>7493</v>
      </c>
    </row>
    <row r="3394" spans="1:3" x14ac:dyDescent="0.25">
      <c r="A3394">
        <v>3393</v>
      </c>
      <c r="B3394" t="s">
        <v>1686</v>
      </c>
      <c r="C3394" t="s">
        <v>7494</v>
      </c>
    </row>
    <row r="3395" spans="1:3" x14ac:dyDescent="0.25">
      <c r="A3395">
        <v>3394</v>
      </c>
      <c r="B3395" t="s">
        <v>304</v>
      </c>
      <c r="C3395" t="s">
        <v>7495</v>
      </c>
    </row>
    <row r="3396" spans="1:3" x14ac:dyDescent="0.25">
      <c r="A3396">
        <v>3395</v>
      </c>
      <c r="B3396" t="s">
        <v>7496</v>
      </c>
      <c r="C3396" t="s">
        <v>7497</v>
      </c>
    </row>
    <row r="3397" spans="1:3" x14ac:dyDescent="0.25">
      <c r="A3397">
        <v>3396</v>
      </c>
      <c r="B3397" t="s">
        <v>7498</v>
      </c>
      <c r="C3397" t="s">
        <v>7499</v>
      </c>
    </row>
    <row r="3398" spans="1:3" x14ac:dyDescent="0.25">
      <c r="A3398">
        <v>3397</v>
      </c>
      <c r="B3398" t="s">
        <v>7500</v>
      </c>
      <c r="C3398" t="s">
        <v>7501</v>
      </c>
    </row>
    <row r="3399" spans="1:3" x14ac:dyDescent="0.25">
      <c r="A3399">
        <v>3398</v>
      </c>
      <c r="B3399" t="s">
        <v>7502</v>
      </c>
      <c r="C3399" t="s">
        <v>7503</v>
      </c>
    </row>
    <row r="3400" spans="1:3" x14ac:dyDescent="0.25">
      <c r="A3400">
        <v>3399</v>
      </c>
      <c r="B3400" t="s">
        <v>2322</v>
      </c>
      <c r="C3400" t="s">
        <v>7504</v>
      </c>
    </row>
    <row r="3401" spans="1:3" x14ac:dyDescent="0.25">
      <c r="A3401">
        <v>3400</v>
      </c>
      <c r="B3401" t="s">
        <v>7505</v>
      </c>
      <c r="C3401" t="s">
        <v>7506</v>
      </c>
    </row>
    <row r="3402" spans="1:3" x14ac:dyDescent="0.25">
      <c r="A3402">
        <v>3401</v>
      </c>
      <c r="B3402" t="s">
        <v>874</v>
      </c>
      <c r="C3402" t="s">
        <v>7507</v>
      </c>
    </row>
    <row r="3403" spans="1:3" x14ac:dyDescent="0.25">
      <c r="A3403">
        <v>3402</v>
      </c>
      <c r="B3403" t="s">
        <v>7508</v>
      </c>
      <c r="C3403" t="s">
        <v>7509</v>
      </c>
    </row>
    <row r="3404" spans="1:3" x14ac:dyDescent="0.25">
      <c r="A3404">
        <v>3403</v>
      </c>
      <c r="B3404" t="s">
        <v>2327</v>
      </c>
      <c r="C3404" t="s">
        <v>7510</v>
      </c>
    </row>
    <row r="3405" spans="1:3" x14ac:dyDescent="0.25">
      <c r="A3405">
        <v>3404</v>
      </c>
      <c r="B3405" t="s">
        <v>7511</v>
      </c>
      <c r="C3405" t="s">
        <v>7512</v>
      </c>
    </row>
    <row r="3406" spans="1:3" x14ac:dyDescent="0.25">
      <c r="A3406">
        <v>3405</v>
      </c>
      <c r="B3406" t="s">
        <v>278</v>
      </c>
      <c r="C3406" t="s">
        <v>7513</v>
      </c>
    </row>
    <row r="3407" spans="1:3" x14ac:dyDescent="0.25">
      <c r="A3407">
        <v>3406</v>
      </c>
      <c r="B3407" t="s">
        <v>280</v>
      </c>
      <c r="C3407" t="s">
        <v>7514</v>
      </c>
    </row>
    <row r="3408" spans="1:3" x14ac:dyDescent="0.25">
      <c r="A3408">
        <v>3407</v>
      </c>
      <c r="B3408" t="s">
        <v>430</v>
      </c>
      <c r="C3408" t="s">
        <v>7515</v>
      </c>
    </row>
    <row r="3409" spans="1:3" x14ac:dyDescent="0.25">
      <c r="A3409">
        <v>3408</v>
      </c>
      <c r="B3409" t="s">
        <v>274</v>
      </c>
      <c r="C3409" t="s">
        <v>7516</v>
      </c>
    </row>
    <row r="3410" spans="1:3" x14ac:dyDescent="0.25">
      <c r="A3410">
        <v>3409</v>
      </c>
      <c r="B3410" t="s">
        <v>276</v>
      </c>
      <c r="C3410" t="s">
        <v>7517</v>
      </c>
    </row>
    <row r="3411" spans="1:3" x14ac:dyDescent="0.25">
      <c r="A3411">
        <v>3410</v>
      </c>
      <c r="B3411" t="s">
        <v>449</v>
      </c>
      <c r="C3411" t="s">
        <v>7518</v>
      </c>
    </row>
    <row r="3412" spans="1:3" x14ac:dyDescent="0.25">
      <c r="A3412">
        <v>3411</v>
      </c>
      <c r="B3412" t="s">
        <v>298</v>
      </c>
      <c r="C3412" t="s">
        <v>7519</v>
      </c>
    </row>
    <row r="3413" spans="1:3" x14ac:dyDescent="0.25">
      <c r="A3413">
        <v>3412</v>
      </c>
      <c r="B3413" t="s">
        <v>7520</v>
      </c>
      <c r="C3413" t="s">
        <v>7521</v>
      </c>
    </row>
    <row r="3414" spans="1:3" x14ac:dyDescent="0.25">
      <c r="A3414">
        <v>3413</v>
      </c>
      <c r="B3414" t="s">
        <v>7522</v>
      </c>
      <c r="C3414" t="s">
        <v>7523</v>
      </c>
    </row>
    <row r="3415" spans="1:3" x14ac:dyDescent="0.25">
      <c r="A3415">
        <v>3414</v>
      </c>
      <c r="B3415" t="s">
        <v>2297</v>
      </c>
      <c r="C3415" t="s">
        <v>7524</v>
      </c>
    </row>
    <row r="3416" spans="1:3" x14ac:dyDescent="0.25">
      <c r="A3416">
        <v>3415</v>
      </c>
      <c r="B3416" t="s">
        <v>286</v>
      </c>
      <c r="C3416" t="s">
        <v>7525</v>
      </c>
    </row>
    <row r="3417" spans="1:3" x14ac:dyDescent="0.25">
      <c r="A3417">
        <v>3416</v>
      </c>
      <c r="B3417" t="s">
        <v>870</v>
      </c>
      <c r="C3417" t="s">
        <v>7526</v>
      </c>
    </row>
    <row r="3418" spans="1:3" x14ac:dyDescent="0.25">
      <c r="A3418">
        <v>3417</v>
      </c>
      <c r="B3418" t="s">
        <v>7527</v>
      </c>
      <c r="C3418" t="s">
        <v>7528</v>
      </c>
    </row>
    <row r="3419" spans="1:3" x14ac:dyDescent="0.25">
      <c r="A3419">
        <v>3418</v>
      </c>
      <c r="B3419" t="s">
        <v>1586</v>
      </c>
      <c r="C3419" t="s">
        <v>7529</v>
      </c>
    </row>
    <row r="3420" spans="1:3" x14ac:dyDescent="0.25">
      <c r="A3420">
        <v>3419</v>
      </c>
      <c r="B3420" t="s">
        <v>600</v>
      </c>
      <c r="C3420" t="s">
        <v>7530</v>
      </c>
    </row>
    <row r="3421" spans="1:3" x14ac:dyDescent="0.25">
      <c r="A3421">
        <v>3420</v>
      </c>
      <c r="B3421" t="s">
        <v>441</v>
      </c>
      <c r="C3421" t="s">
        <v>7531</v>
      </c>
    </row>
    <row r="3422" spans="1:3" x14ac:dyDescent="0.25">
      <c r="A3422">
        <v>3421</v>
      </c>
      <c r="B3422" t="s">
        <v>443</v>
      </c>
      <c r="C3422" t="s">
        <v>7532</v>
      </c>
    </row>
    <row r="3423" spans="1:3" x14ac:dyDescent="0.25">
      <c r="A3423">
        <v>3422</v>
      </c>
      <c r="B3423" t="s">
        <v>445</v>
      </c>
      <c r="C3423" t="s">
        <v>7533</v>
      </c>
    </row>
    <row r="3424" spans="1:3" x14ac:dyDescent="0.25">
      <c r="A3424">
        <v>3423</v>
      </c>
      <c r="B3424" t="s">
        <v>440</v>
      </c>
      <c r="C3424" t="s">
        <v>7534</v>
      </c>
    </row>
    <row r="3425" spans="1:3" x14ac:dyDescent="0.25">
      <c r="A3425">
        <v>3424</v>
      </c>
      <c r="B3425" t="s">
        <v>532</v>
      </c>
      <c r="C3425" t="s">
        <v>7535</v>
      </c>
    </row>
    <row r="3426" spans="1:3" x14ac:dyDescent="0.25">
      <c r="A3426">
        <v>3425</v>
      </c>
      <c r="B3426" t="s">
        <v>868</v>
      </c>
      <c r="C3426" t="s">
        <v>7536</v>
      </c>
    </row>
    <row r="3427" spans="1:3" x14ac:dyDescent="0.25">
      <c r="A3427">
        <v>3426</v>
      </c>
      <c r="B3427" t="s">
        <v>1186</v>
      </c>
      <c r="C3427" t="s">
        <v>7537</v>
      </c>
    </row>
    <row r="3428" spans="1:3" x14ac:dyDescent="0.25">
      <c r="A3428">
        <v>3427</v>
      </c>
      <c r="B3428" t="s">
        <v>7538</v>
      </c>
      <c r="C3428" t="s">
        <v>7539</v>
      </c>
    </row>
    <row r="3429" spans="1:3" x14ac:dyDescent="0.25">
      <c r="A3429">
        <v>3428</v>
      </c>
      <c r="B3429" t="s">
        <v>7540</v>
      </c>
      <c r="C3429" t="s">
        <v>7541</v>
      </c>
    </row>
    <row r="3430" spans="1:3" x14ac:dyDescent="0.25">
      <c r="A3430">
        <v>3429</v>
      </c>
      <c r="B3430" t="s">
        <v>7542</v>
      </c>
      <c r="C3430" t="s">
        <v>7543</v>
      </c>
    </row>
    <row r="3431" spans="1:3" x14ac:dyDescent="0.25">
      <c r="A3431">
        <v>3430</v>
      </c>
      <c r="B3431" t="s">
        <v>83</v>
      </c>
      <c r="C3431" t="s">
        <v>7544</v>
      </c>
    </row>
    <row r="3432" spans="1:3" x14ac:dyDescent="0.25">
      <c r="A3432">
        <v>3431</v>
      </c>
      <c r="B3432" t="s">
        <v>2324</v>
      </c>
      <c r="C3432" t="s">
        <v>7545</v>
      </c>
    </row>
    <row r="3433" spans="1:3" x14ac:dyDescent="0.25">
      <c r="A3433">
        <v>3432</v>
      </c>
      <c r="B3433" t="s">
        <v>2320</v>
      </c>
      <c r="C3433" t="s">
        <v>7546</v>
      </c>
    </row>
    <row r="3434" spans="1:3" x14ac:dyDescent="0.25">
      <c r="A3434">
        <v>3433</v>
      </c>
      <c r="B3434" t="s">
        <v>125</v>
      </c>
      <c r="C3434" t="s">
        <v>7547</v>
      </c>
    </row>
    <row r="3435" spans="1:3" x14ac:dyDescent="0.25">
      <c r="A3435">
        <v>3434</v>
      </c>
      <c r="B3435" t="s">
        <v>980</v>
      </c>
      <c r="C3435" t="s">
        <v>7548</v>
      </c>
    </row>
    <row r="3436" spans="1:3" x14ac:dyDescent="0.25">
      <c r="A3436">
        <v>3435</v>
      </c>
      <c r="B3436" t="s">
        <v>2138</v>
      </c>
      <c r="C3436" t="s">
        <v>7549</v>
      </c>
    </row>
    <row r="3437" spans="1:3" x14ac:dyDescent="0.25">
      <c r="A3437">
        <v>3436</v>
      </c>
      <c r="B3437" t="s">
        <v>7550</v>
      </c>
      <c r="C3437" t="s">
        <v>7551</v>
      </c>
    </row>
    <row r="3438" spans="1:3" x14ac:dyDescent="0.25">
      <c r="A3438">
        <v>3437</v>
      </c>
      <c r="B3438" t="s">
        <v>2131</v>
      </c>
      <c r="C3438" t="s">
        <v>7552</v>
      </c>
    </row>
    <row r="3439" spans="1:3" x14ac:dyDescent="0.25">
      <c r="A3439">
        <v>3438</v>
      </c>
      <c r="B3439" t="s">
        <v>7553</v>
      </c>
      <c r="C3439" t="s">
        <v>7554</v>
      </c>
    </row>
    <row r="3440" spans="1:3" x14ac:dyDescent="0.25">
      <c r="A3440">
        <v>3439</v>
      </c>
      <c r="B3440" t="s">
        <v>1024</v>
      </c>
      <c r="C3440" t="s">
        <v>7555</v>
      </c>
    </row>
    <row r="3441" spans="1:3" x14ac:dyDescent="0.25">
      <c r="A3441">
        <v>3440</v>
      </c>
      <c r="B3441" t="s">
        <v>7556</v>
      </c>
      <c r="C3441" t="s">
        <v>7557</v>
      </c>
    </row>
    <row r="3442" spans="1:3" x14ac:dyDescent="0.25">
      <c r="A3442">
        <v>3441</v>
      </c>
      <c r="B3442" t="s">
        <v>438</v>
      </c>
      <c r="C3442" t="s">
        <v>7558</v>
      </c>
    </row>
    <row r="3443" spans="1:3" x14ac:dyDescent="0.25">
      <c r="A3443">
        <v>3442</v>
      </c>
      <c r="B3443" t="s">
        <v>602</v>
      </c>
      <c r="C3443" t="s">
        <v>7559</v>
      </c>
    </row>
    <row r="3444" spans="1:3" x14ac:dyDescent="0.25">
      <c r="A3444">
        <v>3443</v>
      </c>
      <c r="B3444" t="s">
        <v>341</v>
      </c>
      <c r="C3444" t="s">
        <v>7560</v>
      </c>
    </row>
    <row r="3445" spans="1:3" x14ac:dyDescent="0.25">
      <c r="A3445">
        <v>3444</v>
      </c>
      <c r="B3445" t="s">
        <v>7561</v>
      </c>
      <c r="C3445" t="s">
        <v>7562</v>
      </c>
    </row>
    <row r="3446" spans="1:3" x14ac:dyDescent="0.25">
      <c r="A3446">
        <v>3445</v>
      </c>
      <c r="B3446" t="s">
        <v>457</v>
      </c>
      <c r="C3446" t="s">
        <v>7563</v>
      </c>
    </row>
    <row r="3447" spans="1:3" x14ac:dyDescent="0.25">
      <c r="A3447">
        <v>3446</v>
      </c>
      <c r="B3447" t="s">
        <v>459</v>
      </c>
      <c r="C3447" t="s">
        <v>7564</v>
      </c>
    </row>
    <row r="3448" spans="1:3" x14ac:dyDescent="0.25">
      <c r="A3448">
        <v>3447</v>
      </c>
      <c r="B3448" t="s">
        <v>706</v>
      </c>
      <c r="C3448" t="s">
        <v>7565</v>
      </c>
    </row>
    <row r="3449" spans="1:3" x14ac:dyDescent="0.25">
      <c r="A3449">
        <v>3448</v>
      </c>
      <c r="B3449" t="s">
        <v>351</v>
      </c>
      <c r="C3449" t="s">
        <v>7566</v>
      </c>
    </row>
    <row r="3450" spans="1:3" x14ac:dyDescent="0.25">
      <c r="A3450">
        <v>3449</v>
      </c>
      <c r="B3450" t="s">
        <v>353</v>
      </c>
      <c r="C3450" t="s">
        <v>7567</v>
      </c>
    </row>
    <row r="3451" spans="1:3" x14ac:dyDescent="0.25">
      <c r="A3451">
        <v>3450</v>
      </c>
      <c r="B3451" t="s">
        <v>355</v>
      </c>
      <c r="C3451" t="s">
        <v>7568</v>
      </c>
    </row>
    <row r="3452" spans="1:3" x14ac:dyDescent="0.25">
      <c r="A3452">
        <v>3451</v>
      </c>
      <c r="B3452" t="s">
        <v>333</v>
      </c>
      <c r="C3452" t="s">
        <v>7569</v>
      </c>
    </row>
    <row r="3453" spans="1:3" x14ac:dyDescent="0.25">
      <c r="A3453">
        <v>3452</v>
      </c>
      <c r="B3453" t="s">
        <v>335</v>
      </c>
      <c r="C3453" t="s">
        <v>7570</v>
      </c>
    </row>
    <row r="3454" spans="1:3" x14ac:dyDescent="0.25">
      <c r="A3454">
        <v>3453</v>
      </c>
      <c r="B3454" t="s">
        <v>337</v>
      </c>
      <c r="C3454" t="s">
        <v>7571</v>
      </c>
    </row>
    <row r="3455" spans="1:3" x14ac:dyDescent="0.25">
      <c r="A3455">
        <v>3454</v>
      </c>
      <c r="B3455" t="s">
        <v>339</v>
      </c>
      <c r="C3455" t="s">
        <v>7572</v>
      </c>
    </row>
    <row r="3456" spans="1:3" x14ac:dyDescent="0.25">
      <c r="A3456">
        <v>3455</v>
      </c>
      <c r="B3456" t="s">
        <v>347</v>
      </c>
      <c r="C3456" t="s">
        <v>7573</v>
      </c>
    </row>
    <row r="3457" spans="1:3" x14ac:dyDescent="0.25">
      <c r="A3457">
        <v>3456</v>
      </c>
      <c r="B3457" t="s">
        <v>349</v>
      </c>
      <c r="C3457" t="s">
        <v>7574</v>
      </c>
    </row>
    <row r="3458" spans="1:3" x14ac:dyDescent="0.25">
      <c r="A3458">
        <v>3457</v>
      </c>
      <c r="B3458" t="s">
        <v>687</v>
      </c>
      <c r="C3458" t="s">
        <v>7575</v>
      </c>
    </row>
    <row r="3459" spans="1:3" x14ac:dyDescent="0.25">
      <c r="A3459">
        <v>3458</v>
      </c>
      <c r="B3459" t="s">
        <v>7576</v>
      </c>
      <c r="C3459" t="s">
        <v>7577</v>
      </c>
    </row>
    <row r="3460" spans="1:3" x14ac:dyDescent="0.25">
      <c r="A3460">
        <v>3459</v>
      </c>
      <c r="B3460" t="s">
        <v>2177</v>
      </c>
      <c r="C3460" t="s">
        <v>7578</v>
      </c>
    </row>
    <row r="3461" spans="1:3" x14ac:dyDescent="0.25">
      <c r="A3461">
        <v>3460</v>
      </c>
      <c r="B3461" t="s">
        <v>7579</v>
      </c>
      <c r="C3461" t="s">
        <v>7580</v>
      </c>
    </row>
    <row r="3462" spans="1:3" x14ac:dyDescent="0.25">
      <c r="A3462">
        <v>3461</v>
      </c>
      <c r="B3462" t="s">
        <v>775</v>
      </c>
      <c r="C3462" t="s">
        <v>7581</v>
      </c>
    </row>
    <row r="3463" spans="1:3" x14ac:dyDescent="0.25">
      <c r="A3463">
        <v>3462</v>
      </c>
      <c r="B3463" t="s">
        <v>7582</v>
      </c>
      <c r="C3463" t="s">
        <v>7583</v>
      </c>
    </row>
    <row r="3464" spans="1:3" x14ac:dyDescent="0.25">
      <c r="A3464">
        <v>3463</v>
      </c>
      <c r="B3464" t="s">
        <v>7584</v>
      </c>
      <c r="C3464" t="s">
        <v>7585</v>
      </c>
    </row>
    <row r="3465" spans="1:3" x14ac:dyDescent="0.25">
      <c r="A3465">
        <v>3464</v>
      </c>
      <c r="B3465" t="s">
        <v>1328</v>
      </c>
      <c r="C3465" t="s">
        <v>7586</v>
      </c>
    </row>
    <row r="3466" spans="1:3" x14ac:dyDescent="0.25">
      <c r="A3466">
        <v>3465</v>
      </c>
      <c r="B3466" t="s">
        <v>7587</v>
      </c>
      <c r="C3466" t="s">
        <v>7588</v>
      </c>
    </row>
    <row r="3467" spans="1:3" x14ac:dyDescent="0.25">
      <c r="A3467">
        <v>3466</v>
      </c>
      <c r="B3467" t="s">
        <v>1584</v>
      </c>
      <c r="C3467" t="s">
        <v>7589</v>
      </c>
    </row>
    <row r="3468" spans="1:3" x14ac:dyDescent="0.25">
      <c r="A3468">
        <v>3467</v>
      </c>
      <c r="B3468" t="s">
        <v>7590</v>
      </c>
      <c r="C3468" t="s">
        <v>7591</v>
      </c>
    </row>
    <row r="3469" spans="1:3" x14ac:dyDescent="0.25">
      <c r="A3469">
        <v>3468</v>
      </c>
      <c r="B3469" t="s">
        <v>2022</v>
      </c>
      <c r="C3469" t="s">
        <v>7592</v>
      </c>
    </row>
    <row r="3470" spans="1:3" x14ac:dyDescent="0.25">
      <c r="A3470">
        <v>3469</v>
      </c>
      <c r="B3470" t="s">
        <v>7593</v>
      </c>
      <c r="C3470" t="s">
        <v>7594</v>
      </c>
    </row>
    <row r="3471" spans="1:3" x14ac:dyDescent="0.25">
      <c r="A3471">
        <v>3470</v>
      </c>
      <c r="B3471" t="s">
        <v>2311</v>
      </c>
      <c r="C3471" t="s">
        <v>7595</v>
      </c>
    </row>
    <row r="3472" spans="1:3" x14ac:dyDescent="0.25">
      <c r="A3472">
        <v>3471</v>
      </c>
      <c r="B3472" t="s">
        <v>1439</v>
      </c>
      <c r="C3472" t="s">
        <v>7596</v>
      </c>
    </row>
    <row r="3473" spans="1:3" x14ac:dyDescent="0.25">
      <c r="A3473">
        <v>3472</v>
      </c>
      <c r="B3473" t="s">
        <v>2137</v>
      </c>
      <c r="C3473" t="s">
        <v>7597</v>
      </c>
    </row>
    <row r="3474" spans="1:3" x14ac:dyDescent="0.25">
      <c r="A3474">
        <v>3473</v>
      </c>
      <c r="B3474" t="s">
        <v>2130</v>
      </c>
      <c r="C3474" t="s">
        <v>7598</v>
      </c>
    </row>
    <row r="3475" spans="1:3" x14ac:dyDescent="0.25">
      <c r="A3475">
        <v>3474</v>
      </c>
      <c r="B3475" t="s">
        <v>265</v>
      </c>
      <c r="C3475" t="s">
        <v>7599</v>
      </c>
    </row>
    <row r="3476" spans="1:3" x14ac:dyDescent="0.25">
      <c r="A3476">
        <v>3475</v>
      </c>
      <c r="B3476" t="s">
        <v>576</v>
      </c>
      <c r="C3476" t="s">
        <v>7600</v>
      </c>
    </row>
    <row r="3477" spans="1:3" x14ac:dyDescent="0.25">
      <c r="A3477">
        <v>3476</v>
      </c>
      <c r="B3477" t="s">
        <v>876</v>
      </c>
      <c r="C3477" t="s">
        <v>7601</v>
      </c>
    </row>
    <row r="3478" spans="1:3" x14ac:dyDescent="0.25">
      <c r="A3478">
        <v>3477</v>
      </c>
      <c r="B3478" t="s">
        <v>2125</v>
      </c>
      <c r="C3478" t="s">
        <v>7602</v>
      </c>
    </row>
    <row r="3479" spans="1:3" x14ac:dyDescent="0.25">
      <c r="A3479">
        <v>3478</v>
      </c>
      <c r="B3479" t="s">
        <v>7603</v>
      </c>
      <c r="C3479" t="s">
        <v>7604</v>
      </c>
    </row>
    <row r="3480" spans="1:3" x14ac:dyDescent="0.25">
      <c r="A3480">
        <v>3479</v>
      </c>
      <c r="B3480" t="s">
        <v>282</v>
      </c>
      <c r="C3480" t="s">
        <v>7605</v>
      </c>
    </row>
    <row r="3481" spans="1:3" x14ac:dyDescent="0.25">
      <c r="A3481">
        <v>3480</v>
      </c>
      <c r="B3481" t="s">
        <v>284</v>
      </c>
      <c r="C3481" t="s">
        <v>7606</v>
      </c>
    </row>
    <row r="3482" spans="1:3" x14ac:dyDescent="0.25">
      <c r="A3482">
        <v>3481</v>
      </c>
      <c r="B3482" t="s">
        <v>308</v>
      </c>
      <c r="C3482" t="s">
        <v>7607</v>
      </c>
    </row>
    <row r="3483" spans="1:3" x14ac:dyDescent="0.25">
      <c r="A3483">
        <v>3482</v>
      </c>
      <c r="B3483" t="s">
        <v>2148</v>
      </c>
      <c r="C3483" t="s">
        <v>7608</v>
      </c>
    </row>
    <row r="3484" spans="1:3" x14ac:dyDescent="0.25">
      <c r="A3484">
        <v>3483</v>
      </c>
      <c r="B3484" t="s">
        <v>2243</v>
      </c>
      <c r="C3484" t="s">
        <v>7609</v>
      </c>
    </row>
    <row r="3485" spans="1:3" x14ac:dyDescent="0.25">
      <c r="A3485">
        <v>3484</v>
      </c>
      <c r="B3485" t="s">
        <v>444</v>
      </c>
      <c r="C3485" t="s">
        <v>7610</v>
      </c>
    </row>
    <row r="3486" spans="1:3" x14ac:dyDescent="0.25">
      <c r="A3486">
        <v>3485</v>
      </c>
      <c r="B3486" t="s">
        <v>266</v>
      </c>
      <c r="C3486" t="s">
        <v>7611</v>
      </c>
    </row>
    <row r="3487" spans="1:3" x14ac:dyDescent="0.25">
      <c r="A3487">
        <v>3486</v>
      </c>
      <c r="B3487" t="s">
        <v>345</v>
      </c>
      <c r="C3487" t="s">
        <v>7612</v>
      </c>
    </row>
    <row r="3488" spans="1:3" x14ac:dyDescent="0.25">
      <c r="A3488">
        <v>3487</v>
      </c>
      <c r="B3488" t="s">
        <v>291</v>
      </c>
      <c r="C3488" t="s">
        <v>7613</v>
      </c>
    </row>
    <row r="3489" spans="1:3" x14ac:dyDescent="0.25">
      <c r="A3489">
        <v>3488</v>
      </c>
      <c r="B3489" t="s">
        <v>292</v>
      </c>
      <c r="C3489" t="s">
        <v>7614</v>
      </c>
    </row>
    <row r="3490" spans="1:3" x14ac:dyDescent="0.25">
      <c r="A3490">
        <v>3489</v>
      </c>
      <c r="B3490" t="s">
        <v>2149</v>
      </c>
      <c r="C3490" t="s">
        <v>7615</v>
      </c>
    </row>
    <row r="3491" spans="1:3" x14ac:dyDescent="0.25">
      <c r="A3491">
        <v>3490</v>
      </c>
      <c r="B3491" t="s">
        <v>7616</v>
      </c>
      <c r="C3491" t="s">
        <v>7617</v>
      </c>
    </row>
    <row r="3492" spans="1:3" x14ac:dyDescent="0.25">
      <c r="A3492">
        <v>3491</v>
      </c>
      <c r="B3492" t="s">
        <v>343</v>
      </c>
      <c r="C3492" t="s">
        <v>7618</v>
      </c>
    </row>
    <row r="3493" spans="1:3" x14ac:dyDescent="0.25">
      <c r="A3493">
        <v>3492</v>
      </c>
      <c r="B3493" t="s">
        <v>2193</v>
      </c>
      <c r="C3493" t="s">
        <v>7619</v>
      </c>
    </row>
    <row r="3494" spans="1:3" x14ac:dyDescent="0.25">
      <c r="A3494">
        <v>3493</v>
      </c>
      <c r="B3494" t="s">
        <v>2175</v>
      </c>
      <c r="C3494" t="s">
        <v>7620</v>
      </c>
    </row>
    <row r="3495" spans="1:3" x14ac:dyDescent="0.25">
      <c r="A3495">
        <v>3494</v>
      </c>
      <c r="B3495" t="s">
        <v>622</v>
      </c>
      <c r="C3495" t="s">
        <v>7621</v>
      </c>
    </row>
    <row r="3496" spans="1:3" x14ac:dyDescent="0.25">
      <c r="A3496">
        <v>3495</v>
      </c>
      <c r="B3496" t="s">
        <v>2107</v>
      </c>
      <c r="C3496" t="s">
        <v>7622</v>
      </c>
    </row>
    <row r="3497" spans="1:3" x14ac:dyDescent="0.25">
      <c r="A3497">
        <v>3496</v>
      </c>
      <c r="B3497" t="s">
        <v>2141</v>
      </c>
      <c r="C3497" t="s">
        <v>7623</v>
      </c>
    </row>
    <row r="3498" spans="1:3" x14ac:dyDescent="0.25">
      <c r="A3498">
        <v>3497</v>
      </c>
      <c r="B3498" t="s">
        <v>2093</v>
      </c>
      <c r="C3498" t="s">
        <v>7624</v>
      </c>
    </row>
    <row r="3499" spans="1:3" x14ac:dyDescent="0.25">
      <c r="A3499">
        <v>3498</v>
      </c>
      <c r="B3499" t="s">
        <v>2063</v>
      </c>
      <c r="C3499" t="s">
        <v>7625</v>
      </c>
    </row>
    <row r="3500" spans="1:3" x14ac:dyDescent="0.25">
      <c r="A3500">
        <v>3499</v>
      </c>
      <c r="B3500" t="s">
        <v>2095</v>
      </c>
      <c r="C3500" t="s">
        <v>7626</v>
      </c>
    </row>
    <row r="3501" spans="1:3" x14ac:dyDescent="0.25">
      <c r="A3501">
        <v>3500</v>
      </c>
      <c r="B3501" t="s">
        <v>2328</v>
      </c>
      <c r="C3501" t="s">
        <v>7627</v>
      </c>
    </row>
    <row r="3502" spans="1:3" x14ac:dyDescent="0.25">
      <c r="A3502">
        <v>3501</v>
      </c>
      <c r="B3502" t="s">
        <v>2317</v>
      </c>
      <c r="C3502" t="s">
        <v>7628</v>
      </c>
    </row>
    <row r="3503" spans="1:3" x14ac:dyDescent="0.25">
      <c r="A3503">
        <v>3502</v>
      </c>
      <c r="B3503" t="s">
        <v>2031</v>
      </c>
      <c r="C3503" t="s">
        <v>7629</v>
      </c>
    </row>
    <row r="3504" spans="1:3" x14ac:dyDescent="0.25">
      <c r="A3504">
        <v>3503</v>
      </c>
      <c r="B3504" t="s">
        <v>7630</v>
      </c>
      <c r="C3504" t="s">
        <v>7631</v>
      </c>
    </row>
    <row r="3505" spans="1:3" x14ac:dyDescent="0.25">
      <c r="A3505">
        <v>3504</v>
      </c>
      <c r="B3505" t="s">
        <v>315</v>
      </c>
      <c r="C3505" t="s">
        <v>7632</v>
      </c>
    </row>
    <row r="3506" spans="1:3" x14ac:dyDescent="0.25">
      <c r="A3506">
        <v>3505</v>
      </c>
      <c r="B3506" t="s">
        <v>2326</v>
      </c>
      <c r="C3506" t="s">
        <v>7633</v>
      </c>
    </row>
    <row r="3507" spans="1:3" x14ac:dyDescent="0.25">
      <c r="A3507">
        <v>3506</v>
      </c>
      <c r="B3507" t="s">
        <v>377</v>
      </c>
      <c r="C3507" t="s">
        <v>7634</v>
      </c>
    </row>
    <row r="3508" spans="1:3" x14ac:dyDescent="0.25">
      <c r="A3508">
        <v>3507</v>
      </c>
      <c r="B3508" t="s">
        <v>7635</v>
      </c>
      <c r="C3508" t="s">
        <v>7636</v>
      </c>
    </row>
    <row r="3509" spans="1:3" x14ac:dyDescent="0.25">
      <c r="A3509">
        <v>3508</v>
      </c>
      <c r="B3509" t="s">
        <v>7637</v>
      </c>
      <c r="C3509" t="s">
        <v>7638</v>
      </c>
    </row>
    <row r="3510" spans="1:3" x14ac:dyDescent="0.25">
      <c r="A3510">
        <v>3509</v>
      </c>
      <c r="B3510" t="s">
        <v>1652</v>
      </c>
      <c r="C3510" t="s">
        <v>7639</v>
      </c>
    </row>
    <row r="3511" spans="1:3" x14ac:dyDescent="0.25">
      <c r="A3511">
        <v>3510</v>
      </c>
      <c r="B3511" t="s">
        <v>586</v>
      </c>
      <c r="C3511" t="s">
        <v>7640</v>
      </c>
    </row>
    <row r="3512" spans="1:3" x14ac:dyDescent="0.25">
      <c r="A3512">
        <v>3511</v>
      </c>
      <c r="B3512" t="s">
        <v>7641</v>
      </c>
      <c r="C3512" t="s">
        <v>7642</v>
      </c>
    </row>
    <row r="3513" spans="1:3" x14ac:dyDescent="0.25">
      <c r="A3513">
        <v>3512</v>
      </c>
      <c r="B3513" t="s">
        <v>896</v>
      </c>
      <c r="C3513" t="s">
        <v>7643</v>
      </c>
    </row>
    <row r="3514" spans="1:3" x14ac:dyDescent="0.25">
      <c r="A3514">
        <v>3513</v>
      </c>
      <c r="B3514" t="s">
        <v>1056</v>
      </c>
      <c r="C3514" t="s">
        <v>7644</v>
      </c>
    </row>
    <row r="3515" spans="1:3" x14ac:dyDescent="0.25">
      <c r="A3515">
        <v>3514</v>
      </c>
      <c r="B3515" t="s">
        <v>428</v>
      </c>
      <c r="C3515" t="s">
        <v>7645</v>
      </c>
    </row>
    <row r="3516" spans="1:3" x14ac:dyDescent="0.25">
      <c r="A3516">
        <v>3515</v>
      </c>
      <c r="B3516" t="s">
        <v>2270</v>
      </c>
      <c r="C3516" t="s">
        <v>7646</v>
      </c>
    </row>
    <row r="3517" spans="1:3" x14ac:dyDescent="0.25">
      <c r="A3517">
        <v>3516</v>
      </c>
      <c r="B3517" t="s">
        <v>2255</v>
      </c>
      <c r="C3517" t="s">
        <v>7647</v>
      </c>
    </row>
    <row r="3518" spans="1:3" x14ac:dyDescent="0.25">
      <c r="A3518">
        <v>3517</v>
      </c>
      <c r="B3518" t="s">
        <v>7648</v>
      </c>
      <c r="C3518" t="s">
        <v>7649</v>
      </c>
    </row>
    <row r="3519" spans="1:3" x14ac:dyDescent="0.25">
      <c r="A3519">
        <v>3518</v>
      </c>
      <c r="B3519" t="s">
        <v>7650</v>
      </c>
      <c r="C3519" t="s">
        <v>7651</v>
      </c>
    </row>
    <row r="3520" spans="1:3" x14ac:dyDescent="0.25">
      <c r="A3520">
        <v>3519</v>
      </c>
      <c r="B3520" t="s">
        <v>463</v>
      </c>
      <c r="C3520" t="s">
        <v>7652</v>
      </c>
    </row>
    <row r="3521" spans="1:3" x14ac:dyDescent="0.25">
      <c r="A3521">
        <v>3520</v>
      </c>
      <c r="B3521" t="s">
        <v>359</v>
      </c>
      <c r="C3521" t="s">
        <v>7653</v>
      </c>
    </row>
    <row r="3522" spans="1:3" x14ac:dyDescent="0.25">
      <c r="A3522">
        <v>3521</v>
      </c>
      <c r="B3522" t="s">
        <v>361</v>
      </c>
      <c r="C3522" t="s">
        <v>7654</v>
      </c>
    </row>
    <row r="3523" spans="1:3" x14ac:dyDescent="0.25">
      <c r="A3523">
        <v>3522</v>
      </c>
      <c r="B3523" t="s">
        <v>363</v>
      </c>
      <c r="C3523" t="s">
        <v>7655</v>
      </c>
    </row>
    <row r="3524" spans="1:3" x14ac:dyDescent="0.25">
      <c r="A3524">
        <v>3523</v>
      </c>
      <c r="B3524" t="s">
        <v>365</v>
      </c>
      <c r="C3524" t="s">
        <v>7656</v>
      </c>
    </row>
    <row r="3525" spans="1:3" x14ac:dyDescent="0.25">
      <c r="A3525">
        <v>3524</v>
      </c>
      <c r="B3525" t="s">
        <v>367</v>
      </c>
      <c r="C3525" t="s">
        <v>7657</v>
      </c>
    </row>
    <row r="3526" spans="1:3" x14ac:dyDescent="0.25">
      <c r="A3526">
        <v>3525</v>
      </c>
      <c r="B3526" t="s">
        <v>91</v>
      </c>
      <c r="C3526" t="s">
        <v>7658</v>
      </c>
    </row>
    <row r="3527" spans="1:3" x14ac:dyDescent="0.25">
      <c r="A3527">
        <v>3526</v>
      </c>
      <c r="B3527" t="s">
        <v>2083</v>
      </c>
      <c r="C3527" t="s">
        <v>7659</v>
      </c>
    </row>
    <row r="3528" spans="1:3" x14ac:dyDescent="0.25">
      <c r="A3528">
        <v>3527</v>
      </c>
      <c r="B3528" t="s">
        <v>7660</v>
      </c>
      <c r="C3528" t="s">
        <v>7661</v>
      </c>
    </row>
    <row r="3529" spans="1:3" x14ac:dyDescent="0.25">
      <c r="A3529">
        <v>3528</v>
      </c>
      <c r="B3529" t="s">
        <v>7662</v>
      </c>
      <c r="C3529" t="s">
        <v>7663</v>
      </c>
    </row>
    <row r="3530" spans="1:3" x14ac:dyDescent="0.25">
      <c r="A3530">
        <v>3529</v>
      </c>
      <c r="B3530" t="s">
        <v>7664</v>
      </c>
      <c r="C3530" t="s">
        <v>7665</v>
      </c>
    </row>
    <row r="3531" spans="1:3" x14ac:dyDescent="0.25">
      <c r="A3531">
        <v>3530</v>
      </c>
      <c r="B3531" t="s">
        <v>7666</v>
      </c>
      <c r="C3531" t="s">
        <v>7667</v>
      </c>
    </row>
    <row r="3532" spans="1:3" x14ac:dyDescent="0.25">
      <c r="A3532">
        <v>3531</v>
      </c>
      <c r="B3532" t="s">
        <v>7668</v>
      </c>
      <c r="C3532" t="s">
        <v>7669</v>
      </c>
    </row>
    <row r="3533" spans="1:3" x14ac:dyDescent="0.25">
      <c r="A3533">
        <v>3532</v>
      </c>
      <c r="B3533" t="s">
        <v>2094</v>
      </c>
      <c r="C3533" t="s">
        <v>7670</v>
      </c>
    </row>
    <row r="3534" spans="1:3" x14ac:dyDescent="0.25">
      <c r="A3534">
        <v>3533</v>
      </c>
      <c r="B3534" t="s">
        <v>2117</v>
      </c>
      <c r="C3534" t="s">
        <v>7671</v>
      </c>
    </row>
    <row r="3535" spans="1:3" x14ac:dyDescent="0.25">
      <c r="A3535">
        <v>3534</v>
      </c>
      <c r="B3535" t="s">
        <v>2106</v>
      </c>
      <c r="C3535" t="s">
        <v>7672</v>
      </c>
    </row>
    <row r="3536" spans="1:3" x14ac:dyDescent="0.25">
      <c r="A3536">
        <v>3535</v>
      </c>
      <c r="B3536" t="s">
        <v>2269</v>
      </c>
      <c r="C3536" t="s">
        <v>7673</v>
      </c>
    </row>
    <row r="3537" spans="1:3" x14ac:dyDescent="0.25">
      <c r="A3537">
        <v>3536</v>
      </c>
      <c r="B3537" t="s">
        <v>2267</v>
      </c>
      <c r="C3537" t="s">
        <v>7674</v>
      </c>
    </row>
    <row r="3538" spans="1:3" x14ac:dyDescent="0.25">
      <c r="A3538">
        <v>3537</v>
      </c>
      <c r="B3538" t="s">
        <v>369</v>
      </c>
      <c r="C3538" t="s">
        <v>7675</v>
      </c>
    </row>
    <row r="3539" spans="1:3" x14ac:dyDescent="0.25">
      <c r="A3539">
        <v>3538</v>
      </c>
      <c r="B3539" t="s">
        <v>264</v>
      </c>
      <c r="C3539" t="s">
        <v>7676</v>
      </c>
    </row>
    <row r="3540" spans="1:3" x14ac:dyDescent="0.25">
      <c r="A3540">
        <v>3539</v>
      </c>
      <c r="B3540" t="s">
        <v>7677</v>
      </c>
      <c r="C3540" t="s">
        <v>7678</v>
      </c>
    </row>
    <row r="3541" spans="1:3" x14ac:dyDescent="0.25">
      <c r="A3541">
        <v>3540</v>
      </c>
      <c r="B3541" t="s">
        <v>294</v>
      </c>
      <c r="C3541" t="s">
        <v>7679</v>
      </c>
    </row>
    <row r="3542" spans="1:3" x14ac:dyDescent="0.25">
      <c r="A3542">
        <v>3541</v>
      </c>
      <c r="B3542" t="s">
        <v>296</v>
      </c>
      <c r="C3542" t="s">
        <v>7680</v>
      </c>
    </row>
    <row r="3543" spans="1:3" x14ac:dyDescent="0.25">
      <c r="A3543">
        <v>3542</v>
      </c>
      <c r="B3543" t="s">
        <v>7681</v>
      </c>
      <c r="C3543" t="s">
        <v>7682</v>
      </c>
    </row>
    <row r="3544" spans="1:3" x14ac:dyDescent="0.25">
      <c r="A3544">
        <v>3543</v>
      </c>
      <c r="B3544" t="s">
        <v>7683</v>
      </c>
      <c r="C3544" t="s">
        <v>7684</v>
      </c>
    </row>
    <row r="3545" spans="1:3" x14ac:dyDescent="0.25">
      <c r="A3545">
        <v>3544</v>
      </c>
      <c r="B3545" t="s">
        <v>7685</v>
      </c>
      <c r="C3545" t="s">
        <v>7686</v>
      </c>
    </row>
    <row r="3546" spans="1:3" x14ac:dyDescent="0.25">
      <c r="A3546">
        <v>3545</v>
      </c>
      <c r="B3546" t="s">
        <v>7687</v>
      </c>
      <c r="C3546" t="s">
        <v>7688</v>
      </c>
    </row>
    <row r="3547" spans="1:3" x14ac:dyDescent="0.25">
      <c r="A3547">
        <v>3546</v>
      </c>
      <c r="B3547" t="s">
        <v>7689</v>
      </c>
      <c r="C3547" t="s">
        <v>7690</v>
      </c>
    </row>
    <row r="3548" spans="1:3" x14ac:dyDescent="0.25">
      <c r="A3548">
        <v>3547</v>
      </c>
      <c r="B3548" t="s">
        <v>7691</v>
      </c>
      <c r="C3548" t="s">
        <v>7692</v>
      </c>
    </row>
    <row r="3549" spans="1:3" x14ac:dyDescent="0.25">
      <c r="A3549">
        <v>3548</v>
      </c>
      <c r="B3549" t="s">
        <v>7693</v>
      </c>
      <c r="C3549" t="s">
        <v>7694</v>
      </c>
    </row>
    <row r="3550" spans="1:3" x14ac:dyDescent="0.25">
      <c r="A3550">
        <v>3549</v>
      </c>
      <c r="B3550" t="s">
        <v>7695</v>
      </c>
      <c r="C3550" t="s">
        <v>7696</v>
      </c>
    </row>
    <row r="3551" spans="1:3" x14ac:dyDescent="0.25">
      <c r="A3551">
        <v>3550</v>
      </c>
      <c r="B3551" t="s">
        <v>317</v>
      </c>
      <c r="C3551" t="s">
        <v>7697</v>
      </c>
    </row>
    <row r="3552" spans="1:3" x14ac:dyDescent="0.25">
      <c r="A3552">
        <v>3551</v>
      </c>
      <c r="B3552" t="s">
        <v>319</v>
      </c>
      <c r="C3552" t="s">
        <v>7698</v>
      </c>
    </row>
    <row r="3553" spans="1:3" x14ac:dyDescent="0.25">
      <c r="A3553">
        <v>3552</v>
      </c>
      <c r="B3553" t="s">
        <v>375</v>
      </c>
      <c r="C3553" t="s">
        <v>7699</v>
      </c>
    </row>
    <row r="3554" spans="1:3" x14ac:dyDescent="0.25">
      <c r="A3554">
        <v>3553</v>
      </c>
      <c r="B3554" t="s">
        <v>379</v>
      </c>
      <c r="C3554" t="s">
        <v>7700</v>
      </c>
    </row>
    <row r="3555" spans="1:3" x14ac:dyDescent="0.25">
      <c r="A3555">
        <v>3554</v>
      </c>
      <c r="B3555" t="s">
        <v>381</v>
      </c>
      <c r="C3555" t="s">
        <v>7701</v>
      </c>
    </row>
    <row r="3556" spans="1:3" x14ac:dyDescent="0.25">
      <c r="A3556">
        <v>3555</v>
      </c>
      <c r="B3556" t="s">
        <v>2085</v>
      </c>
      <c r="C3556" t="s">
        <v>7702</v>
      </c>
    </row>
    <row r="3557" spans="1:3" x14ac:dyDescent="0.25">
      <c r="A3557">
        <v>3556</v>
      </c>
      <c r="B3557" t="s">
        <v>1585</v>
      </c>
      <c r="C3557" t="s">
        <v>7703</v>
      </c>
    </row>
    <row r="3558" spans="1:3" x14ac:dyDescent="0.25">
      <c r="A3558">
        <v>3557</v>
      </c>
      <c r="B3558" t="s">
        <v>157</v>
      </c>
      <c r="C3558" t="s">
        <v>7704</v>
      </c>
    </row>
    <row r="3559" spans="1:3" x14ac:dyDescent="0.25">
      <c r="A3559">
        <v>3558</v>
      </c>
      <c r="B3559" t="s">
        <v>85</v>
      </c>
      <c r="C3559" t="s">
        <v>7705</v>
      </c>
    </row>
    <row r="3560" spans="1:3" x14ac:dyDescent="0.25">
      <c r="A3560">
        <v>3559</v>
      </c>
      <c r="B3560" t="s">
        <v>2078</v>
      </c>
      <c r="C3560" t="s">
        <v>7706</v>
      </c>
    </row>
    <row r="3561" spans="1:3" x14ac:dyDescent="0.25">
      <c r="A3561">
        <v>3560</v>
      </c>
      <c r="B3561" t="s">
        <v>7707</v>
      </c>
      <c r="C3561" t="s">
        <v>7708</v>
      </c>
    </row>
    <row r="3562" spans="1:3" x14ac:dyDescent="0.25">
      <c r="A3562">
        <v>3561</v>
      </c>
      <c r="B3562" t="s">
        <v>261</v>
      </c>
      <c r="C3562" t="s">
        <v>7709</v>
      </c>
    </row>
    <row r="3563" spans="1:3" x14ac:dyDescent="0.25">
      <c r="A3563">
        <v>3562</v>
      </c>
      <c r="B3563" t="s">
        <v>982</v>
      </c>
      <c r="C3563" t="s">
        <v>7710</v>
      </c>
    </row>
    <row r="3564" spans="1:3" x14ac:dyDescent="0.25">
      <c r="A3564">
        <v>3563</v>
      </c>
      <c r="B3564" t="s">
        <v>7711</v>
      </c>
      <c r="C3564" t="s">
        <v>7712</v>
      </c>
    </row>
    <row r="3565" spans="1:3" x14ac:dyDescent="0.25">
      <c r="A3565">
        <v>3564</v>
      </c>
      <c r="B3565" t="s">
        <v>7713</v>
      </c>
      <c r="C3565" t="s">
        <v>7714</v>
      </c>
    </row>
    <row r="3566" spans="1:3" x14ac:dyDescent="0.25">
      <c r="A3566">
        <v>3565</v>
      </c>
      <c r="B3566" t="s">
        <v>7715</v>
      </c>
      <c r="C3566" t="s">
        <v>7716</v>
      </c>
    </row>
    <row r="3567" spans="1:3" x14ac:dyDescent="0.25">
      <c r="A3567">
        <v>3566</v>
      </c>
      <c r="B3567" t="s">
        <v>7717</v>
      </c>
      <c r="C3567" t="s">
        <v>7718</v>
      </c>
    </row>
    <row r="3568" spans="1:3" x14ac:dyDescent="0.25">
      <c r="A3568">
        <v>3567</v>
      </c>
      <c r="B3568" t="s">
        <v>7719</v>
      </c>
      <c r="C3568" t="s">
        <v>7720</v>
      </c>
    </row>
    <row r="3569" spans="1:3" x14ac:dyDescent="0.25">
      <c r="A3569">
        <v>3568</v>
      </c>
      <c r="B3569" t="s">
        <v>486</v>
      </c>
      <c r="C3569" t="s">
        <v>7721</v>
      </c>
    </row>
    <row r="3570" spans="1:3" x14ac:dyDescent="0.25">
      <c r="A3570">
        <v>3569</v>
      </c>
      <c r="B3570" t="s">
        <v>1415</v>
      </c>
      <c r="C3570" t="s">
        <v>7722</v>
      </c>
    </row>
    <row r="3571" spans="1:3" x14ac:dyDescent="0.25">
      <c r="A3571">
        <v>3570</v>
      </c>
      <c r="B3571" t="s">
        <v>453</v>
      </c>
      <c r="C3571" t="s">
        <v>7723</v>
      </c>
    </row>
    <row r="3572" spans="1:3" x14ac:dyDescent="0.25">
      <c r="A3572">
        <v>3571</v>
      </c>
      <c r="B3572" t="s">
        <v>7724</v>
      </c>
      <c r="C3572" t="s">
        <v>7725</v>
      </c>
    </row>
    <row r="3573" spans="1:3" x14ac:dyDescent="0.25">
      <c r="A3573">
        <v>3572</v>
      </c>
      <c r="B3573" t="s">
        <v>2299</v>
      </c>
      <c r="C3573" t="s">
        <v>7726</v>
      </c>
    </row>
    <row r="3574" spans="1:3" x14ac:dyDescent="0.25">
      <c r="A3574">
        <v>3573</v>
      </c>
      <c r="B3574" t="s">
        <v>7727</v>
      </c>
      <c r="C3574" t="s">
        <v>7728</v>
      </c>
    </row>
    <row r="3575" spans="1:3" x14ac:dyDescent="0.25">
      <c r="A3575">
        <v>3574</v>
      </c>
      <c r="B3575" t="s">
        <v>1542</v>
      </c>
      <c r="C3575" t="s">
        <v>7729</v>
      </c>
    </row>
    <row r="3576" spans="1:3" x14ac:dyDescent="0.25">
      <c r="A3576">
        <v>3575</v>
      </c>
      <c r="B3576" t="s">
        <v>2028</v>
      </c>
      <c r="C3576" t="s">
        <v>7730</v>
      </c>
    </row>
    <row r="3577" spans="1:3" x14ac:dyDescent="0.25">
      <c r="A3577">
        <v>3576</v>
      </c>
      <c r="B3577" t="s">
        <v>442</v>
      </c>
      <c r="C3577" t="s">
        <v>7731</v>
      </c>
    </row>
    <row r="3578" spans="1:3" x14ac:dyDescent="0.25">
      <c r="A3578">
        <v>3577</v>
      </c>
      <c r="B3578" t="s">
        <v>534</v>
      </c>
      <c r="C3578" t="s">
        <v>7732</v>
      </c>
    </row>
    <row r="3579" spans="1:3" x14ac:dyDescent="0.25">
      <c r="A3579">
        <v>3578</v>
      </c>
      <c r="B3579" t="s">
        <v>7733</v>
      </c>
      <c r="C3579" t="s">
        <v>7734</v>
      </c>
    </row>
    <row r="3580" spans="1:3" x14ac:dyDescent="0.25">
      <c r="A3580">
        <v>3579</v>
      </c>
      <c r="B3580" t="s">
        <v>7735</v>
      </c>
      <c r="C3580" t="s">
        <v>7736</v>
      </c>
    </row>
    <row r="3581" spans="1:3" x14ac:dyDescent="0.25">
      <c r="A3581">
        <v>3580</v>
      </c>
      <c r="B3581" t="s">
        <v>7737</v>
      </c>
      <c r="C3581" t="s">
        <v>7738</v>
      </c>
    </row>
    <row r="3582" spans="1:3" x14ac:dyDescent="0.25">
      <c r="A3582">
        <v>3581</v>
      </c>
      <c r="B3582" t="s">
        <v>7739</v>
      </c>
      <c r="C3582" t="s">
        <v>7740</v>
      </c>
    </row>
    <row r="3583" spans="1:3" x14ac:dyDescent="0.25">
      <c r="A3583">
        <v>3582</v>
      </c>
      <c r="B3583" t="s">
        <v>7741</v>
      </c>
      <c r="C3583" t="s">
        <v>7742</v>
      </c>
    </row>
    <row r="3584" spans="1:3" x14ac:dyDescent="0.25">
      <c r="A3584">
        <v>3583</v>
      </c>
      <c r="B3584" t="s">
        <v>7743</v>
      </c>
      <c r="C3584" t="s">
        <v>7744</v>
      </c>
    </row>
    <row r="3585" spans="1:3" x14ac:dyDescent="0.25">
      <c r="A3585">
        <v>3584</v>
      </c>
      <c r="B3585" t="s">
        <v>7745</v>
      </c>
      <c r="C3585" t="s">
        <v>7746</v>
      </c>
    </row>
    <row r="3586" spans="1:3" x14ac:dyDescent="0.25">
      <c r="A3586">
        <v>3585</v>
      </c>
      <c r="B3586" t="s">
        <v>1377</v>
      </c>
      <c r="C3586" t="s">
        <v>7747</v>
      </c>
    </row>
    <row r="3587" spans="1:3" x14ac:dyDescent="0.25">
      <c r="A3587">
        <v>3586</v>
      </c>
      <c r="B3587" t="s">
        <v>7748</v>
      </c>
      <c r="C3587" t="s">
        <v>7749</v>
      </c>
    </row>
    <row r="3588" spans="1:3" x14ac:dyDescent="0.25">
      <c r="A3588">
        <v>3587</v>
      </c>
      <c r="B3588" t="s">
        <v>7750</v>
      </c>
      <c r="C3588" t="s">
        <v>7751</v>
      </c>
    </row>
    <row r="3589" spans="1:3" x14ac:dyDescent="0.25">
      <c r="A3589">
        <v>3588</v>
      </c>
      <c r="B3589" t="s">
        <v>121</v>
      </c>
      <c r="C3589" t="s">
        <v>7752</v>
      </c>
    </row>
    <row r="3590" spans="1:3" x14ac:dyDescent="0.25">
      <c r="A3590">
        <v>3589</v>
      </c>
      <c r="B3590" t="s">
        <v>2061</v>
      </c>
      <c r="C3590" t="s">
        <v>7753</v>
      </c>
    </row>
    <row r="3591" spans="1:3" x14ac:dyDescent="0.25">
      <c r="A3591">
        <v>3590</v>
      </c>
      <c r="B3591" t="s">
        <v>321</v>
      </c>
      <c r="C3591" t="s">
        <v>7754</v>
      </c>
    </row>
    <row r="3592" spans="1:3" x14ac:dyDescent="0.25">
      <c r="A3592">
        <v>3591</v>
      </c>
      <c r="B3592" t="s">
        <v>323</v>
      </c>
      <c r="C3592" t="s">
        <v>7755</v>
      </c>
    </row>
    <row r="3593" spans="1:3" x14ac:dyDescent="0.25">
      <c r="A3593">
        <v>3592</v>
      </c>
      <c r="B3593" t="s">
        <v>325</v>
      </c>
      <c r="C3593" t="s">
        <v>7756</v>
      </c>
    </row>
    <row r="3594" spans="1:3" x14ac:dyDescent="0.25">
      <c r="A3594">
        <v>3593</v>
      </c>
      <c r="B3594" t="s">
        <v>329</v>
      </c>
      <c r="C3594" t="s">
        <v>7757</v>
      </c>
    </row>
    <row r="3595" spans="1:3" x14ac:dyDescent="0.25">
      <c r="A3595">
        <v>3594</v>
      </c>
      <c r="B3595" t="s">
        <v>7758</v>
      </c>
      <c r="C3595" t="s">
        <v>7759</v>
      </c>
    </row>
    <row r="3596" spans="1:3" x14ac:dyDescent="0.25">
      <c r="A3596">
        <v>3595</v>
      </c>
      <c r="B3596" t="s">
        <v>327</v>
      </c>
      <c r="C3596" t="s">
        <v>7760</v>
      </c>
    </row>
    <row r="3597" spans="1:3" x14ac:dyDescent="0.25">
      <c r="A3597">
        <v>3596</v>
      </c>
      <c r="B3597" t="s">
        <v>7761</v>
      </c>
      <c r="C3597" t="s">
        <v>7762</v>
      </c>
    </row>
    <row r="3598" spans="1:3" x14ac:dyDescent="0.25">
      <c r="A3598">
        <v>3597</v>
      </c>
      <c r="B3598" t="s">
        <v>7763</v>
      </c>
      <c r="C3598" t="s">
        <v>7764</v>
      </c>
    </row>
    <row r="3599" spans="1:3" x14ac:dyDescent="0.25">
      <c r="A3599">
        <v>3598</v>
      </c>
      <c r="B3599" t="s">
        <v>7765</v>
      </c>
      <c r="C3599" t="s">
        <v>7766</v>
      </c>
    </row>
    <row r="3600" spans="1:3" x14ac:dyDescent="0.25">
      <c r="A3600">
        <v>3599</v>
      </c>
      <c r="B3600" t="s">
        <v>331</v>
      </c>
      <c r="C3600" t="s">
        <v>7767</v>
      </c>
    </row>
    <row r="3601" spans="1:3" x14ac:dyDescent="0.25">
      <c r="A3601">
        <v>3600</v>
      </c>
      <c r="B3601" t="s">
        <v>387</v>
      </c>
      <c r="C3601" t="s">
        <v>7768</v>
      </c>
    </row>
    <row r="3602" spans="1:3" x14ac:dyDescent="0.25">
      <c r="A3602">
        <v>3601</v>
      </c>
      <c r="B3602" t="s">
        <v>451</v>
      </c>
      <c r="C3602" t="s">
        <v>7769</v>
      </c>
    </row>
    <row r="3603" spans="1:3" x14ac:dyDescent="0.25">
      <c r="A3603">
        <v>3602</v>
      </c>
      <c r="B3603" t="s">
        <v>455</v>
      </c>
      <c r="C3603" t="s">
        <v>7770</v>
      </c>
    </row>
    <row r="3604" spans="1:3" x14ac:dyDescent="0.25">
      <c r="A3604">
        <v>3603</v>
      </c>
      <c r="B3604" t="s">
        <v>2199</v>
      </c>
      <c r="C3604" t="s">
        <v>7771</v>
      </c>
    </row>
    <row r="3605" spans="1:3" x14ac:dyDescent="0.25">
      <c r="A3605">
        <v>3604</v>
      </c>
      <c r="B3605" t="s">
        <v>2253</v>
      </c>
      <c r="C3605" t="s">
        <v>7772</v>
      </c>
    </row>
    <row r="3606" spans="1:3" x14ac:dyDescent="0.25">
      <c r="A3606">
        <v>3605</v>
      </c>
      <c r="B3606" t="s">
        <v>2261</v>
      </c>
      <c r="C3606" t="s">
        <v>7773</v>
      </c>
    </row>
    <row r="3607" spans="1:3" x14ac:dyDescent="0.25">
      <c r="A3607">
        <v>3606</v>
      </c>
      <c r="B3607" t="s">
        <v>2296</v>
      </c>
      <c r="C3607" t="s">
        <v>7774</v>
      </c>
    </row>
    <row r="3608" spans="1:3" x14ac:dyDescent="0.25">
      <c r="A3608">
        <v>3607</v>
      </c>
      <c r="B3608" t="s">
        <v>2307</v>
      </c>
      <c r="C3608" t="s">
        <v>7775</v>
      </c>
    </row>
    <row r="3609" spans="1:3" x14ac:dyDescent="0.25">
      <c r="A3609">
        <v>3608</v>
      </c>
      <c r="B3609" t="s">
        <v>2123</v>
      </c>
      <c r="C3609" t="s">
        <v>7776</v>
      </c>
    </row>
    <row r="3610" spans="1:3" x14ac:dyDescent="0.25">
      <c r="A3610">
        <v>3609</v>
      </c>
      <c r="B3610" t="s">
        <v>7777</v>
      </c>
      <c r="C3610" t="s">
        <v>7778</v>
      </c>
    </row>
    <row r="3611" spans="1:3" x14ac:dyDescent="0.25">
      <c r="A3611">
        <v>3610</v>
      </c>
      <c r="B3611" t="s">
        <v>7779</v>
      </c>
      <c r="C3611" t="s">
        <v>7780</v>
      </c>
    </row>
    <row r="3612" spans="1:3" x14ac:dyDescent="0.25">
      <c r="A3612">
        <v>3611</v>
      </c>
      <c r="B3612" t="s">
        <v>1595</v>
      </c>
      <c r="C3612" t="s">
        <v>7781</v>
      </c>
    </row>
    <row r="3613" spans="1:3" x14ac:dyDescent="0.25">
      <c r="A3613">
        <v>3612</v>
      </c>
      <c r="B3613" t="s">
        <v>7782</v>
      </c>
      <c r="C3613" t="s">
        <v>7783</v>
      </c>
    </row>
    <row r="3614" spans="1:3" x14ac:dyDescent="0.25">
      <c r="A3614">
        <v>3613</v>
      </c>
      <c r="B3614" t="s">
        <v>7784</v>
      </c>
      <c r="C3614" t="s">
        <v>7785</v>
      </c>
    </row>
    <row r="3615" spans="1:3" x14ac:dyDescent="0.25">
      <c r="A3615">
        <v>3614</v>
      </c>
      <c r="B3615" t="s">
        <v>7786</v>
      </c>
      <c r="C3615" t="s">
        <v>7787</v>
      </c>
    </row>
    <row r="3616" spans="1:3" x14ac:dyDescent="0.25">
      <c r="A3616">
        <v>3615</v>
      </c>
      <c r="B3616" t="s">
        <v>7788</v>
      </c>
      <c r="C3616" t="s">
        <v>7789</v>
      </c>
    </row>
    <row r="3617" spans="1:3" x14ac:dyDescent="0.25">
      <c r="A3617">
        <v>3616</v>
      </c>
      <c r="B3617" t="s">
        <v>7790</v>
      </c>
      <c r="C3617" t="s">
        <v>7791</v>
      </c>
    </row>
    <row r="3618" spans="1:3" x14ac:dyDescent="0.25">
      <c r="A3618">
        <v>3617</v>
      </c>
      <c r="B3618" t="s">
        <v>7792</v>
      </c>
      <c r="C3618" t="s">
        <v>7793</v>
      </c>
    </row>
    <row r="3619" spans="1:3" x14ac:dyDescent="0.25">
      <c r="A3619">
        <v>3618</v>
      </c>
      <c r="B3619" t="s">
        <v>7794</v>
      </c>
      <c r="C3619" t="s">
        <v>7795</v>
      </c>
    </row>
    <row r="3620" spans="1:3" x14ac:dyDescent="0.25">
      <c r="A3620">
        <v>3619</v>
      </c>
      <c r="B3620" t="s">
        <v>878</v>
      </c>
      <c r="C3620" t="s">
        <v>7796</v>
      </c>
    </row>
    <row r="3621" spans="1:3" x14ac:dyDescent="0.25">
      <c r="A3621">
        <v>3620</v>
      </c>
      <c r="B3621" t="s">
        <v>7797</v>
      </c>
      <c r="C3621" t="s">
        <v>7798</v>
      </c>
    </row>
    <row r="3622" spans="1:3" x14ac:dyDescent="0.25">
      <c r="A3622">
        <v>3621</v>
      </c>
      <c r="B3622" t="s">
        <v>7799</v>
      </c>
      <c r="C3622" t="s">
        <v>7800</v>
      </c>
    </row>
    <row r="3623" spans="1:3" x14ac:dyDescent="0.25">
      <c r="A3623">
        <v>3622</v>
      </c>
      <c r="B3623" t="s">
        <v>7801</v>
      </c>
      <c r="C3623" t="s">
        <v>7802</v>
      </c>
    </row>
    <row r="3624" spans="1:3" x14ac:dyDescent="0.25">
      <c r="A3624">
        <v>3623</v>
      </c>
      <c r="B3624" t="s">
        <v>7803</v>
      </c>
      <c r="C3624" t="s">
        <v>7804</v>
      </c>
    </row>
    <row r="3625" spans="1:3" x14ac:dyDescent="0.25">
      <c r="A3625">
        <v>3624</v>
      </c>
      <c r="B3625" t="s">
        <v>7805</v>
      </c>
      <c r="C3625" t="s">
        <v>7806</v>
      </c>
    </row>
    <row r="3626" spans="1:3" x14ac:dyDescent="0.25">
      <c r="A3626">
        <v>3625</v>
      </c>
      <c r="B3626" t="s">
        <v>7807</v>
      </c>
      <c r="C3626" t="s">
        <v>7808</v>
      </c>
    </row>
    <row r="3627" spans="1:3" x14ac:dyDescent="0.25">
      <c r="A3627">
        <v>3626</v>
      </c>
      <c r="B3627" t="s">
        <v>7809</v>
      </c>
      <c r="C3627" t="s">
        <v>7810</v>
      </c>
    </row>
    <row r="3628" spans="1:3" x14ac:dyDescent="0.25">
      <c r="A3628">
        <v>3627</v>
      </c>
      <c r="B3628" t="s">
        <v>7811</v>
      </c>
      <c r="C3628" t="s">
        <v>7812</v>
      </c>
    </row>
    <row r="3629" spans="1:3" x14ac:dyDescent="0.25">
      <c r="A3629">
        <v>3628</v>
      </c>
      <c r="B3629" t="s">
        <v>7813</v>
      </c>
      <c r="C3629" t="s">
        <v>7814</v>
      </c>
    </row>
    <row r="3630" spans="1:3" x14ac:dyDescent="0.25">
      <c r="A3630">
        <v>3629</v>
      </c>
      <c r="B3630" t="s">
        <v>52</v>
      </c>
      <c r="C3630" t="s">
        <v>7815</v>
      </c>
    </row>
    <row r="3631" spans="1:3" x14ac:dyDescent="0.25">
      <c r="A3631">
        <v>3630</v>
      </c>
      <c r="B3631" t="s">
        <v>7816</v>
      </c>
      <c r="C3631" t="s">
        <v>7817</v>
      </c>
    </row>
    <row r="3632" spans="1:3" x14ac:dyDescent="0.25">
      <c r="A3632">
        <v>3631</v>
      </c>
      <c r="B3632" t="s">
        <v>7818</v>
      </c>
      <c r="C3632" t="s">
        <v>7819</v>
      </c>
    </row>
    <row r="3633" spans="1:3" x14ac:dyDescent="0.25">
      <c r="A3633">
        <v>3632</v>
      </c>
      <c r="B3633" t="s">
        <v>7820</v>
      </c>
      <c r="C3633" t="s">
        <v>7821</v>
      </c>
    </row>
    <row r="3634" spans="1:3" x14ac:dyDescent="0.25">
      <c r="A3634">
        <v>3633</v>
      </c>
      <c r="B3634" t="s">
        <v>7822</v>
      </c>
      <c r="C3634" t="s">
        <v>7823</v>
      </c>
    </row>
    <row r="3635" spans="1:3" x14ac:dyDescent="0.25">
      <c r="A3635">
        <v>3634</v>
      </c>
      <c r="B3635" t="s">
        <v>7824</v>
      </c>
      <c r="C3635" t="s">
        <v>7825</v>
      </c>
    </row>
    <row r="3636" spans="1:3" x14ac:dyDescent="0.25">
      <c r="A3636">
        <v>3635</v>
      </c>
      <c r="B3636" t="s">
        <v>7826</v>
      </c>
      <c r="C3636" t="s">
        <v>7827</v>
      </c>
    </row>
    <row r="3637" spans="1:3" x14ac:dyDescent="0.25">
      <c r="A3637">
        <v>3636</v>
      </c>
      <c r="B3637" t="s">
        <v>7828</v>
      </c>
      <c r="C3637" t="s">
        <v>7829</v>
      </c>
    </row>
    <row r="3638" spans="1:3" x14ac:dyDescent="0.25">
      <c r="A3638">
        <v>3637</v>
      </c>
      <c r="B3638" t="s">
        <v>469</v>
      </c>
      <c r="C3638" t="s">
        <v>7830</v>
      </c>
    </row>
    <row r="3639" spans="1:3" x14ac:dyDescent="0.25">
      <c r="A3639">
        <v>3638</v>
      </c>
      <c r="B3639" t="s">
        <v>7831</v>
      </c>
      <c r="C3639" t="s">
        <v>7832</v>
      </c>
    </row>
    <row r="3640" spans="1:3" x14ac:dyDescent="0.25">
      <c r="A3640">
        <v>3639</v>
      </c>
      <c r="B3640" t="s">
        <v>7833</v>
      </c>
      <c r="C3640" t="s">
        <v>7834</v>
      </c>
    </row>
    <row r="3641" spans="1:3" x14ac:dyDescent="0.25">
      <c r="A3641">
        <v>3640</v>
      </c>
      <c r="B3641" t="s">
        <v>7835</v>
      </c>
      <c r="C3641" t="s">
        <v>7836</v>
      </c>
    </row>
    <row r="3642" spans="1:3" x14ac:dyDescent="0.25">
      <c r="A3642">
        <v>3641</v>
      </c>
      <c r="B3642" t="s">
        <v>1530</v>
      </c>
      <c r="C3642" t="s">
        <v>7837</v>
      </c>
    </row>
    <row r="3643" spans="1:3" x14ac:dyDescent="0.25">
      <c r="A3643">
        <v>3642</v>
      </c>
      <c r="B3643" t="s">
        <v>7838</v>
      </c>
      <c r="C3643" t="s">
        <v>7839</v>
      </c>
    </row>
    <row r="3644" spans="1:3" x14ac:dyDescent="0.25">
      <c r="A3644">
        <v>3643</v>
      </c>
      <c r="B3644" t="s">
        <v>7840</v>
      </c>
      <c r="C3644" t="s">
        <v>7841</v>
      </c>
    </row>
    <row r="3645" spans="1:3" x14ac:dyDescent="0.25">
      <c r="A3645">
        <v>3644</v>
      </c>
      <c r="B3645" t="s">
        <v>7842</v>
      </c>
      <c r="C3645" t="s">
        <v>7843</v>
      </c>
    </row>
    <row r="3646" spans="1:3" x14ac:dyDescent="0.25">
      <c r="A3646">
        <v>3645</v>
      </c>
      <c r="B3646" t="s">
        <v>7844</v>
      </c>
      <c r="C3646" t="s">
        <v>7845</v>
      </c>
    </row>
    <row r="3647" spans="1:3" x14ac:dyDescent="0.25">
      <c r="A3647">
        <v>3646</v>
      </c>
      <c r="B3647" t="s">
        <v>7846</v>
      </c>
      <c r="C3647" t="s">
        <v>7847</v>
      </c>
    </row>
    <row r="3648" spans="1:3" x14ac:dyDescent="0.25">
      <c r="A3648">
        <v>3647</v>
      </c>
      <c r="B3648" t="s">
        <v>7848</v>
      </c>
      <c r="C3648" t="s">
        <v>7849</v>
      </c>
    </row>
    <row r="3649" spans="1:3" x14ac:dyDescent="0.25">
      <c r="A3649">
        <v>3648</v>
      </c>
      <c r="B3649" t="s">
        <v>7850</v>
      </c>
      <c r="C3649" t="s">
        <v>7851</v>
      </c>
    </row>
    <row r="3650" spans="1:3" x14ac:dyDescent="0.25">
      <c r="A3650">
        <v>3649</v>
      </c>
      <c r="B3650" t="s">
        <v>7852</v>
      </c>
      <c r="C3650" t="s">
        <v>7853</v>
      </c>
    </row>
    <row r="3651" spans="1:3" x14ac:dyDescent="0.25">
      <c r="A3651">
        <v>3650</v>
      </c>
      <c r="B3651" t="s">
        <v>7854</v>
      </c>
      <c r="C3651" t="s">
        <v>7855</v>
      </c>
    </row>
    <row r="3652" spans="1:3" x14ac:dyDescent="0.25">
      <c r="A3652">
        <v>3651</v>
      </c>
      <c r="B3652" t="s">
        <v>7856</v>
      </c>
      <c r="C3652" t="s">
        <v>7857</v>
      </c>
    </row>
    <row r="3653" spans="1:3" x14ac:dyDescent="0.25">
      <c r="A3653">
        <v>3652</v>
      </c>
      <c r="B3653" t="s">
        <v>7858</v>
      </c>
      <c r="C3653" t="s">
        <v>7859</v>
      </c>
    </row>
    <row r="3654" spans="1:3" x14ac:dyDescent="0.25">
      <c r="A3654">
        <v>3653</v>
      </c>
      <c r="B3654" t="s">
        <v>7860</v>
      </c>
      <c r="C3654" t="s">
        <v>7861</v>
      </c>
    </row>
    <row r="3655" spans="1:3" x14ac:dyDescent="0.25">
      <c r="A3655">
        <v>3654</v>
      </c>
      <c r="B3655" t="s">
        <v>7862</v>
      </c>
      <c r="C3655" t="s">
        <v>7863</v>
      </c>
    </row>
    <row r="3656" spans="1:3" x14ac:dyDescent="0.25">
      <c r="A3656">
        <v>3655</v>
      </c>
      <c r="B3656" t="s">
        <v>1339</v>
      </c>
      <c r="C3656" t="s">
        <v>7864</v>
      </c>
    </row>
    <row r="3657" spans="1:3" x14ac:dyDescent="0.25">
      <c r="A3657">
        <v>3656</v>
      </c>
      <c r="B3657" t="s">
        <v>7865</v>
      </c>
      <c r="C3657" t="s">
        <v>7866</v>
      </c>
    </row>
    <row r="3658" spans="1:3" x14ac:dyDescent="0.25">
      <c r="A3658">
        <v>3657</v>
      </c>
      <c r="B3658" t="s">
        <v>7867</v>
      </c>
      <c r="C3658" t="s">
        <v>7868</v>
      </c>
    </row>
    <row r="3659" spans="1:3" x14ac:dyDescent="0.25">
      <c r="A3659">
        <v>3658</v>
      </c>
      <c r="B3659" t="s">
        <v>7869</v>
      </c>
      <c r="C3659" t="s">
        <v>7870</v>
      </c>
    </row>
    <row r="3660" spans="1:3" x14ac:dyDescent="0.25">
      <c r="A3660">
        <v>3659</v>
      </c>
      <c r="B3660" t="s">
        <v>7871</v>
      </c>
      <c r="C3660" t="s">
        <v>7872</v>
      </c>
    </row>
    <row r="3661" spans="1:3" x14ac:dyDescent="0.25">
      <c r="A3661">
        <v>3660</v>
      </c>
      <c r="B3661" t="s">
        <v>7873</v>
      </c>
      <c r="C3661" t="s">
        <v>7874</v>
      </c>
    </row>
    <row r="3662" spans="1:3" x14ac:dyDescent="0.25">
      <c r="A3662">
        <v>3661</v>
      </c>
      <c r="B3662" t="s">
        <v>7875</v>
      </c>
      <c r="C3662" t="s">
        <v>7876</v>
      </c>
    </row>
    <row r="3663" spans="1:3" x14ac:dyDescent="0.25">
      <c r="A3663">
        <v>3662</v>
      </c>
      <c r="B3663" t="s">
        <v>7877</v>
      </c>
      <c r="C3663" t="s">
        <v>7878</v>
      </c>
    </row>
    <row r="3664" spans="1:3" x14ac:dyDescent="0.25">
      <c r="A3664">
        <v>3663</v>
      </c>
      <c r="B3664" t="s">
        <v>7879</v>
      </c>
      <c r="C3664" t="s">
        <v>7880</v>
      </c>
    </row>
    <row r="3665" spans="1:3" x14ac:dyDescent="0.25">
      <c r="A3665">
        <v>3664</v>
      </c>
      <c r="B3665" t="s">
        <v>7881</v>
      </c>
      <c r="C3665" t="s">
        <v>7882</v>
      </c>
    </row>
    <row r="3666" spans="1:3" x14ac:dyDescent="0.25">
      <c r="A3666">
        <v>3665</v>
      </c>
      <c r="B3666" t="s">
        <v>2242</v>
      </c>
      <c r="C3666" t="s">
        <v>7883</v>
      </c>
    </row>
    <row r="3667" spans="1:3" x14ac:dyDescent="0.25">
      <c r="A3667">
        <v>3666</v>
      </c>
      <c r="B3667" t="s">
        <v>7884</v>
      </c>
      <c r="C3667" t="s">
        <v>7885</v>
      </c>
    </row>
    <row r="3668" spans="1:3" x14ac:dyDescent="0.25">
      <c r="A3668">
        <v>3667</v>
      </c>
      <c r="B3668" t="s">
        <v>7886</v>
      </c>
      <c r="C3668" t="s">
        <v>7887</v>
      </c>
    </row>
    <row r="3669" spans="1:3" x14ac:dyDescent="0.25">
      <c r="A3669">
        <v>3668</v>
      </c>
      <c r="B3669" t="s">
        <v>7888</v>
      </c>
      <c r="C3669" t="s">
        <v>7889</v>
      </c>
    </row>
    <row r="3670" spans="1:3" x14ac:dyDescent="0.25">
      <c r="A3670">
        <v>3669</v>
      </c>
      <c r="B3670" t="s">
        <v>7890</v>
      </c>
      <c r="C3670" t="s">
        <v>7891</v>
      </c>
    </row>
    <row r="3671" spans="1:3" x14ac:dyDescent="0.25">
      <c r="A3671">
        <v>3670</v>
      </c>
      <c r="B3671" t="s">
        <v>7892</v>
      </c>
      <c r="C3671" t="s">
        <v>7893</v>
      </c>
    </row>
    <row r="3672" spans="1:3" x14ac:dyDescent="0.25">
      <c r="A3672">
        <v>3671</v>
      </c>
      <c r="B3672" t="s">
        <v>7894</v>
      </c>
      <c r="C3672" t="s">
        <v>7895</v>
      </c>
    </row>
    <row r="3673" spans="1:3" x14ac:dyDescent="0.25">
      <c r="A3673">
        <v>3672</v>
      </c>
      <c r="B3673" t="s">
        <v>7896</v>
      </c>
      <c r="C3673" t="s">
        <v>7897</v>
      </c>
    </row>
    <row r="3674" spans="1:3" x14ac:dyDescent="0.25">
      <c r="A3674">
        <v>3673</v>
      </c>
      <c r="B3674" t="s">
        <v>7898</v>
      </c>
      <c r="C3674" t="s">
        <v>7899</v>
      </c>
    </row>
    <row r="3675" spans="1:3" x14ac:dyDescent="0.25">
      <c r="A3675">
        <v>3674</v>
      </c>
      <c r="B3675" t="s">
        <v>7900</v>
      </c>
      <c r="C3675" t="s">
        <v>7901</v>
      </c>
    </row>
    <row r="3676" spans="1:3" x14ac:dyDescent="0.25">
      <c r="A3676">
        <v>3675</v>
      </c>
      <c r="B3676" t="s">
        <v>7902</v>
      </c>
      <c r="C3676" t="s">
        <v>7903</v>
      </c>
    </row>
    <row r="3677" spans="1:3" x14ac:dyDescent="0.25">
      <c r="A3677">
        <v>3676</v>
      </c>
      <c r="B3677" t="s">
        <v>7904</v>
      </c>
      <c r="C3677" t="s">
        <v>7905</v>
      </c>
    </row>
    <row r="3678" spans="1:3" x14ac:dyDescent="0.25">
      <c r="A3678">
        <v>3677</v>
      </c>
      <c r="B3678" t="s">
        <v>7906</v>
      </c>
      <c r="C3678" t="s">
        <v>7907</v>
      </c>
    </row>
    <row r="3679" spans="1:3" x14ac:dyDescent="0.25">
      <c r="A3679">
        <v>3678</v>
      </c>
      <c r="B3679" t="s">
        <v>1026</v>
      </c>
      <c r="C3679" t="s">
        <v>7908</v>
      </c>
    </row>
    <row r="3680" spans="1:3" x14ac:dyDescent="0.25">
      <c r="A3680">
        <v>3679</v>
      </c>
      <c r="B3680" t="s">
        <v>7909</v>
      </c>
      <c r="C3680" t="s">
        <v>7910</v>
      </c>
    </row>
    <row r="3681" spans="1:3" x14ac:dyDescent="0.25">
      <c r="A3681">
        <v>3680</v>
      </c>
      <c r="B3681" t="s">
        <v>7911</v>
      </c>
      <c r="C3681" t="s">
        <v>7912</v>
      </c>
    </row>
    <row r="3682" spans="1:3" x14ac:dyDescent="0.25">
      <c r="A3682">
        <v>3681</v>
      </c>
      <c r="B3682" t="s">
        <v>7913</v>
      </c>
      <c r="C3682" t="s">
        <v>7914</v>
      </c>
    </row>
    <row r="3683" spans="1:3" x14ac:dyDescent="0.25">
      <c r="A3683">
        <v>3682</v>
      </c>
      <c r="B3683" t="s">
        <v>7915</v>
      </c>
      <c r="C3683" t="s">
        <v>7916</v>
      </c>
    </row>
    <row r="3684" spans="1:3" x14ac:dyDescent="0.25">
      <c r="A3684">
        <v>3683</v>
      </c>
      <c r="B3684" t="s">
        <v>7917</v>
      </c>
      <c r="C3684" t="s">
        <v>7918</v>
      </c>
    </row>
    <row r="3685" spans="1:3" x14ac:dyDescent="0.25">
      <c r="A3685">
        <v>3684</v>
      </c>
      <c r="B3685" t="s">
        <v>7919</v>
      </c>
      <c r="C3685" t="s">
        <v>7920</v>
      </c>
    </row>
    <row r="3686" spans="1:3" x14ac:dyDescent="0.25">
      <c r="A3686">
        <v>3685</v>
      </c>
      <c r="B3686" t="s">
        <v>7921</v>
      </c>
      <c r="C3686" t="s">
        <v>7922</v>
      </c>
    </row>
    <row r="3687" spans="1:3" x14ac:dyDescent="0.25">
      <c r="A3687">
        <v>3686</v>
      </c>
      <c r="B3687" t="s">
        <v>7923</v>
      </c>
      <c r="C3687" t="s">
        <v>7924</v>
      </c>
    </row>
    <row r="3688" spans="1:3" x14ac:dyDescent="0.25">
      <c r="A3688">
        <v>3687</v>
      </c>
      <c r="B3688" t="s">
        <v>7925</v>
      </c>
      <c r="C3688" t="s">
        <v>7926</v>
      </c>
    </row>
    <row r="3689" spans="1:3" x14ac:dyDescent="0.25">
      <c r="A3689">
        <v>3688</v>
      </c>
      <c r="B3689" t="s">
        <v>7927</v>
      </c>
      <c r="C3689" t="s">
        <v>7928</v>
      </c>
    </row>
    <row r="3690" spans="1:3" x14ac:dyDescent="0.25">
      <c r="A3690">
        <v>3689</v>
      </c>
      <c r="B3690" t="s">
        <v>7929</v>
      </c>
      <c r="C3690" t="s">
        <v>7930</v>
      </c>
    </row>
    <row r="3691" spans="1:3" x14ac:dyDescent="0.25">
      <c r="A3691">
        <v>3690</v>
      </c>
      <c r="B3691" t="s">
        <v>7931</v>
      </c>
      <c r="C3691" t="s">
        <v>7932</v>
      </c>
    </row>
    <row r="3692" spans="1:3" x14ac:dyDescent="0.25">
      <c r="A3692">
        <v>3691</v>
      </c>
      <c r="B3692" t="s">
        <v>7933</v>
      </c>
      <c r="C3692" t="s">
        <v>7934</v>
      </c>
    </row>
    <row r="3693" spans="1:3" x14ac:dyDescent="0.25">
      <c r="A3693">
        <v>3692</v>
      </c>
      <c r="B3693" t="s">
        <v>410</v>
      </c>
      <c r="C3693" t="s">
        <v>7935</v>
      </c>
    </row>
    <row r="3694" spans="1:3" x14ac:dyDescent="0.25">
      <c r="A3694">
        <v>3693</v>
      </c>
      <c r="B3694" t="s">
        <v>2266</v>
      </c>
      <c r="C3694" t="s">
        <v>7936</v>
      </c>
    </row>
    <row r="3695" spans="1:3" x14ac:dyDescent="0.25">
      <c r="A3695">
        <v>3694</v>
      </c>
      <c r="B3695" t="s">
        <v>518</v>
      </c>
      <c r="C3695" t="s">
        <v>7937</v>
      </c>
    </row>
    <row r="3696" spans="1:3" x14ac:dyDescent="0.25">
      <c r="A3696">
        <v>3695</v>
      </c>
      <c r="B3696" t="s">
        <v>984</v>
      </c>
      <c r="C3696" t="s">
        <v>7938</v>
      </c>
    </row>
    <row r="3697" spans="1:3" x14ac:dyDescent="0.25">
      <c r="A3697">
        <v>3696</v>
      </c>
      <c r="B3697" t="s">
        <v>7939</v>
      </c>
      <c r="C3697" t="s">
        <v>7940</v>
      </c>
    </row>
    <row r="3698" spans="1:3" x14ac:dyDescent="0.25">
      <c r="A3698">
        <v>3697</v>
      </c>
      <c r="B3698" t="s">
        <v>1852</v>
      </c>
      <c r="C3698" t="s">
        <v>7941</v>
      </c>
    </row>
    <row r="3699" spans="1:3" x14ac:dyDescent="0.25">
      <c r="A3699">
        <v>3698</v>
      </c>
      <c r="B3699" t="s">
        <v>7942</v>
      </c>
      <c r="C3699" t="s">
        <v>7943</v>
      </c>
    </row>
    <row r="3700" spans="1:3" x14ac:dyDescent="0.25">
      <c r="A3700">
        <v>3699</v>
      </c>
      <c r="B3700" t="s">
        <v>7944</v>
      </c>
      <c r="C3700" t="s">
        <v>7945</v>
      </c>
    </row>
    <row r="3701" spans="1:3" x14ac:dyDescent="0.25">
      <c r="A3701">
        <v>3700</v>
      </c>
      <c r="B3701" t="s">
        <v>7946</v>
      </c>
      <c r="C3701" t="s">
        <v>7947</v>
      </c>
    </row>
    <row r="3702" spans="1:3" x14ac:dyDescent="0.25">
      <c r="A3702">
        <v>3701</v>
      </c>
      <c r="B3702" t="s">
        <v>7948</v>
      </c>
      <c r="C3702" t="s">
        <v>7949</v>
      </c>
    </row>
    <row r="3703" spans="1:3" x14ac:dyDescent="0.25">
      <c r="A3703">
        <v>3702</v>
      </c>
      <c r="B3703" t="s">
        <v>2039</v>
      </c>
      <c r="C3703" t="s">
        <v>7950</v>
      </c>
    </row>
    <row r="3704" spans="1:3" x14ac:dyDescent="0.25">
      <c r="A3704">
        <v>3703</v>
      </c>
      <c r="B3704" t="s">
        <v>7951</v>
      </c>
      <c r="C3704" t="s">
        <v>7952</v>
      </c>
    </row>
    <row r="3705" spans="1:3" x14ac:dyDescent="0.25">
      <c r="A3705">
        <v>3704</v>
      </c>
      <c r="B3705" t="s">
        <v>7953</v>
      </c>
      <c r="C3705" t="s">
        <v>7954</v>
      </c>
    </row>
    <row r="3706" spans="1:3" x14ac:dyDescent="0.25">
      <c r="A3706">
        <v>3705</v>
      </c>
      <c r="B3706" t="s">
        <v>7955</v>
      </c>
      <c r="C3706" t="s">
        <v>7956</v>
      </c>
    </row>
    <row r="3707" spans="1:3" x14ac:dyDescent="0.25">
      <c r="A3707">
        <v>3706</v>
      </c>
      <c r="B3707" t="s">
        <v>7957</v>
      </c>
      <c r="C3707" t="s">
        <v>7958</v>
      </c>
    </row>
    <row r="3708" spans="1:3" x14ac:dyDescent="0.25">
      <c r="A3708">
        <v>3707</v>
      </c>
      <c r="B3708" t="s">
        <v>1381</v>
      </c>
      <c r="C3708" t="s">
        <v>7959</v>
      </c>
    </row>
    <row r="3709" spans="1:3" x14ac:dyDescent="0.25">
      <c r="A3709">
        <v>3708</v>
      </c>
      <c r="B3709" t="s">
        <v>7960</v>
      </c>
      <c r="C3709" t="s">
        <v>7961</v>
      </c>
    </row>
    <row r="3710" spans="1:3" x14ac:dyDescent="0.25">
      <c r="A3710">
        <v>3709</v>
      </c>
      <c r="B3710" t="s">
        <v>7962</v>
      </c>
      <c r="C3710" t="s">
        <v>7963</v>
      </c>
    </row>
    <row r="3711" spans="1:3" x14ac:dyDescent="0.25">
      <c r="A3711">
        <v>3710</v>
      </c>
      <c r="B3711" t="s">
        <v>7964</v>
      </c>
      <c r="C3711" t="s">
        <v>7965</v>
      </c>
    </row>
    <row r="3712" spans="1:3" x14ac:dyDescent="0.25">
      <c r="A3712">
        <v>3711</v>
      </c>
      <c r="B3712" t="s">
        <v>7966</v>
      </c>
      <c r="C3712" t="s">
        <v>7967</v>
      </c>
    </row>
    <row r="3713" spans="1:3" x14ac:dyDescent="0.25">
      <c r="A3713">
        <v>3712</v>
      </c>
      <c r="B3713" t="s">
        <v>7968</v>
      </c>
      <c r="C3713" t="s">
        <v>7969</v>
      </c>
    </row>
    <row r="3714" spans="1:3" x14ac:dyDescent="0.25">
      <c r="A3714">
        <v>3713</v>
      </c>
      <c r="B3714" t="s">
        <v>7970</v>
      </c>
      <c r="C3714" t="s">
        <v>7971</v>
      </c>
    </row>
    <row r="3715" spans="1:3" x14ac:dyDescent="0.25">
      <c r="A3715">
        <v>3714</v>
      </c>
      <c r="B3715" t="s">
        <v>7972</v>
      </c>
      <c r="C3715" t="s">
        <v>7973</v>
      </c>
    </row>
    <row r="3716" spans="1:3" x14ac:dyDescent="0.25">
      <c r="A3716">
        <v>3715</v>
      </c>
      <c r="B3716" t="s">
        <v>7974</v>
      </c>
      <c r="C3716" t="s">
        <v>7975</v>
      </c>
    </row>
    <row r="3717" spans="1:3" x14ac:dyDescent="0.25">
      <c r="A3717">
        <v>3716</v>
      </c>
      <c r="B3717" t="s">
        <v>30</v>
      </c>
      <c r="C3717" t="s">
        <v>7976</v>
      </c>
    </row>
    <row r="3718" spans="1:3" x14ac:dyDescent="0.25">
      <c r="A3718">
        <v>3717</v>
      </c>
      <c r="B3718" t="s">
        <v>7977</v>
      </c>
      <c r="C3718" t="s">
        <v>7978</v>
      </c>
    </row>
    <row r="3719" spans="1:3" x14ac:dyDescent="0.25">
      <c r="A3719">
        <v>3718</v>
      </c>
      <c r="B3719" t="s">
        <v>7979</v>
      </c>
      <c r="C3719" t="s">
        <v>7980</v>
      </c>
    </row>
    <row r="3720" spans="1:3" x14ac:dyDescent="0.25">
      <c r="A3720">
        <v>3719</v>
      </c>
      <c r="B3720" t="s">
        <v>7981</v>
      </c>
      <c r="C3720" t="s">
        <v>7982</v>
      </c>
    </row>
    <row r="3721" spans="1:3" x14ac:dyDescent="0.25">
      <c r="A3721">
        <v>3720</v>
      </c>
      <c r="B3721" t="s">
        <v>287</v>
      </c>
      <c r="C3721" t="s">
        <v>7983</v>
      </c>
    </row>
    <row r="3722" spans="1:3" x14ac:dyDescent="0.25">
      <c r="A3722">
        <v>3721</v>
      </c>
      <c r="B3722" t="s">
        <v>2234</v>
      </c>
      <c r="C3722" t="s">
        <v>7984</v>
      </c>
    </row>
    <row r="3723" spans="1:3" x14ac:dyDescent="0.25">
      <c r="A3723">
        <v>3722</v>
      </c>
      <c r="B3723" t="s">
        <v>7985</v>
      </c>
      <c r="C3723" t="s">
        <v>7986</v>
      </c>
    </row>
    <row r="3724" spans="1:3" x14ac:dyDescent="0.25">
      <c r="A3724">
        <v>3723</v>
      </c>
      <c r="B3724" t="s">
        <v>7987</v>
      </c>
      <c r="C3724" t="s">
        <v>7988</v>
      </c>
    </row>
    <row r="3725" spans="1:3" x14ac:dyDescent="0.25">
      <c r="A3725">
        <v>3724</v>
      </c>
      <c r="B3725" t="s">
        <v>7989</v>
      </c>
      <c r="C3725" t="s">
        <v>7990</v>
      </c>
    </row>
    <row r="3726" spans="1:3" x14ac:dyDescent="0.25">
      <c r="A3726">
        <v>3725</v>
      </c>
      <c r="B3726" t="s">
        <v>7991</v>
      </c>
      <c r="C3726" t="s">
        <v>7992</v>
      </c>
    </row>
    <row r="3727" spans="1:3" x14ac:dyDescent="0.25">
      <c r="A3727">
        <v>3726</v>
      </c>
      <c r="B3727" t="s">
        <v>2105</v>
      </c>
      <c r="C3727" t="s">
        <v>7993</v>
      </c>
    </row>
    <row r="3728" spans="1:3" x14ac:dyDescent="0.25">
      <c r="A3728">
        <v>3727</v>
      </c>
      <c r="B3728" t="s">
        <v>153</v>
      </c>
      <c r="C3728" t="s">
        <v>7994</v>
      </c>
    </row>
    <row r="3729" spans="1:3" x14ac:dyDescent="0.25">
      <c r="A3729">
        <v>3728</v>
      </c>
      <c r="B3729" t="s">
        <v>7995</v>
      </c>
      <c r="C3729" t="s">
        <v>7996</v>
      </c>
    </row>
    <row r="3730" spans="1:3" x14ac:dyDescent="0.25">
      <c r="A3730">
        <v>3729</v>
      </c>
      <c r="B3730" t="s">
        <v>434</v>
      </c>
      <c r="C3730" t="s">
        <v>7997</v>
      </c>
    </row>
    <row r="3731" spans="1:3" x14ac:dyDescent="0.25">
      <c r="A3731">
        <v>3730</v>
      </c>
      <c r="B3731" t="s">
        <v>530</v>
      </c>
      <c r="C3731" t="s">
        <v>7998</v>
      </c>
    </row>
    <row r="3732" spans="1:3" x14ac:dyDescent="0.25">
      <c r="A3732">
        <v>3731</v>
      </c>
      <c r="B3732" t="s">
        <v>2090</v>
      </c>
      <c r="C3732" t="s">
        <v>7999</v>
      </c>
    </row>
    <row r="3733" spans="1:3" x14ac:dyDescent="0.25">
      <c r="A3733">
        <v>3732</v>
      </c>
      <c r="B3733" t="s">
        <v>528</v>
      </c>
      <c r="C3733" t="s">
        <v>8000</v>
      </c>
    </row>
    <row r="3734" spans="1:3" x14ac:dyDescent="0.25">
      <c r="A3734">
        <v>3733</v>
      </c>
      <c r="B3734" t="s">
        <v>8001</v>
      </c>
      <c r="C3734" t="s">
        <v>8002</v>
      </c>
    </row>
    <row r="3735" spans="1:3" x14ac:dyDescent="0.25">
      <c r="A3735">
        <v>3734</v>
      </c>
      <c r="B3735" t="s">
        <v>2115</v>
      </c>
      <c r="C3735" t="s">
        <v>8003</v>
      </c>
    </row>
    <row r="3736" spans="1:3" x14ac:dyDescent="0.25">
      <c r="A3736">
        <v>1</v>
      </c>
      <c r="B3736" t="s">
        <v>1346</v>
      </c>
      <c r="C3736" t="s">
        <v>8008</v>
      </c>
    </row>
    <row r="3737" spans="1:3" x14ac:dyDescent="0.25">
      <c r="A3737">
        <v>2</v>
      </c>
      <c r="B3737" t="s">
        <v>2126</v>
      </c>
      <c r="C3737" t="s">
        <v>8009</v>
      </c>
    </row>
    <row r="3738" spans="1:3" x14ac:dyDescent="0.25">
      <c r="A3738">
        <v>3</v>
      </c>
      <c r="B3738" t="s">
        <v>485</v>
      </c>
      <c r="C3738" t="s">
        <v>8010</v>
      </c>
    </row>
    <row r="3739" spans="1:3" x14ac:dyDescent="0.25">
      <c r="A3739">
        <v>4</v>
      </c>
      <c r="B3739" t="s">
        <v>2</v>
      </c>
      <c r="C3739" t="s">
        <v>8011</v>
      </c>
    </row>
    <row r="3740" spans="1:3" x14ac:dyDescent="0.25">
      <c r="A3740">
        <v>5</v>
      </c>
      <c r="B3740" t="s">
        <v>575</v>
      </c>
      <c r="C3740" t="s">
        <v>8012</v>
      </c>
    </row>
    <row r="3741" spans="1:3" x14ac:dyDescent="0.25">
      <c r="A3741">
        <v>6</v>
      </c>
      <c r="B3741" t="s">
        <v>533</v>
      </c>
      <c r="C3741" t="s">
        <v>8013</v>
      </c>
    </row>
    <row r="3742" spans="1:3" x14ac:dyDescent="0.25">
      <c r="A3742">
        <v>7</v>
      </c>
      <c r="B3742" t="s">
        <v>551</v>
      </c>
      <c r="C3742" t="s">
        <v>8014</v>
      </c>
    </row>
    <row r="3743" spans="1:3" x14ac:dyDescent="0.25">
      <c r="A3743">
        <v>8</v>
      </c>
      <c r="B3743" t="s">
        <v>553</v>
      </c>
      <c r="C3743" t="s">
        <v>8015</v>
      </c>
    </row>
    <row r="3744" spans="1:3" x14ac:dyDescent="0.25">
      <c r="A3744">
        <v>9</v>
      </c>
      <c r="B3744" t="s">
        <v>555</v>
      </c>
      <c r="C3744" t="s">
        <v>8016</v>
      </c>
    </row>
    <row r="3745" spans="1:3" x14ac:dyDescent="0.25">
      <c r="A3745">
        <v>10</v>
      </c>
      <c r="B3745" t="s">
        <v>513</v>
      </c>
      <c r="C3745" t="s">
        <v>8017</v>
      </c>
    </row>
    <row r="3746" spans="1:3" x14ac:dyDescent="0.25">
      <c r="A3746">
        <v>11</v>
      </c>
      <c r="B3746" t="s">
        <v>537</v>
      </c>
      <c r="C3746" t="s">
        <v>8018</v>
      </c>
    </row>
    <row r="3747" spans="1:3" x14ac:dyDescent="0.25">
      <c r="A3747">
        <v>12</v>
      </c>
      <c r="B3747" t="s">
        <v>503</v>
      </c>
      <c r="C3747" t="s">
        <v>8019</v>
      </c>
    </row>
    <row r="3748" spans="1:3" x14ac:dyDescent="0.25">
      <c r="A3748">
        <v>13</v>
      </c>
      <c r="B3748" t="s">
        <v>541</v>
      </c>
      <c r="C3748" t="s">
        <v>8020</v>
      </c>
    </row>
    <row r="3749" spans="1:3" x14ac:dyDescent="0.25">
      <c r="A3749">
        <v>14</v>
      </c>
      <c r="B3749" t="s">
        <v>543</v>
      </c>
      <c r="C3749" t="s">
        <v>8021</v>
      </c>
    </row>
    <row r="3750" spans="1:3" x14ac:dyDescent="0.25">
      <c r="A3750">
        <v>15</v>
      </c>
      <c r="B3750" t="s">
        <v>545</v>
      </c>
      <c r="C3750" t="s">
        <v>8022</v>
      </c>
    </row>
    <row r="3751" spans="1:3" x14ac:dyDescent="0.25">
      <c r="A3751">
        <v>16</v>
      </c>
      <c r="B3751" t="s">
        <v>547</v>
      </c>
      <c r="C3751" t="s">
        <v>8023</v>
      </c>
    </row>
    <row r="3752" spans="1:3" x14ac:dyDescent="0.25">
      <c r="A3752">
        <v>17</v>
      </c>
      <c r="B3752" t="s">
        <v>499</v>
      </c>
      <c r="C3752" t="s">
        <v>8024</v>
      </c>
    </row>
    <row r="3753" spans="1:3" x14ac:dyDescent="0.25">
      <c r="A3753">
        <v>18</v>
      </c>
      <c r="B3753" t="s">
        <v>563</v>
      </c>
      <c r="C3753" t="s">
        <v>8025</v>
      </c>
    </row>
    <row r="3754" spans="1:3" x14ac:dyDescent="0.25">
      <c r="A3754">
        <v>19</v>
      </c>
      <c r="B3754" t="s">
        <v>561</v>
      </c>
      <c r="C3754" t="s">
        <v>8026</v>
      </c>
    </row>
    <row r="3755" spans="1:3" x14ac:dyDescent="0.25">
      <c r="A3755">
        <v>20</v>
      </c>
      <c r="B3755" t="s">
        <v>1437</v>
      </c>
      <c r="C3755" t="s">
        <v>8027</v>
      </c>
    </row>
    <row r="3756" spans="1:3" x14ac:dyDescent="0.25">
      <c r="A3756">
        <v>21</v>
      </c>
      <c r="B3756" t="s">
        <v>583</v>
      </c>
      <c r="C3756" t="s">
        <v>8028</v>
      </c>
    </row>
    <row r="3757" spans="1:3" x14ac:dyDescent="0.25">
      <c r="A3757">
        <v>22</v>
      </c>
      <c r="B3757" t="s">
        <v>585</v>
      </c>
      <c r="C3757" t="s">
        <v>8029</v>
      </c>
    </row>
    <row r="3758" spans="1:3" x14ac:dyDescent="0.25">
      <c r="A3758">
        <v>23</v>
      </c>
      <c r="B3758" t="s">
        <v>587</v>
      </c>
      <c r="C3758" t="s">
        <v>8030</v>
      </c>
    </row>
    <row r="3759" spans="1:3" x14ac:dyDescent="0.25">
      <c r="A3759">
        <v>24</v>
      </c>
      <c r="B3759" t="s">
        <v>593</v>
      </c>
      <c r="C3759" t="s">
        <v>8031</v>
      </c>
    </row>
    <row r="3760" spans="1:3" x14ac:dyDescent="0.25">
      <c r="A3760">
        <v>25</v>
      </c>
      <c r="B3760" t="s">
        <v>595</v>
      </c>
      <c r="C3760" t="s">
        <v>8032</v>
      </c>
    </row>
    <row r="3761" spans="1:3" x14ac:dyDescent="0.25">
      <c r="A3761">
        <v>26</v>
      </c>
      <c r="B3761" t="s">
        <v>599</v>
      </c>
      <c r="C3761" t="s">
        <v>8033</v>
      </c>
    </row>
    <row r="3762" spans="1:3" x14ac:dyDescent="0.25">
      <c r="A3762">
        <v>27</v>
      </c>
      <c r="B3762" t="s">
        <v>581</v>
      </c>
      <c r="C3762" t="s">
        <v>8034</v>
      </c>
    </row>
    <row r="3763" spans="1:3" x14ac:dyDescent="0.25">
      <c r="A3763">
        <v>28</v>
      </c>
      <c r="B3763" t="s">
        <v>1389</v>
      </c>
      <c r="C3763" t="s">
        <v>8035</v>
      </c>
    </row>
    <row r="3764" spans="1:3" x14ac:dyDescent="0.25">
      <c r="A3764">
        <v>29</v>
      </c>
      <c r="B3764" t="s">
        <v>1995</v>
      </c>
      <c r="C3764" t="s">
        <v>8036</v>
      </c>
    </row>
    <row r="3765" spans="1:3" x14ac:dyDescent="0.25">
      <c r="A3765">
        <v>30</v>
      </c>
      <c r="B3765" t="s">
        <v>597</v>
      </c>
      <c r="C3765" t="s">
        <v>8037</v>
      </c>
    </row>
    <row r="3766" spans="1:3" x14ac:dyDescent="0.25">
      <c r="A3766">
        <v>31</v>
      </c>
      <c r="B3766" t="s">
        <v>601</v>
      </c>
      <c r="C3766" t="s">
        <v>8038</v>
      </c>
    </row>
    <row r="3767" spans="1:3" x14ac:dyDescent="0.25">
      <c r="A3767">
        <v>32</v>
      </c>
      <c r="B3767" t="s">
        <v>519</v>
      </c>
      <c r="C3767" t="s">
        <v>8039</v>
      </c>
    </row>
    <row r="3768" spans="1:3" x14ac:dyDescent="0.25">
      <c r="A3768">
        <v>33</v>
      </c>
      <c r="B3768" t="s">
        <v>521</v>
      </c>
      <c r="C3768" t="s">
        <v>8040</v>
      </c>
    </row>
    <row r="3769" spans="1:3" x14ac:dyDescent="0.25">
      <c r="A3769">
        <v>34</v>
      </c>
      <c r="B3769" t="s">
        <v>577</v>
      </c>
      <c r="C3769" t="s">
        <v>8041</v>
      </c>
    </row>
    <row r="3770" spans="1:3" x14ac:dyDescent="0.25">
      <c r="A3770">
        <v>35</v>
      </c>
      <c r="B3770" t="s">
        <v>579</v>
      </c>
      <c r="C3770" t="s">
        <v>8042</v>
      </c>
    </row>
    <row r="3771" spans="1:3" x14ac:dyDescent="0.25">
      <c r="A3771">
        <v>36</v>
      </c>
      <c r="B3771" t="s">
        <v>515</v>
      </c>
      <c r="C3771" t="s">
        <v>8043</v>
      </c>
    </row>
    <row r="3772" spans="1:3" x14ac:dyDescent="0.25">
      <c r="A3772">
        <v>37</v>
      </c>
      <c r="B3772" t="s">
        <v>557</v>
      </c>
      <c r="C3772" t="s">
        <v>8044</v>
      </c>
    </row>
    <row r="3773" spans="1:3" x14ac:dyDescent="0.25">
      <c r="A3773">
        <v>38</v>
      </c>
      <c r="B3773" t="s">
        <v>559</v>
      </c>
      <c r="C3773" t="s">
        <v>8045</v>
      </c>
    </row>
    <row r="3774" spans="1:3" x14ac:dyDescent="0.25">
      <c r="A3774">
        <v>39</v>
      </c>
      <c r="B3774" t="s">
        <v>571</v>
      </c>
      <c r="C3774" t="s">
        <v>8046</v>
      </c>
    </row>
    <row r="3775" spans="1:3" x14ac:dyDescent="0.25">
      <c r="A3775">
        <v>40</v>
      </c>
      <c r="B3775" t="s">
        <v>573</v>
      </c>
      <c r="C3775" t="s">
        <v>8047</v>
      </c>
    </row>
    <row r="3776" spans="1:3" x14ac:dyDescent="0.25">
      <c r="A3776">
        <v>41</v>
      </c>
      <c r="B3776" t="s">
        <v>505</v>
      </c>
      <c r="C3776" t="s">
        <v>8048</v>
      </c>
    </row>
    <row r="3777" spans="1:3" x14ac:dyDescent="0.25">
      <c r="A3777">
        <v>42</v>
      </c>
      <c r="B3777" t="s">
        <v>517</v>
      </c>
      <c r="C3777" t="s">
        <v>8049</v>
      </c>
    </row>
    <row r="3778" spans="1:3" x14ac:dyDescent="0.25">
      <c r="A3778">
        <v>43</v>
      </c>
      <c r="B3778" t="s">
        <v>527</v>
      </c>
      <c r="C3778" t="s">
        <v>8050</v>
      </c>
    </row>
    <row r="3779" spans="1:3" x14ac:dyDescent="0.25">
      <c r="A3779">
        <v>44</v>
      </c>
      <c r="B3779" t="s">
        <v>529</v>
      </c>
      <c r="C3779" t="s">
        <v>8051</v>
      </c>
    </row>
    <row r="3780" spans="1:3" x14ac:dyDescent="0.25">
      <c r="A3780">
        <v>45</v>
      </c>
      <c r="B3780" t="s">
        <v>549</v>
      </c>
      <c r="C3780" t="s">
        <v>8052</v>
      </c>
    </row>
    <row r="3781" spans="1:3" x14ac:dyDescent="0.25">
      <c r="A3781">
        <v>46</v>
      </c>
      <c r="B3781" t="s">
        <v>493</v>
      </c>
      <c r="C3781" t="s">
        <v>8053</v>
      </c>
    </row>
    <row r="3782" spans="1:3" x14ac:dyDescent="0.25">
      <c r="A3782">
        <v>47</v>
      </c>
      <c r="B3782" t="s">
        <v>565</v>
      </c>
      <c r="C3782" t="s">
        <v>8054</v>
      </c>
    </row>
    <row r="3783" spans="1:3" x14ac:dyDescent="0.25">
      <c r="A3783">
        <v>48</v>
      </c>
      <c r="B3783" t="s">
        <v>567</v>
      </c>
      <c r="C3783" t="s">
        <v>8055</v>
      </c>
    </row>
    <row r="3784" spans="1:3" x14ac:dyDescent="0.25">
      <c r="A3784">
        <v>49</v>
      </c>
      <c r="B3784" t="s">
        <v>569</v>
      </c>
      <c r="C3784" t="s">
        <v>8056</v>
      </c>
    </row>
    <row r="3785" spans="1:3" x14ac:dyDescent="0.25">
      <c r="A3785">
        <v>50</v>
      </c>
      <c r="B3785" t="s">
        <v>523</v>
      </c>
      <c r="C3785" t="s">
        <v>8057</v>
      </c>
    </row>
    <row r="3786" spans="1:3" x14ac:dyDescent="0.25">
      <c r="A3786">
        <v>51</v>
      </c>
      <c r="B3786" t="s">
        <v>511</v>
      </c>
      <c r="C3786" t="s">
        <v>8058</v>
      </c>
    </row>
    <row r="3787" spans="1:3" x14ac:dyDescent="0.25">
      <c r="A3787">
        <v>52</v>
      </c>
      <c r="B3787" t="s">
        <v>507</v>
      </c>
      <c r="C3787" t="s">
        <v>8059</v>
      </c>
    </row>
    <row r="3788" spans="1:3" x14ac:dyDescent="0.25">
      <c r="A3788">
        <v>53</v>
      </c>
      <c r="B3788" t="s">
        <v>1379</v>
      </c>
      <c r="C3788" t="s">
        <v>8060</v>
      </c>
    </row>
    <row r="3789" spans="1:3" x14ac:dyDescent="0.25">
      <c r="A3789">
        <v>54</v>
      </c>
      <c r="B3789" t="s">
        <v>589</v>
      </c>
      <c r="C3789" t="s">
        <v>8061</v>
      </c>
    </row>
    <row r="3790" spans="1:3" x14ac:dyDescent="0.25">
      <c r="A3790">
        <v>55</v>
      </c>
      <c r="B3790" t="s">
        <v>591</v>
      </c>
      <c r="C3790" t="s">
        <v>8062</v>
      </c>
    </row>
    <row r="3791" spans="1:3" x14ac:dyDescent="0.25">
      <c r="A3791">
        <v>56</v>
      </c>
      <c r="B3791" t="s">
        <v>501</v>
      </c>
      <c r="C3791" t="s">
        <v>8063</v>
      </c>
    </row>
    <row r="3792" spans="1:3" x14ac:dyDescent="0.25">
      <c r="A3792">
        <v>57</v>
      </c>
      <c r="B3792" t="s">
        <v>489</v>
      </c>
      <c r="C3792" t="s">
        <v>8064</v>
      </c>
    </row>
    <row r="3793" spans="1:3" x14ac:dyDescent="0.25">
      <c r="A3793">
        <v>58</v>
      </c>
      <c r="B3793" t="s">
        <v>497</v>
      </c>
      <c r="C3793" t="s">
        <v>8065</v>
      </c>
    </row>
    <row r="3794" spans="1:3" x14ac:dyDescent="0.25">
      <c r="A3794">
        <v>59</v>
      </c>
      <c r="B3794" t="s">
        <v>495</v>
      </c>
      <c r="C3794" t="s">
        <v>8066</v>
      </c>
    </row>
    <row r="3795" spans="1:3" x14ac:dyDescent="0.25">
      <c r="A3795">
        <v>60</v>
      </c>
      <c r="B3795" t="s">
        <v>509</v>
      </c>
      <c r="C3795" t="s">
        <v>8067</v>
      </c>
    </row>
    <row r="3796" spans="1:3" x14ac:dyDescent="0.25">
      <c r="A3796">
        <v>61</v>
      </c>
      <c r="B3796" t="s">
        <v>531</v>
      </c>
      <c r="C3796" t="s">
        <v>8068</v>
      </c>
    </row>
    <row r="3797" spans="1:3" x14ac:dyDescent="0.25">
      <c r="A3797">
        <v>62</v>
      </c>
      <c r="B3797" t="s">
        <v>535</v>
      </c>
      <c r="C3797" t="s">
        <v>8069</v>
      </c>
    </row>
    <row r="3798" spans="1:3" x14ac:dyDescent="0.25">
      <c r="A3798">
        <v>63</v>
      </c>
      <c r="B3798" t="s">
        <v>539</v>
      </c>
      <c r="C3798" t="s">
        <v>8070</v>
      </c>
    </row>
    <row r="3799" spans="1:3" x14ac:dyDescent="0.25">
      <c r="A3799">
        <v>64</v>
      </c>
      <c r="B3799" t="s">
        <v>1418</v>
      </c>
      <c r="C3799" t="s">
        <v>8071</v>
      </c>
    </row>
    <row r="3800" spans="1:3" x14ac:dyDescent="0.25">
      <c r="A3800">
        <v>65</v>
      </c>
      <c r="B3800" t="s">
        <v>607</v>
      </c>
      <c r="C3800" t="s">
        <v>8072</v>
      </c>
    </row>
    <row r="3801" spans="1:3" x14ac:dyDescent="0.25">
      <c r="A3801">
        <v>66</v>
      </c>
      <c r="B3801" t="s">
        <v>2170</v>
      </c>
      <c r="C3801" t="s">
        <v>8073</v>
      </c>
    </row>
    <row r="3802" spans="1:3" x14ac:dyDescent="0.25">
      <c r="A3802">
        <v>67</v>
      </c>
      <c r="B3802" t="s">
        <v>1390</v>
      </c>
      <c r="C3802" t="s">
        <v>8074</v>
      </c>
    </row>
    <row r="3803" spans="1:3" x14ac:dyDescent="0.25">
      <c r="A3803">
        <v>68</v>
      </c>
      <c r="B3803" t="s">
        <v>613</v>
      </c>
      <c r="C3803" t="s">
        <v>8075</v>
      </c>
    </row>
    <row r="3804" spans="1:3" x14ac:dyDescent="0.25">
      <c r="A3804">
        <v>69</v>
      </c>
      <c r="B3804" t="s">
        <v>2019</v>
      </c>
      <c r="C3804" t="s">
        <v>8076</v>
      </c>
    </row>
    <row r="3805" spans="1:3" x14ac:dyDescent="0.25">
      <c r="A3805">
        <v>70</v>
      </c>
      <c r="B3805" t="s">
        <v>2027</v>
      </c>
      <c r="C3805" t="s">
        <v>8077</v>
      </c>
    </row>
    <row r="3806" spans="1:3" x14ac:dyDescent="0.25">
      <c r="A3806">
        <v>71</v>
      </c>
      <c r="B3806" t="s">
        <v>1421</v>
      </c>
      <c r="C3806" t="s">
        <v>8078</v>
      </c>
    </row>
    <row r="3807" spans="1:3" x14ac:dyDescent="0.25">
      <c r="A3807">
        <v>72</v>
      </c>
      <c r="B3807" t="s">
        <v>2026</v>
      </c>
      <c r="C3807" t="s">
        <v>8079</v>
      </c>
    </row>
    <row r="3808" spans="1:3" x14ac:dyDescent="0.25">
      <c r="A3808">
        <v>73</v>
      </c>
      <c r="B3808" t="s">
        <v>1853</v>
      </c>
      <c r="C3808" t="s">
        <v>8080</v>
      </c>
    </row>
    <row r="3809" spans="1:3" x14ac:dyDescent="0.25">
      <c r="A3809">
        <v>74</v>
      </c>
      <c r="B3809" t="s">
        <v>1930</v>
      </c>
      <c r="C3809" t="s">
        <v>8081</v>
      </c>
    </row>
    <row r="3810" spans="1:3" x14ac:dyDescent="0.25">
      <c r="A3810">
        <v>75</v>
      </c>
      <c r="B3810" t="s">
        <v>619</v>
      </c>
      <c r="C3810" t="s">
        <v>8082</v>
      </c>
    </row>
    <row r="3811" spans="1:3" x14ac:dyDescent="0.25">
      <c r="A3811">
        <v>76</v>
      </c>
      <c r="B3811" t="s">
        <v>617</v>
      </c>
      <c r="C3811" t="s">
        <v>8083</v>
      </c>
    </row>
    <row r="3812" spans="1:3" x14ac:dyDescent="0.25">
      <c r="A3812">
        <v>77</v>
      </c>
      <c r="B3812" t="s">
        <v>1416</v>
      </c>
      <c r="C3812" t="s">
        <v>8084</v>
      </c>
    </row>
    <row r="3813" spans="1:3" x14ac:dyDescent="0.25">
      <c r="A3813">
        <v>78</v>
      </c>
      <c r="B3813" t="s">
        <v>1410</v>
      </c>
      <c r="C3813" t="s">
        <v>8085</v>
      </c>
    </row>
    <row r="3814" spans="1:3" x14ac:dyDescent="0.25">
      <c r="A3814">
        <v>79</v>
      </c>
      <c r="B3814" t="s">
        <v>1397</v>
      </c>
      <c r="C3814" t="s">
        <v>8086</v>
      </c>
    </row>
    <row r="3815" spans="1:3" x14ac:dyDescent="0.25">
      <c r="A3815">
        <v>80</v>
      </c>
      <c r="B3815" t="s">
        <v>1440</v>
      </c>
      <c r="C3815" t="s">
        <v>8087</v>
      </c>
    </row>
    <row r="3816" spans="1:3" x14ac:dyDescent="0.25">
      <c r="A3816">
        <v>81</v>
      </c>
      <c r="B3816" t="s">
        <v>2158</v>
      </c>
      <c r="C3816" t="s">
        <v>8088</v>
      </c>
    </row>
    <row r="3817" spans="1:3" x14ac:dyDescent="0.25">
      <c r="A3817">
        <v>82</v>
      </c>
      <c r="B3817" t="s">
        <v>2159</v>
      </c>
      <c r="C3817" t="s">
        <v>8089</v>
      </c>
    </row>
    <row r="3818" spans="1:3" x14ac:dyDescent="0.25">
      <c r="A3818">
        <v>83</v>
      </c>
      <c r="B3818" t="s">
        <v>611</v>
      </c>
      <c r="C3818" t="s">
        <v>8090</v>
      </c>
    </row>
    <row r="3819" spans="1:3" x14ac:dyDescent="0.25">
      <c r="A3819">
        <v>84</v>
      </c>
      <c r="B3819" t="s">
        <v>1438</v>
      </c>
      <c r="C3819" t="s">
        <v>8091</v>
      </c>
    </row>
    <row r="3820" spans="1:3" x14ac:dyDescent="0.25">
      <c r="A3820">
        <v>85</v>
      </c>
      <c r="B3820" t="s">
        <v>1403</v>
      </c>
      <c r="C3820" t="s">
        <v>8092</v>
      </c>
    </row>
    <row r="3821" spans="1:3" x14ac:dyDescent="0.25">
      <c r="A3821">
        <v>86</v>
      </c>
      <c r="B3821" t="s">
        <v>1433</v>
      </c>
      <c r="C3821" t="s">
        <v>8093</v>
      </c>
    </row>
    <row r="3822" spans="1:3" x14ac:dyDescent="0.25">
      <c r="A3822">
        <v>87</v>
      </c>
      <c r="B3822" t="s">
        <v>1373</v>
      </c>
      <c r="C3822" t="s">
        <v>8094</v>
      </c>
    </row>
    <row r="3823" spans="1:3" x14ac:dyDescent="0.25">
      <c r="A3823">
        <v>88</v>
      </c>
      <c r="B3823" t="s">
        <v>1423</v>
      </c>
      <c r="C3823" t="s">
        <v>8095</v>
      </c>
    </row>
    <row r="3824" spans="1:3" x14ac:dyDescent="0.25">
      <c r="A3824">
        <v>89</v>
      </c>
      <c r="B3824" t="s">
        <v>2134</v>
      </c>
      <c r="C3824" t="s">
        <v>8096</v>
      </c>
    </row>
    <row r="3825" spans="1:3" x14ac:dyDescent="0.25">
      <c r="A3825">
        <v>90</v>
      </c>
      <c r="B3825" t="s">
        <v>1401</v>
      </c>
      <c r="C3825" t="s">
        <v>8097</v>
      </c>
    </row>
    <row r="3826" spans="1:3" x14ac:dyDescent="0.25">
      <c r="A3826">
        <v>91</v>
      </c>
      <c r="B3826" t="s">
        <v>1376</v>
      </c>
      <c r="C3826" t="s">
        <v>8098</v>
      </c>
    </row>
    <row r="3827" spans="1:3" x14ac:dyDescent="0.25">
      <c r="A3827">
        <v>92</v>
      </c>
      <c r="B3827" t="s">
        <v>1409</v>
      </c>
      <c r="C3827" t="s">
        <v>8099</v>
      </c>
    </row>
    <row r="3828" spans="1:3" x14ac:dyDescent="0.25">
      <c r="A3828">
        <v>93</v>
      </c>
      <c r="B3828" t="s">
        <v>491</v>
      </c>
      <c r="C3828" t="s">
        <v>8100</v>
      </c>
    </row>
    <row r="3829" spans="1:3" x14ac:dyDescent="0.25">
      <c r="A3829">
        <v>94</v>
      </c>
      <c r="B3829" t="s">
        <v>525</v>
      </c>
      <c r="C3829" t="s">
        <v>8101</v>
      </c>
    </row>
    <row r="3830" spans="1:3" x14ac:dyDescent="0.25">
      <c r="A3830">
        <v>95</v>
      </c>
      <c r="B3830" t="s">
        <v>2166</v>
      </c>
      <c r="C3830" t="s">
        <v>8102</v>
      </c>
    </row>
    <row r="3831" spans="1:3" x14ac:dyDescent="0.25">
      <c r="A3831">
        <v>96</v>
      </c>
      <c r="B3831" t="s">
        <v>1393</v>
      </c>
      <c r="C3831" t="s">
        <v>8103</v>
      </c>
    </row>
    <row r="3832" spans="1:3" x14ac:dyDescent="0.25">
      <c r="A3832">
        <v>97</v>
      </c>
      <c r="B3832" t="s">
        <v>2002</v>
      </c>
      <c r="C3832" t="s">
        <v>8104</v>
      </c>
    </row>
    <row r="3833" spans="1:3" x14ac:dyDescent="0.25">
      <c r="A3833">
        <v>98</v>
      </c>
      <c r="B3833" t="s">
        <v>1391</v>
      </c>
      <c r="C3833" t="s">
        <v>8105</v>
      </c>
    </row>
    <row r="3834" spans="1:3" x14ac:dyDescent="0.25">
      <c r="A3834">
        <v>99</v>
      </c>
      <c r="B3834" t="s">
        <v>603</v>
      </c>
      <c r="C3834" t="s">
        <v>8106</v>
      </c>
    </row>
    <row r="3835" spans="1:3" x14ac:dyDescent="0.25">
      <c r="A3835">
        <v>100</v>
      </c>
      <c r="B3835" t="s">
        <v>1417</v>
      </c>
      <c r="C3835" t="s">
        <v>8107</v>
      </c>
    </row>
    <row r="3836" spans="1:3" x14ac:dyDescent="0.25">
      <c r="A3836">
        <v>101</v>
      </c>
      <c r="B3836" t="s">
        <v>605</v>
      </c>
      <c r="C3836" t="s">
        <v>8108</v>
      </c>
    </row>
    <row r="3837" spans="1:3" x14ac:dyDescent="0.25">
      <c r="A3837">
        <v>102</v>
      </c>
      <c r="B3837" t="s">
        <v>1395</v>
      </c>
      <c r="C3837" t="s">
        <v>8109</v>
      </c>
    </row>
    <row r="3838" spans="1:3" x14ac:dyDescent="0.25">
      <c r="A3838">
        <v>103</v>
      </c>
      <c r="B3838" t="s">
        <v>1425</v>
      </c>
      <c r="C3838" t="s">
        <v>8110</v>
      </c>
    </row>
    <row r="3839" spans="1:3" x14ac:dyDescent="0.25">
      <c r="A3839">
        <v>104</v>
      </c>
      <c r="B3839" t="s">
        <v>1405</v>
      </c>
      <c r="C3839" t="s">
        <v>8111</v>
      </c>
    </row>
    <row r="3840" spans="1:3" x14ac:dyDescent="0.25">
      <c r="A3840">
        <v>105</v>
      </c>
      <c r="B3840" t="s">
        <v>1419</v>
      </c>
      <c r="C3840" t="s">
        <v>8112</v>
      </c>
    </row>
    <row r="3841" spans="1:3" x14ac:dyDescent="0.25">
      <c r="A3841">
        <v>106</v>
      </c>
      <c r="B3841" t="s">
        <v>1435</v>
      </c>
      <c r="C3841" t="s">
        <v>8113</v>
      </c>
    </row>
    <row r="3842" spans="1:3" x14ac:dyDescent="0.25">
      <c r="A3842">
        <v>107</v>
      </c>
      <c r="B3842" t="s">
        <v>2163</v>
      </c>
      <c r="C3842" t="s">
        <v>8114</v>
      </c>
    </row>
    <row r="3843" spans="1:3" x14ac:dyDescent="0.25">
      <c r="A3843">
        <v>108</v>
      </c>
      <c r="B3843" t="s">
        <v>1424</v>
      </c>
      <c r="C3843" t="s">
        <v>8115</v>
      </c>
    </row>
    <row r="3844" spans="1:3" x14ac:dyDescent="0.25">
      <c r="A3844">
        <v>109</v>
      </c>
      <c r="B3844" t="s">
        <v>1426</v>
      </c>
      <c r="C3844" t="s">
        <v>8116</v>
      </c>
    </row>
    <row r="3845" spans="1:3" x14ac:dyDescent="0.25">
      <c r="A3845">
        <v>110</v>
      </c>
      <c r="B3845" t="s">
        <v>1428</v>
      </c>
      <c r="C3845" t="s">
        <v>8117</v>
      </c>
    </row>
    <row r="3846" spans="1:3" x14ac:dyDescent="0.25">
      <c r="A3846">
        <v>111</v>
      </c>
      <c r="B3846" t="s">
        <v>1358</v>
      </c>
      <c r="C3846" t="s">
        <v>8118</v>
      </c>
    </row>
    <row r="3847" spans="1:3" x14ac:dyDescent="0.25">
      <c r="A3847">
        <v>112</v>
      </c>
      <c r="B3847" t="s">
        <v>426</v>
      </c>
      <c r="C3847" t="s">
        <v>8119</v>
      </c>
    </row>
    <row r="3848" spans="1:3" x14ac:dyDescent="0.25">
      <c r="A3848">
        <v>113</v>
      </c>
      <c r="B3848" t="s">
        <v>609</v>
      </c>
      <c r="C3848" t="s">
        <v>8120</v>
      </c>
    </row>
    <row r="3849" spans="1:3" x14ac:dyDescent="0.25">
      <c r="A3849">
        <v>114</v>
      </c>
      <c r="B3849" t="s">
        <v>1382</v>
      </c>
      <c r="C3849" t="s">
        <v>8121</v>
      </c>
    </row>
    <row r="3850" spans="1:3" x14ac:dyDescent="0.25">
      <c r="A3850">
        <v>115</v>
      </c>
      <c r="B3850" t="s">
        <v>1378</v>
      </c>
      <c r="C3850" t="s">
        <v>8122</v>
      </c>
    </row>
    <row r="3851" spans="1:3" x14ac:dyDescent="0.25">
      <c r="A3851">
        <v>116</v>
      </c>
      <c r="B3851" t="s">
        <v>1380</v>
      </c>
      <c r="C3851" t="s">
        <v>8123</v>
      </c>
    </row>
    <row r="3852" spans="1:3" x14ac:dyDescent="0.25">
      <c r="A3852">
        <v>117</v>
      </c>
      <c r="B3852" t="s">
        <v>1399</v>
      </c>
      <c r="C3852" t="s">
        <v>8124</v>
      </c>
    </row>
    <row r="3853" spans="1:3" x14ac:dyDescent="0.25">
      <c r="A3853">
        <v>118</v>
      </c>
      <c r="B3853" t="s">
        <v>1400</v>
      </c>
      <c r="C3853" t="s">
        <v>8125</v>
      </c>
    </row>
    <row r="3854" spans="1:3" x14ac:dyDescent="0.25">
      <c r="A3854">
        <v>119</v>
      </c>
      <c r="B3854" t="s">
        <v>1398</v>
      </c>
      <c r="C3854" t="s">
        <v>8126</v>
      </c>
    </row>
    <row r="3855" spans="1:3" x14ac:dyDescent="0.25">
      <c r="A3855">
        <v>120</v>
      </c>
      <c r="B3855" t="s">
        <v>1360</v>
      </c>
      <c r="C3855" t="s">
        <v>8127</v>
      </c>
    </row>
    <row r="3856" spans="1:3" x14ac:dyDescent="0.25">
      <c r="A3856">
        <v>121</v>
      </c>
      <c r="B3856" t="s">
        <v>1406</v>
      </c>
      <c r="C3856" t="s">
        <v>8128</v>
      </c>
    </row>
    <row r="3857" spans="1:3" x14ac:dyDescent="0.25">
      <c r="A3857">
        <v>122</v>
      </c>
      <c r="B3857" t="s">
        <v>1388</v>
      </c>
      <c r="C3857" t="s">
        <v>8129</v>
      </c>
    </row>
    <row r="3858" spans="1:3" x14ac:dyDescent="0.25">
      <c r="A3858">
        <v>123</v>
      </c>
      <c r="B3858" t="s">
        <v>1345</v>
      </c>
      <c r="C3858" t="s">
        <v>8130</v>
      </c>
    </row>
    <row r="3859" spans="1:3" x14ac:dyDescent="0.25">
      <c r="A3859">
        <v>124</v>
      </c>
      <c r="B3859" t="s">
        <v>615</v>
      </c>
      <c r="C3859" t="s">
        <v>8131</v>
      </c>
    </row>
    <row r="3860" spans="1:3" x14ac:dyDescent="0.25">
      <c r="A3860">
        <v>125</v>
      </c>
      <c r="B3860" t="s">
        <v>1371</v>
      </c>
      <c r="C3860" t="s">
        <v>8132</v>
      </c>
    </row>
    <row r="3861" spans="1:3" x14ac:dyDescent="0.25">
      <c r="A3861">
        <v>126</v>
      </c>
      <c r="B3861" t="s">
        <v>1343</v>
      </c>
      <c r="C3861" t="s">
        <v>8133</v>
      </c>
    </row>
    <row r="3862" spans="1:3" x14ac:dyDescent="0.25">
      <c r="A3862">
        <v>127</v>
      </c>
      <c r="B3862" t="s">
        <v>1344</v>
      </c>
      <c r="C3862" t="s">
        <v>8134</v>
      </c>
    </row>
    <row r="3863" spans="1:3" x14ac:dyDescent="0.25">
      <c r="A3863">
        <v>128</v>
      </c>
      <c r="B3863" t="s">
        <v>1338</v>
      </c>
      <c r="C3863" t="s">
        <v>8135</v>
      </c>
    </row>
    <row r="3864" spans="1:3" x14ac:dyDescent="0.25">
      <c r="A3864">
        <v>129</v>
      </c>
      <c r="B3864" t="s">
        <v>1412</v>
      </c>
      <c r="C3864" t="s">
        <v>8136</v>
      </c>
    </row>
    <row r="3865" spans="1:3" x14ac:dyDescent="0.25">
      <c r="A3865">
        <v>130</v>
      </c>
      <c r="B3865" t="s">
        <v>1491</v>
      </c>
      <c r="C3865" t="s">
        <v>8137</v>
      </c>
    </row>
    <row r="3866" spans="1:3" x14ac:dyDescent="0.25">
      <c r="A3866">
        <v>131</v>
      </c>
      <c r="B3866" t="s">
        <v>1553</v>
      </c>
      <c r="C3866" t="s">
        <v>8138</v>
      </c>
    </row>
    <row r="3867" spans="1:3" x14ac:dyDescent="0.25">
      <c r="A3867">
        <v>132</v>
      </c>
      <c r="B3867" t="s">
        <v>1520</v>
      </c>
      <c r="C3867" t="s">
        <v>8139</v>
      </c>
    </row>
    <row r="3868" spans="1:3" x14ac:dyDescent="0.25">
      <c r="A3868">
        <v>133</v>
      </c>
      <c r="B3868" t="s">
        <v>1512</v>
      </c>
      <c r="C3868" t="s">
        <v>8140</v>
      </c>
    </row>
    <row r="3869" spans="1:3" x14ac:dyDescent="0.25">
      <c r="A3869">
        <v>134</v>
      </c>
      <c r="B3869" t="s">
        <v>1484</v>
      </c>
      <c r="C3869" t="s">
        <v>8141</v>
      </c>
    </row>
    <row r="3870" spans="1:3" x14ac:dyDescent="0.25">
      <c r="A3870">
        <v>135</v>
      </c>
      <c r="B3870" t="s">
        <v>1487</v>
      </c>
      <c r="C3870" t="s">
        <v>8142</v>
      </c>
    </row>
    <row r="3871" spans="1:3" x14ac:dyDescent="0.25">
      <c r="A3871">
        <v>136</v>
      </c>
      <c r="B3871" t="s">
        <v>1516</v>
      </c>
      <c r="C3871" t="s">
        <v>8143</v>
      </c>
    </row>
    <row r="3872" spans="1:3" x14ac:dyDescent="0.25">
      <c r="A3872">
        <v>137</v>
      </c>
      <c r="B3872" t="s">
        <v>1488</v>
      </c>
      <c r="C3872" t="s">
        <v>8144</v>
      </c>
    </row>
    <row r="3873" spans="1:3" x14ac:dyDescent="0.25">
      <c r="A3873">
        <v>138</v>
      </c>
      <c r="B3873" t="s">
        <v>643</v>
      </c>
      <c r="C3873" t="s">
        <v>8145</v>
      </c>
    </row>
    <row r="3874" spans="1:3" x14ac:dyDescent="0.25">
      <c r="A3874">
        <v>139</v>
      </c>
      <c r="B3874" t="s">
        <v>1384</v>
      </c>
      <c r="C3874" t="s">
        <v>8146</v>
      </c>
    </row>
    <row r="3875" spans="1:3" x14ac:dyDescent="0.25">
      <c r="A3875">
        <v>140</v>
      </c>
      <c r="B3875" t="s">
        <v>1429</v>
      </c>
      <c r="C3875" t="s">
        <v>8147</v>
      </c>
    </row>
    <row r="3876" spans="1:3" x14ac:dyDescent="0.25">
      <c r="A3876">
        <v>141</v>
      </c>
      <c r="B3876" t="s">
        <v>1485</v>
      </c>
      <c r="C3876" t="s">
        <v>8148</v>
      </c>
    </row>
    <row r="3877" spans="1:3" x14ac:dyDescent="0.25">
      <c r="A3877">
        <v>142</v>
      </c>
      <c r="B3877" t="s">
        <v>1537</v>
      </c>
      <c r="C3877" t="s">
        <v>8149</v>
      </c>
    </row>
    <row r="3878" spans="1:3" x14ac:dyDescent="0.25">
      <c r="A3878">
        <v>143</v>
      </c>
      <c r="B3878" t="s">
        <v>1548</v>
      </c>
      <c r="C3878" t="s">
        <v>8150</v>
      </c>
    </row>
    <row r="3879" spans="1:3" x14ac:dyDescent="0.25">
      <c r="A3879">
        <v>144</v>
      </c>
      <c r="B3879" t="s">
        <v>1523</v>
      </c>
      <c r="C3879" t="s">
        <v>8151</v>
      </c>
    </row>
    <row r="3880" spans="1:3" x14ac:dyDescent="0.25">
      <c r="A3880">
        <v>145</v>
      </c>
      <c r="B3880" t="s">
        <v>1526</v>
      </c>
      <c r="C3880" t="s">
        <v>8152</v>
      </c>
    </row>
    <row r="3881" spans="1:3" x14ac:dyDescent="0.25">
      <c r="A3881">
        <v>146</v>
      </c>
      <c r="B3881" t="s">
        <v>1546</v>
      </c>
      <c r="C3881" t="s">
        <v>8153</v>
      </c>
    </row>
    <row r="3882" spans="1:3" x14ac:dyDescent="0.25">
      <c r="A3882">
        <v>147</v>
      </c>
      <c r="B3882" t="s">
        <v>1474</v>
      </c>
      <c r="C3882" t="s">
        <v>8154</v>
      </c>
    </row>
    <row r="3883" spans="1:3" x14ac:dyDescent="0.25">
      <c r="A3883">
        <v>148</v>
      </c>
      <c r="B3883" t="s">
        <v>1506</v>
      </c>
      <c r="C3883" t="s">
        <v>8155</v>
      </c>
    </row>
    <row r="3884" spans="1:3" x14ac:dyDescent="0.25">
      <c r="A3884">
        <v>149</v>
      </c>
      <c r="B3884" t="s">
        <v>1386</v>
      </c>
      <c r="C3884" t="s">
        <v>8156</v>
      </c>
    </row>
    <row r="3885" spans="1:3" x14ac:dyDescent="0.25">
      <c r="A3885">
        <v>150</v>
      </c>
      <c r="B3885" t="s">
        <v>635</v>
      </c>
      <c r="C3885" t="s">
        <v>8157</v>
      </c>
    </row>
    <row r="3886" spans="1:3" x14ac:dyDescent="0.25">
      <c r="A3886">
        <v>151</v>
      </c>
      <c r="B3886" t="s">
        <v>1501</v>
      </c>
      <c r="C3886" t="s">
        <v>8158</v>
      </c>
    </row>
    <row r="3887" spans="1:3" x14ac:dyDescent="0.25">
      <c r="A3887">
        <v>152</v>
      </c>
      <c r="B3887" t="s">
        <v>1469</v>
      </c>
      <c r="C3887" t="s">
        <v>8159</v>
      </c>
    </row>
    <row r="3888" spans="1:3" x14ac:dyDescent="0.25">
      <c r="A3888">
        <v>153</v>
      </c>
      <c r="B3888" t="s">
        <v>894</v>
      </c>
      <c r="C3888" t="s">
        <v>8160</v>
      </c>
    </row>
    <row r="3889" spans="1:3" x14ac:dyDescent="0.25">
      <c r="A3889">
        <v>154</v>
      </c>
      <c r="B3889" t="s">
        <v>787</v>
      </c>
      <c r="C3889" t="s">
        <v>8161</v>
      </c>
    </row>
    <row r="3890" spans="1:3" x14ac:dyDescent="0.25">
      <c r="A3890">
        <v>155</v>
      </c>
      <c r="B3890" t="s">
        <v>1392</v>
      </c>
      <c r="C3890" t="s">
        <v>8162</v>
      </c>
    </row>
    <row r="3891" spans="1:3" x14ac:dyDescent="0.25">
      <c r="A3891">
        <v>156</v>
      </c>
      <c r="B3891" t="s">
        <v>1455</v>
      </c>
      <c r="C3891" t="s">
        <v>8163</v>
      </c>
    </row>
    <row r="3892" spans="1:3" x14ac:dyDescent="0.25">
      <c r="A3892">
        <v>157</v>
      </c>
      <c r="B3892" t="s">
        <v>1518</v>
      </c>
      <c r="C3892" t="s">
        <v>8164</v>
      </c>
    </row>
    <row r="3893" spans="1:3" x14ac:dyDescent="0.25">
      <c r="A3893">
        <v>158</v>
      </c>
      <c r="B3893" t="s">
        <v>1539</v>
      </c>
      <c r="C3893" t="s">
        <v>8165</v>
      </c>
    </row>
    <row r="3894" spans="1:3" x14ac:dyDescent="0.25">
      <c r="A3894">
        <v>159</v>
      </c>
      <c r="B3894" t="s">
        <v>1464</v>
      </c>
      <c r="C3894" t="s">
        <v>8166</v>
      </c>
    </row>
    <row r="3895" spans="1:3" x14ac:dyDescent="0.25">
      <c r="A3895">
        <v>160</v>
      </c>
      <c r="B3895" t="s">
        <v>1528</v>
      </c>
      <c r="C3895" t="s">
        <v>8167</v>
      </c>
    </row>
    <row r="3896" spans="1:3" x14ac:dyDescent="0.25">
      <c r="A3896">
        <v>161</v>
      </c>
      <c r="B3896" t="s">
        <v>1461</v>
      </c>
      <c r="C3896" t="s">
        <v>8168</v>
      </c>
    </row>
    <row r="3897" spans="1:3" x14ac:dyDescent="0.25">
      <c r="A3897">
        <v>162</v>
      </c>
      <c r="B3897" t="s">
        <v>1422</v>
      </c>
      <c r="C3897" t="s">
        <v>8169</v>
      </c>
    </row>
    <row r="3898" spans="1:3" x14ac:dyDescent="0.25">
      <c r="A3898">
        <v>163</v>
      </c>
      <c r="B3898" t="s">
        <v>1404</v>
      </c>
      <c r="C3898" t="s">
        <v>8170</v>
      </c>
    </row>
    <row r="3899" spans="1:3" x14ac:dyDescent="0.25">
      <c r="A3899">
        <v>164</v>
      </c>
      <c r="B3899" t="s">
        <v>1365</v>
      </c>
      <c r="C3899" t="s">
        <v>8171</v>
      </c>
    </row>
    <row r="3900" spans="1:3" x14ac:dyDescent="0.25">
      <c r="A3900">
        <v>165</v>
      </c>
      <c r="B3900" t="s">
        <v>1420</v>
      </c>
      <c r="C3900" t="s">
        <v>8172</v>
      </c>
    </row>
    <row r="3901" spans="1:3" x14ac:dyDescent="0.25">
      <c r="A3901">
        <v>166</v>
      </c>
      <c r="B3901" t="s">
        <v>1364</v>
      </c>
      <c r="C3901" t="s">
        <v>8173</v>
      </c>
    </row>
    <row r="3902" spans="1:3" x14ac:dyDescent="0.25">
      <c r="A3902">
        <v>167</v>
      </c>
      <c r="B3902" t="s">
        <v>2020</v>
      </c>
      <c r="C3902" t="s">
        <v>8174</v>
      </c>
    </row>
    <row r="3903" spans="1:3" x14ac:dyDescent="0.25">
      <c r="A3903">
        <v>168</v>
      </c>
      <c r="B3903" t="s">
        <v>1357</v>
      </c>
      <c r="C3903" t="s">
        <v>8175</v>
      </c>
    </row>
    <row r="3904" spans="1:3" x14ac:dyDescent="0.25">
      <c r="A3904">
        <v>169</v>
      </c>
      <c r="B3904" t="s">
        <v>1525</v>
      </c>
      <c r="C3904" t="s">
        <v>8176</v>
      </c>
    </row>
    <row r="3905" spans="1:3" x14ac:dyDescent="0.25">
      <c r="A3905">
        <v>170</v>
      </c>
      <c r="B3905" t="s">
        <v>1447</v>
      </c>
      <c r="C3905" t="s">
        <v>8177</v>
      </c>
    </row>
    <row r="3906" spans="1:3" x14ac:dyDescent="0.25">
      <c r="A3906">
        <v>171</v>
      </c>
      <c r="B3906" t="s">
        <v>1361</v>
      </c>
      <c r="C3906" t="s">
        <v>8178</v>
      </c>
    </row>
    <row r="3907" spans="1:3" x14ac:dyDescent="0.25">
      <c r="A3907">
        <v>172</v>
      </c>
      <c r="B3907" t="s">
        <v>1362</v>
      </c>
      <c r="C3907" t="s">
        <v>8179</v>
      </c>
    </row>
    <row r="3908" spans="1:3" x14ac:dyDescent="0.25">
      <c r="A3908">
        <v>173</v>
      </c>
      <c r="B3908" t="s">
        <v>1341</v>
      </c>
      <c r="C3908" t="s">
        <v>8180</v>
      </c>
    </row>
    <row r="3909" spans="1:3" x14ac:dyDescent="0.25">
      <c r="A3909">
        <v>174</v>
      </c>
      <c r="B3909" t="s">
        <v>1340</v>
      </c>
      <c r="C3909" t="s">
        <v>8181</v>
      </c>
    </row>
    <row r="3910" spans="1:3" x14ac:dyDescent="0.25">
      <c r="A3910">
        <v>175</v>
      </c>
      <c r="B3910" t="s">
        <v>1337</v>
      </c>
      <c r="C3910" t="s">
        <v>8182</v>
      </c>
    </row>
    <row r="3911" spans="1:3" x14ac:dyDescent="0.25">
      <c r="A3911">
        <v>176</v>
      </c>
      <c r="B3911" t="s">
        <v>1927</v>
      </c>
      <c r="C3911" t="s">
        <v>8183</v>
      </c>
    </row>
    <row r="3912" spans="1:3" x14ac:dyDescent="0.25">
      <c r="A3912">
        <v>177</v>
      </c>
      <c r="B3912" t="s">
        <v>1477</v>
      </c>
      <c r="C3912" t="s">
        <v>8184</v>
      </c>
    </row>
    <row r="3913" spans="1:3" x14ac:dyDescent="0.25">
      <c r="A3913">
        <v>178</v>
      </c>
      <c r="B3913" t="s">
        <v>1545</v>
      </c>
      <c r="C3913" t="s">
        <v>8185</v>
      </c>
    </row>
    <row r="3914" spans="1:3" x14ac:dyDescent="0.25">
      <c r="A3914">
        <v>179</v>
      </c>
      <c r="B3914" t="s">
        <v>1489</v>
      </c>
      <c r="C3914" t="s">
        <v>8186</v>
      </c>
    </row>
    <row r="3915" spans="1:3" x14ac:dyDescent="0.25">
      <c r="A3915">
        <v>180</v>
      </c>
      <c r="B3915" t="s">
        <v>1472</v>
      </c>
      <c r="C3915" t="s">
        <v>8187</v>
      </c>
    </row>
    <row r="3916" spans="1:3" x14ac:dyDescent="0.25">
      <c r="A3916">
        <v>181</v>
      </c>
      <c r="B3916" t="s">
        <v>1554</v>
      </c>
      <c r="C3916" t="s">
        <v>8188</v>
      </c>
    </row>
    <row r="3917" spans="1:3" x14ac:dyDescent="0.25">
      <c r="A3917">
        <v>182</v>
      </c>
      <c r="B3917" t="s">
        <v>1458</v>
      </c>
      <c r="C3917" t="s">
        <v>8189</v>
      </c>
    </row>
    <row r="3918" spans="1:3" x14ac:dyDescent="0.25">
      <c r="A3918">
        <v>183</v>
      </c>
      <c r="B3918" t="s">
        <v>1550</v>
      </c>
      <c r="C3918" t="s">
        <v>8190</v>
      </c>
    </row>
    <row r="3919" spans="1:3" x14ac:dyDescent="0.25">
      <c r="A3919">
        <v>184</v>
      </c>
      <c r="B3919" t="s">
        <v>1456</v>
      </c>
      <c r="C3919" t="s">
        <v>8191</v>
      </c>
    </row>
    <row r="3920" spans="1:3" x14ac:dyDescent="0.25">
      <c r="A3920">
        <v>185</v>
      </c>
      <c r="B3920" t="s">
        <v>623</v>
      </c>
      <c r="C3920" t="s">
        <v>8192</v>
      </c>
    </row>
    <row r="3921" spans="1:3" x14ac:dyDescent="0.25">
      <c r="A3921">
        <v>186</v>
      </c>
      <c r="B3921" t="s">
        <v>625</v>
      </c>
      <c r="C3921" t="s">
        <v>8193</v>
      </c>
    </row>
    <row r="3922" spans="1:3" x14ac:dyDescent="0.25">
      <c r="A3922">
        <v>187</v>
      </c>
      <c r="B3922" t="s">
        <v>502</v>
      </c>
      <c r="C3922" t="s">
        <v>8194</v>
      </c>
    </row>
    <row r="3923" spans="1:3" x14ac:dyDescent="0.25">
      <c r="A3923">
        <v>188</v>
      </c>
      <c r="B3923" t="s">
        <v>647</v>
      </c>
      <c r="C3923" t="s">
        <v>8195</v>
      </c>
    </row>
    <row r="3924" spans="1:3" x14ac:dyDescent="0.25">
      <c r="A3924">
        <v>189</v>
      </c>
      <c r="B3924" t="s">
        <v>1450</v>
      </c>
      <c r="C3924" t="s">
        <v>8196</v>
      </c>
    </row>
    <row r="3925" spans="1:3" x14ac:dyDescent="0.25">
      <c r="A3925">
        <v>190</v>
      </c>
      <c r="B3925" t="s">
        <v>1527</v>
      </c>
      <c r="C3925" t="s">
        <v>8197</v>
      </c>
    </row>
    <row r="3926" spans="1:3" x14ac:dyDescent="0.25">
      <c r="A3926">
        <v>191</v>
      </c>
      <c r="B3926" t="s">
        <v>1533</v>
      </c>
      <c r="C3926" t="s">
        <v>8198</v>
      </c>
    </row>
    <row r="3927" spans="1:3" x14ac:dyDescent="0.25">
      <c r="A3927">
        <v>192</v>
      </c>
      <c r="B3927" t="s">
        <v>542</v>
      </c>
      <c r="C3927" t="s">
        <v>8199</v>
      </c>
    </row>
    <row r="3928" spans="1:3" x14ac:dyDescent="0.25">
      <c r="A3928">
        <v>193</v>
      </c>
      <c r="B3928" t="s">
        <v>869</v>
      </c>
      <c r="C3928" t="s">
        <v>8200</v>
      </c>
    </row>
    <row r="3929" spans="1:3" x14ac:dyDescent="0.25">
      <c r="A3929">
        <v>194</v>
      </c>
      <c r="B3929" t="s">
        <v>633</v>
      </c>
      <c r="C3929" t="s">
        <v>8201</v>
      </c>
    </row>
    <row r="3930" spans="1:3" x14ac:dyDescent="0.25">
      <c r="A3930">
        <v>195</v>
      </c>
      <c r="B3930" t="s">
        <v>1483</v>
      </c>
      <c r="C3930" t="s">
        <v>8202</v>
      </c>
    </row>
    <row r="3931" spans="1:3" x14ac:dyDescent="0.25">
      <c r="A3931">
        <v>196</v>
      </c>
      <c r="B3931" t="s">
        <v>621</v>
      </c>
      <c r="C3931" t="s">
        <v>8203</v>
      </c>
    </row>
    <row r="3932" spans="1:3" x14ac:dyDescent="0.25">
      <c r="A3932">
        <v>197</v>
      </c>
      <c r="B3932" t="s">
        <v>1467</v>
      </c>
      <c r="C3932" t="s">
        <v>8204</v>
      </c>
    </row>
    <row r="3933" spans="1:3" x14ac:dyDescent="0.25">
      <c r="A3933">
        <v>198</v>
      </c>
      <c r="B3933" t="s">
        <v>312</v>
      </c>
      <c r="C3933" t="s">
        <v>8205</v>
      </c>
    </row>
    <row r="3934" spans="1:3" x14ac:dyDescent="0.25">
      <c r="A3934">
        <v>199</v>
      </c>
      <c r="B3934" t="s">
        <v>1504</v>
      </c>
      <c r="C3934" t="s">
        <v>8206</v>
      </c>
    </row>
    <row r="3935" spans="1:3" x14ac:dyDescent="0.25">
      <c r="A3935">
        <v>200</v>
      </c>
      <c r="B3935" t="s">
        <v>1929</v>
      </c>
      <c r="C3935" t="s">
        <v>8207</v>
      </c>
    </row>
    <row r="3936" spans="1:3" x14ac:dyDescent="0.25">
      <c r="A3936">
        <v>201</v>
      </c>
      <c r="B3936" t="s">
        <v>1470</v>
      </c>
      <c r="C3936" t="s">
        <v>8208</v>
      </c>
    </row>
    <row r="3937" spans="1:3" x14ac:dyDescent="0.25">
      <c r="A3937">
        <v>202</v>
      </c>
      <c r="B3937" t="s">
        <v>1475</v>
      </c>
      <c r="C3937" t="s">
        <v>8209</v>
      </c>
    </row>
    <row r="3938" spans="1:3" x14ac:dyDescent="0.25">
      <c r="A3938">
        <v>203</v>
      </c>
      <c r="B3938" t="s">
        <v>1414</v>
      </c>
      <c r="C3938" t="s">
        <v>8210</v>
      </c>
    </row>
    <row r="3939" spans="1:3" x14ac:dyDescent="0.25">
      <c r="A3939">
        <v>204</v>
      </c>
      <c r="B3939" t="s">
        <v>1430</v>
      </c>
      <c r="C3939" t="s">
        <v>8211</v>
      </c>
    </row>
    <row r="3940" spans="1:3" x14ac:dyDescent="0.25">
      <c r="A3940">
        <v>205</v>
      </c>
      <c r="B3940" t="s">
        <v>1432</v>
      </c>
      <c r="C3940" t="s">
        <v>8212</v>
      </c>
    </row>
    <row r="3941" spans="1:3" x14ac:dyDescent="0.25">
      <c r="A3941">
        <v>206</v>
      </c>
      <c r="B3941" t="s">
        <v>779</v>
      </c>
      <c r="C3941" t="s">
        <v>8213</v>
      </c>
    </row>
    <row r="3942" spans="1:3" x14ac:dyDescent="0.25">
      <c r="A3942">
        <v>207</v>
      </c>
      <c r="B3942" t="s">
        <v>1479</v>
      </c>
      <c r="C3942" t="s">
        <v>8214</v>
      </c>
    </row>
    <row r="3943" spans="1:3" x14ac:dyDescent="0.25">
      <c r="A3943">
        <v>208</v>
      </c>
      <c r="B3943" t="s">
        <v>651</v>
      </c>
      <c r="C3943" t="s">
        <v>8215</v>
      </c>
    </row>
    <row r="3944" spans="1:3" x14ac:dyDescent="0.25">
      <c r="A3944">
        <v>209</v>
      </c>
      <c r="B3944" t="s">
        <v>1510</v>
      </c>
      <c r="C3944" t="s">
        <v>8216</v>
      </c>
    </row>
    <row r="3945" spans="1:3" x14ac:dyDescent="0.25">
      <c r="A3945">
        <v>210</v>
      </c>
      <c r="B3945" t="s">
        <v>1492</v>
      </c>
      <c r="C3945" t="s">
        <v>8217</v>
      </c>
    </row>
    <row r="3946" spans="1:3" x14ac:dyDescent="0.25">
      <c r="A3946">
        <v>211</v>
      </c>
      <c r="B3946" t="s">
        <v>1494</v>
      </c>
      <c r="C3946" t="s">
        <v>8218</v>
      </c>
    </row>
    <row r="3947" spans="1:3" x14ac:dyDescent="0.25">
      <c r="A3947">
        <v>212</v>
      </c>
      <c r="B3947" t="s">
        <v>887</v>
      </c>
      <c r="C3947" t="s">
        <v>8219</v>
      </c>
    </row>
    <row r="3948" spans="1:3" x14ac:dyDescent="0.25">
      <c r="A3948">
        <v>213</v>
      </c>
      <c r="B3948" t="s">
        <v>1402</v>
      </c>
      <c r="C3948" t="s">
        <v>8220</v>
      </c>
    </row>
    <row r="3949" spans="1:3" x14ac:dyDescent="0.25">
      <c r="A3949">
        <v>214</v>
      </c>
      <c r="B3949" t="s">
        <v>657</v>
      </c>
      <c r="C3949" t="s">
        <v>8221</v>
      </c>
    </row>
    <row r="3950" spans="1:3" x14ac:dyDescent="0.25">
      <c r="A3950">
        <v>215</v>
      </c>
      <c r="B3950" t="s">
        <v>663</v>
      </c>
      <c r="C3950" t="s">
        <v>8222</v>
      </c>
    </row>
    <row r="3951" spans="1:3" x14ac:dyDescent="0.25">
      <c r="A3951">
        <v>216</v>
      </c>
      <c r="B3951" t="s">
        <v>1859</v>
      </c>
      <c r="C3951" t="s">
        <v>8223</v>
      </c>
    </row>
    <row r="3952" spans="1:3" x14ac:dyDescent="0.25">
      <c r="A3952">
        <v>217</v>
      </c>
      <c r="B3952" t="s">
        <v>889</v>
      </c>
      <c r="C3952" t="s">
        <v>8224</v>
      </c>
    </row>
    <row r="3953" spans="1:3" x14ac:dyDescent="0.25">
      <c r="A3953">
        <v>218</v>
      </c>
      <c r="B3953" t="s">
        <v>783</v>
      </c>
      <c r="C3953" t="s">
        <v>8225</v>
      </c>
    </row>
    <row r="3954" spans="1:3" x14ac:dyDescent="0.25">
      <c r="A3954">
        <v>219</v>
      </c>
      <c r="B3954" t="s">
        <v>1522</v>
      </c>
      <c r="C3954" t="s">
        <v>8226</v>
      </c>
    </row>
    <row r="3955" spans="1:3" x14ac:dyDescent="0.25">
      <c r="A3955">
        <v>220</v>
      </c>
      <c r="B3955" t="s">
        <v>1857</v>
      </c>
      <c r="C3955" t="s">
        <v>8227</v>
      </c>
    </row>
    <row r="3956" spans="1:3" x14ac:dyDescent="0.25">
      <c r="A3956">
        <v>221</v>
      </c>
      <c r="B3956" t="s">
        <v>845</v>
      </c>
      <c r="C3956" t="s">
        <v>8228</v>
      </c>
    </row>
    <row r="3957" spans="1:3" x14ac:dyDescent="0.25">
      <c r="A3957">
        <v>222</v>
      </c>
      <c r="B3957" t="s">
        <v>1846</v>
      </c>
      <c r="C3957" t="s">
        <v>8229</v>
      </c>
    </row>
    <row r="3958" spans="1:3" x14ac:dyDescent="0.25">
      <c r="A3958">
        <v>223</v>
      </c>
      <c r="B3958" t="s">
        <v>1359</v>
      </c>
      <c r="C3958" t="s">
        <v>8230</v>
      </c>
    </row>
    <row r="3959" spans="1:3" x14ac:dyDescent="0.25">
      <c r="A3959">
        <v>224</v>
      </c>
      <c r="B3959" t="s">
        <v>1448</v>
      </c>
      <c r="C3959" t="s">
        <v>8231</v>
      </c>
    </row>
    <row r="3960" spans="1:3" x14ac:dyDescent="0.25">
      <c r="A3960">
        <v>225</v>
      </c>
      <c r="B3960" t="s">
        <v>483</v>
      </c>
      <c r="C3960" t="s">
        <v>8232</v>
      </c>
    </row>
    <row r="3961" spans="1:3" x14ac:dyDescent="0.25">
      <c r="A3961">
        <v>226</v>
      </c>
      <c r="B3961" t="s">
        <v>1928</v>
      </c>
      <c r="C3961" t="s">
        <v>8233</v>
      </c>
    </row>
    <row r="3962" spans="1:3" x14ac:dyDescent="0.25">
      <c r="A3962">
        <v>227</v>
      </c>
      <c r="B3962" t="s">
        <v>2017</v>
      </c>
      <c r="C3962" t="s">
        <v>8234</v>
      </c>
    </row>
    <row r="3963" spans="1:3" x14ac:dyDescent="0.25">
      <c r="A3963">
        <v>228</v>
      </c>
      <c r="B3963" t="s">
        <v>1452</v>
      </c>
      <c r="C3963" t="s">
        <v>8235</v>
      </c>
    </row>
    <row r="3964" spans="1:3" x14ac:dyDescent="0.25">
      <c r="A3964">
        <v>229</v>
      </c>
      <c r="B3964" t="s">
        <v>1493</v>
      </c>
      <c r="C3964" t="s">
        <v>8236</v>
      </c>
    </row>
    <row r="3965" spans="1:3" x14ac:dyDescent="0.25">
      <c r="A3965">
        <v>230</v>
      </c>
      <c r="B3965" t="s">
        <v>665</v>
      </c>
      <c r="C3965" t="s">
        <v>8237</v>
      </c>
    </row>
    <row r="3966" spans="1:3" x14ac:dyDescent="0.25">
      <c r="A3966">
        <v>231</v>
      </c>
      <c r="B3966" t="s">
        <v>1544</v>
      </c>
      <c r="C3966" t="s">
        <v>8238</v>
      </c>
    </row>
    <row r="3967" spans="1:3" x14ac:dyDescent="0.25">
      <c r="A3967">
        <v>232</v>
      </c>
      <c r="B3967" t="s">
        <v>1451</v>
      </c>
      <c r="C3967" t="s">
        <v>8239</v>
      </c>
    </row>
    <row r="3968" spans="1:3" x14ac:dyDescent="0.25">
      <c r="A3968">
        <v>233</v>
      </c>
      <c r="B3968" t="s">
        <v>1446</v>
      </c>
      <c r="C3968" t="s">
        <v>8240</v>
      </c>
    </row>
    <row r="3969" spans="1:3" x14ac:dyDescent="0.25">
      <c r="A3969">
        <v>234</v>
      </c>
      <c r="B3969" t="s">
        <v>1495</v>
      </c>
      <c r="C3969" t="s">
        <v>8241</v>
      </c>
    </row>
    <row r="3970" spans="1:3" x14ac:dyDescent="0.25">
      <c r="A3970">
        <v>235</v>
      </c>
      <c r="B3970" t="s">
        <v>1454</v>
      </c>
      <c r="C3970" t="s">
        <v>8242</v>
      </c>
    </row>
    <row r="3971" spans="1:3" x14ac:dyDescent="0.25">
      <c r="A3971">
        <v>236</v>
      </c>
      <c r="B3971" t="s">
        <v>1524</v>
      </c>
      <c r="C3971" t="s">
        <v>8243</v>
      </c>
    </row>
    <row r="3972" spans="1:3" x14ac:dyDescent="0.25">
      <c r="A3972">
        <v>237</v>
      </c>
      <c r="B3972" t="s">
        <v>1515</v>
      </c>
      <c r="C3972" t="s">
        <v>8244</v>
      </c>
    </row>
    <row r="3973" spans="1:3" x14ac:dyDescent="0.25">
      <c r="A3973">
        <v>238</v>
      </c>
      <c r="B3973" t="s">
        <v>1471</v>
      </c>
      <c r="C3973" t="s">
        <v>8245</v>
      </c>
    </row>
    <row r="3974" spans="1:3" x14ac:dyDescent="0.25">
      <c r="A3974">
        <v>239</v>
      </c>
      <c r="B3974" t="s">
        <v>1497</v>
      </c>
      <c r="C3974" t="s">
        <v>8246</v>
      </c>
    </row>
    <row r="3975" spans="1:3" x14ac:dyDescent="0.25">
      <c r="A3975">
        <v>240</v>
      </c>
      <c r="B3975" t="s">
        <v>1457</v>
      </c>
      <c r="C3975" t="s">
        <v>8247</v>
      </c>
    </row>
    <row r="3976" spans="1:3" x14ac:dyDescent="0.25">
      <c r="A3976">
        <v>241</v>
      </c>
      <c r="B3976" t="s">
        <v>653</v>
      </c>
      <c r="C3976" t="s">
        <v>8248</v>
      </c>
    </row>
    <row r="3977" spans="1:3" x14ac:dyDescent="0.25">
      <c r="A3977">
        <v>242</v>
      </c>
      <c r="B3977" t="s">
        <v>2114</v>
      </c>
      <c r="C3977" t="s">
        <v>8249</v>
      </c>
    </row>
    <row r="3978" spans="1:3" x14ac:dyDescent="0.25">
      <c r="A3978">
        <v>243</v>
      </c>
      <c r="B3978" t="s">
        <v>1541</v>
      </c>
      <c r="C3978" t="s">
        <v>8250</v>
      </c>
    </row>
    <row r="3979" spans="1:3" x14ac:dyDescent="0.25">
      <c r="A3979">
        <v>244</v>
      </c>
      <c r="B3979" t="s">
        <v>1459</v>
      </c>
      <c r="C3979" t="s">
        <v>8251</v>
      </c>
    </row>
    <row r="3980" spans="1:3" x14ac:dyDescent="0.25">
      <c r="A3980">
        <v>245</v>
      </c>
      <c r="B3980" t="s">
        <v>1499</v>
      </c>
      <c r="C3980" t="s">
        <v>8252</v>
      </c>
    </row>
    <row r="3981" spans="1:3" x14ac:dyDescent="0.25">
      <c r="A3981">
        <v>246</v>
      </c>
      <c r="B3981" t="s">
        <v>1460</v>
      </c>
      <c r="C3981" t="s">
        <v>8253</v>
      </c>
    </row>
    <row r="3982" spans="1:3" x14ac:dyDescent="0.25">
      <c r="A3982">
        <v>247</v>
      </c>
      <c r="B3982" t="s">
        <v>1514</v>
      </c>
      <c r="C3982" t="s">
        <v>8254</v>
      </c>
    </row>
    <row r="3983" spans="1:3" x14ac:dyDescent="0.25">
      <c r="A3983">
        <v>248</v>
      </c>
      <c r="B3983" t="s">
        <v>54</v>
      </c>
      <c r="C3983" t="s">
        <v>8255</v>
      </c>
    </row>
    <row r="3984" spans="1:3" x14ac:dyDescent="0.25">
      <c r="A3984">
        <v>249</v>
      </c>
      <c r="B3984" t="s">
        <v>873</v>
      </c>
      <c r="C3984" t="s">
        <v>8256</v>
      </c>
    </row>
    <row r="3985" spans="1:3" x14ac:dyDescent="0.25">
      <c r="A3985">
        <v>250</v>
      </c>
      <c r="B3985" t="s">
        <v>1490</v>
      </c>
      <c r="C3985" t="s">
        <v>8257</v>
      </c>
    </row>
    <row r="3986" spans="1:3" x14ac:dyDescent="0.25">
      <c r="A3986">
        <v>251</v>
      </c>
      <c r="B3986" t="s">
        <v>631</v>
      </c>
      <c r="C3986" t="s">
        <v>8258</v>
      </c>
    </row>
    <row r="3987" spans="1:3" x14ac:dyDescent="0.25">
      <c r="A3987">
        <v>252</v>
      </c>
      <c r="B3987" t="s">
        <v>765</v>
      </c>
      <c r="C3987" t="s">
        <v>8259</v>
      </c>
    </row>
    <row r="3988" spans="1:3" x14ac:dyDescent="0.25">
      <c r="A3988">
        <v>253</v>
      </c>
      <c r="B3988" t="s">
        <v>1353</v>
      </c>
      <c r="C3988" t="s">
        <v>8260</v>
      </c>
    </row>
    <row r="3989" spans="1:3" x14ac:dyDescent="0.25">
      <c r="A3989">
        <v>254</v>
      </c>
      <c r="B3989" t="s">
        <v>1354</v>
      </c>
      <c r="C3989" t="s">
        <v>8261</v>
      </c>
    </row>
    <row r="3990" spans="1:3" x14ac:dyDescent="0.25">
      <c r="A3990">
        <v>255</v>
      </c>
      <c r="B3990" t="s">
        <v>843</v>
      </c>
      <c r="C3990" t="s">
        <v>8262</v>
      </c>
    </row>
    <row r="3991" spans="1:3" x14ac:dyDescent="0.25">
      <c r="A3991">
        <v>256</v>
      </c>
      <c r="B3991" t="s">
        <v>767</v>
      </c>
      <c r="C3991" t="s">
        <v>8263</v>
      </c>
    </row>
    <row r="3992" spans="1:3" x14ac:dyDescent="0.25">
      <c r="A3992">
        <v>257</v>
      </c>
      <c r="B3992" t="s">
        <v>1443</v>
      </c>
      <c r="C3992" t="s">
        <v>8264</v>
      </c>
    </row>
    <row r="3993" spans="1:3" x14ac:dyDescent="0.25">
      <c r="A3993">
        <v>258</v>
      </c>
      <c r="B3993" t="s">
        <v>691</v>
      </c>
      <c r="C3993" t="s">
        <v>8265</v>
      </c>
    </row>
    <row r="3994" spans="1:3" x14ac:dyDescent="0.25">
      <c r="A3994">
        <v>259</v>
      </c>
      <c r="B3994" t="s">
        <v>1486</v>
      </c>
      <c r="C3994" t="s">
        <v>8266</v>
      </c>
    </row>
    <row r="3995" spans="1:3" x14ac:dyDescent="0.25">
      <c r="A3995">
        <v>260</v>
      </c>
      <c r="B3995" t="s">
        <v>1534</v>
      </c>
      <c r="C3995" t="s">
        <v>8267</v>
      </c>
    </row>
    <row r="3996" spans="1:3" x14ac:dyDescent="0.25">
      <c r="A3996">
        <v>261</v>
      </c>
      <c r="B3996" t="s">
        <v>1480</v>
      </c>
      <c r="C3996" t="s">
        <v>8268</v>
      </c>
    </row>
    <row r="3997" spans="1:3" x14ac:dyDescent="0.25">
      <c r="A3997">
        <v>262</v>
      </c>
      <c r="B3997" t="s">
        <v>1482</v>
      </c>
      <c r="C3997" t="s">
        <v>8269</v>
      </c>
    </row>
    <row r="3998" spans="1:3" x14ac:dyDescent="0.25">
      <c r="A3998">
        <v>263</v>
      </c>
      <c r="B3998" t="s">
        <v>1933</v>
      </c>
      <c r="C3998" t="s">
        <v>8270</v>
      </c>
    </row>
    <row r="3999" spans="1:3" x14ac:dyDescent="0.25">
      <c r="A3999">
        <v>264</v>
      </c>
      <c r="B3999" t="s">
        <v>655</v>
      </c>
      <c r="C3999" t="s">
        <v>8271</v>
      </c>
    </row>
    <row r="4000" spans="1:3" x14ac:dyDescent="0.25">
      <c r="A4000">
        <v>265</v>
      </c>
      <c r="B4000" t="s">
        <v>1367</v>
      </c>
      <c r="C4000" t="s">
        <v>8272</v>
      </c>
    </row>
    <row r="4001" spans="1:3" x14ac:dyDescent="0.25">
      <c r="A4001">
        <v>266</v>
      </c>
      <c r="B4001" t="s">
        <v>1366</v>
      </c>
      <c r="C4001" t="s">
        <v>8273</v>
      </c>
    </row>
    <row r="4002" spans="1:3" x14ac:dyDescent="0.25">
      <c r="A4002">
        <v>267</v>
      </c>
      <c r="B4002" t="s">
        <v>2110</v>
      </c>
      <c r="C4002" t="s">
        <v>8274</v>
      </c>
    </row>
    <row r="4003" spans="1:3" x14ac:dyDescent="0.25">
      <c r="A4003">
        <v>268</v>
      </c>
      <c r="B4003" t="s">
        <v>645</v>
      </c>
      <c r="C4003" t="s">
        <v>8275</v>
      </c>
    </row>
    <row r="4004" spans="1:3" x14ac:dyDescent="0.25">
      <c r="A4004">
        <v>269</v>
      </c>
      <c r="B4004" t="s">
        <v>1984</v>
      </c>
      <c r="C4004" t="s">
        <v>8276</v>
      </c>
    </row>
    <row r="4005" spans="1:3" x14ac:dyDescent="0.25">
      <c r="A4005">
        <v>270</v>
      </c>
      <c r="B4005" t="s">
        <v>837</v>
      </c>
      <c r="C4005" t="s">
        <v>8277</v>
      </c>
    </row>
    <row r="4006" spans="1:3" x14ac:dyDescent="0.25">
      <c r="A4006">
        <v>271</v>
      </c>
      <c r="B4006" t="s">
        <v>1449</v>
      </c>
      <c r="C4006" t="s">
        <v>8278</v>
      </c>
    </row>
    <row r="4007" spans="1:3" x14ac:dyDescent="0.25">
      <c r="A4007">
        <v>272</v>
      </c>
      <c r="B4007" t="s">
        <v>1509</v>
      </c>
      <c r="C4007" t="s">
        <v>8279</v>
      </c>
    </row>
    <row r="4008" spans="1:3" x14ac:dyDescent="0.25">
      <c r="A4008">
        <v>273</v>
      </c>
      <c r="B4008" t="s">
        <v>1529</v>
      </c>
      <c r="C4008" t="s">
        <v>8280</v>
      </c>
    </row>
    <row r="4009" spans="1:3" x14ac:dyDescent="0.25">
      <c r="A4009">
        <v>274</v>
      </c>
      <c r="B4009" t="s">
        <v>1531</v>
      </c>
      <c r="C4009" t="s">
        <v>8281</v>
      </c>
    </row>
    <row r="4010" spans="1:3" x14ac:dyDescent="0.25">
      <c r="A4010">
        <v>275</v>
      </c>
      <c r="B4010" t="s">
        <v>1498</v>
      </c>
      <c r="C4010" t="s">
        <v>8282</v>
      </c>
    </row>
    <row r="4011" spans="1:3" x14ac:dyDescent="0.25">
      <c r="A4011">
        <v>276</v>
      </c>
      <c r="B4011" t="s">
        <v>1496</v>
      </c>
      <c r="C4011" t="s">
        <v>8283</v>
      </c>
    </row>
    <row r="4012" spans="1:3" x14ac:dyDescent="0.25">
      <c r="A4012">
        <v>277</v>
      </c>
      <c r="B4012" t="s">
        <v>1500</v>
      </c>
      <c r="C4012" t="s">
        <v>8284</v>
      </c>
    </row>
    <row r="4013" spans="1:3" x14ac:dyDescent="0.25">
      <c r="A4013">
        <v>278</v>
      </c>
      <c r="B4013" t="s">
        <v>1511</v>
      </c>
      <c r="C4013" t="s">
        <v>8285</v>
      </c>
    </row>
    <row r="4014" spans="1:3" x14ac:dyDescent="0.25">
      <c r="A4014">
        <v>279</v>
      </c>
      <c r="B4014" t="s">
        <v>1508</v>
      </c>
      <c r="C4014" t="s">
        <v>8286</v>
      </c>
    </row>
    <row r="4015" spans="1:3" x14ac:dyDescent="0.25">
      <c r="A4015">
        <v>280</v>
      </c>
      <c r="B4015" t="s">
        <v>841</v>
      </c>
      <c r="C4015" t="s">
        <v>8287</v>
      </c>
    </row>
    <row r="4016" spans="1:3" x14ac:dyDescent="0.25">
      <c r="A4016">
        <v>281</v>
      </c>
      <c r="B4016" t="s">
        <v>1847</v>
      </c>
      <c r="C4016" t="s">
        <v>8288</v>
      </c>
    </row>
    <row r="4017" spans="1:3" x14ac:dyDescent="0.25">
      <c r="A4017">
        <v>282</v>
      </c>
      <c r="B4017" t="s">
        <v>781</v>
      </c>
      <c r="C4017" t="s">
        <v>8289</v>
      </c>
    </row>
    <row r="4018" spans="1:3" x14ac:dyDescent="0.25">
      <c r="A4018">
        <v>283</v>
      </c>
      <c r="B4018" t="s">
        <v>1348</v>
      </c>
      <c r="C4018" t="s">
        <v>8290</v>
      </c>
    </row>
    <row r="4019" spans="1:3" x14ac:dyDescent="0.25">
      <c r="A4019">
        <v>284</v>
      </c>
      <c r="B4019" t="s">
        <v>1540</v>
      </c>
      <c r="C4019" t="s">
        <v>8291</v>
      </c>
    </row>
    <row r="4020" spans="1:3" x14ac:dyDescent="0.25">
      <c r="A4020">
        <v>285</v>
      </c>
      <c r="B4020" t="s">
        <v>659</v>
      </c>
      <c r="C4020" t="s">
        <v>8292</v>
      </c>
    </row>
    <row r="4021" spans="1:3" x14ac:dyDescent="0.25">
      <c r="A4021">
        <v>286</v>
      </c>
      <c r="B4021" t="s">
        <v>1370</v>
      </c>
      <c r="C4021" t="s">
        <v>8293</v>
      </c>
    </row>
    <row r="4022" spans="1:3" x14ac:dyDescent="0.25">
      <c r="A4022">
        <v>287</v>
      </c>
      <c r="B4022" t="s">
        <v>1369</v>
      </c>
      <c r="C4022" t="s">
        <v>8294</v>
      </c>
    </row>
    <row r="4023" spans="1:3" x14ac:dyDescent="0.25">
      <c r="A4023">
        <v>288</v>
      </c>
      <c r="B4023" t="s">
        <v>1513</v>
      </c>
      <c r="C4023" t="s">
        <v>8295</v>
      </c>
    </row>
    <row r="4024" spans="1:3" x14ac:dyDescent="0.25">
      <c r="A4024">
        <v>289</v>
      </c>
      <c r="B4024" t="s">
        <v>667</v>
      </c>
      <c r="C4024" t="s">
        <v>8296</v>
      </c>
    </row>
    <row r="4025" spans="1:3" x14ac:dyDescent="0.25">
      <c r="A4025">
        <v>290</v>
      </c>
      <c r="B4025" t="s">
        <v>1363</v>
      </c>
      <c r="C4025" t="s">
        <v>8297</v>
      </c>
    </row>
    <row r="4026" spans="1:3" x14ac:dyDescent="0.25">
      <c r="A4026">
        <v>291</v>
      </c>
      <c r="B4026" t="s">
        <v>64</v>
      </c>
      <c r="C4026" t="s">
        <v>8298</v>
      </c>
    </row>
    <row r="4027" spans="1:3" x14ac:dyDescent="0.25">
      <c r="A4027">
        <v>292</v>
      </c>
      <c r="B4027" t="s">
        <v>1555</v>
      </c>
      <c r="C4027" t="s">
        <v>8299</v>
      </c>
    </row>
    <row r="4028" spans="1:3" x14ac:dyDescent="0.25">
      <c r="A4028">
        <v>293</v>
      </c>
      <c r="B4028" t="s">
        <v>785</v>
      </c>
      <c r="C4028" t="s">
        <v>8300</v>
      </c>
    </row>
    <row r="4029" spans="1:3" x14ac:dyDescent="0.25">
      <c r="A4029">
        <v>294</v>
      </c>
      <c r="B4029" t="s">
        <v>1462</v>
      </c>
      <c r="C4029" t="s">
        <v>8301</v>
      </c>
    </row>
    <row r="4030" spans="1:3" x14ac:dyDescent="0.25">
      <c r="A4030">
        <v>295</v>
      </c>
      <c r="B4030" t="s">
        <v>1532</v>
      </c>
      <c r="C4030" t="s">
        <v>8302</v>
      </c>
    </row>
    <row r="4031" spans="1:3" x14ac:dyDescent="0.25">
      <c r="A4031">
        <v>296</v>
      </c>
      <c r="B4031" t="s">
        <v>1505</v>
      </c>
      <c r="C4031" t="s">
        <v>8303</v>
      </c>
    </row>
    <row r="4032" spans="1:3" x14ac:dyDescent="0.25">
      <c r="A4032">
        <v>297</v>
      </c>
      <c r="B4032" t="s">
        <v>1473</v>
      </c>
      <c r="C4032" t="s">
        <v>8304</v>
      </c>
    </row>
    <row r="4033" spans="1:3" x14ac:dyDescent="0.25">
      <c r="A4033">
        <v>298</v>
      </c>
      <c r="B4033" t="s">
        <v>56</v>
      </c>
      <c r="C4033" t="s">
        <v>8305</v>
      </c>
    </row>
    <row r="4034" spans="1:3" x14ac:dyDescent="0.25">
      <c r="A4034">
        <v>299</v>
      </c>
      <c r="B4034" t="s">
        <v>71</v>
      </c>
      <c r="C4034" t="s">
        <v>8306</v>
      </c>
    </row>
    <row r="4035" spans="1:3" x14ac:dyDescent="0.25">
      <c r="A4035">
        <v>300</v>
      </c>
      <c r="B4035" t="s">
        <v>1466</v>
      </c>
      <c r="C4035" t="s">
        <v>8307</v>
      </c>
    </row>
    <row r="4036" spans="1:3" x14ac:dyDescent="0.25">
      <c r="A4036">
        <v>301</v>
      </c>
      <c r="B4036" t="s">
        <v>1503</v>
      </c>
      <c r="C4036" t="s">
        <v>8308</v>
      </c>
    </row>
    <row r="4037" spans="1:3" x14ac:dyDescent="0.25">
      <c r="A4037">
        <v>302</v>
      </c>
      <c r="B4037" t="s">
        <v>1476</v>
      </c>
      <c r="C4037" t="s">
        <v>8309</v>
      </c>
    </row>
    <row r="4038" spans="1:3" x14ac:dyDescent="0.25">
      <c r="A4038">
        <v>303</v>
      </c>
      <c r="B4038" t="s">
        <v>65</v>
      </c>
      <c r="C4038" t="s">
        <v>8310</v>
      </c>
    </row>
    <row r="4039" spans="1:3" x14ac:dyDescent="0.25">
      <c r="A4039">
        <v>304</v>
      </c>
      <c r="B4039" t="s">
        <v>661</v>
      </c>
      <c r="C4039" t="s">
        <v>8311</v>
      </c>
    </row>
    <row r="4040" spans="1:3" x14ac:dyDescent="0.25">
      <c r="A4040">
        <v>305</v>
      </c>
      <c r="B4040" t="s">
        <v>60</v>
      </c>
      <c r="C4040" t="s">
        <v>8312</v>
      </c>
    </row>
    <row r="4041" spans="1:3" x14ac:dyDescent="0.25">
      <c r="A4041">
        <v>306</v>
      </c>
      <c r="B4041" t="s">
        <v>55</v>
      </c>
      <c r="C4041" t="s">
        <v>8313</v>
      </c>
    </row>
    <row r="4042" spans="1:3" x14ac:dyDescent="0.25">
      <c r="A4042">
        <v>307</v>
      </c>
      <c r="B4042" t="s">
        <v>1463</v>
      </c>
      <c r="C4042" t="s">
        <v>8314</v>
      </c>
    </row>
    <row r="4043" spans="1:3" x14ac:dyDescent="0.25">
      <c r="A4043">
        <v>308</v>
      </c>
      <c r="B4043" t="s">
        <v>1502</v>
      </c>
      <c r="C4043" t="s">
        <v>8315</v>
      </c>
    </row>
    <row r="4044" spans="1:3" x14ac:dyDescent="0.25">
      <c r="A4044">
        <v>309</v>
      </c>
      <c r="B4044" t="s">
        <v>61</v>
      </c>
      <c r="C4044" t="s">
        <v>8316</v>
      </c>
    </row>
    <row r="4045" spans="1:3" x14ac:dyDescent="0.25">
      <c r="A4045">
        <v>310</v>
      </c>
      <c r="B4045" t="s">
        <v>67</v>
      </c>
      <c r="C4045" t="s">
        <v>8317</v>
      </c>
    </row>
    <row r="4046" spans="1:3" x14ac:dyDescent="0.25">
      <c r="A4046">
        <v>311</v>
      </c>
      <c r="B4046" t="s">
        <v>62</v>
      </c>
      <c r="C4046" t="s">
        <v>8318</v>
      </c>
    </row>
    <row r="4047" spans="1:3" x14ac:dyDescent="0.25">
      <c r="A4047">
        <v>312</v>
      </c>
      <c r="B4047" t="s">
        <v>1543</v>
      </c>
      <c r="C4047" t="s">
        <v>8319</v>
      </c>
    </row>
    <row r="4048" spans="1:3" x14ac:dyDescent="0.25">
      <c r="A4048">
        <v>313</v>
      </c>
      <c r="B4048" t="s">
        <v>1468</v>
      </c>
      <c r="C4048" t="s">
        <v>8320</v>
      </c>
    </row>
    <row r="4049" spans="1:3" x14ac:dyDescent="0.25">
      <c r="A4049">
        <v>314</v>
      </c>
      <c r="B4049" t="s">
        <v>66</v>
      </c>
      <c r="C4049" t="s">
        <v>8321</v>
      </c>
    </row>
    <row r="4050" spans="1:3" x14ac:dyDescent="0.25">
      <c r="A4050">
        <v>315</v>
      </c>
      <c r="B4050" t="s">
        <v>59</v>
      </c>
      <c r="C4050" t="s">
        <v>8322</v>
      </c>
    </row>
    <row r="4051" spans="1:3" x14ac:dyDescent="0.25">
      <c r="A4051">
        <v>316</v>
      </c>
      <c r="B4051" t="s">
        <v>1530</v>
      </c>
      <c r="C4051" t="s">
        <v>7837</v>
      </c>
    </row>
    <row r="4052" spans="1:3" x14ac:dyDescent="0.25">
      <c r="A4052">
        <v>317</v>
      </c>
      <c r="B4052" t="s">
        <v>63</v>
      </c>
      <c r="C4052" t="s">
        <v>8323</v>
      </c>
    </row>
    <row r="4053" spans="1:3" x14ac:dyDescent="0.25">
      <c r="A4053">
        <v>318</v>
      </c>
      <c r="B4053" t="s">
        <v>1983</v>
      </c>
      <c r="C4053" t="s">
        <v>8324</v>
      </c>
    </row>
    <row r="4054" spans="1:3" x14ac:dyDescent="0.25">
      <c r="A4054">
        <v>319</v>
      </c>
      <c r="B4054" t="s">
        <v>1411</v>
      </c>
      <c r="C4054" t="s">
        <v>8325</v>
      </c>
    </row>
    <row r="4055" spans="1:3" x14ac:dyDescent="0.25">
      <c r="A4055">
        <v>320</v>
      </c>
      <c r="B4055" t="s">
        <v>2004</v>
      </c>
      <c r="C4055" t="s">
        <v>8326</v>
      </c>
    </row>
    <row r="4056" spans="1:3" x14ac:dyDescent="0.25">
      <c r="A4056">
        <v>321</v>
      </c>
      <c r="B4056" t="s">
        <v>2151</v>
      </c>
      <c r="C4056" t="s">
        <v>8327</v>
      </c>
    </row>
    <row r="4057" spans="1:3" x14ac:dyDescent="0.25">
      <c r="A4057">
        <v>322</v>
      </c>
      <c r="B4057" t="s">
        <v>1849</v>
      </c>
      <c r="C4057" t="s">
        <v>8328</v>
      </c>
    </row>
    <row r="4058" spans="1:3" x14ac:dyDescent="0.25">
      <c r="A4058">
        <v>323</v>
      </c>
      <c r="B4058" t="s">
        <v>69</v>
      </c>
      <c r="C4058" t="s">
        <v>8329</v>
      </c>
    </row>
    <row r="4059" spans="1:3" x14ac:dyDescent="0.25">
      <c r="A4059">
        <v>324</v>
      </c>
      <c r="B4059" t="s">
        <v>1517</v>
      </c>
      <c r="C4059" t="s">
        <v>8330</v>
      </c>
    </row>
    <row r="4060" spans="1:3" x14ac:dyDescent="0.25">
      <c r="A4060">
        <v>325</v>
      </c>
      <c r="B4060" t="s">
        <v>641</v>
      </c>
      <c r="C4060" t="s">
        <v>8331</v>
      </c>
    </row>
    <row r="4061" spans="1:3" x14ac:dyDescent="0.25">
      <c r="A4061">
        <v>326</v>
      </c>
      <c r="B4061" t="s">
        <v>1445</v>
      </c>
      <c r="C4061" t="s">
        <v>8332</v>
      </c>
    </row>
    <row r="4062" spans="1:3" x14ac:dyDescent="0.25">
      <c r="A4062">
        <v>327</v>
      </c>
      <c r="B4062" t="s">
        <v>892</v>
      </c>
      <c r="C4062" t="s">
        <v>8333</v>
      </c>
    </row>
    <row r="4063" spans="1:3" x14ac:dyDescent="0.25">
      <c r="A4063">
        <v>328</v>
      </c>
      <c r="B4063" t="s">
        <v>1453</v>
      </c>
      <c r="C4063" t="s">
        <v>8334</v>
      </c>
    </row>
    <row r="4064" spans="1:3" x14ac:dyDescent="0.25">
      <c r="A4064">
        <v>329</v>
      </c>
      <c r="B4064" t="s">
        <v>835</v>
      </c>
      <c r="C4064" t="s">
        <v>8335</v>
      </c>
    </row>
    <row r="4065" spans="1:3" x14ac:dyDescent="0.25">
      <c r="A4065">
        <v>330</v>
      </c>
      <c r="B4065" t="s">
        <v>629</v>
      </c>
      <c r="C4065" t="s">
        <v>8336</v>
      </c>
    </row>
    <row r="4066" spans="1:3" x14ac:dyDescent="0.25">
      <c r="A4066">
        <v>331</v>
      </c>
      <c r="B4066" t="s">
        <v>890</v>
      </c>
      <c r="C4066" t="s">
        <v>8337</v>
      </c>
    </row>
    <row r="4067" spans="1:3" x14ac:dyDescent="0.25">
      <c r="A4067">
        <v>332</v>
      </c>
      <c r="B4067" t="s">
        <v>1478</v>
      </c>
      <c r="C4067" t="s">
        <v>8338</v>
      </c>
    </row>
    <row r="4068" spans="1:3" x14ac:dyDescent="0.25">
      <c r="A4068">
        <v>333</v>
      </c>
      <c r="B4068" t="s">
        <v>1507</v>
      </c>
      <c r="C4068" t="s">
        <v>8339</v>
      </c>
    </row>
    <row r="4069" spans="1:3" x14ac:dyDescent="0.25">
      <c r="A4069">
        <v>334</v>
      </c>
      <c r="B4069" t="s">
        <v>1519</v>
      </c>
      <c r="C4069" t="s">
        <v>8340</v>
      </c>
    </row>
    <row r="4070" spans="1:3" x14ac:dyDescent="0.25">
      <c r="A4070">
        <v>335</v>
      </c>
      <c r="B4070" t="s">
        <v>637</v>
      </c>
      <c r="C4070" t="s">
        <v>8341</v>
      </c>
    </row>
    <row r="4071" spans="1:3" x14ac:dyDescent="0.25">
      <c r="A4071">
        <v>336</v>
      </c>
      <c r="B4071" t="s">
        <v>639</v>
      </c>
      <c r="C4071" t="s">
        <v>8342</v>
      </c>
    </row>
    <row r="4072" spans="1:3" x14ac:dyDescent="0.25">
      <c r="A4072">
        <v>337</v>
      </c>
      <c r="B4072" t="s">
        <v>769</v>
      </c>
      <c r="C4072" t="s">
        <v>8343</v>
      </c>
    </row>
    <row r="4073" spans="1:3" x14ac:dyDescent="0.25">
      <c r="A4073">
        <v>338</v>
      </c>
      <c r="B4073" t="s">
        <v>763</v>
      </c>
      <c r="C4073" t="s">
        <v>8344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C25D4-DF0A-40CD-B49C-02CA6B02F31E}">
  <dimension ref="A2:N347"/>
  <sheetViews>
    <sheetView topLeftCell="A319" workbookViewId="0">
      <selection activeCell="F331" sqref="F331"/>
    </sheetView>
  </sheetViews>
  <sheetFormatPr defaultRowHeight="15" x14ac:dyDescent="0.25"/>
  <cols>
    <col min="1" max="1" width="41.5703125" bestFit="1" customWidth="1"/>
    <col min="2" max="2" width="8.42578125" bestFit="1" customWidth="1"/>
    <col min="7" max="7" width="2.140625" bestFit="1" customWidth="1"/>
    <col min="8" max="8" width="7" bestFit="1" customWidth="1"/>
    <col min="9" max="9" width="13.85546875" customWidth="1"/>
  </cols>
  <sheetData>
    <row r="2" spans="1:10" x14ac:dyDescent="0.25">
      <c r="A2" t="s">
        <v>2</v>
      </c>
      <c r="B2" t="s">
        <v>2335</v>
      </c>
      <c r="G2" t="s">
        <v>2384</v>
      </c>
      <c r="H2">
        <v>62063</v>
      </c>
      <c r="I2" t="s">
        <v>2387</v>
      </c>
      <c r="J2" t="str">
        <f>"ia.assorted_string like '%"&amp;H2&amp;"-"&amp;I2&amp;B2&amp;"%' or"</f>
        <v>ia.assorted_string like '%62063-00054-07-2022%' or</v>
      </c>
    </row>
    <row r="3" spans="1:10" x14ac:dyDescent="0.25">
      <c r="A3" t="s">
        <v>54</v>
      </c>
      <c r="B3" t="s">
        <v>2355</v>
      </c>
      <c r="G3" t="s">
        <v>2384</v>
      </c>
      <c r="H3">
        <v>89125</v>
      </c>
      <c r="I3" t="s">
        <v>2388</v>
      </c>
      <c r="J3" t="str">
        <f t="shared" ref="J3:J66" si="0">"ia.assorted_string like '%"&amp;H3&amp;"-"&amp;I3&amp;B3&amp;"%' or"</f>
        <v>ia.assorted_string like '%89125-00001-05-2024%' or</v>
      </c>
    </row>
    <row r="4" spans="1:10" x14ac:dyDescent="0.25">
      <c r="A4" t="s">
        <v>55</v>
      </c>
      <c r="B4" t="s">
        <v>2342</v>
      </c>
      <c r="G4" t="s">
        <v>2384</v>
      </c>
      <c r="H4">
        <v>97805</v>
      </c>
      <c r="I4" t="s">
        <v>2389</v>
      </c>
      <c r="J4" t="str">
        <f t="shared" si="0"/>
        <v>ia.assorted_string like '%97805-00126-09-2024%' or</v>
      </c>
    </row>
    <row r="5" spans="1:10" x14ac:dyDescent="0.25">
      <c r="A5" t="s">
        <v>56</v>
      </c>
      <c r="B5" t="s">
        <v>2342</v>
      </c>
      <c r="G5" t="s">
        <v>2384</v>
      </c>
      <c r="H5">
        <v>97805</v>
      </c>
      <c r="I5" t="s">
        <v>2390</v>
      </c>
      <c r="J5" t="str">
        <f t="shared" si="0"/>
        <v>ia.assorted_string like '%97805-00059-09-2024%' or</v>
      </c>
    </row>
    <row r="6" spans="1:10" x14ac:dyDescent="0.25">
      <c r="A6" t="s">
        <v>59</v>
      </c>
      <c r="B6" t="s">
        <v>2342</v>
      </c>
      <c r="G6" t="s">
        <v>2384</v>
      </c>
      <c r="H6">
        <v>97805</v>
      </c>
      <c r="I6" t="s">
        <v>2391</v>
      </c>
      <c r="J6" t="str">
        <f t="shared" si="0"/>
        <v>ia.assorted_string like '%97805-00320-09-2024%' or</v>
      </c>
    </row>
    <row r="7" spans="1:10" x14ac:dyDescent="0.25">
      <c r="A7" t="s">
        <v>60</v>
      </c>
      <c r="B7" t="s">
        <v>2342</v>
      </c>
      <c r="G7" t="s">
        <v>2384</v>
      </c>
      <c r="H7">
        <v>97805</v>
      </c>
      <c r="I7" t="s">
        <v>2392</v>
      </c>
      <c r="J7" t="str">
        <f t="shared" si="0"/>
        <v>ia.assorted_string like '%97805-00123-09-2024%' or</v>
      </c>
    </row>
    <row r="8" spans="1:10" x14ac:dyDescent="0.25">
      <c r="A8" t="s">
        <v>61</v>
      </c>
      <c r="B8" t="s">
        <v>2342</v>
      </c>
      <c r="G8" t="s">
        <v>2384</v>
      </c>
      <c r="H8">
        <v>97805</v>
      </c>
      <c r="I8" t="s">
        <v>2393</v>
      </c>
      <c r="J8" t="str">
        <f t="shared" si="0"/>
        <v>ia.assorted_string like '%97805-00197-09-2024%' or</v>
      </c>
    </row>
    <row r="9" spans="1:10" x14ac:dyDescent="0.25">
      <c r="A9" t="s">
        <v>62</v>
      </c>
      <c r="B9" t="s">
        <v>2342</v>
      </c>
      <c r="G9" t="s">
        <v>2384</v>
      </c>
      <c r="H9">
        <v>97805</v>
      </c>
      <c r="I9" t="s">
        <v>2394</v>
      </c>
      <c r="J9" t="str">
        <f t="shared" si="0"/>
        <v>ia.assorted_string like '%97805-00260-09-2024%' or</v>
      </c>
    </row>
    <row r="10" spans="1:10" x14ac:dyDescent="0.25">
      <c r="A10" t="s">
        <v>63</v>
      </c>
      <c r="B10" t="s">
        <v>2342</v>
      </c>
      <c r="G10" t="s">
        <v>2384</v>
      </c>
      <c r="H10">
        <v>97805</v>
      </c>
      <c r="I10" t="s">
        <v>2395</v>
      </c>
      <c r="J10" t="str">
        <f t="shared" si="0"/>
        <v>ia.assorted_string like '%97805-00326-09-2024%' or</v>
      </c>
    </row>
    <row r="11" spans="1:10" x14ac:dyDescent="0.25">
      <c r="A11" t="s">
        <v>64</v>
      </c>
      <c r="B11" t="s">
        <v>2342</v>
      </c>
      <c r="G11" t="s">
        <v>2384</v>
      </c>
      <c r="H11">
        <v>97805</v>
      </c>
      <c r="I11" t="s">
        <v>2396</v>
      </c>
      <c r="J11" t="str">
        <f t="shared" si="0"/>
        <v>ia.assorted_string like '%97805-00005-09-2024%' or</v>
      </c>
    </row>
    <row r="12" spans="1:10" x14ac:dyDescent="0.25">
      <c r="A12" t="s">
        <v>65</v>
      </c>
      <c r="B12" t="s">
        <v>2342</v>
      </c>
      <c r="G12" t="s">
        <v>2384</v>
      </c>
      <c r="H12">
        <v>97805</v>
      </c>
      <c r="I12" t="s">
        <v>2397</v>
      </c>
      <c r="J12" t="str">
        <f t="shared" si="0"/>
        <v>ia.assorted_string like '%97805-00113-09-2024%' or</v>
      </c>
    </row>
    <row r="13" spans="1:10" x14ac:dyDescent="0.25">
      <c r="A13" t="s">
        <v>66</v>
      </c>
      <c r="B13" t="s">
        <v>2342</v>
      </c>
      <c r="G13" t="s">
        <v>2384</v>
      </c>
      <c r="H13">
        <v>97805</v>
      </c>
      <c r="I13" t="s">
        <v>2398</v>
      </c>
      <c r="J13" t="str">
        <f t="shared" si="0"/>
        <v>ia.assorted_string like '%97805-00296-09-2024%' or</v>
      </c>
    </row>
    <row r="14" spans="1:10" x14ac:dyDescent="0.25">
      <c r="A14" t="s">
        <v>67</v>
      </c>
      <c r="B14" t="s">
        <v>2342</v>
      </c>
      <c r="G14" t="s">
        <v>2384</v>
      </c>
      <c r="H14">
        <v>97805</v>
      </c>
      <c r="I14" t="s">
        <v>2399</v>
      </c>
      <c r="J14" t="str">
        <f t="shared" si="0"/>
        <v>ia.assorted_string like '%97805-00210-09-2024%' or</v>
      </c>
    </row>
    <row r="15" spans="1:10" x14ac:dyDescent="0.25">
      <c r="A15" t="s">
        <v>69</v>
      </c>
      <c r="B15" t="s">
        <v>2355</v>
      </c>
      <c r="G15" t="s">
        <v>2384</v>
      </c>
      <c r="H15">
        <v>89123</v>
      </c>
      <c r="I15" t="s">
        <v>2400</v>
      </c>
      <c r="J15" t="str">
        <f t="shared" si="0"/>
        <v>ia.assorted_string like '%89123-00002-05-2024%' or</v>
      </c>
    </row>
    <row r="16" spans="1:10" x14ac:dyDescent="0.25">
      <c r="A16" t="s">
        <v>71</v>
      </c>
      <c r="B16" t="s">
        <v>2342</v>
      </c>
      <c r="G16" t="s">
        <v>2384</v>
      </c>
      <c r="H16">
        <v>97805</v>
      </c>
      <c r="I16" t="s">
        <v>2401</v>
      </c>
      <c r="J16" t="str">
        <f t="shared" si="0"/>
        <v>ia.assorted_string like '%97805-00063-09-2024%' or</v>
      </c>
    </row>
    <row r="17" spans="1:10" x14ac:dyDescent="0.25">
      <c r="A17" t="s">
        <v>312</v>
      </c>
      <c r="B17" t="s">
        <v>2339</v>
      </c>
      <c r="G17" t="s">
        <v>2384</v>
      </c>
      <c r="H17">
        <v>85888</v>
      </c>
      <c r="I17" t="s">
        <v>2388</v>
      </c>
      <c r="J17" t="str">
        <f t="shared" si="0"/>
        <v>ia.assorted_string like '%85888-00001-03-2024%' or</v>
      </c>
    </row>
    <row r="18" spans="1:10" x14ac:dyDescent="0.25">
      <c r="A18" t="s">
        <v>426</v>
      </c>
      <c r="B18" t="s">
        <v>2347</v>
      </c>
      <c r="G18" t="s">
        <v>2384</v>
      </c>
      <c r="H18">
        <v>86663</v>
      </c>
      <c r="I18" t="s">
        <v>2402</v>
      </c>
      <c r="J18" t="str">
        <f t="shared" si="0"/>
        <v>ia.assorted_string like '%86663-00003-04-2024%' or</v>
      </c>
    </row>
    <row r="19" spans="1:10" x14ac:dyDescent="0.25">
      <c r="A19" t="s">
        <v>483</v>
      </c>
      <c r="B19" t="s">
        <v>2371</v>
      </c>
      <c r="G19" t="s">
        <v>2384</v>
      </c>
      <c r="H19">
        <v>100194</v>
      </c>
      <c r="I19" t="s">
        <v>2403</v>
      </c>
      <c r="J19" t="str">
        <f t="shared" si="0"/>
        <v>ia.assorted_string like '%100194-00007-10-2024%' or</v>
      </c>
    </row>
    <row r="20" spans="1:10" x14ac:dyDescent="0.25">
      <c r="A20" t="s">
        <v>485</v>
      </c>
      <c r="B20" t="s">
        <v>2365</v>
      </c>
      <c r="G20" t="s">
        <v>2384</v>
      </c>
      <c r="H20">
        <v>59626</v>
      </c>
      <c r="I20" t="s">
        <v>2404</v>
      </c>
      <c r="J20" t="str">
        <f t="shared" si="0"/>
        <v>ia.assorted_string like '%59626-00035-03-2022%' or</v>
      </c>
    </row>
    <row r="21" spans="1:10" x14ac:dyDescent="0.25">
      <c r="A21" t="s">
        <v>489</v>
      </c>
      <c r="B21" t="s">
        <v>2351</v>
      </c>
      <c r="G21" t="s">
        <v>2384</v>
      </c>
      <c r="H21">
        <v>63072</v>
      </c>
      <c r="I21" t="s">
        <v>2405</v>
      </c>
      <c r="J21" t="str">
        <f t="shared" si="0"/>
        <v>ia.assorted_string like '%63072-00047-08-2022%' or</v>
      </c>
    </row>
    <row r="22" spans="1:10" x14ac:dyDescent="0.25">
      <c r="A22" t="s">
        <v>491</v>
      </c>
      <c r="B22" t="s">
        <v>2358</v>
      </c>
      <c r="G22" t="s">
        <v>2384</v>
      </c>
      <c r="H22">
        <v>64082</v>
      </c>
      <c r="I22" t="s">
        <v>2406</v>
      </c>
      <c r="J22" t="str">
        <f t="shared" si="0"/>
        <v>ia.assorted_string like '%64082-00019-10-2022%' or</v>
      </c>
    </row>
    <row r="23" spans="1:10" x14ac:dyDescent="0.25">
      <c r="A23" t="s">
        <v>493</v>
      </c>
      <c r="B23" t="s">
        <v>2353</v>
      </c>
      <c r="G23" t="s">
        <v>2384</v>
      </c>
      <c r="H23">
        <v>65057</v>
      </c>
      <c r="I23" t="s">
        <v>2407</v>
      </c>
      <c r="J23" t="str">
        <f t="shared" si="0"/>
        <v>ia.assorted_string like '%65057-00351-11-2022%' or</v>
      </c>
    </row>
    <row r="24" spans="1:10" x14ac:dyDescent="0.25">
      <c r="A24" t="s">
        <v>495</v>
      </c>
      <c r="B24" t="s">
        <v>2348</v>
      </c>
      <c r="G24" t="s">
        <v>2384</v>
      </c>
      <c r="H24">
        <v>65500</v>
      </c>
      <c r="I24" t="s">
        <v>2408</v>
      </c>
      <c r="J24" t="str">
        <f t="shared" si="0"/>
        <v>ia.assorted_string like '%65500-00016-12-2022%' or</v>
      </c>
    </row>
    <row r="25" spans="1:10" x14ac:dyDescent="0.25">
      <c r="A25" t="s">
        <v>497</v>
      </c>
      <c r="B25" t="s">
        <v>2348</v>
      </c>
      <c r="G25" t="s">
        <v>2384</v>
      </c>
      <c r="H25">
        <v>65602</v>
      </c>
      <c r="I25" t="s">
        <v>2409</v>
      </c>
      <c r="J25" t="str">
        <f t="shared" si="0"/>
        <v>ia.assorted_string like '%65602-00584-12-2022%' or</v>
      </c>
    </row>
    <row r="26" spans="1:10" x14ac:dyDescent="0.25">
      <c r="A26" t="s">
        <v>499</v>
      </c>
      <c r="B26" t="s">
        <v>2348</v>
      </c>
      <c r="G26" t="s">
        <v>2384</v>
      </c>
      <c r="H26">
        <v>65883</v>
      </c>
      <c r="I26" t="s">
        <v>2403</v>
      </c>
      <c r="J26" t="str">
        <f t="shared" si="0"/>
        <v>ia.assorted_string like '%65883-00007-12-2022%' or</v>
      </c>
    </row>
    <row r="27" spans="1:10" x14ac:dyDescent="0.25">
      <c r="A27" t="s">
        <v>501</v>
      </c>
      <c r="B27" t="s">
        <v>2350</v>
      </c>
      <c r="G27" t="s">
        <v>2384</v>
      </c>
      <c r="H27">
        <v>66572</v>
      </c>
      <c r="I27" t="s">
        <v>2410</v>
      </c>
      <c r="J27" t="str">
        <f t="shared" si="0"/>
        <v>ia.assorted_string like '%66572-00018-01-2023%' or</v>
      </c>
    </row>
    <row r="28" spans="1:10" x14ac:dyDescent="0.25">
      <c r="A28" t="s">
        <v>502</v>
      </c>
      <c r="B28" t="s">
        <v>2339</v>
      </c>
      <c r="G28" t="s">
        <v>2384</v>
      </c>
      <c r="H28">
        <v>85858</v>
      </c>
      <c r="I28" t="s">
        <v>2411</v>
      </c>
      <c r="J28" t="str">
        <f t="shared" si="0"/>
        <v>ia.assorted_string like '%85858-00004-03-2024%' or</v>
      </c>
    </row>
    <row r="29" spans="1:10" x14ac:dyDescent="0.25">
      <c r="A29" t="s">
        <v>503</v>
      </c>
      <c r="B29" t="s">
        <v>2350</v>
      </c>
      <c r="G29" t="s">
        <v>2384</v>
      </c>
      <c r="H29">
        <v>66791</v>
      </c>
      <c r="I29" t="s">
        <v>2412</v>
      </c>
      <c r="J29" t="str">
        <f t="shared" si="0"/>
        <v>ia.assorted_string like '%66791-00105-01-2023%' or</v>
      </c>
    </row>
    <row r="30" spans="1:10" x14ac:dyDescent="0.25">
      <c r="A30" t="s">
        <v>505</v>
      </c>
      <c r="B30" t="s">
        <v>2337</v>
      </c>
      <c r="G30" t="s">
        <v>2384</v>
      </c>
      <c r="H30">
        <v>68220</v>
      </c>
      <c r="I30" t="s">
        <v>2413</v>
      </c>
      <c r="J30" t="str">
        <f t="shared" si="0"/>
        <v>ia.assorted_string like '%68220-00291-02-2023%' or</v>
      </c>
    </row>
    <row r="31" spans="1:10" x14ac:dyDescent="0.25">
      <c r="A31" t="s">
        <v>507</v>
      </c>
      <c r="B31" t="s">
        <v>2336</v>
      </c>
      <c r="G31" t="s">
        <v>2384</v>
      </c>
      <c r="H31">
        <v>68593</v>
      </c>
      <c r="I31" t="s">
        <v>2414</v>
      </c>
      <c r="J31" t="str">
        <f t="shared" si="0"/>
        <v>ia.assorted_string like '%68593-00030-03-2023%' or</v>
      </c>
    </row>
    <row r="32" spans="1:10" x14ac:dyDescent="0.25">
      <c r="A32" t="s">
        <v>509</v>
      </c>
      <c r="B32" t="s">
        <v>2336</v>
      </c>
      <c r="G32" t="s">
        <v>2384</v>
      </c>
      <c r="H32">
        <v>68699</v>
      </c>
      <c r="I32" t="s">
        <v>2415</v>
      </c>
      <c r="J32" t="str">
        <f t="shared" si="0"/>
        <v>ia.assorted_string like '%68699-00038-03-2023%' or</v>
      </c>
    </row>
    <row r="33" spans="1:10" x14ac:dyDescent="0.25">
      <c r="A33" t="s">
        <v>511</v>
      </c>
      <c r="B33" t="s">
        <v>2336</v>
      </c>
      <c r="G33" t="s">
        <v>2384</v>
      </c>
      <c r="H33">
        <v>68827</v>
      </c>
      <c r="I33" t="s">
        <v>2400</v>
      </c>
      <c r="J33" t="str">
        <f t="shared" si="0"/>
        <v>ia.assorted_string like '%68827-00002-03-2023%' or</v>
      </c>
    </row>
    <row r="34" spans="1:10" x14ac:dyDescent="0.25">
      <c r="A34" t="s">
        <v>513</v>
      </c>
      <c r="B34" t="s">
        <v>2336</v>
      </c>
      <c r="G34" t="s">
        <v>2384</v>
      </c>
      <c r="H34">
        <v>69014</v>
      </c>
      <c r="I34" t="s">
        <v>2416</v>
      </c>
      <c r="J34" t="str">
        <f t="shared" si="0"/>
        <v>ia.assorted_string like '%69014-00009-03-2023%' or</v>
      </c>
    </row>
    <row r="35" spans="1:10" x14ac:dyDescent="0.25">
      <c r="A35" t="s">
        <v>515</v>
      </c>
      <c r="B35" t="s">
        <v>2336</v>
      </c>
      <c r="G35" t="s">
        <v>2384</v>
      </c>
      <c r="H35">
        <v>69252</v>
      </c>
      <c r="I35" t="s">
        <v>2403</v>
      </c>
      <c r="J35" t="str">
        <f t="shared" si="0"/>
        <v>ia.assorted_string like '%69252-00007-03-2023%' or</v>
      </c>
    </row>
    <row r="36" spans="1:10" x14ac:dyDescent="0.25">
      <c r="A36" t="s">
        <v>517</v>
      </c>
      <c r="B36" t="s">
        <v>2356</v>
      </c>
      <c r="G36" t="s">
        <v>2384</v>
      </c>
      <c r="H36">
        <v>69943</v>
      </c>
      <c r="I36" t="s">
        <v>2417</v>
      </c>
      <c r="J36" t="str">
        <f t="shared" si="0"/>
        <v>ia.assorted_string like '%69943-00102-04-2023%' or</v>
      </c>
    </row>
    <row r="37" spans="1:10" x14ac:dyDescent="0.25">
      <c r="A37" t="s">
        <v>519</v>
      </c>
      <c r="B37" t="s">
        <v>2356</v>
      </c>
      <c r="G37" t="s">
        <v>2384</v>
      </c>
      <c r="H37">
        <v>69943</v>
      </c>
      <c r="I37" t="s">
        <v>2418</v>
      </c>
      <c r="J37" t="str">
        <f t="shared" si="0"/>
        <v>ia.assorted_string like '%69943-00111-04-2023%' or</v>
      </c>
    </row>
    <row r="38" spans="1:10" x14ac:dyDescent="0.25">
      <c r="A38" t="s">
        <v>521</v>
      </c>
      <c r="B38" t="s">
        <v>2356</v>
      </c>
      <c r="G38" t="s">
        <v>2384</v>
      </c>
      <c r="H38">
        <v>69943</v>
      </c>
      <c r="I38" t="s">
        <v>2419</v>
      </c>
      <c r="J38" t="str">
        <f t="shared" si="0"/>
        <v>ia.assorted_string like '%69943-00135-04-2023%' or</v>
      </c>
    </row>
    <row r="39" spans="1:10" x14ac:dyDescent="0.25">
      <c r="A39" t="s">
        <v>523</v>
      </c>
      <c r="B39" t="s">
        <v>2356</v>
      </c>
      <c r="G39" t="s">
        <v>2384</v>
      </c>
      <c r="H39">
        <v>69943</v>
      </c>
      <c r="I39" t="s">
        <v>2420</v>
      </c>
      <c r="J39" t="str">
        <f t="shared" si="0"/>
        <v>ia.assorted_string like '%69943-00014-04-2023%' or</v>
      </c>
    </row>
    <row r="40" spans="1:10" x14ac:dyDescent="0.25">
      <c r="A40" t="s">
        <v>525</v>
      </c>
      <c r="B40" t="s">
        <v>2356</v>
      </c>
      <c r="G40" t="s">
        <v>2384</v>
      </c>
      <c r="H40">
        <v>69943</v>
      </c>
      <c r="I40" t="s">
        <v>2408</v>
      </c>
      <c r="J40" t="str">
        <f t="shared" si="0"/>
        <v>ia.assorted_string like '%69943-00016-04-2023%' or</v>
      </c>
    </row>
    <row r="41" spans="1:10" x14ac:dyDescent="0.25">
      <c r="A41" t="s">
        <v>527</v>
      </c>
      <c r="B41" t="s">
        <v>2356</v>
      </c>
      <c r="G41" t="s">
        <v>2384</v>
      </c>
      <c r="H41">
        <v>69943</v>
      </c>
      <c r="I41" t="s">
        <v>2421</v>
      </c>
      <c r="J41" t="str">
        <f t="shared" si="0"/>
        <v>ia.assorted_string like '%69943-00182-04-2023%' or</v>
      </c>
    </row>
    <row r="42" spans="1:10" x14ac:dyDescent="0.25">
      <c r="A42" t="s">
        <v>529</v>
      </c>
      <c r="B42" t="s">
        <v>2356</v>
      </c>
      <c r="G42" t="s">
        <v>2384</v>
      </c>
      <c r="H42">
        <v>69943</v>
      </c>
      <c r="I42" t="s">
        <v>2422</v>
      </c>
      <c r="J42" t="str">
        <f t="shared" si="0"/>
        <v>ia.assorted_string like '%69943-00184-04-2023%' or</v>
      </c>
    </row>
    <row r="43" spans="1:10" x14ac:dyDescent="0.25">
      <c r="A43" t="s">
        <v>531</v>
      </c>
      <c r="B43" t="s">
        <v>2356</v>
      </c>
      <c r="G43" t="s">
        <v>2384</v>
      </c>
      <c r="H43">
        <v>69943</v>
      </c>
      <c r="I43" t="s">
        <v>2423</v>
      </c>
      <c r="J43" t="str">
        <f t="shared" si="0"/>
        <v>ia.assorted_string like '%69943-00187-04-2023%' or</v>
      </c>
    </row>
    <row r="44" spans="1:10" x14ac:dyDescent="0.25">
      <c r="A44" t="s">
        <v>533</v>
      </c>
      <c r="B44" t="s">
        <v>2356</v>
      </c>
      <c r="G44" t="s">
        <v>2384</v>
      </c>
      <c r="H44">
        <v>69943</v>
      </c>
      <c r="I44" t="s">
        <v>2424</v>
      </c>
      <c r="J44" t="str">
        <f t="shared" si="0"/>
        <v>ia.assorted_string like '%69943-00201-04-2023%' or</v>
      </c>
    </row>
    <row r="45" spans="1:10" x14ac:dyDescent="0.25">
      <c r="A45" t="s">
        <v>535</v>
      </c>
      <c r="B45" t="s">
        <v>2356</v>
      </c>
      <c r="G45" t="s">
        <v>2384</v>
      </c>
      <c r="H45">
        <v>69943</v>
      </c>
      <c r="I45" t="s">
        <v>2425</v>
      </c>
      <c r="J45" t="str">
        <f t="shared" si="0"/>
        <v>ia.assorted_string like '%69943-00206-04-2023%' or</v>
      </c>
    </row>
    <row r="46" spans="1:10" x14ac:dyDescent="0.25">
      <c r="A46" t="s">
        <v>537</v>
      </c>
      <c r="B46" t="s">
        <v>2356</v>
      </c>
      <c r="G46" t="s">
        <v>2384</v>
      </c>
      <c r="H46">
        <v>69943</v>
      </c>
      <c r="I46" t="s">
        <v>2426</v>
      </c>
      <c r="J46" t="str">
        <f t="shared" si="0"/>
        <v>ia.assorted_string like '%69943-00226-04-2023%' or</v>
      </c>
    </row>
    <row r="47" spans="1:10" x14ac:dyDescent="0.25">
      <c r="A47" t="s">
        <v>539</v>
      </c>
      <c r="B47" t="s">
        <v>2356</v>
      </c>
      <c r="G47" t="s">
        <v>2384</v>
      </c>
      <c r="H47">
        <v>69943</v>
      </c>
      <c r="I47" t="s">
        <v>2427</v>
      </c>
      <c r="J47" t="str">
        <f t="shared" si="0"/>
        <v>ia.assorted_string like '%69943-00229-04-2023%' or</v>
      </c>
    </row>
    <row r="48" spans="1:10" x14ac:dyDescent="0.25">
      <c r="A48" t="s">
        <v>541</v>
      </c>
      <c r="B48" t="s">
        <v>2356</v>
      </c>
      <c r="G48" t="s">
        <v>2384</v>
      </c>
      <c r="H48">
        <v>69943</v>
      </c>
      <c r="I48" t="s">
        <v>2428</v>
      </c>
      <c r="J48" t="str">
        <f t="shared" si="0"/>
        <v>ia.assorted_string like '%69943-00230-04-2023%' or</v>
      </c>
    </row>
    <row r="49" spans="1:10" x14ac:dyDescent="0.25">
      <c r="A49" t="s">
        <v>542</v>
      </c>
      <c r="B49" t="s">
        <v>2347</v>
      </c>
      <c r="G49" t="s">
        <v>2384</v>
      </c>
      <c r="H49">
        <v>86550</v>
      </c>
      <c r="I49" t="s">
        <v>2429</v>
      </c>
      <c r="J49" t="str">
        <f t="shared" si="0"/>
        <v>ia.assorted_string like '%86550-00039-04-2024%' or</v>
      </c>
    </row>
    <row r="50" spans="1:10" x14ac:dyDescent="0.25">
      <c r="A50" t="s">
        <v>543</v>
      </c>
      <c r="B50" t="s">
        <v>2356</v>
      </c>
      <c r="G50" t="s">
        <v>2384</v>
      </c>
      <c r="H50">
        <v>69943</v>
      </c>
      <c r="I50" t="s">
        <v>2430</v>
      </c>
      <c r="J50" t="str">
        <f t="shared" si="0"/>
        <v>ia.assorted_string like '%69943-00232-04-2023%' or</v>
      </c>
    </row>
    <row r="51" spans="1:10" x14ac:dyDescent="0.25">
      <c r="A51" t="s">
        <v>545</v>
      </c>
      <c r="B51" t="s">
        <v>2356</v>
      </c>
      <c r="G51" t="s">
        <v>2384</v>
      </c>
      <c r="H51">
        <v>69943</v>
      </c>
      <c r="I51" t="s">
        <v>2431</v>
      </c>
      <c r="J51" t="str">
        <f t="shared" si="0"/>
        <v>ia.assorted_string like '%69943-00236-04-2023%' or</v>
      </c>
    </row>
    <row r="52" spans="1:10" x14ac:dyDescent="0.25">
      <c r="A52" t="s">
        <v>547</v>
      </c>
      <c r="B52" t="s">
        <v>2356</v>
      </c>
      <c r="G52" t="s">
        <v>2384</v>
      </c>
      <c r="H52">
        <v>69943</v>
      </c>
      <c r="I52" t="s">
        <v>2432</v>
      </c>
      <c r="J52" t="str">
        <f t="shared" si="0"/>
        <v>ia.assorted_string like '%69943-00239-04-2023%' or</v>
      </c>
    </row>
    <row r="53" spans="1:10" x14ac:dyDescent="0.25">
      <c r="A53" t="s">
        <v>549</v>
      </c>
      <c r="B53" t="s">
        <v>2356</v>
      </c>
      <c r="G53" t="s">
        <v>2384</v>
      </c>
      <c r="H53">
        <v>69943</v>
      </c>
      <c r="I53" t="s">
        <v>2433</v>
      </c>
      <c r="J53" t="str">
        <f t="shared" si="0"/>
        <v>ia.assorted_string like '%69943-00025-04-2023%' or</v>
      </c>
    </row>
    <row r="54" spans="1:10" x14ac:dyDescent="0.25">
      <c r="A54" t="s">
        <v>551</v>
      </c>
      <c r="B54" t="s">
        <v>2356</v>
      </c>
      <c r="G54" t="s">
        <v>2384</v>
      </c>
      <c r="H54">
        <v>69943</v>
      </c>
      <c r="I54" t="s">
        <v>2434</v>
      </c>
      <c r="J54" t="str">
        <f t="shared" si="0"/>
        <v>ia.assorted_string like '%69943-00250-04-2023%' or</v>
      </c>
    </row>
    <row r="55" spans="1:10" x14ac:dyDescent="0.25">
      <c r="A55" t="s">
        <v>553</v>
      </c>
      <c r="B55" t="s">
        <v>2356</v>
      </c>
      <c r="G55" t="s">
        <v>2384</v>
      </c>
      <c r="H55">
        <v>69943</v>
      </c>
      <c r="I55" t="s">
        <v>2435</v>
      </c>
      <c r="J55" t="str">
        <f t="shared" si="0"/>
        <v>ia.assorted_string like '%69943-00254-04-2023%' or</v>
      </c>
    </row>
    <row r="56" spans="1:10" x14ac:dyDescent="0.25">
      <c r="A56" t="s">
        <v>555</v>
      </c>
      <c r="B56" t="s">
        <v>2356</v>
      </c>
      <c r="G56" t="s">
        <v>2384</v>
      </c>
      <c r="H56">
        <v>69943</v>
      </c>
      <c r="I56" t="s">
        <v>2394</v>
      </c>
      <c r="J56" t="str">
        <f t="shared" si="0"/>
        <v>ia.assorted_string like '%69943-00260-04-2023%' or</v>
      </c>
    </row>
    <row r="57" spans="1:10" x14ac:dyDescent="0.25">
      <c r="A57" t="s">
        <v>557</v>
      </c>
      <c r="B57" t="s">
        <v>2356</v>
      </c>
      <c r="G57" t="s">
        <v>2384</v>
      </c>
      <c r="H57">
        <v>69943</v>
      </c>
      <c r="I57" t="s">
        <v>2436</v>
      </c>
      <c r="J57" t="str">
        <f t="shared" si="0"/>
        <v>ia.assorted_string like '%69943-00266-04-2023%' or</v>
      </c>
    </row>
    <row r="58" spans="1:10" x14ac:dyDescent="0.25">
      <c r="A58" t="s">
        <v>559</v>
      </c>
      <c r="B58" t="s">
        <v>2356</v>
      </c>
      <c r="G58" t="s">
        <v>2384</v>
      </c>
      <c r="H58">
        <v>69943</v>
      </c>
      <c r="I58" t="s">
        <v>2437</v>
      </c>
      <c r="J58" t="str">
        <f t="shared" si="0"/>
        <v>ia.assorted_string like '%69943-00267-04-2023%' or</v>
      </c>
    </row>
    <row r="59" spans="1:10" x14ac:dyDescent="0.25">
      <c r="A59" t="s">
        <v>561</v>
      </c>
      <c r="B59" t="s">
        <v>2356</v>
      </c>
      <c r="G59" t="s">
        <v>2384</v>
      </c>
      <c r="H59">
        <v>69943</v>
      </c>
      <c r="I59" t="s">
        <v>2438</v>
      </c>
      <c r="J59" t="str">
        <f t="shared" si="0"/>
        <v>ia.assorted_string like '%69943-00276-04-2023%' or</v>
      </c>
    </row>
    <row r="60" spans="1:10" x14ac:dyDescent="0.25">
      <c r="A60" t="s">
        <v>563</v>
      </c>
      <c r="B60" t="s">
        <v>2356</v>
      </c>
      <c r="G60" t="s">
        <v>2384</v>
      </c>
      <c r="H60">
        <v>69943</v>
      </c>
      <c r="I60" t="s">
        <v>2439</v>
      </c>
      <c r="J60" t="str">
        <f t="shared" si="0"/>
        <v>ia.assorted_string like '%69943-00314-04-2023%' or</v>
      </c>
    </row>
    <row r="61" spans="1:10" x14ac:dyDescent="0.25">
      <c r="A61" t="s">
        <v>565</v>
      </c>
      <c r="B61" t="s">
        <v>2356</v>
      </c>
      <c r="G61" t="s">
        <v>2384</v>
      </c>
      <c r="H61">
        <v>69943</v>
      </c>
      <c r="I61" t="s">
        <v>2440</v>
      </c>
      <c r="J61" t="str">
        <f t="shared" si="0"/>
        <v>ia.assorted_string like '%69943-00036-04-2023%' or</v>
      </c>
    </row>
    <row r="62" spans="1:10" x14ac:dyDescent="0.25">
      <c r="A62" t="s">
        <v>567</v>
      </c>
      <c r="B62" t="s">
        <v>2356</v>
      </c>
      <c r="G62" t="s">
        <v>2384</v>
      </c>
      <c r="H62">
        <v>69943</v>
      </c>
      <c r="I62" t="s">
        <v>2441</v>
      </c>
      <c r="J62" t="str">
        <f t="shared" si="0"/>
        <v>ia.assorted_string like '%69943-00043-04-2023%' or</v>
      </c>
    </row>
    <row r="63" spans="1:10" x14ac:dyDescent="0.25">
      <c r="A63" t="s">
        <v>569</v>
      </c>
      <c r="B63" t="s">
        <v>2356</v>
      </c>
      <c r="G63" t="s">
        <v>2384</v>
      </c>
      <c r="H63">
        <v>69943</v>
      </c>
      <c r="I63" t="s">
        <v>2442</v>
      </c>
      <c r="J63" t="str">
        <f t="shared" si="0"/>
        <v>ia.assorted_string like '%69943-00049-04-2023%' or</v>
      </c>
    </row>
    <row r="64" spans="1:10" x14ac:dyDescent="0.25">
      <c r="A64" t="s">
        <v>571</v>
      </c>
      <c r="B64" t="s">
        <v>2356</v>
      </c>
      <c r="G64" t="s">
        <v>2384</v>
      </c>
      <c r="H64">
        <v>69943</v>
      </c>
      <c r="I64" t="s">
        <v>2443</v>
      </c>
      <c r="J64" t="str">
        <f t="shared" si="0"/>
        <v>ia.assorted_string like '%69943-00060-04-2023%' or</v>
      </c>
    </row>
    <row r="65" spans="1:10" x14ac:dyDescent="0.25">
      <c r="A65" t="s">
        <v>573</v>
      </c>
      <c r="B65" t="s">
        <v>2356</v>
      </c>
      <c r="G65" t="s">
        <v>2384</v>
      </c>
      <c r="H65">
        <v>69943</v>
      </c>
      <c r="I65" t="s">
        <v>2401</v>
      </c>
      <c r="J65" t="str">
        <f t="shared" si="0"/>
        <v>ia.assorted_string like '%69943-00063-04-2023%' or</v>
      </c>
    </row>
    <row r="66" spans="1:10" x14ac:dyDescent="0.25">
      <c r="A66" t="s">
        <v>575</v>
      </c>
      <c r="B66" t="s">
        <v>2356</v>
      </c>
      <c r="G66" t="s">
        <v>2384</v>
      </c>
      <c r="H66">
        <v>70036</v>
      </c>
      <c r="I66" t="s">
        <v>2401</v>
      </c>
      <c r="J66" t="str">
        <f t="shared" si="0"/>
        <v>ia.assorted_string like '%70036-00063-04-2023%' or</v>
      </c>
    </row>
    <row r="67" spans="1:10" x14ac:dyDescent="0.25">
      <c r="A67" t="s">
        <v>577</v>
      </c>
      <c r="B67" t="s">
        <v>2356</v>
      </c>
      <c r="G67" t="s">
        <v>2384</v>
      </c>
      <c r="H67">
        <v>70057</v>
      </c>
      <c r="I67" t="s">
        <v>2398</v>
      </c>
      <c r="J67" t="str">
        <f t="shared" ref="J67:J130" si="1">"ia.assorted_string like '%"&amp;H67&amp;"-"&amp;I67&amp;B67&amp;"%' or"</f>
        <v>ia.assorted_string like '%70057-00296-04-2023%' or</v>
      </c>
    </row>
    <row r="68" spans="1:10" x14ac:dyDescent="0.25">
      <c r="A68" t="s">
        <v>579</v>
      </c>
      <c r="B68" t="s">
        <v>2356</v>
      </c>
      <c r="G68" t="s">
        <v>2384</v>
      </c>
      <c r="H68">
        <v>70057</v>
      </c>
      <c r="I68" t="s">
        <v>2444</v>
      </c>
      <c r="J68" t="str">
        <f t="shared" si="1"/>
        <v>ia.assorted_string like '%70057-00321-04-2023%' or</v>
      </c>
    </row>
    <row r="69" spans="1:10" x14ac:dyDescent="0.25">
      <c r="A69" t="s">
        <v>581</v>
      </c>
      <c r="B69" t="s">
        <v>2338</v>
      </c>
      <c r="G69" t="s">
        <v>2384</v>
      </c>
      <c r="H69">
        <v>71203</v>
      </c>
      <c r="I69" t="s">
        <v>2397</v>
      </c>
      <c r="J69" t="str">
        <f t="shared" si="1"/>
        <v>ia.assorted_string like '%71203-00113-05-2023%' or</v>
      </c>
    </row>
    <row r="70" spans="1:10" x14ac:dyDescent="0.25">
      <c r="A70" t="s">
        <v>583</v>
      </c>
      <c r="B70" t="s">
        <v>2338</v>
      </c>
      <c r="G70" t="s">
        <v>2384</v>
      </c>
      <c r="H70">
        <v>71203</v>
      </c>
      <c r="I70" t="s">
        <v>2445</v>
      </c>
      <c r="J70" t="str">
        <f t="shared" si="1"/>
        <v>ia.assorted_string like '%71203-00120-05-2023%' or</v>
      </c>
    </row>
    <row r="71" spans="1:10" x14ac:dyDescent="0.25">
      <c r="A71" t="s">
        <v>585</v>
      </c>
      <c r="B71" t="s">
        <v>2338</v>
      </c>
      <c r="G71" t="s">
        <v>2384</v>
      </c>
      <c r="H71">
        <v>71203</v>
      </c>
      <c r="I71" t="s">
        <v>2446</v>
      </c>
      <c r="J71" t="str">
        <f t="shared" si="1"/>
        <v>ia.assorted_string like '%71203-00145-05-2023%' or</v>
      </c>
    </row>
    <row r="72" spans="1:10" x14ac:dyDescent="0.25">
      <c r="A72" t="s">
        <v>587</v>
      </c>
      <c r="B72" t="s">
        <v>2338</v>
      </c>
      <c r="G72" t="s">
        <v>2384</v>
      </c>
      <c r="H72">
        <v>71203</v>
      </c>
      <c r="I72" t="s">
        <v>2447</v>
      </c>
      <c r="J72" t="str">
        <f t="shared" si="1"/>
        <v>ia.assorted_string like '%71203-00161-05-2023%' or</v>
      </c>
    </row>
    <row r="73" spans="1:10" x14ac:dyDescent="0.25">
      <c r="A73" t="s">
        <v>589</v>
      </c>
      <c r="B73" t="s">
        <v>2338</v>
      </c>
      <c r="G73" t="s">
        <v>2384</v>
      </c>
      <c r="H73">
        <v>71203</v>
      </c>
      <c r="I73" t="s">
        <v>2448</v>
      </c>
      <c r="J73" t="str">
        <f t="shared" si="1"/>
        <v>ia.assorted_string like '%71203-00020-05-2023%' or</v>
      </c>
    </row>
    <row r="74" spans="1:10" x14ac:dyDescent="0.25">
      <c r="A74" t="s">
        <v>591</v>
      </c>
      <c r="B74" t="s">
        <v>2338</v>
      </c>
      <c r="G74" t="s">
        <v>2384</v>
      </c>
      <c r="H74">
        <v>71203</v>
      </c>
      <c r="I74" t="s">
        <v>2441</v>
      </c>
      <c r="J74" t="str">
        <f t="shared" si="1"/>
        <v>ia.assorted_string like '%71203-00043-05-2023%' or</v>
      </c>
    </row>
    <row r="75" spans="1:10" x14ac:dyDescent="0.25">
      <c r="A75" t="s">
        <v>593</v>
      </c>
      <c r="B75" t="s">
        <v>2338</v>
      </c>
      <c r="G75" t="s">
        <v>2384</v>
      </c>
      <c r="H75">
        <v>71203</v>
      </c>
      <c r="I75" t="s">
        <v>2449</v>
      </c>
      <c r="J75" t="str">
        <f t="shared" si="1"/>
        <v>ia.assorted_string like '%71203-00050-05-2023%' or</v>
      </c>
    </row>
    <row r="76" spans="1:10" x14ac:dyDescent="0.25">
      <c r="A76" t="s">
        <v>595</v>
      </c>
      <c r="B76" t="s">
        <v>2338</v>
      </c>
      <c r="G76" t="s">
        <v>2384</v>
      </c>
      <c r="H76">
        <v>71203</v>
      </c>
      <c r="I76" t="s">
        <v>2450</v>
      </c>
      <c r="J76" t="str">
        <f t="shared" si="1"/>
        <v>ia.assorted_string like '%71203-00053-05-2023%' or</v>
      </c>
    </row>
    <row r="77" spans="1:10" x14ac:dyDescent="0.25">
      <c r="A77" t="s">
        <v>597</v>
      </c>
      <c r="B77" t="s">
        <v>2338</v>
      </c>
      <c r="G77" t="s">
        <v>2384</v>
      </c>
      <c r="H77">
        <v>71203</v>
      </c>
      <c r="I77" t="s">
        <v>2451</v>
      </c>
      <c r="J77" t="str">
        <f t="shared" si="1"/>
        <v>ia.assorted_string like '%71203-00066-05-2023%' or</v>
      </c>
    </row>
    <row r="78" spans="1:10" x14ac:dyDescent="0.25">
      <c r="A78" t="s">
        <v>599</v>
      </c>
      <c r="B78" t="s">
        <v>2338</v>
      </c>
      <c r="G78" t="s">
        <v>2384</v>
      </c>
      <c r="H78">
        <v>71203</v>
      </c>
      <c r="I78" t="s">
        <v>2452</v>
      </c>
      <c r="J78" t="str">
        <f t="shared" si="1"/>
        <v>ia.assorted_string like '%71203-00086-05-2023%' or</v>
      </c>
    </row>
    <row r="79" spans="1:10" x14ac:dyDescent="0.25">
      <c r="A79" t="s">
        <v>601</v>
      </c>
      <c r="B79" t="s">
        <v>2338</v>
      </c>
      <c r="G79" t="s">
        <v>2384</v>
      </c>
      <c r="H79">
        <v>71203</v>
      </c>
      <c r="I79" t="s">
        <v>2453</v>
      </c>
      <c r="J79" t="str">
        <f t="shared" si="1"/>
        <v>ia.assorted_string like '%71203-00095-05-2023%' or</v>
      </c>
    </row>
    <row r="80" spans="1:10" x14ac:dyDescent="0.25">
      <c r="A80" t="s">
        <v>603</v>
      </c>
      <c r="B80" t="s">
        <v>2354</v>
      </c>
      <c r="G80" t="s">
        <v>2384</v>
      </c>
      <c r="H80">
        <v>73807</v>
      </c>
      <c r="I80" t="s">
        <v>2454</v>
      </c>
      <c r="J80" t="str">
        <f t="shared" si="1"/>
        <v>ia.assorted_string like '%73807-00006-08-2023%' or</v>
      </c>
    </row>
    <row r="81" spans="1:10" x14ac:dyDescent="0.25">
      <c r="A81" t="s">
        <v>605</v>
      </c>
      <c r="B81" t="s">
        <v>2367</v>
      </c>
      <c r="G81" t="s">
        <v>2384</v>
      </c>
      <c r="H81">
        <v>76277</v>
      </c>
      <c r="I81" t="s">
        <v>2388</v>
      </c>
      <c r="J81" t="str">
        <f t="shared" si="1"/>
        <v>ia.assorted_string like '%76277-00001-10-2023%' or</v>
      </c>
    </row>
    <row r="82" spans="1:10" x14ac:dyDescent="0.25">
      <c r="A82" t="s">
        <v>607</v>
      </c>
      <c r="B82" t="s">
        <v>2372</v>
      </c>
      <c r="G82" t="s">
        <v>2384</v>
      </c>
      <c r="H82">
        <v>79259</v>
      </c>
      <c r="I82" t="s">
        <v>2400</v>
      </c>
      <c r="J82" t="str">
        <f t="shared" si="1"/>
        <v>ia.assorted_string like '%79259-00002-12-2023%' or</v>
      </c>
    </row>
    <row r="83" spans="1:10" x14ac:dyDescent="0.25">
      <c r="A83" t="s">
        <v>609</v>
      </c>
      <c r="B83" t="s">
        <v>2372</v>
      </c>
      <c r="G83" t="s">
        <v>2384</v>
      </c>
      <c r="H83">
        <v>80040</v>
      </c>
      <c r="I83" t="s">
        <v>2396</v>
      </c>
      <c r="J83" t="str">
        <f t="shared" si="1"/>
        <v>ia.assorted_string like '%80040-00005-12-2023%' or</v>
      </c>
    </row>
    <row r="84" spans="1:10" x14ac:dyDescent="0.25">
      <c r="A84" t="s">
        <v>611</v>
      </c>
      <c r="B84" t="s">
        <v>2361</v>
      </c>
      <c r="G84" t="s">
        <v>2384</v>
      </c>
      <c r="H84">
        <v>80798</v>
      </c>
      <c r="I84" t="s">
        <v>2411</v>
      </c>
      <c r="J84" t="str">
        <f t="shared" si="1"/>
        <v>ia.assorted_string like '%80798-00004-01-2024%' or</v>
      </c>
    </row>
    <row r="85" spans="1:10" x14ac:dyDescent="0.25">
      <c r="A85" t="s">
        <v>613</v>
      </c>
      <c r="B85" t="s">
        <v>2361</v>
      </c>
      <c r="G85" t="s">
        <v>2384</v>
      </c>
      <c r="H85">
        <v>81320</v>
      </c>
      <c r="I85" t="s">
        <v>2400</v>
      </c>
      <c r="J85" t="str">
        <f t="shared" si="1"/>
        <v>ia.assorted_string like '%81320-00002-01-2024%' or</v>
      </c>
    </row>
    <row r="86" spans="1:10" x14ac:dyDescent="0.25">
      <c r="A86" t="s">
        <v>615</v>
      </c>
      <c r="B86" t="s">
        <v>2359</v>
      </c>
      <c r="G86" t="s">
        <v>2384</v>
      </c>
      <c r="H86">
        <v>83423</v>
      </c>
      <c r="I86" t="s">
        <v>2388</v>
      </c>
      <c r="J86" t="str">
        <f t="shared" si="1"/>
        <v>ia.assorted_string like '%83423-00001-02-2024%' or</v>
      </c>
    </row>
    <row r="87" spans="1:10" x14ac:dyDescent="0.25">
      <c r="A87" t="s">
        <v>617</v>
      </c>
      <c r="B87" t="s">
        <v>2359</v>
      </c>
      <c r="G87" t="s">
        <v>2384</v>
      </c>
      <c r="H87">
        <v>83748</v>
      </c>
      <c r="I87" t="s">
        <v>2400</v>
      </c>
      <c r="J87" t="str">
        <f t="shared" si="1"/>
        <v>ia.assorted_string like '%83748-00002-02-2024%' or</v>
      </c>
    </row>
    <row r="88" spans="1:10" x14ac:dyDescent="0.25">
      <c r="A88" t="s">
        <v>619</v>
      </c>
      <c r="B88" t="s">
        <v>2359</v>
      </c>
      <c r="G88" t="s">
        <v>2384</v>
      </c>
      <c r="H88">
        <v>84469</v>
      </c>
      <c r="I88" t="s">
        <v>2455</v>
      </c>
      <c r="J88" t="str">
        <f t="shared" si="1"/>
        <v>ia.assorted_string like '%84469-00008-02-2024%' or</v>
      </c>
    </row>
    <row r="89" spans="1:10" x14ac:dyDescent="0.25">
      <c r="A89" t="s">
        <v>621</v>
      </c>
      <c r="B89" t="s">
        <v>2339</v>
      </c>
      <c r="G89" t="s">
        <v>2384</v>
      </c>
      <c r="H89">
        <v>85065</v>
      </c>
      <c r="I89" t="s">
        <v>2456</v>
      </c>
      <c r="J89" t="str">
        <f t="shared" si="1"/>
        <v>ia.assorted_string like '%85065-00012-03-2024%' or</v>
      </c>
    </row>
    <row r="90" spans="1:10" x14ac:dyDescent="0.25">
      <c r="A90" t="s">
        <v>623</v>
      </c>
      <c r="B90" t="s">
        <v>2339</v>
      </c>
      <c r="G90" t="s">
        <v>2384</v>
      </c>
      <c r="H90">
        <v>85858</v>
      </c>
      <c r="I90" t="s">
        <v>2400</v>
      </c>
      <c r="J90" t="str">
        <f t="shared" si="1"/>
        <v>ia.assorted_string like '%85858-00002-03-2024%' or</v>
      </c>
    </row>
    <row r="91" spans="1:10" x14ac:dyDescent="0.25">
      <c r="A91" t="s">
        <v>625</v>
      </c>
      <c r="B91" t="s">
        <v>2339</v>
      </c>
      <c r="G91" t="s">
        <v>2384</v>
      </c>
      <c r="H91">
        <v>85858</v>
      </c>
      <c r="I91" t="s">
        <v>2402</v>
      </c>
      <c r="J91" t="str">
        <f t="shared" si="1"/>
        <v>ia.assorted_string like '%85858-00003-03-2024%' or</v>
      </c>
    </row>
    <row r="92" spans="1:10" x14ac:dyDescent="0.25">
      <c r="A92" t="s">
        <v>629</v>
      </c>
      <c r="B92" t="s">
        <v>2347</v>
      </c>
      <c r="G92" t="s">
        <v>2384</v>
      </c>
      <c r="H92">
        <v>87875</v>
      </c>
      <c r="I92" t="s">
        <v>2457</v>
      </c>
      <c r="J92" t="str">
        <f t="shared" si="1"/>
        <v>ia.assorted_string like '%87875-00104-04-2024%' or</v>
      </c>
    </row>
    <row r="93" spans="1:10" x14ac:dyDescent="0.25">
      <c r="A93" t="s">
        <v>631</v>
      </c>
      <c r="B93" t="s">
        <v>2347</v>
      </c>
      <c r="G93" t="s">
        <v>2384</v>
      </c>
      <c r="H93">
        <v>87875</v>
      </c>
      <c r="I93" t="s">
        <v>2458</v>
      </c>
      <c r="J93" t="str">
        <f t="shared" si="1"/>
        <v>ia.assorted_string like '%87875-00183-04-2024%' or</v>
      </c>
    </row>
    <row r="94" spans="1:10" x14ac:dyDescent="0.25">
      <c r="A94" t="s">
        <v>633</v>
      </c>
      <c r="B94" t="s">
        <v>2347</v>
      </c>
      <c r="G94" t="s">
        <v>2384</v>
      </c>
      <c r="H94">
        <v>87875</v>
      </c>
      <c r="I94" t="s">
        <v>2423</v>
      </c>
      <c r="J94" t="str">
        <f t="shared" si="1"/>
        <v>ia.assorted_string like '%87875-00187-04-2024%' or</v>
      </c>
    </row>
    <row r="95" spans="1:10" x14ac:dyDescent="0.25">
      <c r="A95" t="s">
        <v>635</v>
      </c>
      <c r="B95" t="s">
        <v>2347</v>
      </c>
      <c r="G95" t="s">
        <v>2384</v>
      </c>
      <c r="H95">
        <v>87875</v>
      </c>
      <c r="I95" t="s">
        <v>2459</v>
      </c>
      <c r="J95" t="str">
        <f t="shared" si="1"/>
        <v>ia.assorted_string like '%87875-00084-04-2024%' or</v>
      </c>
    </row>
    <row r="96" spans="1:10" x14ac:dyDescent="0.25">
      <c r="A96" t="s">
        <v>637</v>
      </c>
      <c r="B96" t="s">
        <v>2347</v>
      </c>
      <c r="G96" t="s">
        <v>2384</v>
      </c>
      <c r="H96">
        <v>87875</v>
      </c>
      <c r="I96" t="s">
        <v>2460</v>
      </c>
      <c r="J96" t="str">
        <f t="shared" si="1"/>
        <v>ia.assorted_string like '%87875-00093-04-2024%' or</v>
      </c>
    </row>
    <row r="97" spans="1:10" x14ac:dyDescent="0.25">
      <c r="A97" t="s">
        <v>639</v>
      </c>
      <c r="B97" t="s">
        <v>2347</v>
      </c>
      <c r="G97" t="s">
        <v>2384</v>
      </c>
      <c r="H97">
        <v>87875</v>
      </c>
      <c r="I97" t="s">
        <v>2453</v>
      </c>
      <c r="J97" t="str">
        <f t="shared" si="1"/>
        <v>ia.assorted_string like '%87875-00095-04-2024%' or</v>
      </c>
    </row>
    <row r="98" spans="1:10" x14ac:dyDescent="0.25">
      <c r="A98" t="s">
        <v>641</v>
      </c>
      <c r="B98" t="s">
        <v>2347</v>
      </c>
      <c r="G98" t="s">
        <v>2384</v>
      </c>
      <c r="H98">
        <v>87875</v>
      </c>
      <c r="I98" t="s">
        <v>2461</v>
      </c>
      <c r="J98" t="str">
        <f t="shared" si="1"/>
        <v>ia.assorted_string like '%87875-00098-04-2024%' or</v>
      </c>
    </row>
    <row r="99" spans="1:10" x14ac:dyDescent="0.25">
      <c r="A99" t="s">
        <v>643</v>
      </c>
      <c r="B99" t="s">
        <v>2347</v>
      </c>
      <c r="G99" t="s">
        <v>2384</v>
      </c>
      <c r="H99">
        <v>87891</v>
      </c>
      <c r="I99" t="s">
        <v>2462</v>
      </c>
      <c r="J99" t="str">
        <f t="shared" si="1"/>
        <v>ia.assorted_string like '%87891-00017-04-2024%' or</v>
      </c>
    </row>
    <row r="100" spans="1:10" x14ac:dyDescent="0.25">
      <c r="A100" t="s">
        <v>645</v>
      </c>
      <c r="B100" t="s">
        <v>2355</v>
      </c>
      <c r="G100" t="s">
        <v>2384</v>
      </c>
      <c r="H100">
        <v>88626</v>
      </c>
      <c r="I100" t="s">
        <v>2463</v>
      </c>
      <c r="J100" t="str">
        <f t="shared" si="1"/>
        <v>ia.assorted_string like '%88626-00078-05-2024%' or</v>
      </c>
    </row>
    <row r="101" spans="1:10" x14ac:dyDescent="0.25">
      <c r="A101" t="s">
        <v>647</v>
      </c>
      <c r="B101" t="s">
        <v>2347</v>
      </c>
      <c r="G101" t="s">
        <v>2384</v>
      </c>
      <c r="H101">
        <v>87535</v>
      </c>
      <c r="I101" t="s">
        <v>2454</v>
      </c>
      <c r="J101" t="str">
        <f t="shared" si="1"/>
        <v>ia.assorted_string like '%87535-00006-04-2024%' or</v>
      </c>
    </row>
    <row r="102" spans="1:10" x14ac:dyDescent="0.25">
      <c r="A102" t="s">
        <v>651</v>
      </c>
      <c r="B102" t="s">
        <v>2343</v>
      </c>
      <c r="G102" t="s">
        <v>2384</v>
      </c>
      <c r="H102">
        <v>90321</v>
      </c>
      <c r="I102" t="s">
        <v>2402</v>
      </c>
      <c r="J102" t="str">
        <f t="shared" si="1"/>
        <v>ia.assorted_string like '%90321-00003-06-2024%' or</v>
      </c>
    </row>
    <row r="103" spans="1:10" x14ac:dyDescent="0.25">
      <c r="A103" t="s">
        <v>653</v>
      </c>
      <c r="B103" t="s">
        <v>2343</v>
      </c>
      <c r="G103" t="s">
        <v>2384</v>
      </c>
      <c r="H103">
        <v>90875</v>
      </c>
      <c r="I103" t="s">
        <v>2411</v>
      </c>
      <c r="J103" t="str">
        <f t="shared" si="1"/>
        <v>ia.assorted_string like '%90875-00004-06-2024%' or</v>
      </c>
    </row>
    <row r="104" spans="1:10" x14ac:dyDescent="0.25">
      <c r="A104" t="s">
        <v>655</v>
      </c>
      <c r="B104" t="s">
        <v>2343</v>
      </c>
      <c r="G104" t="s">
        <v>2384</v>
      </c>
      <c r="H104">
        <v>90920</v>
      </c>
      <c r="I104" t="s">
        <v>2396</v>
      </c>
      <c r="J104" t="str">
        <f t="shared" si="1"/>
        <v>ia.assorted_string like '%90920-00005-06-2024%' or</v>
      </c>
    </row>
    <row r="105" spans="1:10" x14ac:dyDescent="0.25">
      <c r="A105" t="s">
        <v>657</v>
      </c>
      <c r="B105" t="s">
        <v>2368</v>
      </c>
      <c r="G105" t="s">
        <v>2384</v>
      </c>
      <c r="H105">
        <v>92800</v>
      </c>
      <c r="I105" t="s">
        <v>2388</v>
      </c>
      <c r="J105" t="str">
        <f t="shared" si="1"/>
        <v>ia.assorted_string like '%92800-00001-07-2024%' or</v>
      </c>
    </row>
    <row r="106" spans="1:10" x14ac:dyDescent="0.25">
      <c r="A106" t="s">
        <v>659</v>
      </c>
      <c r="B106" t="s">
        <v>2346</v>
      </c>
      <c r="G106" t="s">
        <v>2384</v>
      </c>
      <c r="H106">
        <v>94384</v>
      </c>
      <c r="I106" t="s">
        <v>2388</v>
      </c>
      <c r="J106" t="str">
        <f t="shared" si="1"/>
        <v>ia.assorted_string like '%94384-00001-08-2024%' or</v>
      </c>
    </row>
    <row r="107" spans="1:10" x14ac:dyDescent="0.25">
      <c r="A107" t="s">
        <v>661</v>
      </c>
      <c r="B107" t="s">
        <v>2346</v>
      </c>
      <c r="G107" t="s">
        <v>2384</v>
      </c>
      <c r="H107">
        <v>94440</v>
      </c>
      <c r="I107" t="s">
        <v>2454</v>
      </c>
      <c r="J107" t="str">
        <f t="shared" si="1"/>
        <v>ia.assorted_string like '%94440-00006-08-2024%' or</v>
      </c>
    </row>
    <row r="108" spans="1:10" x14ac:dyDescent="0.25">
      <c r="A108" t="s">
        <v>663</v>
      </c>
      <c r="B108" t="s">
        <v>2346</v>
      </c>
      <c r="G108" t="s">
        <v>2384</v>
      </c>
      <c r="H108">
        <v>95603</v>
      </c>
      <c r="I108" t="s">
        <v>2422</v>
      </c>
      <c r="J108" t="str">
        <f t="shared" si="1"/>
        <v>ia.assorted_string like '%95603-00184-08-2024%' or</v>
      </c>
    </row>
    <row r="109" spans="1:10" x14ac:dyDescent="0.25">
      <c r="A109" t="s">
        <v>665</v>
      </c>
      <c r="B109" t="s">
        <v>2342</v>
      </c>
      <c r="G109" t="s">
        <v>2384</v>
      </c>
      <c r="H109">
        <v>96638</v>
      </c>
      <c r="I109" t="s">
        <v>2464</v>
      </c>
      <c r="J109" t="str">
        <f t="shared" si="1"/>
        <v>ia.assorted_string like '%96638-00037-09-2024%' or</v>
      </c>
    </row>
    <row r="110" spans="1:10" x14ac:dyDescent="0.25">
      <c r="A110" t="s">
        <v>667</v>
      </c>
      <c r="B110" t="s">
        <v>2342</v>
      </c>
      <c r="G110" t="s">
        <v>2384</v>
      </c>
      <c r="H110">
        <v>96876</v>
      </c>
      <c r="I110" t="s">
        <v>2400</v>
      </c>
      <c r="J110" t="str">
        <f t="shared" si="1"/>
        <v>ia.assorted_string like '%96876-00002-09-2024%' or</v>
      </c>
    </row>
    <row r="111" spans="1:10" x14ac:dyDescent="0.25">
      <c r="A111" t="s">
        <v>691</v>
      </c>
      <c r="B111" t="s">
        <v>2343</v>
      </c>
      <c r="G111" t="s">
        <v>2384</v>
      </c>
      <c r="H111">
        <v>90237</v>
      </c>
      <c r="I111" t="s">
        <v>2396</v>
      </c>
      <c r="J111" t="str">
        <f t="shared" si="1"/>
        <v>ia.assorted_string like '%90237-00005-06-2024%' or</v>
      </c>
    </row>
    <row r="112" spans="1:10" x14ac:dyDescent="0.25">
      <c r="A112" t="s">
        <v>763</v>
      </c>
      <c r="B112" t="s">
        <v>2347</v>
      </c>
      <c r="G112" t="s">
        <v>2384</v>
      </c>
      <c r="H112">
        <v>87875</v>
      </c>
      <c r="I112" t="s">
        <v>2421</v>
      </c>
      <c r="J112" t="str">
        <f t="shared" si="1"/>
        <v>ia.assorted_string like '%87875-00182-04-2024%' or</v>
      </c>
    </row>
    <row r="113" spans="1:10" x14ac:dyDescent="0.25">
      <c r="A113" t="s">
        <v>765</v>
      </c>
      <c r="B113" t="s">
        <v>2347</v>
      </c>
      <c r="G113" t="s">
        <v>2384</v>
      </c>
      <c r="H113">
        <v>87875</v>
      </c>
      <c r="I113" t="s">
        <v>2465</v>
      </c>
      <c r="J113" t="str">
        <f t="shared" si="1"/>
        <v>ia.assorted_string like '%87875-00189-04-2024%' or</v>
      </c>
    </row>
    <row r="114" spans="1:10" x14ac:dyDescent="0.25">
      <c r="A114" t="s">
        <v>767</v>
      </c>
      <c r="B114" t="s">
        <v>2347</v>
      </c>
      <c r="G114" t="s">
        <v>2384</v>
      </c>
      <c r="H114">
        <v>87875</v>
      </c>
      <c r="I114" t="s">
        <v>2466</v>
      </c>
      <c r="J114" t="str">
        <f t="shared" si="1"/>
        <v>ia.assorted_string like '%87875-00094-04-2024%' or</v>
      </c>
    </row>
    <row r="115" spans="1:10" x14ac:dyDescent="0.25">
      <c r="A115" t="s">
        <v>769</v>
      </c>
      <c r="B115" t="s">
        <v>2347</v>
      </c>
      <c r="G115" t="s">
        <v>2384</v>
      </c>
      <c r="H115">
        <v>87875</v>
      </c>
      <c r="I115" t="s">
        <v>2467</v>
      </c>
      <c r="J115" t="str">
        <f t="shared" si="1"/>
        <v>ia.assorted_string like '%87875-00099-04-2024%' or</v>
      </c>
    </row>
    <row r="116" spans="1:10" x14ac:dyDescent="0.25">
      <c r="A116" t="s">
        <v>779</v>
      </c>
      <c r="B116" t="s">
        <v>2343</v>
      </c>
      <c r="G116" t="s">
        <v>2384</v>
      </c>
      <c r="H116">
        <v>90919</v>
      </c>
      <c r="I116" t="s">
        <v>2468</v>
      </c>
      <c r="J116" t="str">
        <f t="shared" si="1"/>
        <v>ia.assorted_string like '%90919-00112-06-2024%' or</v>
      </c>
    </row>
    <row r="117" spans="1:10" x14ac:dyDescent="0.25">
      <c r="A117" t="s">
        <v>781</v>
      </c>
      <c r="B117" t="s">
        <v>2368</v>
      </c>
      <c r="G117" t="s">
        <v>2384</v>
      </c>
      <c r="H117">
        <v>92801</v>
      </c>
      <c r="I117" t="s">
        <v>2388</v>
      </c>
      <c r="J117" t="str">
        <f t="shared" si="1"/>
        <v>ia.assorted_string like '%92801-00001-07-2024%' or</v>
      </c>
    </row>
    <row r="118" spans="1:10" x14ac:dyDescent="0.25">
      <c r="A118" t="s">
        <v>783</v>
      </c>
      <c r="B118" t="s">
        <v>2346</v>
      </c>
      <c r="G118" t="s">
        <v>2384</v>
      </c>
      <c r="H118">
        <v>95603</v>
      </c>
      <c r="I118" t="s">
        <v>2420</v>
      </c>
      <c r="J118" t="str">
        <f t="shared" si="1"/>
        <v>ia.assorted_string like '%95603-00014-08-2024%' or</v>
      </c>
    </row>
    <row r="119" spans="1:10" x14ac:dyDescent="0.25">
      <c r="A119" t="s">
        <v>785</v>
      </c>
      <c r="B119" t="s">
        <v>2342</v>
      </c>
      <c r="G119" t="s">
        <v>2384</v>
      </c>
      <c r="H119">
        <v>96638</v>
      </c>
      <c r="I119" t="s">
        <v>2469</v>
      </c>
      <c r="J119" t="str">
        <f t="shared" si="1"/>
        <v>ia.assorted_string like '%96638-00045-09-2024%' or</v>
      </c>
    </row>
    <row r="120" spans="1:10" x14ac:dyDescent="0.25">
      <c r="A120" t="s">
        <v>787</v>
      </c>
      <c r="B120" t="s">
        <v>2347</v>
      </c>
      <c r="G120" t="s">
        <v>2384</v>
      </c>
      <c r="H120">
        <v>87875</v>
      </c>
      <c r="I120" t="s">
        <v>2470</v>
      </c>
      <c r="J120" t="str">
        <f t="shared" si="1"/>
        <v>ia.assorted_string like '%87875-00103-04-2024%' or</v>
      </c>
    </row>
    <row r="121" spans="1:10" x14ac:dyDescent="0.25">
      <c r="A121" t="s">
        <v>835</v>
      </c>
      <c r="B121" t="s">
        <v>2347</v>
      </c>
      <c r="G121" t="s">
        <v>2384</v>
      </c>
      <c r="H121">
        <v>87875</v>
      </c>
      <c r="I121" t="s">
        <v>2471</v>
      </c>
      <c r="J121" t="str">
        <f t="shared" si="1"/>
        <v>ia.assorted_string like '%87875-00091-04-2024%' or</v>
      </c>
    </row>
    <row r="122" spans="1:10" x14ac:dyDescent="0.25">
      <c r="A122" t="s">
        <v>837</v>
      </c>
      <c r="B122" t="s">
        <v>2355</v>
      </c>
      <c r="G122" t="s">
        <v>2384</v>
      </c>
      <c r="H122">
        <v>88626</v>
      </c>
      <c r="I122" t="s">
        <v>2388</v>
      </c>
      <c r="J122" t="str">
        <f t="shared" si="1"/>
        <v>ia.assorted_string like '%88626-00001-05-2024%' or</v>
      </c>
    </row>
    <row r="123" spans="1:10" x14ac:dyDescent="0.25">
      <c r="A123" t="s">
        <v>841</v>
      </c>
      <c r="B123" t="s">
        <v>2343</v>
      </c>
      <c r="G123" t="s">
        <v>2384</v>
      </c>
      <c r="H123">
        <v>90833</v>
      </c>
      <c r="I123" t="s">
        <v>2388</v>
      </c>
      <c r="J123" t="str">
        <f t="shared" si="1"/>
        <v>ia.assorted_string like '%90833-00001-06-2024%' or</v>
      </c>
    </row>
    <row r="124" spans="1:10" x14ac:dyDescent="0.25">
      <c r="A124" t="s">
        <v>843</v>
      </c>
      <c r="B124" t="s">
        <v>2346</v>
      </c>
      <c r="G124" t="s">
        <v>2384</v>
      </c>
      <c r="H124">
        <v>94384</v>
      </c>
      <c r="I124" t="s">
        <v>2400</v>
      </c>
      <c r="J124" t="str">
        <f t="shared" si="1"/>
        <v>ia.assorted_string like '%94384-00002-08-2024%' or</v>
      </c>
    </row>
    <row r="125" spans="1:10" x14ac:dyDescent="0.25">
      <c r="A125" t="s">
        <v>845</v>
      </c>
      <c r="B125" t="s">
        <v>2342</v>
      </c>
      <c r="G125" t="s">
        <v>2384</v>
      </c>
      <c r="H125">
        <v>97302</v>
      </c>
      <c r="I125" t="s">
        <v>2388</v>
      </c>
      <c r="J125" t="str">
        <f t="shared" si="1"/>
        <v>ia.assorted_string like '%97302-00001-09-2024%' or</v>
      </c>
    </row>
    <row r="126" spans="1:10" x14ac:dyDescent="0.25">
      <c r="A126" t="s">
        <v>869</v>
      </c>
      <c r="B126" t="s">
        <v>2347</v>
      </c>
      <c r="G126" t="s">
        <v>2384</v>
      </c>
      <c r="H126">
        <v>87875</v>
      </c>
      <c r="I126" t="s">
        <v>2472</v>
      </c>
      <c r="J126" t="str">
        <f t="shared" si="1"/>
        <v>ia.assorted_string like '%87875-00186-04-2024%' or</v>
      </c>
    </row>
    <row r="127" spans="1:10" x14ac:dyDescent="0.25">
      <c r="A127" t="s">
        <v>873</v>
      </c>
      <c r="B127" t="s">
        <v>2368</v>
      </c>
      <c r="G127" t="s">
        <v>2384</v>
      </c>
      <c r="H127">
        <v>92394</v>
      </c>
      <c r="I127" t="s">
        <v>2455</v>
      </c>
      <c r="J127" t="str">
        <f t="shared" si="1"/>
        <v>ia.assorted_string like '%92394-00008-07-2024%' or</v>
      </c>
    </row>
    <row r="128" spans="1:10" x14ac:dyDescent="0.25">
      <c r="A128" t="s">
        <v>887</v>
      </c>
      <c r="B128" t="s">
        <v>2347</v>
      </c>
      <c r="G128" t="s">
        <v>2384</v>
      </c>
      <c r="H128">
        <v>87875</v>
      </c>
      <c r="I128" t="s">
        <v>2473</v>
      </c>
      <c r="J128" t="str">
        <f t="shared" si="1"/>
        <v>ia.assorted_string like '%87875-00096-04-2024%' or</v>
      </c>
    </row>
    <row r="129" spans="1:10" x14ac:dyDescent="0.25">
      <c r="A129" t="s">
        <v>889</v>
      </c>
      <c r="B129" t="s">
        <v>2346</v>
      </c>
      <c r="G129" t="s">
        <v>2384</v>
      </c>
      <c r="H129">
        <v>95603</v>
      </c>
      <c r="I129" t="s">
        <v>2402</v>
      </c>
      <c r="J129" t="str">
        <f t="shared" si="1"/>
        <v>ia.assorted_string like '%95603-00003-08-2024%' or</v>
      </c>
    </row>
    <row r="130" spans="1:10" x14ac:dyDescent="0.25">
      <c r="A130" t="s">
        <v>890</v>
      </c>
      <c r="B130" t="s">
        <v>2347</v>
      </c>
      <c r="G130" t="s">
        <v>2384</v>
      </c>
      <c r="H130">
        <v>87875</v>
      </c>
      <c r="I130" t="s">
        <v>2474</v>
      </c>
      <c r="J130" t="str">
        <f t="shared" si="1"/>
        <v>ia.assorted_string like '%87875-00100-04-2024%' or</v>
      </c>
    </row>
    <row r="131" spans="1:10" x14ac:dyDescent="0.25">
      <c r="A131" t="s">
        <v>892</v>
      </c>
      <c r="B131" t="s">
        <v>2347</v>
      </c>
      <c r="G131" t="s">
        <v>2384</v>
      </c>
      <c r="H131">
        <v>87875</v>
      </c>
      <c r="I131" t="s">
        <v>2475</v>
      </c>
      <c r="J131" t="str">
        <f t="shared" ref="J131:J194" si="2">"ia.assorted_string like '%"&amp;H131&amp;"-"&amp;I131&amp;B131&amp;"%' or"</f>
        <v>ia.assorted_string like '%87875-00101-04-2024%' or</v>
      </c>
    </row>
    <row r="132" spans="1:10" x14ac:dyDescent="0.25">
      <c r="A132" t="s">
        <v>894</v>
      </c>
      <c r="B132" t="s">
        <v>2347</v>
      </c>
      <c r="G132" t="s">
        <v>2384</v>
      </c>
      <c r="H132">
        <v>87875</v>
      </c>
      <c r="I132" t="s">
        <v>2417</v>
      </c>
      <c r="J132" t="str">
        <f t="shared" si="2"/>
        <v>ia.assorted_string like '%87875-00102-04-2024%' or</v>
      </c>
    </row>
    <row r="133" spans="1:10" x14ac:dyDescent="0.25">
      <c r="A133" t="s">
        <v>1337</v>
      </c>
      <c r="B133" t="s">
        <v>2355</v>
      </c>
      <c r="G133" t="s">
        <v>2384</v>
      </c>
      <c r="H133">
        <v>89983</v>
      </c>
      <c r="I133" t="s">
        <v>2402</v>
      </c>
      <c r="J133" t="str">
        <f t="shared" si="2"/>
        <v>ia.assorted_string like '%89983-00003-05-2024%' or</v>
      </c>
    </row>
    <row r="134" spans="1:10" x14ac:dyDescent="0.25">
      <c r="A134" t="s">
        <v>1338</v>
      </c>
      <c r="B134" t="s">
        <v>2339</v>
      </c>
      <c r="G134" t="s">
        <v>2384</v>
      </c>
      <c r="H134">
        <v>85398</v>
      </c>
      <c r="I134" t="s">
        <v>2396</v>
      </c>
      <c r="J134" t="str">
        <f t="shared" si="2"/>
        <v>ia.assorted_string like '%85398-00005-03-2024%' or</v>
      </c>
    </row>
    <row r="135" spans="1:10" x14ac:dyDescent="0.25">
      <c r="A135" t="s">
        <v>1340</v>
      </c>
      <c r="B135" t="s">
        <v>2355</v>
      </c>
      <c r="G135" t="s">
        <v>2384</v>
      </c>
      <c r="H135">
        <v>89983</v>
      </c>
      <c r="I135" t="s">
        <v>2400</v>
      </c>
      <c r="J135" t="str">
        <f t="shared" si="2"/>
        <v>ia.assorted_string like '%89983-00002-05-2024%' or</v>
      </c>
    </row>
    <row r="136" spans="1:10" x14ac:dyDescent="0.25">
      <c r="A136" t="s">
        <v>1341</v>
      </c>
      <c r="B136" t="s">
        <v>2355</v>
      </c>
      <c r="G136" t="s">
        <v>2384</v>
      </c>
      <c r="H136">
        <v>89983</v>
      </c>
      <c r="I136" t="s">
        <v>2388</v>
      </c>
      <c r="J136" t="str">
        <f t="shared" si="2"/>
        <v>ia.assorted_string like '%89983-00001-05-2024%' or</v>
      </c>
    </row>
    <row r="137" spans="1:10" x14ac:dyDescent="0.25">
      <c r="A137" t="s">
        <v>1343</v>
      </c>
      <c r="B137" t="s">
        <v>2339</v>
      </c>
      <c r="G137" t="s">
        <v>2384</v>
      </c>
      <c r="H137">
        <v>85398</v>
      </c>
      <c r="I137" t="s">
        <v>2402</v>
      </c>
      <c r="J137" t="str">
        <f t="shared" si="2"/>
        <v>ia.assorted_string like '%85398-00003-03-2024%' or</v>
      </c>
    </row>
    <row r="138" spans="1:10" x14ac:dyDescent="0.25">
      <c r="A138" t="s">
        <v>1344</v>
      </c>
      <c r="B138" t="s">
        <v>2339</v>
      </c>
      <c r="G138" t="s">
        <v>2384</v>
      </c>
      <c r="H138">
        <v>85398</v>
      </c>
      <c r="I138" t="s">
        <v>2411</v>
      </c>
      <c r="J138" t="str">
        <f t="shared" si="2"/>
        <v>ia.assorted_string like '%85398-00004-03-2024%' or</v>
      </c>
    </row>
    <row r="139" spans="1:10" x14ac:dyDescent="0.25">
      <c r="A139" t="s">
        <v>1345</v>
      </c>
      <c r="B139" t="s">
        <v>2347</v>
      </c>
      <c r="G139" t="s">
        <v>2384</v>
      </c>
      <c r="H139">
        <v>87443</v>
      </c>
      <c r="I139" t="s">
        <v>2396</v>
      </c>
      <c r="J139" t="str">
        <f t="shared" si="2"/>
        <v>ia.assorted_string like '%87443-00005-04-2024%' or</v>
      </c>
    </row>
    <row r="140" spans="1:10" x14ac:dyDescent="0.25">
      <c r="A140" t="s">
        <v>1346</v>
      </c>
      <c r="B140" t="s">
        <v>2346</v>
      </c>
      <c r="G140" t="s">
        <v>2384</v>
      </c>
      <c r="H140">
        <v>95101</v>
      </c>
      <c r="I140" t="s">
        <v>2388</v>
      </c>
      <c r="J140" t="str">
        <f t="shared" si="2"/>
        <v>ia.assorted_string like '%95101-00001-08-2024%' or</v>
      </c>
    </row>
    <row r="141" spans="1:10" x14ac:dyDescent="0.25">
      <c r="A141" t="s">
        <v>1348</v>
      </c>
      <c r="B141" t="s">
        <v>2368</v>
      </c>
      <c r="G141" t="s">
        <v>2384</v>
      </c>
      <c r="H141">
        <v>93631</v>
      </c>
      <c r="I141" t="s">
        <v>2411</v>
      </c>
      <c r="J141" t="str">
        <f t="shared" si="2"/>
        <v>ia.assorted_string like '%93631-00004-07-2024%' or</v>
      </c>
    </row>
    <row r="142" spans="1:10" x14ac:dyDescent="0.25">
      <c r="A142" t="s">
        <v>1353</v>
      </c>
      <c r="B142" t="s">
        <v>2355</v>
      </c>
      <c r="G142" t="s">
        <v>2384</v>
      </c>
      <c r="H142">
        <v>90006</v>
      </c>
      <c r="I142" t="s">
        <v>2396</v>
      </c>
      <c r="J142" t="str">
        <f t="shared" si="2"/>
        <v>ia.assorted_string like '%90006-00005-05-2024%' or</v>
      </c>
    </row>
    <row r="143" spans="1:10" x14ac:dyDescent="0.25">
      <c r="A143" t="s">
        <v>1354</v>
      </c>
      <c r="B143" t="s">
        <v>2355</v>
      </c>
      <c r="G143" t="s">
        <v>2384</v>
      </c>
      <c r="H143">
        <v>90006</v>
      </c>
      <c r="I143" t="s">
        <v>2403</v>
      </c>
      <c r="J143" t="str">
        <f t="shared" si="2"/>
        <v>ia.assorted_string like '%90006-00007-05-2024%' or</v>
      </c>
    </row>
    <row r="144" spans="1:10" x14ac:dyDescent="0.25">
      <c r="A144" t="s">
        <v>1357</v>
      </c>
      <c r="B144" t="s">
        <v>2361</v>
      </c>
      <c r="G144" t="s">
        <v>2384</v>
      </c>
      <c r="H144">
        <v>81879</v>
      </c>
      <c r="I144" t="s">
        <v>2411</v>
      </c>
      <c r="J144" t="str">
        <f t="shared" si="2"/>
        <v>ia.assorted_string like '%81879-00004-01-2024%' or</v>
      </c>
    </row>
    <row r="145" spans="1:10" x14ac:dyDescent="0.25">
      <c r="A145" t="s">
        <v>1358</v>
      </c>
      <c r="B145" t="s">
        <v>2339</v>
      </c>
      <c r="G145" t="s">
        <v>2384</v>
      </c>
      <c r="H145">
        <v>85399</v>
      </c>
      <c r="I145" t="s">
        <v>2402</v>
      </c>
      <c r="J145" t="str">
        <f t="shared" si="2"/>
        <v>ia.assorted_string like '%85399-00003-03-2024%' or</v>
      </c>
    </row>
    <row r="146" spans="1:10" x14ac:dyDescent="0.25">
      <c r="A146" t="s">
        <v>1359</v>
      </c>
      <c r="B146" t="s">
        <v>2342</v>
      </c>
      <c r="G146" t="s">
        <v>2384</v>
      </c>
      <c r="H146">
        <v>97068</v>
      </c>
      <c r="I146" t="s">
        <v>2388</v>
      </c>
      <c r="J146" t="str">
        <f t="shared" si="2"/>
        <v>ia.assorted_string like '%97068-00001-09-2024%' or</v>
      </c>
    </row>
    <row r="147" spans="1:10" x14ac:dyDescent="0.25">
      <c r="A147" t="s">
        <v>1360</v>
      </c>
      <c r="B147" t="s">
        <v>2359</v>
      </c>
      <c r="G147" t="s">
        <v>2384</v>
      </c>
      <c r="H147">
        <v>83424</v>
      </c>
      <c r="I147" t="s">
        <v>2402</v>
      </c>
      <c r="J147" t="str">
        <f t="shared" si="2"/>
        <v>ia.assorted_string like '%83424-00003-02-2024%' or</v>
      </c>
    </row>
    <row r="148" spans="1:10" x14ac:dyDescent="0.25">
      <c r="A148" t="s">
        <v>1361</v>
      </c>
      <c r="B148" t="s">
        <v>2355</v>
      </c>
      <c r="G148" t="s">
        <v>2384</v>
      </c>
      <c r="H148">
        <v>89985</v>
      </c>
      <c r="I148" t="s">
        <v>2388</v>
      </c>
      <c r="J148" t="str">
        <f t="shared" si="2"/>
        <v>ia.assorted_string like '%89985-00001-05-2024%' or</v>
      </c>
    </row>
    <row r="149" spans="1:10" x14ac:dyDescent="0.25">
      <c r="A149" t="s">
        <v>1362</v>
      </c>
      <c r="B149" t="s">
        <v>2355</v>
      </c>
      <c r="G149" t="s">
        <v>2384</v>
      </c>
      <c r="H149">
        <v>89985</v>
      </c>
      <c r="I149" t="s">
        <v>2402</v>
      </c>
      <c r="J149" t="str">
        <f t="shared" si="2"/>
        <v>ia.assorted_string like '%89985-00003-05-2024%' or</v>
      </c>
    </row>
    <row r="150" spans="1:10" x14ac:dyDescent="0.25">
      <c r="A150" t="s">
        <v>1363</v>
      </c>
      <c r="B150" t="s">
        <v>2342</v>
      </c>
      <c r="G150" t="s">
        <v>2384</v>
      </c>
      <c r="H150">
        <v>97067</v>
      </c>
      <c r="I150" t="s">
        <v>2388</v>
      </c>
      <c r="J150" t="str">
        <f t="shared" si="2"/>
        <v>ia.assorted_string like '%97067-00001-09-2024%' or</v>
      </c>
    </row>
    <row r="151" spans="1:10" x14ac:dyDescent="0.25">
      <c r="A151" t="s">
        <v>1364</v>
      </c>
      <c r="B151" t="s">
        <v>2347</v>
      </c>
      <c r="G151" t="s">
        <v>2384</v>
      </c>
      <c r="H151">
        <v>87443</v>
      </c>
      <c r="I151" t="s">
        <v>2411</v>
      </c>
      <c r="J151" t="str">
        <f t="shared" si="2"/>
        <v>ia.assorted_string like '%87443-00004-04-2024%' or</v>
      </c>
    </row>
    <row r="152" spans="1:10" x14ac:dyDescent="0.25">
      <c r="A152" t="s">
        <v>1365</v>
      </c>
      <c r="B152" t="s">
        <v>2347</v>
      </c>
      <c r="G152" t="s">
        <v>2384</v>
      </c>
      <c r="H152">
        <v>87443</v>
      </c>
      <c r="I152" t="s">
        <v>2388</v>
      </c>
      <c r="J152" t="str">
        <f t="shared" si="2"/>
        <v>ia.assorted_string like '%87443-00001-04-2024%' or</v>
      </c>
    </row>
    <row r="153" spans="1:10" x14ac:dyDescent="0.25">
      <c r="A153" t="s">
        <v>1366</v>
      </c>
      <c r="B153" t="s">
        <v>2343</v>
      </c>
      <c r="G153" t="s">
        <v>2384</v>
      </c>
      <c r="H153">
        <v>92047</v>
      </c>
      <c r="I153" t="s">
        <v>2400</v>
      </c>
      <c r="J153" t="str">
        <f t="shared" si="2"/>
        <v>ia.assorted_string like '%92047-00002-06-2024%' or</v>
      </c>
    </row>
    <row r="154" spans="1:10" x14ac:dyDescent="0.25">
      <c r="A154" t="s">
        <v>1367</v>
      </c>
      <c r="B154" t="s">
        <v>2343</v>
      </c>
      <c r="G154" t="s">
        <v>2384</v>
      </c>
      <c r="H154">
        <v>92047</v>
      </c>
      <c r="I154" t="s">
        <v>2388</v>
      </c>
      <c r="J154" t="str">
        <f t="shared" si="2"/>
        <v>ia.assorted_string like '%92047-00001-06-2024%' or</v>
      </c>
    </row>
    <row r="155" spans="1:10" x14ac:dyDescent="0.25">
      <c r="A155" t="s">
        <v>1369</v>
      </c>
      <c r="B155" t="s">
        <v>2355</v>
      </c>
      <c r="G155" t="s">
        <v>2384</v>
      </c>
      <c r="H155">
        <v>90005</v>
      </c>
      <c r="I155" t="s">
        <v>2400</v>
      </c>
      <c r="J155" t="str">
        <f t="shared" si="2"/>
        <v>ia.assorted_string like '%90005-00002-05-2024%' or</v>
      </c>
    </row>
    <row r="156" spans="1:10" x14ac:dyDescent="0.25">
      <c r="A156" t="s">
        <v>1370</v>
      </c>
      <c r="B156" t="s">
        <v>2355</v>
      </c>
      <c r="G156" t="s">
        <v>2384</v>
      </c>
      <c r="H156">
        <v>90007</v>
      </c>
      <c r="I156" t="s">
        <v>2388</v>
      </c>
      <c r="J156" t="str">
        <f t="shared" si="2"/>
        <v>ia.assorted_string like '%90007-00001-05-2024%' or</v>
      </c>
    </row>
    <row r="157" spans="1:10" x14ac:dyDescent="0.25">
      <c r="A157" t="s">
        <v>1371</v>
      </c>
      <c r="B157" t="s">
        <v>2339</v>
      </c>
      <c r="G157" t="s">
        <v>2384</v>
      </c>
      <c r="H157">
        <v>85398</v>
      </c>
      <c r="I157" t="s">
        <v>2388</v>
      </c>
      <c r="J157" t="str">
        <f t="shared" si="2"/>
        <v>ia.assorted_string like '%85398-00001-03-2024%' or</v>
      </c>
    </row>
    <row r="158" spans="1:10" x14ac:dyDescent="0.25">
      <c r="A158" t="s">
        <v>1373</v>
      </c>
      <c r="B158" t="s">
        <v>2376</v>
      </c>
      <c r="G158" t="s">
        <v>2384</v>
      </c>
      <c r="H158">
        <v>77973</v>
      </c>
      <c r="I158" t="s">
        <v>2474</v>
      </c>
      <c r="J158" t="str">
        <f t="shared" si="2"/>
        <v>ia.assorted_string like '%77973-00100-11-2023%' or</v>
      </c>
    </row>
    <row r="159" spans="1:10" x14ac:dyDescent="0.25">
      <c r="A159" t="s">
        <v>1376</v>
      </c>
      <c r="B159" t="s">
        <v>2361</v>
      </c>
      <c r="G159" t="s">
        <v>2384</v>
      </c>
      <c r="H159">
        <v>82214</v>
      </c>
      <c r="I159" t="s">
        <v>2388</v>
      </c>
      <c r="J159" t="str">
        <f t="shared" si="2"/>
        <v>ia.assorted_string like '%82214-00001-01-2024%' or</v>
      </c>
    </row>
    <row r="160" spans="1:10" x14ac:dyDescent="0.25">
      <c r="A160" t="s">
        <v>1378</v>
      </c>
      <c r="B160" t="s">
        <v>2361</v>
      </c>
      <c r="G160" t="s">
        <v>2384</v>
      </c>
      <c r="H160">
        <v>82215</v>
      </c>
      <c r="I160" t="s">
        <v>2476</v>
      </c>
      <c r="J160" t="str">
        <f t="shared" si="2"/>
        <v>ia.assorted_string like '%82215-00011-01-2024%' or</v>
      </c>
    </row>
    <row r="161" spans="1:10" x14ac:dyDescent="0.25">
      <c r="A161" t="s">
        <v>1379</v>
      </c>
      <c r="B161" t="s">
        <v>2338</v>
      </c>
      <c r="G161" t="s">
        <v>2384</v>
      </c>
      <c r="H161">
        <v>71203</v>
      </c>
      <c r="I161" t="s">
        <v>2477</v>
      </c>
      <c r="J161" t="str">
        <f t="shared" si="2"/>
        <v>ia.assorted_string like '%71203-00013-05-2023%' or</v>
      </c>
    </row>
    <row r="162" spans="1:10" x14ac:dyDescent="0.25">
      <c r="A162" t="s">
        <v>1380</v>
      </c>
      <c r="B162" t="s">
        <v>2361</v>
      </c>
      <c r="G162" t="s">
        <v>2384</v>
      </c>
      <c r="H162">
        <v>82215</v>
      </c>
      <c r="I162" t="s">
        <v>2456</v>
      </c>
      <c r="J162" t="str">
        <f t="shared" si="2"/>
        <v>ia.assorted_string like '%82215-00012-01-2024%' or</v>
      </c>
    </row>
    <row r="163" spans="1:10" x14ac:dyDescent="0.25">
      <c r="A163" t="s">
        <v>1382</v>
      </c>
      <c r="B163" t="s">
        <v>2361</v>
      </c>
      <c r="G163" t="s">
        <v>2384</v>
      </c>
      <c r="H163">
        <v>82215</v>
      </c>
      <c r="I163" t="s">
        <v>2402</v>
      </c>
      <c r="J163" t="str">
        <f t="shared" si="2"/>
        <v>ia.assorted_string like '%82215-00003-01-2024%' or</v>
      </c>
    </row>
    <row r="164" spans="1:10" x14ac:dyDescent="0.25">
      <c r="A164" t="s">
        <v>1384</v>
      </c>
      <c r="B164" t="s">
        <v>2361</v>
      </c>
      <c r="G164" t="s">
        <v>2384</v>
      </c>
      <c r="H164">
        <v>82335</v>
      </c>
      <c r="I164" t="s">
        <v>2478</v>
      </c>
      <c r="J164" t="str">
        <f t="shared" si="2"/>
        <v>ia.assorted_string like '%82335-00234-01-2024%' or</v>
      </c>
    </row>
    <row r="165" spans="1:10" x14ac:dyDescent="0.25">
      <c r="A165" t="s">
        <v>1386</v>
      </c>
      <c r="B165" t="s">
        <v>2361</v>
      </c>
      <c r="G165" t="s">
        <v>2384</v>
      </c>
      <c r="H165">
        <v>82442</v>
      </c>
      <c r="I165" t="s">
        <v>2388</v>
      </c>
      <c r="J165" t="str">
        <f t="shared" si="2"/>
        <v>ia.assorted_string like '%82442-00001-01-2024%' or</v>
      </c>
    </row>
    <row r="166" spans="1:10" x14ac:dyDescent="0.25">
      <c r="A166" t="s">
        <v>1388</v>
      </c>
      <c r="B166" t="s">
        <v>2361</v>
      </c>
      <c r="G166" t="s">
        <v>2384</v>
      </c>
      <c r="H166">
        <v>82587</v>
      </c>
      <c r="I166" t="s">
        <v>2438</v>
      </c>
      <c r="J166" t="str">
        <f t="shared" si="2"/>
        <v>ia.assorted_string like '%82587-00276-01-2024%' or</v>
      </c>
    </row>
    <row r="167" spans="1:10" x14ac:dyDescent="0.25">
      <c r="A167" t="s">
        <v>1389</v>
      </c>
      <c r="B167" t="s">
        <v>2345</v>
      </c>
      <c r="G167" t="s">
        <v>2384</v>
      </c>
      <c r="H167">
        <v>72136</v>
      </c>
      <c r="I167" t="s">
        <v>2479</v>
      </c>
      <c r="J167" t="str">
        <f t="shared" si="2"/>
        <v>ia.assorted_string like '%72136-00081-06-2023%' or</v>
      </c>
    </row>
    <row r="168" spans="1:10" x14ac:dyDescent="0.25">
      <c r="A168" t="s">
        <v>1390</v>
      </c>
      <c r="B168" t="s">
        <v>2359</v>
      </c>
      <c r="G168" t="s">
        <v>2384</v>
      </c>
      <c r="H168">
        <v>82917</v>
      </c>
      <c r="I168" t="s">
        <v>2416</v>
      </c>
      <c r="J168" t="str">
        <f t="shared" si="2"/>
        <v>ia.assorted_string like '%82917-00009-02-2024%' or</v>
      </c>
    </row>
    <row r="169" spans="1:10" x14ac:dyDescent="0.25">
      <c r="A169" t="s">
        <v>1391</v>
      </c>
      <c r="B169" t="s">
        <v>2354</v>
      </c>
      <c r="G169" t="s">
        <v>2384</v>
      </c>
      <c r="H169">
        <v>73571</v>
      </c>
      <c r="I169" t="s">
        <v>2480</v>
      </c>
      <c r="J169" t="str">
        <f t="shared" si="2"/>
        <v>ia.assorted_string like '%73571-00280-08-2023%' or</v>
      </c>
    </row>
    <row r="170" spans="1:10" x14ac:dyDescent="0.25">
      <c r="A170" t="s">
        <v>1392</v>
      </c>
      <c r="B170" t="s">
        <v>2359</v>
      </c>
      <c r="G170" t="s">
        <v>2384</v>
      </c>
      <c r="H170">
        <v>83022</v>
      </c>
      <c r="I170" t="s">
        <v>2388</v>
      </c>
      <c r="J170" t="str">
        <f t="shared" si="2"/>
        <v>ia.assorted_string like '%83022-00001-02-2024%' or</v>
      </c>
    </row>
    <row r="171" spans="1:10" x14ac:dyDescent="0.25">
      <c r="A171" t="s">
        <v>1393</v>
      </c>
      <c r="B171" t="s">
        <v>2354</v>
      </c>
      <c r="G171" t="s">
        <v>2384</v>
      </c>
      <c r="H171">
        <v>74098</v>
      </c>
      <c r="I171" t="s">
        <v>2481</v>
      </c>
      <c r="J171" t="str">
        <f t="shared" si="2"/>
        <v>ia.assorted_string like '%74098-00217-08-2023%' or</v>
      </c>
    </row>
    <row r="172" spans="1:10" x14ac:dyDescent="0.25">
      <c r="A172" t="s">
        <v>1395</v>
      </c>
      <c r="B172" t="s">
        <v>2340</v>
      </c>
      <c r="G172" t="s">
        <v>2384</v>
      </c>
      <c r="H172">
        <v>75858</v>
      </c>
      <c r="I172" t="s">
        <v>2482</v>
      </c>
      <c r="J172" t="str">
        <f t="shared" si="2"/>
        <v>ia.assorted_string like '%75858-00150-09-2023%' or</v>
      </c>
    </row>
    <row r="173" spans="1:10" x14ac:dyDescent="0.25">
      <c r="A173" t="s">
        <v>1397</v>
      </c>
      <c r="B173" t="s">
        <v>2367</v>
      </c>
      <c r="G173" t="s">
        <v>2384</v>
      </c>
      <c r="H173">
        <v>76438</v>
      </c>
      <c r="I173" t="s">
        <v>2477</v>
      </c>
      <c r="J173" t="str">
        <f t="shared" si="2"/>
        <v>ia.assorted_string like '%76438-00013-10-2023%' or</v>
      </c>
    </row>
    <row r="174" spans="1:10" x14ac:dyDescent="0.25">
      <c r="A174" t="s">
        <v>1398</v>
      </c>
      <c r="B174" t="s">
        <v>2359</v>
      </c>
      <c r="G174" t="s">
        <v>2384</v>
      </c>
      <c r="H174">
        <v>83428</v>
      </c>
      <c r="I174" t="s">
        <v>2476</v>
      </c>
      <c r="J174" t="str">
        <f t="shared" si="2"/>
        <v>ia.assorted_string like '%83428-00011-02-2024%' or</v>
      </c>
    </row>
    <row r="175" spans="1:10" x14ac:dyDescent="0.25">
      <c r="A175" t="s">
        <v>1399</v>
      </c>
      <c r="B175" t="s">
        <v>2339</v>
      </c>
      <c r="G175" t="s">
        <v>2384</v>
      </c>
      <c r="H175">
        <v>86138</v>
      </c>
      <c r="I175" t="s">
        <v>2483</v>
      </c>
      <c r="J175" t="str">
        <f t="shared" si="2"/>
        <v>ia.assorted_string like '%86138-00158-03-2024%' or</v>
      </c>
    </row>
    <row r="176" spans="1:10" x14ac:dyDescent="0.25">
      <c r="A176" t="s">
        <v>1400</v>
      </c>
      <c r="B176" t="s">
        <v>2359</v>
      </c>
      <c r="G176" t="s">
        <v>2384</v>
      </c>
      <c r="H176">
        <v>83428</v>
      </c>
      <c r="I176" t="s">
        <v>2455</v>
      </c>
      <c r="J176" t="str">
        <f t="shared" si="2"/>
        <v>ia.assorted_string like '%83428-00008-02-2024%' or</v>
      </c>
    </row>
    <row r="177" spans="1:10" x14ac:dyDescent="0.25">
      <c r="A177" t="s">
        <v>1401</v>
      </c>
      <c r="B177" t="s">
        <v>2376</v>
      </c>
      <c r="G177" t="s">
        <v>2384</v>
      </c>
      <c r="H177">
        <v>77973</v>
      </c>
      <c r="I177" t="s">
        <v>2484</v>
      </c>
      <c r="J177" t="str">
        <f t="shared" si="2"/>
        <v>ia.assorted_string like '%77973-00192-11-2023%' or</v>
      </c>
    </row>
    <row r="178" spans="1:10" x14ac:dyDescent="0.25">
      <c r="A178" t="s">
        <v>1402</v>
      </c>
      <c r="B178" t="s">
        <v>2359</v>
      </c>
      <c r="G178" t="s">
        <v>2384</v>
      </c>
      <c r="H178">
        <v>83428</v>
      </c>
      <c r="I178" t="s">
        <v>2416</v>
      </c>
      <c r="J178" t="str">
        <f t="shared" si="2"/>
        <v>ia.assorted_string like '%83428-00009-02-2024%' or</v>
      </c>
    </row>
    <row r="179" spans="1:10" x14ac:dyDescent="0.25">
      <c r="A179" t="s">
        <v>1403</v>
      </c>
      <c r="B179" t="s">
        <v>2376</v>
      </c>
      <c r="G179" t="s">
        <v>2384</v>
      </c>
      <c r="H179">
        <v>77973</v>
      </c>
      <c r="I179" t="s">
        <v>2485</v>
      </c>
      <c r="J179" t="str">
        <f t="shared" si="2"/>
        <v>ia.assorted_string like '%77973-00033-11-2023%' or</v>
      </c>
    </row>
    <row r="180" spans="1:10" x14ac:dyDescent="0.25">
      <c r="A180" t="s">
        <v>1404</v>
      </c>
      <c r="B180" t="s">
        <v>2359</v>
      </c>
      <c r="G180" t="s">
        <v>2384</v>
      </c>
      <c r="H180">
        <v>83429</v>
      </c>
      <c r="I180" t="s">
        <v>2486</v>
      </c>
      <c r="J180" t="str">
        <f t="shared" si="2"/>
        <v>ia.assorted_string like '%83429-00015-02-2024%' or</v>
      </c>
    </row>
    <row r="181" spans="1:10" x14ac:dyDescent="0.25">
      <c r="A181" t="s">
        <v>1405</v>
      </c>
      <c r="B181" t="s">
        <v>2376</v>
      </c>
      <c r="G181" t="s">
        <v>2384</v>
      </c>
      <c r="H181">
        <v>78152</v>
      </c>
      <c r="I181" t="s">
        <v>2487</v>
      </c>
      <c r="J181" t="str">
        <f t="shared" si="2"/>
        <v>ia.assorted_string like '%78152-00022-11-2023%' or</v>
      </c>
    </row>
    <row r="182" spans="1:10" x14ac:dyDescent="0.25">
      <c r="A182" t="s">
        <v>1406</v>
      </c>
      <c r="B182" t="s">
        <v>2359</v>
      </c>
      <c r="G182" t="s">
        <v>2384</v>
      </c>
      <c r="H182">
        <v>83429</v>
      </c>
      <c r="I182" t="s">
        <v>2454</v>
      </c>
      <c r="J182" t="str">
        <f t="shared" si="2"/>
        <v>ia.assorted_string like '%83429-00006-02-2024%' or</v>
      </c>
    </row>
    <row r="183" spans="1:10" x14ac:dyDescent="0.25">
      <c r="A183" t="s">
        <v>1409</v>
      </c>
      <c r="B183" t="s">
        <v>2361</v>
      </c>
      <c r="G183" t="s">
        <v>2384</v>
      </c>
      <c r="H183">
        <v>81049</v>
      </c>
      <c r="I183" t="s">
        <v>2416</v>
      </c>
      <c r="J183" t="str">
        <f t="shared" si="2"/>
        <v>ia.assorted_string like '%81049-00009-01-2024%' or</v>
      </c>
    </row>
    <row r="184" spans="1:10" x14ac:dyDescent="0.25">
      <c r="A184" t="s">
        <v>1410</v>
      </c>
      <c r="B184" t="s">
        <v>2359</v>
      </c>
      <c r="G184" t="s">
        <v>2384</v>
      </c>
      <c r="H184">
        <v>84011</v>
      </c>
      <c r="I184" t="s">
        <v>2455</v>
      </c>
      <c r="J184" t="str">
        <f t="shared" si="2"/>
        <v>ia.assorted_string like '%84011-00008-02-2024%' or</v>
      </c>
    </row>
    <row r="185" spans="1:10" x14ac:dyDescent="0.25">
      <c r="A185" t="s">
        <v>1411</v>
      </c>
      <c r="B185" t="s">
        <v>2371</v>
      </c>
      <c r="G185" t="s">
        <v>2384</v>
      </c>
      <c r="H185">
        <v>100718</v>
      </c>
      <c r="I185" t="s">
        <v>2388</v>
      </c>
      <c r="J185" t="str">
        <f t="shared" si="2"/>
        <v>ia.assorted_string like '%100718-00001-10-2024%' or</v>
      </c>
    </row>
    <row r="186" spans="1:10" x14ac:dyDescent="0.25">
      <c r="A186" t="s">
        <v>1412</v>
      </c>
      <c r="B186" t="s">
        <v>2359</v>
      </c>
      <c r="G186" t="s">
        <v>2384</v>
      </c>
      <c r="H186">
        <v>84019</v>
      </c>
      <c r="I186" t="s">
        <v>2488</v>
      </c>
      <c r="J186" t="str">
        <f t="shared" si="2"/>
        <v>ia.assorted_string like '%84019-00117-02-2024%' or</v>
      </c>
    </row>
    <row r="187" spans="1:10" x14ac:dyDescent="0.25">
      <c r="A187" t="s">
        <v>1414</v>
      </c>
      <c r="B187" t="s">
        <v>2359</v>
      </c>
      <c r="G187" t="s">
        <v>2384</v>
      </c>
      <c r="H187">
        <v>84360</v>
      </c>
      <c r="I187" t="s">
        <v>2402</v>
      </c>
      <c r="J187" t="str">
        <f t="shared" si="2"/>
        <v>ia.assorted_string like '%84360-00003-02-2024%' or</v>
      </c>
    </row>
    <row r="188" spans="1:10" x14ac:dyDescent="0.25">
      <c r="A188" t="s">
        <v>1416</v>
      </c>
      <c r="B188" t="s">
        <v>2359</v>
      </c>
      <c r="G188" t="s">
        <v>2384</v>
      </c>
      <c r="H188">
        <v>84602</v>
      </c>
      <c r="I188" t="s">
        <v>2400</v>
      </c>
      <c r="J188" t="str">
        <f t="shared" si="2"/>
        <v>ia.assorted_string like '%84602-00002-02-2024%' or</v>
      </c>
    </row>
    <row r="189" spans="1:10" x14ac:dyDescent="0.25">
      <c r="A189" t="s">
        <v>1417</v>
      </c>
      <c r="B189" t="s">
        <v>2344</v>
      </c>
      <c r="G189" t="s">
        <v>2384</v>
      </c>
      <c r="H189">
        <v>72988</v>
      </c>
      <c r="I189" t="s">
        <v>2489</v>
      </c>
      <c r="J189" t="str">
        <f t="shared" si="2"/>
        <v>ia.assorted_string like '%72988-00249-07-2023%' or</v>
      </c>
    </row>
    <row r="190" spans="1:10" x14ac:dyDescent="0.25">
      <c r="A190" t="s">
        <v>1418</v>
      </c>
      <c r="B190" t="s">
        <v>2339</v>
      </c>
      <c r="G190" t="s">
        <v>2384</v>
      </c>
      <c r="H190">
        <v>85327</v>
      </c>
      <c r="I190" t="s">
        <v>2388</v>
      </c>
      <c r="J190" t="str">
        <f t="shared" si="2"/>
        <v>ia.assorted_string like '%85327-00001-03-2024%' or</v>
      </c>
    </row>
    <row r="191" spans="1:10" x14ac:dyDescent="0.25">
      <c r="A191" t="s">
        <v>1419</v>
      </c>
      <c r="B191" t="s">
        <v>2354</v>
      </c>
      <c r="G191" t="s">
        <v>2384</v>
      </c>
      <c r="H191">
        <v>74283</v>
      </c>
      <c r="I191" t="s">
        <v>2490</v>
      </c>
      <c r="J191" t="str">
        <f t="shared" si="2"/>
        <v>ia.assorted_string like '%74283-00010-08-2023%' or</v>
      </c>
    </row>
    <row r="192" spans="1:10" x14ac:dyDescent="0.25">
      <c r="A192" t="s">
        <v>1420</v>
      </c>
      <c r="B192" t="s">
        <v>2339</v>
      </c>
      <c r="G192" t="s">
        <v>2384</v>
      </c>
      <c r="H192">
        <v>85373</v>
      </c>
      <c r="I192" t="s">
        <v>2490</v>
      </c>
      <c r="J192" t="str">
        <f t="shared" si="2"/>
        <v>ia.assorted_string like '%85373-00010-03-2024%' or</v>
      </c>
    </row>
    <row r="193" spans="1:10" x14ac:dyDescent="0.25">
      <c r="A193" t="s">
        <v>1421</v>
      </c>
      <c r="B193" t="s">
        <v>2376</v>
      </c>
      <c r="G193" t="s">
        <v>2384</v>
      </c>
      <c r="H193">
        <v>77949</v>
      </c>
      <c r="I193" t="s">
        <v>2477</v>
      </c>
      <c r="J193" t="str">
        <f t="shared" si="2"/>
        <v>ia.assorted_string like '%77949-00013-11-2023%' or</v>
      </c>
    </row>
    <row r="194" spans="1:10" x14ac:dyDescent="0.25">
      <c r="A194" t="s">
        <v>1422</v>
      </c>
      <c r="B194" t="s">
        <v>2339</v>
      </c>
      <c r="G194" t="s">
        <v>2384</v>
      </c>
      <c r="H194">
        <v>85373</v>
      </c>
      <c r="I194" t="s">
        <v>2477</v>
      </c>
      <c r="J194" t="str">
        <f t="shared" si="2"/>
        <v>ia.assorted_string like '%85373-00013-03-2024%' or</v>
      </c>
    </row>
    <row r="195" spans="1:10" x14ac:dyDescent="0.25">
      <c r="A195" t="s">
        <v>1423</v>
      </c>
      <c r="B195" t="s">
        <v>2376</v>
      </c>
      <c r="G195" t="s">
        <v>2384</v>
      </c>
      <c r="H195">
        <v>77973</v>
      </c>
      <c r="I195" t="s">
        <v>2491</v>
      </c>
      <c r="J195" t="str">
        <f t="shared" ref="J195:J258" si="3">"ia.assorted_string like '%"&amp;H195&amp;"-"&amp;I195&amp;B195&amp;"%' or"</f>
        <v>ia.assorted_string like '%77973-00287-11-2023%' or</v>
      </c>
    </row>
    <row r="196" spans="1:10" x14ac:dyDescent="0.25">
      <c r="A196" t="s">
        <v>1424</v>
      </c>
      <c r="B196" t="s">
        <v>2339</v>
      </c>
      <c r="G196" t="s">
        <v>2384</v>
      </c>
      <c r="H196">
        <v>85373</v>
      </c>
      <c r="I196" t="s">
        <v>2402</v>
      </c>
      <c r="J196" t="str">
        <f t="shared" si="3"/>
        <v>ia.assorted_string like '%85373-00003-03-2024%' or</v>
      </c>
    </row>
    <row r="197" spans="1:10" x14ac:dyDescent="0.25">
      <c r="A197" t="s">
        <v>1425</v>
      </c>
      <c r="B197" t="s">
        <v>2376</v>
      </c>
      <c r="G197" t="s">
        <v>2384</v>
      </c>
      <c r="H197">
        <v>78152</v>
      </c>
      <c r="I197" t="s">
        <v>2455</v>
      </c>
      <c r="J197" t="str">
        <f t="shared" si="3"/>
        <v>ia.assorted_string like '%78152-00008-11-2023%' or</v>
      </c>
    </row>
    <row r="198" spans="1:10" x14ac:dyDescent="0.25">
      <c r="A198" t="s">
        <v>1426</v>
      </c>
      <c r="B198" t="s">
        <v>2339</v>
      </c>
      <c r="G198" t="s">
        <v>2384</v>
      </c>
      <c r="H198">
        <v>85373</v>
      </c>
      <c r="I198" t="s">
        <v>2454</v>
      </c>
      <c r="J198" t="str">
        <f t="shared" si="3"/>
        <v>ia.assorted_string like '%85373-00006-03-2024%' or</v>
      </c>
    </row>
    <row r="199" spans="1:10" x14ac:dyDescent="0.25">
      <c r="A199" t="s">
        <v>1428</v>
      </c>
      <c r="B199" t="s">
        <v>2339</v>
      </c>
      <c r="G199" t="s">
        <v>2384</v>
      </c>
      <c r="H199">
        <v>85373</v>
      </c>
      <c r="I199" t="s">
        <v>2416</v>
      </c>
      <c r="J199" t="str">
        <f t="shared" si="3"/>
        <v>ia.assorted_string like '%85373-00009-03-2024%' or</v>
      </c>
    </row>
    <row r="200" spans="1:10" x14ac:dyDescent="0.25">
      <c r="A200" t="s">
        <v>1429</v>
      </c>
      <c r="B200" t="s">
        <v>2339</v>
      </c>
      <c r="G200" t="s">
        <v>2384</v>
      </c>
      <c r="H200">
        <v>85944</v>
      </c>
      <c r="I200" t="s">
        <v>2412</v>
      </c>
      <c r="J200" t="str">
        <f t="shared" si="3"/>
        <v>ia.assorted_string like '%85944-00105-03-2024%' or</v>
      </c>
    </row>
    <row r="201" spans="1:10" x14ac:dyDescent="0.25">
      <c r="A201" t="s">
        <v>1430</v>
      </c>
      <c r="B201" t="s">
        <v>2339</v>
      </c>
      <c r="G201" t="s">
        <v>2384</v>
      </c>
      <c r="H201">
        <v>85390</v>
      </c>
      <c r="I201" t="s">
        <v>2400</v>
      </c>
      <c r="J201" t="str">
        <f t="shared" si="3"/>
        <v>ia.assorted_string like '%85390-00002-03-2024%' or</v>
      </c>
    </row>
    <row r="202" spans="1:10" x14ac:dyDescent="0.25">
      <c r="A202" t="s">
        <v>1432</v>
      </c>
      <c r="B202" t="s">
        <v>2339</v>
      </c>
      <c r="G202" t="s">
        <v>2384</v>
      </c>
      <c r="H202">
        <v>85390</v>
      </c>
      <c r="I202" t="s">
        <v>2402</v>
      </c>
      <c r="J202" t="str">
        <f t="shared" si="3"/>
        <v>ia.assorted_string like '%85390-00003-03-2024%' or</v>
      </c>
    </row>
    <row r="203" spans="1:10" x14ac:dyDescent="0.25">
      <c r="A203" t="s">
        <v>1433</v>
      </c>
      <c r="B203" t="s">
        <v>2376</v>
      </c>
      <c r="G203" t="s">
        <v>2384</v>
      </c>
      <c r="H203">
        <v>77973</v>
      </c>
      <c r="I203" t="s">
        <v>2456</v>
      </c>
      <c r="J203" t="str">
        <f t="shared" si="3"/>
        <v>ia.assorted_string like '%77973-00012-11-2023%' or</v>
      </c>
    </row>
    <row r="204" spans="1:10" x14ac:dyDescent="0.25">
      <c r="A204" t="s">
        <v>1435</v>
      </c>
      <c r="B204" t="s">
        <v>2372</v>
      </c>
      <c r="G204" t="s">
        <v>2384</v>
      </c>
      <c r="H204">
        <v>80441</v>
      </c>
      <c r="I204" t="s">
        <v>2492</v>
      </c>
      <c r="J204" t="str">
        <f t="shared" si="3"/>
        <v>ia.assorted_string like '%80441-00055-12-2023%' or</v>
      </c>
    </row>
    <row r="205" spans="1:10" x14ac:dyDescent="0.25">
      <c r="A205" t="s">
        <v>1437</v>
      </c>
      <c r="B205" t="s">
        <v>2345</v>
      </c>
      <c r="G205" t="s">
        <v>2384</v>
      </c>
      <c r="H205">
        <v>71697</v>
      </c>
      <c r="I205" t="s">
        <v>2493</v>
      </c>
      <c r="J205" t="str">
        <f t="shared" si="3"/>
        <v>ia.assorted_string like '%71697-00028-06-2023%' or</v>
      </c>
    </row>
    <row r="206" spans="1:10" x14ac:dyDescent="0.25">
      <c r="A206" t="s">
        <v>1438</v>
      </c>
      <c r="B206" t="s">
        <v>2376</v>
      </c>
      <c r="G206" t="s">
        <v>2384</v>
      </c>
      <c r="H206">
        <v>77973</v>
      </c>
      <c r="I206" t="s">
        <v>2494</v>
      </c>
      <c r="J206" t="str">
        <f t="shared" si="3"/>
        <v>ia.assorted_string like '%77973-00426-11-2023%' or</v>
      </c>
    </row>
    <row r="207" spans="1:10" x14ac:dyDescent="0.25">
      <c r="A207" t="s">
        <v>1440</v>
      </c>
      <c r="B207" t="s">
        <v>2367</v>
      </c>
      <c r="G207" t="s">
        <v>2384</v>
      </c>
      <c r="H207">
        <v>76429</v>
      </c>
      <c r="I207" t="s">
        <v>2429</v>
      </c>
      <c r="J207" t="str">
        <f t="shared" si="3"/>
        <v>ia.assorted_string like '%76429-00039-10-2023%' or</v>
      </c>
    </row>
    <row r="208" spans="1:10" x14ac:dyDescent="0.25">
      <c r="A208" t="s">
        <v>1443</v>
      </c>
      <c r="B208" t="s">
        <v>2347</v>
      </c>
      <c r="G208" t="s">
        <v>2384</v>
      </c>
      <c r="H208">
        <v>87875</v>
      </c>
      <c r="I208" t="s">
        <v>2495</v>
      </c>
      <c r="J208" t="str">
        <f t="shared" si="3"/>
        <v>ia.assorted_string like '%87875-00116-04-2024%' or</v>
      </c>
    </row>
    <row r="209" spans="1:10" x14ac:dyDescent="0.25">
      <c r="A209" t="s">
        <v>1445</v>
      </c>
      <c r="B209" t="s">
        <v>2347</v>
      </c>
      <c r="G209" t="s">
        <v>2384</v>
      </c>
      <c r="H209">
        <v>87875</v>
      </c>
      <c r="I209" t="s">
        <v>2451</v>
      </c>
      <c r="J209" t="str">
        <f t="shared" si="3"/>
        <v>ia.assorted_string like '%87875-00066-04-2024%' or</v>
      </c>
    </row>
    <row r="210" spans="1:10" x14ac:dyDescent="0.25">
      <c r="A210" t="s">
        <v>1446</v>
      </c>
      <c r="B210" t="s">
        <v>2355</v>
      </c>
      <c r="G210" t="s">
        <v>2384</v>
      </c>
      <c r="H210">
        <v>88600</v>
      </c>
      <c r="I210" t="s">
        <v>2400</v>
      </c>
      <c r="J210" t="str">
        <f t="shared" si="3"/>
        <v>ia.assorted_string like '%88600-00002-05-2024%' or</v>
      </c>
    </row>
    <row r="211" spans="1:10" x14ac:dyDescent="0.25">
      <c r="A211" t="s">
        <v>1447</v>
      </c>
      <c r="B211" t="s">
        <v>2347</v>
      </c>
      <c r="G211" t="s">
        <v>2384</v>
      </c>
      <c r="H211">
        <v>87875</v>
      </c>
      <c r="I211" t="s">
        <v>2496</v>
      </c>
      <c r="J211" t="str">
        <f t="shared" si="3"/>
        <v>ia.assorted_string like '%87875-00153-04-2024%' or</v>
      </c>
    </row>
    <row r="212" spans="1:10" x14ac:dyDescent="0.25">
      <c r="A212" t="s">
        <v>1448</v>
      </c>
      <c r="B212" t="s">
        <v>2346</v>
      </c>
      <c r="G212" t="s">
        <v>2384</v>
      </c>
      <c r="H212">
        <v>95516</v>
      </c>
      <c r="I212" t="s">
        <v>2400</v>
      </c>
      <c r="J212" t="str">
        <f t="shared" si="3"/>
        <v>ia.assorted_string like '%95516-00002-08-2024%' or</v>
      </c>
    </row>
    <row r="213" spans="1:10" x14ac:dyDescent="0.25">
      <c r="A213" t="s">
        <v>1449</v>
      </c>
      <c r="B213" t="s">
        <v>2355</v>
      </c>
      <c r="G213" t="s">
        <v>2384</v>
      </c>
      <c r="H213">
        <v>88466</v>
      </c>
      <c r="I213" t="s">
        <v>2400</v>
      </c>
      <c r="J213" t="str">
        <f t="shared" si="3"/>
        <v>ia.assorted_string like '%88466-00002-05-2024%' or</v>
      </c>
    </row>
    <row r="214" spans="1:10" x14ac:dyDescent="0.25">
      <c r="A214" t="s">
        <v>1450</v>
      </c>
      <c r="B214" t="s">
        <v>2347</v>
      </c>
      <c r="G214" t="s">
        <v>2384</v>
      </c>
      <c r="H214">
        <v>87790</v>
      </c>
      <c r="I214" t="s">
        <v>2400</v>
      </c>
      <c r="J214" t="str">
        <f t="shared" si="3"/>
        <v>ia.assorted_string like '%87790-00002-04-2024%' or</v>
      </c>
    </row>
    <row r="215" spans="1:10" x14ac:dyDescent="0.25">
      <c r="A215" t="s">
        <v>1451</v>
      </c>
      <c r="B215" t="s">
        <v>2355</v>
      </c>
      <c r="G215" t="s">
        <v>2384</v>
      </c>
      <c r="H215">
        <v>88600</v>
      </c>
      <c r="I215" t="s">
        <v>2388</v>
      </c>
      <c r="J215" t="str">
        <f t="shared" si="3"/>
        <v>ia.assorted_string like '%88600-00001-05-2024%' or</v>
      </c>
    </row>
    <row r="216" spans="1:10" x14ac:dyDescent="0.25">
      <c r="A216" t="s">
        <v>1452</v>
      </c>
      <c r="B216" t="s">
        <v>2346</v>
      </c>
      <c r="G216" t="s">
        <v>2384</v>
      </c>
      <c r="H216">
        <v>95518</v>
      </c>
      <c r="I216" t="s">
        <v>2400</v>
      </c>
      <c r="J216" t="str">
        <f t="shared" si="3"/>
        <v>ia.assorted_string like '%95518-00002-08-2024%' or</v>
      </c>
    </row>
    <row r="217" spans="1:10" x14ac:dyDescent="0.25">
      <c r="A217" t="s">
        <v>1453</v>
      </c>
      <c r="B217" t="s">
        <v>2347</v>
      </c>
      <c r="G217" t="s">
        <v>2384</v>
      </c>
      <c r="H217">
        <v>87875</v>
      </c>
      <c r="I217" t="s">
        <v>2497</v>
      </c>
      <c r="J217" t="str">
        <f t="shared" si="3"/>
        <v>ia.assorted_string like '%87875-00087-04-2024%' or</v>
      </c>
    </row>
    <row r="218" spans="1:10" x14ac:dyDescent="0.25">
      <c r="A218" t="s">
        <v>1454</v>
      </c>
      <c r="B218" t="s">
        <v>2355</v>
      </c>
      <c r="G218" t="s">
        <v>2384</v>
      </c>
      <c r="H218">
        <v>88600</v>
      </c>
      <c r="I218" t="s">
        <v>2454</v>
      </c>
      <c r="J218" t="str">
        <f t="shared" si="3"/>
        <v>ia.assorted_string like '%88600-00006-05-2024%' or</v>
      </c>
    </row>
    <row r="219" spans="1:10" x14ac:dyDescent="0.25">
      <c r="A219" t="s">
        <v>1455</v>
      </c>
      <c r="B219" t="s">
        <v>2347</v>
      </c>
      <c r="G219" t="s">
        <v>2384</v>
      </c>
      <c r="H219">
        <v>87799</v>
      </c>
      <c r="I219" t="s">
        <v>2400</v>
      </c>
      <c r="J219" t="str">
        <f t="shared" si="3"/>
        <v>ia.assorted_string like '%87799-00002-04-2024%' or</v>
      </c>
    </row>
    <row r="220" spans="1:10" x14ac:dyDescent="0.25">
      <c r="A220" t="s">
        <v>1456</v>
      </c>
      <c r="B220" t="s">
        <v>2347</v>
      </c>
      <c r="G220" t="s">
        <v>2384</v>
      </c>
      <c r="H220">
        <v>87875</v>
      </c>
      <c r="I220" t="s">
        <v>2498</v>
      </c>
      <c r="J220" t="str">
        <f t="shared" si="3"/>
        <v>ia.assorted_string like '%87875-00109-04-2024%' or</v>
      </c>
    </row>
    <row r="221" spans="1:10" x14ac:dyDescent="0.25">
      <c r="A221" t="s">
        <v>1457</v>
      </c>
      <c r="B221" t="s">
        <v>2355</v>
      </c>
      <c r="G221" t="s">
        <v>2384</v>
      </c>
      <c r="H221">
        <v>88601</v>
      </c>
      <c r="I221" t="s">
        <v>2396</v>
      </c>
      <c r="J221" t="str">
        <f t="shared" si="3"/>
        <v>ia.assorted_string like '%88601-00005-05-2024%' or</v>
      </c>
    </row>
    <row r="222" spans="1:10" x14ac:dyDescent="0.25">
      <c r="A222" t="s">
        <v>1458</v>
      </c>
      <c r="B222" t="s">
        <v>2347</v>
      </c>
      <c r="G222" t="s">
        <v>2384</v>
      </c>
      <c r="H222">
        <v>88197</v>
      </c>
      <c r="I222" t="s">
        <v>2499</v>
      </c>
      <c r="J222" t="str">
        <f t="shared" si="3"/>
        <v>ia.assorted_string like '%88197-00134-04-2024%' or</v>
      </c>
    </row>
    <row r="223" spans="1:10" x14ac:dyDescent="0.25">
      <c r="A223" t="s">
        <v>1459</v>
      </c>
      <c r="B223" t="s">
        <v>2355</v>
      </c>
      <c r="G223" t="s">
        <v>2384</v>
      </c>
      <c r="H223">
        <v>88604</v>
      </c>
      <c r="I223" t="s">
        <v>2388</v>
      </c>
      <c r="J223" t="str">
        <f t="shared" si="3"/>
        <v>ia.assorted_string like '%88604-00001-05-2024%' or</v>
      </c>
    </row>
    <row r="224" spans="1:10" x14ac:dyDescent="0.25">
      <c r="A224" t="s">
        <v>1460</v>
      </c>
      <c r="B224" t="s">
        <v>2355</v>
      </c>
      <c r="G224" t="s">
        <v>2384</v>
      </c>
      <c r="H224">
        <v>88604</v>
      </c>
      <c r="I224" t="s">
        <v>2411</v>
      </c>
      <c r="J224" t="str">
        <f t="shared" si="3"/>
        <v>ia.assorted_string like '%88604-00004-05-2024%' or</v>
      </c>
    </row>
    <row r="225" spans="1:10" x14ac:dyDescent="0.25">
      <c r="A225" t="s">
        <v>1461</v>
      </c>
      <c r="B225" t="s">
        <v>2347</v>
      </c>
      <c r="G225" t="s">
        <v>2384</v>
      </c>
      <c r="H225">
        <v>87617</v>
      </c>
      <c r="I225" t="s">
        <v>2410</v>
      </c>
      <c r="J225" t="str">
        <f t="shared" si="3"/>
        <v>ia.assorted_string like '%87617-00018-04-2024%' or</v>
      </c>
    </row>
    <row r="226" spans="1:10" x14ac:dyDescent="0.25">
      <c r="A226" t="s">
        <v>1462</v>
      </c>
      <c r="B226" t="s">
        <v>2342</v>
      </c>
      <c r="G226" t="s">
        <v>2384</v>
      </c>
      <c r="H226">
        <v>97805</v>
      </c>
      <c r="I226" t="s">
        <v>2500</v>
      </c>
      <c r="J226" t="str">
        <f t="shared" si="3"/>
        <v>ia.assorted_string like '%97805-00146-09-2024%' or</v>
      </c>
    </row>
    <row r="227" spans="1:10" x14ac:dyDescent="0.25">
      <c r="A227" t="s">
        <v>1463</v>
      </c>
      <c r="B227" t="s">
        <v>2342</v>
      </c>
      <c r="G227" t="s">
        <v>2384</v>
      </c>
      <c r="H227">
        <v>97805</v>
      </c>
      <c r="I227" t="s">
        <v>2501</v>
      </c>
      <c r="J227" t="str">
        <f t="shared" si="3"/>
        <v>ia.assorted_string like '%97805-00180-09-2024%' or</v>
      </c>
    </row>
    <row r="228" spans="1:10" x14ac:dyDescent="0.25">
      <c r="A228" t="s">
        <v>1464</v>
      </c>
      <c r="B228" t="s">
        <v>2347</v>
      </c>
      <c r="G228" t="s">
        <v>2384</v>
      </c>
      <c r="H228">
        <v>87617</v>
      </c>
      <c r="I228" t="s">
        <v>2396</v>
      </c>
      <c r="J228" t="str">
        <f t="shared" si="3"/>
        <v>ia.assorted_string like '%87617-00005-04-2024%' or</v>
      </c>
    </row>
    <row r="229" spans="1:10" x14ac:dyDescent="0.25">
      <c r="A229" t="s">
        <v>1466</v>
      </c>
      <c r="B229" t="s">
        <v>2342</v>
      </c>
      <c r="G229" t="s">
        <v>2384</v>
      </c>
      <c r="H229">
        <v>97805</v>
      </c>
      <c r="I229" t="s">
        <v>2502</v>
      </c>
      <c r="J229" t="str">
        <f t="shared" si="3"/>
        <v>ia.assorted_string like '%97805-00220-09-2024%' or</v>
      </c>
    </row>
    <row r="230" spans="1:10" x14ac:dyDescent="0.25">
      <c r="A230" t="s">
        <v>1467</v>
      </c>
      <c r="B230" t="s">
        <v>2347</v>
      </c>
      <c r="G230" t="s">
        <v>2384</v>
      </c>
      <c r="H230">
        <v>87689</v>
      </c>
      <c r="I230" t="s">
        <v>2388</v>
      </c>
      <c r="J230" t="str">
        <f t="shared" si="3"/>
        <v>ia.assorted_string like '%87689-00001-04-2024%' or</v>
      </c>
    </row>
    <row r="231" spans="1:10" x14ac:dyDescent="0.25">
      <c r="A231" t="s">
        <v>1468</v>
      </c>
      <c r="B231" t="s">
        <v>2342</v>
      </c>
      <c r="G231" t="s">
        <v>2384</v>
      </c>
      <c r="H231">
        <v>97805</v>
      </c>
      <c r="I231" t="s">
        <v>2480</v>
      </c>
      <c r="J231" t="str">
        <f t="shared" si="3"/>
        <v>ia.assorted_string like '%97805-00280-09-2024%' or</v>
      </c>
    </row>
    <row r="232" spans="1:10" x14ac:dyDescent="0.25">
      <c r="A232" t="s">
        <v>1469</v>
      </c>
      <c r="B232" t="s">
        <v>2347</v>
      </c>
      <c r="G232" t="s">
        <v>2384</v>
      </c>
      <c r="H232">
        <v>87710</v>
      </c>
      <c r="I232" t="s">
        <v>2388</v>
      </c>
      <c r="J232" t="str">
        <f t="shared" si="3"/>
        <v>ia.assorted_string like '%87710-00001-04-2024%' or</v>
      </c>
    </row>
    <row r="233" spans="1:10" x14ac:dyDescent="0.25">
      <c r="A233" t="s">
        <v>1470</v>
      </c>
      <c r="B233" t="s">
        <v>2347</v>
      </c>
      <c r="G233" t="s">
        <v>2384</v>
      </c>
      <c r="H233">
        <v>87715</v>
      </c>
      <c r="I233" t="s">
        <v>2403</v>
      </c>
      <c r="J233" t="str">
        <f t="shared" si="3"/>
        <v>ia.assorted_string like '%87715-00007-04-2024%' or</v>
      </c>
    </row>
    <row r="234" spans="1:10" x14ac:dyDescent="0.25">
      <c r="A234" t="s">
        <v>1471</v>
      </c>
      <c r="B234" t="s">
        <v>2347</v>
      </c>
      <c r="G234" t="s">
        <v>2384</v>
      </c>
      <c r="H234">
        <v>87875</v>
      </c>
      <c r="I234" t="s">
        <v>2503</v>
      </c>
      <c r="J234" t="str">
        <f t="shared" si="3"/>
        <v>ia.assorted_string like '%87875-00167-04-2024%' or</v>
      </c>
    </row>
    <row r="235" spans="1:10" x14ac:dyDescent="0.25">
      <c r="A235" t="s">
        <v>1472</v>
      </c>
      <c r="B235" t="s">
        <v>2347</v>
      </c>
      <c r="G235" t="s">
        <v>2384</v>
      </c>
      <c r="H235">
        <v>87861</v>
      </c>
      <c r="I235" t="s">
        <v>2455</v>
      </c>
      <c r="J235" t="str">
        <f t="shared" si="3"/>
        <v>ia.assorted_string like '%87861-00008-04-2024%' or</v>
      </c>
    </row>
    <row r="236" spans="1:10" x14ac:dyDescent="0.25">
      <c r="A236" t="s">
        <v>1473</v>
      </c>
      <c r="B236" t="s">
        <v>2342</v>
      </c>
      <c r="G236" t="s">
        <v>2384</v>
      </c>
      <c r="H236">
        <v>97805</v>
      </c>
      <c r="I236" t="s">
        <v>2504</v>
      </c>
      <c r="J236" t="str">
        <f t="shared" si="3"/>
        <v>ia.assorted_string like '%97805-00052-09-2024%' or</v>
      </c>
    </row>
    <row r="237" spans="1:10" x14ac:dyDescent="0.25">
      <c r="A237" t="s">
        <v>1474</v>
      </c>
      <c r="B237" t="s">
        <v>2347</v>
      </c>
      <c r="G237" t="s">
        <v>2384</v>
      </c>
      <c r="H237">
        <v>87772</v>
      </c>
      <c r="I237" t="s">
        <v>2388</v>
      </c>
      <c r="J237" t="str">
        <f t="shared" si="3"/>
        <v>ia.assorted_string like '%87772-00001-04-2024%' or</v>
      </c>
    </row>
    <row r="238" spans="1:10" x14ac:dyDescent="0.25">
      <c r="A238" t="s">
        <v>1475</v>
      </c>
      <c r="B238" t="s">
        <v>2347</v>
      </c>
      <c r="G238" t="s">
        <v>2384</v>
      </c>
      <c r="H238">
        <v>87772</v>
      </c>
      <c r="I238" t="s">
        <v>2400</v>
      </c>
      <c r="J238" t="str">
        <f t="shared" si="3"/>
        <v>ia.assorted_string like '%87772-00002-04-2024%' or</v>
      </c>
    </row>
    <row r="239" spans="1:10" x14ac:dyDescent="0.25">
      <c r="A239" t="s">
        <v>1476</v>
      </c>
      <c r="B239" t="s">
        <v>2342</v>
      </c>
      <c r="G239" t="s">
        <v>2384</v>
      </c>
      <c r="H239">
        <v>97805</v>
      </c>
      <c r="I239" t="s">
        <v>2505</v>
      </c>
      <c r="J239" t="str">
        <f t="shared" si="3"/>
        <v>ia.assorted_string like '%97805-00076-09-2024%' or</v>
      </c>
    </row>
    <row r="240" spans="1:10" x14ac:dyDescent="0.25">
      <c r="A240" t="s">
        <v>1477</v>
      </c>
      <c r="B240" t="s">
        <v>2347</v>
      </c>
      <c r="G240" t="s">
        <v>2384</v>
      </c>
      <c r="H240">
        <v>87875</v>
      </c>
      <c r="I240" t="s">
        <v>2506</v>
      </c>
      <c r="J240" t="str">
        <f t="shared" si="3"/>
        <v>ia.assorted_string like '%87875-00169-04-2024%' or</v>
      </c>
    </row>
    <row r="241" spans="1:10" x14ac:dyDescent="0.25">
      <c r="A241" t="s">
        <v>1478</v>
      </c>
      <c r="B241" t="s">
        <v>2347</v>
      </c>
      <c r="G241" t="s">
        <v>2384</v>
      </c>
      <c r="H241">
        <v>87875</v>
      </c>
      <c r="I241" t="s">
        <v>2507</v>
      </c>
      <c r="J241" t="str">
        <f t="shared" si="3"/>
        <v>ia.assorted_string like '%87875-00170-04-2024%' or</v>
      </c>
    </row>
    <row r="242" spans="1:10" x14ac:dyDescent="0.25">
      <c r="A242" t="s">
        <v>1479</v>
      </c>
      <c r="B242" t="s">
        <v>2343</v>
      </c>
      <c r="G242" t="s">
        <v>2384</v>
      </c>
      <c r="H242">
        <v>90833</v>
      </c>
      <c r="I242" t="s">
        <v>2508</v>
      </c>
      <c r="J242" t="str">
        <f t="shared" si="3"/>
        <v>ia.assorted_string like '%90833-00219-06-2024%' or</v>
      </c>
    </row>
    <row r="243" spans="1:10" x14ac:dyDescent="0.25">
      <c r="A243" t="s">
        <v>1480</v>
      </c>
      <c r="B243" t="s">
        <v>2355</v>
      </c>
      <c r="G243" t="s">
        <v>2384</v>
      </c>
      <c r="H243">
        <v>88615</v>
      </c>
      <c r="I243" t="s">
        <v>2400</v>
      </c>
      <c r="J243" t="str">
        <f t="shared" si="3"/>
        <v>ia.assorted_string like '%88615-00002-05-2024%' or</v>
      </c>
    </row>
    <row r="244" spans="1:10" x14ac:dyDescent="0.25">
      <c r="A244" t="s">
        <v>1482</v>
      </c>
      <c r="B244" t="s">
        <v>2355</v>
      </c>
      <c r="G244" t="s">
        <v>2384</v>
      </c>
      <c r="H244">
        <v>88615</v>
      </c>
      <c r="I244" t="s">
        <v>2402</v>
      </c>
      <c r="J244" t="str">
        <f t="shared" si="3"/>
        <v>ia.assorted_string like '%88615-00003-05-2024%' or</v>
      </c>
    </row>
    <row r="245" spans="1:10" x14ac:dyDescent="0.25">
      <c r="A245" t="s">
        <v>1483</v>
      </c>
      <c r="B245" t="s">
        <v>2347</v>
      </c>
      <c r="G245" t="s">
        <v>2384</v>
      </c>
      <c r="H245">
        <v>87875</v>
      </c>
      <c r="I245" t="s">
        <v>2509</v>
      </c>
      <c r="J245" t="str">
        <f t="shared" si="3"/>
        <v>ia.assorted_string like '%87875-00191-04-2024%' or</v>
      </c>
    </row>
    <row r="246" spans="1:10" x14ac:dyDescent="0.25">
      <c r="A246" t="s">
        <v>1484</v>
      </c>
      <c r="B246" t="s">
        <v>2347</v>
      </c>
      <c r="G246" t="s">
        <v>2384</v>
      </c>
      <c r="H246">
        <v>87875</v>
      </c>
      <c r="I246" t="s">
        <v>2510</v>
      </c>
      <c r="J246" t="str">
        <f t="shared" si="3"/>
        <v>ia.assorted_string like '%87875-00041-04-2024%' or</v>
      </c>
    </row>
    <row r="247" spans="1:10" x14ac:dyDescent="0.25">
      <c r="A247" t="s">
        <v>1485</v>
      </c>
      <c r="B247" t="s">
        <v>2347</v>
      </c>
      <c r="G247" t="s">
        <v>2384</v>
      </c>
      <c r="H247">
        <v>87777</v>
      </c>
      <c r="I247" t="s">
        <v>2402</v>
      </c>
      <c r="J247" t="str">
        <f t="shared" si="3"/>
        <v>ia.assorted_string like '%87777-00003-04-2024%' or</v>
      </c>
    </row>
    <row r="248" spans="1:10" x14ac:dyDescent="0.25">
      <c r="A248" t="s">
        <v>1486</v>
      </c>
      <c r="B248" t="s">
        <v>2355</v>
      </c>
      <c r="G248" t="s">
        <v>2384</v>
      </c>
      <c r="H248">
        <v>89428</v>
      </c>
      <c r="I248" t="s">
        <v>2511</v>
      </c>
      <c r="J248" t="str">
        <f t="shared" si="3"/>
        <v>ia.assorted_string like '%89428-00144-05-2024%' or</v>
      </c>
    </row>
    <row r="249" spans="1:10" x14ac:dyDescent="0.25">
      <c r="A249" t="s">
        <v>1487</v>
      </c>
      <c r="B249" t="s">
        <v>2347</v>
      </c>
      <c r="G249" t="s">
        <v>2384</v>
      </c>
      <c r="H249">
        <v>87875</v>
      </c>
      <c r="I249" t="s">
        <v>2512</v>
      </c>
      <c r="J249" t="str">
        <f t="shared" si="3"/>
        <v>ia.assorted_string like '%87875-00046-04-2024%' or</v>
      </c>
    </row>
    <row r="250" spans="1:10" x14ac:dyDescent="0.25">
      <c r="A250" t="s">
        <v>1488</v>
      </c>
      <c r="B250" t="s">
        <v>2347</v>
      </c>
      <c r="G250" t="s">
        <v>2384</v>
      </c>
      <c r="H250">
        <v>87875</v>
      </c>
      <c r="I250" t="s">
        <v>2513</v>
      </c>
      <c r="J250" t="str">
        <f t="shared" si="3"/>
        <v>ia.assorted_string like '%87875-00051-04-2024%' or</v>
      </c>
    </row>
    <row r="251" spans="1:10" x14ac:dyDescent="0.25">
      <c r="A251" t="s">
        <v>1489</v>
      </c>
      <c r="B251" t="s">
        <v>2347</v>
      </c>
      <c r="G251" t="s">
        <v>2384</v>
      </c>
      <c r="H251">
        <v>87875</v>
      </c>
      <c r="I251" t="s">
        <v>2514</v>
      </c>
      <c r="J251" t="str">
        <f t="shared" si="3"/>
        <v>ia.assorted_string like '%87875-00121-04-2024%' or</v>
      </c>
    </row>
    <row r="252" spans="1:10" x14ac:dyDescent="0.25">
      <c r="A252" t="s">
        <v>1490</v>
      </c>
      <c r="B252" t="s">
        <v>2347</v>
      </c>
      <c r="G252" t="s">
        <v>2384</v>
      </c>
      <c r="H252">
        <v>87875</v>
      </c>
      <c r="I252" t="s">
        <v>2419</v>
      </c>
      <c r="J252" t="str">
        <f t="shared" si="3"/>
        <v>ia.assorted_string like '%87875-00135-04-2024%' or</v>
      </c>
    </row>
    <row r="253" spans="1:10" x14ac:dyDescent="0.25">
      <c r="A253" t="s">
        <v>1491</v>
      </c>
      <c r="B253" t="s">
        <v>2347</v>
      </c>
      <c r="G253" t="s">
        <v>2384</v>
      </c>
      <c r="H253">
        <v>87875</v>
      </c>
      <c r="I253" t="s">
        <v>2476</v>
      </c>
      <c r="J253" t="str">
        <f t="shared" si="3"/>
        <v>ia.assorted_string like '%87875-00011-04-2024%' or</v>
      </c>
    </row>
    <row r="254" spans="1:10" x14ac:dyDescent="0.25">
      <c r="A254" t="s">
        <v>1492</v>
      </c>
      <c r="B254" t="s">
        <v>2343</v>
      </c>
      <c r="G254" t="s">
        <v>2384</v>
      </c>
      <c r="H254">
        <v>90919</v>
      </c>
      <c r="I254" t="s">
        <v>2515</v>
      </c>
      <c r="J254" t="str">
        <f t="shared" si="3"/>
        <v>ia.assorted_string like '%90919-00160-06-2024%' or</v>
      </c>
    </row>
    <row r="255" spans="1:10" x14ac:dyDescent="0.25">
      <c r="A255" t="s">
        <v>1493</v>
      </c>
      <c r="B255" t="s">
        <v>2346</v>
      </c>
      <c r="G255" t="s">
        <v>2384</v>
      </c>
      <c r="H255">
        <v>95518</v>
      </c>
      <c r="I255" t="s">
        <v>2456</v>
      </c>
      <c r="J255" t="str">
        <f t="shared" si="3"/>
        <v>ia.assorted_string like '%95518-00012-08-2024%' or</v>
      </c>
    </row>
    <row r="256" spans="1:10" x14ac:dyDescent="0.25">
      <c r="A256" t="s">
        <v>1494</v>
      </c>
      <c r="B256" t="s">
        <v>2347</v>
      </c>
      <c r="G256" t="s">
        <v>2384</v>
      </c>
      <c r="H256">
        <v>87875</v>
      </c>
      <c r="I256" t="s">
        <v>2516</v>
      </c>
      <c r="J256" t="str">
        <f t="shared" si="3"/>
        <v>ia.assorted_string like '%87875-00139-04-2024%' or</v>
      </c>
    </row>
    <row r="257" spans="1:10" x14ac:dyDescent="0.25">
      <c r="A257" t="s">
        <v>1495</v>
      </c>
      <c r="B257" t="s">
        <v>2355</v>
      </c>
      <c r="G257" t="s">
        <v>2384</v>
      </c>
      <c r="H257">
        <v>88600</v>
      </c>
      <c r="I257" t="s">
        <v>2396</v>
      </c>
      <c r="J257" t="str">
        <f t="shared" si="3"/>
        <v>ia.assorted_string like '%88600-00005-05-2024%' or</v>
      </c>
    </row>
    <row r="258" spans="1:10" x14ac:dyDescent="0.25">
      <c r="A258" t="s">
        <v>1496</v>
      </c>
      <c r="B258" t="s">
        <v>2343</v>
      </c>
      <c r="G258" t="s">
        <v>2384</v>
      </c>
      <c r="H258">
        <v>91563</v>
      </c>
      <c r="I258" t="s">
        <v>2476</v>
      </c>
      <c r="J258" t="str">
        <f t="shared" si="3"/>
        <v>ia.assorted_string like '%91563-00011-06-2024%' or</v>
      </c>
    </row>
    <row r="259" spans="1:10" x14ac:dyDescent="0.25">
      <c r="A259" t="s">
        <v>1497</v>
      </c>
      <c r="B259" t="s">
        <v>2355</v>
      </c>
      <c r="G259" t="s">
        <v>2384</v>
      </c>
      <c r="H259">
        <v>88601</v>
      </c>
      <c r="I259" t="s">
        <v>2411</v>
      </c>
      <c r="J259" t="str">
        <f t="shared" ref="J259:J322" si="4">"ia.assorted_string like '%"&amp;H259&amp;"-"&amp;I259&amp;B259&amp;"%' or"</f>
        <v>ia.assorted_string like '%88601-00004-05-2024%' or</v>
      </c>
    </row>
    <row r="260" spans="1:10" x14ac:dyDescent="0.25">
      <c r="A260" t="s">
        <v>1498</v>
      </c>
      <c r="B260" t="s">
        <v>2343</v>
      </c>
      <c r="G260" t="s">
        <v>2384</v>
      </c>
      <c r="H260">
        <v>91563</v>
      </c>
      <c r="I260" t="s">
        <v>2486</v>
      </c>
      <c r="J260" t="str">
        <f t="shared" si="4"/>
        <v>ia.assorted_string like '%91563-00015-06-2024%' or</v>
      </c>
    </row>
    <row r="261" spans="1:10" x14ac:dyDescent="0.25">
      <c r="A261" t="s">
        <v>1499</v>
      </c>
      <c r="B261" t="s">
        <v>2355</v>
      </c>
      <c r="G261" t="s">
        <v>2384</v>
      </c>
      <c r="H261">
        <v>88604</v>
      </c>
      <c r="I261" t="s">
        <v>2402</v>
      </c>
      <c r="J261" t="str">
        <f t="shared" si="4"/>
        <v>ia.assorted_string like '%88604-00003-05-2024%' or</v>
      </c>
    </row>
    <row r="262" spans="1:10" x14ac:dyDescent="0.25">
      <c r="A262" t="s">
        <v>1500</v>
      </c>
      <c r="B262" t="s">
        <v>2343</v>
      </c>
      <c r="G262" t="s">
        <v>2384</v>
      </c>
      <c r="H262">
        <v>91563</v>
      </c>
      <c r="I262" t="s">
        <v>2462</v>
      </c>
      <c r="J262" t="str">
        <f t="shared" si="4"/>
        <v>ia.assorted_string like '%91563-00017-06-2024%' or</v>
      </c>
    </row>
    <row r="263" spans="1:10" x14ac:dyDescent="0.25">
      <c r="A263" t="s">
        <v>1501</v>
      </c>
      <c r="B263" t="s">
        <v>2347</v>
      </c>
      <c r="G263" t="s">
        <v>2384</v>
      </c>
      <c r="H263">
        <v>87617</v>
      </c>
      <c r="I263" t="s">
        <v>2448</v>
      </c>
      <c r="J263" t="str">
        <f t="shared" si="4"/>
        <v>ia.assorted_string like '%87617-00020-04-2024%' or</v>
      </c>
    </row>
    <row r="264" spans="1:10" x14ac:dyDescent="0.25">
      <c r="A264" t="s">
        <v>1502</v>
      </c>
      <c r="B264" t="s">
        <v>2342</v>
      </c>
      <c r="G264" t="s">
        <v>2384</v>
      </c>
      <c r="H264">
        <v>97805</v>
      </c>
      <c r="I264" t="s">
        <v>2517</v>
      </c>
      <c r="J264" t="str">
        <f t="shared" si="4"/>
        <v>ia.assorted_string like '%97805-00195-09-2024%' or</v>
      </c>
    </row>
    <row r="265" spans="1:10" x14ac:dyDescent="0.25">
      <c r="A265" t="s">
        <v>1503</v>
      </c>
      <c r="B265" t="s">
        <v>2342</v>
      </c>
      <c r="G265" t="s">
        <v>2384</v>
      </c>
      <c r="H265">
        <v>97805</v>
      </c>
      <c r="I265" t="s">
        <v>2518</v>
      </c>
      <c r="J265" t="str">
        <f t="shared" si="4"/>
        <v>ia.assorted_string like '%97805-00223-09-2024%' or</v>
      </c>
    </row>
    <row r="266" spans="1:10" x14ac:dyDescent="0.25">
      <c r="A266" t="s">
        <v>1504</v>
      </c>
      <c r="B266" t="s">
        <v>2347</v>
      </c>
      <c r="G266" t="s">
        <v>2384</v>
      </c>
      <c r="H266">
        <v>87689</v>
      </c>
      <c r="I266" t="s">
        <v>2402</v>
      </c>
      <c r="J266" t="str">
        <f t="shared" si="4"/>
        <v>ia.assorted_string like '%87689-00003-04-2024%' or</v>
      </c>
    </row>
    <row r="267" spans="1:10" x14ac:dyDescent="0.25">
      <c r="A267" t="s">
        <v>1505</v>
      </c>
      <c r="B267" t="s">
        <v>2342</v>
      </c>
      <c r="G267" t="s">
        <v>2384</v>
      </c>
      <c r="H267">
        <v>97805</v>
      </c>
      <c r="I267" t="s">
        <v>2519</v>
      </c>
      <c r="J267" t="str">
        <f t="shared" si="4"/>
        <v>ia.assorted_string like '%97805-00044-09-2024%' or</v>
      </c>
    </row>
    <row r="268" spans="1:10" x14ac:dyDescent="0.25">
      <c r="A268" t="s">
        <v>1506</v>
      </c>
      <c r="B268" t="s">
        <v>2347</v>
      </c>
      <c r="G268" t="s">
        <v>2384</v>
      </c>
      <c r="H268">
        <v>87785</v>
      </c>
      <c r="I268" t="s">
        <v>2402</v>
      </c>
      <c r="J268" t="str">
        <f t="shared" si="4"/>
        <v>ia.assorted_string like '%87785-00003-04-2024%' or</v>
      </c>
    </row>
    <row r="269" spans="1:10" x14ac:dyDescent="0.25">
      <c r="A269" t="s">
        <v>1507</v>
      </c>
      <c r="B269" t="s">
        <v>2347</v>
      </c>
      <c r="G269" t="s">
        <v>2384</v>
      </c>
      <c r="H269">
        <v>87875</v>
      </c>
      <c r="I269" t="s">
        <v>2520</v>
      </c>
      <c r="J269" t="str">
        <f t="shared" si="4"/>
        <v>ia.assorted_string like '%87875-00108-04-2024%' or</v>
      </c>
    </row>
    <row r="270" spans="1:10" x14ac:dyDescent="0.25">
      <c r="A270" t="s">
        <v>1508</v>
      </c>
      <c r="B270" t="s">
        <v>2343</v>
      </c>
      <c r="G270" t="s">
        <v>2384</v>
      </c>
      <c r="H270">
        <v>91563</v>
      </c>
      <c r="I270" t="s">
        <v>2410</v>
      </c>
      <c r="J270" t="str">
        <f t="shared" si="4"/>
        <v>ia.assorted_string like '%91563-00018-06-2024%' or</v>
      </c>
    </row>
    <row r="271" spans="1:10" x14ac:dyDescent="0.25">
      <c r="A271" t="s">
        <v>1509</v>
      </c>
      <c r="B271" t="s">
        <v>2343</v>
      </c>
      <c r="G271" t="s">
        <v>2384</v>
      </c>
      <c r="H271">
        <v>91563</v>
      </c>
      <c r="I271" t="s">
        <v>2400</v>
      </c>
      <c r="J271" t="str">
        <f t="shared" si="4"/>
        <v>ia.assorted_string like '%91563-00002-06-2024%' or</v>
      </c>
    </row>
    <row r="272" spans="1:10" x14ac:dyDescent="0.25">
      <c r="A272" t="s">
        <v>1510</v>
      </c>
      <c r="B272" t="s">
        <v>2347</v>
      </c>
      <c r="G272" t="s">
        <v>2384</v>
      </c>
      <c r="H272">
        <v>87777</v>
      </c>
      <c r="I272" t="s">
        <v>2400</v>
      </c>
      <c r="J272" t="str">
        <f t="shared" si="4"/>
        <v>ia.assorted_string like '%87777-00002-04-2024%' or</v>
      </c>
    </row>
    <row r="273" spans="1:10" x14ac:dyDescent="0.25">
      <c r="A273" t="s">
        <v>1511</v>
      </c>
      <c r="B273" t="s">
        <v>2343</v>
      </c>
      <c r="G273" t="s">
        <v>2384</v>
      </c>
      <c r="H273">
        <v>91563</v>
      </c>
      <c r="I273" t="s">
        <v>2403</v>
      </c>
      <c r="J273" t="str">
        <f t="shared" si="4"/>
        <v>ia.assorted_string like '%91563-00007-06-2024%' or</v>
      </c>
    </row>
    <row r="274" spans="1:10" x14ac:dyDescent="0.25">
      <c r="A274" t="s">
        <v>1512</v>
      </c>
      <c r="B274" t="s">
        <v>2347</v>
      </c>
      <c r="G274" t="s">
        <v>2384</v>
      </c>
      <c r="H274">
        <v>87875</v>
      </c>
      <c r="I274" t="s">
        <v>2400</v>
      </c>
      <c r="J274" t="str">
        <f t="shared" si="4"/>
        <v>ia.assorted_string like '%87875-00002-04-2024%' or</v>
      </c>
    </row>
    <row r="275" spans="1:10" x14ac:dyDescent="0.25">
      <c r="A275" t="s">
        <v>1513</v>
      </c>
      <c r="B275" t="s">
        <v>2343</v>
      </c>
      <c r="G275" t="s">
        <v>2384</v>
      </c>
      <c r="H275">
        <v>91948</v>
      </c>
      <c r="I275" t="s">
        <v>2410</v>
      </c>
      <c r="J275" t="str">
        <f t="shared" si="4"/>
        <v>ia.assorted_string like '%91948-00018-06-2024%' or</v>
      </c>
    </row>
    <row r="276" spans="1:10" x14ac:dyDescent="0.25">
      <c r="A276" t="s">
        <v>1514</v>
      </c>
      <c r="B276" t="s">
        <v>2355</v>
      </c>
      <c r="G276" t="s">
        <v>2384</v>
      </c>
      <c r="H276">
        <v>89142</v>
      </c>
      <c r="I276" t="s">
        <v>2388</v>
      </c>
      <c r="J276" t="str">
        <f t="shared" si="4"/>
        <v>ia.assorted_string like '%89142-00001-05-2024%' or</v>
      </c>
    </row>
    <row r="277" spans="1:10" x14ac:dyDescent="0.25">
      <c r="A277" t="s">
        <v>1515</v>
      </c>
      <c r="B277" t="s">
        <v>2343</v>
      </c>
      <c r="G277" t="s">
        <v>2384</v>
      </c>
      <c r="H277">
        <v>91972</v>
      </c>
      <c r="I277" t="s">
        <v>2388</v>
      </c>
      <c r="J277" t="str">
        <f t="shared" si="4"/>
        <v>ia.assorted_string like '%91972-00001-06-2024%' or</v>
      </c>
    </row>
    <row r="278" spans="1:10" x14ac:dyDescent="0.25">
      <c r="A278" t="s">
        <v>1516</v>
      </c>
      <c r="B278" t="s">
        <v>2347</v>
      </c>
      <c r="G278" t="s">
        <v>2384</v>
      </c>
      <c r="H278">
        <v>87875</v>
      </c>
      <c r="I278" t="s">
        <v>2405</v>
      </c>
      <c r="J278" t="str">
        <f t="shared" si="4"/>
        <v>ia.assorted_string like '%87875-00047-04-2024%' or</v>
      </c>
    </row>
    <row r="279" spans="1:10" x14ac:dyDescent="0.25">
      <c r="A279" t="s">
        <v>1517</v>
      </c>
      <c r="B279" t="s">
        <v>2343</v>
      </c>
      <c r="G279" t="s">
        <v>2384</v>
      </c>
      <c r="H279">
        <v>91973</v>
      </c>
      <c r="I279" t="s">
        <v>2388</v>
      </c>
      <c r="J279" t="str">
        <f t="shared" si="4"/>
        <v>ia.assorted_string like '%91973-00001-06-2024%' or</v>
      </c>
    </row>
    <row r="280" spans="1:10" x14ac:dyDescent="0.25">
      <c r="A280" t="s">
        <v>1518</v>
      </c>
      <c r="B280" t="s">
        <v>2347</v>
      </c>
      <c r="G280" t="s">
        <v>2384</v>
      </c>
      <c r="H280">
        <v>87875</v>
      </c>
      <c r="I280" t="s">
        <v>2504</v>
      </c>
      <c r="J280" t="str">
        <f t="shared" si="4"/>
        <v>ia.assorted_string like '%87875-00052-04-2024%' or</v>
      </c>
    </row>
    <row r="281" spans="1:10" x14ac:dyDescent="0.25">
      <c r="A281" t="s">
        <v>1519</v>
      </c>
      <c r="B281" t="s">
        <v>2347</v>
      </c>
      <c r="G281" t="s">
        <v>2384</v>
      </c>
      <c r="H281">
        <v>87875</v>
      </c>
      <c r="I281" t="s">
        <v>2521</v>
      </c>
      <c r="J281" t="str">
        <f t="shared" si="4"/>
        <v>ia.assorted_string like '%87875-00147-04-2024%' or</v>
      </c>
    </row>
    <row r="282" spans="1:10" x14ac:dyDescent="0.25">
      <c r="A282" t="s">
        <v>1520</v>
      </c>
      <c r="B282" t="s">
        <v>2347</v>
      </c>
      <c r="G282" t="s">
        <v>2384</v>
      </c>
      <c r="H282">
        <v>87875</v>
      </c>
      <c r="I282" t="s">
        <v>2388</v>
      </c>
      <c r="J282" t="str">
        <f t="shared" si="4"/>
        <v>ia.assorted_string like '%87875-00001-04-2024%' or</v>
      </c>
    </row>
    <row r="283" spans="1:10" x14ac:dyDescent="0.25">
      <c r="A283" t="s">
        <v>1522</v>
      </c>
      <c r="B283" t="s">
        <v>2346</v>
      </c>
      <c r="G283" t="s">
        <v>2384</v>
      </c>
      <c r="H283">
        <v>95513</v>
      </c>
      <c r="I283" t="s">
        <v>2490</v>
      </c>
      <c r="J283" t="str">
        <f t="shared" si="4"/>
        <v>ia.assorted_string like '%95513-00010-08-2024%' or</v>
      </c>
    </row>
    <row r="284" spans="1:10" x14ac:dyDescent="0.25">
      <c r="A284" t="s">
        <v>1523</v>
      </c>
      <c r="B284" t="s">
        <v>2347</v>
      </c>
      <c r="G284" t="s">
        <v>2384</v>
      </c>
      <c r="H284">
        <v>87876</v>
      </c>
      <c r="I284" t="s">
        <v>2456</v>
      </c>
      <c r="J284" t="str">
        <f t="shared" si="4"/>
        <v>ia.assorted_string like '%87876-00012-04-2024%' or</v>
      </c>
    </row>
    <row r="285" spans="1:10" x14ac:dyDescent="0.25">
      <c r="A285" t="s">
        <v>1524</v>
      </c>
      <c r="B285" t="s">
        <v>2355</v>
      </c>
      <c r="G285" t="s">
        <v>2384</v>
      </c>
      <c r="H285">
        <v>88600</v>
      </c>
      <c r="I285" t="s">
        <v>2455</v>
      </c>
      <c r="J285" t="str">
        <f t="shared" si="4"/>
        <v>ia.assorted_string like '%88600-00008-05-2024%' or</v>
      </c>
    </row>
    <row r="286" spans="1:10" x14ac:dyDescent="0.25">
      <c r="A286" t="s">
        <v>1525</v>
      </c>
      <c r="B286" t="s">
        <v>2347</v>
      </c>
      <c r="G286" t="s">
        <v>2384</v>
      </c>
      <c r="H286">
        <v>87875</v>
      </c>
      <c r="I286" t="s">
        <v>2522</v>
      </c>
      <c r="J286" t="str">
        <f t="shared" si="4"/>
        <v>ia.assorted_string like '%87875-00151-04-2024%' or</v>
      </c>
    </row>
    <row r="287" spans="1:10" x14ac:dyDescent="0.25">
      <c r="A287" t="s">
        <v>1526</v>
      </c>
      <c r="B287" t="s">
        <v>2347</v>
      </c>
      <c r="G287" t="s">
        <v>2384</v>
      </c>
      <c r="H287">
        <v>87617</v>
      </c>
      <c r="I287" t="s">
        <v>2490</v>
      </c>
      <c r="J287" t="str">
        <f t="shared" si="4"/>
        <v>ia.assorted_string like '%87617-00010-04-2024%' or</v>
      </c>
    </row>
    <row r="288" spans="1:10" x14ac:dyDescent="0.25">
      <c r="A288" t="s">
        <v>1527</v>
      </c>
      <c r="B288" t="s">
        <v>2347</v>
      </c>
      <c r="G288" t="s">
        <v>2384</v>
      </c>
      <c r="H288">
        <v>87911</v>
      </c>
      <c r="I288" t="s">
        <v>2411</v>
      </c>
      <c r="J288" t="str">
        <f t="shared" si="4"/>
        <v>ia.assorted_string like '%87911-00004-04-2024%' or</v>
      </c>
    </row>
    <row r="289" spans="1:10" x14ac:dyDescent="0.25">
      <c r="A289" t="s">
        <v>1528</v>
      </c>
      <c r="B289" t="s">
        <v>2347</v>
      </c>
      <c r="G289" t="s">
        <v>2384</v>
      </c>
      <c r="H289">
        <v>87617</v>
      </c>
      <c r="I289" t="s">
        <v>2455</v>
      </c>
      <c r="J289" t="str">
        <f t="shared" si="4"/>
        <v>ia.assorted_string like '%87617-00008-04-2024%' or</v>
      </c>
    </row>
    <row r="290" spans="1:10" x14ac:dyDescent="0.25">
      <c r="A290" t="s">
        <v>1529</v>
      </c>
      <c r="B290" t="s">
        <v>2368</v>
      </c>
      <c r="G290" t="s">
        <v>2384</v>
      </c>
      <c r="H290">
        <v>92800</v>
      </c>
      <c r="I290" t="s">
        <v>2400</v>
      </c>
      <c r="J290" t="str">
        <f t="shared" si="4"/>
        <v>ia.assorted_string like '%92800-00002-07-2024%' or</v>
      </c>
    </row>
    <row r="291" spans="1:10" x14ac:dyDescent="0.25">
      <c r="A291" t="s">
        <v>1530</v>
      </c>
      <c r="B291" t="s">
        <v>2342</v>
      </c>
      <c r="G291" t="s">
        <v>2384</v>
      </c>
      <c r="H291">
        <v>97805</v>
      </c>
      <c r="I291" t="s">
        <v>2523</v>
      </c>
      <c r="J291" t="str">
        <f t="shared" si="4"/>
        <v>ia.assorted_string like '%97805-00322-09-2024%' or</v>
      </c>
    </row>
    <row r="292" spans="1:10" x14ac:dyDescent="0.25">
      <c r="A292" t="s">
        <v>1531</v>
      </c>
      <c r="B292" t="s">
        <v>2368</v>
      </c>
      <c r="G292" t="s">
        <v>2384</v>
      </c>
      <c r="H292">
        <v>92800</v>
      </c>
      <c r="I292" t="s">
        <v>2416</v>
      </c>
      <c r="J292" t="str">
        <f t="shared" si="4"/>
        <v>ia.assorted_string like '%92800-00009-07-2024%' or</v>
      </c>
    </row>
    <row r="293" spans="1:10" x14ac:dyDescent="0.25">
      <c r="A293" t="s">
        <v>1532</v>
      </c>
      <c r="B293" t="s">
        <v>2342</v>
      </c>
      <c r="G293" t="s">
        <v>2384</v>
      </c>
      <c r="H293">
        <v>98270</v>
      </c>
      <c r="I293" t="s">
        <v>2400</v>
      </c>
      <c r="J293" t="str">
        <f t="shared" si="4"/>
        <v>ia.assorted_string like '%98270-00002-09-2024%' or</v>
      </c>
    </row>
    <row r="294" spans="1:10" x14ac:dyDescent="0.25">
      <c r="A294" t="s">
        <v>1533</v>
      </c>
      <c r="B294" t="s">
        <v>2347</v>
      </c>
      <c r="G294" t="s">
        <v>2384</v>
      </c>
      <c r="H294">
        <v>87911</v>
      </c>
      <c r="I294" t="s">
        <v>2396</v>
      </c>
      <c r="J294" t="str">
        <f t="shared" si="4"/>
        <v>ia.assorted_string like '%87911-00005-04-2024%' or</v>
      </c>
    </row>
    <row r="295" spans="1:10" x14ac:dyDescent="0.25">
      <c r="A295" t="s">
        <v>1534</v>
      </c>
      <c r="B295" t="s">
        <v>2355</v>
      </c>
      <c r="G295" t="s">
        <v>2384</v>
      </c>
      <c r="H295">
        <v>88615</v>
      </c>
      <c r="I295" t="s">
        <v>2388</v>
      </c>
      <c r="J295" t="str">
        <f t="shared" si="4"/>
        <v>ia.assorted_string like '%88615-00001-05-2024%' or</v>
      </c>
    </row>
    <row r="296" spans="1:10" x14ac:dyDescent="0.25">
      <c r="A296" t="s">
        <v>1537</v>
      </c>
      <c r="B296" t="s">
        <v>2347</v>
      </c>
      <c r="G296" t="s">
        <v>2384</v>
      </c>
      <c r="H296">
        <v>87785</v>
      </c>
      <c r="I296" t="s">
        <v>2400</v>
      </c>
      <c r="J296" t="str">
        <f t="shared" si="4"/>
        <v>ia.assorted_string like '%87785-00002-04-2024%' or</v>
      </c>
    </row>
    <row r="297" spans="1:10" x14ac:dyDescent="0.25">
      <c r="A297" t="s">
        <v>1539</v>
      </c>
      <c r="B297" t="s">
        <v>2347</v>
      </c>
      <c r="G297" t="s">
        <v>2384</v>
      </c>
      <c r="H297">
        <v>87875</v>
      </c>
      <c r="I297" t="s">
        <v>2450</v>
      </c>
      <c r="J297" t="str">
        <f t="shared" si="4"/>
        <v>ia.assorted_string like '%87875-00053-04-2024%' or</v>
      </c>
    </row>
    <row r="298" spans="1:10" x14ac:dyDescent="0.25">
      <c r="A298" t="s">
        <v>1540</v>
      </c>
      <c r="B298" t="s">
        <v>2368</v>
      </c>
      <c r="G298" t="s">
        <v>2384</v>
      </c>
      <c r="H298">
        <v>92801</v>
      </c>
      <c r="I298" t="s">
        <v>2402</v>
      </c>
      <c r="J298" t="str">
        <f t="shared" si="4"/>
        <v>ia.assorted_string like '%92801-00003-07-2024%' or</v>
      </c>
    </row>
    <row r="299" spans="1:10" x14ac:dyDescent="0.25">
      <c r="A299" t="s">
        <v>1541</v>
      </c>
      <c r="B299" t="s">
        <v>2355</v>
      </c>
      <c r="G299" t="s">
        <v>2384</v>
      </c>
      <c r="H299">
        <v>88603</v>
      </c>
      <c r="I299" t="s">
        <v>2402</v>
      </c>
      <c r="J299" t="str">
        <f t="shared" si="4"/>
        <v>ia.assorted_string like '%88603-00003-05-2024%' or</v>
      </c>
    </row>
    <row r="300" spans="1:10" x14ac:dyDescent="0.25">
      <c r="A300" t="s">
        <v>1543</v>
      </c>
      <c r="B300" t="s">
        <v>2342</v>
      </c>
      <c r="G300" t="s">
        <v>2384</v>
      </c>
      <c r="H300">
        <v>97805</v>
      </c>
      <c r="I300" t="s">
        <v>2524</v>
      </c>
      <c r="J300" t="str">
        <f t="shared" si="4"/>
        <v>ia.assorted_string like '%97805-00278-09-2024%' or</v>
      </c>
    </row>
    <row r="301" spans="1:10" x14ac:dyDescent="0.25">
      <c r="A301" t="s">
        <v>1544</v>
      </c>
      <c r="B301" t="s">
        <v>2368</v>
      </c>
      <c r="G301" t="s">
        <v>2384</v>
      </c>
      <c r="H301">
        <v>93577</v>
      </c>
      <c r="I301" t="s">
        <v>2525</v>
      </c>
      <c r="J301" t="str">
        <f t="shared" si="4"/>
        <v>ia.assorted_string like '%93577-00172-07-2024%' or</v>
      </c>
    </row>
    <row r="302" spans="1:10" x14ac:dyDescent="0.25">
      <c r="A302" t="s">
        <v>1545</v>
      </c>
      <c r="B302" t="s">
        <v>2347</v>
      </c>
      <c r="G302" t="s">
        <v>2384</v>
      </c>
      <c r="H302">
        <v>87875</v>
      </c>
      <c r="I302" t="s">
        <v>2526</v>
      </c>
      <c r="J302" t="str">
        <f t="shared" si="4"/>
        <v>ia.assorted_string like '%87875-00118-04-2024%' or</v>
      </c>
    </row>
    <row r="303" spans="1:10" x14ac:dyDescent="0.25">
      <c r="A303" t="s">
        <v>1546</v>
      </c>
      <c r="B303" t="s">
        <v>2347</v>
      </c>
      <c r="G303" t="s">
        <v>2384</v>
      </c>
      <c r="H303">
        <v>87780</v>
      </c>
      <c r="I303" t="s">
        <v>2454</v>
      </c>
      <c r="J303" t="str">
        <f t="shared" si="4"/>
        <v>ia.assorted_string like '%87780-00006-04-2024%' or</v>
      </c>
    </row>
    <row r="304" spans="1:10" x14ac:dyDescent="0.25">
      <c r="A304" t="s">
        <v>1548</v>
      </c>
      <c r="B304" t="s">
        <v>2347</v>
      </c>
      <c r="G304" t="s">
        <v>2384</v>
      </c>
      <c r="H304">
        <v>87791</v>
      </c>
      <c r="I304" t="s">
        <v>2400</v>
      </c>
      <c r="J304" t="str">
        <f t="shared" si="4"/>
        <v>ia.assorted_string like '%87791-00002-04-2024%' or</v>
      </c>
    </row>
    <row r="305" spans="1:10" x14ac:dyDescent="0.25">
      <c r="A305" t="s">
        <v>1550</v>
      </c>
      <c r="B305" t="s">
        <v>2347</v>
      </c>
      <c r="G305" t="s">
        <v>2384</v>
      </c>
      <c r="H305">
        <v>87723</v>
      </c>
      <c r="I305" t="s">
        <v>2400</v>
      </c>
      <c r="J305" t="str">
        <f t="shared" si="4"/>
        <v>ia.assorted_string like '%87723-00002-04-2024%' or</v>
      </c>
    </row>
    <row r="306" spans="1:10" x14ac:dyDescent="0.25">
      <c r="A306" t="s">
        <v>1553</v>
      </c>
      <c r="B306" t="s">
        <v>2347</v>
      </c>
      <c r="G306" t="s">
        <v>2384</v>
      </c>
      <c r="H306">
        <v>87875</v>
      </c>
      <c r="I306" t="s">
        <v>2406</v>
      </c>
      <c r="J306" t="str">
        <f t="shared" si="4"/>
        <v>ia.assorted_string like '%87875-00019-04-2024%' or</v>
      </c>
    </row>
    <row r="307" spans="1:10" x14ac:dyDescent="0.25">
      <c r="A307" t="s">
        <v>1554</v>
      </c>
      <c r="B307" t="s">
        <v>2347</v>
      </c>
      <c r="G307" t="s">
        <v>2384</v>
      </c>
      <c r="H307">
        <v>88197</v>
      </c>
      <c r="I307" t="s">
        <v>2477</v>
      </c>
      <c r="J307" t="str">
        <f t="shared" si="4"/>
        <v>ia.assorted_string like '%88197-00013-04-2024%' or</v>
      </c>
    </row>
    <row r="308" spans="1:10" x14ac:dyDescent="0.25">
      <c r="A308" t="s">
        <v>1555</v>
      </c>
      <c r="B308" t="s">
        <v>2342</v>
      </c>
      <c r="G308" t="s">
        <v>2384</v>
      </c>
      <c r="H308">
        <v>97805</v>
      </c>
      <c r="I308" t="s">
        <v>2486</v>
      </c>
      <c r="J308" t="str">
        <f t="shared" si="4"/>
        <v>ia.assorted_string like '%97805-00015-09-2024%' or</v>
      </c>
    </row>
    <row r="309" spans="1:10" x14ac:dyDescent="0.25">
      <c r="A309" t="s">
        <v>1846</v>
      </c>
      <c r="B309" t="s">
        <v>2371</v>
      </c>
      <c r="G309" t="s">
        <v>2384</v>
      </c>
      <c r="H309">
        <v>100980</v>
      </c>
      <c r="I309" t="s">
        <v>2402</v>
      </c>
      <c r="J309" t="str">
        <f t="shared" si="4"/>
        <v>ia.assorted_string like '%100980-00003-10-2024%' or</v>
      </c>
    </row>
    <row r="310" spans="1:10" x14ac:dyDescent="0.25">
      <c r="A310" t="s">
        <v>1847</v>
      </c>
      <c r="B310" t="s">
        <v>2368</v>
      </c>
      <c r="G310" t="s">
        <v>2384</v>
      </c>
      <c r="H310">
        <v>93731</v>
      </c>
      <c r="I310" t="s">
        <v>2388</v>
      </c>
      <c r="J310" t="str">
        <f t="shared" si="4"/>
        <v>ia.assorted_string like '%93731-00001-07-2024%' or</v>
      </c>
    </row>
    <row r="311" spans="1:10" x14ac:dyDescent="0.25">
      <c r="A311" t="s">
        <v>1849</v>
      </c>
      <c r="B311" t="s">
        <v>2346</v>
      </c>
      <c r="G311" t="s">
        <v>2384</v>
      </c>
      <c r="H311">
        <v>96305</v>
      </c>
      <c r="I311" t="s">
        <v>2388</v>
      </c>
      <c r="J311" t="str">
        <f t="shared" si="4"/>
        <v>ia.assorted_string like '%96305-00001-08-2024%' or</v>
      </c>
    </row>
    <row r="312" spans="1:10" x14ac:dyDescent="0.25">
      <c r="A312" t="s">
        <v>1853</v>
      </c>
      <c r="B312" t="s">
        <v>2340</v>
      </c>
      <c r="G312" t="s">
        <v>2384</v>
      </c>
      <c r="H312">
        <v>75519</v>
      </c>
      <c r="I312" t="s">
        <v>2388</v>
      </c>
      <c r="J312" t="str">
        <f t="shared" si="4"/>
        <v>ia.assorted_string like '%75519-00001-09-2023%' or</v>
      </c>
    </row>
    <row r="313" spans="1:10" x14ac:dyDescent="0.25">
      <c r="A313" t="s">
        <v>1857</v>
      </c>
      <c r="B313" t="s">
        <v>2346</v>
      </c>
      <c r="G313" t="s">
        <v>2384</v>
      </c>
      <c r="H313">
        <v>95513</v>
      </c>
      <c r="I313" t="s">
        <v>2486</v>
      </c>
      <c r="J313" t="str">
        <f t="shared" si="4"/>
        <v>ia.assorted_string like '%95513-00015-08-2024%' or</v>
      </c>
    </row>
    <row r="314" spans="1:10" x14ac:dyDescent="0.25">
      <c r="A314" t="s">
        <v>1859</v>
      </c>
      <c r="B314" t="s">
        <v>2346</v>
      </c>
      <c r="G314" t="s">
        <v>2384</v>
      </c>
      <c r="H314">
        <v>95513</v>
      </c>
      <c r="I314" t="s">
        <v>2408</v>
      </c>
      <c r="J314" t="str">
        <f t="shared" si="4"/>
        <v>ia.assorted_string like '%95513-00016-08-2024%' or</v>
      </c>
    </row>
    <row r="315" spans="1:10" x14ac:dyDescent="0.25">
      <c r="A315" t="s">
        <v>1927</v>
      </c>
      <c r="B315" t="s">
        <v>2368</v>
      </c>
      <c r="G315" t="s">
        <v>2384</v>
      </c>
      <c r="H315">
        <v>92255</v>
      </c>
      <c r="I315" t="s">
        <v>2400</v>
      </c>
      <c r="J315" t="str">
        <f t="shared" si="4"/>
        <v>ia.assorted_string like '%92255-00002-07-2024%' or</v>
      </c>
    </row>
    <row r="316" spans="1:10" x14ac:dyDescent="0.25">
      <c r="A316" t="s">
        <v>1928</v>
      </c>
      <c r="B316" t="s">
        <v>2342</v>
      </c>
      <c r="G316" t="s">
        <v>2384</v>
      </c>
      <c r="H316">
        <v>98363</v>
      </c>
      <c r="I316" t="s">
        <v>2416</v>
      </c>
      <c r="J316" t="str">
        <f t="shared" si="4"/>
        <v>ia.assorted_string like '%98363-00009-09-2024%' or</v>
      </c>
    </row>
    <row r="317" spans="1:10" x14ac:dyDescent="0.25">
      <c r="A317" t="s">
        <v>1929</v>
      </c>
      <c r="B317" t="s">
        <v>2359</v>
      </c>
      <c r="G317" t="s">
        <v>2384</v>
      </c>
      <c r="H317">
        <v>84630</v>
      </c>
      <c r="I317" t="s">
        <v>2400</v>
      </c>
      <c r="J317" t="str">
        <f t="shared" si="4"/>
        <v>ia.assorted_string like '%84630-00002-02-2024%' or</v>
      </c>
    </row>
    <row r="318" spans="1:10" x14ac:dyDescent="0.25">
      <c r="A318" t="s">
        <v>1930</v>
      </c>
      <c r="B318" t="s">
        <v>2367</v>
      </c>
      <c r="G318" t="s">
        <v>2384</v>
      </c>
      <c r="H318">
        <v>77027</v>
      </c>
      <c r="I318" t="s">
        <v>2527</v>
      </c>
      <c r="J318" t="str">
        <f t="shared" si="4"/>
        <v>ia.assorted_string like '%77027-00549-10-2023%' or</v>
      </c>
    </row>
    <row r="319" spans="1:10" x14ac:dyDescent="0.25">
      <c r="A319" t="s">
        <v>1933</v>
      </c>
      <c r="B319" t="s">
        <v>2343</v>
      </c>
      <c r="G319" t="s">
        <v>2384</v>
      </c>
      <c r="H319">
        <v>92053</v>
      </c>
      <c r="I319" t="s">
        <v>2416</v>
      </c>
      <c r="J319" t="str">
        <f t="shared" si="4"/>
        <v>ia.assorted_string like '%92053-00009-06-2024%' or</v>
      </c>
    </row>
    <row r="320" spans="1:10" x14ac:dyDescent="0.25">
      <c r="A320" t="s">
        <v>1983</v>
      </c>
      <c r="B320" t="s">
        <v>2342</v>
      </c>
      <c r="G320" t="s">
        <v>2384</v>
      </c>
      <c r="H320">
        <v>96781</v>
      </c>
      <c r="I320" t="s">
        <v>2402</v>
      </c>
      <c r="J320" t="str">
        <f t="shared" si="4"/>
        <v>ia.assorted_string like '%96781-00003-09-2024%' or</v>
      </c>
    </row>
    <row r="321" spans="1:10" x14ac:dyDescent="0.25">
      <c r="A321" t="s">
        <v>1984</v>
      </c>
      <c r="B321" t="s">
        <v>2368</v>
      </c>
      <c r="G321" t="s">
        <v>2384</v>
      </c>
      <c r="H321">
        <v>93602</v>
      </c>
      <c r="I321" t="s">
        <v>2423</v>
      </c>
      <c r="J321" t="str">
        <f t="shared" si="4"/>
        <v>ia.assorted_string like '%93602-00187-07-2024%' or</v>
      </c>
    </row>
    <row r="322" spans="1:10" x14ac:dyDescent="0.25">
      <c r="A322" t="s">
        <v>1995</v>
      </c>
      <c r="B322" t="s">
        <v>2345</v>
      </c>
      <c r="G322" t="s">
        <v>2384</v>
      </c>
      <c r="H322">
        <v>72136</v>
      </c>
      <c r="I322" t="s">
        <v>2484</v>
      </c>
      <c r="J322" t="str">
        <f t="shared" si="4"/>
        <v>ia.assorted_string like '%72136-00192-06-2023%' or</v>
      </c>
    </row>
    <row r="323" spans="1:10" x14ac:dyDescent="0.25">
      <c r="A323" t="s">
        <v>2002</v>
      </c>
      <c r="B323" t="s">
        <v>2354</v>
      </c>
      <c r="G323" t="s">
        <v>2384</v>
      </c>
      <c r="H323">
        <v>74098</v>
      </c>
      <c r="I323" t="s">
        <v>2528</v>
      </c>
      <c r="J323" t="str">
        <f t="shared" ref="J323:J339" si="5">"ia.assorted_string like '%"&amp;H323&amp;"-"&amp;I323&amp;B323&amp;"%' or"</f>
        <v>ia.assorted_string like '%74098-00460-08-2023%' or</v>
      </c>
    </row>
    <row r="324" spans="1:10" x14ac:dyDescent="0.25">
      <c r="A324" t="s">
        <v>2004</v>
      </c>
      <c r="B324" t="s">
        <v>2342</v>
      </c>
      <c r="G324" t="s">
        <v>2384</v>
      </c>
      <c r="H324">
        <v>97611</v>
      </c>
      <c r="I324" t="s">
        <v>2454</v>
      </c>
      <c r="J324" t="str">
        <f t="shared" si="5"/>
        <v>ia.assorted_string like '%97611-00006-09-2024%' or</v>
      </c>
    </row>
    <row r="325" spans="1:10" x14ac:dyDescent="0.25">
      <c r="A325" t="s">
        <v>2017</v>
      </c>
      <c r="B325" t="s">
        <v>2342</v>
      </c>
      <c r="G325" t="s">
        <v>2384</v>
      </c>
      <c r="H325">
        <v>96638</v>
      </c>
      <c r="I325" t="s">
        <v>2450</v>
      </c>
      <c r="J325" t="str">
        <f t="shared" si="5"/>
        <v>ia.assorted_string like '%96638-00053-09-2024%' or</v>
      </c>
    </row>
    <row r="326" spans="1:10" x14ac:dyDescent="0.25">
      <c r="A326" t="s">
        <v>2019</v>
      </c>
      <c r="B326" t="s">
        <v>2372</v>
      </c>
      <c r="G326" t="s">
        <v>2384</v>
      </c>
      <c r="H326">
        <v>79901</v>
      </c>
      <c r="I326" t="s">
        <v>2529</v>
      </c>
      <c r="J326" t="str">
        <f t="shared" si="5"/>
        <v>ia.assorted_string like '%79901-00196-12-2023%' or</v>
      </c>
    </row>
    <row r="327" spans="1:10" x14ac:dyDescent="0.25">
      <c r="A327" t="s">
        <v>2020</v>
      </c>
      <c r="B327" t="s">
        <v>2372</v>
      </c>
      <c r="G327" t="s">
        <v>2384</v>
      </c>
      <c r="H327">
        <v>79901</v>
      </c>
      <c r="I327" t="s">
        <v>2530</v>
      </c>
      <c r="J327" t="str">
        <f t="shared" si="5"/>
        <v>ia.assorted_string like '%79901-00492-12-2023%' or</v>
      </c>
    </row>
    <row r="328" spans="1:10" x14ac:dyDescent="0.25">
      <c r="A328" t="s">
        <v>2026</v>
      </c>
      <c r="B328" t="s">
        <v>2372</v>
      </c>
      <c r="G328" t="s">
        <v>2384</v>
      </c>
      <c r="H328">
        <v>79901</v>
      </c>
      <c r="I328" t="s">
        <v>2487</v>
      </c>
      <c r="J328" t="str">
        <f t="shared" si="5"/>
        <v>ia.assorted_string like '%79901-00022-12-2023%' or</v>
      </c>
    </row>
    <row r="329" spans="1:10" x14ac:dyDescent="0.25">
      <c r="A329" t="s">
        <v>2027</v>
      </c>
      <c r="B329" t="s">
        <v>2372</v>
      </c>
      <c r="G329" t="s">
        <v>2384</v>
      </c>
      <c r="H329">
        <v>79901</v>
      </c>
      <c r="I329" t="s">
        <v>2463</v>
      </c>
      <c r="J329" t="str">
        <f t="shared" si="5"/>
        <v>ia.assorted_string like '%79901-00078-12-2023%' or</v>
      </c>
    </row>
    <row r="330" spans="1:10" x14ac:dyDescent="0.25">
      <c r="A330" t="s">
        <v>2110</v>
      </c>
      <c r="B330" t="s">
        <v>2368</v>
      </c>
      <c r="G330" t="s">
        <v>2384</v>
      </c>
      <c r="H330">
        <v>93577</v>
      </c>
      <c r="I330" t="s">
        <v>2512</v>
      </c>
      <c r="J330" t="str">
        <f t="shared" si="5"/>
        <v>ia.assorted_string like '%93577-00046-07-2024%' or</v>
      </c>
    </row>
    <row r="331" spans="1:10" x14ac:dyDescent="0.25">
      <c r="A331" t="s">
        <v>2114</v>
      </c>
      <c r="B331" t="s">
        <v>2355</v>
      </c>
      <c r="G331" t="s">
        <v>2384</v>
      </c>
      <c r="H331">
        <v>89429</v>
      </c>
      <c r="I331" t="s">
        <v>2482</v>
      </c>
      <c r="J331" t="str">
        <f t="shared" si="5"/>
        <v>ia.assorted_string like '%89429-00150-05-2024%' or</v>
      </c>
    </row>
    <row r="332" spans="1:10" x14ac:dyDescent="0.25">
      <c r="A332" t="s">
        <v>2126</v>
      </c>
      <c r="B332" t="s">
        <v>2382</v>
      </c>
      <c r="G332" t="s">
        <v>2384</v>
      </c>
      <c r="H332">
        <v>53504</v>
      </c>
      <c r="I332" t="s">
        <v>2531</v>
      </c>
      <c r="J332" t="str">
        <f t="shared" si="5"/>
        <v>ia.assorted_string like '%53504-00342-04-2021%' or</v>
      </c>
    </row>
    <row r="333" spans="1:10" x14ac:dyDescent="0.25">
      <c r="A333" t="s">
        <v>2134</v>
      </c>
      <c r="B333" t="s">
        <v>2372</v>
      </c>
      <c r="G333" t="s">
        <v>2384</v>
      </c>
      <c r="H333">
        <v>79901</v>
      </c>
      <c r="I333" t="s">
        <v>2532</v>
      </c>
      <c r="J333" t="str">
        <f t="shared" si="5"/>
        <v>ia.assorted_string like '%79901-00261-12-2023%' or</v>
      </c>
    </row>
    <row r="334" spans="1:10" x14ac:dyDescent="0.25">
      <c r="A334" t="s">
        <v>2151</v>
      </c>
      <c r="B334" t="s">
        <v>2342</v>
      </c>
      <c r="G334" t="s">
        <v>2384</v>
      </c>
      <c r="H334">
        <v>97850</v>
      </c>
      <c r="I334" t="s">
        <v>2416</v>
      </c>
      <c r="J334" t="str">
        <f t="shared" si="5"/>
        <v>ia.assorted_string like '%97850-00009-09-2024%' or</v>
      </c>
    </row>
    <row r="335" spans="1:10" x14ac:dyDescent="0.25">
      <c r="A335" t="s">
        <v>2158</v>
      </c>
      <c r="B335" t="s">
        <v>2372</v>
      </c>
      <c r="G335" t="s">
        <v>2384</v>
      </c>
      <c r="H335">
        <v>80337</v>
      </c>
      <c r="I335" t="s">
        <v>2388</v>
      </c>
      <c r="J335" t="str">
        <f t="shared" si="5"/>
        <v>ia.assorted_string like '%80337-00001-12-2023%' or</v>
      </c>
    </row>
    <row r="336" spans="1:10" x14ac:dyDescent="0.25">
      <c r="A336" t="s">
        <v>2159</v>
      </c>
      <c r="B336" t="s">
        <v>2372</v>
      </c>
      <c r="G336" t="s">
        <v>2384</v>
      </c>
      <c r="H336">
        <v>79706</v>
      </c>
      <c r="I336" t="s">
        <v>2388</v>
      </c>
      <c r="J336" t="str">
        <f t="shared" si="5"/>
        <v>ia.assorted_string like '%79706-00001-12-2023%' or</v>
      </c>
    </row>
    <row r="337" spans="1:14" x14ac:dyDescent="0.25">
      <c r="A337" t="s">
        <v>2163</v>
      </c>
      <c r="B337" t="s">
        <v>2376</v>
      </c>
      <c r="G337" t="s">
        <v>2384</v>
      </c>
      <c r="H337">
        <v>78152</v>
      </c>
      <c r="I337" t="s">
        <v>2533</v>
      </c>
      <c r="J337" t="str">
        <f t="shared" si="5"/>
        <v>ia.assorted_string like '%78152-00072-11-2023%' or</v>
      </c>
    </row>
    <row r="338" spans="1:14" x14ac:dyDescent="0.25">
      <c r="A338" t="s">
        <v>2166</v>
      </c>
      <c r="B338" t="s">
        <v>2340</v>
      </c>
      <c r="G338" t="s">
        <v>2384</v>
      </c>
      <c r="H338">
        <v>75024</v>
      </c>
      <c r="I338" t="s">
        <v>2388</v>
      </c>
      <c r="J338" t="str">
        <f t="shared" si="5"/>
        <v>ia.assorted_string like '%75024-00001-09-2023%' or</v>
      </c>
    </row>
    <row r="339" spans="1:14" x14ac:dyDescent="0.25">
      <c r="A339" t="s">
        <v>2170</v>
      </c>
      <c r="B339" t="s">
        <v>2367</v>
      </c>
      <c r="G339" t="s">
        <v>2384</v>
      </c>
      <c r="H339">
        <v>77065</v>
      </c>
      <c r="I339" t="s">
        <v>2388</v>
      </c>
      <c r="J339" t="str">
        <f t="shared" si="5"/>
        <v>ia.assorted_string like '%77065-00001-10-2023%' or</v>
      </c>
    </row>
    <row r="347" spans="1:14" x14ac:dyDescent="0.25">
      <c r="L347">
        <v>1994</v>
      </c>
      <c r="M347">
        <v>338</v>
      </c>
      <c r="N347">
        <f>M347+L347</f>
        <v>2332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working</vt:lpstr>
      <vt:lpstr>Sheet3</vt:lpstr>
      <vt:lpstr>assortedcode</vt:lpstr>
      <vt:lpstr>certificate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Omair Ali</dc:creator>
  <cp:lastModifiedBy>IT User Software</cp:lastModifiedBy>
  <dcterms:created xsi:type="dcterms:W3CDTF">2024-11-28T12:31:07Z</dcterms:created>
  <dcterms:modified xsi:type="dcterms:W3CDTF">2024-11-29T12:54:46Z</dcterms:modified>
</cp:coreProperties>
</file>