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emium\Premium\Omair ALi\05-Nov-2024\"/>
    </mc:Choice>
  </mc:AlternateContent>
  <xr:revisionPtr revIDLastSave="0" documentId="13_ncr:1_{1BADFB83-E3CC-45E9-9038-52B64A0EDF5A}" xr6:coauthVersionLast="47" xr6:coauthVersionMax="47" xr10:uidLastSave="{00000000-0000-0000-0000-000000000000}"/>
  <bookViews>
    <workbookView xWindow="-120" yWindow="-120" windowWidth="20730" windowHeight="11040" activeTab="1" xr2:uid="{606F7650-2F74-464A-AB70-D57CDB8D61E6}"/>
  </bookViews>
  <sheets>
    <sheet name="Sheet1" sheetId="1" r:id="rId1"/>
    <sheet name="WORKING" sheetId="2" r:id="rId2"/>
    <sheet name="Sheet3" sheetId="3" r:id="rId3"/>
    <sheet name="policy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1" i="2" l="1"/>
  <c r="C81" i="2"/>
  <c r="H76" i="2"/>
  <c r="H72" i="2"/>
  <c r="H68" i="2"/>
  <c r="H64" i="2"/>
  <c r="H60" i="2"/>
  <c r="H56" i="2"/>
  <c r="H52" i="2"/>
  <c r="H48" i="2"/>
  <c r="H44" i="2"/>
  <c r="H40" i="2"/>
  <c r="H36" i="2"/>
  <c r="H32" i="2"/>
  <c r="H28" i="2"/>
  <c r="H24" i="2"/>
  <c r="H20" i="2"/>
  <c r="H16" i="2"/>
  <c r="H12" i="2"/>
  <c r="H8" i="2"/>
  <c r="H4" i="2"/>
  <c r="G79" i="2"/>
  <c r="H79" i="2" s="1"/>
  <c r="G78" i="2"/>
  <c r="H78" i="2" s="1"/>
  <c r="G77" i="2"/>
  <c r="H77" i="2" s="1"/>
  <c r="G76" i="2"/>
  <c r="G75" i="2"/>
  <c r="H75" i="2" s="1"/>
  <c r="G74" i="2"/>
  <c r="H74" i="2" s="1"/>
  <c r="G73" i="2"/>
  <c r="H73" i="2" s="1"/>
  <c r="G72" i="2"/>
  <c r="G71" i="2"/>
  <c r="H71" i="2" s="1"/>
  <c r="G70" i="2"/>
  <c r="H70" i="2" s="1"/>
  <c r="G69" i="2"/>
  <c r="H69" i="2" s="1"/>
  <c r="G68" i="2"/>
  <c r="G67" i="2"/>
  <c r="H67" i="2" s="1"/>
  <c r="G66" i="2"/>
  <c r="H66" i="2" s="1"/>
  <c r="G65" i="2"/>
  <c r="H65" i="2" s="1"/>
  <c r="G64" i="2"/>
  <c r="G63" i="2"/>
  <c r="H63" i="2" s="1"/>
  <c r="G62" i="2"/>
  <c r="H62" i="2" s="1"/>
  <c r="G61" i="2"/>
  <c r="H61" i="2" s="1"/>
  <c r="G60" i="2"/>
  <c r="G59" i="2"/>
  <c r="H59" i="2" s="1"/>
  <c r="G58" i="2"/>
  <c r="H58" i="2" s="1"/>
  <c r="G57" i="2"/>
  <c r="H57" i="2" s="1"/>
  <c r="G56" i="2"/>
  <c r="G55" i="2"/>
  <c r="H55" i="2" s="1"/>
  <c r="G54" i="2"/>
  <c r="H54" i="2" s="1"/>
  <c r="G53" i="2"/>
  <c r="H53" i="2" s="1"/>
  <c r="G52" i="2"/>
  <c r="G51" i="2"/>
  <c r="H51" i="2" s="1"/>
  <c r="G50" i="2"/>
  <c r="H50" i="2" s="1"/>
  <c r="G49" i="2"/>
  <c r="H49" i="2" s="1"/>
  <c r="G48" i="2"/>
  <c r="G47" i="2"/>
  <c r="H47" i="2" s="1"/>
  <c r="G46" i="2"/>
  <c r="H46" i="2" s="1"/>
  <c r="G45" i="2"/>
  <c r="H45" i="2" s="1"/>
  <c r="G44" i="2"/>
  <c r="G43" i="2"/>
  <c r="H43" i="2" s="1"/>
  <c r="G42" i="2"/>
  <c r="H42" i="2" s="1"/>
  <c r="G41" i="2"/>
  <c r="H41" i="2" s="1"/>
  <c r="G40" i="2"/>
  <c r="G39" i="2"/>
  <c r="H39" i="2" s="1"/>
  <c r="G38" i="2"/>
  <c r="H38" i="2" s="1"/>
  <c r="G37" i="2"/>
  <c r="H37" i="2" s="1"/>
  <c r="G36" i="2"/>
  <c r="G35" i="2"/>
  <c r="H35" i="2" s="1"/>
  <c r="G34" i="2"/>
  <c r="H34" i="2" s="1"/>
  <c r="G33" i="2"/>
  <c r="H33" i="2" s="1"/>
  <c r="G32" i="2"/>
  <c r="G31" i="2"/>
  <c r="H31" i="2" s="1"/>
  <c r="G30" i="2"/>
  <c r="H30" i="2" s="1"/>
  <c r="G29" i="2"/>
  <c r="H29" i="2" s="1"/>
  <c r="G28" i="2"/>
  <c r="G27" i="2"/>
  <c r="H27" i="2" s="1"/>
  <c r="G26" i="2"/>
  <c r="H26" i="2" s="1"/>
  <c r="G25" i="2"/>
  <c r="H25" i="2" s="1"/>
  <c r="G24" i="2"/>
  <c r="G23" i="2"/>
  <c r="H23" i="2" s="1"/>
  <c r="G22" i="2"/>
  <c r="H22" i="2" s="1"/>
  <c r="G21" i="2"/>
  <c r="H21" i="2" s="1"/>
  <c r="G20" i="2"/>
  <c r="G19" i="2"/>
  <c r="H19" i="2" s="1"/>
  <c r="G18" i="2"/>
  <c r="H18" i="2" s="1"/>
  <c r="G17" i="2"/>
  <c r="H17" i="2" s="1"/>
  <c r="G16" i="2"/>
  <c r="G15" i="2"/>
  <c r="H15" i="2" s="1"/>
  <c r="G14" i="2"/>
  <c r="H14" i="2" s="1"/>
  <c r="G13" i="2"/>
  <c r="H13" i="2" s="1"/>
  <c r="G12" i="2"/>
  <c r="G11" i="2"/>
  <c r="H11" i="2" s="1"/>
  <c r="G10" i="2"/>
  <c r="H10" i="2" s="1"/>
  <c r="G9" i="2"/>
  <c r="H9" i="2" s="1"/>
  <c r="G8" i="2"/>
  <c r="G7" i="2"/>
  <c r="H7" i="2" s="1"/>
  <c r="G6" i="2"/>
  <c r="H6" i="2" s="1"/>
  <c r="G5" i="2"/>
  <c r="H5" i="2" s="1"/>
  <c r="G4" i="2"/>
  <c r="G3" i="2"/>
  <c r="H3" i="2" s="1"/>
  <c r="G2" i="2"/>
  <c r="F79" i="2"/>
  <c r="F78" i="2"/>
  <c r="F77" i="2"/>
  <c r="F76" i="2"/>
  <c r="F75" i="2"/>
  <c r="F74" i="2"/>
  <c r="F73" i="2"/>
  <c r="F72" i="2"/>
  <c r="F71" i="2"/>
  <c r="F70" i="2"/>
  <c r="F69" i="2"/>
  <c r="F68" i="2"/>
  <c r="F67" i="2"/>
  <c r="F66" i="2"/>
  <c r="F65" i="2"/>
  <c r="F64" i="2"/>
  <c r="F63" i="2"/>
  <c r="F62" i="2"/>
  <c r="F61" i="2"/>
  <c r="F60" i="2"/>
  <c r="F59" i="2"/>
  <c r="F58" i="2"/>
  <c r="F57" i="2"/>
  <c r="F56" i="2"/>
  <c r="F55" i="2"/>
  <c r="F54" i="2"/>
  <c r="F53" i="2"/>
  <c r="F52" i="2"/>
  <c r="F51" i="2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F2" i="2"/>
  <c r="D2" i="2"/>
  <c r="E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1" i="3"/>
  <c r="H2" i="2" l="1"/>
  <c r="B80" i="1" l="1"/>
</calcChain>
</file>

<file path=xl/sharedStrings.xml><?xml version="1.0" encoding="utf-8"?>
<sst xmlns="http://schemas.openxmlformats.org/spreadsheetml/2006/main" count="555" uniqueCount="171">
  <si>
    <t>ENDORSEMENT NUMBER</t>
  </si>
  <si>
    <t>NET CONTRIBUTION</t>
  </si>
  <si>
    <t>KHI/HO/D/HLGRP HEALTH/E/25195/05/2024</t>
  </si>
  <si>
    <t>KHI/HO/D/HLGRP HEALTH/E/25203/05/2024</t>
  </si>
  <si>
    <t>KHI/HO/D/HLGRP HEALTH/E/25204/05/2024</t>
  </si>
  <si>
    <t>KHI/HO/D/HLGRP HEALTH/E/25209/05/2024</t>
  </si>
  <si>
    <t>KHI/HO/D/HLGRP HEALTH/E/25310/05/2024</t>
  </si>
  <si>
    <t>KHI/HO/D/HLGRP HEALTH/E/25336/05/2024</t>
  </si>
  <si>
    <t>KHI/HO/D/HLGRP HEALTH/E/25344/05/2024</t>
  </si>
  <si>
    <t>KHI/HO/D/HLGRP HEALTH/E/25399/05/2024</t>
  </si>
  <si>
    <t>KHI/HO/D/HLGRP HEALTH/E/25409/05/2024</t>
  </si>
  <si>
    <t>KHI/HO/D/HLGRP HEALTH/E/25410/05/2024</t>
  </si>
  <si>
    <t>KHI/HO/D/HLGRP HEALTH/E/25411/05/2024</t>
  </si>
  <si>
    <t>KHI/HO/D/HLGRP HEALTH/E/25433/05/2024</t>
  </si>
  <si>
    <t>KHI/HO/D/HLGRP HEALTH/E/25443/05/2024</t>
  </si>
  <si>
    <t>KHI/HO/D/HLGRP HEALTH/E/25446/05/2024</t>
  </si>
  <si>
    <t>KHI/HO/D/HLGRP HEALTH/E/25496/05/2024</t>
  </si>
  <si>
    <t>KHI/HO/D/HLGRP HEALTH/E/25527/05/2024</t>
  </si>
  <si>
    <t>KHI/HO/D/HLGRP HEALTH/E/25559/05/2024</t>
  </si>
  <si>
    <t>KHI/HO/D/HLGRP HEALTH/E/25580/06/2024</t>
  </si>
  <si>
    <t>KHI/HO/D/HLGRP HEALTH/E/25626/06/2024</t>
  </si>
  <si>
    <t>KHI/HO/D/HLGRP HEALTH/E/25646/06/2024</t>
  </si>
  <si>
    <t>KHI/HO/D/HLGRP HEALTH/E/25673/06/2024</t>
  </si>
  <si>
    <t>KHI/HO/D/HLGRP HEALTH/E/25718/06/2024</t>
  </si>
  <si>
    <t>KHI/HO/D/HLGRP HEALTH/E/25734/06/2024</t>
  </si>
  <si>
    <t>KHI/HO/D/HLGRP HEALTH/E/25759/06/2024</t>
  </si>
  <si>
    <t>KHI/HO/D/HLGRP HEALTH/E/25768/06/2024</t>
  </si>
  <si>
    <t>KHI/HO/D/HLGRP HEALTH/E/25790/06/2024</t>
  </si>
  <si>
    <t>KHI/HO/D/HLGRP HEALTH/E/25817/06/2024</t>
  </si>
  <si>
    <t>KHI/HO/D/HLGRP HEALTH/E/25833/06/2024</t>
  </si>
  <si>
    <t>KHI/HO/D/HLGRP HEALTH/E/25861/06/2024</t>
  </si>
  <si>
    <t>KHI/HO/D/HLGRP HEALTH/E/25871/06/2024</t>
  </si>
  <si>
    <t>KHI/HO/D/HLGRP HEALTH/E/25976/07/2024</t>
  </si>
  <si>
    <t>KHI/HO/D/HLGRP HEALTH/E/26005/07/2024</t>
  </si>
  <si>
    <t>KHI/HO/D/HLGRP HEALTH/E/26026/07/2024</t>
  </si>
  <si>
    <t>KHI/HO/D/HLGRP HEALTH/E/26072/07/2024</t>
  </si>
  <si>
    <t>KHI/HO/D/HLGRP HEALTH/E/26108/07/2024</t>
  </si>
  <si>
    <t>KHI/HO/D/HLGRP HEALTH/E/26155/07/2024</t>
  </si>
  <si>
    <t>KHI/HO/D/HLGRP HEALTH/E/26222/07/2024</t>
  </si>
  <si>
    <t>KHI/HO/D/HLGRP HEALTH/E/26259/07/2024</t>
  </si>
  <si>
    <t>KHI/HO/D/HLGRP HEALTH/E/26295/07/2024</t>
  </si>
  <si>
    <t>KHI/HO/D/HLGRP HEALTH/E/26331/07/2024</t>
  </si>
  <si>
    <t>KHI/HO/D/HLGRP HEALTH/E/26385/08/2024</t>
  </si>
  <si>
    <t>KHI/HO/D/HLGRP HEALTH/E/26455/08/2024</t>
  </si>
  <si>
    <t>KHI/HO/D/HLGRP HEALTH/E/26503/08/2024</t>
  </si>
  <si>
    <t>KHI/HO/D/HLGRP HEALTH/E/26550/08/2024</t>
  </si>
  <si>
    <t>KHI/HO/D/HLGRP HEALTH/E/26618/08/2024</t>
  </si>
  <si>
    <t>KHI/HO/D/HLGRP HEALTH/E/26647/08/2024</t>
  </si>
  <si>
    <t>KHI/HO/D/HLGRP HEALTH/E/26677/08/2024</t>
  </si>
  <si>
    <t>KHI/HO/D/HLGRP HEALTH/E/26692/08/2024</t>
  </si>
  <si>
    <t>KHI/HO/D/HLGRP HEALTH/E/26719/08/2024</t>
  </si>
  <si>
    <t>KHI/HO/D/HLGRP HEALTH/E/26722/08/2024</t>
  </si>
  <si>
    <t>KHI/HO/D/HLGRP HEALTH/E/26838/08/2024</t>
  </si>
  <si>
    <t>KHI/HO/D/HLGRP HEALTH/E/26863/08/2024</t>
  </si>
  <si>
    <t>KHI/HO/D/HLGRP HEALTH/E/26937/09/2024</t>
  </si>
  <si>
    <t>KHI/HO/D/HLGRP HEALTH/E/26938/09/2024</t>
  </si>
  <si>
    <t>KHI/HO/D/HLGRP HEALTH/E/26974/09/2024</t>
  </si>
  <si>
    <t>KHI/HO/D/HLGRP HEALTH/E/26975/09/2024</t>
  </si>
  <si>
    <t>KHI/HO/D/HLGRP HEALTH/E/27008/09/2024</t>
  </si>
  <si>
    <t>KHI/HO/D/HLGRP HEALTH/E/27151/09/2024</t>
  </si>
  <si>
    <t>KHI/HO/D/HLGRP HEALTH/E/27221/09/2024</t>
  </si>
  <si>
    <t>KHI/HO/D/HLGRP HEALTH/E/27241/09/2024</t>
  </si>
  <si>
    <t>KHI/HO/D/HLGRP HEALTH/E/27314/09/2024</t>
  </si>
  <si>
    <t>KHI/HO/D/HLGRP HEALTH/E/27348/09/2024</t>
  </si>
  <si>
    <t>KHI/HO/D/HLGRP HEALTH/E/27366/09/2024</t>
  </si>
  <si>
    <t>KHI/HO/D/HLGRP HEALTH/E/27398/09/2024</t>
  </si>
  <si>
    <t>KHI/HO/D/HLGRP HEALTH/E/27438/09/2024</t>
  </si>
  <si>
    <t>KHI/HO/D/HLGRP HEALTH/E/27452/09/2024</t>
  </si>
  <si>
    <t>KHI/HO/D/HLGRP HEALTH/E/27499/09/2024</t>
  </si>
  <si>
    <t>KHI/HO/D/HLGRP HEALTH/E/27505/09/2024</t>
  </si>
  <si>
    <t>KHI/HO/D/HLGRP HEALTH/E/27527/09/2024</t>
  </si>
  <si>
    <t>KHI/HO/D/HLGRP HEALTH/E/27590/10/2024</t>
  </si>
  <si>
    <t>KHI/HO/D/HLGRP HEALTH/E/27601/10/2024</t>
  </si>
  <si>
    <t>KHI/HO/D/HLGRP HEALTH/E/27626/10/2024</t>
  </si>
  <si>
    <t>KHI/HO/D/HLGRP HEALTH/E/27663/10/2024</t>
  </si>
  <si>
    <t>KHI/HO/D/HLGRP HEALTH/E/27672/10/2024</t>
  </si>
  <si>
    <t>KHI/HO/D/HLGRP HEALTH/E/27697/10/2024</t>
  </si>
  <si>
    <t>KHI/HO/D/HLGRP HEALTH/E/27721/10/2024</t>
  </si>
  <si>
    <t>KHI/HO/D/HLGRP HEALTH/E/27754/10/2024</t>
  </si>
  <si>
    <t>KHI/HO/D/HLGRP HEALTH/E/27900/10/2024</t>
  </si>
  <si>
    <t>-05-2024</t>
  </si>
  <si>
    <t>-06-2024</t>
  </si>
  <si>
    <t>-07-2024</t>
  </si>
  <si>
    <t>-08-2024</t>
  </si>
  <si>
    <t>-09-2024</t>
  </si>
  <si>
    <t>-10-2024</t>
  </si>
  <si>
    <t xml:space="preserve">   </t>
  </si>
  <si>
    <t>FUNC_ASSORTED_STRING(IA.ASSORTED_CODE)</t>
  </si>
  <si>
    <t>ASSORTED_CODE</t>
  </si>
  <si>
    <t>050000777730</t>
  </si>
  <si>
    <t>050000753670</t>
  </si>
  <si>
    <t>050000758201</t>
  </si>
  <si>
    <t>050000789886</t>
  </si>
  <si>
    <t>050000788839</t>
  </si>
  <si>
    <t>050000789464</t>
  </si>
  <si>
    <t>050000791635</t>
  </si>
  <si>
    <t>050000786196</t>
  </si>
  <si>
    <t>050000798282</t>
  </si>
  <si>
    <t>050000781452</t>
  </si>
  <si>
    <t>050000787805</t>
  </si>
  <si>
    <t>050000795469</t>
  </si>
  <si>
    <t>050000786194</t>
  </si>
  <si>
    <t>050000795495</t>
  </si>
  <si>
    <t>050000778931</t>
  </si>
  <si>
    <t>050000791670</t>
  </si>
  <si>
    <t>050000798961</t>
  </si>
  <si>
    <t>050000795575</t>
  </si>
  <si>
    <t>050000778114</t>
  </si>
  <si>
    <t>050000779111</t>
  </si>
  <si>
    <t>050000791895</t>
  </si>
  <si>
    <t>050000798138</t>
  </si>
  <si>
    <t>050000786437</t>
  </si>
  <si>
    <t>050000790742</t>
  </si>
  <si>
    <t>050000750230</t>
  </si>
  <si>
    <t>050000761661</t>
  </si>
  <si>
    <t>050000747319</t>
  </si>
  <si>
    <t>050000747250</t>
  </si>
  <si>
    <t>050000760419</t>
  </si>
  <si>
    <t>050000758934</t>
  </si>
  <si>
    <t>050000750191</t>
  </si>
  <si>
    <t>050000760026</t>
  </si>
  <si>
    <t>050000750982</t>
  </si>
  <si>
    <t>050000770468</t>
  </si>
  <si>
    <t>050000748807</t>
  </si>
  <si>
    <t>050000747367</t>
  </si>
  <si>
    <t>050000759774</t>
  </si>
  <si>
    <t>050000776463</t>
  </si>
  <si>
    <t>050000745106</t>
  </si>
  <si>
    <t>050000755232</t>
  </si>
  <si>
    <t>050000761138</t>
  </si>
  <si>
    <t>050000750235</t>
  </si>
  <si>
    <t>050000764461</t>
  </si>
  <si>
    <t>050000773851</t>
  </si>
  <si>
    <t>050000751161</t>
  </si>
  <si>
    <t>050000759609</t>
  </si>
  <si>
    <t>050000759935</t>
  </si>
  <si>
    <t>050000756660</t>
  </si>
  <si>
    <t>050000759541</t>
  </si>
  <si>
    <t>050000745104</t>
  </si>
  <si>
    <t>050000769611</t>
  </si>
  <si>
    <t>050000755862</t>
  </si>
  <si>
    <t>050000751840</t>
  </si>
  <si>
    <t>050000748851</t>
  </si>
  <si>
    <t>050000758998</t>
  </si>
  <si>
    <t>050000745469</t>
  </si>
  <si>
    <t>050000770829</t>
  </si>
  <si>
    <t>050000770604</t>
  </si>
  <si>
    <t>050000771184</t>
  </si>
  <si>
    <t>050000748853</t>
  </si>
  <si>
    <t>050000748852</t>
  </si>
  <si>
    <t>050000792309</t>
  </si>
  <si>
    <t>050000798022</t>
  </si>
  <si>
    <t>050000781779</t>
  </si>
  <si>
    <t>050000792360</t>
  </si>
  <si>
    <t>050000798013</t>
  </si>
  <si>
    <t>050000785787</t>
  </si>
  <si>
    <t>050000779259</t>
  </si>
  <si>
    <t>050000778743</t>
  </si>
  <si>
    <t>050000779256</t>
  </si>
  <si>
    <t>050000790035</t>
  </si>
  <si>
    <t>050000800726</t>
  </si>
  <si>
    <t>050000785785</t>
  </si>
  <si>
    <t>050000791259</t>
  </si>
  <si>
    <t>050000768071</t>
  </si>
  <si>
    <t>050000766629</t>
  </si>
  <si>
    <t>050000743839</t>
  </si>
  <si>
    <t>050000761402</t>
  </si>
  <si>
    <t>POLICY NO.</t>
  </si>
  <si>
    <t>Assorted_code</t>
  </si>
  <si>
    <t>Premium</t>
  </si>
  <si>
    <t>04Nov240291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</si>
</sst>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(* #,##0_);_(* \(#,##0\);_(* &quot;-&quot;??_);_(@_)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theme="1"/>
      <name val="Segoe UI"/>
      <family val="2"/>
      <charset val="1"/>
    </font>
    <font>
      <sz val="11"/>
      <color theme="1"/>
      <name val="Aptos"/>
      <family val="2"/>
    </font>
    <font>
      <sz val="9"/>
      <color theme="1"/>
      <name val="Segoe U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">
    <xf numFmtId="0" fontId="0" fillId="0" borderId="0" xfId="0"/>
    <xf numFmtId="43" fontId="0" fillId="0" borderId="0" xfId="1" applyFont="1"/>
    <xf numFmtId="0" fontId="3" fillId="0" borderId="0" xfId="0" applyFont="1"/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4" fillId="0" borderId="0" xfId="0" applyFont="1"/>
    <xf numFmtId="0" fontId="0" fillId="0" borderId="0" xfId="0" applyAlignment="1">
      <alignment vertical="top"/>
    </xf>
    <xf numFmtId="164" fontId="5" fillId="0" borderId="0" xfId="1" applyNumberFormat="1" applyFont="1" applyAlignment="1">
      <alignment vertical="top"/>
    </xf>
    <xf numFmtId="0" fontId="0" fillId="2" borderId="0" xfId="0" applyFill="1" applyAlignment="1">
      <alignment vertical="top" wrapText="1"/>
    </xf>
    <xf numFmtId="0" fontId="0" fillId="2" borderId="0" xfId="0" applyFill="1" applyAlignment="1">
      <alignment horizontal="left" vertical="top" wrapText="1"/>
    </xf>
    <xf numFmtId="0" fontId="0" fillId="2" borderId="0" xfId="0" applyFill="1" applyAlignment="1">
      <alignment wrapText="1"/>
    </xf>
    <xf numFmtId="43" fontId="0" fillId="0" borderId="0" xfId="0" applyNumberFormat="1"/>
  </cellXfs>
  <cellStyles count="2">
    <cellStyle name="Comma" xfId="1" builtinId="3"/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7F762-FE59-4805-A241-97AC14F83270}">
  <dimension ref="A1:B80"/>
  <sheetViews>
    <sheetView topLeftCell="A67" workbookViewId="0">
      <selection activeCell="B2" sqref="B2:B79"/>
    </sheetView>
  </sheetViews>
  <sheetFormatPr defaultRowHeight="15" x14ac:dyDescent="0.25"/>
  <cols>
    <col min="1" max="1" width="37.7109375" bestFit="1" customWidth="1"/>
    <col min="2" max="2" width="17.42578125" style="1" bestFit="1" customWidth="1"/>
  </cols>
  <sheetData>
    <row r="1" spans="1:2" x14ac:dyDescent="0.25">
      <c r="A1" t="s">
        <v>0</v>
      </c>
      <c r="B1" s="1" t="s">
        <v>1</v>
      </c>
    </row>
    <row r="2" spans="1:2" x14ac:dyDescent="0.25">
      <c r="A2" t="s">
        <v>2</v>
      </c>
      <c r="B2" s="1">
        <v>17498</v>
      </c>
    </row>
    <row r="3" spans="1:2" x14ac:dyDescent="0.25">
      <c r="A3" t="s">
        <v>3</v>
      </c>
      <c r="B3" s="1">
        <v>13386</v>
      </c>
    </row>
    <row r="4" spans="1:2" x14ac:dyDescent="0.25">
      <c r="A4" t="s">
        <v>4</v>
      </c>
      <c r="B4" s="1">
        <v>9969</v>
      </c>
    </row>
    <row r="5" spans="1:2" x14ac:dyDescent="0.25">
      <c r="A5" t="s">
        <v>5</v>
      </c>
      <c r="B5" s="1">
        <v>452345</v>
      </c>
    </row>
    <row r="6" spans="1:2" x14ac:dyDescent="0.25">
      <c r="A6" t="s">
        <v>6</v>
      </c>
      <c r="B6" s="1">
        <v>24382</v>
      </c>
    </row>
    <row r="7" spans="1:2" x14ac:dyDescent="0.25">
      <c r="A7" t="s">
        <v>7</v>
      </c>
      <c r="B7" s="1">
        <v>43311</v>
      </c>
    </row>
    <row r="8" spans="1:2" x14ac:dyDescent="0.25">
      <c r="A8" t="s">
        <v>8</v>
      </c>
      <c r="B8" s="1">
        <v>56014</v>
      </c>
    </row>
    <row r="9" spans="1:2" x14ac:dyDescent="0.25">
      <c r="A9" t="s">
        <v>9</v>
      </c>
      <c r="B9" s="1">
        <v>-1365554</v>
      </c>
    </row>
    <row r="10" spans="1:2" x14ac:dyDescent="0.25">
      <c r="A10" t="s">
        <v>10</v>
      </c>
      <c r="B10" s="1">
        <v>27935</v>
      </c>
    </row>
    <row r="11" spans="1:2" x14ac:dyDescent="0.25">
      <c r="A11" t="s">
        <v>11</v>
      </c>
      <c r="B11" s="1">
        <v>4160</v>
      </c>
    </row>
    <row r="12" spans="1:2" x14ac:dyDescent="0.25">
      <c r="A12" t="s">
        <v>12</v>
      </c>
      <c r="B12" s="1">
        <v>8320</v>
      </c>
    </row>
    <row r="13" spans="1:2" x14ac:dyDescent="0.25">
      <c r="A13" t="s">
        <v>13</v>
      </c>
      <c r="B13" s="1">
        <v>946424</v>
      </c>
    </row>
    <row r="14" spans="1:2" x14ac:dyDescent="0.25">
      <c r="A14" t="s">
        <v>14</v>
      </c>
      <c r="B14" s="1">
        <v>29345</v>
      </c>
    </row>
    <row r="15" spans="1:2" x14ac:dyDescent="0.25">
      <c r="A15" t="s">
        <v>15</v>
      </c>
      <c r="B15" s="1">
        <v>20156</v>
      </c>
    </row>
    <row r="16" spans="1:2" x14ac:dyDescent="0.25">
      <c r="A16" t="s">
        <v>16</v>
      </c>
      <c r="B16" s="1">
        <v>46049</v>
      </c>
    </row>
    <row r="17" spans="1:2" x14ac:dyDescent="0.25">
      <c r="A17" t="s">
        <v>17</v>
      </c>
      <c r="B17" s="1">
        <v>82923</v>
      </c>
    </row>
    <row r="18" spans="1:2" x14ac:dyDescent="0.25">
      <c r="A18" t="s">
        <v>18</v>
      </c>
      <c r="B18" s="1">
        <v>-24183</v>
      </c>
    </row>
    <row r="19" spans="1:2" x14ac:dyDescent="0.25">
      <c r="A19" t="s">
        <v>19</v>
      </c>
      <c r="B19" s="1">
        <v>210831</v>
      </c>
    </row>
    <row r="20" spans="1:2" x14ac:dyDescent="0.25">
      <c r="A20" t="s">
        <v>20</v>
      </c>
      <c r="B20" s="1">
        <v>20219</v>
      </c>
    </row>
    <row r="21" spans="1:2" x14ac:dyDescent="0.25">
      <c r="A21" t="s">
        <v>21</v>
      </c>
      <c r="B21" s="1">
        <v>2739</v>
      </c>
    </row>
    <row r="22" spans="1:2" x14ac:dyDescent="0.25">
      <c r="A22" t="s">
        <v>22</v>
      </c>
      <c r="B22" s="1">
        <v>60435</v>
      </c>
    </row>
    <row r="23" spans="1:2" x14ac:dyDescent="0.25">
      <c r="A23" t="s">
        <v>23</v>
      </c>
      <c r="B23" s="1">
        <v>45615</v>
      </c>
    </row>
    <row r="24" spans="1:2" x14ac:dyDescent="0.25">
      <c r="A24" t="s">
        <v>24</v>
      </c>
      <c r="B24" s="1">
        <v>10594</v>
      </c>
    </row>
    <row r="25" spans="1:2" x14ac:dyDescent="0.25">
      <c r="A25" t="s">
        <v>25</v>
      </c>
      <c r="B25" s="1">
        <v>20156</v>
      </c>
    </row>
    <row r="26" spans="1:2" x14ac:dyDescent="0.25">
      <c r="A26" t="s">
        <v>26</v>
      </c>
      <c r="B26" s="1">
        <v>2648</v>
      </c>
    </row>
    <row r="27" spans="1:2" x14ac:dyDescent="0.25">
      <c r="A27" t="s">
        <v>27</v>
      </c>
      <c r="B27" s="1">
        <v>30812</v>
      </c>
    </row>
    <row r="28" spans="1:2" x14ac:dyDescent="0.25">
      <c r="A28" t="s">
        <v>28</v>
      </c>
      <c r="B28" s="1">
        <v>4831</v>
      </c>
    </row>
    <row r="29" spans="1:2" x14ac:dyDescent="0.25">
      <c r="A29" t="s">
        <v>29</v>
      </c>
      <c r="B29" s="1">
        <v>-462844</v>
      </c>
    </row>
    <row r="30" spans="1:2" x14ac:dyDescent="0.25">
      <c r="A30" t="s">
        <v>30</v>
      </c>
      <c r="B30" s="1">
        <v>608027</v>
      </c>
    </row>
    <row r="31" spans="1:2" x14ac:dyDescent="0.25">
      <c r="A31" t="s">
        <v>31</v>
      </c>
      <c r="B31" s="1">
        <v>41315</v>
      </c>
    </row>
    <row r="32" spans="1:2" x14ac:dyDescent="0.25">
      <c r="A32" t="s">
        <v>32</v>
      </c>
      <c r="B32" s="1">
        <v>71007</v>
      </c>
    </row>
    <row r="33" spans="1:2" x14ac:dyDescent="0.25">
      <c r="A33" t="s">
        <v>33</v>
      </c>
      <c r="B33" s="1">
        <v>35397</v>
      </c>
    </row>
    <row r="34" spans="1:2" x14ac:dyDescent="0.25">
      <c r="A34" t="s">
        <v>34</v>
      </c>
      <c r="B34" s="1">
        <v>2983</v>
      </c>
    </row>
    <row r="35" spans="1:2" x14ac:dyDescent="0.25">
      <c r="A35" t="s">
        <v>35</v>
      </c>
      <c r="B35" s="1">
        <v>5024</v>
      </c>
    </row>
    <row r="36" spans="1:2" x14ac:dyDescent="0.25">
      <c r="A36" t="s">
        <v>36</v>
      </c>
      <c r="B36" s="1">
        <v>31098</v>
      </c>
    </row>
    <row r="37" spans="1:2" x14ac:dyDescent="0.25">
      <c r="A37" t="s">
        <v>37</v>
      </c>
      <c r="B37" s="1">
        <v>41261</v>
      </c>
    </row>
    <row r="38" spans="1:2" x14ac:dyDescent="0.25">
      <c r="A38" t="s">
        <v>38</v>
      </c>
      <c r="B38" s="1">
        <v>68080</v>
      </c>
    </row>
    <row r="39" spans="1:2" x14ac:dyDescent="0.25">
      <c r="A39" t="s">
        <v>39</v>
      </c>
      <c r="B39" s="1">
        <v>-1077962</v>
      </c>
    </row>
    <row r="40" spans="1:2" x14ac:dyDescent="0.25">
      <c r="A40" t="s">
        <v>40</v>
      </c>
      <c r="B40" s="1">
        <v>64909</v>
      </c>
    </row>
    <row r="41" spans="1:2" x14ac:dyDescent="0.25">
      <c r="A41" t="s">
        <v>41</v>
      </c>
      <c r="B41" s="1">
        <v>720455</v>
      </c>
    </row>
    <row r="42" spans="1:2" x14ac:dyDescent="0.25">
      <c r="A42" t="s">
        <v>42</v>
      </c>
      <c r="B42" s="1">
        <v>19821</v>
      </c>
    </row>
    <row r="43" spans="1:2" x14ac:dyDescent="0.25">
      <c r="A43" t="s">
        <v>43</v>
      </c>
      <c r="B43" s="1">
        <v>759</v>
      </c>
    </row>
    <row r="44" spans="1:2" x14ac:dyDescent="0.25">
      <c r="A44" t="s">
        <v>44</v>
      </c>
      <c r="B44" s="1">
        <v>26760</v>
      </c>
    </row>
    <row r="45" spans="1:2" x14ac:dyDescent="0.25">
      <c r="A45" t="s">
        <v>45</v>
      </c>
      <c r="B45" s="1">
        <v>49729</v>
      </c>
    </row>
    <row r="46" spans="1:2" x14ac:dyDescent="0.25">
      <c r="A46" t="s">
        <v>46</v>
      </c>
      <c r="B46" s="1">
        <v>-12575</v>
      </c>
    </row>
    <row r="47" spans="1:2" x14ac:dyDescent="0.25">
      <c r="A47" t="s">
        <v>47</v>
      </c>
      <c r="B47" s="1">
        <v>1569</v>
      </c>
    </row>
    <row r="48" spans="1:2" x14ac:dyDescent="0.25">
      <c r="A48" t="s">
        <v>48</v>
      </c>
      <c r="B48" s="1">
        <v>56398</v>
      </c>
    </row>
    <row r="49" spans="1:2" x14ac:dyDescent="0.25">
      <c r="A49" t="s">
        <v>49</v>
      </c>
      <c r="B49" s="1">
        <v>1648</v>
      </c>
    </row>
    <row r="50" spans="1:2" x14ac:dyDescent="0.25">
      <c r="A50" t="s">
        <v>50</v>
      </c>
      <c r="B50" s="1">
        <v>11719</v>
      </c>
    </row>
    <row r="51" spans="1:2" x14ac:dyDescent="0.25">
      <c r="A51" t="s">
        <v>51</v>
      </c>
      <c r="B51" s="1">
        <v>-640295</v>
      </c>
    </row>
    <row r="52" spans="1:2" x14ac:dyDescent="0.25">
      <c r="A52" t="s">
        <v>52</v>
      </c>
      <c r="B52" s="1">
        <v>-601865</v>
      </c>
    </row>
    <row r="53" spans="1:2" x14ac:dyDescent="0.25">
      <c r="A53" t="s">
        <v>53</v>
      </c>
      <c r="B53" s="1">
        <v>727281</v>
      </c>
    </row>
    <row r="54" spans="1:2" x14ac:dyDescent="0.25">
      <c r="A54" t="s">
        <v>54</v>
      </c>
      <c r="B54" s="1">
        <v>76293</v>
      </c>
    </row>
    <row r="55" spans="1:2" x14ac:dyDescent="0.25">
      <c r="A55" t="s">
        <v>55</v>
      </c>
      <c r="B55" s="1">
        <v>-4483</v>
      </c>
    </row>
    <row r="56" spans="1:2" x14ac:dyDescent="0.25">
      <c r="A56" t="s">
        <v>56</v>
      </c>
      <c r="B56" s="1">
        <v>40485</v>
      </c>
    </row>
    <row r="57" spans="1:2" x14ac:dyDescent="0.25">
      <c r="A57" t="s">
        <v>57</v>
      </c>
      <c r="B57" s="1">
        <v>-14487</v>
      </c>
    </row>
    <row r="58" spans="1:2" x14ac:dyDescent="0.25">
      <c r="A58" t="s">
        <v>58</v>
      </c>
      <c r="B58" s="1">
        <v>217561</v>
      </c>
    </row>
    <row r="59" spans="1:2" x14ac:dyDescent="0.25">
      <c r="A59" t="s">
        <v>59</v>
      </c>
      <c r="B59" s="1">
        <v>31145</v>
      </c>
    </row>
    <row r="60" spans="1:2" x14ac:dyDescent="0.25">
      <c r="A60" t="s">
        <v>60</v>
      </c>
      <c r="B60" s="1">
        <v>1300</v>
      </c>
    </row>
    <row r="61" spans="1:2" x14ac:dyDescent="0.25">
      <c r="A61" t="s">
        <v>61</v>
      </c>
      <c r="B61" s="1">
        <v>6411</v>
      </c>
    </row>
    <row r="62" spans="1:2" x14ac:dyDescent="0.25">
      <c r="A62" t="s">
        <v>62</v>
      </c>
      <c r="B62" s="1">
        <v>13322</v>
      </c>
    </row>
    <row r="63" spans="1:2" x14ac:dyDescent="0.25">
      <c r="A63" t="s">
        <v>63</v>
      </c>
      <c r="B63" s="1">
        <v>7479</v>
      </c>
    </row>
    <row r="64" spans="1:2" x14ac:dyDescent="0.25">
      <c r="A64" t="s">
        <v>64</v>
      </c>
      <c r="B64" s="1">
        <v>2205</v>
      </c>
    </row>
    <row r="65" spans="1:2" x14ac:dyDescent="0.25">
      <c r="A65" t="s">
        <v>65</v>
      </c>
      <c r="B65" s="1">
        <v>35637</v>
      </c>
    </row>
    <row r="66" spans="1:2" x14ac:dyDescent="0.25">
      <c r="A66" t="s">
        <v>66</v>
      </c>
      <c r="B66" s="1">
        <v>2440</v>
      </c>
    </row>
    <row r="67" spans="1:2" x14ac:dyDescent="0.25">
      <c r="A67" t="s">
        <v>67</v>
      </c>
      <c r="B67" s="1">
        <v>-597324</v>
      </c>
    </row>
    <row r="68" spans="1:2" x14ac:dyDescent="0.25">
      <c r="A68" t="s">
        <v>68</v>
      </c>
      <c r="B68" s="1">
        <v>370397</v>
      </c>
    </row>
    <row r="69" spans="1:2" x14ac:dyDescent="0.25">
      <c r="A69" t="s">
        <v>69</v>
      </c>
      <c r="B69" s="1">
        <v>2177</v>
      </c>
    </row>
    <row r="70" spans="1:2" x14ac:dyDescent="0.25">
      <c r="A70" t="s">
        <v>70</v>
      </c>
      <c r="B70" s="1">
        <v>97164</v>
      </c>
    </row>
    <row r="71" spans="1:2" x14ac:dyDescent="0.25">
      <c r="A71" t="s">
        <v>71</v>
      </c>
      <c r="B71" s="1">
        <v>60595</v>
      </c>
    </row>
    <row r="72" spans="1:2" x14ac:dyDescent="0.25">
      <c r="A72" t="s">
        <v>72</v>
      </c>
      <c r="B72" s="1">
        <v>2579</v>
      </c>
    </row>
    <row r="73" spans="1:2" x14ac:dyDescent="0.25">
      <c r="A73" t="s">
        <v>73</v>
      </c>
      <c r="B73" s="1">
        <v>19641</v>
      </c>
    </row>
    <row r="74" spans="1:2" x14ac:dyDescent="0.25">
      <c r="A74" t="s">
        <v>74</v>
      </c>
      <c r="B74" s="1">
        <v>38</v>
      </c>
    </row>
    <row r="75" spans="1:2" x14ac:dyDescent="0.25">
      <c r="A75" t="s">
        <v>75</v>
      </c>
      <c r="B75" s="1">
        <v>22252</v>
      </c>
    </row>
    <row r="76" spans="1:2" x14ac:dyDescent="0.25">
      <c r="A76" t="s">
        <v>76</v>
      </c>
      <c r="B76" s="1">
        <v>-16416</v>
      </c>
    </row>
    <row r="77" spans="1:2" x14ac:dyDescent="0.25">
      <c r="A77" t="s">
        <v>77</v>
      </c>
      <c r="B77" s="1">
        <v>9702</v>
      </c>
    </row>
    <row r="78" spans="1:2" x14ac:dyDescent="0.25">
      <c r="A78" t="s">
        <v>78</v>
      </c>
      <c r="B78" s="1">
        <v>15266</v>
      </c>
    </row>
    <row r="79" spans="1:2" x14ac:dyDescent="0.25">
      <c r="A79" t="s">
        <v>79</v>
      </c>
      <c r="B79" s="1">
        <v>7562</v>
      </c>
    </row>
    <row r="80" spans="1:2" x14ac:dyDescent="0.25">
      <c r="B80" s="1">
        <f>SUM(B2:B79)</f>
        <v>1000000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33875-9E48-42D6-89BB-9FA7EF719D61}">
  <dimension ref="A1:H81"/>
  <sheetViews>
    <sheetView tabSelected="1" topLeftCell="F77" workbookViewId="0">
      <selection activeCell="H78" sqref="H78"/>
    </sheetView>
  </sheetViews>
  <sheetFormatPr defaultRowHeight="15" x14ac:dyDescent="0.25"/>
  <cols>
    <col min="1" max="1" width="38.7109375" bestFit="1" customWidth="1"/>
    <col min="2" max="2" width="14" bestFit="1" customWidth="1"/>
    <col min="3" max="4" width="13.28515625" bestFit="1" customWidth="1"/>
    <col min="5" max="5" width="13.7109375" bestFit="1" customWidth="1"/>
    <col min="6" max="6" width="96.7109375" customWidth="1"/>
    <col min="7" max="7" width="87.7109375" customWidth="1"/>
    <col min="8" max="8" width="78.5703125" customWidth="1"/>
  </cols>
  <sheetData>
    <row r="1" spans="1:8" x14ac:dyDescent="0.25">
      <c r="A1" s="3" t="s">
        <v>167</v>
      </c>
      <c r="B1" t="s">
        <v>168</v>
      </c>
      <c r="D1" s="4" t="s">
        <v>169</v>
      </c>
      <c r="E1" s="5" t="s">
        <v>170</v>
      </c>
    </row>
    <row r="2" spans="1:8" ht="135" customHeight="1" x14ac:dyDescent="0.25">
      <c r="A2" t="s">
        <v>2</v>
      </c>
      <c r="B2" s="6" t="str">
        <f>VLOOKUP(A2,policy!B:C,2,0)</f>
        <v>050000743839</v>
      </c>
      <c r="C2" s="1">
        <v>17498</v>
      </c>
      <c r="D2" s="7">
        <f>ROUND(C2,0)</f>
        <v>17498</v>
      </c>
      <c r="E2" s="5" t="s">
        <v>170</v>
      </c>
      <c r="F2" s="8" t="str">
        <f t="shared" ref="F2:F65" si="0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2" s="9" t="str">
        <f>"('"&amp;E2&amp;"','"&amp;B2&amp;"','"&amp;D2&amp;"',(select max(to_number(i.premium_rcv_detail_code))+1
from ins_premium_det i),'"&amp;D2&amp;"','"&amp;D2&amp;"','02', '11000003','00','Request by Mr. Omair Ali 05-Nov-2024');"</f>
        <v>('04Nov240291','050000743839','17498',(select max(to_number(i.premium_rcv_detail_code))+1
from ins_premium_det i),'17498','17498','02', '11000003','00','Request by Mr. Omair Ali 05-Nov-2024');</v>
      </c>
      <c r="H2" s="10" t="str">
        <f>F2&amp;G2</f>
        <v>insert into ins_premium_det (premium_rcv_code,assorted_code, rec_amount,premium_rcv_detail_code,remaining_amt, payrec, mode_code,coinsurance_code,class_cd,it_remarks) values('04Nov240291','050000743839','17498',(select max(to_number(i.premium_rcv_detail_code))+1
from ins_premium_det i),'17498','17498','02', '11000003','00','Request by Mr. Omair Ali 05-Nov-2024');</v>
      </c>
    </row>
    <row r="3" spans="1:8" ht="105" x14ac:dyDescent="0.25">
      <c r="A3" t="s">
        <v>3</v>
      </c>
      <c r="B3" s="6" t="str">
        <f>VLOOKUP(A3,policy!B:C,2,0)</f>
        <v>050000745104</v>
      </c>
      <c r="C3" s="1">
        <v>13386</v>
      </c>
      <c r="D3" s="7">
        <f t="shared" ref="D3:D66" si="1">ROUND(C3,0)</f>
        <v>13386</v>
      </c>
      <c r="E3" s="5" t="s">
        <v>170</v>
      </c>
      <c r="F3" s="8" t="str">
        <f t="shared" si="0"/>
        <v>insert into ins_premium_det (premium_rcv_code,assorted_code, rec_amount,premium_rcv_detail_code,remaining_amt, payrec, mode_code,coinsurance_code,class_cd,it_remarks) values</v>
      </c>
      <c r="G3" s="9" t="str">
        <f t="shared" ref="G3:G66" si="2">"('"&amp;E3&amp;"','"&amp;B3&amp;"','"&amp;D3&amp;"',(select max(to_number(i.premium_rcv_detail_code))+1
from ins_premium_det i),'"&amp;D3&amp;"','"&amp;D3&amp;"','02', '11000003','00','Request by Mr. Omair Ali 05-Nov-2024');"</f>
        <v>('04Nov240291','050000745104','13386',(select max(to_number(i.premium_rcv_detail_code))+1
from ins_premium_det i),'13386','13386','02', '11000003','00','Request by Mr. Omair Ali 05-Nov-2024');</v>
      </c>
      <c r="H3" s="10" t="str">
        <f t="shared" ref="H3:H66" si="3">F3&amp;G3</f>
        <v>insert into ins_premium_det (premium_rcv_code,assorted_code, rec_amount,premium_rcv_detail_code,remaining_amt, payrec, mode_code,coinsurance_code,class_cd,it_remarks) values('04Nov240291','050000745104','13386',(select max(to_number(i.premium_rcv_detail_code))+1
from ins_premium_det i),'13386','13386','02', '11000003','00','Request by Mr. Omair Ali 05-Nov-2024');</v>
      </c>
    </row>
    <row r="4" spans="1:8" ht="90" x14ac:dyDescent="0.25">
      <c r="A4" t="s">
        <v>4</v>
      </c>
      <c r="B4" s="6" t="str">
        <f>VLOOKUP(A4,policy!B:C,2,0)</f>
        <v>050000745106</v>
      </c>
      <c r="C4" s="1">
        <v>9969</v>
      </c>
      <c r="D4" s="7">
        <f t="shared" si="1"/>
        <v>9969</v>
      </c>
      <c r="E4" s="5" t="s">
        <v>170</v>
      </c>
      <c r="F4" s="8" t="str">
        <f t="shared" si="0"/>
        <v>insert into ins_premium_det (premium_rcv_code,assorted_code, rec_amount,premium_rcv_detail_code,remaining_amt, payrec, mode_code,coinsurance_code,class_cd,it_remarks) values</v>
      </c>
      <c r="G4" s="9" t="str">
        <f t="shared" si="2"/>
        <v>('04Nov240291','050000745106','9969',(select max(to_number(i.premium_rcv_detail_code))+1
from ins_premium_det i),'9969','9969','02', '11000003','00','Request by Mr. Omair Ali 05-Nov-2024');</v>
      </c>
      <c r="H4" s="10" t="str">
        <f t="shared" si="3"/>
        <v>insert into ins_premium_det (premium_rcv_code,assorted_code, rec_amount,premium_rcv_detail_code,remaining_amt, payrec, mode_code,coinsurance_code,class_cd,it_remarks) values('04Nov240291','050000745106','9969',(select max(to_number(i.premium_rcv_detail_code))+1
from ins_premium_det i),'9969','9969','02', '11000003','00','Request by Mr. Omair Ali 05-Nov-2024');</v>
      </c>
    </row>
    <row r="5" spans="1:8" ht="105" x14ac:dyDescent="0.25">
      <c r="A5" t="s">
        <v>5</v>
      </c>
      <c r="B5" s="6" t="str">
        <f>VLOOKUP(A5,policy!B:C,2,0)</f>
        <v>050000745469</v>
      </c>
      <c r="C5" s="1">
        <v>452345</v>
      </c>
      <c r="D5" s="7">
        <f t="shared" si="1"/>
        <v>452345</v>
      </c>
      <c r="E5" s="5" t="s">
        <v>170</v>
      </c>
      <c r="F5" s="8" t="str">
        <f t="shared" si="0"/>
        <v>insert into ins_premium_det (premium_rcv_code,assorted_code, rec_amount,premium_rcv_detail_code,remaining_amt, payrec, mode_code,coinsurance_code,class_cd,it_remarks) values</v>
      </c>
      <c r="G5" s="9" t="str">
        <f t="shared" si="2"/>
        <v>('04Nov240291','050000745469','452345',(select max(to_number(i.premium_rcv_detail_code))+1
from ins_premium_det i),'452345','452345','02', '11000003','00','Request by Mr. Omair Ali 05-Nov-2024');</v>
      </c>
      <c r="H5" s="10" t="str">
        <f t="shared" si="3"/>
        <v>insert into ins_premium_det (premium_rcv_code,assorted_code, rec_amount,premium_rcv_detail_code,remaining_amt, payrec, mode_code,coinsurance_code,class_cd,it_remarks) values('04Nov240291','050000745469','452345',(select max(to_number(i.premium_rcv_detail_code))+1
from ins_premium_det i),'452345','452345','02', '11000003','00','Request by Mr. Omair Ali 05-Nov-2024');</v>
      </c>
    </row>
    <row r="6" spans="1:8" ht="105" x14ac:dyDescent="0.25">
      <c r="A6" t="s">
        <v>6</v>
      </c>
      <c r="B6" s="6" t="str">
        <f>VLOOKUP(A6,policy!B:C,2,0)</f>
        <v>050000747250</v>
      </c>
      <c r="C6" s="1">
        <v>24382</v>
      </c>
      <c r="D6" s="7">
        <f t="shared" si="1"/>
        <v>24382</v>
      </c>
      <c r="E6" s="5" t="s">
        <v>170</v>
      </c>
      <c r="F6" s="8" t="str">
        <f t="shared" si="0"/>
        <v>insert into ins_premium_det (premium_rcv_code,assorted_code, rec_amount,premium_rcv_detail_code,remaining_amt, payrec, mode_code,coinsurance_code,class_cd,it_remarks) values</v>
      </c>
      <c r="G6" s="9" t="str">
        <f t="shared" si="2"/>
        <v>('04Nov240291','050000747250','24382',(select max(to_number(i.premium_rcv_detail_code))+1
from ins_premium_det i),'24382','24382','02', '11000003','00','Request by Mr. Omair Ali 05-Nov-2024');</v>
      </c>
      <c r="H6" s="10" t="str">
        <f t="shared" si="3"/>
        <v>insert into ins_premium_det (premium_rcv_code,assorted_code, rec_amount,premium_rcv_detail_code,remaining_amt, payrec, mode_code,coinsurance_code,class_cd,it_remarks) values('04Nov240291','050000747250','24382',(select max(to_number(i.premium_rcv_detail_code))+1
from ins_premium_det i),'24382','24382','02', '11000003','00','Request by Mr. Omair Ali 05-Nov-2024');</v>
      </c>
    </row>
    <row r="7" spans="1:8" ht="105" x14ac:dyDescent="0.25">
      <c r="A7" t="s">
        <v>7</v>
      </c>
      <c r="B7" s="6" t="str">
        <f>VLOOKUP(A7,policy!B:C,2,0)</f>
        <v>050000747319</v>
      </c>
      <c r="C7" s="1">
        <v>43311</v>
      </c>
      <c r="D7" s="7">
        <f t="shared" si="1"/>
        <v>43311</v>
      </c>
      <c r="E7" s="5" t="s">
        <v>170</v>
      </c>
      <c r="F7" s="8" t="str">
        <f t="shared" si="0"/>
        <v>insert into ins_premium_det (premium_rcv_code,assorted_code, rec_amount,premium_rcv_detail_code,remaining_amt, payrec, mode_code,coinsurance_code,class_cd,it_remarks) values</v>
      </c>
      <c r="G7" s="9" t="str">
        <f t="shared" si="2"/>
        <v>('04Nov240291','050000747319','43311',(select max(to_number(i.premium_rcv_detail_code))+1
from ins_premium_det i),'43311','43311','02', '11000003','00','Request by Mr. Omair Ali 05-Nov-2024');</v>
      </c>
      <c r="H7" s="10" t="str">
        <f t="shared" si="3"/>
        <v>insert into ins_premium_det (premium_rcv_code,assorted_code, rec_amount,premium_rcv_detail_code,remaining_amt, payrec, mode_code,coinsurance_code,class_cd,it_remarks) values('04Nov240291','050000747319','43311',(select max(to_number(i.premium_rcv_detail_code))+1
from ins_premium_det i),'43311','43311','02', '11000003','00','Request by Mr. Omair Ali 05-Nov-2024');</v>
      </c>
    </row>
    <row r="8" spans="1:8" ht="105" x14ac:dyDescent="0.25">
      <c r="A8" t="s">
        <v>8</v>
      </c>
      <c r="B8" s="6" t="str">
        <f>VLOOKUP(A8,policy!B:C,2,0)</f>
        <v>050000747367</v>
      </c>
      <c r="C8" s="1">
        <v>56014</v>
      </c>
      <c r="D8" s="7">
        <f t="shared" si="1"/>
        <v>56014</v>
      </c>
      <c r="E8" s="5" t="s">
        <v>170</v>
      </c>
      <c r="F8" s="8" t="str">
        <f t="shared" si="0"/>
        <v>insert into ins_premium_det (premium_rcv_code,assorted_code, rec_amount,premium_rcv_detail_code,remaining_amt, payrec, mode_code,coinsurance_code,class_cd,it_remarks) values</v>
      </c>
      <c r="G8" s="9" t="str">
        <f t="shared" si="2"/>
        <v>('04Nov240291','050000747367','56014',(select max(to_number(i.premium_rcv_detail_code))+1
from ins_premium_det i),'56014','56014','02', '11000003','00','Request by Mr. Omair Ali 05-Nov-2024');</v>
      </c>
      <c r="H8" s="10" t="str">
        <f t="shared" si="3"/>
        <v>insert into ins_premium_det (premium_rcv_code,assorted_code, rec_amount,premium_rcv_detail_code,remaining_amt, payrec, mode_code,coinsurance_code,class_cd,it_remarks) values('04Nov240291','050000747367','56014',(select max(to_number(i.premium_rcv_detail_code))+1
from ins_premium_det i),'56014','56014','02', '11000003','00','Request by Mr. Omair Ali 05-Nov-2024');</v>
      </c>
    </row>
    <row r="9" spans="1:8" ht="90" x14ac:dyDescent="0.25">
      <c r="A9" t="s">
        <v>9</v>
      </c>
      <c r="B9" s="6" t="str">
        <f>VLOOKUP(A9,policy!B:C,2,0)</f>
        <v>050000748807</v>
      </c>
      <c r="C9" s="1">
        <v>-1365554</v>
      </c>
      <c r="D9" s="7">
        <f t="shared" si="1"/>
        <v>-1365554</v>
      </c>
      <c r="E9" s="5" t="s">
        <v>170</v>
      </c>
      <c r="F9" s="8" t="str">
        <f t="shared" si="0"/>
        <v>insert into ins_premium_det (premium_rcv_code,assorted_code, rec_amount,premium_rcv_detail_code,remaining_amt, payrec, mode_code,coinsurance_code,class_cd,it_remarks) values</v>
      </c>
      <c r="G9" s="9" t="str">
        <f t="shared" si="2"/>
        <v>('04Nov240291','050000748807','-1365554',(select max(to_number(i.premium_rcv_detail_code))+1
from ins_premium_det i),'-1365554','-1365554','02', '11000003','00','Request by Mr. Omair Ali 05-Nov-2024');</v>
      </c>
      <c r="H9" s="10" t="str">
        <f t="shared" si="3"/>
        <v>insert into ins_premium_det (premium_rcv_code,assorted_code, rec_amount,premium_rcv_detail_code,remaining_amt, payrec, mode_code,coinsurance_code,class_cd,it_remarks) values('04Nov240291','050000748807','-1365554',(select max(to_number(i.premium_rcv_detail_code))+1
from ins_premium_det i),'-1365554','-1365554','02', '11000003','00','Request by Mr. Omair Ali 05-Nov-2024');</v>
      </c>
    </row>
    <row r="10" spans="1:8" ht="105" x14ac:dyDescent="0.25">
      <c r="A10" t="s">
        <v>10</v>
      </c>
      <c r="B10" s="6" t="str">
        <f>VLOOKUP(A10,policy!B:C,2,0)</f>
        <v>050000748851</v>
      </c>
      <c r="C10" s="1">
        <v>27935</v>
      </c>
      <c r="D10" s="7">
        <f t="shared" si="1"/>
        <v>27935</v>
      </c>
      <c r="E10" s="5" t="s">
        <v>170</v>
      </c>
      <c r="F10" s="8" t="str">
        <f t="shared" si="0"/>
        <v>insert into ins_premium_det (premium_rcv_code,assorted_code, rec_amount,premium_rcv_detail_code,remaining_amt, payrec, mode_code,coinsurance_code,class_cd,it_remarks) values</v>
      </c>
      <c r="G10" s="9" t="str">
        <f t="shared" si="2"/>
        <v>('04Nov240291','050000748851','27935',(select max(to_number(i.premium_rcv_detail_code))+1
from ins_premium_det i),'27935','27935','02', '11000003','00','Request by Mr. Omair Ali 05-Nov-2024');</v>
      </c>
      <c r="H10" s="10" t="str">
        <f t="shared" si="3"/>
        <v>insert into ins_premium_det (premium_rcv_code,assorted_code, rec_amount,premium_rcv_detail_code,remaining_amt, payrec, mode_code,coinsurance_code,class_cd,it_remarks) values('04Nov240291','050000748851','27935',(select max(to_number(i.premium_rcv_detail_code))+1
from ins_premium_det i),'27935','27935','02', '11000003','00','Request by Mr. Omair Ali 05-Nov-2024');</v>
      </c>
    </row>
    <row r="11" spans="1:8" ht="90" x14ac:dyDescent="0.25">
      <c r="A11" t="s">
        <v>11</v>
      </c>
      <c r="B11" s="6" t="str">
        <f>VLOOKUP(A11,policy!B:C,2,0)</f>
        <v>050000748852</v>
      </c>
      <c r="C11" s="1">
        <v>4160</v>
      </c>
      <c r="D11" s="7">
        <f t="shared" si="1"/>
        <v>4160</v>
      </c>
      <c r="E11" s="5" t="s">
        <v>170</v>
      </c>
      <c r="F11" s="8" t="str">
        <f t="shared" si="0"/>
        <v>insert into ins_premium_det (premium_rcv_code,assorted_code, rec_amount,premium_rcv_detail_code,remaining_amt, payrec, mode_code,coinsurance_code,class_cd,it_remarks) values</v>
      </c>
      <c r="G11" s="9" t="str">
        <f t="shared" si="2"/>
        <v>('04Nov240291','050000748852','4160',(select max(to_number(i.premium_rcv_detail_code))+1
from ins_premium_det i),'4160','4160','02', '11000003','00','Request by Mr. Omair Ali 05-Nov-2024');</v>
      </c>
      <c r="H11" s="10" t="str">
        <f t="shared" si="3"/>
        <v>insert into ins_premium_det (premium_rcv_code,assorted_code, rec_amount,premium_rcv_detail_code,remaining_amt, payrec, mode_code,coinsurance_code,class_cd,it_remarks) values('04Nov240291','050000748852','4160',(select max(to_number(i.premium_rcv_detail_code))+1
from ins_premium_det i),'4160','4160','02', '11000003','00','Request by Mr. Omair Ali 05-Nov-2024');</v>
      </c>
    </row>
    <row r="12" spans="1:8" ht="90" x14ac:dyDescent="0.25">
      <c r="A12" t="s">
        <v>12</v>
      </c>
      <c r="B12" s="6" t="str">
        <f>VLOOKUP(A12,policy!B:C,2,0)</f>
        <v>050000748853</v>
      </c>
      <c r="C12" s="1">
        <v>8320</v>
      </c>
      <c r="D12" s="7">
        <f t="shared" si="1"/>
        <v>8320</v>
      </c>
      <c r="E12" s="5" t="s">
        <v>170</v>
      </c>
      <c r="F12" s="8" t="str">
        <f t="shared" si="0"/>
        <v>insert into ins_premium_det (premium_rcv_code,assorted_code, rec_amount,premium_rcv_detail_code,remaining_amt, payrec, mode_code,coinsurance_code,class_cd,it_remarks) values</v>
      </c>
      <c r="G12" s="9" t="str">
        <f t="shared" si="2"/>
        <v>('04Nov240291','050000748853','8320',(select max(to_number(i.premium_rcv_detail_code))+1
from ins_premium_det i),'8320','8320','02', '11000003','00','Request by Mr. Omair Ali 05-Nov-2024');</v>
      </c>
      <c r="H12" s="10" t="str">
        <f t="shared" si="3"/>
        <v>insert into ins_premium_det (premium_rcv_code,assorted_code, rec_amount,premium_rcv_detail_code,remaining_amt, payrec, mode_code,coinsurance_code,class_cd,it_remarks) values('04Nov240291','050000748853','8320',(select max(to_number(i.premium_rcv_detail_code))+1
from ins_premium_det i),'8320','8320','02', '11000003','00','Request by Mr. Omair Ali 05-Nov-2024');</v>
      </c>
    </row>
    <row r="13" spans="1:8" ht="105" x14ac:dyDescent="0.25">
      <c r="A13" t="s">
        <v>13</v>
      </c>
      <c r="B13" s="6" t="str">
        <f>VLOOKUP(A13,policy!B:C,2,0)</f>
        <v>050000750191</v>
      </c>
      <c r="C13" s="1">
        <v>946424</v>
      </c>
      <c r="D13" s="7">
        <f t="shared" si="1"/>
        <v>946424</v>
      </c>
      <c r="E13" s="5" t="s">
        <v>170</v>
      </c>
      <c r="F13" s="8" t="str">
        <f t="shared" si="0"/>
        <v>insert into ins_premium_det (premium_rcv_code,assorted_code, rec_amount,premium_rcv_detail_code,remaining_amt, payrec, mode_code,coinsurance_code,class_cd,it_remarks) values</v>
      </c>
      <c r="G13" s="9" t="str">
        <f t="shared" si="2"/>
        <v>('04Nov240291','050000750191','946424',(select max(to_number(i.premium_rcv_detail_code))+1
from ins_premium_det i),'946424','946424','02', '11000003','00','Request by Mr. Omair Ali 05-Nov-2024');</v>
      </c>
      <c r="H13" s="10" t="str">
        <f t="shared" si="3"/>
        <v>insert into ins_premium_det (premium_rcv_code,assorted_code, rec_amount,premium_rcv_detail_code,remaining_amt, payrec, mode_code,coinsurance_code,class_cd,it_remarks) values('04Nov240291','050000750191','946424',(select max(to_number(i.premium_rcv_detail_code))+1
from ins_premium_det i),'946424','946424','02', '11000003','00','Request by Mr. Omair Ali 05-Nov-2024');</v>
      </c>
    </row>
    <row r="14" spans="1:8" ht="105" x14ac:dyDescent="0.25">
      <c r="A14" t="s">
        <v>14</v>
      </c>
      <c r="B14" s="6" t="str">
        <f>VLOOKUP(A14,policy!B:C,2,0)</f>
        <v>050000750230</v>
      </c>
      <c r="C14" s="1">
        <v>29345</v>
      </c>
      <c r="D14" s="7">
        <f t="shared" si="1"/>
        <v>29345</v>
      </c>
      <c r="E14" s="5" t="s">
        <v>170</v>
      </c>
      <c r="F14" s="8" t="str">
        <f t="shared" si="0"/>
        <v>insert into ins_premium_det (premium_rcv_code,assorted_code, rec_amount,premium_rcv_detail_code,remaining_amt, payrec, mode_code,coinsurance_code,class_cd,it_remarks) values</v>
      </c>
      <c r="G14" s="9" t="str">
        <f t="shared" si="2"/>
        <v>('04Nov240291','050000750230','29345',(select max(to_number(i.premium_rcv_detail_code))+1
from ins_premium_det i),'29345','29345','02', '11000003','00','Request by Mr. Omair Ali 05-Nov-2024');</v>
      </c>
      <c r="H14" s="10" t="str">
        <f t="shared" si="3"/>
        <v>insert into ins_premium_det (premium_rcv_code,assorted_code, rec_amount,premium_rcv_detail_code,remaining_amt, payrec, mode_code,coinsurance_code,class_cd,it_remarks) values('04Nov240291','050000750230','29345',(select max(to_number(i.premium_rcv_detail_code))+1
from ins_premium_det i),'29345','29345','02', '11000003','00','Request by Mr. Omair Ali 05-Nov-2024');</v>
      </c>
    </row>
    <row r="15" spans="1:8" ht="105" x14ac:dyDescent="0.25">
      <c r="A15" t="s">
        <v>15</v>
      </c>
      <c r="B15" s="6" t="str">
        <f>VLOOKUP(A15,policy!B:C,2,0)</f>
        <v>050000750235</v>
      </c>
      <c r="C15" s="1">
        <v>20156</v>
      </c>
      <c r="D15" s="7">
        <f t="shared" si="1"/>
        <v>20156</v>
      </c>
      <c r="E15" s="5" t="s">
        <v>170</v>
      </c>
      <c r="F15" s="8" t="str">
        <f t="shared" si="0"/>
        <v>insert into ins_premium_det (premium_rcv_code,assorted_code, rec_amount,premium_rcv_detail_code,remaining_amt, payrec, mode_code,coinsurance_code,class_cd,it_remarks) values</v>
      </c>
      <c r="G15" s="9" t="str">
        <f t="shared" si="2"/>
        <v>('04Nov240291','050000750235','20156',(select max(to_number(i.premium_rcv_detail_code))+1
from ins_premium_det i),'20156','20156','02', '11000003','00','Request by Mr. Omair Ali 05-Nov-2024');</v>
      </c>
      <c r="H15" s="10" t="str">
        <f t="shared" si="3"/>
        <v>insert into ins_premium_det (premium_rcv_code,assorted_code, rec_amount,premium_rcv_detail_code,remaining_amt, payrec, mode_code,coinsurance_code,class_cd,it_remarks) values('04Nov240291','050000750235','20156',(select max(to_number(i.premium_rcv_detail_code))+1
from ins_premium_det i),'20156','20156','02', '11000003','00','Request by Mr. Omair Ali 05-Nov-2024');</v>
      </c>
    </row>
    <row r="16" spans="1:8" ht="105" x14ac:dyDescent="0.25">
      <c r="A16" t="s">
        <v>16</v>
      </c>
      <c r="B16" s="6" t="str">
        <f>VLOOKUP(A16,policy!B:C,2,0)</f>
        <v>050000750982</v>
      </c>
      <c r="C16" s="1">
        <v>46049</v>
      </c>
      <c r="D16" s="7">
        <f t="shared" si="1"/>
        <v>46049</v>
      </c>
      <c r="E16" s="5" t="s">
        <v>170</v>
      </c>
      <c r="F16" s="8" t="str">
        <f t="shared" si="0"/>
        <v>insert into ins_premium_det (premium_rcv_code,assorted_code, rec_amount,premium_rcv_detail_code,remaining_amt, payrec, mode_code,coinsurance_code,class_cd,it_remarks) values</v>
      </c>
      <c r="G16" s="9" t="str">
        <f t="shared" si="2"/>
        <v>('04Nov240291','050000750982','46049',(select max(to_number(i.premium_rcv_detail_code))+1
from ins_premium_det i),'46049','46049','02', '11000003','00','Request by Mr. Omair Ali 05-Nov-2024');</v>
      </c>
      <c r="H16" s="10" t="str">
        <f t="shared" si="3"/>
        <v>insert into ins_premium_det (premium_rcv_code,assorted_code, rec_amount,premium_rcv_detail_code,remaining_amt, payrec, mode_code,coinsurance_code,class_cd,it_remarks) values('04Nov240291','050000750982','46049',(select max(to_number(i.premium_rcv_detail_code))+1
from ins_premium_det i),'46049','46049','02', '11000003','00','Request by Mr. Omair Ali 05-Nov-2024');</v>
      </c>
    </row>
    <row r="17" spans="1:8" ht="105" x14ac:dyDescent="0.25">
      <c r="A17" t="s">
        <v>17</v>
      </c>
      <c r="B17" s="6" t="str">
        <f>VLOOKUP(A17,policy!B:C,2,0)</f>
        <v>050000751161</v>
      </c>
      <c r="C17" s="1">
        <v>82923</v>
      </c>
      <c r="D17" s="7">
        <f t="shared" si="1"/>
        <v>82923</v>
      </c>
      <c r="E17" s="5" t="s">
        <v>170</v>
      </c>
      <c r="F17" s="8" t="str">
        <f t="shared" si="0"/>
        <v>insert into ins_premium_det (premium_rcv_code,assorted_code, rec_amount,premium_rcv_detail_code,remaining_amt, payrec, mode_code,coinsurance_code,class_cd,it_remarks) values</v>
      </c>
      <c r="G17" s="9" t="str">
        <f t="shared" si="2"/>
        <v>('04Nov240291','050000751161','82923',(select max(to_number(i.premium_rcv_detail_code))+1
from ins_premium_det i),'82923','82923','02', '11000003','00','Request by Mr. Omair Ali 05-Nov-2024');</v>
      </c>
      <c r="H17" s="10" t="str">
        <f t="shared" si="3"/>
        <v>insert into ins_premium_det (premium_rcv_code,assorted_code, rec_amount,premium_rcv_detail_code,remaining_amt, payrec, mode_code,coinsurance_code,class_cd,it_remarks) values('04Nov240291','050000751161','82923',(select max(to_number(i.premium_rcv_detail_code))+1
from ins_premium_det i),'82923','82923','02', '11000003','00','Request by Mr. Omair Ali 05-Nov-2024');</v>
      </c>
    </row>
    <row r="18" spans="1:8" ht="90" x14ac:dyDescent="0.25">
      <c r="A18" t="s">
        <v>18</v>
      </c>
      <c r="B18" s="6" t="str">
        <f>VLOOKUP(A18,policy!B:C,2,0)</f>
        <v>050000751840</v>
      </c>
      <c r="C18" s="1">
        <v>-24183</v>
      </c>
      <c r="D18" s="7">
        <f t="shared" si="1"/>
        <v>-24183</v>
      </c>
      <c r="E18" s="5" t="s">
        <v>170</v>
      </c>
      <c r="F18" s="8" t="str">
        <f t="shared" si="0"/>
        <v>insert into ins_premium_det (premium_rcv_code,assorted_code, rec_amount,premium_rcv_detail_code,remaining_amt, payrec, mode_code,coinsurance_code,class_cd,it_remarks) values</v>
      </c>
      <c r="G18" s="9" t="str">
        <f t="shared" si="2"/>
        <v>('04Nov240291','050000751840','-24183',(select max(to_number(i.premium_rcv_detail_code))+1
from ins_premium_det i),'-24183','-24183','02', '11000003','00','Request by Mr. Omair Ali 05-Nov-2024');</v>
      </c>
      <c r="H18" s="10" t="str">
        <f t="shared" si="3"/>
        <v>insert into ins_premium_det (premium_rcv_code,assorted_code, rec_amount,premium_rcv_detail_code,remaining_amt, payrec, mode_code,coinsurance_code,class_cd,it_remarks) values('04Nov240291','050000751840','-24183',(select max(to_number(i.premium_rcv_detail_code))+1
from ins_premium_det i),'-24183','-24183','02', '11000003','00','Request by Mr. Omair Ali 05-Nov-2024');</v>
      </c>
    </row>
    <row r="19" spans="1:8" ht="105" x14ac:dyDescent="0.25">
      <c r="A19" t="s">
        <v>19</v>
      </c>
      <c r="B19" s="6" t="str">
        <f>VLOOKUP(A19,policy!B:C,2,0)</f>
        <v>050000753670</v>
      </c>
      <c r="C19" s="1">
        <v>210831</v>
      </c>
      <c r="D19" s="7">
        <f t="shared" si="1"/>
        <v>210831</v>
      </c>
      <c r="E19" s="5" t="s">
        <v>170</v>
      </c>
      <c r="F19" s="8" t="str">
        <f t="shared" si="0"/>
        <v>insert into ins_premium_det (premium_rcv_code,assorted_code, rec_amount,premium_rcv_detail_code,remaining_amt, payrec, mode_code,coinsurance_code,class_cd,it_remarks) values</v>
      </c>
      <c r="G19" s="9" t="str">
        <f t="shared" si="2"/>
        <v>('04Nov240291','050000753670','210831',(select max(to_number(i.premium_rcv_detail_code))+1
from ins_premium_det i),'210831','210831','02', '11000003','00','Request by Mr. Omair Ali 05-Nov-2024');</v>
      </c>
      <c r="H19" s="10" t="str">
        <f t="shared" si="3"/>
        <v>insert into ins_premium_det (premium_rcv_code,assorted_code, rec_amount,premium_rcv_detail_code,remaining_amt, payrec, mode_code,coinsurance_code,class_cd,it_remarks) values('04Nov240291','050000753670','210831',(select max(to_number(i.premium_rcv_detail_code))+1
from ins_premium_det i),'210831','210831','02', '11000003','00','Request by Mr. Omair Ali 05-Nov-2024');</v>
      </c>
    </row>
    <row r="20" spans="1:8" ht="105" x14ac:dyDescent="0.25">
      <c r="A20" t="s">
        <v>20</v>
      </c>
      <c r="B20" s="6" t="str">
        <f>VLOOKUP(A20,policy!B:C,2,0)</f>
        <v>050000755232</v>
      </c>
      <c r="C20" s="1">
        <v>20219</v>
      </c>
      <c r="D20" s="7">
        <f t="shared" si="1"/>
        <v>20219</v>
      </c>
      <c r="E20" s="5" t="s">
        <v>170</v>
      </c>
      <c r="F20" s="8" t="str">
        <f t="shared" si="0"/>
        <v>insert into ins_premium_det (premium_rcv_code,assorted_code, rec_amount,premium_rcv_detail_code,remaining_amt, payrec, mode_code,coinsurance_code,class_cd,it_remarks) values</v>
      </c>
      <c r="G20" s="9" t="str">
        <f t="shared" si="2"/>
        <v>('04Nov240291','050000755232','20219',(select max(to_number(i.premium_rcv_detail_code))+1
from ins_premium_det i),'20219','20219','02', '11000003','00','Request by Mr. Omair Ali 05-Nov-2024');</v>
      </c>
      <c r="H20" s="10" t="str">
        <f t="shared" si="3"/>
        <v>insert into ins_premium_det (premium_rcv_code,assorted_code, rec_amount,premium_rcv_detail_code,remaining_amt, payrec, mode_code,coinsurance_code,class_cd,it_remarks) values('04Nov240291','050000755232','20219',(select max(to_number(i.premium_rcv_detail_code))+1
from ins_premium_det i),'20219','20219','02', '11000003','00','Request by Mr. Omair Ali 05-Nov-2024');</v>
      </c>
    </row>
    <row r="21" spans="1:8" ht="90" x14ac:dyDescent="0.25">
      <c r="A21" t="s">
        <v>21</v>
      </c>
      <c r="B21" s="6" t="str">
        <f>VLOOKUP(A21,policy!B:C,2,0)</f>
        <v>050000755862</v>
      </c>
      <c r="C21" s="1">
        <v>2739</v>
      </c>
      <c r="D21" s="7">
        <f t="shared" si="1"/>
        <v>2739</v>
      </c>
      <c r="E21" s="5" t="s">
        <v>170</v>
      </c>
      <c r="F21" s="8" t="str">
        <f t="shared" si="0"/>
        <v>insert into ins_premium_det (premium_rcv_code,assorted_code, rec_amount,premium_rcv_detail_code,remaining_amt, payrec, mode_code,coinsurance_code,class_cd,it_remarks) values</v>
      </c>
      <c r="G21" s="9" t="str">
        <f t="shared" si="2"/>
        <v>('04Nov240291','050000755862','2739',(select max(to_number(i.premium_rcv_detail_code))+1
from ins_premium_det i),'2739','2739','02', '11000003','00','Request by Mr. Omair Ali 05-Nov-2024');</v>
      </c>
      <c r="H21" s="10" t="str">
        <f t="shared" si="3"/>
        <v>insert into ins_premium_det (premium_rcv_code,assorted_code, rec_amount,premium_rcv_detail_code,remaining_amt, payrec, mode_code,coinsurance_code,class_cd,it_remarks) values('04Nov240291','050000755862','2739',(select max(to_number(i.premium_rcv_detail_code))+1
from ins_premium_det i),'2739','2739','02', '11000003','00','Request by Mr. Omair Ali 05-Nov-2024');</v>
      </c>
    </row>
    <row r="22" spans="1:8" ht="105" x14ac:dyDescent="0.25">
      <c r="A22" t="s">
        <v>22</v>
      </c>
      <c r="B22" s="6" t="str">
        <f>VLOOKUP(A22,policy!B:C,2,0)</f>
        <v>050000756660</v>
      </c>
      <c r="C22" s="1">
        <v>60435</v>
      </c>
      <c r="D22" s="7">
        <f t="shared" si="1"/>
        <v>60435</v>
      </c>
      <c r="E22" s="5" t="s">
        <v>170</v>
      </c>
      <c r="F22" s="8" t="str">
        <f t="shared" si="0"/>
        <v>insert into ins_premium_det (premium_rcv_code,assorted_code, rec_amount,premium_rcv_detail_code,remaining_amt, payrec, mode_code,coinsurance_code,class_cd,it_remarks) values</v>
      </c>
      <c r="G22" s="9" t="str">
        <f t="shared" si="2"/>
        <v>('04Nov240291','050000756660','60435',(select max(to_number(i.premium_rcv_detail_code))+1
from ins_premium_det i),'60435','60435','02', '11000003','00','Request by Mr. Omair Ali 05-Nov-2024');</v>
      </c>
      <c r="H22" s="10" t="str">
        <f t="shared" si="3"/>
        <v>insert into ins_premium_det (premium_rcv_code,assorted_code, rec_amount,premium_rcv_detail_code,remaining_amt, payrec, mode_code,coinsurance_code,class_cd,it_remarks) values('04Nov240291','050000756660','60435',(select max(to_number(i.premium_rcv_detail_code))+1
from ins_premium_det i),'60435','60435','02', '11000003','00','Request by Mr. Omair Ali 05-Nov-2024');</v>
      </c>
    </row>
    <row r="23" spans="1:8" ht="105" x14ac:dyDescent="0.25">
      <c r="A23" t="s">
        <v>23</v>
      </c>
      <c r="B23" s="6" t="str">
        <f>VLOOKUP(A23,policy!B:C,2,0)</f>
        <v>050000758201</v>
      </c>
      <c r="C23" s="1">
        <v>45615</v>
      </c>
      <c r="D23" s="7">
        <f t="shared" si="1"/>
        <v>45615</v>
      </c>
      <c r="E23" s="5" t="s">
        <v>170</v>
      </c>
      <c r="F23" s="8" t="str">
        <f t="shared" si="0"/>
        <v>insert into ins_premium_det (premium_rcv_code,assorted_code, rec_amount,premium_rcv_detail_code,remaining_amt, payrec, mode_code,coinsurance_code,class_cd,it_remarks) values</v>
      </c>
      <c r="G23" s="9" t="str">
        <f t="shared" si="2"/>
        <v>('04Nov240291','050000758201','45615',(select max(to_number(i.premium_rcv_detail_code))+1
from ins_premium_det i),'45615','45615','02', '11000003','00','Request by Mr. Omair Ali 05-Nov-2024');</v>
      </c>
      <c r="H23" s="10" t="str">
        <f t="shared" si="3"/>
        <v>insert into ins_premium_det (premium_rcv_code,assorted_code, rec_amount,premium_rcv_detail_code,remaining_amt, payrec, mode_code,coinsurance_code,class_cd,it_remarks) values('04Nov240291','050000758201','45615',(select max(to_number(i.premium_rcv_detail_code))+1
from ins_premium_det i),'45615','45615','02', '11000003','00','Request by Mr. Omair Ali 05-Nov-2024');</v>
      </c>
    </row>
    <row r="24" spans="1:8" ht="105" x14ac:dyDescent="0.25">
      <c r="A24" t="s">
        <v>24</v>
      </c>
      <c r="B24" s="6" t="str">
        <f>VLOOKUP(A24,policy!B:C,2,0)</f>
        <v>050000758934</v>
      </c>
      <c r="C24" s="1">
        <v>10594</v>
      </c>
      <c r="D24" s="7">
        <f t="shared" si="1"/>
        <v>10594</v>
      </c>
      <c r="E24" s="5" t="s">
        <v>170</v>
      </c>
      <c r="F24" s="8" t="str">
        <f t="shared" si="0"/>
        <v>insert into ins_premium_det (premium_rcv_code,assorted_code, rec_amount,premium_rcv_detail_code,remaining_amt, payrec, mode_code,coinsurance_code,class_cd,it_remarks) values</v>
      </c>
      <c r="G24" s="9" t="str">
        <f t="shared" si="2"/>
        <v>('04Nov240291','050000758934','10594',(select max(to_number(i.premium_rcv_detail_code))+1
from ins_premium_det i),'10594','10594','02', '11000003','00','Request by Mr. Omair Ali 05-Nov-2024');</v>
      </c>
      <c r="H24" s="10" t="str">
        <f t="shared" si="3"/>
        <v>insert into ins_premium_det (premium_rcv_code,assorted_code, rec_amount,premium_rcv_detail_code,remaining_amt, payrec, mode_code,coinsurance_code,class_cd,it_remarks) values('04Nov240291','050000758934','10594',(select max(to_number(i.premium_rcv_detail_code))+1
from ins_premium_det i),'10594','10594','02', '11000003','00','Request by Mr. Omair Ali 05-Nov-2024');</v>
      </c>
    </row>
    <row r="25" spans="1:8" ht="105" x14ac:dyDescent="0.25">
      <c r="A25" t="s">
        <v>25</v>
      </c>
      <c r="B25" s="6" t="str">
        <f>VLOOKUP(A25,policy!B:C,2,0)</f>
        <v>050000758998</v>
      </c>
      <c r="C25" s="1">
        <v>20156</v>
      </c>
      <c r="D25" s="7">
        <f t="shared" si="1"/>
        <v>20156</v>
      </c>
      <c r="E25" s="5" t="s">
        <v>170</v>
      </c>
      <c r="F25" s="8" t="str">
        <f t="shared" si="0"/>
        <v>insert into ins_premium_det (premium_rcv_code,assorted_code, rec_amount,premium_rcv_detail_code,remaining_amt, payrec, mode_code,coinsurance_code,class_cd,it_remarks) values</v>
      </c>
      <c r="G25" s="9" t="str">
        <f t="shared" si="2"/>
        <v>('04Nov240291','050000758998','20156',(select max(to_number(i.premium_rcv_detail_code))+1
from ins_premium_det i),'20156','20156','02', '11000003','00','Request by Mr. Omair Ali 05-Nov-2024');</v>
      </c>
      <c r="H25" s="10" t="str">
        <f t="shared" si="3"/>
        <v>insert into ins_premium_det (premium_rcv_code,assorted_code, rec_amount,premium_rcv_detail_code,remaining_amt, payrec, mode_code,coinsurance_code,class_cd,it_remarks) values('04Nov240291','050000758998','20156',(select max(to_number(i.premium_rcv_detail_code))+1
from ins_premium_det i),'20156','20156','02', '11000003','00','Request by Mr. Omair Ali 05-Nov-2024');</v>
      </c>
    </row>
    <row r="26" spans="1:8" ht="90" x14ac:dyDescent="0.25">
      <c r="A26" t="s">
        <v>26</v>
      </c>
      <c r="B26" s="6" t="str">
        <f>VLOOKUP(A26,policy!B:C,2,0)</f>
        <v>050000759541</v>
      </c>
      <c r="C26" s="1">
        <v>2648</v>
      </c>
      <c r="D26" s="7">
        <f t="shared" si="1"/>
        <v>2648</v>
      </c>
      <c r="E26" s="5" t="s">
        <v>170</v>
      </c>
      <c r="F26" s="8" t="str">
        <f t="shared" si="0"/>
        <v>insert into ins_premium_det (premium_rcv_code,assorted_code, rec_amount,premium_rcv_detail_code,remaining_amt, payrec, mode_code,coinsurance_code,class_cd,it_remarks) values</v>
      </c>
      <c r="G26" s="9" t="str">
        <f t="shared" si="2"/>
        <v>('04Nov240291','050000759541','2648',(select max(to_number(i.premium_rcv_detail_code))+1
from ins_premium_det i),'2648','2648','02', '11000003','00','Request by Mr. Omair Ali 05-Nov-2024');</v>
      </c>
      <c r="H26" s="10" t="str">
        <f t="shared" si="3"/>
        <v>insert into ins_premium_det (premium_rcv_code,assorted_code, rec_amount,premium_rcv_detail_code,remaining_amt, payrec, mode_code,coinsurance_code,class_cd,it_remarks) values('04Nov240291','050000759541','2648',(select max(to_number(i.premium_rcv_detail_code))+1
from ins_premium_det i),'2648','2648','02', '11000003','00','Request by Mr. Omair Ali 05-Nov-2024');</v>
      </c>
    </row>
    <row r="27" spans="1:8" ht="105" x14ac:dyDescent="0.25">
      <c r="A27" t="s">
        <v>27</v>
      </c>
      <c r="B27" s="6" t="str">
        <f>VLOOKUP(A27,policy!B:C,2,0)</f>
        <v>050000759609</v>
      </c>
      <c r="C27" s="1">
        <v>30812</v>
      </c>
      <c r="D27" s="7">
        <f t="shared" si="1"/>
        <v>30812</v>
      </c>
      <c r="E27" s="5" t="s">
        <v>170</v>
      </c>
      <c r="F27" s="8" t="str">
        <f t="shared" si="0"/>
        <v>insert into ins_premium_det (premium_rcv_code,assorted_code, rec_amount,premium_rcv_detail_code,remaining_amt, payrec, mode_code,coinsurance_code,class_cd,it_remarks) values</v>
      </c>
      <c r="G27" s="9" t="str">
        <f t="shared" si="2"/>
        <v>('04Nov240291','050000759609','30812',(select max(to_number(i.premium_rcv_detail_code))+1
from ins_premium_det i),'30812','30812','02', '11000003','00','Request by Mr. Omair Ali 05-Nov-2024');</v>
      </c>
      <c r="H27" s="10" t="str">
        <f t="shared" si="3"/>
        <v>insert into ins_premium_det (premium_rcv_code,assorted_code, rec_amount,premium_rcv_detail_code,remaining_amt, payrec, mode_code,coinsurance_code,class_cd,it_remarks) values('04Nov240291','050000759609','30812',(select max(to_number(i.premium_rcv_detail_code))+1
from ins_premium_det i),'30812','30812','02', '11000003','00','Request by Mr. Omair Ali 05-Nov-2024');</v>
      </c>
    </row>
    <row r="28" spans="1:8" ht="90" x14ac:dyDescent="0.25">
      <c r="A28" t="s">
        <v>28</v>
      </c>
      <c r="B28" s="6" t="str">
        <f>VLOOKUP(A28,policy!B:C,2,0)</f>
        <v>050000759774</v>
      </c>
      <c r="C28" s="1">
        <v>4831</v>
      </c>
      <c r="D28" s="7">
        <f t="shared" si="1"/>
        <v>4831</v>
      </c>
      <c r="E28" s="5" t="s">
        <v>170</v>
      </c>
      <c r="F28" s="8" t="str">
        <f t="shared" si="0"/>
        <v>insert into ins_premium_det (premium_rcv_code,assorted_code, rec_amount,premium_rcv_detail_code,remaining_amt, payrec, mode_code,coinsurance_code,class_cd,it_remarks) values</v>
      </c>
      <c r="G28" s="9" t="str">
        <f t="shared" si="2"/>
        <v>('04Nov240291','050000759774','4831',(select max(to_number(i.premium_rcv_detail_code))+1
from ins_premium_det i),'4831','4831','02', '11000003','00','Request by Mr. Omair Ali 05-Nov-2024');</v>
      </c>
      <c r="H28" s="10" t="str">
        <f t="shared" si="3"/>
        <v>insert into ins_premium_det (premium_rcv_code,assorted_code, rec_amount,premium_rcv_detail_code,remaining_amt, payrec, mode_code,coinsurance_code,class_cd,it_remarks) values('04Nov240291','050000759774','4831',(select max(to_number(i.premium_rcv_detail_code))+1
from ins_premium_det i),'4831','4831','02', '11000003','00','Request by Mr. Omair Ali 05-Nov-2024');</v>
      </c>
    </row>
    <row r="29" spans="1:8" ht="90" x14ac:dyDescent="0.25">
      <c r="A29" t="s">
        <v>29</v>
      </c>
      <c r="B29" s="6" t="str">
        <f>VLOOKUP(A29,policy!B:C,2,0)</f>
        <v>050000759935</v>
      </c>
      <c r="C29" s="1">
        <v>-462844</v>
      </c>
      <c r="D29" s="7">
        <f t="shared" si="1"/>
        <v>-462844</v>
      </c>
      <c r="E29" s="5" t="s">
        <v>170</v>
      </c>
      <c r="F29" s="8" t="str">
        <f t="shared" si="0"/>
        <v>insert into ins_premium_det (premium_rcv_code,assorted_code, rec_amount,premium_rcv_detail_code,remaining_amt, payrec, mode_code,coinsurance_code,class_cd,it_remarks) values</v>
      </c>
      <c r="G29" s="9" t="str">
        <f t="shared" si="2"/>
        <v>('04Nov240291','050000759935','-462844',(select max(to_number(i.premium_rcv_detail_code))+1
from ins_premium_det i),'-462844','-462844','02', '11000003','00','Request by Mr. Omair Ali 05-Nov-2024');</v>
      </c>
      <c r="H29" s="10" t="str">
        <f t="shared" si="3"/>
        <v>insert into ins_premium_det (premium_rcv_code,assorted_code, rec_amount,premium_rcv_detail_code,remaining_amt, payrec, mode_code,coinsurance_code,class_cd,it_remarks) values('04Nov240291','050000759935','-462844',(select max(to_number(i.premium_rcv_detail_code))+1
from ins_premium_det i),'-462844','-462844','02', '11000003','00','Request by Mr. Omair Ali 05-Nov-2024');</v>
      </c>
    </row>
    <row r="30" spans="1:8" ht="105" x14ac:dyDescent="0.25">
      <c r="A30" t="s">
        <v>30</v>
      </c>
      <c r="B30" s="6" t="str">
        <f>VLOOKUP(A30,policy!B:C,2,0)</f>
        <v>050000760026</v>
      </c>
      <c r="C30" s="1">
        <v>608027</v>
      </c>
      <c r="D30" s="7">
        <f t="shared" si="1"/>
        <v>608027</v>
      </c>
      <c r="E30" s="5" t="s">
        <v>170</v>
      </c>
      <c r="F30" s="8" t="str">
        <f t="shared" si="0"/>
        <v>insert into ins_premium_det (premium_rcv_code,assorted_code, rec_amount,premium_rcv_detail_code,remaining_amt, payrec, mode_code,coinsurance_code,class_cd,it_remarks) values</v>
      </c>
      <c r="G30" s="9" t="str">
        <f t="shared" si="2"/>
        <v>('04Nov240291','050000760026','608027',(select max(to_number(i.premium_rcv_detail_code))+1
from ins_premium_det i),'608027','608027','02', '11000003','00','Request by Mr. Omair Ali 05-Nov-2024');</v>
      </c>
      <c r="H30" s="10" t="str">
        <f t="shared" si="3"/>
        <v>insert into ins_premium_det (premium_rcv_code,assorted_code, rec_amount,premium_rcv_detail_code,remaining_amt, payrec, mode_code,coinsurance_code,class_cd,it_remarks) values('04Nov240291','050000760026','608027',(select max(to_number(i.premium_rcv_detail_code))+1
from ins_premium_det i),'608027','608027','02', '11000003','00','Request by Mr. Omair Ali 05-Nov-2024');</v>
      </c>
    </row>
    <row r="31" spans="1:8" ht="105" x14ac:dyDescent="0.25">
      <c r="A31" t="s">
        <v>31</v>
      </c>
      <c r="B31" s="6" t="str">
        <f>VLOOKUP(A31,policy!B:C,2,0)</f>
        <v>050000760419</v>
      </c>
      <c r="C31" s="1">
        <v>41315</v>
      </c>
      <c r="D31" s="7">
        <f t="shared" si="1"/>
        <v>41315</v>
      </c>
      <c r="E31" s="5" t="s">
        <v>170</v>
      </c>
      <c r="F31" s="8" t="str">
        <f t="shared" si="0"/>
        <v>insert into ins_premium_det (premium_rcv_code,assorted_code, rec_amount,premium_rcv_detail_code,remaining_amt, payrec, mode_code,coinsurance_code,class_cd,it_remarks) values</v>
      </c>
      <c r="G31" s="9" t="str">
        <f t="shared" si="2"/>
        <v>('04Nov240291','050000760419','41315',(select max(to_number(i.premium_rcv_detail_code))+1
from ins_premium_det i),'41315','41315','02', '11000003','00','Request by Mr. Omair Ali 05-Nov-2024');</v>
      </c>
      <c r="H31" s="10" t="str">
        <f t="shared" si="3"/>
        <v>insert into ins_premium_det (premium_rcv_code,assorted_code, rec_amount,premium_rcv_detail_code,remaining_amt, payrec, mode_code,coinsurance_code,class_cd,it_remarks) values('04Nov240291','050000760419','41315',(select max(to_number(i.premium_rcv_detail_code))+1
from ins_premium_det i),'41315','41315','02', '11000003','00','Request by Mr. Omair Ali 05-Nov-2024');</v>
      </c>
    </row>
    <row r="32" spans="1:8" ht="105" x14ac:dyDescent="0.25">
      <c r="A32" t="s">
        <v>32</v>
      </c>
      <c r="B32" s="6" t="str">
        <f>VLOOKUP(A32,policy!B:C,2,0)</f>
        <v>050000761138</v>
      </c>
      <c r="C32" s="1">
        <v>71007</v>
      </c>
      <c r="D32" s="7">
        <f t="shared" si="1"/>
        <v>71007</v>
      </c>
      <c r="E32" s="5" t="s">
        <v>170</v>
      </c>
      <c r="F32" s="8" t="str">
        <f t="shared" si="0"/>
        <v>insert into ins_premium_det (premium_rcv_code,assorted_code, rec_amount,premium_rcv_detail_code,remaining_amt, payrec, mode_code,coinsurance_code,class_cd,it_remarks) values</v>
      </c>
      <c r="G32" s="9" t="str">
        <f t="shared" si="2"/>
        <v>('04Nov240291','050000761138','71007',(select max(to_number(i.premium_rcv_detail_code))+1
from ins_premium_det i),'71007','71007','02', '11000003','00','Request by Mr. Omair Ali 05-Nov-2024');</v>
      </c>
      <c r="H32" s="10" t="str">
        <f t="shared" si="3"/>
        <v>insert into ins_premium_det (premium_rcv_code,assorted_code, rec_amount,premium_rcv_detail_code,remaining_amt, payrec, mode_code,coinsurance_code,class_cd,it_remarks) values('04Nov240291','050000761138','71007',(select max(to_number(i.premium_rcv_detail_code))+1
from ins_premium_det i),'71007','71007','02', '11000003','00','Request by Mr. Omair Ali 05-Nov-2024');</v>
      </c>
    </row>
    <row r="33" spans="1:8" ht="105" x14ac:dyDescent="0.25">
      <c r="A33" t="s">
        <v>33</v>
      </c>
      <c r="B33" s="6" t="str">
        <f>VLOOKUP(A33,policy!B:C,2,0)</f>
        <v>050000761402</v>
      </c>
      <c r="C33" s="1">
        <v>35397</v>
      </c>
      <c r="D33" s="7">
        <f t="shared" si="1"/>
        <v>35397</v>
      </c>
      <c r="E33" s="5" t="s">
        <v>170</v>
      </c>
      <c r="F33" s="8" t="str">
        <f t="shared" si="0"/>
        <v>insert into ins_premium_det (premium_rcv_code,assorted_code, rec_amount,premium_rcv_detail_code,remaining_amt, payrec, mode_code,coinsurance_code,class_cd,it_remarks) values</v>
      </c>
      <c r="G33" s="9" t="str">
        <f t="shared" si="2"/>
        <v>('04Nov240291','050000761402','35397',(select max(to_number(i.premium_rcv_detail_code))+1
from ins_premium_det i),'35397','35397','02', '11000003','00','Request by Mr. Omair Ali 05-Nov-2024');</v>
      </c>
      <c r="H33" s="10" t="str">
        <f t="shared" si="3"/>
        <v>insert into ins_premium_det (premium_rcv_code,assorted_code, rec_amount,premium_rcv_detail_code,remaining_amt, payrec, mode_code,coinsurance_code,class_cd,it_remarks) values('04Nov240291','050000761402','35397',(select max(to_number(i.premium_rcv_detail_code))+1
from ins_premium_det i),'35397','35397','02', '11000003','00','Request by Mr. Omair Ali 05-Nov-2024');</v>
      </c>
    </row>
    <row r="34" spans="1:8" ht="90" x14ac:dyDescent="0.25">
      <c r="A34" t="s">
        <v>34</v>
      </c>
      <c r="B34" s="6" t="str">
        <f>VLOOKUP(A34,policy!B:C,2,0)</f>
        <v>050000761661</v>
      </c>
      <c r="C34" s="1">
        <v>2983</v>
      </c>
      <c r="D34" s="7">
        <f t="shared" si="1"/>
        <v>2983</v>
      </c>
      <c r="E34" s="5" t="s">
        <v>170</v>
      </c>
      <c r="F34" s="8" t="str">
        <f t="shared" si="0"/>
        <v>insert into ins_premium_det (premium_rcv_code,assorted_code, rec_amount,premium_rcv_detail_code,remaining_amt, payrec, mode_code,coinsurance_code,class_cd,it_remarks) values</v>
      </c>
      <c r="G34" s="9" t="str">
        <f t="shared" si="2"/>
        <v>('04Nov240291','050000761661','2983',(select max(to_number(i.premium_rcv_detail_code))+1
from ins_premium_det i),'2983','2983','02', '11000003','00','Request by Mr. Omair Ali 05-Nov-2024');</v>
      </c>
      <c r="H34" s="10" t="str">
        <f t="shared" si="3"/>
        <v>insert into ins_premium_det (premium_rcv_code,assorted_code, rec_amount,premium_rcv_detail_code,remaining_amt, payrec, mode_code,coinsurance_code,class_cd,it_remarks) values('04Nov240291','050000761661','2983',(select max(to_number(i.premium_rcv_detail_code))+1
from ins_premium_det i),'2983','2983','02', '11000003','00','Request by Mr. Omair Ali 05-Nov-2024');</v>
      </c>
    </row>
    <row r="35" spans="1:8" ht="90" x14ac:dyDescent="0.25">
      <c r="A35" t="s">
        <v>35</v>
      </c>
      <c r="B35" s="6" t="str">
        <f>VLOOKUP(A35,policy!B:C,2,0)</f>
        <v>050000764461</v>
      </c>
      <c r="C35" s="1">
        <v>5024</v>
      </c>
      <c r="D35" s="7">
        <f t="shared" si="1"/>
        <v>5024</v>
      </c>
      <c r="E35" s="5" t="s">
        <v>170</v>
      </c>
      <c r="F35" s="8" t="str">
        <f t="shared" si="0"/>
        <v>insert into ins_premium_det (premium_rcv_code,assorted_code, rec_amount,premium_rcv_detail_code,remaining_amt, payrec, mode_code,coinsurance_code,class_cd,it_remarks) values</v>
      </c>
      <c r="G35" s="9" t="str">
        <f t="shared" si="2"/>
        <v>('04Nov240291','050000764461','5024',(select max(to_number(i.premium_rcv_detail_code))+1
from ins_premium_det i),'5024','5024','02', '11000003','00','Request by Mr. Omair Ali 05-Nov-2024');</v>
      </c>
      <c r="H35" s="10" t="str">
        <f t="shared" si="3"/>
        <v>insert into ins_premium_det (premium_rcv_code,assorted_code, rec_amount,premium_rcv_detail_code,remaining_amt, payrec, mode_code,coinsurance_code,class_cd,it_remarks) values('04Nov240291','050000764461','5024',(select max(to_number(i.premium_rcv_detail_code))+1
from ins_premium_det i),'5024','5024','02', '11000003','00','Request by Mr. Omair Ali 05-Nov-2024');</v>
      </c>
    </row>
    <row r="36" spans="1:8" ht="105" x14ac:dyDescent="0.25">
      <c r="A36" t="s">
        <v>36</v>
      </c>
      <c r="B36" s="6" t="str">
        <f>VLOOKUP(A36,policy!B:C,2,0)</f>
        <v>050000766629</v>
      </c>
      <c r="C36" s="1">
        <v>31098</v>
      </c>
      <c r="D36" s="7">
        <f t="shared" si="1"/>
        <v>31098</v>
      </c>
      <c r="E36" s="5" t="s">
        <v>170</v>
      </c>
      <c r="F36" s="8" t="str">
        <f t="shared" si="0"/>
        <v>insert into ins_premium_det (premium_rcv_code,assorted_code, rec_amount,premium_rcv_detail_code,remaining_amt, payrec, mode_code,coinsurance_code,class_cd,it_remarks) values</v>
      </c>
      <c r="G36" s="9" t="str">
        <f t="shared" si="2"/>
        <v>('04Nov240291','050000766629','31098',(select max(to_number(i.premium_rcv_detail_code))+1
from ins_premium_det i),'31098','31098','02', '11000003','00','Request by Mr. Omair Ali 05-Nov-2024');</v>
      </c>
      <c r="H36" s="10" t="str">
        <f t="shared" si="3"/>
        <v>insert into ins_premium_det (premium_rcv_code,assorted_code, rec_amount,premium_rcv_detail_code,remaining_amt, payrec, mode_code,coinsurance_code,class_cd,it_remarks) values('04Nov240291','050000766629','31098',(select max(to_number(i.premium_rcv_detail_code))+1
from ins_premium_det i),'31098','31098','02', '11000003','00','Request by Mr. Omair Ali 05-Nov-2024');</v>
      </c>
    </row>
    <row r="37" spans="1:8" ht="105" x14ac:dyDescent="0.25">
      <c r="A37" t="s">
        <v>37</v>
      </c>
      <c r="B37" s="6" t="str">
        <f>VLOOKUP(A37,policy!B:C,2,0)</f>
        <v>050000768071</v>
      </c>
      <c r="C37" s="1">
        <v>41261</v>
      </c>
      <c r="D37" s="7">
        <f t="shared" si="1"/>
        <v>41261</v>
      </c>
      <c r="E37" s="5" t="s">
        <v>170</v>
      </c>
      <c r="F37" s="8" t="str">
        <f t="shared" si="0"/>
        <v>insert into ins_premium_det (premium_rcv_code,assorted_code, rec_amount,premium_rcv_detail_code,remaining_amt, payrec, mode_code,coinsurance_code,class_cd,it_remarks) values</v>
      </c>
      <c r="G37" s="9" t="str">
        <f t="shared" si="2"/>
        <v>('04Nov240291','050000768071','41261',(select max(to_number(i.premium_rcv_detail_code))+1
from ins_premium_det i),'41261','41261','02', '11000003','00','Request by Mr. Omair Ali 05-Nov-2024');</v>
      </c>
      <c r="H37" s="10" t="str">
        <f t="shared" si="3"/>
        <v>insert into ins_premium_det (premium_rcv_code,assorted_code, rec_amount,premium_rcv_detail_code,remaining_amt, payrec, mode_code,coinsurance_code,class_cd,it_remarks) values('04Nov240291','050000768071','41261',(select max(to_number(i.premium_rcv_detail_code))+1
from ins_premium_det i),'41261','41261','02', '11000003','00','Request by Mr. Omair Ali 05-Nov-2024');</v>
      </c>
    </row>
    <row r="38" spans="1:8" ht="105" x14ac:dyDescent="0.25">
      <c r="A38" t="s">
        <v>38</v>
      </c>
      <c r="B38" s="6" t="str">
        <f>VLOOKUP(A38,policy!B:C,2,0)</f>
        <v>050000769611</v>
      </c>
      <c r="C38" s="1">
        <v>68080</v>
      </c>
      <c r="D38" s="7">
        <f t="shared" si="1"/>
        <v>68080</v>
      </c>
      <c r="E38" s="5" t="s">
        <v>170</v>
      </c>
      <c r="F38" s="8" t="str">
        <f t="shared" si="0"/>
        <v>insert into ins_premium_det (premium_rcv_code,assorted_code, rec_amount,premium_rcv_detail_code,remaining_amt, payrec, mode_code,coinsurance_code,class_cd,it_remarks) values</v>
      </c>
      <c r="G38" s="9" t="str">
        <f t="shared" si="2"/>
        <v>('04Nov240291','050000769611','68080',(select max(to_number(i.premium_rcv_detail_code))+1
from ins_premium_det i),'68080','68080','02', '11000003','00','Request by Mr. Omair Ali 05-Nov-2024');</v>
      </c>
      <c r="H38" s="10" t="str">
        <f t="shared" si="3"/>
        <v>insert into ins_premium_det (premium_rcv_code,assorted_code, rec_amount,premium_rcv_detail_code,remaining_amt, payrec, mode_code,coinsurance_code,class_cd,it_remarks) values('04Nov240291','050000769611','68080',(select max(to_number(i.premium_rcv_detail_code))+1
from ins_premium_det i),'68080','68080','02', '11000003','00','Request by Mr. Omair Ali 05-Nov-2024');</v>
      </c>
    </row>
    <row r="39" spans="1:8" ht="90" x14ac:dyDescent="0.25">
      <c r="A39" t="s">
        <v>39</v>
      </c>
      <c r="B39" s="6" t="str">
        <f>VLOOKUP(A39,policy!B:C,2,0)</f>
        <v>050000770468</v>
      </c>
      <c r="C39" s="1">
        <v>-1077962</v>
      </c>
      <c r="D39" s="7">
        <f t="shared" si="1"/>
        <v>-1077962</v>
      </c>
      <c r="E39" s="5" t="s">
        <v>170</v>
      </c>
      <c r="F39" s="8" t="str">
        <f t="shared" si="0"/>
        <v>insert into ins_premium_det (premium_rcv_code,assorted_code, rec_amount,premium_rcv_detail_code,remaining_amt, payrec, mode_code,coinsurance_code,class_cd,it_remarks) values</v>
      </c>
      <c r="G39" s="9" t="str">
        <f t="shared" si="2"/>
        <v>('04Nov240291','050000770468','-1077962',(select max(to_number(i.premium_rcv_detail_code))+1
from ins_premium_det i),'-1077962','-1077962','02', '11000003','00','Request by Mr. Omair Ali 05-Nov-2024');</v>
      </c>
      <c r="H39" s="10" t="str">
        <f t="shared" si="3"/>
        <v>insert into ins_premium_det (premium_rcv_code,assorted_code, rec_amount,premium_rcv_detail_code,remaining_amt, payrec, mode_code,coinsurance_code,class_cd,it_remarks) values('04Nov240291','050000770468','-1077962',(select max(to_number(i.premium_rcv_detail_code))+1
from ins_premium_det i),'-1077962','-1077962','02', '11000003','00','Request by Mr. Omair Ali 05-Nov-2024');</v>
      </c>
    </row>
    <row r="40" spans="1:8" ht="105" x14ac:dyDescent="0.25">
      <c r="A40" t="s">
        <v>40</v>
      </c>
      <c r="B40" s="6" t="str">
        <f>VLOOKUP(A40,policy!B:C,2,0)</f>
        <v>050000770604</v>
      </c>
      <c r="C40" s="1">
        <v>64909</v>
      </c>
      <c r="D40" s="7">
        <f t="shared" si="1"/>
        <v>64909</v>
      </c>
      <c r="E40" s="5" t="s">
        <v>170</v>
      </c>
      <c r="F40" s="8" t="str">
        <f t="shared" si="0"/>
        <v>insert into ins_premium_det (premium_rcv_code,assorted_code, rec_amount,premium_rcv_detail_code,remaining_amt, payrec, mode_code,coinsurance_code,class_cd,it_remarks) values</v>
      </c>
      <c r="G40" s="9" t="str">
        <f t="shared" si="2"/>
        <v>('04Nov240291','050000770604','64909',(select max(to_number(i.premium_rcv_detail_code))+1
from ins_premium_det i),'64909','64909','02', '11000003','00','Request by Mr. Omair Ali 05-Nov-2024');</v>
      </c>
      <c r="H40" s="10" t="str">
        <f t="shared" si="3"/>
        <v>insert into ins_premium_det (premium_rcv_code,assorted_code, rec_amount,premium_rcv_detail_code,remaining_amt, payrec, mode_code,coinsurance_code,class_cd,it_remarks) values('04Nov240291','050000770604','64909',(select max(to_number(i.premium_rcv_detail_code))+1
from ins_premium_det i),'64909','64909','02', '11000003','00','Request by Mr. Omair Ali 05-Nov-2024');</v>
      </c>
    </row>
    <row r="41" spans="1:8" ht="105" x14ac:dyDescent="0.25">
      <c r="A41" t="s">
        <v>41</v>
      </c>
      <c r="B41" s="6" t="str">
        <f>VLOOKUP(A41,policy!B:C,2,0)</f>
        <v>050000770829</v>
      </c>
      <c r="C41" s="1">
        <v>720455</v>
      </c>
      <c r="D41" s="7">
        <f t="shared" si="1"/>
        <v>720455</v>
      </c>
      <c r="E41" s="5" t="s">
        <v>170</v>
      </c>
      <c r="F41" s="8" t="str">
        <f t="shared" si="0"/>
        <v>insert into ins_premium_det (premium_rcv_code,assorted_code, rec_amount,premium_rcv_detail_code,remaining_amt, payrec, mode_code,coinsurance_code,class_cd,it_remarks) values</v>
      </c>
      <c r="G41" s="9" t="str">
        <f t="shared" si="2"/>
        <v>('04Nov240291','050000770829','720455',(select max(to_number(i.premium_rcv_detail_code))+1
from ins_premium_det i),'720455','720455','02', '11000003','00','Request by Mr. Omair Ali 05-Nov-2024');</v>
      </c>
      <c r="H41" s="10" t="str">
        <f t="shared" si="3"/>
        <v>insert into ins_premium_det (premium_rcv_code,assorted_code, rec_amount,premium_rcv_detail_code,remaining_amt, payrec, mode_code,coinsurance_code,class_cd,it_remarks) values('04Nov240291','050000770829','720455',(select max(to_number(i.premium_rcv_detail_code))+1
from ins_premium_det i),'720455','720455','02', '11000003','00','Request by Mr. Omair Ali 05-Nov-2024');</v>
      </c>
    </row>
    <row r="42" spans="1:8" ht="105" x14ac:dyDescent="0.25">
      <c r="A42" t="s">
        <v>42</v>
      </c>
      <c r="B42" s="6" t="str">
        <f>VLOOKUP(A42,policy!B:C,2,0)</f>
        <v>050000771184</v>
      </c>
      <c r="C42" s="1">
        <v>19821</v>
      </c>
      <c r="D42" s="7">
        <f t="shared" si="1"/>
        <v>19821</v>
      </c>
      <c r="E42" s="5" t="s">
        <v>170</v>
      </c>
      <c r="F42" s="8" t="str">
        <f t="shared" si="0"/>
        <v>insert into ins_premium_det (premium_rcv_code,assorted_code, rec_amount,premium_rcv_detail_code,remaining_amt, payrec, mode_code,coinsurance_code,class_cd,it_remarks) values</v>
      </c>
      <c r="G42" s="9" t="str">
        <f t="shared" si="2"/>
        <v>('04Nov240291','050000771184','19821',(select max(to_number(i.premium_rcv_detail_code))+1
from ins_premium_det i),'19821','19821','02', '11000003','00','Request by Mr. Omair Ali 05-Nov-2024');</v>
      </c>
      <c r="H42" s="10" t="str">
        <f t="shared" si="3"/>
        <v>insert into ins_premium_det (premium_rcv_code,assorted_code, rec_amount,premium_rcv_detail_code,remaining_amt, payrec, mode_code,coinsurance_code,class_cd,it_remarks) values('04Nov240291','050000771184','19821',(select max(to_number(i.premium_rcv_detail_code))+1
from ins_premium_det i),'19821','19821','02', '11000003','00','Request by Mr. Omair Ali 05-Nov-2024');</v>
      </c>
    </row>
    <row r="43" spans="1:8" ht="90" x14ac:dyDescent="0.25">
      <c r="A43" t="s">
        <v>43</v>
      </c>
      <c r="B43" s="6" t="str">
        <f>VLOOKUP(A43,policy!B:C,2,0)</f>
        <v>050000773851</v>
      </c>
      <c r="C43" s="1">
        <v>759</v>
      </c>
      <c r="D43" s="7">
        <f t="shared" si="1"/>
        <v>759</v>
      </c>
      <c r="E43" s="5" t="s">
        <v>170</v>
      </c>
      <c r="F43" s="8" t="str">
        <f t="shared" si="0"/>
        <v>insert into ins_premium_det (premium_rcv_code,assorted_code, rec_amount,premium_rcv_detail_code,remaining_amt, payrec, mode_code,coinsurance_code,class_cd,it_remarks) values</v>
      </c>
      <c r="G43" s="9" t="str">
        <f t="shared" si="2"/>
        <v>('04Nov240291','050000773851','759',(select max(to_number(i.premium_rcv_detail_code))+1
from ins_premium_det i),'759','759','02', '11000003','00','Request by Mr. Omair Ali 05-Nov-2024');</v>
      </c>
      <c r="H43" s="10" t="str">
        <f t="shared" si="3"/>
        <v>insert into ins_premium_det (premium_rcv_code,assorted_code, rec_amount,premium_rcv_detail_code,remaining_amt, payrec, mode_code,coinsurance_code,class_cd,it_remarks) values('04Nov240291','050000773851','759',(select max(to_number(i.premium_rcv_detail_code))+1
from ins_premium_det i),'759','759','02', '11000003','00','Request by Mr. Omair Ali 05-Nov-2024');</v>
      </c>
    </row>
    <row r="44" spans="1:8" ht="105" x14ac:dyDescent="0.25">
      <c r="A44" t="s">
        <v>44</v>
      </c>
      <c r="B44" s="6" t="str">
        <f>VLOOKUP(A44,policy!B:C,2,0)</f>
        <v>050000776463</v>
      </c>
      <c r="C44" s="1">
        <v>26760</v>
      </c>
      <c r="D44" s="7">
        <f t="shared" si="1"/>
        <v>26760</v>
      </c>
      <c r="E44" s="5" t="s">
        <v>170</v>
      </c>
      <c r="F44" s="8" t="str">
        <f t="shared" si="0"/>
        <v>insert into ins_premium_det (premium_rcv_code,assorted_code, rec_amount,premium_rcv_detail_code,remaining_amt, payrec, mode_code,coinsurance_code,class_cd,it_remarks) values</v>
      </c>
      <c r="G44" s="9" t="str">
        <f t="shared" si="2"/>
        <v>('04Nov240291','050000776463','26760',(select max(to_number(i.premium_rcv_detail_code))+1
from ins_premium_det i),'26760','26760','02', '11000003','00','Request by Mr. Omair Ali 05-Nov-2024');</v>
      </c>
      <c r="H44" s="10" t="str">
        <f t="shared" si="3"/>
        <v>insert into ins_premium_det (premium_rcv_code,assorted_code, rec_amount,premium_rcv_detail_code,remaining_amt, payrec, mode_code,coinsurance_code,class_cd,it_remarks) values('04Nov240291','050000776463','26760',(select max(to_number(i.premium_rcv_detail_code))+1
from ins_premium_det i),'26760','26760','02', '11000003','00','Request by Mr. Omair Ali 05-Nov-2024');</v>
      </c>
    </row>
    <row r="45" spans="1:8" ht="105" x14ac:dyDescent="0.25">
      <c r="A45" t="s">
        <v>45</v>
      </c>
      <c r="B45" s="6" t="str">
        <f>VLOOKUP(A45,policy!B:C,2,0)</f>
        <v>050000777730</v>
      </c>
      <c r="C45" s="1">
        <v>49729</v>
      </c>
      <c r="D45" s="7">
        <f t="shared" si="1"/>
        <v>49729</v>
      </c>
      <c r="E45" s="5" t="s">
        <v>170</v>
      </c>
      <c r="F45" s="8" t="str">
        <f t="shared" si="0"/>
        <v>insert into ins_premium_det (premium_rcv_code,assorted_code, rec_amount,premium_rcv_detail_code,remaining_amt, payrec, mode_code,coinsurance_code,class_cd,it_remarks) values</v>
      </c>
      <c r="G45" s="9" t="str">
        <f t="shared" si="2"/>
        <v>('04Nov240291','050000777730','49729',(select max(to_number(i.premium_rcv_detail_code))+1
from ins_premium_det i),'49729','49729','02', '11000003','00','Request by Mr. Omair Ali 05-Nov-2024');</v>
      </c>
      <c r="H45" s="10" t="str">
        <f t="shared" si="3"/>
        <v>insert into ins_premium_det (premium_rcv_code,assorted_code, rec_amount,premium_rcv_detail_code,remaining_amt, payrec, mode_code,coinsurance_code,class_cd,it_remarks) values('04Nov240291','050000777730','49729',(select max(to_number(i.premium_rcv_detail_code))+1
from ins_premium_det i),'49729','49729','02', '11000003','00','Request by Mr. Omair Ali 05-Nov-2024');</v>
      </c>
    </row>
    <row r="46" spans="1:8" ht="90" x14ac:dyDescent="0.25">
      <c r="A46" t="s">
        <v>46</v>
      </c>
      <c r="B46" s="6" t="str">
        <f>VLOOKUP(A46,policy!B:C,2,0)</f>
        <v>050000778114</v>
      </c>
      <c r="C46" s="1">
        <v>-12575</v>
      </c>
      <c r="D46" s="7">
        <f t="shared" si="1"/>
        <v>-12575</v>
      </c>
      <c r="E46" s="5" t="s">
        <v>170</v>
      </c>
      <c r="F46" s="8" t="str">
        <f t="shared" si="0"/>
        <v>insert into ins_premium_det (premium_rcv_code,assorted_code, rec_amount,premium_rcv_detail_code,remaining_amt, payrec, mode_code,coinsurance_code,class_cd,it_remarks) values</v>
      </c>
      <c r="G46" s="9" t="str">
        <f t="shared" si="2"/>
        <v>('04Nov240291','050000778114','-12575',(select max(to_number(i.premium_rcv_detail_code))+1
from ins_premium_det i),'-12575','-12575','02', '11000003','00','Request by Mr. Omair Ali 05-Nov-2024');</v>
      </c>
      <c r="H46" s="10" t="str">
        <f t="shared" si="3"/>
        <v>insert into ins_premium_det (premium_rcv_code,assorted_code, rec_amount,premium_rcv_detail_code,remaining_amt, payrec, mode_code,coinsurance_code,class_cd,it_remarks) values('04Nov240291','050000778114','-12575',(select max(to_number(i.premium_rcv_detail_code))+1
from ins_premium_det i),'-12575','-12575','02', '11000003','00','Request by Mr. Omair Ali 05-Nov-2024');</v>
      </c>
    </row>
    <row r="47" spans="1:8" ht="90" x14ac:dyDescent="0.25">
      <c r="A47" t="s">
        <v>47</v>
      </c>
      <c r="B47" s="6" t="str">
        <f>VLOOKUP(A47,policy!B:C,2,0)</f>
        <v>050000778743</v>
      </c>
      <c r="C47" s="1">
        <v>1569</v>
      </c>
      <c r="D47" s="7">
        <f t="shared" si="1"/>
        <v>1569</v>
      </c>
      <c r="E47" s="5" t="s">
        <v>170</v>
      </c>
      <c r="F47" s="8" t="str">
        <f t="shared" si="0"/>
        <v>insert into ins_premium_det (premium_rcv_code,assorted_code, rec_amount,premium_rcv_detail_code,remaining_amt, payrec, mode_code,coinsurance_code,class_cd,it_remarks) values</v>
      </c>
      <c r="G47" s="9" t="str">
        <f t="shared" si="2"/>
        <v>('04Nov240291','050000778743','1569',(select max(to_number(i.premium_rcv_detail_code))+1
from ins_premium_det i),'1569','1569','02', '11000003','00','Request by Mr. Omair Ali 05-Nov-2024');</v>
      </c>
      <c r="H47" s="10" t="str">
        <f t="shared" si="3"/>
        <v>insert into ins_premium_det (premium_rcv_code,assorted_code, rec_amount,premium_rcv_detail_code,remaining_amt, payrec, mode_code,coinsurance_code,class_cd,it_remarks) values('04Nov240291','050000778743','1569',(select max(to_number(i.premium_rcv_detail_code))+1
from ins_premium_det i),'1569','1569','02', '11000003','00','Request by Mr. Omair Ali 05-Nov-2024');</v>
      </c>
    </row>
    <row r="48" spans="1:8" ht="105" x14ac:dyDescent="0.25">
      <c r="A48" t="s">
        <v>48</v>
      </c>
      <c r="B48" s="6" t="str">
        <f>VLOOKUP(A48,policy!B:C,2,0)</f>
        <v>050000778931</v>
      </c>
      <c r="C48" s="1">
        <v>56398</v>
      </c>
      <c r="D48" s="7">
        <f t="shared" si="1"/>
        <v>56398</v>
      </c>
      <c r="E48" s="5" t="s">
        <v>170</v>
      </c>
      <c r="F48" s="8" t="str">
        <f t="shared" si="0"/>
        <v>insert into ins_premium_det (premium_rcv_code,assorted_code, rec_amount,premium_rcv_detail_code,remaining_amt, payrec, mode_code,coinsurance_code,class_cd,it_remarks) values</v>
      </c>
      <c r="G48" s="9" t="str">
        <f t="shared" si="2"/>
        <v>('04Nov240291','050000778931','56398',(select max(to_number(i.premium_rcv_detail_code))+1
from ins_premium_det i),'56398','56398','02', '11000003','00','Request by Mr. Omair Ali 05-Nov-2024');</v>
      </c>
      <c r="H48" s="10" t="str">
        <f t="shared" si="3"/>
        <v>insert into ins_premium_det (premium_rcv_code,assorted_code, rec_amount,premium_rcv_detail_code,remaining_amt, payrec, mode_code,coinsurance_code,class_cd,it_remarks) values('04Nov240291','050000778931','56398',(select max(to_number(i.premium_rcv_detail_code))+1
from ins_premium_det i),'56398','56398','02', '11000003','00','Request by Mr. Omair Ali 05-Nov-2024');</v>
      </c>
    </row>
    <row r="49" spans="1:8" ht="90" x14ac:dyDescent="0.25">
      <c r="A49" t="s">
        <v>49</v>
      </c>
      <c r="B49" s="6" t="str">
        <f>VLOOKUP(A49,policy!B:C,2,0)</f>
        <v>050000779111</v>
      </c>
      <c r="C49" s="1">
        <v>1648</v>
      </c>
      <c r="D49" s="7">
        <f t="shared" si="1"/>
        <v>1648</v>
      </c>
      <c r="E49" s="5" t="s">
        <v>170</v>
      </c>
      <c r="F49" s="8" t="str">
        <f t="shared" si="0"/>
        <v>insert into ins_premium_det (premium_rcv_code,assorted_code, rec_amount,premium_rcv_detail_code,remaining_amt, payrec, mode_code,coinsurance_code,class_cd,it_remarks) values</v>
      </c>
      <c r="G49" s="9" t="str">
        <f t="shared" si="2"/>
        <v>('04Nov240291','050000779111','1648',(select max(to_number(i.premium_rcv_detail_code))+1
from ins_premium_det i),'1648','1648','02', '11000003','00','Request by Mr. Omair Ali 05-Nov-2024');</v>
      </c>
      <c r="H49" s="10" t="str">
        <f t="shared" si="3"/>
        <v>insert into ins_premium_det (premium_rcv_code,assorted_code, rec_amount,premium_rcv_detail_code,remaining_amt, payrec, mode_code,coinsurance_code,class_cd,it_remarks) values('04Nov240291','050000779111','1648',(select max(to_number(i.premium_rcv_detail_code))+1
from ins_premium_det i),'1648','1648','02', '11000003','00','Request by Mr. Omair Ali 05-Nov-2024');</v>
      </c>
    </row>
    <row r="50" spans="1:8" ht="105" x14ac:dyDescent="0.25">
      <c r="A50" t="s">
        <v>50</v>
      </c>
      <c r="B50" s="6" t="str">
        <f>VLOOKUP(A50,policy!B:C,2,0)</f>
        <v>050000779256</v>
      </c>
      <c r="C50" s="1">
        <v>11719</v>
      </c>
      <c r="D50" s="7">
        <f t="shared" si="1"/>
        <v>11719</v>
      </c>
      <c r="E50" s="5" t="s">
        <v>170</v>
      </c>
      <c r="F50" s="8" t="str">
        <f t="shared" si="0"/>
        <v>insert into ins_premium_det (premium_rcv_code,assorted_code, rec_amount,premium_rcv_detail_code,remaining_amt, payrec, mode_code,coinsurance_code,class_cd,it_remarks) values</v>
      </c>
      <c r="G50" s="9" t="str">
        <f t="shared" si="2"/>
        <v>('04Nov240291','050000779256','11719',(select max(to_number(i.premium_rcv_detail_code))+1
from ins_premium_det i),'11719','11719','02', '11000003','00','Request by Mr. Omair Ali 05-Nov-2024');</v>
      </c>
      <c r="H50" s="10" t="str">
        <f t="shared" si="3"/>
        <v>insert into ins_premium_det (premium_rcv_code,assorted_code, rec_amount,premium_rcv_detail_code,remaining_amt, payrec, mode_code,coinsurance_code,class_cd,it_remarks) values('04Nov240291','050000779256','11719',(select max(to_number(i.premium_rcv_detail_code))+1
from ins_premium_det i),'11719','11719','02', '11000003','00','Request by Mr. Omair Ali 05-Nov-2024');</v>
      </c>
    </row>
    <row r="51" spans="1:8" ht="90" x14ac:dyDescent="0.25">
      <c r="A51" t="s">
        <v>51</v>
      </c>
      <c r="B51" s="6" t="str">
        <f>VLOOKUP(A51,policy!B:C,2,0)</f>
        <v>050000779259</v>
      </c>
      <c r="C51" s="1">
        <v>-640295</v>
      </c>
      <c r="D51" s="7">
        <f t="shared" si="1"/>
        <v>-640295</v>
      </c>
      <c r="E51" s="5" t="s">
        <v>170</v>
      </c>
      <c r="F51" s="8" t="str">
        <f t="shared" si="0"/>
        <v>insert into ins_premium_det (premium_rcv_code,assorted_code, rec_amount,premium_rcv_detail_code,remaining_amt, payrec, mode_code,coinsurance_code,class_cd,it_remarks) values</v>
      </c>
      <c r="G51" s="9" t="str">
        <f t="shared" si="2"/>
        <v>('04Nov240291','050000779259','-640295',(select max(to_number(i.premium_rcv_detail_code))+1
from ins_premium_det i),'-640295','-640295','02', '11000003','00','Request by Mr. Omair Ali 05-Nov-2024');</v>
      </c>
      <c r="H51" s="10" t="str">
        <f t="shared" si="3"/>
        <v>insert into ins_premium_det (premium_rcv_code,assorted_code, rec_amount,premium_rcv_detail_code,remaining_amt, payrec, mode_code,coinsurance_code,class_cd,it_remarks) values('04Nov240291','050000779259','-640295',(select max(to_number(i.premium_rcv_detail_code))+1
from ins_premium_det i),'-640295','-640295','02', '11000003','00','Request by Mr. Omair Ali 05-Nov-2024');</v>
      </c>
    </row>
    <row r="52" spans="1:8" ht="90" x14ac:dyDescent="0.25">
      <c r="A52" t="s">
        <v>52</v>
      </c>
      <c r="B52" s="6" t="str">
        <f>VLOOKUP(A52,policy!B:C,2,0)</f>
        <v>050000781452</v>
      </c>
      <c r="C52" s="1">
        <v>-601865</v>
      </c>
      <c r="D52" s="7">
        <f t="shared" si="1"/>
        <v>-601865</v>
      </c>
      <c r="E52" s="5" t="s">
        <v>170</v>
      </c>
      <c r="F52" s="8" t="str">
        <f t="shared" si="0"/>
        <v>insert into ins_premium_det (premium_rcv_code,assorted_code, rec_amount,premium_rcv_detail_code,remaining_amt, payrec, mode_code,coinsurance_code,class_cd,it_remarks) values</v>
      </c>
      <c r="G52" s="9" t="str">
        <f t="shared" si="2"/>
        <v>('04Nov240291','050000781452','-601865',(select max(to_number(i.premium_rcv_detail_code))+1
from ins_premium_det i),'-601865','-601865','02', '11000003','00','Request by Mr. Omair Ali 05-Nov-2024');</v>
      </c>
      <c r="H52" s="10" t="str">
        <f t="shared" si="3"/>
        <v>insert into ins_premium_det (premium_rcv_code,assorted_code, rec_amount,premium_rcv_detail_code,remaining_amt, payrec, mode_code,coinsurance_code,class_cd,it_remarks) values('04Nov240291','050000781452','-601865',(select max(to_number(i.premium_rcv_detail_code))+1
from ins_premium_det i),'-601865','-601865','02', '11000003','00','Request by Mr. Omair Ali 05-Nov-2024');</v>
      </c>
    </row>
    <row r="53" spans="1:8" ht="105" x14ac:dyDescent="0.25">
      <c r="A53" t="s">
        <v>53</v>
      </c>
      <c r="B53" s="6" t="str">
        <f>VLOOKUP(A53,policy!B:C,2,0)</f>
        <v>050000781779</v>
      </c>
      <c r="C53" s="1">
        <v>727281</v>
      </c>
      <c r="D53" s="7">
        <f t="shared" si="1"/>
        <v>727281</v>
      </c>
      <c r="E53" s="5" t="s">
        <v>170</v>
      </c>
      <c r="F53" s="8" t="str">
        <f t="shared" si="0"/>
        <v>insert into ins_premium_det (premium_rcv_code,assorted_code, rec_amount,premium_rcv_detail_code,remaining_amt, payrec, mode_code,coinsurance_code,class_cd,it_remarks) values</v>
      </c>
      <c r="G53" s="9" t="str">
        <f t="shared" si="2"/>
        <v>('04Nov240291','050000781779','727281',(select max(to_number(i.premium_rcv_detail_code))+1
from ins_premium_det i),'727281','727281','02', '11000003','00','Request by Mr. Omair Ali 05-Nov-2024');</v>
      </c>
      <c r="H53" s="10" t="str">
        <f t="shared" si="3"/>
        <v>insert into ins_premium_det (premium_rcv_code,assorted_code, rec_amount,premium_rcv_detail_code,remaining_amt, payrec, mode_code,coinsurance_code,class_cd,it_remarks) values('04Nov240291','050000781779','727281',(select max(to_number(i.premium_rcv_detail_code))+1
from ins_premium_det i),'727281','727281','02', '11000003','00','Request by Mr. Omair Ali 05-Nov-2024');</v>
      </c>
    </row>
    <row r="54" spans="1:8" ht="105" x14ac:dyDescent="0.25">
      <c r="A54" t="s">
        <v>54</v>
      </c>
      <c r="B54" s="6" t="str">
        <f>VLOOKUP(A54,policy!B:C,2,0)</f>
        <v>050000785785</v>
      </c>
      <c r="C54" s="1">
        <v>76293</v>
      </c>
      <c r="D54" s="7">
        <f t="shared" si="1"/>
        <v>76293</v>
      </c>
      <c r="E54" s="5" t="s">
        <v>170</v>
      </c>
      <c r="F54" s="8" t="str">
        <f t="shared" si="0"/>
        <v>insert into ins_premium_det (premium_rcv_code,assorted_code, rec_amount,premium_rcv_detail_code,remaining_amt, payrec, mode_code,coinsurance_code,class_cd,it_remarks) values</v>
      </c>
      <c r="G54" s="9" t="str">
        <f t="shared" si="2"/>
        <v>('04Nov240291','050000785785','76293',(select max(to_number(i.premium_rcv_detail_code))+1
from ins_premium_det i),'76293','76293','02', '11000003','00','Request by Mr. Omair Ali 05-Nov-2024');</v>
      </c>
      <c r="H54" s="10" t="str">
        <f t="shared" si="3"/>
        <v>insert into ins_premium_det (premium_rcv_code,assorted_code, rec_amount,premium_rcv_detail_code,remaining_amt, payrec, mode_code,coinsurance_code,class_cd,it_remarks) values('04Nov240291','050000785785','76293',(select max(to_number(i.premium_rcv_detail_code))+1
from ins_premium_det i),'76293','76293','02', '11000003','00','Request by Mr. Omair Ali 05-Nov-2024');</v>
      </c>
    </row>
    <row r="55" spans="1:8" ht="90" x14ac:dyDescent="0.25">
      <c r="A55" t="s">
        <v>55</v>
      </c>
      <c r="B55" s="6" t="str">
        <f>VLOOKUP(A55,policy!B:C,2,0)</f>
        <v>050000785787</v>
      </c>
      <c r="C55" s="1">
        <v>-4483</v>
      </c>
      <c r="D55" s="7">
        <f t="shared" si="1"/>
        <v>-4483</v>
      </c>
      <c r="E55" s="5" t="s">
        <v>170</v>
      </c>
      <c r="F55" s="8" t="str">
        <f t="shared" si="0"/>
        <v>insert into ins_premium_det (premium_rcv_code,assorted_code, rec_amount,premium_rcv_detail_code,remaining_amt, payrec, mode_code,coinsurance_code,class_cd,it_remarks) values</v>
      </c>
      <c r="G55" s="9" t="str">
        <f t="shared" si="2"/>
        <v>('04Nov240291','050000785787','-4483',(select max(to_number(i.premium_rcv_detail_code))+1
from ins_premium_det i),'-4483','-4483','02', '11000003','00','Request by Mr. Omair Ali 05-Nov-2024');</v>
      </c>
      <c r="H55" s="10" t="str">
        <f t="shared" si="3"/>
        <v>insert into ins_premium_det (premium_rcv_code,assorted_code, rec_amount,premium_rcv_detail_code,remaining_amt, payrec, mode_code,coinsurance_code,class_cd,it_remarks) values('04Nov240291','050000785787','-4483',(select max(to_number(i.premium_rcv_detail_code))+1
from ins_premium_det i),'-4483','-4483','02', '11000003','00','Request by Mr. Omair Ali 05-Nov-2024');</v>
      </c>
    </row>
    <row r="56" spans="1:8" ht="105" x14ac:dyDescent="0.25">
      <c r="A56" t="s">
        <v>56</v>
      </c>
      <c r="B56" s="6" t="str">
        <f>VLOOKUP(A56,policy!B:C,2,0)</f>
        <v>050000786194</v>
      </c>
      <c r="C56" s="1">
        <v>40485</v>
      </c>
      <c r="D56" s="7">
        <f t="shared" si="1"/>
        <v>40485</v>
      </c>
      <c r="E56" s="5" t="s">
        <v>170</v>
      </c>
      <c r="F56" s="8" t="str">
        <f t="shared" si="0"/>
        <v>insert into ins_premium_det (premium_rcv_code,assorted_code, rec_amount,premium_rcv_detail_code,remaining_amt, payrec, mode_code,coinsurance_code,class_cd,it_remarks) values</v>
      </c>
      <c r="G56" s="9" t="str">
        <f t="shared" si="2"/>
        <v>('04Nov240291','050000786194','40485',(select max(to_number(i.premium_rcv_detail_code))+1
from ins_premium_det i),'40485','40485','02', '11000003','00','Request by Mr. Omair Ali 05-Nov-2024');</v>
      </c>
      <c r="H56" s="10" t="str">
        <f t="shared" si="3"/>
        <v>insert into ins_premium_det (premium_rcv_code,assorted_code, rec_amount,premium_rcv_detail_code,remaining_amt, payrec, mode_code,coinsurance_code,class_cd,it_remarks) values('04Nov240291','050000786194','40485',(select max(to_number(i.premium_rcv_detail_code))+1
from ins_premium_det i),'40485','40485','02', '11000003','00','Request by Mr. Omair Ali 05-Nov-2024');</v>
      </c>
    </row>
    <row r="57" spans="1:8" ht="90" x14ac:dyDescent="0.25">
      <c r="A57" t="s">
        <v>57</v>
      </c>
      <c r="B57" s="6" t="str">
        <f>VLOOKUP(A57,policy!B:C,2,0)</f>
        <v>050000786196</v>
      </c>
      <c r="C57" s="1">
        <v>-14487</v>
      </c>
      <c r="D57" s="7">
        <f t="shared" si="1"/>
        <v>-14487</v>
      </c>
      <c r="E57" s="5" t="s">
        <v>170</v>
      </c>
      <c r="F57" s="8" t="str">
        <f t="shared" si="0"/>
        <v>insert into ins_premium_det (premium_rcv_code,assorted_code, rec_amount,premium_rcv_detail_code,remaining_amt, payrec, mode_code,coinsurance_code,class_cd,it_remarks) values</v>
      </c>
      <c r="G57" s="9" t="str">
        <f t="shared" si="2"/>
        <v>('04Nov240291','050000786196','-14487',(select max(to_number(i.premium_rcv_detail_code))+1
from ins_premium_det i),'-14487','-14487','02', '11000003','00','Request by Mr. Omair Ali 05-Nov-2024');</v>
      </c>
      <c r="H57" s="10" t="str">
        <f t="shared" si="3"/>
        <v>insert into ins_premium_det (premium_rcv_code,assorted_code, rec_amount,premium_rcv_detail_code,remaining_amt, payrec, mode_code,coinsurance_code,class_cd,it_remarks) values('04Nov240291','050000786196','-14487',(select max(to_number(i.premium_rcv_detail_code))+1
from ins_premium_det i),'-14487','-14487','02', '11000003','00','Request by Mr. Omair Ali 05-Nov-2024');</v>
      </c>
    </row>
    <row r="58" spans="1:8" ht="105" x14ac:dyDescent="0.25">
      <c r="A58" t="s">
        <v>58</v>
      </c>
      <c r="B58" s="6" t="str">
        <f>VLOOKUP(A58,policy!B:C,2,0)</f>
        <v>050000786437</v>
      </c>
      <c r="C58" s="1">
        <v>217561</v>
      </c>
      <c r="D58" s="7">
        <f t="shared" si="1"/>
        <v>217561</v>
      </c>
      <c r="E58" s="5" t="s">
        <v>170</v>
      </c>
      <c r="F58" s="8" t="str">
        <f t="shared" si="0"/>
        <v>insert into ins_premium_det (premium_rcv_code,assorted_code, rec_amount,premium_rcv_detail_code,remaining_amt, payrec, mode_code,coinsurance_code,class_cd,it_remarks) values</v>
      </c>
      <c r="G58" s="9" t="str">
        <f t="shared" si="2"/>
        <v>('04Nov240291','050000786437','217561',(select max(to_number(i.premium_rcv_detail_code))+1
from ins_premium_det i),'217561','217561','02', '11000003','00','Request by Mr. Omair Ali 05-Nov-2024');</v>
      </c>
      <c r="H58" s="10" t="str">
        <f t="shared" si="3"/>
        <v>insert into ins_premium_det (premium_rcv_code,assorted_code, rec_amount,premium_rcv_detail_code,remaining_amt, payrec, mode_code,coinsurance_code,class_cd,it_remarks) values('04Nov240291','050000786437','217561',(select max(to_number(i.premium_rcv_detail_code))+1
from ins_premium_det i),'217561','217561','02', '11000003','00','Request by Mr. Omair Ali 05-Nov-2024');</v>
      </c>
    </row>
    <row r="59" spans="1:8" ht="105" x14ac:dyDescent="0.25">
      <c r="A59" t="s">
        <v>59</v>
      </c>
      <c r="B59" s="6" t="str">
        <f>VLOOKUP(A59,policy!B:C,2,0)</f>
        <v>050000787805</v>
      </c>
      <c r="C59" s="1">
        <v>31145</v>
      </c>
      <c r="D59" s="7">
        <f t="shared" si="1"/>
        <v>31145</v>
      </c>
      <c r="E59" s="5" t="s">
        <v>170</v>
      </c>
      <c r="F59" s="8" t="str">
        <f t="shared" si="0"/>
        <v>insert into ins_premium_det (premium_rcv_code,assorted_code, rec_amount,premium_rcv_detail_code,remaining_amt, payrec, mode_code,coinsurance_code,class_cd,it_remarks) values</v>
      </c>
      <c r="G59" s="9" t="str">
        <f t="shared" si="2"/>
        <v>('04Nov240291','050000787805','31145',(select max(to_number(i.premium_rcv_detail_code))+1
from ins_premium_det i),'31145','31145','02', '11000003','00','Request by Mr. Omair Ali 05-Nov-2024');</v>
      </c>
      <c r="H59" s="10" t="str">
        <f t="shared" si="3"/>
        <v>insert into ins_premium_det (premium_rcv_code,assorted_code, rec_amount,premium_rcv_detail_code,remaining_amt, payrec, mode_code,coinsurance_code,class_cd,it_remarks) values('04Nov240291','050000787805','31145',(select max(to_number(i.premium_rcv_detail_code))+1
from ins_premium_det i),'31145','31145','02', '11000003','00','Request by Mr. Omair Ali 05-Nov-2024');</v>
      </c>
    </row>
    <row r="60" spans="1:8" ht="90" x14ac:dyDescent="0.25">
      <c r="A60" t="s">
        <v>60</v>
      </c>
      <c r="B60" s="6" t="str">
        <f>VLOOKUP(A60,policy!B:C,2,0)</f>
        <v>050000788839</v>
      </c>
      <c r="C60" s="1">
        <v>1300</v>
      </c>
      <c r="D60" s="7">
        <f t="shared" si="1"/>
        <v>1300</v>
      </c>
      <c r="E60" s="5" t="s">
        <v>170</v>
      </c>
      <c r="F60" s="8" t="str">
        <f t="shared" si="0"/>
        <v>insert into ins_premium_det (premium_rcv_code,assorted_code, rec_amount,premium_rcv_detail_code,remaining_amt, payrec, mode_code,coinsurance_code,class_cd,it_remarks) values</v>
      </c>
      <c r="G60" s="9" t="str">
        <f t="shared" si="2"/>
        <v>('04Nov240291','050000788839','1300',(select max(to_number(i.premium_rcv_detail_code))+1
from ins_premium_det i),'1300','1300','02', '11000003','00','Request by Mr. Omair Ali 05-Nov-2024');</v>
      </c>
      <c r="H60" s="10" t="str">
        <f t="shared" si="3"/>
        <v>insert into ins_premium_det (premium_rcv_code,assorted_code, rec_amount,premium_rcv_detail_code,remaining_amt, payrec, mode_code,coinsurance_code,class_cd,it_remarks) values('04Nov240291','050000788839','1300',(select max(to_number(i.premium_rcv_detail_code))+1
from ins_premium_det i),'1300','1300','02', '11000003','00','Request by Mr. Omair Ali 05-Nov-2024');</v>
      </c>
    </row>
    <row r="61" spans="1:8" ht="90" x14ac:dyDescent="0.25">
      <c r="A61" t="s">
        <v>61</v>
      </c>
      <c r="B61" s="6" t="str">
        <f>VLOOKUP(A61,policy!B:C,2,0)</f>
        <v>050000789464</v>
      </c>
      <c r="C61" s="1">
        <v>6411</v>
      </c>
      <c r="D61" s="7">
        <f t="shared" si="1"/>
        <v>6411</v>
      </c>
      <c r="E61" s="5" t="s">
        <v>170</v>
      </c>
      <c r="F61" s="8" t="str">
        <f t="shared" si="0"/>
        <v>insert into ins_premium_det (premium_rcv_code,assorted_code, rec_amount,premium_rcv_detail_code,remaining_amt, payrec, mode_code,coinsurance_code,class_cd,it_remarks) values</v>
      </c>
      <c r="G61" s="9" t="str">
        <f t="shared" si="2"/>
        <v>('04Nov240291','050000789464','6411',(select max(to_number(i.premium_rcv_detail_code))+1
from ins_premium_det i),'6411','6411','02', '11000003','00','Request by Mr. Omair Ali 05-Nov-2024');</v>
      </c>
      <c r="H61" s="10" t="str">
        <f t="shared" si="3"/>
        <v>insert into ins_premium_det (premium_rcv_code,assorted_code, rec_amount,premium_rcv_detail_code,remaining_amt, payrec, mode_code,coinsurance_code,class_cd,it_remarks) values('04Nov240291','050000789464','6411',(select max(to_number(i.premium_rcv_detail_code))+1
from ins_premium_det i),'6411','6411','02', '11000003','00','Request by Mr. Omair Ali 05-Nov-2024');</v>
      </c>
    </row>
    <row r="62" spans="1:8" ht="105" x14ac:dyDescent="0.25">
      <c r="A62" t="s">
        <v>62</v>
      </c>
      <c r="B62" s="6" t="str">
        <f>VLOOKUP(A62,policy!B:C,2,0)</f>
        <v>050000789886</v>
      </c>
      <c r="C62" s="1">
        <v>13322</v>
      </c>
      <c r="D62" s="7">
        <f t="shared" si="1"/>
        <v>13322</v>
      </c>
      <c r="E62" s="5" t="s">
        <v>170</v>
      </c>
      <c r="F62" s="8" t="str">
        <f t="shared" si="0"/>
        <v>insert into ins_premium_det (premium_rcv_code,assorted_code, rec_amount,premium_rcv_detail_code,remaining_amt, payrec, mode_code,coinsurance_code,class_cd,it_remarks) values</v>
      </c>
      <c r="G62" s="9" t="str">
        <f t="shared" si="2"/>
        <v>('04Nov240291','050000789886','13322',(select max(to_number(i.premium_rcv_detail_code))+1
from ins_premium_det i),'13322','13322','02', '11000003','00','Request by Mr. Omair Ali 05-Nov-2024');</v>
      </c>
      <c r="H62" s="10" t="str">
        <f t="shared" si="3"/>
        <v>insert into ins_premium_det (premium_rcv_code,assorted_code, rec_amount,premium_rcv_detail_code,remaining_amt, payrec, mode_code,coinsurance_code,class_cd,it_remarks) values('04Nov240291','050000789886','13322',(select max(to_number(i.premium_rcv_detail_code))+1
from ins_premium_det i),'13322','13322','02', '11000003','00','Request by Mr. Omair Ali 05-Nov-2024');</v>
      </c>
    </row>
    <row r="63" spans="1:8" ht="90" x14ac:dyDescent="0.25">
      <c r="A63" t="s">
        <v>63</v>
      </c>
      <c r="B63" s="6" t="str">
        <f>VLOOKUP(A63,policy!B:C,2,0)</f>
        <v>050000790035</v>
      </c>
      <c r="C63" s="1">
        <v>7479</v>
      </c>
      <c r="D63" s="7">
        <f t="shared" si="1"/>
        <v>7479</v>
      </c>
      <c r="E63" s="5" t="s">
        <v>170</v>
      </c>
      <c r="F63" s="8" t="str">
        <f t="shared" si="0"/>
        <v>insert into ins_premium_det (premium_rcv_code,assorted_code, rec_amount,premium_rcv_detail_code,remaining_amt, payrec, mode_code,coinsurance_code,class_cd,it_remarks) values</v>
      </c>
      <c r="G63" s="9" t="str">
        <f t="shared" si="2"/>
        <v>('04Nov240291','050000790035','7479',(select max(to_number(i.premium_rcv_detail_code))+1
from ins_premium_det i),'7479','7479','02', '11000003','00','Request by Mr. Omair Ali 05-Nov-2024');</v>
      </c>
      <c r="H63" s="10" t="str">
        <f t="shared" si="3"/>
        <v>insert into ins_premium_det (premium_rcv_code,assorted_code, rec_amount,premium_rcv_detail_code,remaining_amt, payrec, mode_code,coinsurance_code,class_cd,it_remarks) values('04Nov240291','050000790035','7479',(select max(to_number(i.premium_rcv_detail_code))+1
from ins_premium_det i),'7479','7479','02', '11000003','00','Request by Mr. Omair Ali 05-Nov-2024');</v>
      </c>
    </row>
    <row r="64" spans="1:8" ht="90" x14ac:dyDescent="0.25">
      <c r="A64" t="s">
        <v>64</v>
      </c>
      <c r="B64" s="6" t="str">
        <f>VLOOKUP(A64,policy!B:C,2,0)</f>
        <v>050000790742</v>
      </c>
      <c r="C64" s="1">
        <v>2205</v>
      </c>
      <c r="D64" s="7">
        <f t="shared" si="1"/>
        <v>2205</v>
      </c>
      <c r="E64" s="5" t="s">
        <v>170</v>
      </c>
      <c r="F64" s="8" t="str">
        <f t="shared" si="0"/>
        <v>insert into ins_premium_det (premium_rcv_code,assorted_code, rec_amount,premium_rcv_detail_code,remaining_amt, payrec, mode_code,coinsurance_code,class_cd,it_remarks) values</v>
      </c>
      <c r="G64" s="9" t="str">
        <f t="shared" si="2"/>
        <v>('04Nov240291','050000790742','2205',(select max(to_number(i.premium_rcv_detail_code))+1
from ins_premium_det i),'2205','2205','02', '11000003','00','Request by Mr. Omair Ali 05-Nov-2024');</v>
      </c>
      <c r="H64" s="10" t="str">
        <f t="shared" si="3"/>
        <v>insert into ins_premium_det (premium_rcv_code,assorted_code, rec_amount,premium_rcv_detail_code,remaining_amt, payrec, mode_code,coinsurance_code,class_cd,it_remarks) values('04Nov240291','050000790742','2205',(select max(to_number(i.premium_rcv_detail_code))+1
from ins_premium_det i),'2205','2205','02', '11000003','00','Request by Mr. Omair Ali 05-Nov-2024');</v>
      </c>
    </row>
    <row r="65" spans="1:8" ht="105" x14ac:dyDescent="0.25">
      <c r="A65" t="s">
        <v>65</v>
      </c>
      <c r="B65" s="6" t="str">
        <f>VLOOKUP(A65,policy!B:C,2,0)</f>
        <v>050000791259</v>
      </c>
      <c r="C65" s="1">
        <v>35637</v>
      </c>
      <c r="D65" s="7">
        <f t="shared" si="1"/>
        <v>35637</v>
      </c>
      <c r="E65" s="5" t="s">
        <v>170</v>
      </c>
      <c r="F65" s="8" t="str">
        <f t="shared" si="0"/>
        <v>insert into ins_premium_det (premium_rcv_code,assorted_code, rec_amount,premium_rcv_detail_code,remaining_amt, payrec, mode_code,coinsurance_code,class_cd,it_remarks) values</v>
      </c>
      <c r="G65" s="9" t="str">
        <f t="shared" si="2"/>
        <v>('04Nov240291','050000791259','35637',(select max(to_number(i.premium_rcv_detail_code))+1
from ins_premium_det i),'35637','35637','02', '11000003','00','Request by Mr. Omair Ali 05-Nov-2024');</v>
      </c>
      <c r="H65" s="10" t="str">
        <f t="shared" si="3"/>
        <v>insert into ins_premium_det (premium_rcv_code,assorted_code, rec_amount,premium_rcv_detail_code,remaining_amt, payrec, mode_code,coinsurance_code,class_cd,it_remarks) values('04Nov240291','050000791259','35637',(select max(to_number(i.premium_rcv_detail_code))+1
from ins_premium_det i),'35637','35637','02', '11000003','00','Request by Mr. Omair Ali 05-Nov-2024');</v>
      </c>
    </row>
    <row r="66" spans="1:8" ht="90" x14ac:dyDescent="0.25">
      <c r="A66" t="s">
        <v>66</v>
      </c>
      <c r="B66" s="6" t="str">
        <f>VLOOKUP(A66,policy!B:C,2,0)</f>
        <v>050000791635</v>
      </c>
      <c r="C66" s="1">
        <v>2440</v>
      </c>
      <c r="D66" s="7">
        <f t="shared" si="1"/>
        <v>2440</v>
      </c>
      <c r="E66" s="5" t="s">
        <v>170</v>
      </c>
      <c r="F66" s="8" t="str">
        <f t="shared" ref="F66:F79" si="4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66" s="9" t="str">
        <f t="shared" si="2"/>
        <v>('04Nov240291','050000791635','2440',(select max(to_number(i.premium_rcv_detail_code))+1
from ins_premium_det i),'2440','2440','02', '11000003','00','Request by Mr. Omair Ali 05-Nov-2024');</v>
      </c>
      <c r="H66" s="10" t="str">
        <f t="shared" si="3"/>
        <v>insert into ins_premium_det (premium_rcv_code,assorted_code, rec_amount,premium_rcv_detail_code,remaining_amt, payrec, mode_code,coinsurance_code,class_cd,it_remarks) values('04Nov240291','050000791635','2440',(select max(to_number(i.premium_rcv_detail_code))+1
from ins_premium_det i),'2440','2440','02', '11000003','00','Request by Mr. Omair Ali 05-Nov-2024');</v>
      </c>
    </row>
    <row r="67" spans="1:8" ht="90" x14ac:dyDescent="0.25">
      <c r="A67" t="s">
        <v>67</v>
      </c>
      <c r="B67" s="6" t="str">
        <f>VLOOKUP(A67,policy!B:C,2,0)</f>
        <v>050000791670</v>
      </c>
      <c r="C67" s="1">
        <v>-597324</v>
      </c>
      <c r="D67" s="7">
        <f t="shared" ref="D67:D79" si="5">ROUND(C67,0)</f>
        <v>-597324</v>
      </c>
      <c r="E67" s="5" t="s">
        <v>170</v>
      </c>
      <c r="F67" s="8" t="str">
        <f t="shared" si="4"/>
        <v>insert into ins_premium_det (premium_rcv_code,assorted_code, rec_amount,premium_rcv_detail_code,remaining_amt, payrec, mode_code,coinsurance_code,class_cd,it_remarks) values</v>
      </c>
      <c r="G67" s="9" t="str">
        <f t="shared" ref="G67:G79" si="6">"('"&amp;E67&amp;"','"&amp;B67&amp;"','"&amp;D67&amp;"',(select max(to_number(i.premium_rcv_detail_code))+1
from ins_premium_det i),'"&amp;D67&amp;"','"&amp;D67&amp;"','02', '11000003','00','Request by Mr. Omair Ali 05-Nov-2024');"</f>
        <v>('04Nov240291','050000791670','-597324',(select max(to_number(i.premium_rcv_detail_code))+1
from ins_premium_det i),'-597324','-597324','02', '11000003','00','Request by Mr. Omair Ali 05-Nov-2024');</v>
      </c>
      <c r="H67" s="10" t="str">
        <f t="shared" ref="H67:H79" si="7">F67&amp;G67</f>
        <v>insert into ins_premium_det (premium_rcv_code,assorted_code, rec_amount,premium_rcv_detail_code,remaining_amt, payrec, mode_code,coinsurance_code,class_cd,it_remarks) values('04Nov240291','050000791670','-597324',(select max(to_number(i.premium_rcv_detail_code))+1
from ins_premium_det i),'-597324','-597324','02', '11000003','00','Request by Mr. Omair Ali 05-Nov-2024');</v>
      </c>
    </row>
    <row r="68" spans="1:8" ht="105" x14ac:dyDescent="0.25">
      <c r="A68" t="s">
        <v>68</v>
      </c>
      <c r="B68" s="6" t="str">
        <f>VLOOKUP(A68,policy!B:C,2,0)</f>
        <v>050000791895</v>
      </c>
      <c r="C68" s="1">
        <v>370397</v>
      </c>
      <c r="D68" s="7">
        <f t="shared" si="5"/>
        <v>370397</v>
      </c>
      <c r="E68" s="5" t="s">
        <v>170</v>
      </c>
      <c r="F68" s="8" t="str">
        <f t="shared" si="4"/>
        <v>insert into ins_premium_det (premium_rcv_code,assorted_code, rec_amount,premium_rcv_detail_code,remaining_amt, payrec, mode_code,coinsurance_code,class_cd,it_remarks) values</v>
      </c>
      <c r="G68" s="9" t="str">
        <f t="shared" si="6"/>
        <v>('04Nov240291','050000791895','370397',(select max(to_number(i.premium_rcv_detail_code))+1
from ins_premium_det i),'370397','370397','02', '11000003','00','Request by Mr. Omair Ali 05-Nov-2024');</v>
      </c>
      <c r="H68" s="10" t="str">
        <f t="shared" si="7"/>
        <v>insert into ins_premium_det (premium_rcv_code,assorted_code, rec_amount,premium_rcv_detail_code,remaining_amt, payrec, mode_code,coinsurance_code,class_cd,it_remarks) values('04Nov240291','050000791895','370397',(select max(to_number(i.premium_rcv_detail_code))+1
from ins_premium_det i),'370397','370397','02', '11000003','00','Request by Mr. Omair Ali 05-Nov-2024');</v>
      </c>
    </row>
    <row r="69" spans="1:8" ht="90" x14ac:dyDescent="0.25">
      <c r="A69" t="s">
        <v>69</v>
      </c>
      <c r="B69" s="6" t="str">
        <f>VLOOKUP(A69,policy!B:C,2,0)</f>
        <v>050000792309</v>
      </c>
      <c r="C69" s="1">
        <v>2177</v>
      </c>
      <c r="D69" s="7">
        <f t="shared" si="5"/>
        <v>2177</v>
      </c>
      <c r="E69" s="5" t="s">
        <v>170</v>
      </c>
      <c r="F69" s="8" t="str">
        <f t="shared" si="4"/>
        <v>insert into ins_premium_det (premium_rcv_code,assorted_code, rec_amount,premium_rcv_detail_code,remaining_amt, payrec, mode_code,coinsurance_code,class_cd,it_remarks) values</v>
      </c>
      <c r="G69" s="9" t="str">
        <f t="shared" si="6"/>
        <v>('04Nov240291','050000792309','2177',(select max(to_number(i.premium_rcv_detail_code))+1
from ins_premium_det i),'2177','2177','02', '11000003','00','Request by Mr. Omair Ali 05-Nov-2024');</v>
      </c>
      <c r="H69" s="10" t="str">
        <f t="shared" si="7"/>
        <v>insert into ins_premium_det (premium_rcv_code,assorted_code, rec_amount,premium_rcv_detail_code,remaining_amt, payrec, mode_code,coinsurance_code,class_cd,it_remarks) values('04Nov240291','050000792309','2177',(select max(to_number(i.premium_rcv_detail_code))+1
from ins_premium_det i),'2177','2177','02', '11000003','00','Request by Mr. Omair Ali 05-Nov-2024');</v>
      </c>
    </row>
    <row r="70" spans="1:8" ht="105" x14ac:dyDescent="0.25">
      <c r="A70" t="s">
        <v>70</v>
      </c>
      <c r="B70" s="6" t="str">
        <f>VLOOKUP(A70,policy!B:C,2,0)</f>
        <v>050000792360</v>
      </c>
      <c r="C70" s="1">
        <v>97164</v>
      </c>
      <c r="D70" s="7">
        <f t="shared" si="5"/>
        <v>97164</v>
      </c>
      <c r="E70" s="5" t="s">
        <v>170</v>
      </c>
      <c r="F70" s="8" t="str">
        <f t="shared" si="4"/>
        <v>insert into ins_premium_det (premium_rcv_code,assorted_code, rec_amount,premium_rcv_detail_code,remaining_amt, payrec, mode_code,coinsurance_code,class_cd,it_remarks) values</v>
      </c>
      <c r="G70" s="9" t="str">
        <f t="shared" si="6"/>
        <v>('04Nov240291','050000792360','97164',(select max(to_number(i.premium_rcv_detail_code))+1
from ins_premium_det i),'97164','97164','02', '11000003','00','Request by Mr. Omair Ali 05-Nov-2024');</v>
      </c>
      <c r="H70" s="10" t="str">
        <f t="shared" si="7"/>
        <v>insert into ins_premium_det (premium_rcv_code,assorted_code, rec_amount,premium_rcv_detail_code,remaining_amt, payrec, mode_code,coinsurance_code,class_cd,it_remarks) values('04Nov240291','050000792360','97164',(select max(to_number(i.premium_rcv_detail_code))+1
from ins_premium_det i),'97164','97164','02', '11000003','00','Request by Mr. Omair Ali 05-Nov-2024');</v>
      </c>
    </row>
    <row r="71" spans="1:8" ht="105" x14ac:dyDescent="0.25">
      <c r="A71" t="s">
        <v>71</v>
      </c>
      <c r="B71" s="6" t="str">
        <f>VLOOKUP(A71,policy!B:C,2,0)</f>
        <v>050000795469</v>
      </c>
      <c r="C71" s="1">
        <v>60595</v>
      </c>
      <c r="D71" s="7">
        <f t="shared" si="5"/>
        <v>60595</v>
      </c>
      <c r="E71" s="5" t="s">
        <v>170</v>
      </c>
      <c r="F71" s="8" t="str">
        <f t="shared" si="4"/>
        <v>insert into ins_premium_det (premium_rcv_code,assorted_code, rec_amount,premium_rcv_detail_code,remaining_amt, payrec, mode_code,coinsurance_code,class_cd,it_remarks) values</v>
      </c>
      <c r="G71" s="9" t="str">
        <f t="shared" si="6"/>
        <v>('04Nov240291','050000795469','60595',(select max(to_number(i.premium_rcv_detail_code))+1
from ins_premium_det i),'60595','60595','02', '11000003','00','Request by Mr. Omair Ali 05-Nov-2024');</v>
      </c>
      <c r="H71" s="10" t="str">
        <f t="shared" si="7"/>
        <v>insert into ins_premium_det (premium_rcv_code,assorted_code, rec_amount,premium_rcv_detail_code,remaining_amt, payrec, mode_code,coinsurance_code,class_cd,it_remarks) values('04Nov240291','050000795469','60595',(select max(to_number(i.premium_rcv_detail_code))+1
from ins_premium_det i),'60595','60595','02', '11000003','00','Request by Mr. Omair Ali 05-Nov-2024');</v>
      </c>
    </row>
    <row r="72" spans="1:8" ht="90" x14ac:dyDescent="0.25">
      <c r="A72" t="s">
        <v>72</v>
      </c>
      <c r="B72" s="6" t="str">
        <f>VLOOKUP(A72,policy!B:C,2,0)</f>
        <v>050000795495</v>
      </c>
      <c r="C72" s="1">
        <v>2579</v>
      </c>
      <c r="D72" s="7">
        <f t="shared" si="5"/>
        <v>2579</v>
      </c>
      <c r="E72" s="5" t="s">
        <v>170</v>
      </c>
      <c r="F72" s="8" t="str">
        <f t="shared" si="4"/>
        <v>insert into ins_premium_det (premium_rcv_code,assorted_code, rec_amount,premium_rcv_detail_code,remaining_amt, payrec, mode_code,coinsurance_code,class_cd,it_remarks) values</v>
      </c>
      <c r="G72" s="9" t="str">
        <f t="shared" si="6"/>
        <v>('04Nov240291','050000795495','2579',(select max(to_number(i.premium_rcv_detail_code))+1
from ins_premium_det i),'2579','2579','02', '11000003','00','Request by Mr. Omair Ali 05-Nov-2024');</v>
      </c>
      <c r="H72" s="10" t="str">
        <f t="shared" si="7"/>
        <v>insert into ins_premium_det (premium_rcv_code,assorted_code, rec_amount,premium_rcv_detail_code,remaining_amt, payrec, mode_code,coinsurance_code,class_cd,it_remarks) values('04Nov240291','050000795495','2579',(select max(to_number(i.premium_rcv_detail_code))+1
from ins_premium_det i),'2579','2579','02', '11000003','00','Request by Mr. Omair Ali 05-Nov-2024');</v>
      </c>
    </row>
    <row r="73" spans="1:8" ht="105" x14ac:dyDescent="0.25">
      <c r="A73" t="s">
        <v>73</v>
      </c>
      <c r="B73" s="6" t="str">
        <f>VLOOKUP(A73,policy!B:C,2,0)</f>
        <v>050000795575</v>
      </c>
      <c r="C73" s="1">
        <v>19641</v>
      </c>
      <c r="D73" s="7">
        <f t="shared" si="5"/>
        <v>19641</v>
      </c>
      <c r="E73" s="5" t="s">
        <v>170</v>
      </c>
      <c r="F73" s="8" t="str">
        <f t="shared" si="4"/>
        <v>insert into ins_premium_det (premium_rcv_code,assorted_code, rec_amount,premium_rcv_detail_code,remaining_amt, payrec, mode_code,coinsurance_code,class_cd,it_remarks) values</v>
      </c>
      <c r="G73" s="9" t="str">
        <f t="shared" si="6"/>
        <v>('04Nov240291','050000795575','19641',(select max(to_number(i.premium_rcv_detail_code))+1
from ins_premium_det i),'19641','19641','02', '11000003','00','Request by Mr. Omair Ali 05-Nov-2024');</v>
      </c>
      <c r="H73" s="10" t="str">
        <f t="shared" si="7"/>
        <v>insert into ins_premium_det (premium_rcv_code,assorted_code, rec_amount,premium_rcv_detail_code,remaining_amt, payrec, mode_code,coinsurance_code,class_cd,it_remarks) values('04Nov240291','050000795575','19641',(select max(to_number(i.premium_rcv_detail_code))+1
from ins_premium_det i),'19641','19641','02', '11000003','00','Request by Mr. Omair Ali 05-Nov-2024');</v>
      </c>
    </row>
    <row r="74" spans="1:8" ht="90" x14ac:dyDescent="0.25">
      <c r="A74" t="s">
        <v>74</v>
      </c>
      <c r="B74" s="6" t="str">
        <f>VLOOKUP(A74,policy!B:C,2,0)</f>
        <v>050000798013</v>
      </c>
      <c r="C74" s="1">
        <v>38</v>
      </c>
      <c r="D74" s="7">
        <f t="shared" si="5"/>
        <v>38</v>
      </c>
      <c r="E74" s="5" t="s">
        <v>170</v>
      </c>
      <c r="F74" s="8" t="str">
        <f t="shared" si="4"/>
        <v>insert into ins_premium_det (premium_rcv_code,assorted_code, rec_amount,premium_rcv_detail_code,remaining_amt, payrec, mode_code,coinsurance_code,class_cd,it_remarks) values</v>
      </c>
      <c r="G74" s="9" t="str">
        <f t="shared" si="6"/>
        <v>('04Nov240291','050000798013','38',(select max(to_number(i.premium_rcv_detail_code))+1
from ins_premium_det i),'38','38','02', '11000003','00','Request by Mr. Omair Ali 05-Nov-2024');</v>
      </c>
      <c r="H74" s="10" t="str">
        <f t="shared" si="7"/>
        <v>insert into ins_premium_det (premium_rcv_code,assorted_code, rec_amount,premium_rcv_detail_code,remaining_amt, payrec, mode_code,coinsurance_code,class_cd,it_remarks) values('04Nov240291','050000798013','38',(select max(to_number(i.premium_rcv_detail_code))+1
from ins_premium_det i),'38','38','02', '11000003','00','Request by Mr. Omair Ali 05-Nov-2024');</v>
      </c>
    </row>
    <row r="75" spans="1:8" ht="105" x14ac:dyDescent="0.25">
      <c r="A75" t="s">
        <v>75</v>
      </c>
      <c r="B75" s="6" t="str">
        <f>VLOOKUP(A75,policy!B:C,2,0)</f>
        <v>050000798022</v>
      </c>
      <c r="C75" s="1">
        <v>22252</v>
      </c>
      <c r="D75" s="7">
        <f t="shared" si="5"/>
        <v>22252</v>
      </c>
      <c r="E75" s="5" t="s">
        <v>170</v>
      </c>
      <c r="F75" s="8" t="str">
        <f t="shared" si="4"/>
        <v>insert into ins_premium_det (premium_rcv_code,assorted_code, rec_amount,premium_rcv_detail_code,remaining_amt, payrec, mode_code,coinsurance_code,class_cd,it_remarks) values</v>
      </c>
      <c r="G75" s="9" t="str">
        <f t="shared" si="6"/>
        <v>('04Nov240291','050000798022','22252',(select max(to_number(i.premium_rcv_detail_code))+1
from ins_premium_det i),'22252','22252','02', '11000003','00','Request by Mr. Omair Ali 05-Nov-2024');</v>
      </c>
      <c r="H75" s="10" t="str">
        <f t="shared" si="7"/>
        <v>insert into ins_premium_det (premium_rcv_code,assorted_code, rec_amount,premium_rcv_detail_code,remaining_amt, payrec, mode_code,coinsurance_code,class_cd,it_remarks) values('04Nov240291','050000798022','22252',(select max(to_number(i.premium_rcv_detail_code))+1
from ins_premium_det i),'22252','22252','02', '11000003','00','Request by Mr. Omair Ali 05-Nov-2024');</v>
      </c>
    </row>
    <row r="76" spans="1:8" ht="90" x14ac:dyDescent="0.25">
      <c r="A76" t="s">
        <v>76</v>
      </c>
      <c r="B76" s="6" t="str">
        <f>VLOOKUP(A76,policy!B:C,2,0)</f>
        <v>050000798138</v>
      </c>
      <c r="C76" s="1">
        <v>-16416</v>
      </c>
      <c r="D76" s="7">
        <f t="shared" si="5"/>
        <v>-16416</v>
      </c>
      <c r="E76" s="5" t="s">
        <v>170</v>
      </c>
      <c r="F76" s="8" t="str">
        <f t="shared" si="4"/>
        <v>insert into ins_premium_det (premium_rcv_code,assorted_code, rec_amount,premium_rcv_detail_code,remaining_amt, payrec, mode_code,coinsurance_code,class_cd,it_remarks) values</v>
      </c>
      <c r="G76" s="9" t="str">
        <f t="shared" si="6"/>
        <v>('04Nov240291','050000798138','-16416',(select max(to_number(i.premium_rcv_detail_code))+1
from ins_premium_det i),'-16416','-16416','02', '11000003','00','Request by Mr. Omair Ali 05-Nov-2024');</v>
      </c>
      <c r="H76" s="10" t="str">
        <f t="shared" si="7"/>
        <v>insert into ins_premium_det (premium_rcv_code,assorted_code, rec_amount,premium_rcv_detail_code,remaining_amt, payrec, mode_code,coinsurance_code,class_cd,it_remarks) values('04Nov240291','050000798138','-16416',(select max(to_number(i.premium_rcv_detail_code))+1
from ins_premium_det i),'-16416','-16416','02', '11000003','00','Request by Mr. Omair Ali 05-Nov-2024');</v>
      </c>
    </row>
    <row r="77" spans="1:8" ht="90" x14ac:dyDescent="0.25">
      <c r="A77" t="s">
        <v>77</v>
      </c>
      <c r="B77" s="6" t="str">
        <f>VLOOKUP(A77,policy!B:C,2,0)</f>
        <v>050000798282</v>
      </c>
      <c r="C77" s="1">
        <v>9702</v>
      </c>
      <c r="D77" s="7">
        <f t="shared" si="5"/>
        <v>9702</v>
      </c>
      <c r="E77" s="5" t="s">
        <v>170</v>
      </c>
      <c r="F77" s="8" t="str">
        <f t="shared" si="4"/>
        <v>insert into ins_premium_det (premium_rcv_code,assorted_code, rec_amount,premium_rcv_detail_code,remaining_amt, payrec, mode_code,coinsurance_code,class_cd,it_remarks) values</v>
      </c>
      <c r="G77" s="9" t="str">
        <f t="shared" si="6"/>
        <v>('04Nov240291','050000798282','9702',(select max(to_number(i.premium_rcv_detail_code))+1
from ins_premium_det i),'9702','9702','02', '11000003','00','Request by Mr. Omair Ali 05-Nov-2024');</v>
      </c>
      <c r="H77" s="10" t="str">
        <f t="shared" si="7"/>
        <v>insert into ins_premium_det (premium_rcv_code,assorted_code, rec_amount,premium_rcv_detail_code,remaining_amt, payrec, mode_code,coinsurance_code,class_cd,it_remarks) values('04Nov240291','050000798282','9702',(select max(to_number(i.premium_rcv_detail_code))+1
from ins_premium_det i),'9702','9702','02', '11000003','00','Request by Mr. Omair Ali 05-Nov-2024');</v>
      </c>
    </row>
    <row r="78" spans="1:8" ht="105" x14ac:dyDescent="0.25">
      <c r="A78" t="s">
        <v>78</v>
      </c>
      <c r="B78" s="6" t="str">
        <f>VLOOKUP(A78,policy!B:C,2,0)</f>
        <v>050000798961</v>
      </c>
      <c r="C78" s="1">
        <v>15266</v>
      </c>
      <c r="D78" s="7">
        <f t="shared" si="5"/>
        <v>15266</v>
      </c>
      <c r="E78" s="5" t="s">
        <v>170</v>
      </c>
      <c r="F78" s="8" t="str">
        <f t="shared" si="4"/>
        <v>insert into ins_premium_det (premium_rcv_code,assorted_code, rec_amount,premium_rcv_detail_code,remaining_amt, payrec, mode_code,coinsurance_code,class_cd,it_remarks) values</v>
      </c>
      <c r="G78" s="9" t="str">
        <f t="shared" si="6"/>
        <v>('04Nov240291','050000798961','15266',(select max(to_number(i.premium_rcv_detail_code))+1
from ins_premium_det i),'15266','15266','02', '11000003','00','Request by Mr. Omair Ali 05-Nov-2024');</v>
      </c>
      <c r="H78" s="10" t="str">
        <f t="shared" si="7"/>
        <v>insert into ins_premium_det (premium_rcv_code,assorted_code, rec_amount,premium_rcv_detail_code,remaining_amt, payrec, mode_code,coinsurance_code,class_cd,it_remarks) values('04Nov240291','050000798961','15266',(select max(to_number(i.premium_rcv_detail_code))+1
from ins_premium_det i),'15266','15266','02', '11000003','00','Request by Mr. Omair Ali 05-Nov-2024');</v>
      </c>
    </row>
    <row r="79" spans="1:8" ht="90" x14ac:dyDescent="0.25">
      <c r="A79" t="s">
        <v>79</v>
      </c>
      <c r="B79" s="6" t="str">
        <f>VLOOKUP(A79,policy!B:C,2,0)</f>
        <v>050000800726</v>
      </c>
      <c r="C79" s="1">
        <v>7562</v>
      </c>
      <c r="D79" s="7">
        <f t="shared" si="5"/>
        <v>7562</v>
      </c>
      <c r="E79" s="5" t="s">
        <v>170</v>
      </c>
      <c r="F79" s="8" t="str">
        <f t="shared" si="4"/>
        <v>insert into ins_premium_det (premium_rcv_code,assorted_code, rec_amount,premium_rcv_detail_code,remaining_amt, payrec, mode_code,coinsurance_code,class_cd,it_remarks) values</v>
      </c>
      <c r="G79" s="9" t="str">
        <f t="shared" si="6"/>
        <v>('04Nov240291','050000800726','7562',(select max(to_number(i.premium_rcv_detail_code))+1
from ins_premium_det i),'7562','7562','02', '11000003','00','Request by Mr. Omair Ali 05-Nov-2024');</v>
      </c>
      <c r="H79" s="10" t="str">
        <f t="shared" si="7"/>
        <v>insert into ins_premium_det (premium_rcv_code,assorted_code, rec_amount,premium_rcv_detail_code,remaining_amt, payrec, mode_code,coinsurance_code,class_cd,it_remarks) values('04Nov240291','050000800726','7562',(select max(to_number(i.premium_rcv_detail_code))+1
from ins_premium_det i),'7562','7562','02', '11000003','00','Request by Mr. Omair Ali 05-Nov-2024');</v>
      </c>
    </row>
    <row r="81" spans="3:4" x14ac:dyDescent="0.25">
      <c r="C81" s="11">
        <f>SUM(C2:C79)</f>
        <v>1000000</v>
      </c>
      <c r="D81" s="11">
        <f>SUM(D2:D79)</f>
        <v>1000000</v>
      </c>
    </row>
  </sheetData>
  <conditionalFormatting sqref="A1">
    <cfRule type="duplicateValues" dxfId="3" priority="1"/>
  </conditionalFormatting>
  <conditionalFormatting sqref="A2:B2 B3:B79">
    <cfRule type="duplicateValues" dxfId="2" priority="2"/>
    <cfRule type="duplicateValues" dxfId="1" priority="3"/>
    <cfRule type="duplicateValues" dxfId="0" priority="4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7D3BE-7E4F-48E2-8366-C0791E444FA2}">
  <dimension ref="A1:E78"/>
  <sheetViews>
    <sheetView topLeftCell="A7" workbookViewId="0">
      <selection activeCell="C16" sqref="C16"/>
    </sheetView>
  </sheetViews>
  <sheetFormatPr defaultRowHeight="15" x14ac:dyDescent="0.25"/>
  <cols>
    <col min="1" max="1" width="38.7109375" bestFit="1" customWidth="1"/>
    <col min="2" max="2" width="19" customWidth="1"/>
    <col min="5" max="5" width="40.5703125" bestFit="1" customWidth="1"/>
  </cols>
  <sheetData>
    <row r="1" spans="1:5" x14ac:dyDescent="0.25">
      <c r="A1" t="s">
        <v>2</v>
      </c>
      <c r="B1" t="s">
        <v>80</v>
      </c>
      <c r="D1">
        <v>25195</v>
      </c>
      <c r="E1" t="str">
        <f>"ia.assorted_string like '%"&amp;D1&amp;B1&amp;"%' or"</f>
        <v>ia.assorted_string like '%25195-05-2024%' or</v>
      </c>
    </row>
    <row r="2" spans="1:5" x14ac:dyDescent="0.25">
      <c r="A2" t="s">
        <v>3</v>
      </c>
      <c r="B2" t="s">
        <v>80</v>
      </c>
      <c r="D2">
        <v>25203</v>
      </c>
      <c r="E2" t="str">
        <f t="shared" ref="E2:E65" si="0">"ia.assorted_string like '%"&amp;D2&amp;B2&amp;"%' or"</f>
        <v>ia.assorted_string like '%25203-05-2024%' or</v>
      </c>
    </row>
    <row r="3" spans="1:5" x14ac:dyDescent="0.25">
      <c r="A3" t="s">
        <v>4</v>
      </c>
      <c r="B3" t="s">
        <v>80</v>
      </c>
      <c r="D3">
        <v>25204</v>
      </c>
      <c r="E3" t="str">
        <f t="shared" si="0"/>
        <v>ia.assorted_string like '%25204-05-2024%' or</v>
      </c>
    </row>
    <row r="4" spans="1:5" x14ac:dyDescent="0.25">
      <c r="A4" t="s">
        <v>5</v>
      </c>
      <c r="B4" t="s">
        <v>80</v>
      </c>
      <c r="D4">
        <v>25209</v>
      </c>
      <c r="E4" t="str">
        <f t="shared" si="0"/>
        <v>ia.assorted_string like '%25209-05-2024%' or</v>
      </c>
    </row>
    <row r="5" spans="1:5" x14ac:dyDescent="0.25">
      <c r="A5" t="s">
        <v>6</v>
      </c>
      <c r="B5" t="s">
        <v>80</v>
      </c>
      <c r="D5">
        <v>25310</v>
      </c>
      <c r="E5" t="str">
        <f t="shared" si="0"/>
        <v>ia.assorted_string like '%25310-05-2024%' or</v>
      </c>
    </row>
    <row r="6" spans="1:5" x14ac:dyDescent="0.25">
      <c r="A6" t="s">
        <v>7</v>
      </c>
      <c r="B6" t="s">
        <v>80</v>
      </c>
      <c r="D6">
        <v>25336</v>
      </c>
      <c r="E6" t="str">
        <f t="shared" si="0"/>
        <v>ia.assorted_string like '%25336-05-2024%' or</v>
      </c>
    </row>
    <row r="7" spans="1:5" x14ac:dyDescent="0.25">
      <c r="A7" t="s">
        <v>8</v>
      </c>
      <c r="B7" t="s">
        <v>80</v>
      </c>
      <c r="D7">
        <v>25344</v>
      </c>
      <c r="E7" t="str">
        <f t="shared" si="0"/>
        <v>ia.assorted_string like '%25344-05-2024%' or</v>
      </c>
    </row>
    <row r="8" spans="1:5" x14ac:dyDescent="0.25">
      <c r="A8" t="s">
        <v>9</v>
      </c>
      <c r="B8" t="s">
        <v>80</v>
      </c>
      <c r="D8">
        <v>25399</v>
      </c>
      <c r="E8" t="str">
        <f t="shared" si="0"/>
        <v>ia.assorted_string like '%25399-05-2024%' or</v>
      </c>
    </row>
    <row r="9" spans="1:5" x14ac:dyDescent="0.25">
      <c r="A9" t="s">
        <v>10</v>
      </c>
      <c r="B9" t="s">
        <v>80</v>
      </c>
      <c r="D9">
        <v>25409</v>
      </c>
      <c r="E9" t="str">
        <f t="shared" si="0"/>
        <v>ia.assorted_string like '%25409-05-2024%' or</v>
      </c>
    </row>
    <row r="10" spans="1:5" x14ac:dyDescent="0.25">
      <c r="A10" t="s">
        <v>11</v>
      </c>
      <c r="B10" t="s">
        <v>80</v>
      </c>
      <c r="D10">
        <v>25410</v>
      </c>
      <c r="E10" t="str">
        <f t="shared" si="0"/>
        <v>ia.assorted_string like '%25410-05-2024%' or</v>
      </c>
    </row>
    <row r="11" spans="1:5" x14ac:dyDescent="0.25">
      <c r="A11" t="s">
        <v>12</v>
      </c>
      <c r="B11" t="s">
        <v>80</v>
      </c>
      <c r="D11">
        <v>25411</v>
      </c>
      <c r="E11" t="str">
        <f t="shared" si="0"/>
        <v>ia.assorted_string like '%25411-05-2024%' or</v>
      </c>
    </row>
    <row r="12" spans="1:5" x14ac:dyDescent="0.25">
      <c r="A12" t="s">
        <v>13</v>
      </c>
      <c r="B12" t="s">
        <v>80</v>
      </c>
      <c r="D12">
        <v>25433</v>
      </c>
      <c r="E12" t="str">
        <f t="shared" si="0"/>
        <v>ia.assorted_string like '%25433-05-2024%' or</v>
      </c>
    </row>
    <row r="13" spans="1:5" x14ac:dyDescent="0.25">
      <c r="A13" t="s">
        <v>14</v>
      </c>
      <c r="B13" t="s">
        <v>80</v>
      </c>
      <c r="D13">
        <v>25443</v>
      </c>
      <c r="E13" t="str">
        <f t="shared" si="0"/>
        <v>ia.assorted_string like '%25443-05-2024%' or</v>
      </c>
    </row>
    <row r="14" spans="1:5" x14ac:dyDescent="0.25">
      <c r="A14" t="s">
        <v>15</v>
      </c>
      <c r="B14" t="s">
        <v>80</v>
      </c>
      <c r="D14">
        <v>25446</v>
      </c>
      <c r="E14" t="str">
        <f t="shared" si="0"/>
        <v>ia.assorted_string like '%25446-05-2024%' or</v>
      </c>
    </row>
    <row r="15" spans="1:5" x14ac:dyDescent="0.25">
      <c r="A15" t="s">
        <v>16</v>
      </c>
      <c r="B15" t="s">
        <v>80</v>
      </c>
      <c r="D15">
        <v>25496</v>
      </c>
      <c r="E15" t="str">
        <f t="shared" si="0"/>
        <v>ia.assorted_string like '%25496-05-2024%' or</v>
      </c>
    </row>
    <row r="16" spans="1:5" x14ac:dyDescent="0.25">
      <c r="A16" t="s">
        <v>17</v>
      </c>
      <c r="B16" t="s">
        <v>80</v>
      </c>
      <c r="D16">
        <v>25527</v>
      </c>
      <c r="E16" t="str">
        <f t="shared" si="0"/>
        <v>ia.assorted_string like '%25527-05-2024%' or</v>
      </c>
    </row>
    <row r="17" spans="1:5" x14ac:dyDescent="0.25">
      <c r="A17" t="s">
        <v>18</v>
      </c>
      <c r="B17" t="s">
        <v>80</v>
      </c>
      <c r="D17">
        <v>25559</v>
      </c>
      <c r="E17" t="str">
        <f t="shared" si="0"/>
        <v>ia.assorted_string like '%25559-05-2024%' or</v>
      </c>
    </row>
    <row r="18" spans="1:5" x14ac:dyDescent="0.25">
      <c r="A18" t="s">
        <v>19</v>
      </c>
      <c r="B18" t="s">
        <v>81</v>
      </c>
      <c r="D18">
        <v>25580</v>
      </c>
      <c r="E18" t="str">
        <f t="shared" si="0"/>
        <v>ia.assorted_string like '%25580-06-2024%' or</v>
      </c>
    </row>
    <row r="19" spans="1:5" x14ac:dyDescent="0.25">
      <c r="A19" t="s">
        <v>20</v>
      </c>
      <c r="B19" t="s">
        <v>81</v>
      </c>
      <c r="D19">
        <v>25626</v>
      </c>
      <c r="E19" t="str">
        <f t="shared" si="0"/>
        <v>ia.assorted_string like '%25626-06-2024%' or</v>
      </c>
    </row>
    <row r="20" spans="1:5" x14ac:dyDescent="0.25">
      <c r="A20" t="s">
        <v>21</v>
      </c>
      <c r="B20" t="s">
        <v>81</v>
      </c>
      <c r="D20">
        <v>25646</v>
      </c>
      <c r="E20" t="str">
        <f t="shared" si="0"/>
        <v>ia.assorted_string like '%25646-06-2024%' or</v>
      </c>
    </row>
    <row r="21" spans="1:5" x14ac:dyDescent="0.25">
      <c r="A21" t="s">
        <v>22</v>
      </c>
      <c r="B21" t="s">
        <v>81</v>
      </c>
      <c r="D21">
        <v>25673</v>
      </c>
      <c r="E21" t="str">
        <f t="shared" si="0"/>
        <v>ia.assorted_string like '%25673-06-2024%' or</v>
      </c>
    </row>
    <row r="22" spans="1:5" x14ac:dyDescent="0.25">
      <c r="A22" t="s">
        <v>23</v>
      </c>
      <c r="B22" t="s">
        <v>81</v>
      </c>
      <c r="D22">
        <v>25718</v>
      </c>
      <c r="E22" t="str">
        <f t="shared" si="0"/>
        <v>ia.assorted_string like '%25718-06-2024%' or</v>
      </c>
    </row>
    <row r="23" spans="1:5" x14ac:dyDescent="0.25">
      <c r="A23" t="s">
        <v>24</v>
      </c>
      <c r="B23" t="s">
        <v>81</v>
      </c>
      <c r="D23">
        <v>25734</v>
      </c>
      <c r="E23" t="str">
        <f t="shared" si="0"/>
        <v>ia.assorted_string like '%25734-06-2024%' or</v>
      </c>
    </row>
    <row r="24" spans="1:5" x14ac:dyDescent="0.25">
      <c r="A24" t="s">
        <v>25</v>
      </c>
      <c r="B24" t="s">
        <v>81</v>
      </c>
      <c r="D24">
        <v>25759</v>
      </c>
      <c r="E24" t="str">
        <f t="shared" si="0"/>
        <v>ia.assorted_string like '%25759-06-2024%' or</v>
      </c>
    </row>
    <row r="25" spans="1:5" x14ac:dyDescent="0.25">
      <c r="A25" t="s">
        <v>26</v>
      </c>
      <c r="B25" t="s">
        <v>81</v>
      </c>
      <c r="D25">
        <v>25768</v>
      </c>
      <c r="E25" t="str">
        <f t="shared" si="0"/>
        <v>ia.assorted_string like '%25768-06-2024%' or</v>
      </c>
    </row>
    <row r="26" spans="1:5" x14ac:dyDescent="0.25">
      <c r="A26" t="s">
        <v>27</v>
      </c>
      <c r="B26" t="s">
        <v>81</v>
      </c>
      <c r="D26">
        <v>25790</v>
      </c>
      <c r="E26" t="str">
        <f t="shared" si="0"/>
        <v>ia.assorted_string like '%25790-06-2024%' or</v>
      </c>
    </row>
    <row r="27" spans="1:5" x14ac:dyDescent="0.25">
      <c r="A27" t="s">
        <v>28</v>
      </c>
      <c r="B27" t="s">
        <v>81</v>
      </c>
      <c r="D27">
        <v>25817</v>
      </c>
      <c r="E27" t="str">
        <f t="shared" si="0"/>
        <v>ia.assorted_string like '%25817-06-2024%' or</v>
      </c>
    </row>
    <row r="28" spans="1:5" x14ac:dyDescent="0.25">
      <c r="A28" t="s">
        <v>29</v>
      </c>
      <c r="B28" t="s">
        <v>81</v>
      </c>
      <c r="D28">
        <v>25833</v>
      </c>
      <c r="E28" t="str">
        <f t="shared" si="0"/>
        <v>ia.assorted_string like '%25833-06-2024%' or</v>
      </c>
    </row>
    <row r="29" spans="1:5" x14ac:dyDescent="0.25">
      <c r="A29" t="s">
        <v>30</v>
      </c>
      <c r="B29" t="s">
        <v>81</v>
      </c>
      <c r="D29">
        <v>25861</v>
      </c>
      <c r="E29" t="str">
        <f t="shared" si="0"/>
        <v>ia.assorted_string like '%25861-06-2024%' or</v>
      </c>
    </row>
    <row r="30" spans="1:5" x14ac:dyDescent="0.25">
      <c r="A30" t="s">
        <v>31</v>
      </c>
      <c r="B30" t="s">
        <v>81</v>
      </c>
      <c r="D30">
        <v>25871</v>
      </c>
      <c r="E30" t="str">
        <f t="shared" si="0"/>
        <v>ia.assorted_string like '%25871-06-2024%' or</v>
      </c>
    </row>
    <row r="31" spans="1:5" x14ac:dyDescent="0.25">
      <c r="A31" t="s">
        <v>32</v>
      </c>
      <c r="B31" t="s">
        <v>82</v>
      </c>
      <c r="D31">
        <v>25976</v>
      </c>
      <c r="E31" t="str">
        <f t="shared" si="0"/>
        <v>ia.assorted_string like '%25976-07-2024%' or</v>
      </c>
    </row>
    <row r="32" spans="1:5" x14ac:dyDescent="0.25">
      <c r="A32" t="s">
        <v>33</v>
      </c>
      <c r="B32" t="s">
        <v>82</v>
      </c>
      <c r="D32">
        <v>26005</v>
      </c>
      <c r="E32" t="str">
        <f t="shared" si="0"/>
        <v>ia.assorted_string like '%26005-07-2024%' or</v>
      </c>
    </row>
    <row r="33" spans="1:5" x14ac:dyDescent="0.25">
      <c r="A33" t="s">
        <v>34</v>
      </c>
      <c r="B33" t="s">
        <v>82</v>
      </c>
      <c r="D33">
        <v>26026</v>
      </c>
      <c r="E33" t="str">
        <f t="shared" si="0"/>
        <v>ia.assorted_string like '%26026-07-2024%' or</v>
      </c>
    </row>
    <row r="34" spans="1:5" x14ac:dyDescent="0.25">
      <c r="A34" t="s">
        <v>35</v>
      </c>
      <c r="B34" t="s">
        <v>82</v>
      </c>
      <c r="D34">
        <v>26072</v>
      </c>
      <c r="E34" t="str">
        <f t="shared" si="0"/>
        <v>ia.assorted_string like '%26072-07-2024%' or</v>
      </c>
    </row>
    <row r="35" spans="1:5" x14ac:dyDescent="0.25">
      <c r="A35" t="s">
        <v>36</v>
      </c>
      <c r="B35" t="s">
        <v>82</v>
      </c>
      <c r="D35">
        <v>26108</v>
      </c>
      <c r="E35" t="str">
        <f t="shared" si="0"/>
        <v>ia.assorted_string like '%26108-07-2024%' or</v>
      </c>
    </row>
    <row r="36" spans="1:5" x14ac:dyDescent="0.25">
      <c r="A36" t="s">
        <v>37</v>
      </c>
      <c r="B36" t="s">
        <v>82</v>
      </c>
      <c r="D36">
        <v>26155</v>
      </c>
      <c r="E36" t="str">
        <f t="shared" si="0"/>
        <v>ia.assorted_string like '%26155-07-2024%' or</v>
      </c>
    </row>
    <row r="37" spans="1:5" x14ac:dyDescent="0.25">
      <c r="A37" t="s">
        <v>38</v>
      </c>
      <c r="B37" t="s">
        <v>82</v>
      </c>
      <c r="D37">
        <v>26222</v>
      </c>
      <c r="E37" t="str">
        <f t="shared" si="0"/>
        <v>ia.assorted_string like '%26222-07-2024%' or</v>
      </c>
    </row>
    <row r="38" spans="1:5" x14ac:dyDescent="0.25">
      <c r="A38" t="s">
        <v>39</v>
      </c>
      <c r="B38" t="s">
        <v>82</v>
      </c>
      <c r="D38">
        <v>26259</v>
      </c>
      <c r="E38" t="str">
        <f t="shared" si="0"/>
        <v>ia.assorted_string like '%26259-07-2024%' or</v>
      </c>
    </row>
    <row r="39" spans="1:5" x14ac:dyDescent="0.25">
      <c r="A39" t="s">
        <v>40</v>
      </c>
      <c r="B39" t="s">
        <v>82</v>
      </c>
      <c r="D39">
        <v>26295</v>
      </c>
      <c r="E39" t="str">
        <f t="shared" si="0"/>
        <v>ia.assorted_string like '%26295-07-2024%' or</v>
      </c>
    </row>
    <row r="40" spans="1:5" x14ac:dyDescent="0.25">
      <c r="A40" t="s">
        <v>41</v>
      </c>
      <c r="B40" t="s">
        <v>82</v>
      </c>
      <c r="D40">
        <v>26331</v>
      </c>
      <c r="E40" t="str">
        <f t="shared" si="0"/>
        <v>ia.assorted_string like '%26331-07-2024%' or</v>
      </c>
    </row>
    <row r="41" spans="1:5" x14ac:dyDescent="0.25">
      <c r="A41" t="s">
        <v>42</v>
      </c>
      <c r="B41" t="s">
        <v>83</v>
      </c>
      <c r="D41">
        <v>26385</v>
      </c>
      <c r="E41" t="str">
        <f t="shared" si="0"/>
        <v>ia.assorted_string like '%26385-08-2024%' or</v>
      </c>
    </row>
    <row r="42" spans="1:5" x14ac:dyDescent="0.25">
      <c r="A42" t="s">
        <v>43</v>
      </c>
      <c r="B42" t="s">
        <v>83</v>
      </c>
      <c r="D42">
        <v>26455</v>
      </c>
      <c r="E42" t="str">
        <f t="shared" si="0"/>
        <v>ia.assorted_string like '%26455-08-2024%' or</v>
      </c>
    </row>
    <row r="43" spans="1:5" x14ac:dyDescent="0.25">
      <c r="A43" t="s">
        <v>44</v>
      </c>
      <c r="B43" t="s">
        <v>83</v>
      </c>
      <c r="D43">
        <v>26503</v>
      </c>
      <c r="E43" t="str">
        <f t="shared" si="0"/>
        <v>ia.assorted_string like '%26503-08-2024%' or</v>
      </c>
    </row>
    <row r="44" spans="1:5" x14ac:dyDescent="0.25">
      <c r="A44" t="s">
        <v>45</v>
      </c>
      <c r="B44" t="s">
        <v>83</v>
      </c>
      <c r="D44">
        <v>26550</v>
      </c>
      <c r="E44" t="str">
        <f t="shared" si="0"/>
        <v>ia.assorted_string like '%26550-08-2024%' or</v>
      </c>
    </row>
    <row r="45" spans="1:5" x14ac:dyDescent="0.25">
      <c r="A45" t="s">
        <v>46</v>
      </c>
      <c r="B45" t="s">
        <v>83</v>
      </c>
      <c r="D45">
        <v>26618</v>
      </c>
      <c r="E45" t="str">
        <f t="shared" si="0"/>
        <v>ia.assorted_string like '%26618-08-2024%' or</v>
      </c>
    </row>
    <row r="46" spans="1:5" x14ac:dyDescent="0.25">
      <c r="A46" t="s">
        <v>47</v>
      </c>
      <c r="B46" t="s">
        <v>83</v>
      </c>
      <c r="D46">
        <v>26647</v>
      </c>
      <c r="E46" t="str">
        <f t="shared" si="0"/>
        <v>ia.assorted_string like '%26647-08-2024%' or</v>
      </c>
    </row>
    <row r="47" spans="1:5" x14ac:dyDescent="0.25">
      <c r="A47" t="s">
        <v>48</v>
      </c>
      <c r="B47" t="s">
        <v>83</v>
      </c>
      <c r="D47">
        <v>26677</v>
      </c>
      <c r="E47" t="str">
        <f t="shared" si="0"/>
        <v>ia.assorted_string like '%26677-08-2024%' or</v>
      </c>
    </row>
    <row r="48" spans="1:5" x14ac:dyDescent="0.25">
      <c r="A48" t="s">
        <v>49</v>
      </c>
      <c r="B48" t="s">
        <v>83</v>
      </c>
      <c r="D48">
        <v>26692</v>
      </c>
      <c r="E48" t="str">
        <f t="shared" si="0"/>
        <v>ia.assorted_string like '%26692-08-2024%' or</v>
      </c>
    </row>
    <row r="49" spans="1:5" x14ac:dyDescent="0.25">
      <c r="A49" t="s">
        <v>50</v>
      </c>
      <c r="B49" t="s">
        <v>83</v>
      </c>
      <c r="D49">
        <v>26719</v>
      </c>
      <c r="E49" t="str">
        <f t="shared" si="0"/>
        <v>ia.assorted_string like '%26719-08-2024%' or</v>
      </c>
    </row>
    <row r="50" spans="1:5" x14ac:dyDescent="0.25">
      <c r="A50" t="s">
        <v>51</v>
      </c>
      <c r="B50" t="s">
        <v>83</v>
      </c>
      <c r="D50">
        <v>26722</v>
      </c>
      <c r="E50" t="str">
        <f t="shared" si="0"/>
        <v>ia.assorted_string like '%26722-08-2024%' or</v>
      </c>
    </row>
    <row r="51" spans="1:5" x14ac:dyDescent="0.25">
      <c r="A51" t="s">
        <v>52</v>
      </c>
      <c r="B51" t="s">
        <v>83</v>
      </c>
      <c r="D51">
        <v>26838</v>
      </c>
      <c r="E51" t="str">
        <f t="shared" si="0"/>
        <v>ia.assorted_string like '%26838-08-2024%' or</v>
      </c>
    </row>
    <row r="52" spans="1:5" x14ac:dyDescent="0.25">
      <c r="A52" t="s">
        <v>53</v>
      </c>
      <c r="B52" t="s">
        <v>83</v>
      </c>
      <c r="D52">
        <v>26863</v>
      </c>
      <c r="E52" t="str">
        <f t="shared" si="0"/>
        <v>ia.assorted_string like '%26863-08-2024%' or</v>
      </c>
    </row>
    <row r="53" spans="1:5" x14ac:dyDescent="0.25">
      <c r="A53" t="s">
        <v>54</v>
      </c>
      <c r="B53" t="s">
        <v>84</v>
      </c>
      <c r="D53">
        <v>26937</v>
      </c>
      <c r="E53" t="str">
        <f t="shared" si="0"/>
        <v>ia.assorted_string like '%26937-09-2024%' or</v>
      </c>
    </row>
    <row r="54" spans="1:5" x14ac:dyDescent="0.25">
      <c r="A54" t="s">
        <v>55</v>
      </c>
      <c r="B54" t="s">
        <v>84</v>
      </c>
      <c r="D54">
        <v>26938</v>
      </c>
      <c r="E54" t="str">
        <f t="shared" si="0"/>
        <v>ia.assorted_string like '%26938-09-2024%' or</v>
      </c>
    </row>
    <row r="55" spans="1:5" x14ac:dyDescent="0.25">
      <c r="A55" t="s">
        <v>56</v>
      </c>
      <c r="B55" t="s">
        <v>84</v>
      </c>
      <c r="D55">
        <v>26974</v>
      </c>
      <c r="E55" t="str">
        <f t="shared" si="0"/>
        <v>ia.assorted_string like '%26974-09-2024%' or</v>
      </c>
    </row>
    <row r="56" spans="1:5" x14ac:dyDescent="0.25">
      <c r="A56" t="s">
        <v>57</v>
      </c>
      <c r="B56" t="s">
        <v>84</v>
      </c>
      <c r="D56">
        <v>26975</v>
      </c>
      <c r="E56" t="str">
        <f t="shared" si="0"/>
        <v>ia.assorted_string like '%26975-09-2024%' or</v>
      </c>
    </row>
    <row r="57" spans="1:5" x14ac:dyDescent="0.25">
      <c r="A57" t="s">
        <v>58</v>
      </c>
      <c r="B57" t="s">
        <v>84</v>
      </c>
      <c r="D57">
        <v>27008</v>
      </c>
      <c r="E57" t="str">
        <f t="shared" si="0"/>
        <v>ia.assorted_string like '%27008-09-2024%' or</v>
      </c>
    </row>
    <row r="58" spans="1:5" x14ac:dyDescent="0.25">
      <c r="A58" t="s">
        <v>59</v>
      </c>
      <c r="B58" t="s">
        <v>84</v>
      </c>
      <c r="D58">
        <v>27151</v>
      </c>
      <c r="E58" t="str">
        <f t="shared" si="0"/>
        <v>ia.assorted_string like '%27151-09-2024%' or</v>
      </c>
    </row>
    <row r="59" spans="1:5" x14ac:dyDescent="0.25">
      <c r="A59" t="s">
        <v>60</v>
      </c>
      <c r="B59" t="s">
        <v>84</v>
      </c>
      <c r="D59">
        <v>27221</v>
      </c>
      <c r="E59" t="str">
        <f t="shared" si="0"/>
        <v>ia.assorted_string like '%27221-09-2024%' or</v>
      </c>
    </row>
    <row r="60" spans="1:5" x14ac:dyDescent="0.25">
      <c r="A60" t="s">
        <v>61</v>
      </c>
      <c r="B60" t="s">
        <v>84</v>
      </c>
      <c r="D60">
        <v>27241</v>
      </c>
      <c r="E60" t="str">
        <f t="shared" si="0"/>
        <v>ia.assorted_string like '%27241-09-2024%' or</v>
      </c>
    </row>
    <row r="61" spans="1:5" x14ac:dyDescent="0.25">
      <c r="A61" t="s">
        <v>62</v>
      </c>
      <c r="B61" t="s">
        <v>84</v>
      </c>
      <c r="D61">
        <v>27314</v>
      </c>
      <c r="E61" t="str">
        <f t="shared" si="0"/>
        <v>ia.assorted_string like '%27314-09-2024%' or</v>
      </c>
    </row>
    <row r="62" spans="1:5" x14ac:dyDescent="0.25">
      <c r="A62" t="s">
        <v>63</v>
      </c>
      <c r="B62" t="s">
        <v>84</v>
      </c>
      <c r="D62">
        <v>27348</v>
      </c>
      <c r="E62" t="str">
        <f t="shared" si="0"/>
        <v>ia.assorted_string like '%27348-09-2024%' or</v>
      </c>
    </row>
    <row r="63" spans="1:5" x14ac:dyDescent="0.25">
      <c r="A63" t="s">
        <v>64</v>
      </c>
      <c r="B63" t="s">
        <v>84</v>
      </c>
      <c r="D63">
        <v>27366</v>
      </c>
      <c r="E63" t="str">
        <f t="shared" si="0"/>
        <v>ia.assorted_string like '%27366-09-2024%' or</v>
      </c>
    </row>
    <row r="64" spans="1:5" x14ac:dyDescent="0.25">
      <c r="A64" t="s">
        <v>65</v>
      </c>
      <c r="B64" t="s">
        <v>84</v>
      </c>
      <c r="D64">
        <v>27398</v>
      </c>
      <c r="E64" t="str">
        <f t="shared" si="0"/>
        <v>ia.assorted_string like '%27398-09-2024%' or</v>
      </c>
    </row>
    <row r="65" spans="1:5" x14ac:dyDescent="0.25">
      <c r="A65" t="s">
        <v>66</v>
      </c>
      <c r="B65" t="s">
        <v>84</v>
      </c>
      <c r="D65">
        <v>27438</v>
      </c>
      <c r="E65" t="str">
        <f t="shared" si="0"/>
        <v>ia.assorted_string like '%27438-09-2024%' or</v>
      </c>
    </row>
    <row r="66" spans="1:5" x14ac:dyDescent="0.25">
      <c r="A66" t="s">
        <v>67</v>
      </c>
      <c r="B66" t="s">
        <v>84</v>
      </c>
      <c r="D66">
        <v>27452</v>
      </c>
      <c r="E66" t="str">
        <f t="shared" ref="E66:E78" si="1">"ia.assorted_string like '%"&amp;D66&amp;B66&amp;"%' or"</f>
        <v>ia.assorted_string like '%27452-09-2024%' or</v>
      </c>
    </row>
    <row r="67" spans="1:5" x14ac:dyDescent="0.25">
      <c r="A67" t="s">
        <v>68</v>
      </c>
      <c r="B67" t="s">
        <v>84</v>
      </c>
      <c r="D67">
        <v>27499</v>
      </c>
      <c r="E67" t="str">
        <f t="shared" si="1"/>
        <v>ia.assorted_string like '%27499-09-2024%' or</v>
      </c>
    </row>
    <row r="68" spans="1:5" x14ac:dyDescent="0.25">
      <c r="A68" t="s">
        <v>69</v>
      </c>
      <c r="B68" t="s">
        <v>84</v>
      </c>
      <c r="D68">
        <v>27505</v>
      </c>
      <c r="E68" t="str">
        <f t="shared" si="1"/>
        <v>ia.assorted_string like '%27505-09-2024%' or</v>
      </c>
    </row>
    <row r="69" spans="1:5" x14ac:dyDescent="0.25">
      <c r="A69" t="s">
        <v>70</v>
      </c>
      <c r="B69" t="s">
        <v>84</v>
      </c>
      <c r="D69">
        <v>27527</v>
      </c>
      <c r="E69" t="str">
        <f t="shared" si="1"/>
        <v>ia.assorted_string like '%27527-09-2024%' or</v>
      </c>
    </row>
    <row r="70" spans="1:5" x14ac:dyDescent="0.25">
      <c r="A70" t="s">
        <v>71</v>
      </c>
      <c r="B70" t="s">
        <v>85</v>
      </c>
      <c r="D70">
        <v>27590</v>
      </c>
      <c r="E70" t="str">
        <f t="shared" si="1"/>
        <v>ia.assorted_string like '%27590-10-2024%' or</v>
      </c>
    </row>
    <row r="71" spans="1:5" x14ac:dyDescent="0.25">
      <c r="A71" t="s">
        <v>72</v>
      </c>
      <c r="B71" t="s">
        <v>85</v>
      </c>
      <c r="D71">
        <v>27601</v>
      </c>
      <c r="E71" t="str">
        <f t="shared" si="1"/>
        <v>ia.assorted_string like '%27601-10-2024%' or</v>
      </c>
    </row>
    <row r="72" spans="1:5" x14ac:dyDescent="0.25">
      <c r="A72" t="s">
        <v>73</v>
      </c>
      <c r="B72" t="s">
        <v>85</v>
      </c>
      <c r="D72">
        <v>27626</v>
      </c>
      <c r="E72" t="str">
        <f t="shared" si="1"/>
        <v>ia.assorted_string like '%27626-10-2024%' or</v>
      </c>
    </row>
    <row r="73" spans="1:5" x14ac:dyDescent="0.25">
      <c r="A73" t="s">
        <v>74</v>
      </c>
      <c r="B73" t="s">
        <v>85</v>
      </c>
      <c r="D73">
        <v>27663</v>
      </c>
      <c r="E73" t="str">
        <f t="shared" si="1"/>
        <v>ia.assorted_string like '%27663-10-2024%' or</v>
      </c>
    </row>
    <row r="74" spans="1:5" x14ac:dyDescent="0.25">
      <c r="A74" t="s">
        <v>75</v>
      </c>
      <c r="B74" t="s">
        <v>85</v>
      </c>
      <c r="D74">
        <v>27672</v>
      </c>
      <c r="E74" t="str">
        <f t="shared" si="1"/>
        <v>ia.assorted_string like '%27672-10-2024%' or</v>
      </c>
    </row>
    <row r="75" spans="1:5" x14ac:dyDescent="0.25">
      <c r="A75" t="s">
        <v>76</v>
      </c>
      <c r="B75" t="s">
        <v>85</v>
      </c>
      <c r="D75">
        <v>27697</v>
      </c>
      <c r="E75" t="str">
        <f t="shared" si="1"/>
        <v>ia.assorted_string like '%27697-10-2024%' or</v>
      </c>
    </row>
    <row r="76" spans="1:5" x14ac:dyDescent="0.25">
      <c r="A76" t="s">
        <v>77</v>
      </c>
      <c r="B76" t="s">
        <v>85</v>
      </c>
      <c r="D76">
        <v>27721</v>
      </c>
      <c r="E76" t="str">
        <f t="shared" si="1"/>
        <v>ia.assorted_string like '%27721-10-2024%' or</v>
      </c>
    </row>
    <row r="77" spans="1:5" x14ac:dyDescent="0.25">
      <c r="A77" t="s">
        <v>78</v>
      </c>
      <c r="B77" t="s">
        <v>85</v>
      </c>
      <c r="D77">
        <v>27754</v>
      </c>
      <c r="E77" t="str">
        <f t="shared" si="1"/>
        <v>ia.assorted_string like '%27754-10-2024%' or</v>
      </c>
    </row>
    <row r="78" spans="1:5" x14ac:dyDescent="0.25">
      <c r="A78" t="s">
        <v>79</v>
      </c>
      <c r="B78" t="s">
        <v>85</v>
      </c>
      <c r="D78">
        <v>27900</v>
      </c>
      <c r="E78" t="str">
        <f t="shared" si="1"/>
        <v>ia.assorted_string like '%27900-10-2024%' or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A1414-7B5F-4597-B9F4-0587F908938C}">
  <dimension ref="A1:C79"/>
  <sheetViews>
    <sheetView workbookViewId="0">
      <selection activeCell="I8" sqref="I8"/>
    </sheetView>
  </sheetViews>
  <sheetFormatPr defaultColWidth="7.85546875" defaultRowHeight="15" x14ac:dyDescent="0.25"/>
  <cols>
    <col min="1" max="1" width="2.42578125" customWidth="1"/>
    <col min="2" max="2" width="32.85546875" customWidth="1"/>
    <col min="3" max="3" width="13.85546875" customWidth="1"/>
  </cols>
  <sheetData>
    <row r="1" spans="1:3" s="2" customFormat="1" ht="12" x14ac:dyDescent="0.2">
      <c r="A1" s="2" t="s">
        <v>86</v>
      </c>
      <c r="B1" s="2" t="s">
        <v>87</v>
      </c>
      <c r="C1" s="2" t="s">
        <v>88</v>
      </c>
    </row>
    <row r="2" spans="1:3" x14ac:dyDescent="0.25">
      <c r="A2">
        <v>1</v>
      </c>
      <c r="B2" t="s">
        <v>45</v>
      </c>
      <c r="C2" t="s">
        <v>89</v>
      </c>
    </row>
    <row r="3" spans="1:3" x14ac:dyDescent="0.25">
      <c r="A3">
        <v>2</v>
      </c>
      <c r="B3" t="s">
        <v>19</v>
      </c>
      <c r="C3" t="s">
        <v>90</v>
      </c>
    </row>
    <row r="4" spans="1:3" x14ac:dyDescent="0.25">
      <c r="A4">
        <v>3</v>
      </c>
      <c r="B4" t="s">
        <v>23</v>
      </c>
      <c r="C4" t="s">
        <v>91</v>
      </c>
    </row>
    <row r="5" spans="1:3" x14ac:dyDescent="0.25">
      <c r="A5">
        <v>4</v>
      </c>
      <c r="B5" t="s">
        <v>62</v>
      </c>
      <c r="C5" t="s">
        <v>92</v>
      </c>
    </row>
    <row r="6" spans="1:3" x14ac:dyDescent="0.25">
      <c r="A6">
        <v>5</v>
      </c>
      <c r="B6" t="s">
        <v>60</v>
      </c>
      <c r="C6" t="s">
        <v>93</v>
      </c>
    </row>
    <row r="7" spans="1:3" x14ac:dyDescent="0.25">
      <c r="A7">
        <v>6</v>
      </c>
      <c r="B7" t="s">
        <v>61</v>
      </c>
      <c r="C7" t="s">
        <v>94</v>
      </c>
    </row>
    <row r="8" spans="1:3" x14ac:dyDescent="0.25">
      <c r="A8">
        <v>7</v>
      </c>
      <c r="B8" t="s">
        <v>66</v>
      </c>
      <c r="C8" t="s">
        <v>95</v>
      </c>
    </row>
    <row r="9" spans="1:3" x14ac:dyDescent="0.25">
      <c r="A9">
        <v>8</v>
      </c>
      <c r="B9" t="s">
        <v>57</v>
      </c>
      <c r="C9" t="s">
        <v>96</v>
      </c>
    </row>
    <row r="10" spans="1:3" x14ac:dyDescent="0.25">
      <c r="A10">
        <v>9</v>
      </c>
      <c r="B10" t="s">
        <v>77</v>
      </c>
      <c r="C10" t="s">
        <v>97</v>
      </c>
    </row>
    <row r="11" spans="1:3" x14ac:dyDescent="0.25">
      <c r="A11">
        <v>10</v>
      </c>
      <c r="B11" t="s">
        <v>52</v>
      </c>
      <c r="C11" t="s">
        <v>98</v>
      </c>
    </row>
    <row r="12" spans="1:3" x14ac:dyDescent="0.25">
      <c r="A12">
        <v>11</v>
      </c>
      <c r="B12" t="s">
        <v>59</v>
      </c>
      <c r="C12" t="s">
        <v>99</v>
      </c>
    </row>
    <row r="13" spans="1:3" x14ac:dyDescent="0.25">
      <c r="A13">
        <v>12</v>
      </c>
      <c r="B13" t="s">
        <v>71</v>
      </c>
      <c r="C13" t="s">
        <v>100</v>
      </c>
    </row>
    <row r="14" spans="1:3" x14ac:dyDescent="0.25">
      <c r="A14">
        <v>13</v>
      </c>
      <c r="B14" t="s">
        <v>56</v>
      </c>
      <c r="C14" t="s">
        <v>101</v>
      </c>
    </row>
    <row r="15" spans="1:3" x14ac:dyDescent="0.25">
      <c r="A15">
        <v>14</v>
      </c>
      <c r="B15" t="s">
        <v>72</v>
      </c>
      <c r="C15" t="s">
        <v>102</v>
      </c>
    </row>
    <row r="16" spans="1:3" x14ac:dyDescent="0.25">
      <c r="A16">
        <v>15</v>
      </c>
      <c r="B16" t="s">
        <v>48</v>
      </c>
      <c r="C16" t="s">
        <v>103</v>
      </c>
    </row>
    <row r="17" spans="1:3" x14ac:dyDescent="0.25">
      <c r="A17">
        <v>16</v>
      </c>
      <c r="B17" t="s">
        <v>67</v>
      </c>
      <c r="C17" t="s">
        <v>104</v>
      </c>
    </row>
    <row r="18" spans="1:3" x14ac:dyDescent="0.25">
      <c r="A18">
        <v>17</v>
      </c>
      <c r="B18" t="s">
        <v>78</v>
      </c>
      <c r="C18" t="s">
        <v>105</v>
      </c>
    </row>
    <row r="19" spans="1:3" x14ac:dyDescent="0.25">
      <c r="A19">
        <v>18</v>
      </c>
      <c r="B19" t="s">
        <v>73</v>
      </c>
      <c r="C19" t="s">
        <v>106</v>
      </c>
    </row>
    <row r="20" spans="1:3" x14ac:dyDescent="0.25">
      <c r="A20">
        <v>19</v>
      </c>
      <c r="B20" t="s">
        <v>46</v>
      </c>
      <c r="C20" t="s">
        <v>107</v>
      </c>
    </row>
    <row r="21" spans="1:3" x14ac:dyDescent="0.25">
      <c r="A21">
        <v>20</v>
      </c>
      <c r="B21" t="s">
        <v>49</v>
      </c>
      <c r="C21" t="s">
        <v>108</v>
      </c>
    </row>
    <row r="22" spans="1:3" x14ac:dyDescent="0.25">
      <c r="A22">
        <v>21</v>
      </c>
      <c r="B22" t="s">
        <v>68</v>
      </c>
      <c r="C22" t="s">
        <v>109</v>
      </c>
    </row>
    <row r="23" spans="1:3" x14ac:dyDescent="0.25">
      <c r="A23">
        <v>22</v>
      </c>
      <c r="B23" t="s">
        <v>76</v>
      </c>
      <c r="C23" t="s">
        <v>110</v>
      </c>
    </row>
    <row r="24" spans="1:3" x14ac:dyDescent="0.25">
      <c r="A24">
        <v>23</v>
      </c>
      <c r="B24" t="s">
        <v>58</v>
      </c>
      <c r="C24" t="s">
        <v>111</v>
      </c>
    </row>
    <row r="25" spans="1:3" x14ac:dyDescent="0.25">
      <c r="A25">
        <v>24</v>
      </c>
      <c r="B25" t="s">
        <v>64</v>
      </c>
      <c r="C25" t="s">
        <v>112</v>
      </c>
    </row>
    <row r="26" spans="1:3" x14ac:dyDescent="0.25">
      <c r="A26">
        <v>25</v>
      </c>
      <c r="B26" t="s">
        <v>14</v>
      </c>
      <c r="C26" t="s">
        <v>113</v>
      </c>
    </row>
    <row r="27" spans="1:3" x14ac:dyDescent="0.25">
      <c r="A27">
        <v>26</v>
      </c>
      <c r="B27" t="s">
        <v>34</v>
      </c>
      <c r="C27" t="s">
        <v>114</v>
      </c>
    </row>
    <row r="28" spans="1:3" x14ac:dyDescent="0.25">
      <c r="A28">
        <v>27</v>
      </c>
      <c r="B28" t="s">
        <v>7</v>
      </c>
      <c r="C28" t="s">
        <v>115</v>
      </c>
    </row>
    <row r="29" spans="1:3" x14ac:dyDescent="0.25">
      <c r="A29">
        <v>28</v>
      </c>
      <c r="B29" t="s">
        <v>6</v>
      </c>
      <c r="C29" t="s">
        <v>116</v>
      </c>
    </row>
    <row r="30" spans="1:3" x14ac:dyDescent="0.25">
      <c r="A30">
        <v>29</v>
      </c>
      <c r="B30" t="s">
        <v>31</v>
      </c>
      <c r="C30" t="s">
        <v>117</v>
      </c>
    </row>
    <row r="31" spans="1:3" x14ac:dyDescent="0.25">
      <c r="A31">
        <v>30</v>
      </c>
      <c r="B31" t="s">
        <v>24</v>
      </c>
      <c r="C31" t="s">
        <v>118</v>
      </c>
    </row>
    <row r="32" spans="1:3" x14ac:dyDescent="0.25">
      <c r="A32">
        <v>31</v>
      </c>
      <c r="B32" t="s">
        <v>13</v>
      </c>
      <c r="C32" t="s">
        <v>119</v>
      </c>
    </row>
    <row r="33" spans="1:3" x14ac:dyDescent="0.25">
      <c r="A33">
        <v>32</v>
      </c>
      <c r="B33" t="s">
        <v>30</v>
      </c>
      <c r="C33" t="s">
        <v>120</v>
      </c>
    </row>
    <row r="34" spans="1:3" x14ac:dyDescent="0.25">
      <c r="A34">
        <v>33</v>
      </c>
      <c r="B34" t="s">
        <v>16</v>
      </c>
      <c r="C34" t="s">
        <v>121</v>
      </c>
    </row>
    <row r="35" spans="1:3" x14ac:dyDescent="0.25">
      <c r="A35">
        <v>34</v>
      </c>
      <c r="B35" t="s">
        <v>39</v>
      </c>
      <c r="C35" t="s">
        <v>122</v>
      </c>
    </row>
    <row r="36" spans="1:3" x14ac:dyDescent="0.25">
      <c r="A36">
        <v>35</v>
      </c>
      <c r="B36" t="s">
        <v>9</v>
      </c>
      <c r="C36" t="s">
        <v>123</v>
      </c>
    </row>
    <row r="37" spans="1:3" x14ac:dyDescent="0.25">
      <c r="A37">
        <v>36</v>
      </c>
      <c r="B37" t="s">
        <v>8</v>
      </c>
      <c r="C37" t="s">
        <v>124</v>
      </c>
    </row>
    <row r="38" spans="1:3" x14ac:dyDescent="0.25">
      <c r="A38">
        <v>37</v>
      </c>
      <c r="B38" t="s">
        <v>28</v>
      </c>
      <c r="C38" t="s">
        <v>125</v>
      </c>
    </row>
    <row r="39" spans="1:3" x14ac:dyDescent="0.25">
      <c r="A39">
        <v>38</v>
      </c>
      <c r="B39" t="s">
        <v>44</v>
      </c>
      <c r="C39" t="s">
        <v>126</v>
      </c>
    </row>
    <row r="40" spans="1:3" x14ac:dyDescent="0.25">
      <c r="A40">
        <v>39</v>
      </c>
      <c r="B40" t="s">
        <v>4</v>
      </c>
      <c r="C40" t="s">
        <v>127</v>
      </c>
    </row>
    <row r="41" spans="1:3" x14ac:dyDescent="0.25">
      <c r="A41">
        <v>40</v>
      </c>
      <c r="B41" t="s">
        <v>20</v>
      </c>
      <c r="C41" t="s">
        <v>128</v>
      </c>
    </row>
    <row r="42" spans="1:3" x14ac:dyDescent="0.25">
      <c r="A42">
        <v>41</v>
      </c>
      <c r="B42" t="s">
        <v>32</v>
      </c>
      <c r="C42" t="s">
        <v>129</v>
      </c>
    </row>
    <row r="43" spans="1:3" x14ac:dyDescent="0.25">
      <c r="A43">
        <v>42</v>
      </c>
      <c r="B43" t="s">
        <v>15</v>
      </c>
      <c r="C43" t="s">
        <v>130</v>
      </c>
    </row>
    <row r="44" spans="1:3" x14ac:dyDescent="0.25">
      <c r="A44">
        <v>43</v>
      </c>
      <c r="B44" t="s">
        <v>35</v>
      </c>
      <c r="C44" t="s">
        <v>131</v>
      </c>
    </row>
    <row r="45" spans="1:3" x14ac:dyDescent="0.25">
      <c r="A45">
        <v>44</v>
      </c>
      <c r="B45" t="s">
        <v>43</v>
      </c>
      <c r="C45" t="s">
        <v>132</v>
      </c>
    </row>
    <row r="46" spans="1:3" x14ac:dyDescent="0.25">
      <c r="A46">
        <v>45</v>
      </c>
      <c r="B46" t="s">
        <v>17</v>
      </c>
      <c r="C46" t="s">
        <v>133</v>
      </c>
    </row>
    <row r="47" spans="1:3" x14ac:dyDescent="0.25">
      <c r="A47">
        <v>46</v>
      </c>
      <c r="B47" t="s">
        <v>27</v>
      </c>
      <c r="C47" t="s">
        <v>134</v>
      </c>
    </row>
    <row r="48" spans="1:3" x14ac:dyDescent="0.25">
      <c r="A48">
        <v>47</v>
      </c>
      <c r="B48" t="s">
        <v>29</v>
      </c>
      <c r="C48" t="s">
        <v>135</v>
      </c>
    </row>
    <row r="49" spans="1:3" x14ac:dyDescent="0.25">
      <c r="A49">
        <v>48</v>
      </c>
      <c r="B49" t="s">
        <v>22</v>
      </c>
      <c r="C49" t="s">
        <v>136</v>
      </c>
    </row>
    <row r="50" spans="1:3" x14ac:dyDescent="0.25">
      <c r="A50">
        <v>49</v>
      </c>
      <c r="B50" t="s">
        <v>26</v>
      </c>
      <c r="C50" t="s">
        <v>137</v>
      </c>
    </row>
    <row r="51" spans="1:3" x14ac:dyDescent="0.25">
      <c r="A51">
        <v>50</v>
      </c>
      <c r="B51" t="s">
        <v>3</v>
      </c>
      <c r="C51" t="s">
        <v>138</v>
      </c>
    </row>
    <row r="52" spans="1:3" x14ac:dyDescent="0.25">
      <c r="A52">
        <v>51</v>
      </c>
      <c r="B52" t="s">
        <v>38</v>
      </c>
      <c r="C52" t="s">
        <v>139</v>
      </c>
    </row>
    <row r="53" spans="1:3" x14ac:dyDescent="0.25">
      <c r="A53">
        <v>52</v>
      </c>
      <c r="B53" t="s">
        <v>21</v>
      </c>
      <c r="C53" t="s">
        <v>140</v>
      </c>
    </row>
    <row r="54" spans="1:3" x14ac:dyDescent="0.25">
      <c r="A54">
        <v>53</v>
      </c>
      <c r="B54" t="s">
        <v>18</v>
      </c>
      <c r="C54" t="s">
        <v>141</v>
      </c>
    </row>
    <row r="55" spans="1:3" x14ac:dyDescent="0.25">
      <c r="A55">
        <v>54</v>
      </c>
      <c r="B55" t="s">
        <v>10</v>
      </c>
      <c r="C55" t="s">
        <v>142</v>
      </c>
    </row>
    <row r="56" spans="1:3" x14ac:dyDescent="0.25">
      <c r="A56">
        <v>55</v>
      </c>
      <c r="B56" t="s">
        <v>25</v>
      </c>
      <c r="C56" t="s">
        <v>143</v>
      </c>
    </row>
    <row r="57" spans="1:3" x14ac:dyDescent="0.25">
      <c r="A57">
        <v>56</v>
      </c>
      <c r="B57" t="s">
        <v>5</v>
      </c>
      <c r="C57" t="s">
        <v>144</v>
      </c>
    </row>
    <row r="58" spans="1:3" x14ac:dyDescent="0.25">
      <c r="A58">
        <v>57</v>
      </c>
      <c r="B58" t="s">
        <v>41</v>
      </c>
      <c r="C58" t="s">
        <v>145</v>
      </c>
    </row>
    <row r="59" spans="1:3" x14ac:dyDescent="0.25">
      <c r="A59">
        <v>58</v>
      </c>
      <c r="B59" t="s">
        <v>40</v>
      </c>
      <c r="C59" t="s">
        <v>146</v>
      </c>
    </row>
    <row r="60" spans="1:3" x14ac:dyDescent="0.25">
      <c r="A60">
        <v>59</v>
      </c>
      <c r="B60" t="s">
        <v>42</v>
      </c>
      <c r="C60" t="s">
        <v>147</v>
      </c>
    </row>
    <row r="61" spans="1:3" x14ac:dyDescent="0.25">
      <c r="A61">
        <v>60</v>
      </c>
      <c r="B61" t="s">
        <v>12</v>
      </c>
      <c r="C61" t="s">
        <v>148</v>
      </c>
    </row>
    <row r="62" spans="1:3" x14ac:dyDescent="0.25">
      <c r="A62">
        <v>61</v>
      </c>
      <c r="B62" t="s">
        <v>11</v>
      </c>
      <c r="C62" t="s">
        <v>149</v>
      </c>
    </row>
    <row r="63" spans="1:3" x14ac:dyDescent="0.25">
      <c r="A63">
        <v>62</v>
      </c>
      <c r="B63" t="s">
        <v>69</v>
      </c>
      <c r="C63" t="s">
        <v>150</v>
      </c>
    </row>
    <row r="64" spans="1:3" x14ac:dyDescent="0.25">
      <c r="A64">
        <v>63</v>
      </c>
      <c r="B64" t="s">
        <v>75</v>
      </c>
      <c r="C64" t="s">
        <v>151</v>
      </c>
    </row>
    <row r="65" spans="1:3" x14ac:dyDescent="0.25">
      <c r="A65">
        <v>64</v>
      </c>
      <c r="B65" t="s">
        <v>53</v>
      </c>
      <c r="C65" t="s">
        <v>152</v>
      </c>
    </row>
    <row r="66" spans="1:3" x14ac:dyDescent="0.25">
      <c r="A66">
        <v>65</v>
      </c>
      <c r="B66" t="s">
        <v>70</v>
      </c>
      <c r="C66" t="s">
        <v>153</v>
      </c>
    </row>
    <row r="67" spans="1:3" x14ac:dyDescent="0.25">
      <c r="A67">
        <v>66</v>
      </c>
      <c r="B67" t="s">
        <v>74</v>
      </c>
      <c r="C67" t="s">
        <v>154</v>
      </c>
    </row>
    <row r="68" spans="1:3" x14ac:dyDescent="0.25">
      <c r="A68">
        <v>67</v>
      </c>
      <c r="B68" t="s">
        <v>55</v>
      </c>
      <c r="C68" t="s">
        <v>155</v>
      </c>
    </row>
    <row r="69" spans="1:3" x14ac:dyDescent="0.25">
      <c r="A69">
        <v>68</v>
      </c>
      <c r="B69" t="s">
        <v>51</v>
      </c>
      <c r="C69" t="s">
        <v>156</v>
      </c>
    </row>
    <row r="70" spans="1:3" x14ac:dyDescent="0.25">
      <c r="A70">
        <v>69</v>
      </c>
      <c r="B70" t="s">
        <v>47</v>
      </c>
      <c r="C70" t="s">
        <v>157</v>
      </c>
    </row>
    <row r="71" spans="1:3" x14ac:dyDescent="0.25">
      <c r="A71">
        <v>70</v>
      </c>
      <c r="B71" t="s">
        <v>50</v>
      </c>
      <c r="C71" t="s">
        <v>158</v>
      </c>
    </row>
    <row r="72" spans="1:3" x14ac:dyDescent="0.25">
      <c r="A72">
        <v>71</v>
      </c>
      <c r="B72" t="s">
        <v>63</v>
      </c>
      <c r="C72" t="s">
        <v>159</v>
      </c>
    </row>
    <row r="73" spans="1:3" x14ac:dyDescent="0.25">
      <c r="A73">
        <v>72</v>
      </c>
      <c r="B73" t="s">
        <v>79</v>
      </c>
      <c r="C73" t="s">
        <v>160</v>
      </c>
    </row>
    <row r="74" spans="1:3" x14ac:dyDescent="0.25">
      <c r="A74">
        <v>73</v>
      </c>
      <c r="B74" t="s">
        <v>54</v>
      </c>
      <c r="C74" t="s">
        <v>161</v>
      </c>
    </row>
    <row r="75" spans="1:3" x14ac:dyDescent="0.25">
      <c r="A75">
        <v>74</v>
      </c>
      <c r="B75" t="s">
        <v>65</v>
      </c>
      <c r="C75" t="s">
        <v>162</v>
      </c>
    </row>
    <row r="76" spans="1:3" x14ac:dyDescent="0.25">
      <c r="A76">
        <v>75</v>
      </c>
      <c r="B76" t="s">
        <v>37</v>
      </c>
      <c r="C76" t="s">
        <v>163</v>
      </c>
    </row>
    <row r="77" spans="1:3" x14ac:dyDescent="0.25">
      <c r="A77">
        <v>76</v>
      </c>
      <c r="B77" t="s">
        <v>36</v>
      </c>
      <c r="C77" t="s">
        <v>164</v>
      </c>
    </row>
    <row r="78" spans="1:3" x14ac:dyDescent="0.25">
      <c r="A78">
        <v>77</v>
      </c>
      <c r="B78" t="s">
        <v>2</v>
      </c>
      <c r="C78" t="s">
        <v>165</v>
      </c>
    </row>
    <row r="79" spans="1:3" x14ac:dyDescent="0.25">
      <c r="A79">
        <v>78</v>
      </c>
      <c r="B79" t="s">
        <v>33</v>
      </c>
      <c r="C79" t="s">
        <v>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WORKING</vt:lpstr>
      <vt:lpstr>Sheet3</vt:lpstr>
      <vt:lpstr>policy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Omair Ali</dc:creator>
  <cp:lastModifiedBy>IT User Software</cp:lastModifiedBy>
  <dcterms:created xsi:type="dcterms:W3CDTF">2024-11-05T05:36:05Z</dcterms:created>
  <dcterms:modified xsi:type="dcterms:W3CDTF">2024-11-05T10:34:37Z</dcterms:modified>
</cp:coreProperties>
</file>