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30-May-2025\"/>
    </mc:Choice>
  </mc:AlternateContent>
  <xr:revisionPtr revIDLastSave="0" documentId="8_{395E9338-17AA-466F-80F7-819FE9FDDA34}" xr6:coauthVersionLast="47" xr6:coauthVersionMax="47" xr10:uidLastSave="{00000000-0000-0000-0000-000000000000}"/>
  <bookViews>
    <workbookView xWindow="-120" yWindow="-120" windowWidth="20640" windowHeight="11040" tabRatio="500" firstSheet="1" activeTab="2" xr2:uid="{A305203B-FCB5-475B-8F18-BA4B1F9BC1B5}"/>
  </bookViews>
  <sheets>
    <sheet name="Sheet1" sheetId="1" state="hidden" r:id="rId1"/>
    <sheet name="Sheet2" sheetId="2" r:id="rId2"/>
    <sheet name="working" sheetId="4" r:id="rId3"/>
    <sheet name="Sheet5" sheetId="5" r:id="rId4"/>
    <sheet name="policy" sheetId="6" r:id="rId5"/>
    <sheet name="Sheet3" sheetId="3" state="hidden" r:id="rId6"/>
  </sheets>
  <definedNames>
    <definedName name="_xlnm._FilterDatabase" localSheetId="0" hidden="1">Sheet1!$A$1:$R$165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C16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2" i="4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" i="5"/>
  <c r="F2" i="4"/>
  <c r="D2" i="4"/>
  <c r="H2" i="4" l="1"/>
  <c r="G140" i="2" l="1"/>
  <c r="C160" i="2"/>
  <c r="R161" i="1"/>
  <c r="R163" i="1"/>
  <c r="R165" i="1"/>
  <c r="Q161" i="1"/>
  <c r="P161" i="1"/>
  <c r="O161" i="1"/>
  <c r="N161" i="1"/>
</calcChain>
</file>

<file path=xl/sharedStrings.xml><?xml version="1.0" encoding="utf-8"?>
<sst xmlns="http://schemas.openxmlformats.org/spreadsheetml/2006/main" count="2577" uniqueCount="375">
  <si>
    <t>AGENCY CODE</t>
  </si>
  <si>
    <t>KHI/HO/D/HLGRP HEALTH/P/2775/11/2023</t>
  </si>
  <si>
    <t>KHI/HO/D/HLGRP HEALTH/E/22529/11/2023</t>
  </si>
  <si>
    <t xml:space="preserve"> -</t>
  </si>
  <si>
    <t xml:space="preserve"> HEALTH</t>
  </si>
  <si>
    <t xml:space="preserve"> 08814016</t>
  </si>
  <si>
    <t>IMTIAZ GROUP (SMC-PRIVATE) LIMITED</t>
  </si>
  <si>
    <t xml:space="preserve"> D</t>
  </si>
  <si>
    <t>09000221-Muhammad Irfan</t>
  </si>
  <si>
    <t>KHI/HO/D/HLGRP HEALTH/E/22580/11/2023</t>
  </si>
  <si>
    <t>KHI/HO/D/HLGRP HEALTH/E/22744/11/2023</t>
  </si>
  <si>
    <t>KHI/HO/D/HLGRP HEALTH/E/22751/11/2023</t>
  </si>
  <si>
    <t>KHI/HO/D/HLGRP HEALTH/E/22828/11/2023</t>
  </si>
  <si>
    <t>KHI/HO/D/HLGRP HEALTH/E/22877/12/2023</t>
  </si>
  <si>
    <t>KHI/HO/D/HLGRP HEALTH/E/22895/12/2023</t>
  </si>
  <si>
    <t>KHI/HO/D/HLGRP HEALTH/E/22921/12/2023</t>
  </si>
  <si>
    <t>KHI/HO/D/HLGRP HEALTH/E/22974/12/2023</t>
  </si>
  <si>
    <t>KHI/HO/D/HLGRP HEALTH/E/23025/12/2023</t>
  </si>
  <si>
    <t>KHI/HO/D/HLGRP HEALTH/E/23043/12/2023</t>
  </si>
  <si>
    <t>KHI/HO/D/HLGRP HEALTH/E/23074/12/2023</t>
  </si>
  <si>
    <t>KHI/HO/D/HLGRP HEALTH/E/23107/12/2023</t>
  </si>
  <si>
    <t>KHI/HO/D/HLGRP HEALTH/E/23127/12/2023</t>
  </si>
  <si>
    <t>KHI/HO/D/HLGRP HEALTH/E/23229/12/2023</t>
  </si>
  <si>
    <t>KHI/HO/D/HLGRP HEALTH/E/23242/12/2023</t>
  </si>
  <si>
    <t>KHI/HO/D/HLGRP HEALTH/E/23294/12/2023</t>
  </si>
  <si>
    <t>KHI/HO/D/HLGRP HEALTH/E/23322/01/2024</t>
  </si>
  <si>
    <t>KHI/HO/D/HLGRP HEALTH/E/23344/01/2024</t>
  </si>
  <si>
    <t>KHI/HO/D/HLGRP HEALTH/E/23416/01/2024</t>
  </si>
  <si>
    <t>KHI/HO/D/HLGRP HEALTH/E/23445/01/2024</t>
  </si>
  <si>
    <t>KHI/HO/D/HLGRP HEALTH/E/23467/01/2024</t>
  </si>
  <si>
    <t>KHI/HO/D/HLGRP HEALTH/E/23519/01/2024</t>
  </si>
  <si>
    <t>KHI/HO/D/HLGRP HEALTH/E/23554/01/2024</t>
  </si>
  <si>
    <t>KHI/HO/D/HLGRP HEALTH/E/23584/01/2024</t>
  </si>
  <si>
    <t>KHI/HO/D/HLGRP HEALTH/E/23589/01/2024</t>
  </si>
  <si>
    <t>KHI/HO/D/HLGRP HEALTH/E/23619/01/2024</t>
  </si>
  <si>
    <t>KHI/HO/D/HLGRP HEALTH/E/23743/01/2024</t>
  </si>
  <si>
    <t>KHI/HO/D/HLGRP HEALTH/E/23752/01/2024</t>
  </si>
  <si>
    <t>KHI/HO/D/HLGRP HEALTH/E/23793/01/2024</t>
  </si>
  <si>
    <t>KHI/HO/D/HLGRP HEALTH/E/23825/01/2024</t>
  </si>
  <si>
    <t>KHI/HO/D/HLGRP HEALTH/E/23888/02/2024</t>
  </si>
  <si>
    <t>KHI/HO/D/HLGRP HEALTH/E/23897/02/2024</t>
  </si>
  <si>
    <t>KHI/HO/D/HLGRP HEALTH/E/23910/02/2024</t>
  </si>
  <si>
    <t>KHI/HO/D/HLGRP HEALTH/E/23921/02/2024</t>
  </si>
  <si>
    <t>KHI/HO/D/HLGRP HEALTH/E/23947/02/2024</t>
  </si>
  <si>
    <t>KHI/HO/D/HLGRP HEALTH/E/23954/02/2024</t>
  </si>
  <si>
    <t>KHI/HO/D/HLGRP HEALTH/E/24074/02/2024</t>
  </si>
  <si>
    <t>KHI/HO/D/HLGRP HEALTH/E/24153/02/2024</t>
  </si>
  <si>
    <t>KHI/HO/D/HLGRP HEALTH/E/24190/02/2024</t>
  </si>
  <si>
    <t>KHI/HO/D/HLGRP HEALTH/E/24238/02/2024</t>
  </si>
  <si>
    <t>KHI/HO/D/HLGRP HEALTH/E/24240/02/2024</t>
  </si>
  <si>
    <t>KHI/HO/D/HLGRP HEALTH/E/24264/02/2024</t>
  </si>
  <si>
    <t>KHI/HO/D/HLGRP HEALTH/E/24313/03/2024</t>
  </si>
  <si>
    <t>KHI/HO/D/HLGRP HEALTH/E/24326/03/2024</t>
  </si>
  <si>
    <t>KHI/HO/D/HLGRP HEALTH/E/24344/03/2024</t>
  </si>
  <si>
    <t>KHI/HO/D/HLGRP HEALTH/E/24377/03/2024</t>
  </si>
  <si>
    <t>KHI/HO/D/HLGRP HEALTH/E/24408/03/2024</t>
  </si>
  <si>
    <t>KHI/HO/D/HLGRP HEALTH/E/24412/03/2024</t>
  </si>
  <si>
    <t>KHI/HO/D/HLGRP HEALTH/E/24428/03/2024</t>
  </si>
  <si>
    <t>KHI/HO/D/HLGRP HEALTH/E/24467/03/2024</t>
  </si>
  <si>
    <t>KHI/HO/D/HLGRP HEALTH/E/24492/03/2024</t>
  </si>
  <si>
    <t>KHI/HO/D/HLGRP HEALTH/E/24559/03/2024</t>
  </si>
  <si>
    <t>KHI/HO/D/HLGRP HEALTH/E/24612/03/2024</t>
  </si>
  <si>
    <t>KHI/HO/D/HLGRP HEALTH/E/24657/03/2024</t>
  </si>
  <si>
    <t>KHI/HO/D/HLGRP HEALTH/E/24671/03/2024</t>
  </si>
  <si>
    <t>KHI/HO/D/HLGRP HEALTH/E/24757/04/2024</t>
  </si>
  <si>
    <t>KHI/HO/D/HLGRP HEALTH/E/24764/04/2024</t>
  </si>
  <si>
    <t>KHI/HO/D/HLGRP HEALTH/E/24781/04/2024</t>
  </si>
  <si>
    <t>KHI/HO/D/HLGRP HEALTH/E/24876/04/2024</t>
  </si>
  <si>
    <t>KHI/HO/D/HLGRP HEALTH/E/24948/04/2024</t>
  </si>
  <si>
    <t>KHI/HO/D/HLGRP HEALTH/E/25009/04/2024</t>
  </si>
  <si>
    <t>KHI/HO/D/HLGRP HEALTH/E/25056/04/2024</t>
  </si>
  <si>
    <t>KHI/HO/D/HLGRP HEALTH/E/25086/04/2024</t>
  </si>
  <si>
    <t>KHI/HO/D/HLGRP HEALTH/E/25121/05/2024</t>
  </si>
  <si>
    <t>KHI/HO/D/HLGRP HEALTH/E/25125/05/2024</t>
  </si>
  <si>
    <t>KHI/HO/D/HLGRP HEALTH/E/25136/05/2024</t>
  </si>
  <si>
    <t>KHI/HO/D/HLGRP HEALTH/E/25167/05/2024</t>
  </si>
  <si>
    <t>KHI/HO/D/HLGRP HEALTH/E/25226/05/2024</t>
  </si>
  <si>
    <t>KHI/HO/D/HLGRP HEALTH/E/25288/05/2024</t>
  </si>
  <si>
    <t>KHI/HO/D/HLGRP HEALTH/E/25303/05/2024</t>
  </si>
  <si>
    <t>KHI/HO/D/HLGRP HEALTH/E/25321/05/2024</t>
  </si>
  <si>
    <t>KHI/HO/D/HLGRP HEALTH/E/25337/05/2024</t>
  </si>
  <si>
    <t>KHI/HO/D/HLGRP HEALTH/E/25393/05/2024</t>
  </si>
  <si>
    <t>KHI/HO/D/HLGRP HEALTH/E/25434/05/2024</t>
  </si>
  <si>
    <t>KHI/HO/D/HLGRP HEALTH/E/25526/05/2024</t>
  </si>
  <si>
    <t>KHI/HO/D/HLGRP HEALTH/E/25551/05/2024</t>
  </si>
  <si>
    <t>KHI/HO/D/HLGRP HEALTH/E/25572/06/2024</t>
  </si>
  <si>
    <t>KHI/HO/D/HLGRP HEALTH/E/25596/06/2024</t>
  </si>
  <si>
    <t>KHI/HO/D/HLGRP HEALTH/E/25636/06/2024</t>
  </si>
  <si>
    <t>KHI/HO/D/HLGRP HEALTH/E/25662/06/2024</t>
  </si>
  <si>
    <t>KHI/HO/D/HLGRP HEALTH/E/25727/06/2024</t>
  </si>
  <si>
    <t>KHI/HO/D/HLGRP HEALTH/E/25760/06/2024</t>
  </si>
  <si>
    <t>KHI/HO/D/HLGRP HEALTH/E/25772/06/2024</t>
  </si>
  <si>
    <t>KHI/HO/D/HLGRP HEALTH/E/25781/06/2024</t>
  </si>
  <si>
    <t>KHI/HO/D/HLGRP HEALTH/E/25863/06/2024</t>
  </si>
  <si>
    <t>KHI/HO/D/HLGRP HEALTH/E/25930/06/2024</t>
  </si>
  <si>
    <t>KHI/HO/D/HLGRP HEALTH/E/25986/07/2024</t>
  </si>
  <si>
    <t>KHI/HO/D/HLGRP HEALTH/E/26041/07/2024</t>
  </si>
  <si>
    <t>KHI/HO/D/HLGRP HEALTH/E/26091/07/2024</t>
  </si>
  <si>
    <t>KHI/HO/D/HLGRP HEALTH/E/26152/07/2024</t>
  </si>
  <si>
    <t>KHI/HO/D/HLGRP HEALTH/E/26187/07/2024</t>
  </si>
  <si>
    <t>KHI/HO/D/HLGRP HEALTH/E/26216/07/2024</t>
  </si>
  <si>
    <t>KHI/HO/D/HLGRP HEALTH/E/26285/07/2024</t>
  </si>
  <si>
    <t>KHI/HO/D/HLGRP HEALTH/E/26324/07/2024</t>
  </si>
  <si>
    <t>KHI/HO/D/HLGRP HEALTH/E/26382/08/2024</t>
  </si>
  <si>
    <t>KHI/HO/D/HLGRP HEALTH/E/26423/08/2024</t>
  </si>
  <si>
    <t>KHI/HO/D/HLGRP HEALTH/E/26483/08/2024</t>
  </si>
  <si>
    <t>KHI/HO/D/HLGRP HEALTH/E/26562/08/2024</t>
  </si>
  <si>
    <t>KHI/HO/D/HLGRP HEALTH/E/26600/08/2024</t>
  </si>
  <si>
    <t>KHI/HO/D/HLGRP HEALTH/E/26623/08/2024</t>
  </si>
  <si>
    <t>KHI/HO/D/HLGRP HEALTH/E/26639/08/2024</t>
  </si>
  <si>
    <t>KHI/HO/D/HLGRP HEALTH/E/26673/08/2024</t>
  </si>
  <si>
    <t>KHI/HO/D/HLGRP HEALTH/E/26720/08/2024</t>
  </si>
  <si>
    <t>KHI/HO/D/HLGRP HEALTH/E/26781/08/2024</t>
  </si>
  <si>
    <t>KHI/HO/D/HLGRP HEALTH/E/26879/08/2024</t>
  </si>
  <si>
    <t>KHI/HO/D/HLGRP HEALTH/E/26933/09/2024</t>
  </si>
  <si>
    <t>KHI/HO/D/HLGRP HEALTH/E/26973/09/2024</t>
  </si>
  <si>
    <t>KHI/HO/D/HLGRP HEALTH/E/27001/09/2024</t>
  </si>
  <si>
    <t>KHI/HO/D/HLGRP HEALTH/E/27004/09/2024</t>
  </si>
  <si>
    <t>KHI/HO/D/HLGRP HEALTH/E/27009/09/2024</t>
  </si>
  <si>
    <t>KHI/HO/D/HLGRP HEALTH/E/27197/09/2024</t>
  </si>
  <si>
    <t>KHI/HO/D/HLGRP HEALTH/E/27222/09/2024</t>
  </si>
  <si>
    <t>KHI/HO/D/HLGRP HEALTH/E/27251/09/2024</t>
  </si>
  <si>
    <t>KHI/HO/D/HLGRP HEALTH/E/27394/09/2024</t>
  </si>
  <si>
    <t>KHI/HO/D/HLGRP HEALTH/E/27433/09/2024</t>
  </si>
  <si>
    <t>KHI/HO/D/HLGRP HEALTH/E/27525/09/2024</t>
  </si>
  <si>
    <t>KHI/HO/D/HLGRP HEALTH/E/27559/09/2024</t>
  </si>
  <si>
    <t>KHI/HO/D/HLGRP HEALTH/E/27586/10/2024</t>
  </si>
  <si>
    <t>KHI/HO/D/HLGRP HEALTH/E/27588/10/2024</t>
  </si>
  <si>
    <t>KHI/HO/D/HLGRP HEALTH/E/27611/10/2024</t>
  </si>
  <si>
    <t>KHI/HO/D/HLGRP HEALTH/E/27631/10/2024</t>
  </si>
  <si>
    <t>KHI/HO/D/HLGRP HEALTH/E/27681/10/2024</t>
  </si>
  <si>
    <t>KHI/HO/D/HLGRP HEALTH/E/27735/10/2024</t>
  </si>
  <si>
    <t>KHI/HO/D/HLGRP HEALTH/E/27747/10/2024</t>
  </si>
  <si>
    <t>KHI/HO/D/HLGRP HEALTH/E/27832/10/2024</t>
  </si>
  <si>
    <t>KHI/HO/D/HLGRP HEALTH/E/27897/10/2024</t>
  </si>
  <si>
    <t>KHI/HO/D/HLGRP HEALTH/E/28010/10/2024</t>
  </si>
  <si>
    <t>KHI/HO/D/HLGRP HEALTH/E/28020/10/2024</t>
  </si>
  <si>
    <t>KHI/HO/D/HLGRP HEALTH/E/28053/10/2024</t>
  </si>
  <si>
    <t>KHI/HO/D/HLGRP HEALTH/E/28072/10/2024</t>
  </si>
  <si>
    <t>KHI/HO/D/HLGRP HEALTH/E/28094/10/2024</t>
  </si>
  <si>
    <t>KHI/HO/D/HLGRP HEALTH/E/28113/10/2024</t>
  </si>
  <si>
    <t>KHI/HO/D/HLGRP HEALTH/E/28162/10/2024</t>
  </si>
  <si>
    <t>KHI/HO/D/HLGRP HEALTH/E/28276/11/2024</t>
  </si>
  <si>
    <t>KHI/HO/D/HLGRP HEALTH/E/28997/12/2024</t>
  </si>
  <si>
    <t>KHI/HO/D/HLGRP HEALTH/E/30885/05/2025</t>
  </si>
  <si>
    <t>KHI/HO/D/HLGRP HEALTH/P/3354/11/2024</t>
  </si>
  <si>
    <t>KHI/HO/D/HLGRP HEALTH/E/28862/11/2024</t>
  </si>
  <si>
    <t>KHI/HO/D/HLGRP HEALTH/E/28896/12/2024</t>
  </si>
  <si>
    <t>KHI/HO/D/HLGRP HEALTH/E/28910/12/2024</t>
  </si>
  <si>
    <t>KHI/HO/D/HLGRP HEALTH/E/28931/12/2024</t>
  </si>
  <si>
    <t>KHI/HO/D/HLGRP HEALTH/E/28961/12/2024</t>
  </si>
  <si>
    <t>KHI/HO/D/HLGRP HEALTH/E/28968/12/2024</t>
  </si>
  <si>
    <t>KHI/HO/D/HLGRP HEALTH/E/28998/12/2024</t>
  </si>
  <si>
    <t>KHI/HO/D/HLGRP HEALTH/E/29043/12/2024</t>
  </si>
  <si>
    <t>KHI/HO/D/HLGRP HEALTH/E/29133/12/2024</t>
  </si>
  <si>
    <t>KHI/HO/D/HLGRP HEALTH/E/29146/12/2024</t>
  </si>
  <si>
    <t>KHI/HO/D/HLGRP HEALTH/E/29149/12/2024</t>
  </si>
  <si>
    <t>KHI/HO/D/HLGRP HEALTH/E/29322/12/2024</t>
  </si>
  <si>
    <t>KHI/HO/D/HLGRP HEALTH/E/29361/12/2024</t>
  </si>
  <si>
    <t>KHI/HO/D/HLGRP HEALTH/E/29460/01/2025</t>
  </si>
  <si>
    <t>KHI/HO/D/HLGRP HEALTH/E/29509/01/2025</t>
  </si>
  <si>
    <t>KHI/HO/D/HLGRP HEALTH/E/29621/01/2025</t>
  </si>
  <si>
    <t>KHI/HO/D/HLGRP HEALTH/E/29687/01/2025</t>
  </si>
  <si>
    <t>KHI/HO/D/HLGRP HEALTH/E/29694/01/2025</t>
  </si>
  <si>
    <t>KHI/HO/D/HLGRP HEALTH/E/29859/01/2025</t>
  </si>
  <si>
    <t>KHI/HO/D/HLGRP HEALTH/E/29881/01/2025</t>
  </si>
  <si>
    <t>KHI/HO/D/HLGRP HEALTH/E/30884/05/2025</t>
  </si>
  <si>
    <t>OS Fluctuations:</t>
  </si>
  <si>
    <t>S.NO.</t>
  </si>
  <si>
    <t>POLICY</t>
  </si>
  <si>
    <t>ENDORSEMENT</t>
  </si>
  <si>
    <t>BRANCH COVERNOTE NO.</t>
  </si>
  <si>
    <t>CLASS</t>
  </si>
  <si>
    <t>ISSUE DATE</t>
  </si>
  <si>
    <t>PERIOD
FROM</t>
  </si>
  <si>
    <t>PERIOD
TO</t>
  </si>
  <si>
    <t>CLIENT
CODE</t>
  </si>
  <si>
    <t>CLIENT NAME</t>
  </si>
  <si>
    <t>TYPE</t>
  </si>
  <si>
    <t>SUM COVERED</t>
  </si>
  <si>
    <t>PAID</t>
  </si>
  <si>
    <t>CO PAID</t>
  </si>
  <si>
    <t>Add: Recovery Claim Amount:</t>
  </si>
  <si>
    <t>Less: Payable Claims;</t>
  </si>
  <si>
    <t>Received Cheque Amount:</t>
  </si>
  <si>
    <t>GROSS CONTRIBUTION</t>
  </si>
  <si>
    <t>NET CONTRIBUTION</t>
  </si>
  <si>
    <t>OUTSTANDING CONTRIBUTION</t>
  </si>
  <si>
    <t>Total Receivable Amount:</t>
  </si>
  <si>
    <t>OS</t>
  </si>
  <si>
    <t>CLAIM PAYABLES</t>
  </si>
  <si>
    <t>HEALTH POLICY</t>
  </si>
  <si>
    <t>HEALTH SALVAGE CLAIM RECEIVALBLE NO</t>
  </si>
  <si>
    <t>HEALTH ENDORSEMENT</t>
  </si>
  <si>
    <t>-11-2023</t>
  </si>
  <si>
    <t>-12-2023</t>
  </si>
  <si>
    <t>-01-2024</t>
  </si>
  <si>
    <t>-02-2024</t>
  </si>
  <si>
    <t>-03-2024</t>
  </si>
  <si>
    <t>-04-2024</t>
  </si>
  <si>
    <t>-05-2024</t>
  </si>
  <si>
    <t>-06-2024</t>
  </si>
  <si>
    <t>-07-2024</t>
  </si>
  <si>
    <t>-08-2024</t>
  </si>
  <si>
    <t>-09-2024</t>
  </si>
  <si>
    <t>-10-2024</t>
  </si>
  <si>
    <t>-11-2024</t>
  </si>
  <si>
    <t>-12-2024</t>
  </si>
  <si>
    <t>-05-2025</t>
  </si>
  <si>
    <t xml:space="preserve">   </t>
  </si>
  <si>
    <t>FUNC_ASSORTED_STRING(IA.ASSORTED_CODE)</t>
  </si>
  <si>
    <t>ASSORTED_CODE</t>
  </si>
  <si>
    <t>050000777819</t>
  </si>
  <si>
    <t>050000683578</t>
  </si>
  <si>
    <t>050000700695</t>
  </si>
  <si>
    <t>050000726599</t>
  </si>
  <si>
    <t>050000679072</t>
  </si>
  <si>
    <t>050000693940</t>
  </si>
  <si>
    <t>050000710158</t>
  </si>
  <si>
    <t>050000692044</t>
  </si>
  <si>
    <t>050000681751</t>
  </si>
  <si>
    <t>050000701416</t>
  </si>
  <si>
    <t>050000687304</t>
  </si>
  <si>
    <t>050000718164</t>
  </si>
  <si>
    <t>050000707065</t>
  </si>
  <si>
    <t>050000710366</t>
  </si>
  <si>
    <t>050000724903</t>
  </si>
  <si>
    <t>050000718490</t>
  </si>
  <si>
    <t>050000711021</t>
  </si>
  <si>
    <t>050000698082</t>
  </si>
  <si>
    <t>050000702073</t>
  </si>
  <si>
    <t>050000691075</t>
  </si>
  <si>
    <t>050000692332</t>
  </si>
  <si>
    <t>050000699071</t>
  </si>
  <si>
    <t>050000700825</t>
  </si>
  <si>
    <t>050000701955</t>
  </si>
  <si>
    <t>050000685755</t>
  </si>
  <si>
    <t>050000678854</t>
  </si>
  <si>
    <t>050000697828</t>
  </si>
  <si>
    <t>050000689315</t>
  </si>
  <si>
    <t>050000705523</t>
  </si>
  <si>
    <t>050000721475</t>
  </si>
  <si>
    <t>050000681384</t>
  </si>
  <si>
    <t>050000705122</t>
  </si>
  <si>
    <t>050000711028</t>
  </si>
  <si>
    <t>050000692006</t>
  </si>
  <si>
    <t>050000690885</t>
  </si>
  <si>
    <t>050000724671</t>
  </si>
  <si>
    <t>050000688864</t>
  </si>
  <si>
    <t>050000681167</t>
  </si>
  <si>
    <t>050000718526</t>
  </si>
  <si>
    <t>050000718280</t>
  </si>
  <si>
    <t>050000684243</t>
  </si>
  <si>
    <t>050000705813</t>
  </si>
  <si>
    <t>050000694422</t>
  </si>
  <si>
    <t>050000709797</t>
  </si>
  <si>
    <t>050000730207</t>
  </si>
  <si>
    <t>050000688402</t>
  </si>
  <si>
    <t>050000725052</t>
  </si>
  <si>
    <t>050000732116</t>
  </si>
  <si>
    <t>050000716611</t>
  </si>
  <si>
    <t>050000723943</t>
  </si>
  <si>
    <t>050000728193</t>
  </si>
  <si>
    <t>050000740474</t>
  </si>
  <si>
    <t>050000739579</t>
  </si>
  <si>
    <t>050000738396</t>
  </si>
  <si>
    <t>050000724968</t>
  </si>
  <si>
    <t>050000710330</t>
  </si>
  <si>
    <t>050000729260</t>
  </si>
  <si>
    <t>050000740686</t>
  </si>
  <si>
    <t>050000728938</t>
  </si>
  <si>
    <t>050000741308</t>
  </si>
  <si>
    <t>050000739262</t>
  </si>
  <si>
    <t>050000729210</t>
  </si>
  <si>
    <t>050000740645</t>
  </si>
  <si>
    <t>050000737701</t>
  </si>
  <si>
    <t>050000726656</t>
  </si>
  <si>
    <t>050000740700</t>
  </si>
  <si>
    <t>050000733550</t>
  </si>
  <si>
    <t>050000721978</t>
  </si>
  <si>
    <t>050000719700</t>
  </si>
  <si>
    <t>050000747327</t>
  </si>
  <si>
    <t>050000779257</t>
  </si>
  <si>
    <t>050000800073</t>
  </si>
  <si>
    <t>050000778899</t>
  </si>
  <si>
    <t>050000788840</t>
  </si>
  <si>
    <t>050000815695</t>
  </si>
  <si>
    <t>050000785772</t>
  </si>
  <si>
    <t>050000798031</t>
  </si>
  <si>
    <t>050000780651</t>
  </si>
  <si>
    <t>050000798944</t>
  </si>
  <si>
    <t>050000792357</t>
  </si>
  <si>
    <t>050000813091</t>
  </si>
  <si>
    <t>050000778119</t>
  </si>
  <si>
    <t>050000786433</t>
  </si>
  <si>
    <t>050000798329</t>
  </si>
  <si>
    <t>050000795464</t>
  </si>
  <si>
    <t>050000817482</t>
  </si>
  <si>
    <t>050000814291</t>
  </si>
  <si>
    <t>050000778714</t>
  </si>
  <si>
    <t>050000786192</t>
  </si>
  <si>
    <t>050000786438</t>
  </si>
  <si>
    <t>050000786430</t>
  </si>
  <si>
    <t>050000813692</t>
  </si>
  <si>
    <t>050000795461</t>
  </si>
  <si>
    <t>050000789479</t>
  </si>
  <si>
    <t>050000795580</t>
  </si>
  <si>
    <t>050000795522</t>
  </si>
  <si>
    <t>050000791176</t>
  </si>
  <si>
    <t>050000791630</t>
  </si>
  <si>
    <t>050000813980</t>
  </si>
  <si>
    <t>050000754524</t>
  </si>
  <si>
    <t>050000769348</t>
  </si>
  <si>
    <t>050000767618</t>
  </si>
  <si>
    <t>050000771176</t>
  </si>
  <si>
    <t>050000761995</t>
  </si>
  <si>
    <t>050000751804</t>
  </si>
  <si>
    <t>050000770594</t>
  </si>
  <si>
    <t>050000770751</t>
  </si>
  <si>
    <t>050000747271</t>
  </si>
  <si>
    <t>050000759588</t>
  </si>
  <si>
    <t>050000758922</t>
  </si>
  <si>
    <t>050000755332</t>
  </si>
  <si>
    <t>050000765981</t>
  </si>
  <si>
    <t>050000761166</t>
  </si>
  <si>
    <t>050000747242</t>
  </si>
  <si>
    <t>050000748792</t>
  </si>
  <si>
    <t>050000769605</t>
  </si>
  <si>
    <t>050000758999</t>
  </si>
  <si>
    <t>050000760737</t>
  </si>
  <si>
    <t>050000745718</t>
  </si>
  <si>
    <t>050000773606</t>
  </si>
  <si>
    <t>050000751148</t>
  </si>
  <si>
    <t>050000756612</t>
  </si>
  <si>
    <t>050000751874</t>
  </si>
  <si>
    <t>050000775554</t>
  </si>
  <si>
    <t>050000781960</t>
  </si>
  <si>
    <t>050000813069</t>
  </si>
  <si>
    <t>050000759568</t>
  </si>
  <si>
    <t>050000760064</t>
  </si>
  <si>
    <t>050000793176</t>
  </si>
  <si>
    <t>050000778001</t>
  </si>
  <si>
    <t>050000800723</t>
  </si>
  <si>
    <t>050000814443</t>
  </si>
  <si>
    <t>050000788711</t>
  </si>
  <si>
    <t>050000750216</t>
  </si>
  <si>
    <t>050000746671</t>
  </si>
  <si>
    <t>050000831041</t>
  </si>
  <si>
    <t>050000890468</t>
  </si>
  <si>
    <t>POLICY NO.</t>
  </si>
  <si>
    <t>Assorted_code</t>
  </si>
  <si>
    <t>Premium</t>
  </si>
  <si>
    <t>-01-2025</t>
  </si>
  <si>
    <t>050000826786</t>
  </si>
  <si>
    <t>050000834487</t>
  </si>
  <si>
    <t>050000836487</t>
  </si>
  <si>
    <t>050000842776</t>
  </si>
  <si>
    <t>050000846838</t>
  </si>
  <si>
    <t>050000833872</t>
  </si>
  <si>
    <t>050000844682</t>
  </si>
  <si>
    <t>050000847216</t>
  </si>
  <si>
    <t>050000831903</t>
  </si>
  <si>
    <t>050000844675</t>
  </si>
  <si>
    <t>050000834543</t>
  </si>
  <si>
    <t>050000830262</t>
  </si>
  <si>
    <t>050000831259</t>
  </si>
  <si>
    <t>050000837805</t>
  </si>
  <si>
    <t>050000836096</t>
  </si>
  <si>
    <t>050000826803</t>
  </si>
  <si>
    <t>050000827477</t>
  </si>
  <si>
    <t>050000839969</t>
  </si>
  <si>
    <t>050000830635</t>
  </si>
  <si>
    <t>050000826599</t>
  </si>
  <si>
    <t>050000890436</t>
  </si>
  <si>
    <t>29May250204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</si>
</sst>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7" formatCode="_(* #,##0.00_);_(* \(#,##0.00\);_(* &quot;-&quot;??_);_(@_)"/>
    <numFmt numFmtId="178" formatCode="\ dd\-mm\-yyyy"/>
    <numFmt numFmtId="180" formatCode="_(* #,##0_);_(* \(#,##0\);_(* &quot;-&quot;??_);_(@_)"/>
  </numFmts>
  <fonts count="15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177" fontId="1" fillId="0" borderId="0" applyFont="0" applyFill="0" applyBorder="0" applyAlignment="0" applyProtection="0">
      <alignment vertical="top"/>
    </xf>
  </cellStyleXfs>
  <cellXfs count="50">
    <xf numFmtId="0" fontId="0" fillId="0" borderId="0" xfId="0">
      <alignment vertical="top"/>
    </xf>
    <xf numFmtId="0" fontId="4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>
      <alignment vertical="top"/>
    </xf>
    <xf numFmtId="178" fontId="5" fillId="0" borderId="0" xfId="0" applyNumberFormat="1" applyFont="1" applyAlignment="1">
      <alignment horizontal="center" vertical="top"/>
    </xf>
    <xf numFmtId="180" fontId="5" fillId="0" borderId="0" xfId="1" applyNumberFormat="1" applyFont="1">
      <alignment vertical="top"/>
    </xf>
    <xf numFmtId="0" fontId="6" fillId="2" borderId="1" xfId="0" applyNumberFormat="1" applyFont="1" applyFill="1" applyBorder="1" applyAlignment="1">
      <alignment horizontal="left" vertical="top" wrapText="1"/>
    </xf>
    <xf numFmtId="0" fontId="6" fillId="2" borderId="1" xfId="1" applyNumberFormat="1" applyFont="1" applyFill="1" applyBorder="1" applyAlignment="1">
      <alignment horizontal="left" vertical="top" wrapText="1"/>
    </xf>
    <xf numFmtId="180" fontId="4" fillId="0" borderId="2" xfId="1" applyNumberFormat="1" applyFont="1" applyBorder="1" applyAlignment="1">
      <alignment vertical="center"/>
    </xf>
    <xf numFmtId="180" fontId="6" fillId="2" borderId="0" xfId="1" applyNumberFormat="1" applyFont="1" applyFill="1" applyBorder="1" applyAlignment="1">
      <alignment vertical="center"/>
    </xf>
    <xf numFmtId="180" fontId="7" fillId="3" borderId="0" xfId="1" applyNumberFormat="1" applyFont="1" applyFill="1" applyBorder="1" applyAlignment="1">
      <alignment vertical="center"/>
    </xf>
    <xf numFmtId="180" fontId="8" fillId="2" borderId="3" xfId="1" applyNumberFormat="1" applyFont="1" applyFill="1" applyBorder="1" applyAlignment="1">
      <alignment vertical="center"/>
    </xf>
    <xf numFmtId="180" fontId="6" fillId="2" borderId="3" xfId="1" applyNumberFormat="1" applyFont="1" applyFill="1" applyBorder="1" applyAlignment="1">
      <alignment vertical="center"/>
    </xf>
    <xf numFmtId="180" fontId="9" fillId="0" borderId="0" xfId="1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7" fontId="0" fillId="0" borderId="0" xfId="1" applyFont="1">
      <alignment vertical="top"/>
    </xf>
    <xf numFmtId="43" fontId="0" fillId="0" borderId="0" xfId="0" applyNumberFormat="1">
      <alignment vertical="top"/>
    </xf>
    <xf numFmtId="0" fontId="0" fillId="0" borderId="0" xfId="0" applyFill="1">
      <alignment vertical="top"/>
    </xf>
    <xf numFmtId="0" fontId="1" fillId="0" borderId="0" xfId="0" applyFont="1" applyFill="1">
      <alignment vertical="top"/>
    </xf>
    <xf numFmtId="177" fontId="7" fillId="0" borderId="0" xfId="1" applyFont="1" applyFill="1" applyBorder="1" applyAlignment="1">
      <alignment vertical="center"/>
    </xf>
    <xf numFmtId="0" fontId="1" fillId="0" borderId="4" xfId="0" applyFont="1" applyFill="1" applyBorder="1">
      <alignment vertical="top"/>
    </xf>
    <xf numFmtId="0" fontId="0" fillId="0" borderId="4" xfId="0" applyFill="1" applyBorder="1">
      <alignment vertical="top"/>
    </xf>
    <xf numFmtId="177" fontId="7" fillId="0" borderId="4" xfId="1" applyFont="1" applyFill="1" applyBorder="1" applyAlignment="1">
      <alignment vertical="center"/>
    </xf>
    <xf numFmtId="0" fontId="0" fillId="0" borderId="4" xfId="0" applyBorder="1">
      <alignment vertical="top"/>
    </xf>
    <xf numFmtId="0" fontId="1" fillId="0" borderId="4" xfId="0" applyFont="1" applyBorder="1">
      <alignment vertical="top"/>
    </xf>
    <xf numFmtId="0" fontId="0" fillId="0" borderId="4" xfId="0" applyFill="1" applyBorder="1" applyAlignment="1">
      <alignment horizontal="left" vertical="top"/>
    </xf>
    <xf numFmtId="177" fontId="0" fillId="0" borderId="0" xfId="1" applyFont="1" applyFill="1">
      <alignment vertical="top"/>
    </xf>
    <xf numFmtId="177" fontId="10" fillId="0" borderId="0" xfId="1" applyFont="1" applyFill="1">
      <alignment vertical="top"/>
    </xf>
    <xf numFmtId="180" fontId="6" fillId="0" borderId="0" xfId="1" applyNumberFormat="1" applyFont="1" applyFill="1" applyBorder="1" applyAlignment="1">
      <alignment vertical="center"/>
    </xf>
    <xf numFmtId="0" fontId="10" fillId="0" borderId="0" xfId="0" applyFont="1" applyFill="1">
      <alignment vertical="top"/>
    </xf>
    <xf numFmtId="177" fontId="11" fillId="0" borderId="0" xfId="1" applyFont="1" applyFill="1">
      <alignment vertical="top"/>
    </xf>
    <xf numFmtId="177" fontId="0" fillId="0" borderId="0" xfId="1" applyFont="1" applyAlignment="1">
      <alignment horizontal="center" vertical="top"/>
    </xf>
    <xf numFmtId="0" fontId="4" fillId="0" borderId="2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top"/>
    </xf>
    <xf numFmtId="0" fontId="0" fillId="0" borderId="0" xfId="0" applyAlignment="1"/>
    <xf numFmtId="0" fontId="12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0" fontId="13" fillId="0" borderId="0" xfId="0" applyFont="1" applyAlignment="1"/>
    <xf numFmtId="180" fontId="14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77" fontId="0" fillId="0" borderId="0" xfId="0" applyNumberFormat="1">
      <alignment vertical="top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181B-B02B-4ED0-A6F1-B7651D8A5ADA}">
  <sheetPr>
    <outlinePr summaryBelow="0"/>
    <pageSetUpPr autoPageBreaks="0"/>
  </sheetPr>
  <dimension ref="A1:R166"/>
  <sheetViews>
    <sheetView showGridLines="0" topLeftCell="D138" workbookViewId="0">
      <selection activeCell="N141" sqref="N141"/>
    </sheetView>
  </sheetViews>
  <sheetFormatPr defaultColWidth="6.85546875" defaultRowHeight="12.75" customHeight="1" x14ac:dyDescent="0.2"/>
  <cols>
    <col min="1" max="1" width="5.5703125" style="3" bestFit="1" customWidth="1"/>
    <col min="2" max="2" width="34.7109375" style="3" bestFit="1" customWidth="1"/>
    <col min="3" max="3" width="35.7109375" style="3" bestFit="1" customWidth="1"/>
    <col min="4" max="4" width="11.5703125" style="4" customWidth="1"/>
    <col min="5" max="5" width="7.42578125" style="3" bestFit="1" customWidth="1"/>
    <col min="6" max="8" width="10.42578125" style="3" bestFit="1" customWidth="1"/>
    <col min="9" max="9" width="9.28515625" style="3" bestFit="1" customWidth="1"/>
    <col min="10" max="10" width="30.7109375" style="3" bestFit="1" customWidth="1"/>
    <col min="11" max="11" width="4.85546875" style="3" bestFit="1" customWidth="1"/>
    <col min="12" max="12" width="22.7109375" style="3" bestFit="1" customWidth="1"/>
    <col min="13" max="13" width="12.7109375" style="6" bestFit="1" customWidth="1"/>
    <col min="14" max="18" width="14.140625" style="6" customWidth="1"/>
    <col min="19" max="16384" width="6.85546875" style="4"/>
  </cols>
  <sheetData>
    <row r="1" spans="1:18" s="1" customFormat="1" ht="40.5" x14ac:dyDescent="0.2">
      <c r="A1" s="7" t="s">
        <v>168</v>
      </c>
      <c r="B1" s="7" t="s">
        <v>169</v>
      </c>
      <c r="C1" s="7" t="s">
        <v>170</v>
      </c>
      <c r="D1" s="7" t="s">
        <v>171</v>
      </c>
      <c r="E1" s="7" t="s">
        <v>172</v>
      </c>
      <c r="F1" s="7" t="s">
        <v>173</v>
      </c>
      <c r="G1" s="7" t="s">
        <v>174</v>
      </c>
      <c r="H1" s="7" t="s">
        <v>175</v>
      </c>
      <c r="I1" s="7" t="s">
        <v>176</v>
      </c>
      <c r="J1" s="7" t="s">
        <v>177</v>
      </c>
      <c r="K1" s="7" t="s">
        <v>178</v>
      </c>
      <c r="L1" s="7" t="s">
        <v>0</v>
      </c>
      <c r="M1" s="8" t="s">
        <v>179</v>
      </c>
      <c r="N1" s="8" t="s">
        <v>185</v>
      </c>
      <c r="O1" s="8" t="s">
        <v>186</v>
      </c>
      <c r="P1" s="8" t="s">
        <v>180</v>
      </c>
      <c r="Q1" s="8" t="s">
        <v>181</v>
      </c>
      <c r="R1" s="8" t="s">
        <v>187</v>
      </c>
    </row>
    <row r="2" spans="1:18" ht="13.5" x14ac:dyDescent="0.2">
      <c r="A2" s="2">
        <v>1</v>
      </c>
      <c r="B2" s="3" t="s">
        <v>1</v>
      </c>
      <c r="C2" s="3" t="s">
        <v>2</v>
      </c>
      <c r="D2" s="4" t="s">
        <v>3</v>
      </c>
      <c r="E2" s="3" t="s">
        <v>4</v>
      </c>
      <c r="F2" s="5">
        <v>45243</v>
      </c>
      <c r="G2" s="5">
        <v>45231</v>
      </c>
      <c r="H2" s="5">
        <v>45596</v>
      </c>
      <c r="I2" s="3" t="s">
        <v>5</v>
      </c>
      <c r="J2" s="3" t="s">
        <v>6</v>
      </c>
      <c r="K2" s="3" t="s">
        <v>7</v>
      </c>
      <c r="L2" s="3" t="s">
        <v>8</v>
      </c>
      <c r="M2" s="6">
        <v>0</v>
      </c>
      <c r="N2" s="6">
        <v>9104</v>
      </c>
      <c r="O2" s="6">
        <v>9195</v>
      </c>
      <c r="P2" s="6">
        <v>0</v>
      </c>
      <c r="Q2" s="6">
        <v>0</v>
      </c>
      <c r="R2" s="6">
        <v>9195</v>
      </c>
    </row>
    <row r="3" spans="1:18" ht="13.5" x14ac:dyDescent="0.2">
      <c r="A3" s="2">
        <v>2</v>
      </c>
      <c r="B3" s="3" t="s">
        <v>1</v>
      </c>
      <c r="C3" s="3" t="s">
        <v>9</v>
      </c>
      <c r="D3" s="4" t="s">
        <v>3</v>
      </c>
      <c r="E3" s="3" t="s">
        <v>4</v>
      </c>
      <c r="F3" s="5">
        <v>45245</v>
      </c>
      <c r="G3" s="5">
        <v>45231</v>
      </c>
      <c r="H3" s="5">
        <v>45596</v>
      </c>
      <c r="I3" s="3" t="s">
        <v>5</v>
      </c>
      <c r="J3" s="3" t="s">
        <v>6</v>
      </c>
      <c r="K3" s="3" t="s">
        <v>7</v>
      </c>
      <c r="L3" s="3" t="s">
        <v>8</v>
      </c>
      <c r="M3" s="6">
        <v>0</v>
      </c>
      <c r="N3" s="6">
        <v>173265</v>
      </c>
      <c r="O3" s="6">
        <v>174998</v>
      </c>
      <c r="P3" s="6">
        <v>0</v>
      </c>
      <c r="Q3" s="6">
        <v>0</v>
      </c>
      <c r="R3" s="6">
        <v>174998</v>
      </c>
    </row>
    <row r="4" spans="1:18" ht="13.5" x14ac:dyDescent="0.2">
      <c r="A4" s="2">
        <v>3</v>
      </c>
      <c r="B4" s="3" t="s">
        <v>1</v>
      </c>
      <c r="C4" s="3" t="s">
        <v>10</v>
      </c>
      <c r="D4" s="4" t="s">
        <v>3</v>
      </c>
      <c r="E4" s="3" t="s">
        <v>4</v>
      </c>
      <c r="F4" s="5">
        <v>45253</v>
      </c>
      <c r="G4" s="5">
        <v>45231</v>
      </c>
      <c r="H4" s="5">
        <v>45596</v>
      </c>
      <c r="I4" s="3" t="s">
        <v>5</v>
      </c>
      <c r="J4" s="3" t="s">
        <v>6</v>
      </c>
      <c r="K4" s="3" t="s">
        <v>7</v>
      </c>
      <c r="L4" s="3" t="s">
        <v>8</v>
      </c>
      <c r="M4" s="6">
        <v>0</v>
      </c>
      <c r="N4" s="6">
        <v>-1314982</v>
      </c>
      <c r="O4" s="6">
        <v>-1328132</v>
      </c>
      <c r="P4" s="6">
        <v>0</v>
      </c>
      <c r="Q4" s="6">
        <v>0</v>
      </c>
      <c r="R4" s="6">
        <v>-1328132</v>
      </c>
    </row>
    <row r="5" spans="1:18" ht="13.5" x14ac:dyDescent="0.2">
      <c r="A5" s="2">
        <v>4</v>
      </c>
      <c r="B5" s="3" t="s">
        <v>1</v>
      </c>
      <c r="C5" s="3" t="s">
        <v>11</v>
      </c>
      <c r="D5" s="4" t="s">
        <v>3</v>
      </c>
      <c r="E5" s="3" t="s">
        <v>4</v>
      </c>
      <c r="F5" s="5">
        <v>45254</v>
      </c>
      <c r="G5" s="5">
        <v>45231</v>
      </c>
      <c r="H5" s="5">
        <v>45596</v>
      </c>
      <c r="I5" s="3" t="s">
        <v>5</v>
      </c>
      <c r="J5" s="3" t="s">
        <v>6</v>
      </c>
      <c r="K5" s="3" t="s">
        <v>7</v>
      </c>
      <c r="L5" s="3" t="s">
        <v>8</v>
      </c>
      <c r="M5" s="6">
        <v>0</v>
      </c>
      <c r="N5" s="6">
        <v>439115</v>
      </c>
      <c r="O5" s="6">
        <v>443506</v>
      </c>
      <c r="P5" s="6">
        <v>0</v>
      </c>
      <c r="Q5" s="6">
        <v>0</v>
      </c>
      <c r="R5" s="6">
        <v>443506</v>
      </c>
    </row>
    <row r="6" spans="1:18" ht="13.5" x14ac:dyDescent="0.2">
      <c r="A6" s="2">
        <v>5</v>
      </c>
      <c r="B6" s="3" t="s">
        <v>1</v>
      </c>
      <c r="C6" s="3" t="s">
        <v>12</v>
      </c>
      <c r="D6" s="4" t="s">
        <v>3</v>
      </c>
      <c r="E6" s="3" t="s">
        <v>4</v>
      </c>
      <c r="F6" s="5">
        <v>45259</v>
      </c>
      <c r="G6" s="5">
        <v>45231</v>
      </c>
      <c r="H6" s="5">
        <v>45596</v>
      </c>
      <c r="I6" s="3" t="s">
        <v>5</v>
      </c>
      <c r="J6" s="3" t="s">
        <v>6</v>
      </c>
      <c r="K6" s="3" t="s">
        <v>7</v>
      </c>
      <c r="L6" s="3" t="s">
        <v>8</v>
      </c>
      <c r="M6" s="6">
        <v>0</v>
      </c>
      <c r="N6" s="6">
        <v>14483</v>
      </c>
      <c r="O6" s="6">
        <v>14628</v>
      </c>
      <c r="P6" s="6">
        <v>0</v>
      </c>
      <c r="Q6" s="6">
        <v>0</v>
      </c>
      <c r="R6" s="6">
        <v>14628</v>
      </c>
    </row>
    <row r="7" spans="1:18" ht="13.5" x14ac:dyDescent="0.2">
      <c r="A7" s="2">
        <v>6</v>
      </c>
      <c r="B7" s="3" t="s">
        <v>1</v>
      </c>
      <c r="C7" s="3" t="s">
        <v>13</v>
      </c>
      <c r="D7" s="4" t="s">
        <v>3</v>
      </c>
      <c r="E7" s="3" t="s">
        <v>4</v>
      </c>
      <c r="F7" s="5">
        <v>45261</v>
      </c>
      <c r="G7" s="5">
        <v>45231</v>
      </c>
      <c r="H7" s="5">
        <v>45596</v>
      </c>
      <c r="I7" s="3" t="s">
        <v>5</v>
      </c>
      <c r="J7" s="3" t="s">
        <v>6</v>
      </c>
      <c r="K7" s="3" t="s">
        <v>7</v>
      </c>
      <c r="L7" s="3" t="s">
        <v>8</v>
      </c>
      <c r="M7" s="6">
        <v>0</v>
      </c>
      <c r="N7" s="6">
        <v>359781</v>
      </c>
      <c r="O7" s="6">
        <v>363379</v>
      </c>
      <c r="P7" s="6">
        <v>0</v>
      </c>
      <c r="Q7" s="6">
        <v>0</v>
      </c>
      <c r="R7" s="6">
        <v>363379</v>
      </c>
    </row>
    <row r="8" spans="1:18" ht="13.5" x14ac:dyDescent="0.2">
      <c r="A8" s="2">
        <v>7</v>
      </c>
      <c r="B8" s="3" t="s">
        <v>1</v>
      </c>
      <c r="C8" s="3" t="s">
        <v>14</v>
      </c>
      <c r="D8" s="4" t="s">
        <v>3</v>
      </c>
      <c r="E8" s="3" t="s">
        <v>4</v>
      </c>
      <c r="F8" s="5">
        <v>45264</v>
      </c>
      <c r="G8" s="5">
        <v>45231</v>
      </c>
      <c r="H8" s="5">
        <v>45596</v>
      </c>
      <c r="I8" s="3" t="s">
        <v>5</v>
      </c>
      <c r="J8" s="3" t="s">
        <v>6</v>
      </c>
      <c r="K8" s="3" t="s">
        <v>7</v>
      </c>
      <c r="L8" s="3" t="s">
        <v>8</v>
      </c>
      <c r="M8" s="6">
        <v>0</v>
      </c>
      <c r="N8" s="6">
        <v>-365055</v>
      </c>
      <c r="O8" s="6">
        <v>-368706</v>
      </c>
      <c r="P8" s="6">
        <v>0</v>
      </c>
      <c r="Q8" s="6">
        <v>0</v>
      </c>
      <c r="R8" s="6">
        <v>-368706</v>
      </c>
    </row>
    <row r="9" spans="1:18" ht="13.5" x14ac:dyDescent="0.2">
      <c r="A9" s="2">
        <v>8</v>
      </c>
      <c r="B9" s="3" t="s">
        <v>1</v>
      </c>
      <c r="C9" s="3" t="s">
        <v>15</v>
      </c>
      <c r="D9" s="4" t="s">
        <v>3</v>
      </c>
      <c r="E9" s="3" t="s">
        <v>4</v>
      </c>
      <c r="F9" s="5">
        <v>45265</v>
      </c>
      <c r="G9" s="5">
        <v>45231</v>
      </c>
      <c r="H9" s="5">
        <v>45596</v>
      </c>
      <c r="I9" s="3" t="s">
        <v>5</v>
      </c>
      <c r="J9" s="3" t="s">
        <v>6</v>
      </c>
      <c r="K9" s="3" t="s">
        <v>7</v>
      </c>
      <c r="L9" s="3" t="s">
        <v>8</v>
      </c>
      <c r="M9" s="6">
        <v>0</v>
      </c>
      <c r="N9" s="6">
        <v>228754</v>
      </c>
      <c r="O9" s="6">
        <v>231042</v>
      </c>
      <c r="P9" s="6">
        <v>0</v>
      </c>
      <c r="Q9" s="6">
        <v>0</v>
      </c>
      <c r="R9" s="6">
        <v>231042</v>
      </c>
    </row>
    <row r="10" spans="1:18" ht="13.5" x14ac:dyDescent="0.2">
      <c r="A10" s="2">
        <v>9</v>
      </c>
      <c r="B10" s="3" t="s">
        <v>1</v>
      </c>
      <c r="C10" s="3" t="s">
        <v>16</v>
      </c>
      <c r="D10" s="4" t="s">
        <v>3</v>
      </c>
      <c r="E10" s="3" t="s">
        <v>4</v>
      </c>
      <c r="F10" s="5">
        <v>45267</v>
      </c>
      <c r="G10" s="5">
        <v>45231</v>
      </c>
      <c r="H10" s="5">
        <v>45596</v>
      </c>
      <c r="I10" s="3" t="s">
        <v>5</v>
      </c>
      <c r="J10" s="3" t="s">
        <v>6</v>
      </c>
      <c r="K10" s="3" t="s">
        <v>7</v>
      </c>
      <c r="L10" s="3" t="s">
        <v>8</v>
      </c>
      <c r="M10" s="6">
        <v>0</v>
      </c>
      <c r="N10" s="6">
        <v>15907</v>
      </c>
      <c r="O10" s="6">
        <v>16066</v>
      </c>
      <c r="P10" s="6">
        <v>0</v>
      </c>
      <c r="Q10" s="6">
        <v>0</v>
      </c>
      <c r="R10" s="6">
        <v>16066</v>
      </c>
    </row>
    <row r="11" spans="1:18" ht="13.5" x14ac:dyDescent="0.2">
      <c r="A11" s="2">
        <v>10</v>
      </c>
      <c r="B11" s="3" t="s">
        <v>1</v>
      </c>
      <c r="C11" s="3" t="s">
        <v>17</v>
      </c>
      <c r="D11" s="4" t="s">
        <v>3</v>
      </c>
      <c r="E11" s="3" t="s">
        <v>4</v>
      </c>
      <c r="F11" s="5">
        <v>45272</v>
      </c>
      <c r="G11" s="5">
        <v>45231</v>
      </c>
      <c r="H11" s="5">
        <v>45596</v>
      </c>
      <c r="I11" s="3" t="s">
        <v>5</v>
      </c>
      <c r="J11" s="3" t="s">
        <v>6</v>
      </c>
      <c r="K11" s="3" t="s">
        <v>7</v>
      </c>
      <c r="L11" s="3" t="s">
        <v>8</v>
      </c>
      <c r="M11" s="6">
        <v>0</v>
      </c>
      <c r="N11" s="6">
        <v>789035</v>
      </c>
      <c r="O11" s="6">
        <v>796925</v>
      </c>
      <c r="P11" s="6">
        <v>0</v>
      </c>
      <c r="Q11" s="6">
        <v>0</v>
      </c>
      <c r="R11" s="6">
        <v>796925</v>
      </c>
    </row>
    <row r="12" spans="1:18" ht="13.5" x14ac:dyDescent="0.2">
      <c r="A12" s="2">
        <v>11</v>
      </c>
      <c r="B12" s="3" t="s">
        <v>1</v>
      </c>
      <c r="C12" s="3" t="s">
        <v>18</v>
      </c>
      <c r="D12" s="4" t="s">
        <v>3</v>
      </c>
      <c r="E12" s="3" t="s">
        <v>4</v>
      </c>
      <c r="F12" s="5">
        <v>45273</v>
      </c>
      <c r="G12" s="5">
        <v>45231</v>
      </c>
      <c r="H12" s="5">
        <v>45596</v>
      </c>
      <c r="I12" s="3" t="s">
        <v>5</v>
      </c>
      <c r="J12" s="3" t="s">
        <v>6</v>
      </c>
      <c r="K12" s="3" t="s">
        <v>7</v>
      </c>
      <c r="L12" s="3" t="s">
        <v>8</v>
      </c>
      <c r="M12" s="6">
        <v>0</v>
      </c>
      <c r="N12" s="6">
        <v>-23438</v>
      </c>
      <c r="O12" s="6">
        <v>-23672</v>
      </c>
      <c r="P12" s="6">
        <v>0</v>
      </c>
      <c r="Q12" s="6">
        <v>0</v>
      </c>
      <c r="R12" s="6">
        <v>-23672</v>
      </c>
    </row>
    <row r="13" spans="1:18" ht="13.5" x14ac:dyDescent="0.2">
      <c r="A13" s="2">
        <v>12</v>
      </c>
      <c r="B13" s="3" t="s">
        <v>1</v>
      </c>
      <c r="C13" s="3" t="s">
        <v>19</v>
      </c>
      <c r="D13" s="4" t="s">
        <v>3</v>
      </c>
      <c r="E13" s="3" t="s">
        <v>4</v>
      </c>
      <c r="F13" s="5">
        <v>45275</v>
      </c>
      <c r="G13" s="5">
        <v>45231</v>
      </c>
      <c r="H13" s="5">
        <v>45596</v>
      </c>
      <c r="I13" s="3" t="s">
        <v>5</v>
      </c>
      <c r="J13" s="3" t="s">
        <v>6</v>
      </c>
      <c r="K13" s="3" t="s">
        <v>7</v>
      </c>
      <c r="L13" s="3" t="s">
        <v>8</v>
      </c>
      <c r="M13" s="6">
        <v>0</v>
      </c>
      <c r="N13" s="6">
        <v>8204</v>
      </c>
      <c r="O13" s="6">
        <v>8286</v>
      </c>
      <c r="P13" s="6">
        <v>0</v>
      </c>
      <c r="Q13" s="6">
        <v>0</v>
      </c>
      <c r="R13" s="6">
        <v>8286</v>
      </c>
    </row>
    <row r="14" spans="1:18" ht="13.5" x14ac:dyDescent="0.2">
      <c r="A14" s="2">
        <v>13</v>
      </c>
      <c r="B14" s="3" t="s">
        <v>1</v>
      </c>
      <c r="C14" s="3" t="s">
        <v>20</v>
      </c>
      <c r="D14" s="4" t="s">
        <v>3</v>
      </c>
      <c r="E14" s="3" t="s">
        <v>4</v>
      </c>
      <c r="F14" s="5">
        <v>45276</v>
      </c>
      <c r="G14" s="5">
        <v>45231</v>
      </c>
      <c r="H14" s="5">
        <v>45596</v>
      </c>
      <c r="I14" s="3" t="s">
        <v>5</v>
      </c>
      <c r="J14" s="3" t="s">
        <v>6</v>
      </c>
      <c r="K14" s="3" t="s">
        <v>7</v>
      </c>
      <c r="L14" s="3" t="s">
        <v>8</v>
      </c>
      <c r="M14" s="6">
        <v>0</v>
      </c>
      <c r="N14" s="6">
        <v>656203</v>
      </c>
      <c r="O14" s="6">
        <v>662765</v>
      </c>
      <c r="P14" s="6">
        <v>0</v>
      </c>
      <c r="Q14" s="6">
        <v>0</v>
      </c>
      <c r="R14" s="6">
        <v>662765</v>
      </c>
    </row>
    <row r="15" spans="1:18" ht="13.5" x14ac:dyDescent="0.2">
      <c r="A15" s="2">
        <v>14</v>
      </c>
      <c r="B15" s="3" t="s">
        <v>1</v>
      </c>
      <c r="C15" s="3" t="s">
        <v>21</v>
      </c>
      <c r="D15" s="4" t="s">
        <v>3</v>
      </c>
      <c r="E15" s="3" t="s">
        <v>4</v>
      </c>
      <c r="F15" s="5">
        <v>45279</v>
      </c>
      <c r="G15" s="5">
        <v>45231</v>
      </c>
      <c r="H15" s="5">
        <v>45596</v>
      </c>
      <c r="I15" s="3" t="s">
        <v>5</v>
      </c>
      <c r="J15" s="3" t="s">
        <v>6</v>
      </c>
      <c r="K15" s="3" t="s">
        <v>7</v>
      </c>
      <c r="L15" s="3" t="s">
        <v>8</v>
      </c>
      <c r="M15" s="6">
        <v>0</v>
      </c>
      <c r="N15" s="6">
        <v>-6325</v>
      </c>
      <c r="O15" s="6">
        <v>-6388</v>
      </c>
      <c r="P15" s="6">
        <v>0</v>
      </c>
      <c r="Q15" s="6">
        <v>0</v>
      </c>
      <c r="R15" s="6">
        <v>-6388</v>
      </c>
    </row>
    <row r="16" spans="1:18" ht="13.5" x14ac:dyDescent="0.2">
      <c r="A16" s="2">
        <v>15</v>
      </c>
      <c r="B16" s="3" t="s">
        <v>1</v>
      </c>
      <c r="C16" s="3" t="s">
        <v>22</v>
      </c>
      <c r="D16" s="4" t="s">
        <v>3</v>
      </c>
      <c r="E16" s="3" t="s">
        <v>4</v>
      </c>
      <c r="F16" s="5">
        <v>45286</v>
      </c>
      <c r="G16" s="5">
        <v>45231</v>
      </c>
      <c r="H16" s="5">
        <v>45596</v>
      </c>
      <c r="I16" s="3" t="s">
        <v>5</v>
      </c>
      <c r="J16" s="3" t="s">
        <v>6</v>
      </c>
      <c r="K16" s="3" t="s">
        <v>7</v>
      </c>
      <c r="L16" s="3" t="s">
        <v>8</v>
      </c>
      <c r="M16" s="6">
        <v>0</v>
      </c>
      <c r="N16" s="6">
        <v>483414</v>
      </c>
      <c r="O16" s="6">
        <v>488248</v>
      </c>
      <c r="P16" s="6">
        <v>0</v>
      </c>
      <c r="Q16" s="6">
        <v>0</v>
      </c>
      <c r="R16" s="6">
        <v>488248</v>
      </c>
    </row>
    <row r="17" spans="1:18" ht="13.5" x14ac:dyDescent="0.2">
      <c r="A17" s="2">
        <v>16</v>
      </c>
      <c r="B17" s="3" t="s">
        <v>1</v>
      </c>
      <c r="C17" s="3" t="s">
        <v>23</v>
      </c>
      <c r="D17" s="4" t="s">
        <v>3</v>
      </c>
      <c r="E17" s="3" t="s">
        <v>4</v>
      </c>
      <c r="F17" s="5">
        <v>45286</v>
      </c>
      <c r="G17" s="5">
        <v>45231</v>
      </c>
      <c r="H17" s="5">
        <v>45596</v>
      </c>
      <c r="I17" s="3" t="s">
        <v>5</v>
      </c>
      <c r="J17" s="3" t="s">
        <v>6</v>
      </c>
      <c r="K17" s="3" t="s">
        <v>7</v>
      </c>
      <c r="L17" s="3" t="s">
        <v>8</v>
      </c>
      <c r="M17" s="6">
        <v>0</v>
      </c>
      <c r="N17" s="6">
        <v>-12282</v>
      </c>
      <c r="O17" s="6">
        <v>-12405</v>
      </c>
      <c r="P17" s="6">
        <v>0</v>
      </c>
      <c r="Q17" s="6">
        <v>0</v>
      </c>
      <c r="R17" s="6">
        <v>-12405</v>
      </c>
    </row>
    <row r="18" spans="1:18" ht="13.5" x14ac:dyDescent="0.2">
      <c r="A18" s="2">
        <v>17</v>
      </c>
      <c r="B18" s="3" t="s">
        <v>1</v>
      </c>
      <c r="C18" s="3" t="s">
        <v>24</v>
      </c>
      <c r="D18" s="4" t="s">
        <v>3</v>
      </c>
      <c r="E18" s="3" t="s">
        <v>4</v>
      </c>
      <c r="F18" s="5">
        <v>45288</v>
      </c>
      <c r="G18" s="5">
        <v>45231</v>
      </c>
      <c r="H18" s="5">
        <v>45596</v>
      </c>
      <c r="I18" s="3" t="s">
        <v>5</v>
      </c>
      <c r="J18" s="3" t="s">
        <v>6</v>
      </c>
      <c r="K18" s="3" t="s">
        <v>7</v>
      </c>
      <c r="L18" s="3" t="s">
        <v>8</v>
      </c>
      <c r="M18" s="6">
        <v>0</v>
      </c>
      <c r="N18" s="6">
        <v>3086</v>
      </c>
      <c r="O18" s="6">
        <v>3117</v>
      </c>
      <c r="P18" s="6">
        <v>0</v>
      </c>
      <c r="Q18" s="6">
        <v>0</v>
      </c>
      <c r="R18" s="6">
        <v>3117</v>
      </c>
    </row>
    <row r="19" spans="1:18" ht="13.5" x14ac:dyDescent="0.2">
      <c r="A19" s="2">
        <v>18</v>
      </c>
      <c r="B19" s="3" t="s">
        <v>1</v>
      </c>
      <c r="C19" s="3" t="s">
        <v>25</v>
      </c>
      <c r="D19" s="4" t="s">
        <v>3</v>
      </c>
      <c r="E19" s="3" t="s">
        <v>4</v>
      </c>
      <c r="F19" s="5">
        <v>45292</v>
      </c>
      <c r="G19" s="5">
        <v>45231</v>
      </c>
      <c r="H19" s="5">
        <v>45596</v>
      </c>
      <c r="I19" s="3" t="s">
        <v>5</v>
      </c>
      <c r="J19" s="3" t="s">
        <v>6</v>
      </c>
      <c r="K19" s="3" t="s">
        <v>7</v>
      </c>
      <c r="L19" s="3" t="s">
        <v>8</v>
      </c>
      <c r="M19" s="6">
        <v>0</v>
      </c>
      <c r="N19" s="6">
        <v>274350</v>
      </c>
      <c r="O19" s="6">
        <v>277094</v>
      </c>
      <c r="P19" s="6">
        <v>0</v>
      </c>
      <c r="Q19" s="6">
        <v>0</v>
      </c>
      <c r="R19" s="6">
        <v>277094</v>
      </c>
    </row>
    <row r="20" spans="1:18" ht="13.5" x14ac:dyDescent="0.2">
      <c r="A20" s="2">
        <v>19</v>
      </c>
      <c r="B20" s="3" t="s">
        <v>1</v>
      </c>
      <c r="C20" s="3" t="s">
        <v>26</v>
      </c>
      <c r="D20" s="4" t="s">
        <v>3</v>
      </c>
      <c r="E20" s="3" t="s">
        <v>4</v>
      </c>
      <c r="F20" s="5">
        <v>45293</v>
      </c>
      <c r="G20" s="5">
        <v>45231</v>
      </c>
      <c r="H20" s="5">
        <v>45596</v>
      </c>
      <c r="I20" s="3" t="s">
        <v>5</v>
      </c>
      <c r="J20" s="3" t="s">
        <v>6</v>
      </c>
      <c r="K20" s="3" t="s">
        <v>7</v>
      </c>
      <c r="L20" s="3" t="s">
        <v>8</v>
      </c>
      <c r="M20" s="6">
        <v>0</v>
      </c>
      <c r="N20" s="6">
        <v>-1645769</v>
      </c>
      <c r="O20" s="6">
        <v>-1662227</v>
      </c>
      <c r="P20" s="6">
        <v>0</v>
      </c>
      <c r="Q20" s="6">
        <v>0</v>
      </c>
      <c r="R20" s="6">
        <v>-1662227</v>
      </c>
    </row>
    <row r="21" spans="1:18" ht="13.5" x14ac:dyDescent="0.2">
      <c r="A21" s="2">
        <v>20</v>
      </c>
      <c r="B21" s="3" t="s">
        <v>1</v>
      </c>
      <c r="C21" s="3" t="s">
        <v>27</v>
      </c>
      <c r="D21" s="4" t="s">
        <v>3</v>
      </c>
      <c r="E21" s="3" t="s">
        <v>4</v>
      </c>
      <c r="F21" s="5">
        <v>45299</v>
      </c>
      <c r="G21" s="5">
        <v>45231</v>
      </c>
      <c r="H21" s="5">
        <v>45596</v>
      </c>
      <c r="I21" s="3" t="s">
        <v>5</v>
      </c>
      <c r="J21" s="3" t="s">
        <v>6</v>
      </c>
      <c r="K21" s="3" t="s">
        <v>7</v>
      </c>
      <c r="L21" s="3" t="s">
        <v>8</v>
      </c>
      <c r="M21" s="6">
        <v>0</v>
      </c>
      <c r="N21" s="6">
        <v>6561</v>
      </c>
      <c r="O21" s="6">
        <v>6627</v>
      </c>
      <c r="P21" s="6">
        <v>0</v>
      </c>
      <c r="Q21" s="6">
        <v>0</v>
      </c>
      <c r="R21" s="6">
        <v>6627</v>
      </c>
    </row>
    <row r="22" spans="1:18" ht="13.5" x14ac:dyDescent="0.2">
      <c r="A22" s="2">
        <v>21</v>
      </c>
      <c r="B22" s="3" t="s">
        <v>1</v>
      </c>
      <c r="C22" s="3" t="s">
        <v>28</v>
      </c>
      <c r="D22" s="4" t="s">
        <v>3</v>
      </c>
      <c r="E22" s="3" t="s">
        <v>4</v>
      </c>
      <c r="F22" s="5">
        <v>45300</v>
      </c>
      <c r="G22" s="5">
        <v>45231</v>
      </c>
      <c r="H22" s="5">
        <v>45596</v>
      </c>
      <c r="I22" s="3" t="s">
        <v>5</v>
      </c>
      <c r="J22" s="3" t="s">
        <v>6</v>
      </c>
      <c r="K22" s="3" t="s">
        <v>7</v>
      </c>
      <c r="L22" s="3" t="s">
        <v>8</v>
      </c>
      <c r="M22" s="6">
        <v>0</v>
      </c>
      <c r="N22" s="6">
        <v>742568</v>
      </c>
      <c r="O22" s="6">
        <v>749994</v>
      </c>
      <c r="P22" s="6">
        <v>0</v>
      </c>
      <c r="Q22" s="6">
        <v>0</v>
      </c>
      <c r="R22" s="6">
        <v>749994</v>
      </c>
    </row>
    <row r="23" spans="1:18" ht="13.5" x14ac:dyDescent="0.2">
      <c r="A23" s="2">
        <v>22</v>
      </c>
      <c r="B23" s="3" t="s">
        <v>1</v>
      </c>
      <c r="C23" s="3" t="s">
        <v>29</v>
      </c>
      <c r="D23" s="4" t="s">
        <v>3</v>
      </c>
      <c r="E23" s="3" t="s">
        <v>4</v>
      </c>
      <c r="F23" s="5">
        <v>45301</v>
      </c>
      <c r="G23" s="5">
        <v>45231</v>
      </c>
      <c r="H23" s="5">
        <v>45596</v>
      </c>
      <c r="I23" s="3" t="s">
        <v>5</v>
      </c>
      <c r="J23" s="3" t="s">
        <v>6</v>
      </c>
      <c r="K23" s="3" t="s">
        <v>7</v>
      </c>
      <c r="L23" s="3" t="s">
        <v>8</v>
      </c>
      <c r="M23" s="6">
        <v>0</v>
      </c>
      <c r="N23" s="6">
        <v>6808</v>
      </c>
      <c r="O23" s="6">
        <v>6876</v>
      </c>
      <c r="P23" s="6">
        <v>0</v>
      </c>
      <c r="Q23" s="6">
        <v>0</v>
      </c>
      <c r="R23" s="6">
        <v>6876</v>
      </c>
    </row>
    <row r="24" spans="1:18" ht="13.5" x14ac:dyDescent="0.2">
      <c r="A24" s="2">
        <v>23</v>
      </c>
      <c r="B24" s="3" t="s">
        <v>1</v>
      </c>
      <c r="C24" s="3" t="s">
        <v>30</v>
      </c>
      <c r="D24" s="4" t="s">
        <v>3</v>
      </c>
      <c r="E24" s="3" t="s">
        <v>4</v>
      </c>
      <c r="F24" s="5">
        <v>45304</v>
      </c>
      <c r="G24" s="5">
        <v>45231</v>
      </c>
      <c r="H24" s="5">
        <v>45596</v>
      </c>
      <c r="I24" s="3" t="s">
        <v>5</v>
      </c>
      <c r="J24" s="3" t="s">
        <v>6</v>
      </c>
      <c r="K24" s="3" t="s">
        <v>7</v>
      </c>
      <c r="L24" s="3" t="s">
        <v>8</v>
      </c>
      <c r="M24" s="6">
        <v>0</v>
      </c>
      <c r="N24" s="6">
        <v>-6351</v>
      </c>
      <c r="O24" s="6">
        <v>-6415</v>
      </c>
      <c r="P24" s="6">
        <v>0</v>
      </c>
      <c r="Q24" s="6">
        <v>0</v>
      </c>
      <c r="R24" s="6">
        <v>-6415</v>
      </c>
    </row>
    <row r="25" spans="1:18" ht="13.5" x14ac:dyDescent="0.2">
      <c r="A25" s="2">
        <v>24</v>
      </c>
      <c r="B25" s="3" t="s">
        <v>1</v>
      </c>
      <c r="C25" s="3" t="s">
        <v>31</v>
      </c>
      <c r="D25" s="4" t="s">
        <v>3</v>
      </c>
      <c r="E25" s="3" t="s">
        <v>4</v>
      </c>
      <c r="F25" s="5">
        <v>45306</v>
      </c>
      <c r="G25" s="5">
        <v>45231</v>
      </c>
      <c r="H25" s="5">
        <v>45596</v>
      </c>
      <c r="I25" s="3" t="s">
        <v>5</v>
      </c>
      <c r="J25" s="3" t="s">
        <v>6</v>
      </c>
      <c r="K25" s="3" t="s">
        <v>7</v>
      </c>
      <c r="L25" s="3" t="s">
        <v>8</v>
      </c>
      <c r="M25" s="6">
        <v>0</v>
      </c>
      <c r="N25" s="6">
        <v>-757433</v>
      </c>
      <c r="O25" s="6">
        <v>-765007</v>
      </c>
      <c r="P25" s="6">
        <v>0</v>
      </c>
      <c r="Q25" s="6">
        <v>0</v>
      </c>
      <c r="R25" s="6">
        <v>-765007</v>
      </c>
    </row>
    <row r="26" spans="1:18" ht="13.5" x14ac:dyDescent="0.2">
      <c r="A26" s="2">
        <v>25</v>
      </c>
      <c r="B26" s="3" t="s">
        <v>1</v>
      </c>
      <c r="C26" s="3" t="s">
        <v>32</v>
      </c>
      <c r="D26" s="4" t="s">
        <v>3</v>
      </c>
      <c r="E26" s="3" t="s">
        <v>4</v>
      </c>
      <c r="F26" s="5">
        <v>45308</v>
      </c>
      <c r="G26" s="5">
        <v>45231</v>
      </c>
      <c r="H26" s="5">
        <v>45596</v>
      </c>
      <c r="I26" s="3" t="s">
        <v>5</v>
      </c>
      <c r="J26" s="3" t="s">
        <v>6</v>
      </c>
      <c r="K26" s="3" t="s">
        <v>7</v>
      </c>
      <c r="L26" s="3" t="s">
        <v>8</v>
      </c>
      <c r="M26" s="6">
        <v>0</v>
      </c>
      <c r="N26" s="6">
        <v>2974</v>
      </c>
      <c r="O26" s="6">
        <v>3004</v>
      </c>
      <c r="P26" s="6">
        <v>0</v>
      </c>
      <c r="Q26" s="6">
        <v>0</v>
      </c>
      <c r="R26" s="6">
        <v>3004</v>
      </c>
    </row>
    <row r="27" spans="1:18" ht="13.5" x14ac:dyDescent="0.2">
      <c r="A27" s="2">
        <v>26</v>
      </c>
      <c r="B27" s="3" t="s">
        <v>1</v>
      </c>
      <c r="C27" s="3" t="s">
        <v>33</v>
      </c>
      <c r="D27" s="4" t="s">
        <v>3</v>
      </c>
      <c r="E27" s="3" t="s">
        <v>4</v>
      </c>
      <c r="F27" s="5">
        <v>45309</v>
      </c>
      <c r="G27" s="5">
        <v>45231</v>
      </c>
      <c r="H27" s="5">
        <v>45596</v>
      </c>
      <c r="I27" s="3" t="s">
        <v>5</v>
      </c>
      <c r="J27" s="3" t="s">
        <v>6</v>
      </c>
      <c r="K27" s="3" t="s">
        <v>7</v>
      </c>
      <c r="L27" s="3" t="s">
        <v>8</v>
      </c>
      <c r="M27" s="6">
        <v>0</v>
      </c>
      <c r="N27" s="6">
        <v>617343</v>
      </c>
      <c r="O27" s="6">
        <v>623516</v>
      </c>
      <c r="P27" s="6">
        <v>0</v>
      </c>
      <c r="Q27" s="6">
        <v>0</v>
      </c>
      <c r="R27" s="6">
        <v>623516</v>
      </c>
    </row>
    <row r="28" spans="1:18" ht="13.5" x14ac:dyDescent="0.2">
      <c r="A28" s="2">
        <v>27</v>
      </c>
      <c r="B28" s="3" t="s">
        <v>1</v>
      </c>
      <c r="C28" s="3" t="s">
        <v>34</v>
      </c>
      <c r="D28" s="4" t="s">
        <v>3</v>
      </c>
      <c r="E28" s="3" t="s">
        <v>4</v>
      </c>
      <c r="F28" s="5">
        <v>45309</v>
      </c>
      <c r="G28" s="5">
        <v>45231</v>
      </c>
      <c r="H28" s="5">
        <v>45596</v>
      </c>
      <c r="I28" s="3" t="s">
        <v>5</v>
      </c>
      <c r="J28" s="3" t="s">
        <v>6</v>
      </c>
      <c r="K28" s="3" t="s">
        <v>7</v>
      </c>
      <c r="L28" s="3" t="s">
        <v>8</v>
      </c>
      <c r="M28" s="6">
        <v>0</v>
      </c>
      <c r="N28" s="6">
        <v>6257</v>
      </c>
      <c r="O28" s="6">
        <v>6320</v>
      </c>
      <c r="P28" s="6">
        <v>0</v>
      </c>
      <c r="Q28" s="6">
        <v>0</v>
      </c>
      <c r="R28" s="6">
        <v>6320</v>
      </c>
    </row>
    <row r="29" spans="1:18" ht="13.5" x14ac:dyDescent="0.2">
      <c r="A29" s="2">
        <v>28</v>
      </c>
      <c r="B29" s="3" t="s">
        <v>1</v>
      </c>
      <c r="C29" s="3" t="s">
        <v>35</v>
      </c>
      <c r="D29" s="4" t="s">
        <v>3</v>
      </c>
      <c r="E29" s="3" t="s">
        <v>4</v>
      </c>
      <c r="F29" s="5">
        <v>45316</v>
      </c>
      <c r="G29" s="5">
        <v>45231</v>
      </c>
      <c r="H29" s="5">
        <v>45596</v>
      </c>
      <c r="I29" s="3" t="s">
        <v>5</v>
      </c>
      <c r="J29" s="3" t="s">
        <v>6</v>
      </c>
      <c r="K29" s="3" t="s">
        <v>7</v>
      </c>
      <c r="L29" s="3" t="s">
        <v>8</v>
      </c>
      <c r="M29" s="6">
        <v>0</v>
      </c>
      <c r="N29" s="6">
        <v>-32682</v>
      </c>
      <c r="O29" s="6">
        <v>-33009</v>
      </c>
      <c r="P29" s="6">
        <v>0</v>
      </c>
      <c r="Q29" s="6">
        <v>0</v>
      </c>
      <c r="R29" s="6">
        <v>-33009</v>
      </c>
    </row>
    <row r="30" spans="1:18" ht="13.5" x14ac:dyDescent="0.2">
      <c r="A30" s="2">
        <v>29</v>
      </c>
      <c r="B30" s="3" t="s">
        <v>1</v>
      </c>
      <c r="C30" s="3" t="s">
        <v>36</v>
      </c>
      <c r="D30" s="4" t="s">
        <v>3</v>
      </c>
      <c r="E30" s="3" t="s">
        <v>4</v>
      </c>
      <c r="F30" s="5">
        <v>45317</v>
      </c>
      <c r="G30" s="5">
        <v>45231</v>
      </c>
      <c r="H30" s="5">
        <v>45596</v>
      </c>
      <c r="I30" s="3" t="s">
        <v>5</v>
      </c>
      <c r="J30" s="3" t="s">
        <v>6</v>
      </c>
      <c r="K30" s="3" t="s">
        <v>7</v>
      </c>
      <c r="L30" s="3" t="s">
        <v>8</v>
      </c>
      <c r="M30" s="6">
        <v>0</v>
      </c>
      <c r="N30" s="6">
        <v>8</v>
      </c>
      <c r="O30" s="6">
        <v>8</v>
      </c>
      <c r="P30" s="6">
        <v>0</v>
      </c>
      <c r="Q30" s="6">
        <v>0</v>
      </c>
      <c r="R30" s="6">
        <v>8</v>
      </c>
    </row>
    <row r="31" spans="1:18" ht="13.5" x14ac:dyDescent="0.2">
      <c r="A31" s="2">
        <v>30</v>
      </c>
      <c r="B31" s="3" t="s">
        <v>1</v>
      </c>
      <c r="C31" s="3" t="s">
        <v>37</v>
      </c>
      <c r="D31" s="4" t="s">
        <v>3</v>
      </c>
      <c r="E31" s="3" t="s">
        <v>4</v>
      </c>
      <c r="F31" s="5">
        <v>45320</v>
      </c>
      <c r="G31" s="5">
        <v>45231</v>
      </c>
      <c r="H31" s="5">
        <v>45596</v>
      </c>
      <c r="I31" s="3" t="s">
        <v>5</v>
      </c>
      <c r="J31" s="3" t="s">
        <v>6</v>
      </c>
      <c r="K31" s="3" t="s">
        <v>7</v>
      </c>
      <c r="L31" s="3" t="s">
        <v>8</v>
      </c>
      <c r="M31" s="6">
        <v>0</v>
      </c>
      <c r="N31" s="6">
        <v>6941</v>
      </c>
      <c r="O31" s="6">
        <v>7010</v>
      </c>
      <c r="P31" s="6">
        <v>0</v>
      </c>
      <c r="Q31" s="6">
        <v>0</v>
      </c>
      <c r="R31" s="6">
        <v>7010</v>
      </c>
    </row>
    <row r="32" spans="1:18" ht="13.5" x14ac:dyDescent="0.2">
      <c r="A32" s="2">
        <v>31</v>
      </c>
      <c r="B32" s="3" t="s">
        <v>1</v>
      </c>
      <c r="C32" s="3" t="s">
        <v>38</v>
      </c>
      <c r="D32" s="4" t="s">
        <v>3</v>
      </c>
      <c r="E32" s="3" t="s">
        <v>4</v>
      </c>
      <c r="F32" s="5">
        <v>45322</v>
      </c>
      <c r="G32" s="5">
        <v>45231</v>
      </c>
      <c r="H32" s="5">
        <v>45596</v>
      </c>
      <c r="I32" s="3" t="s">
        <v>5</v>
      </c>
      <c r="J32" s="3" t="s">
        <v>6</v>
      </c>
      <c r="K32" s="3" t="s">
        <v>7</v>
      </c>
      <c r="L32" s="3" t="s">
        <v>8</v>
      </c>
      <c r="M32" s="6">
        <v>0</v>
      </c>
      <c r="N32" s="6">
        <v>458331</v>
      </c>
      <c r="O32" s="6">
        <v>462914</v>
      </c>
      <c r="P32" s="6">
        <v>0</v>
      </c>
      <c r="Q32" s="6">
        <v>0</v>
      </c>
      <c r="R32" s="6">
        <v>462914</v>
      </c>
    </row>
    <row r="33" spans="1:18" ht="13.5" x14ac:dyDescent="0.2">
      <c r="A33" s="2">
        <v>32</v>
      </c>
      <c r="B33" s="3" t="s">
        <v>1</v>
      </c>
      <c r="C33" s="3" t="s">
        <v>39</v>
      </c>
      <c r="D33" s="4" t="s">
        <v>3</v>
      </c>
      <c r="E33" s="3" t="s">
        <v>4</v>
      </c>
      <c r="F33" s="5">
        <v>45328</v>
      </c>
      <c r="G33" s="5">
        <v>45231</v>
      </c>
      <c r="H33" s="5">
        <v>45596</v>
      </c>
      <c r="I33" s="3" t="s">
        <v>5</v>
      </c>
      <c r="J33" s="3" t="s">
        <v>6</v>
      </c>
      <c r="K33" s="3" t="s">
        <v>7</v>
      </c>
      <c r="L33" s="3" t="s">
        <v>8</v>
      </c>
      <c r="M33" s="6">
        <v>0</v>
      </c>
      <c r="N33" s="6">
        <v>-6130</v>
      </c>
      <c r="O33" s="6">
        <v>-6191</v>
      </c>
      <c r="P33" s="6">
        <v>0</v>
      </c>
      <c r="Q33" s="6">
        <v>0</v>
      </c>
      <c r="R33" s="6">
        <v>-6191</v>
      </c>
    </row>
    <row r="34" spans="1:18" ht="13.5" x14ac:dyDescent="0.2">
      <c r="A34" s="2">
        <v>33</v>
      </c>
      <c r="B34" s="3" t="s">
        <v>1</v>
      </c>
      <c r="C34" s="3" t="s">
        <v>40</v>
      </c>
      <c r="D34" s="4" t="s">
        <v>3</v>
      </c>
      <c r="E34" s="3" t="s">
        <v>4</v>
      </c>
      <c r="F34" s="5">
        <v>45329</v>
      </c>
      <c r="G34" s="5">
        <v>45231</v>
      </c>
      <c r="H34" s="5">
        <v>45596</v>
      </c>
      <c r="I34" s="3" t="s">
        <v>5</v>
      </c>
      <c r="J34" s="3" t="s">
        <v>6</v>
      </c>
      <c r="K34" s="3" t="s">
        <v>7</v>
      </c>
      <c r="L34" s="3" t="s">
        <v>8</v>
      </c>
      <c r="M34" s="6">
        <v>0</v>
      </c>
      <c r="N34" s="6">
        <v>549603</v>
      </c>
      <c r="O34" s="6">
        <v>555099</v>
      </c>
      <c r="P34" s="6">
        <v>0</v>
      </c>
      <c r="Q34" s="6">
        <v>0</v>
      </c>
      <c r="R34" s="6">
        <v>555099</v>
      </c>
    </row>
    <row r="35" spans="1:18" ht="13.5" x14ac:dyDescent="0.2">
      <c r="A35" s="2">
        <v>34</v>
      </c>
      <c r="B35" s="3" t="s">
        <v>1</v>
      </c>
      <c r="C35" s="3" t="s">
        <v>41</v>
      </c>
      <c r="D35" s="4" t="s">
        <v>3</v>
      </c>
      <c r="E35" s="3" t="s">
        <v>4</v>
      </c>
      <c r="F35" s="5">
        <v>45329</v>
      </c>
      <c r="G35" s="5">
        <v>45231</v>
      </c>
      <c r="H35" s="5">
        <v>45596</v>
      </c>
      <c r="I35" s="3" t="s">
        <v>5</v>
      </c>
      <c r="J35" s="3" t="s">
        <v>6</v>
      </c>
      <c r="K35" s="3" t="s">
        <v>7</v>
      </c>
      <c r="L35" s="3" t="s">
        <v>8</v>
      </c>
      <c r="M35" s="6">
        <v>0</v>
      </c>
      <c r="N35" s="6">
        <v>13693</v>
      </c>
      <c r="O35" s="6">
        <v>13830</v>
      </c>
      <c r="P35" s="6">
        <v>0</v>
      </c>
      <c r="Q35" s="6">
        <v>0</v>
      </c>
      <c r="R35" s="6">
        <v>13830</v>
      </c>
    </row>
    <row r="36" spans="1:18" ht="13.5" x14ac:dyDescent="0.2">
      <c r="A36" s="2">
        <v>35</v>
      </c>
      <c r="B36" s="3" t="s">
        <v>1</v>
      </c>
      <c r="C36" s="3" t="s">
        <v>42</v>
      </c>
      <c r="D36" s="4" t="s">
        <v>3</v>
      </c>
      <c r="E36" s="3" t="s">
        <v>4</v>
      </c>
      <c r="F36" s="5">
        <v>45331</v>
      </c>
      <c r="G36" s="5">
        <v>45231</v>
      </c>
      <c r="H36" s="5">
        <v>45596</v>
      </c>
      <c r="I36" s="3" t="s">
        <v>5</v>
      </c>
      <c r="J36" s="3" t="s">
        <v>6</v>
      </c>
      <c r="K36" s="3" t="s">
        <v>7</v>
      </c>
      <c r="L36" s="3" t="s">
        <v>8</v>
      </c>
      <c r="M36" s="6">
        <v>0</v>
      </c>
      <c r="N36" s="6">
        <v>1134727</v>
      </c>
      <c r="O36" s="6">
        <v>1146074</v>
      </c>
      <c r="P36" s="6">
        <v>0</v>
      </c>
      <c r="Q36" s="6">
        <v>0</v>
      </c>
      <c r="R36" s="6">
        <v>1146074</v>
      </c>
    </row>
    <row r="37" spans="1:18" ht="13.5" x14ac:dyDescent="0.2">
      <c r="A37" s="2">
        <v>36</v>
      </c>
      <c r="B37" s="3" t="s">
        <v>1</v>
      </c>
      <c r="C37" s="3" t="s">
        <v>43</v>
      </c>
      <c r="D37" s="4" t="s">
        <v>3</v>
      </c>
      <c r="E37" s="3" t="s">
        <v>4</v>
      </c>
      <c r="F37" s="5">
        <v>45332</v>
      </c>
      <c r="G37" s="5">
        <v>45231</v>
      </c>
      <c r="H37" s="5">
        <v>45596</v>
      </c>
      <c r="I37" s="3" t="s">
        <v>5</v>
      </c>
      <c r="J37" s="3" t="s">
        <v>6</v>
      </c>
      <c r="K37" s="3" t="s">
        <v>7</v>
      </c>
      <c r="L37" s="3" t="s">
        <v>8</v>
      </c>
      <c r="M37" s="6">
        <v>0</v>
      </c>
      <c r="N37" s="6">
        <v>13478</v>
      </c>
      <c r="O37" s="6">
        <v>13613</v>
      </c>
      <c r="P37" s="6">
        <v>0</v>
      </c>
      <c r="Q37" s="6">
        <v>0</v>
      </c>
      <c r="R37" s="6">
        <v>13613</v>
      </c>
    </row>
    <row r="38" spans="1:18" ht="13.5" x14ac:dyDescent="0.2">
      <c r="A38" s="2">
        <v>37</v>
      </c>
      <c r="B38" s="3" t="s">
        <v>1</v>
      </c>
      <c r="C38" s="3" t="s">
        <v>44</v>
      </c>
      <c r="D38" s="4" t="s">
        <v>3</v>
      </c>
      <c r="E38" s="3" t="s">
        <v>4</v>
      </c>
      <c r="F38" s="5">
        <v>45334</v>
      </c>
      <c r="G38" s="5">
        <v>45231</v>
      </c>
      <c r="H38" s="5">
        <v>45596</v>
      </c>
      <c r="I38" s="3" t="s">
        <v>5</v>
      </c>
      <c r="J38" s="3" t="s">
        <v>6</v>
      </c>
      <c r="K38" s="3" t="s">
        <v>7</v>
      </c>
      <c r="L38" s="3" t="s">
        <v>8</v>
      </c>
      <c r="M38" s="6">
        <v>0</v>
      </c>
      <c r="N38" s="6">
        <v>-697412</v>
      </c>
      <c r="O38" s="6">
        <v>-704386</v>
      </c>
      <c r="P38" s="6">
        <v>0</v>
      </c>
      <c r="Q38" s="6">
        <v>0</v>
      </c>
      <c r="R38" s="6">
        <v>-704386</v>
      </c>
    </row>
    <row r="39" spans="1:18" ht="13.5" x14ac:dyDescent="0.2">
      <c r="A39" s="2">
        <v>38</v>
      </c>
      <c r="B39" s="3" t="s">
        <v>1</v>
      </c>
      <c r="C39" s="3" t="s">
        <v>45</v>
      </c>
      <c r="D39" s="4" t="s">
        <v>3</v>
      </c>
      <c r="E39" s="3" t="s">
        <v>4</v>
      </c>
      <c r="F39" s="5">
        <v>45339</v>
      </c>
      <c r="G39" s="5">
        <v>45231</v>
      </c>
      <c r="H39" s="5">
        <v>45596</v>
      </c>
      <c r="I39" s="3" t="s">
        <v>5</v>
      </c>
      <c r="J39" s="3" t="s">
        <v>6</v>
      </c>
      <c r="K39" s="3" t="s">
        <v>7</v>
      </c>
      <c r="L39" s="3" t="s">
        <v>8</v>
      </c>
      <c r="M39" s="6">
        <v>0</v>
      </c>
      <c r="N39" s="6">
        <v>340270</v>
      </c>
      <c r="O39" s="6">
        <v>343673</v>
      </c>
      <c r="P39" s="6">
        <v>0</v>
      </c>
      <c r="Q39" s="6">
        <v>0</v>
      </c>
      <c r="R39" s="6">
        <v>343673</v>
      </c>
    </row>
    <row r="40" spans="1:18" ht="13.5" x14ac:dyDescent="0.2">
      <c r="A40" s="2">
        <v>39</v>
      </c>
      <c r="B40" s="3" t="s">
        <v>1</v>
      </c>
      <c r="C40" s="3" t="s">
        <v>46</v>
      </c>
      <c r="D40" s="4" t="s">
        <v>3</v>
      </c>
      <c r="E40" s="3" t="s">
        <v>4</v>
      </c>
      <c r="F40" s="5">
        <v>45344</v>
      </c>
      <c r="G40" s="5">
        <v>45231</v>
      </c>
      <c r="H40" s="5">
        <v>45596</v>
      </c>
      <c r="I40" s="3" t="s">
        <v>5</v>
      </c>
      <c r="J40" s="3" t="s">
        <v>6</v>
      </c>
      <c r="K40" s="3" t="s">
        <v>7</v>
      </c>
      <c r="L40" s="3" t="s">
        <v>8</v>
      </c>
      <c r="M40" s="6">
        <v>0</v>
      </c>
      <c r="N40" s="6">
        <v>427306</v>
      </c>
      <c r="O40" s="6">
        <v>431579</v>
      </c>
      <c r="P40" s="6">
        <v>0</v>
      </c>
      <c r="Q40" s="6">
        <v>0</v>
      </c>
      <c r="R40" s="6">
        <v>431579</v>
      </c>
    </row>
    <row r="41" spans="1:18" ht="13.5" x14ac:dyDescent="0.2">
      <c r="A41" s="2">
        <v>40</v>
      </c>
      <c r="B41" s="3" t="s">
        <v>1</v>
      </c>
      <c r="C41" s="3" t="s">
        <v>47</v>
      </c>
      <c r="D41" s="4" t="s">
        <v>3</v>
      </c>
      <c r="E41" s="3" t="s">
        <v>4</v>
      </c>
      <c r="F41" s="5">
        <v>45348</v>
      </c>
      <c r="G41" s="5">
        <v>45231</v>
      </c>
      <c r="H41" s="5">
        <v>45596</v>
      </c>
      <c r="I41" s="3" t="s">
        <v>5</v>
      </c>
      <c r="J41" s="3" t="s">
        <v>6</v>
      </c>
      <c r="K41" s="3" t="s">
        <v>7</v>
      </c>
      <c r="L41" s="3" t="s">
        <v>8</v>
      </c>
      <c r="M41" s="6">
        <v>0</v>
      </c>
      <c r="N41" s="6">
        <v>-223451</v>
      </c>
      <c r="O41" s="6">
        <v>-225686</v>
      </c>
      <c r="P41" s="6">
        <v>0</v>
      </c>
      <c r="Q41" s="6">
        <v>0</v>
      </c>
      <c r="R41" s="6">
        <v>-225686</v>
      </c>
    </row>
    <row r="42" spans="1:18" ht="13.5" x14ac:dyDescent="0.2">
      <c r="A42" s="2">
        <v>41</v>
      </c>
      <c r="B42" s="3" t="s">
        <v>1</v>
      </c>
      <c r="C42" s="3" t="s">
        <v>48</v>
      </c>
      <c r="D42" s="4" t="s">
        <v>3</v>
      </c>
      <c r="E42" s="3" t="s">
        <v>4</v>
      </c>
      <c r="F42" s="5">
        <v>45350</v>
      </c>
      <c r="G42" s="5">
        <v>45231</v>
      </c>
      <c r="H42" s="5">
        <v>45596</v>
      </c>
      <c r="I42" s="3" t="s">
        <v>5</v>
      </c>
      <c r="J42" s="3" t="s">
        <v>6</v>
      </c>
      <c r="K42" s="3" t="s">
        <v>7</v>
      </c>
      <c r="L42" s="3" t="s">
        <v>8</v>
      </c>
      <c r="M42" s="6">
        <v>0</v>
      </c>
      <c r="N42" s="6">
        <v>-10535</v>
      </c>
      <c r="O42" s="6">
        <v>-10640</v>
      </c>
      <c r="P42" s="6">
        <v>0</v>
      </c>
      <c r="Q42" s="6">
        <v>0</v>
      </c>
      <c r="R42" s="6">
        <v>-10640</v>
      </c>
    </row>
    <row r="43" spans="1:18" ht="13.5" x14ac:dyDescent="0.2">
      <c r="A43" s="2">
        <v>42</v>
      </c>
      <c r="B43" s="3" t="s">
        <v>1</v>
      </c>
      <c r="C43" s="3" t="s">
        <v>49</v>
      </c>
      <c r="D43" s="4" t="s">
        <v>3</v>
      </c>
      <c r="E43" s="3" t="s">
        <v>4</v>
      </c>
      <c r="F43" s="5">
        <v>45350</v>
      </c>
      <c r="G43" s="5">
        <v>45231</v>
      </c>
      <c r="H43" s="5">
        <v>45596</v>
      </c>
      <c r="I43" s="3" t="s">
        <v>5</v>
      </c>
      <c r="J43" s="3" t="s">
        <v>6</v>
      </c>
      <c r="K43" s="3" t="s">
        <v>7</v>
      </c>
      <c r="L43" s="3" t="s">
        <v>8</v>
      </c>
      <c r="M43" s="6">
        <v>0</v>
      </c>
      <c r="N43" s="6">
        <v>9</v>
      </c>
      <c r="O43" s="6">
        <v>9</v>
      </c>
      <c r="P43" s="6">
        <v>0</v>
      </c>
      <c r="Q43" s="6">
        <v>0</v>
      </c>
      <c r="R43" s="6">
        <v>9</v>
      </c>
    </row>
    <row r="44" spans="1:18" ht="13.5" x14ac:dyDescent="0.2">
      <c r="A44" s="2">
        <v>43</v>
      </c>
      <c r="B44" s="3" t="s">
        <v>1</v>
      </c>
      <c r="C44" s="3" t="s">
        <v>50</v>
      </c>
      <c r="D44" s="4" t="s">
        <v>3</v>
      </c>
      <c r="E44" s="3" t="s">
        <v>4</v>
      </c>
      <c r="F44" s="5">
        <v>45351</v>
      </c>
      <c r="G44" s="5">
        <v>45231</v>
      </c>
      <c r="H44" s="5">
        <v>45596</v>
      </c>
      <c r="I44" s="3" t="s">
        <v>5</v>
      </c>
      <c r="J44" s="3" t="s">
        <v>6</v>
      </c>
      <c r="K44" s="3" t="s">
        <v>7</v>
      </c>
      <c r="L44" s="3" t="s">
        <v>8</v>
      </c>
      <c r="M44" s="6">
        <v>0</v>
      </c>
      <c r="N44" s="6">
        <v>697358</v>
      </c>
      <c r="O44" s="6">
        <v>704332</v>
      </c>
      <c r="P44" s="6">
        <v>0</v>
      </c>
      <c r="Q44" s="6">
        <v>0</v>
      </c>
      <c r="R44" s="6">
        <v>704332</v>
      </c>
    </row>
    <row r="45" spans="1:18" ht="13.5" x14ac:dyDescent="0.2">
      <c r="A45" s="2">
        <v>44</v>
      </c>
      <c r="B45" s="3" t="s">
        <v>1</v>
      </c>
      <c r="C45" s="3" t="s">
        <v>51</v>
      </c>
      <c r="D45" s="4" t="s">
        <v>3</v>
      </c>
      <c r="E45" s="3" t="s">
        <v>4</v>
      </c>
      <c r="F45" s="5">
        <v>45355</v>
      </c>
      <c r="G45" s="5">
        <v>45231</v>
      </c>
      <c r="H45" s="5">
        <v>45596</v>
      </c>
      <c r="I45" s="3" t="s">
        <v>5</v>
      </c>
      <c r="J45" s="3" t="s">
        <v>6</v>
      </c>
      <c r="K45" s="3" t="s">
        <v>7</v>
      </c>
      <c r="L45" s="3" t="s">
        <v>8</v>
      </c>
      <c r="M45" s="6">
        <v>0</v>
      </c>
      <c r="N45" s="6">
        <v>23435</v>
      </c>
      <c r="O45" s="6">
        <v>23669</v>
      </c>
      <c r="P45" s="6">
        <v>0</v>
      </c>
      <c r="Q45" s="6">
        <v>0</v>
      </c>
      <c r="R45" s="6">
        <v>23669</v>
      </c>
    </row>
    <row r="46" spans="1:18" ht="13.5" x14ac:dyDescent="0.2">
      <c r="A46" s="2">
        <v>45</v>
      </c>
      <c r="B46" s="3" t="s">
        <v>1</v>
      </c>
      <c r="C46" s="3" t="s">
        <v>52</v>
      </c>
      <c r="D46" s="4" t="s">
        <v>3</v>
      </c>
      <c r="E46" s="3" t="s">
        <v>4</v>
      </c>
      <c r="F46" s="5">
        <v>45356</v>
      </c>
      <c r="G46" s="5">
        <v>45231</v>
      </c>
      <c r="H46" s="5">
        <v>45596</v>
      </c>
      <c r="I46" s="3" t="s">
        <v>5</v>
      </c>
      <c r="J46" s="3" t="s">
        <v>6</v>
      </c>
      <c r="K46" s="3" t="s">
        <v>7</v>
      </c>
      <c r="L46" s="3" t="s">
        <v>8</v>
      </c>
      <c r="M46" s="6">
        <v>0</v>
      </c>
      <c r="N46" s="6">
        <v>-2728</v>
      </c>
      <c r="O46" s="6">
        <v>-2755</v>
      </c>
      <c r="P46" s="6">
        <v>0</v>
      </c>
      <c r="Q46" s="6">
        <v>0</v>
      </c>
      <c r="R46" s="6">
        <v>-2755</v>
      </c>
    </row>
    <row r="47" spans="1:18" ht="13.5" x14ac:dyDescent="0.2">
      <c r="A47" s="2">
        <v>46</v>
      </c>
      <c r="B47" s="3" t="s">
        <v>1</v>
      </c>
      <c r="C47" s="3" t="s">
        <v>53</v>
      </c>
      <c r="D47" s="4" t="s">
        <v>3</v>
      </c>
      <c r="E47" s="3" t="s">
        <v>4</v>
      </c>
      <c r="F47" s="5">
        <v>45357</v>
      </c>
      <c r="G47" s="5">
        <v>45231</v>
      </c>
      <c r="H47" s="5">
        <v>45596</v>
      </c>
      <c r="I47" s="3" t="s">
        <v>5</v>
      </c>
      <c r="J47" s="3" t="s">
        <v>6</v>
      </c>
      <c r="K47" s="3" t="s">
        <v>7</v>
      </c>
      <c r="L47" s="3" t="s">
        <v>8</v>
      </c>
      <c r="M47" s="6">
        <v>0</v>
      </c>
      <c r="N47" s="6">
        <v>-895649</v>
      </c>
      <c r="O47" s="6">
        <v>-904605</v>
      </c>
      <c r="P47" s="6">
        <v>0</v>
      </c>
      <c r="Q47" s="6">
        <v>0</v>
      </c>
      <c r="R47" s="6">
        <v>-904605</v>
      </c>
    </row>
    <row r="48" spans="1:18" ht="13.5" x14ac:dyDescent="0.2">
      <c r="A48" s="2">
        <v>47</v>
      </c>
      <c r="B48" s="3" t="s">
        <v>1</v>
      </c>
      <c r="C48" s="3" t="s">
        <v>54</v>
      </c>
      <c r="D48" s="4" t="s">
        <v>3</v>
      </c>
      <c r="E48" s="3" t="s">
        <v>4</v>
      </c>
      <c r="F48" s="5">
        <v>45360</v>
      </c>
      <c r="G48" s="5">
        <v>45231</v>
      </c>
      <c r="H48" s="5">
        <v>45596</v>
      </c>
      <c r="I48" s="3" t="s">
        <v>5</v>
      </c>
      <c r="J48" s="3" t="s">
        <v>6</v>
      </c>
      <c r="K48" s="3" t="s">
        <v>7</v>
      </c>
      <c r="L48" s="3" t="s">
        <v>8</v>
      </c>
      <c r="M48" s="6">
        <v>0</v>
      </c>
      <c r="N48" s="6">
        <v>2978</v>
      </c>
      <c r="O48" s="6">
        <v>3008</v>
      </c>
      <c r="P48" s="6">
        <v>0</v>
      </c>
      <c r="Q48" s="6">
        <v>0</v>
      </c>
      <c r="R48" s="6">
        <v>3008</v>
      </c>
    </row>
    <row r="49" spans="1:18" ht="13.5" x14ac:dyDescent="0.2">
      <c r="A49" s="2">
        <v>48</v>
      </c>
      <c r="B49" s="3" t="s">
        <v>1</v>
      </c>
      <c r="C49" s="3" t="s">
        <v>55</v>
      </c>
      <c r="D49" s="4" t="s">
        <v>3</v>
      </c>
      <c r="E49" s="3" t="s">
        <v>4</v>
      </c>
      <c r="F49" s="5">
        <v>45362</v>
      </c>
      <c r="G49" s="5">
        <v>45231</v>
      </c>
      <c r="H49" s="5">
        <v>45596</v>
      </c>
      <c r="I49" s="3" t="s">
        <v>5</v>
      </c>
      <c r="J49" s="3" t="s">
        <v>6</v>
      </c>
      <c r="K49" s="3" t="s">
        <v>7</v>
      </c>
      <c r="L49" s="3" t="s">
        <v>8</v>
      </c>
      <c r="M49" s="6">
        <v>0</v>
      </c>
      <c r="N49" s="6">
        <v>6328</v>
      </c>
      <c r="O49" s="6">
        <v>6391</v>
      </c>
      <c r="P49" s="6">
        <v>0</v>
      </c>
      <c r="Q49" s="6">
        <v>0</v>
      </c>
      <c r="R49" s="6">
        <v>6391</v>
      </c>
    </row>
    <row r="50" spans="1:18" ht="13.5" x14ac:dyDescent="0.2">
      <c r="A50" s="2">
        <v>49</v>
      </c>
      <c r="B50" s="3" t="s">
        <v>1</v>
      </c>
      <c r="C50" s="3" t="s">
        <v>56</v>
      </c>
      <c r="D50" s="4" t="s">
        <v>3</v>
      </c>
      <c r="E50" s="3" t="s">
        <v>4</v>
      </c>
      <c r="F50" s="5">
        <v>45363</v>
      </c>
      <c r="G50" s="5">
        <v>45231</v>
      </c>
      <c r="H50" s="5">
        <v>45596</v>
      </c>
      <c r="I50" s="3" t="s">
        <v>5</v>
      </c>
      <c r="J50" s="3" t="s">
        <v>6</v>
      </c>
      <c r="K50" s="3" t="s">
        <v>7</v>
      </c>
      <c r="L50" s="3" t="s">
        <v>8</v>
      </c>
      <c r="M50" s="6">
        <v>0</v>
      </c>
      <c r="N50" s="6">
        <v>624034</v>
      </c>
      <c r="O50" s="6">
        <v>630274</v>
      </c>
      <c r="P50" s="6">
        <v>0</v>
      </c>
      <c r="Q50" s="6">
        <v>0</v>
      </c>
      <c r="R50" s="6">
        <v>630274</v>
      </c>
    </row>
    <row r="51" spans="1:18" ht="13.5" x14ac:dyDescent="0.2">
      <c r="A51" s="2">
        <v>50</v>
      </c>
      <c r="B51" s="3" t="s">
        <v>1</v>
      </c>
      <c r="C51" s="3" t="s">
        <v>57</v>
      </c>
      <c r="D51" s="4" t="s">
        <v>3</v>
      </c>
      <c r="E51" s="3" t="s">
        <v>4</v>
      </c>
      <c r="F51" s="5">
        <v>45363</v>
      </c>
      <c r="G51" s="5">
        <v>45231</v>
      </c>
      <c r="H51" s="5">
        <v>45596</v>
      </c>
      <c r="I51" s="3" t="s">
        <v>5</v>
      </c>
      <c r="J51" s="3" t="s">
        <v>6</v>
      </c>
      <c r="K51" s="3" t="s">
        <v>7</v>
      </c>
      <c r="L51" s="3" t="s">
        <v>8</v>
      </c>
      <c r="M51" s="6">
        <v>0</v>
      </c>
      <c r="N51" s="6">
        <v>13916</v>
      </c>
      <c r="O51" s="6">
        <v>14055</v>
      </c>
      <c r="P51" s="6">
        <v>0</v>
      </c>
      <c r="Q51" s="6">
        <v>0</v>
      </c>
      <c r="R51" s="6">
        <v>14055</v>
      </c>
    </row>
    <row r="52" spans="1:18" ht="13.5" x14ac:dyDescent="0.2">
      <c r="A52" s="2">
        <v>51</v>
      </c>
      <c r="B52" s="3" t="s">
        <v>1</v>
      </c>
      <c r="C52" s="3" t="s">
        <v>58</v>
      </c>
      <c r="D52" s="4" t="s">
        <v>3</v>
      </c>
      <c r="E52" s="3" t="s">
        <v>4</v>
      </c>
      <c r="F52" s="5">
        <v>45365</v>
      </c>
      <c r="G52" s="5">
        <v>45231</v>
      </c>
      <c r="H52" s="5">
        <v>45596</v>
      </c>
      <c r="I52" s="3" t="s">
        <v>5</v>
      </c>
      <c r="J52" s="3" t="s">
        <v>6</v>
      </c>
      <c r="K52" s="3" t="s">
        <v>7</v>
      </c>
      <c r="L52" s="3" t="s">
        <v>8</v>
      </c>
      <c r="M52" s="6">
        <v>0</v>
      </c>
      <c r="N52" s="6">
        <v>-2884</v>
      </c>
      <c r="O52" s="6">
        <v>-2913</v>
      </c>
      <c r="P52" s="6">
        <v>0</v>
      </c>
      <c r="Q52" s="6">
        <v>0</v>
      </c>
      <c r="R52" s="6">
        <v>-2913</v>
      </c>
    </row>
    <row r="53" spans="1:18" ht="13.5" x14ac:dyDescent="0.2">
      <c r="A53" s="2">
        <v>52</v>
      </c>
      <c r="B53" s="3" t="s">
        <v>1</v>
      </c>
      <c r="C53" s="3" t="s">
        <v>59</v>
      </c>
      <c r="D53" s="4" t="s">
        <v>3</v>
      </c>
      <c r="E53" s="3" t="s">
        <v>4</v>
      </c>
      <c r="F53" s="5">
        <v>45366</v>
      </c>
      <c r="G53" s="5">
        <v>45231</v>
      </c>
      <c r="H53" s="5">
        <v>45596</v>
      </c>
      <c r="I53" s="3" t="s">
        <v>5</v>
      </c>
      <c r="J53" s="3" t="s">
        <v>6</v>
      </c>
      <c r="K53" s="3" t="s">
        <v>7</v>
      </c>
      <c r="L53" s="3" t="s">
        <v>8</v>
      </c>
      <c r="M53" s="6">
        <v>0</v>
      </c>
      <c r="N53" s="6">
        <v>527015</v>
      </c>
      <c r="O53" s="6">
        <v>532285</v>
      </c>
      <c r="P53" s="6">
        <v>0</v>
      </c>
      <c r="Q53" s="6">
        <v>0</v>
      </c>
      <c r="R53" s="6">
        <v>532285</v>
      </c>
    </row>
    <row r="54" spans="1:18" ht="13.5" x14ac:dyDescent="0.2">
      <c r="A54" s="2">
        <v>53</v>
      </c>
      <c r="B54" s="3" t="s">
        <v>1</v>
      </c>
      <c r="C54" s="3" t="s">
        <v>60</v>
      </c>
      <c r="D54" s="4" t="s">
        <v>3</v>
      </c>
      <c r="E54" s="3" t="s">
        <v>4</v>
      </c>
      <c r="F54" s="5">
        <v>45375</v>
      </c>
      <c r="G54" s="5">
        <v>45231</v>
      </c>
      <c r="H54" s="5">
        <v>45596</v>
      </c>
      <c r="I54" s="3" t="s">
        <v>5</v>
      </c>
      <c r="J54" s="3" t="s">
        <v>6</v>
      </c>
      <c r="K54" s="3" t="s">
        <v>7</v>
      </c>
      <c r="L54" s="3" t="s">
        <v>8</v>
      </c>
      <c r="M54" s="6">
        <v>0</v>
      </c>
      <c r="N54" s="6">
        <v>594980</v>
      </c>
      <c r="O54" s="6">
        <v>600930</v>
      </c>
      <c r="P54" s="6">
        <v>0</v>
      </c>
      <c r="Q54" s="6">
        <v>0</v>
      </c>
      <c r="R54" s="6">
        <v>600930</v>
      </c>
    </row>
    <row r="55" spans="1:18" ht="13.5" x14ac:dyDescent="0.2">
      <c r="A55" s="2">
        <v>54</v>
      </c>
      <c r="B55" s="3" t="s">
        <v>1</v>
      </c>
      <c r="C55" s="3" t="s">
        <v>61</v>
      </c>
      <c r="D55" s="4" t="s">
        <v>3</v>
      </c>
      <c r="E55" s="3" t="s">
        <v>4</v>
      </c>
      <c r="F55" s="5">
        <v>45378</v>
      </c>
      <c r="G55" s="5">
        <v>45231</v>
      </c>
      <c r="H55" s="5">
        <v>45596</v>
      </c>
      <c r="I55" s="3" t="s">
        <v>5</v>
      </c>
      <c r="J55" s="3" t="s">
        <v>6</v>
      </c>
      <c r="K55" s="3" t="s">
        <v>7</v>
      </c>
      <c r="L55" s="3" t="s">
        <v>8</v>
      </c>
      <c r="M55" s="6">
        <v>0</v>
      </c>
      <c r="N55" s="6">
        <v>504046</v>
      </c>
      <c r="O55" s="6">
        <v>509086</v>
      </c>
      <c r="P55" s="6">
        <v>0</v>
      </c>
      <c r="Q55" s="6">
        <v>0</v>
      </c>
      <c r="R55" s="6">
        <v>509086</v>
      </c>
    </row>
    <row r="56" spans="1:18" ht="13.5" x14ac:dyDescent="0.2">
      <c r="A56" s="2">
        <v>55</v>
      </c>
      <c r="B56" s="3" t="s">
        <v>1</v>
      </c>
      <c r="C56" s="3" t="s">
        <v>62</v>
      </c>
      <c r="D56" s="4" t="s">
        <v>3</v>
      </c>
      <c r="E56" s="3" t="s">
        <v>4</v>
      </c>
      <c r="F56" s="5">
        <v>45380</v>
      </c>
      <c r="G56" s="5">
        <v>45231</v>
      </c>
      <c r="H56" s="5">
        <v>45596</v>
      </c>
      <c r="I56" s="3" t="s">
        <v>5</v>
      </c>
      <c r="J56" s="3" t="s">
        <v>6</v>
      </c>
      <c r="K56" s="3" t="s">
        <v>7</v>
      </c>
      <c r="L56" s="3" t="s">
        <v>8</v>
      </c>
      <c r="M56" s="6">
        <v>0</v>
      </c>
      <c r="N56" s="6">
        <v>4393</v>
      </c>
      <c r="O56" s="6">
        <v>4437</v>
      </c>
      <c r="P56" s="6">
        <v>0</v>
      </c>
      <c r="Q56" s="6">
        <v>0</v>
      </c>
      <c r="R56" s="6">
        <v>4437</v>
      </c>
    </row>
    <row r="57" spans="1:18" ht="13.5" x14ac:dyDescent="0.2">
      <c r="A57" s="2">
        <v>56</v>
      </c>
      <c r="B57" s="3" t="s">
        <v>1</v>
      </c>
      <c r="C57" s="3" t="s">
        <v>63</v>
      </c>
      <c r="D57" s="4" t="s">
        <v>3</v>
      </c>
      <c r="E57" s="3" t="s">
        <v>4</v>
      </c>
      <c r="F57" s="5">
        <v>45382</v>
      </c>
      <c r="G57" s="5">
        <v>45231</v>
      </c>
      <c r="H57" s="5">
        <v>45596</v>
      </c>
      <c r="I57" s="3" t="s">
        <v>5</v>
      </c>
      <c r="J57" s="3" t="s">
        <v>6</v>
      </c>
      <c r="K57" s="3" t="s">
        <v>7</v>
      </c>
      <c r="L57" s="3" t="s">
        <v>8</v>
      </c>
      <c r="M57" s="6">
        <v>0</v>
      </c>
      <c r="N57" s="6">
        <v>-3065</v>
      </c>
      <c r="O57" s="6">
        <v>-3096</v>
      </c>
      <c r="P57" s="6">
        <v>0</v>
      </c>
      <c r="Q57" s="6">
        <v>0</v>
      </c>
      <c r="R57" s="6">
        <v>-3096</v>
      </c>
    </row>
    <row r="58" spans="1:18" ht="13.5" x14ac:dyDescent="0.2">
      <c r="A58" s="2">
        <v>57</v>
      </c>
      <c r="B58" s="3" t="s">
        <v>1</v>
      </c>
      <c r="C58" s="3" t="s">
        <v>64</v>
      </c>
      <c r="D58" s="4" t="s">
        <v>3</v>
      </c>
      <c r="E58" s="3" t="s">
        <v>4</v>
      </c>
      <c r="F58" s="5">
        <v>45385</v>
      </c>
      <c r="G58" s="5">
        <v>45231</v>
      </c>
      <c r="H58" s="5">
        <v>45596</v>
      </c>
      <c r="I58" s="3" t="s">
        <v>5</v>
      </c>
      <c r="J58" s="3" t="s">
        <v>6</v>
      </c>
      <c r="K58" s="3" t="s">
        <v>7</v>
      </c>
      <c r="L58" s="3" t="s">
        <v>8</v>
      </c>
      <c r="M58" s="6">
        <v>0</v>
      </c>
      <c r="N58" s="6">
        <v>160327</v>
      </c>
      <c r="O58" s="6">
        <v>161930</v>
      </c>
      <c r="P58" s="6">
        <v>0</v>
      </c>
      <c r="Q58" s="6">
        <v>0</v>
      </c>
      <c r="R58" s="6">
        <v>161930</v>
      </c>
    </row>
    <row r="59" spans="1:18" ht="13.5" x14ac:dyDescent="0.2">
      <c r="A59" s="2">
        <v>58</v>
      </c>
      <c r="B59" s="3" t="s">
        <v>1</v>
      </c>
      <c r="C59" s="3" t="s">
        <v>65</v>
      </c>
      <c r="D59" s="4" t="s">
        <v>3</v>
      </c>
      <c r="E59" s="3" t="s">
        <v>4</v>
      </c>
      <c r="F59" s="5">
        <v>45386</v>
      </c>
      <c r="G59" s="5">
        <v>45231</v>
      </c>
      <c r="H59" s="5">
        <v>45596</v>
      </c>
      <c r="I59" s="3" t="s">
        <v>5</v>
      </c>
      <c r="J59" s="3" t="s">
        <v>6</v>
      </c>
      <c r="K59" s="3" t="s">
        <v>7</v>
      </c>
      <c r="L59" s="3" t="s">
        <v>8</v>
      </c>
      <c r="M59" s="6">
        <v>0</v>
      </c>
      <c r="N59" s="6">
        <v>-893123</v>
      </c>
      <c r="O59" s="6">
        <v>-902054</v>
      </c>
      <c r="P59" s="6">
        <v>0</v>
      </c>
      <c r="Q59" s="6">
        <v>0</v>
      </c>
      <c r="R59" s="6">
        <v>-902054</v>
      </c>
    </row>
    <row r="60" spans="1:18" ht="13.5" x14ac:dyDescent="0.2">
      <c r="A60" s="2">
        <v>59</v>
      </c>
      <c r="B60" s="3" t="s">
        <v>1</v>
      </c>
      <c r="C60" s="3" t="s">
        <v>66</v>
      </c>
      <c r="D60" s="4" t="s">
        <v>3</v>
      </c>
      <c r="E60" s="3" t="s">
        <v>4</v>
      </c>
      <c r="F60" s="5">
        <v>45390</v>
      </c>
      <c r="G60" s="5">
        <v>45231</v>
      </c>
      <c r="H60" s="5">
        <v>45596</v>
      </c>
      <c r="I60" s="3" t="s">
        <v>5</v>
      </c>
      <c r="J60" s="3" t="s">
        <v>6</v>
      </c>
      <c r="K60" s="3" t="s">
        <v>7</v>
      </c>
      <c r="L60" s="3" t="s">
        <v>8</v>
      </c>
      <c r="M60" s="6">
        <v>0</v>
      </c>
      <c r="N60" s="6">
        <v>12520</v>
      </c>
      <c r="O60" s="6">
        <v>12645</v>
      </c>
      <c r="P60" s="6">
        <v>0</v>
      </c>
      <c r="Q60" s="6">
        <v>0</v>
      </c>
      <c r="R60" s="6">
        <v>12645</v>
      </c>
    </row>
    <row r="61" spans="1:18" ht="13.5" x14ac:dyDescent="0.2">
      <c r="A61" s="2">
        <v>60</v>
      </c>
      <c r="B61" s="3" t="s">
        <v>1</v>
      </c>
      <c r="C61" s="3" t="s">
        <v>67</v>
      </c>
      <c r="D61" s="4" t="s">
        <v>3</v>
      </c>
      <c r="E61" s="3" t="s">
        <v>4</v>
      </c>
      <c r="F61" s="5">
        <v>45400</v>
      </c>
      <c r="G61" s="5">
        <v>45231</v>
      </c>
      <c r="H61" s="5">
        <v>45596</v>
      </c>
      <c r="I61" s="3" t="s">
        <v>5</v>
      </c>
      <c r="J61" s="3" t="s">
        <v>6</v>
      </c>
      <c r="K61" s="3" t="s">
        <v>7</v>
      </c>
      <c r="L61" s="3" t="s">
        <v>8</v>
      </c>
      <c r="M61" s="6">
        <v>0</v>
      </c>
      <c r="N61" s="6">
        <v>697509</v>
      </c>
      <c r="O61" s="6">
        <v>704484</v>
      </c>
      <c r="P61" s="6">
        <v>0</v>
      </c>
      <c r="Q61" s="6">
        <v>0</v>
      </c>
      <c r="R61" s="6">
        <v>704484</v>
      </c>
    </row>
    <row r="62" spans="1:18" ht="13.5" x14ac:dyDescent="0.2">
      <c r="A62" s="2">
        <v>61</v>
      </c>
      <c r="B62" s="3" t="s">
        <v>1</v>
      </c>
      <c r="C62" s="3" t="s">
        <v>68</v>
      </c>
      <c r="D62" s="4" t="s">
        <v>3</v>
      </c>
      <c r="E62" s="3" t="s">
        <v>4</v>
      </c>
      <c r="F62" s="5">
        <v>45403</v>
      </c>
      <c r="G62" s="5">
        <v>45231</v>
      </c>
      <c r="H62" s="5">
        <v>45596</v>
      </c>
      <c r="I62" s="3" t="s">
        <v>5</v>
      </c>
      <c r="J62" s="3" t="s">
        <v>6</v>
      </c>
      <c r="K62" s="3" t="s">
        <v>7</v>
      </c>
      <c r="L62" s="3" t="s">
        <v>8</v>
      </c>
      <c r="M62" s="6">
        <v>0</v>
      </c>
      <c r="N62" s="6">
        <v>-5242</v>
      </c>
      <c r="O62" s="6">
        <v>-5294</v>
      </c>
      <c r="P62" s="6">
        <v>0</v>
      </c>
      <c r="Q62" s="6">
        <v>0</v>
      </c>
      <c r="R62" s="6">
        <v>-5294</v>
      </c>
    </row>
    <row r="63" spans="1:18" ht="13.5" x14ac:dyDescent="0.2">
      <c r="A63" s="2">
        <v>62</v>
      </c>
      <c r="B63" s="3" t="s">
        <v>1</v>
      </c>
      <c r="C63" s="3" t="s">
        <v>69</v>
      </c>
      <c r="D63" s="4" t="s">
        <v>3</v>
      </c>
      <c r="E63" s="3" t="s">
        <v>4</v>
      </c>
      <c r="F63" s="5">
        <v>45407</v>
      </c>
      <c r="G63" s="5">
        <v>45231</v>
      </c>
      <c r="H63" s="5">
        <v>45596</v>
      </c>
      <c r="I63" s="3" t="s">
        <v>5</v>
      </c>
      <c r="J63" s="3" t="s">
        <v>6</v>
      </c>
      <c r="K63" s="3" t="s">
        <v>7</v>
      </c>
      <c r="L63" s="3" t="s">
        <v>8</v>
      </c>
      <c r="M63" s="6">
        <v>0</v>
      </c>
      <c r="N63" s="6">
        <v>344310</v>
      </c>
      <c r="O63" s="6">
        <v>347753</v>
      </c>
      <c r="P63" s="6">
        <v>0</v>
      </c>
      <c r="Q63" s="6">
        <v>0</v>
      </c>
      <c r="R63" s="6">
        <v>347753</v>
      </c>
    </row>
    <row r="64" spans="1:18" ht="13.5" x14ac:dyDescent="0.2">
      <c r="A64" s="2">
        <v>63</v>
      </c>
      <c r="B64" s="3" t="s">
        <v>1</v>
      </c>
      <c r="C64" s="3" t="s">
        <v>70</v>
      </c>
      <c r="D64" s="4" t="s">
        <v>3</v>
      </c>
      <c r="E64" s="3" t="s">
        <v>4</v>
      </c>
      <c r="F64" s="5">
        <v>45411</v>
      </c>
      <c r="G64" s="5">
        <v>45231</v>
      </c>
      <c r="H64" s="5">
        <v>45596</v>
      </c>
      <c r="I64" s="3" t="s">
        <v>5</v>
      </c>
      <c r="J64" s="3" t="s">
        <v>6</v>
      </c>
      <c r="K64" s="3" t="s">
        <v>7</v>
      </c>
      <c r="L64" s="3" t="s">
        <v>8</v>
      </c>
      <c r="M64" s="6">
        <v>0</v>
      </c>
      <c r="N64" s="6">
        <v>-2475</v>
      </c>
      <c r="O64" s="6">
        <v>-2500</v>
      </c>
      <c r="P64" s="6">
        <v>0</v>
      </c>
      <c r="Q64" s="6">
        <v>0</v>
      </c>
      <c r="R64" s="6">
        <v>-2500</v>
      </c>
    </row>
    <row r="65" spans="1:18" ht="13.5" x14ac:dyDescent="0.2">
      <c r="A65" s="2">
        <v>64</v>
      </c>
      <c r="B65" s="3" t="s">
        <v>1</v>
      </c>
      <c r="C65" s="3" t="s">
        <v>71</v>
      </c>
      <c r="D65" s="4" t="s">
        <v>3</v>
      </c>
      <c r="E65" s="3" t="s">
        <v>4</v>
      </c>
      <c r="F65" s="5">
        <v>45412</v>
      </c>
      <c r="G65" s="5">
        <v>45231</v>
      </c>
      <c r="H65" s="5">
        <v>45596</v>
      </c>
      <c r="I65" s="3" t="s">
        <v>5</v>
      </c>
      <c r="J65" s="3" t="s">
        <v>6</v>
      </c>
      <c r="K65" s="3" t="s">
        <v>7</v>
      </c>
      <c r="L65" s="3" t="s">
        <v>8</v>
      </c>
      <c r="M65" s="6">
        <v>0</v>
      </c>
      <c r="N65" s="6">
        <v>2213</v>
      </c>
      <c r="O65" s="6">
        <v>2235</v>
      </c>
      <c r="P65" s="6">
        <v>0</v>
      </c>
      <c r="Q65" s="6">
        <v>0</v>
      </c>
      <c r="R65" s="6">
        <v>2235</v>
      </c>
    </row>
    <row r="66" spans="1:18" ht="13.5" x14ac:dyDescent="0.2">
      <c r="A66" s="2">
        <v>65</v>
      </c>
      <c r="B66" s="3" t="s">
        <v>1</v>
      </c>
      <c r="C66" s="3" t="s">
        <v>72</v>
      </c>
      <c r="D66" s="4" t="s">
        <v>3</v>
      </c>
      <c r="E66" s="3" t="s">
        <v>4</v>
      </c>
      <c r="F66" s="5">
        <v>45414</v>
      </c>
      <c r="G66" s="5">
        <v>45231</v>
      </c>
      <c r="H66" s="5">
        <v>45596</v>
      </c>
      <c r="I66" s="3" t="s">
        <v>5</v>
      </c>
      <c r="J66" s="3" t="s">
        <v>6</v>
      </c>
      <c r="K66" s="3" t="s">
        <v>7</v>
      </c>
      <c r="L66" s="3" t="s">
        <v>8</v>
      </c>
      <c r="M66" s="6">
        <v>0</v>
      </c>
      <c r="N66" s="6">
        <v>-718602</v>
      </c>
      <c r="O66" s="6">
        <v>-725788</v>
      </c>
      <c r="P66" s="6">
        <v>0</v>
      </c>
      <c r="Q66" s="6">
        <v>0</v>
      </c>
      <c r="R66" s="6">
        <v>-725788</v>
      </c>
    </row>
    <row r="67" spans="1:18" ht="13.5" x14ac:dyDescent="0.2">
      <c r="A67" s="2">
        <v>66</v>
      </c>
      <c r="B67" s="3" t="s">
        <v>1</v>
      </c>
      <c r="C67" s="3" t="s">
        <v>73</v>
      </c>
      <c r="D67" s="4" t="s">
        <v>3</v>
      </c>
      <c r="E67" s="3" t="s">
        <v>4</v>
      </c>
      <c r="F67" s="5">
        <v>45415</v>
      </c>
      <c r="G67" s="5">
        <v>45231</v>
      </c>
      <c r="H67" s="5">
        <v>45596</v>
      </c>
      <c r="I67" s="3" t="s">
        <v>5</v>
      </c>
      <c r="J67" s="3" t="s">
        <v>6</v>
      </c>
      <c r="K67" s="3" t="s">
        <v>7</v>
      </c>
      <c r="L67" s="3" t="s">
        <v>8</v>
      </c>
      <c r="M67" s="6">
        <v>0</v>
      </c>
      <c r="N67" s="6">
        <v>214187</v>
      </c>
      <c r="O67" s="6">
        <v>216329</v>
      </c>
      <c r="P67" s="6">
        <v>0</v>
      </c>
      <c r="Q67" s="6">
        <v>0</v>
      </c>
      <c r="R67" s="6">
        <v>216329</v>
      </c>
    </row>
    <row r="68" spans="1:18" ht="13.5" x14ac:dyDescent="0.2">
      <c r="A68" s="2">
        <v>67</v>
      </c>
      <c r="B68" s="3" t="s">
        <v>1</v>
      </c>
      <c r="C68" s="3" t="s">
        <v>74</v>
      </c>
      <c r="D68" s="4" t="s">
        <v>3</v>
      </c>
      <c r="E68" s="3" t="s">
        <v>4</v>
      </c>
      <c r="F68" s="5">
        <v>45415</v>
      </c>
      <c r="G68" s="5">
        <v>45231</v>
      </c>
      <c r="H68" s="5">
        <v>45596</v>
      </c>
      <c r="I68" s="3" t="s">
        <v>5</v>
      </c>
      <c r="J68" s="3" t="s">
        <v>6</v>
      </c>
      <c r="K68" s="3" t="s">
        <v>7</v>
      </c>
      <c r="L68" s="3" t="s">
        <v>8</v>
      </c>
      <c r="M68" s="6">
        <v>0</v>
      </c>
      <c r="N68" s="6">
        <v>-4212</v>
      </c>
      <c r="O68" s="6">
        <v>-4254</v>
      </c>
      <c r="P68" s="6">
        <v>0</v>
      </c>
      <c r="Q68" s="6">
        <v>0</v>
      </c>
      <c r="R68" s="6">
        <v>-4254</v>
      </c>
    </row>
    <row r="69" spans="1:18" ht="13.5" x14ac:dyDescent="0.2">
      <c r="A69" s="2">
        <v>68</v>
      </c>
      <c r="B69" s="3" t="s">
        <v>1</v>
      </c>
      <c r="C69" s="3" t="s">
        <v>75</v>
      </c>
      <c r="D69" s="4" t="s">
        <v>3</v>
      </c>
      <c r="E69" s="3" t="s">
        <v>4</v>
      </c>
      <c r="F69" s="5">
        <v>45418</v>
      </c>
      <c r="G69" s="5">
        <v>45231</v>
      </c>
      <c r="H69" s="5">
        <v>45596</v>
      </c>
      <c r="I69" s="3" t="s">
        <v>5</v>
      </c>
      <c r="J69" s="3" t="s">
        <v>6</v>
      </c>
      <c r="K69" s="3" t="s">
        <v>7</v>
      </c>
      <c r="L69" s="3" t="s">
        <v>8</v>
      </c>
      <c r="M69" s="6">
        <v>0</v>
      </c>
      <c r="N69" s="6">
        <v>-1242</v>
      </c>
      <c r="O69" s="6">
        <v>-1254</v>
      </c>
      <c r="P69" s="6">
        <v>0</v>
      </c>
      <c r="Q69" s="6">
        <v>0</v>
      </c>
      <c r="R69" s="6">
        <v>-1254</v>
      </c>
    </row>
    <row r="70" spans="1:18" ht="13.5" x14ac:dyDescent="0.2">
      <c r="A70" s="2">
        <v>69</v>
      </c>
      <c r="B70" s="3" t="s">
        <v>1</v>
      </c>
      <c r="C70" s="3" t="s">
        <v>76</v>
      </c>
      <c r="D70" s="4" t="s">
        <v>3</v>
      </c>
      <c r="E70" s="3" t="s">
        <v>4</v>
      </c>
      <c r="F70" s="5">
        <v>45422</v>
      </c>
      <c r="G70" s="5">
        <v>45231</v>
      </c>
      <c r="H70" s="5">
        <v>45596</v>
      </c>
      <c r="I70" s="3" t="s">
        <v>5</v>
      </c>
      <c r="J70" s="3" t="s">
        <v>6</v>
      </c>
      <c r="K70" s="3" t="s">
        <v>7</v>
      </c>
      <c r="L70" s="3" t="s">
        <v>8</v>
      </c>
      <c r="M70" s="6">
        <v>0</v>
      </c>
      <c r="N70" s="6">
        <v>3644</v>
      </c>
      <c r="O70" s="6">
        <v>3680</v>
      </c>
      <c r="P70" s="6">
        <v>0</v>
      </c>
      <c r="Q70" s="6">
        <v>0</v>
      </c>
      <c r="R70" s="6">
        <v>3680</v>
      </c>
    </row>
    <row r="71" spans="1:18" ht="13.5" x14ac:dyDescent="0.2">
      <c r="A71" s="2">
        <v>70</v>
      </c>
      <c r="B71" s="3" t="s">
        <v>1</v>
      </c>
      <c r="C71" s="3" t="s">
        <v>77</v>
      </c>
      <c r="D71" s="4" t="s">
        <v>3</v>
      </c>
      <c r="E71" s="3" t="s">
        <v>4</v>
      </c>
      <c r="F71" s="5">
        <v>45426</v>
      </c>
      <c r="G71" s="5">
        <v>45231</v>
      </c>
      <c r="H71" s="5">
        <v>45596</v>
      </c>
      <c r="I71" s="3" t="s">
        <v>5</v>
      </c>
      <c r="J71" s="3" t="s">
        <v>6</v>
      </c>
      <c r="K71" s="3" t="s">
        <v>7</v>
      </c>
      <c r="L71" s="3" t="s">
        <v>8</v>
      </c>
      <c r="M71" s="6">
        <v>0</v>
      </c>
      <c r="N71" s="6">
        <v>11931</v>
      </c>
      <c r="O71" s="6">
        <v>12050</v>
      </c>
      <c r="P71" s="6">
        <v>0</v>
      </c>
      <c r="Q71" s="6">
        <v>0</v>
      </c>
      <c r="R71" s="6">
        <v>12050</v>
      </c>
    </row>
    <row r="72" spans="1:18" ht="13.5" x14ac:dyDescent="0.2">
      <c r="A72" s="2">
        <v>71</v>
      </c>
      <c r="B72" s="3" t="s">
        <v>1</v>
      </c>
      <c r="C72" s="3" t="s">
        <v>78</v>
      </c>
      <c r="D72" s="4" t="s">
        <v>3</v>
      </c>
      <c r="E72" s="3" t="s">
        <v>4</v>
      </c>
      <c r="F72" s="5">
        <v>45427</v>
      </c>
      <c r="G72" s="5">
        <v>45231</v>
      </c>
      <c r="H72" s="5">
        <v>45596</v>
      </c>
      <c r="I72" s="3" t="s">
        <v>5</v>
      </c>
      <c r="J72" s="3" t="s">
        <v>6</v>
      </c>
      <c r="K72" s="3" t="s">
        <v>7</v>
      </c>
      <c r="L72" s="3" t="s">
        <v>8</v>
      </c>
      <c r="M72" s="6">
        <v>0</v>
      </c>
      <c r="N72" s="6">
        <v>14708</v>
      </c>
      <c r="O72" s="6">
        <v>14855</v>
      </c>
      <c r="P72" s="6">
        <v>0</v>
      </c>
      <c r="Q72" s="6">
        <v>0</v>
      </c>
      <c r="R72" s="6">
        <v>14855</v>
      </c>
    </row>
    <row r="73" spans="1:18" ht="13.5" x14ac:dyDescent="0.2">
      <c r="A73" s="2">
        <v>72</v>
      </c>
      <c r="B73" s="3" t="s">
        <v>1</v>
      </c>
      <c r="C73" s="3" t="s">
        <v>79</v>
      </c>
      <c r="D73" s="4" t="s">
        <v>3</v>
      </c>
      <c r="E73" s="3" t="s">
        <v>4</v>
      </c>
      <c r="F73" s="5">
        <v>45427</v>
      </c>
      <c r="G73" s="5">
        <v>45231</v>
      </c>
      <c r="H73" s="5">
        <v>45596</v>
      </c>
      <c r="I73" s="3" t="s">
        <v>5</v>
      </c>
      <c r="J73" s="3" t="s">
        <v>6</v>
      </c>
      <c r="K73" s="3" t="s">
        <v>7</v>
      </c>
      <c r="L73" s="3" t="s">
        <v>8</v>
      </c>
      <c r="M73" s="6">
        <v>0</v>
      </c>
      <c r="N73" s="6">
        <v>913250</v>
      </c>
      <c r="O73" s="6">
        <v>922383</v>
      </c>
      <c r="P73" s="6">
        <v>0</v>
      </c>
      <c r="Q73" s="6">
        <v>0</v>
      </c>
      <c r="R73" s="6">
        <v>922383</v>
      </c>
    </row>
    <row r="74" spans="1:18" ht="13.5" x14ac:dyDescent="0.2">
      <c r="A74" s="2">
        <v>73</v>
      </c>
      <c r="B74" s="3" t="s">
        <v>1</v>
      </c>
      <c r="C74" s="3" t="s">
        <v>80</v>
      </c>
      <c r="D74" s="4" t="s">
        <v>3</v>
      </c>
      <c r="E74" s="3" t="s">
        <v>4</v>
      </c>
      <c r="F74" s="5">
        <v>45428</v>
      </c>
      <c r="G74" s="5">
        <v>45231</v>
      </c>
      <c r="H74" s="5">
        <v>45596</v>
      </c>
      <c r="I74" s="3" t="s">
        <v>5</v>
      </c>
      <c r="J74" s="3" t="s">
        <v>6</v>
      </c>
      <c r="K74" s="3" t="s">
        <v>7</v>
      </c>
      <c r="L74" s="3" t="s">
        <v>8</v>
      </c>
      <c r="M74" s="6">
        <v>0</v>
      </c>
      <c r="N74" s="6">
        <v>-4212</v>
      </c>
      <c r="O74" s="6">
        <v>-4254</v>
      </c>
      <c r="P74" s="6">
        <v>0</v>
      </c>
      <c r="Q74" s="6">
        <v>0</v>
      </c>
      <c r="R74" s="6">
        <v>-4254</v>
      </c>
    </row>
    <row r="75" spans="1:18" ht="13.5" x14ac:dyDescent="0.2">
      <c r="A75" s="2">
        <v>74</v>
      </c>
      <c r="B75" s="3" t="s">
        <v>1</v>
      </c>
      <c r="C75" s="3" t="s">
        <v>81</v>
      </c>
      <c r="D75" s="4" t="s">
        <v>3</v>
      </c>
      <c r="E75" s="3" t="s">
        <v>4</v>
      </c>
      <c r="F75" s="5">
        <v>45433</v>
      </c>
      <c r="G75" s="5">
        <v>45231</v>
      </c>
      <c r="H75" s="5">
        <v>45596</v>
      </c>
      <c r="I75" s="3" t="s">
        <v>5</v>
      </c>
      <c r="J75" s="3" t="s">
        <v>6</v>
      </c>
      <c r="K75" s="3" t="s">
        <v>7</v>
      </c>
      <c r="L75" s="3" t="s">
        <v>8</v>
      </c>
      <c r="M75" s="6">
        <v>0</v>
      </c>
      <c r="N75" s="6">
        <v>1113207</v>
      </c>
      <c r="O75" s="6">
        <v>1124339</v>
      </c>
      <c r="P75" s="6">
        <v>0</v>
      </c>
      <c r="Q75" s="6">
        <v>0</v>
      </c>
      <c r="R75" s="6">
        <v>1124339</v>
      </c>
    </row>
    <row r="76" spans="1:18" ht="13.5" x14ac:dyDescent="0.2">
      <c r="A76" s="2">
        <v>75</v>
      </c>
      <c r="B76" s="3" t="s">
        <v>1</v>
      </c>
      <c r="C76" s="3" t="s">
        <v>82</v>
      </c>
      <c r="D76" s="4" t="s">
        <v>3</v>
      </c>
      <c r="E76" s="3" t="s">
        <v>4</v>
      </c>
      <c r="F76" s="5">
        <v>45434</v>
      </c>
      <c r="G76" s="5">
        <v>45231</v>
      </c>
      <c r="H76" s="5">
        <v>45596</v>
      </c>
      <c r="I76" s="3" t="s">
        <v>5</v>
      </c>
      <c r="J76" s="3" t="s">
        <v>6</v>
      </c>
      <c r="K76" s="3" t="s">
        <v>7</v>
      </c>
      <c r="L76" s="3" t="s">
        <v>8</v>
      </c>
      <c r="M76" s="6">
        <v>0</v>
      </c>
      <c r="N76" s="6">
        <v>651748</v>
      </c>
      <c r="O76" s="6">
        <v>658265</v>
      </c>
      <c r="P76" s="6">
        <v>0</v>
      </c>
      <c r="Q76" s="6">
        <v>0</v>
      </c>
      <c r="R76" s="6">
        <v>658265</v>
      </c>
    </row>
    <row r="77" spans="1:18" ht="13.5" x14ac:dyDescent="0.2">
      <c r="A77" s="2">
        <v>76</v>
      </c>
      <c r="B77" s="3" t="s">
        <v>1</v>
      </c>
      <c r="C77" s="3" t="s">
        <v>83</v>
      </c>
      <c r="D77" s="4" t="s">
        <v>3</v>
      </c>
      <c r="E77" s="3" t="s">
        <v>4</v>
      </c>
      <c r="F77" s="5">
        <v>45442</v>
      </c>
      <c r="G77" s="5">
        <v>45231</v>
      </c>
      <c r="H77" s="5">
        <v>45596</v>
      </c>
      <c r="I77" s="3" t="s">
        <v>5</v>
      </c>
      <c r="J77" s="3" t="s">
        <v>6</v>
      </c>
      <c r="K77" s="3" t="s">
        <v>7</v>
      </c>
      <c r="L77" s="3" t="s">
        <v>8</v>
      </c>
      <c r="M77" s="6">
        <v>0</v>
      </c>
      <c r="N77" s="6">
        <v>14299</v>
      </c>
      <c r="O77" s="6">
        <v>14442</v>
      </c>
      <c r="P77" s="6">
        <v>0</v>
      </c>
      <c r="Q77" s="6">
        <v>0</v>
      </c>
      <c r="R77" s="6">
        <v>14442</v>
      </c>
    </row>
    <row r="78" spans="1:18" ht="13.5" x14ac:dyDescent="0.2">
      <c r="A78" s="2">
        <v>77</v>
      </c>
      <c r="B78" s="3" t="s">
        <v>1</v>
      </c>
      <c r="C78" s="3" t="s">
        <v>84</v>
      </c>
      <c r="D78" s="4" t="s">
        <v>3</v>
      </c>
      <c r="E78" s="3" t="s">
        <v>4</v>
      </c>
      <c r="F78" s="5">
        <v>45443</v>
      </c>
      <c r="G78" s="5">
        <v>45231</v>
      </c>
      <c r="H78" s="5">
        <v>45596</v>
      </c>
      <c r="I78" s="3" t="s">
        <v>5</v>
      </c>
      <c r="J78" s="3" t="s">
        <v>6</v>
      </c>
      <c r="K78" s="3" t="s">
        <v>7</v>
      </c>
      <c r="L78" s="3" t="s">
        <v>8</v>
      </c>
      <c r="M78" s="6">
        <v>0</v>
      </c>
      <c r="N78" s="6">
        <v>716124</v>
      </c>
      <c r="O78" s="6">
        <v>723285</v>
      </c>
      <c r="P78" s="6">
        <v>0</v>
      </c>
      <c r="Q78" s="6">
        <v>0</v>
      </c>
      <c r="R78" s="6">
        <v>723285</v>
      </c>
    </row>
    <row r="79" spans="1:18" ht="13.5" x14ac:dyDescent="0.2">
      <c r="A79" s="2">
        <v>78</v>
      </c>
      <c r="B79" s="3" t="s">
        <v>1</v>
      </c>
      <c r="C79" s="3" t="s">
        <v>85</v>
      </c>
      <c r="D79" s="4" t="s">
        <v>3</v>
      </c>
      <c r="E79" s="3" t="s">
        <v>4</v>
      </c>
      <c r="F79" s="5">
        <v>45446</v>
      </c>
      <c r="G79" s="5">
        <v>45231</v>
      </c>
      <c r="H79" s="5">
        <v>45596</v>
      </c>
      <c r="I79" s="3" t="s">
        <v>5</v>
      </c>
      <c r="J79" s="3" t="s">
        <v>6</v>
      </c>
      <c r="K79" s="3" t="s">
        <v>7</v>
      </c>
      <c r="L79" s="3" t="s">
        <v>8</v>
      </c>
      <c r="M79" s="6">
        <v>0</v>
      </c>
      <c r="N79" s="6">
        <v>6764</v>
      </c>
      <c r="O79" s="6">
        <v>6832</v>
      </c>
      <c r="P79" s="6">
        <v>0</v>
      </c>
      <c r="Q79" s="6">
        <v>0</v>
      </c>
      <c r="R79" s="6">
        <v>6832</v>
      </c>
    </row>
    <row r="80" spans="1:18" ht="13.5" x14ac:dyDescent="0.2">
      <c r="A80" s="2">
        <v>79</v>
      </c>
      <c r="B80" s="3" t="s">
        <v>1</v>
      </c>
      <c r="C80" s="3" t="s">
        <v>86</v>
      </c>
      <c r="D80" s="4" t="s">
        <v>3</v>
      </c>
      <c r="E80" s="3" t="s">
        <v>4</v>
      </c>
      <c r="F80" s="5">
        <v>45446</v>
      </c>
      <c r="G80" s="5">
        <v>45231</v>
      </c>
      <c r="H80" s="5">
        <v>45596</v>
      </c>
      <c r="I80" s="3" t="s">
        <v>5</v>
      </c>
      <c r="J80" s="3" t="s">
        <v>6</v>
      </c>
      <c r="K80" s="3" t="s">
        <v>7</v>
      </c>
      <c r="L80" s="3" t="s">
        <v>8</v>
      </c>
      <c r="M80" s="6">
        <v>0</v>
      </c>
      <c r="N80" s="6">
        <v>-881879</v>
      </c>
      <c r="O80" s="6">
        <v>-890698</v>
      </c>
      <c r="P80" s="6">
        <v>0</v>
      </c>
      <c r="Q80" s="6">
        <v>0</v>
      </c>
      <c r="R80" s="6">
        <v>-890698</v>
      </c>
    </row>
    <row r="81" spans="1:18" ht="13.5" x14ac:dyDescent="0.2">
      <c r="A81" s="2">
        <v>80</v>
      </c>
      <c r="B81" s="3" t="s">
        <v>1</v>
      </c>
      <c r="C81" s="3" t="s">
        <v>87</v>
      </c>
      <c r="D81" s="4" t="s">
        <v>3</v>
      </c>
      <c r="E81" s="3" t="s">
        <v>4</v>
      </c>
      <c r="F81" s="5">
        <v>45448</v>
      </c>
      <c r="G81" s="5">
        <v>45231</v>
      </c>
      <c r="H81" s="5">
        <v>45596</v>
      </c>
      <c r="I81" s="3" t="s">
        <v>5</v>
      </c>
      <c r="J81" s="3" t="s">
        <v>6</v>
      </c>
      <c r="K81" s="3" t="s">
        <v>7</v>
      </c>
      <c r="L81" s="3" t="s">
        <v>8</v>
      </c>
      <c r="M81" s="6">
        <v>0</v>
      </c>
      <c r="N81" s="6">
        <v>2774</v>
      </c>
      <c r="O81" s="6">
        <v>2802</v>
      </c>
      <c r="P81" s="6">
        <v>0</v>
      </c>
      <c r="Q81" s="6">
        <v>0</v>
      </c>
      <c r="R81" s="6">
        <v>2802</v>
      </c>
    </row>
    <row r="82" spans="1:18" ht="13.5" x14ac:dyDescent="0.2">
      <c r="A82" s="2">
        <v>81</v>
      </c>
      <c r="B82" s="3" t="s">
        <v>1</v>
      </c>
      <c r="C82" s="3" t="s">
        <v>88</v>
      </c>
      <c r="D82" s="4" t="s">
        <v>3</v>
      </c>
      <c r="E82" s="3" t="s">
        <v>4</v>
      </c>
      <c r="F82" s="5">
        <v>45450</v>
      </c>
      <c r="G82" s="5">
        <v>45231</v>
      </c>
      <c r="H82" s="5">
        <v>45596</v>
      </c>
      <c r="I82" s="3" t="s">
        <v>5</v>
      </c>
      <c r="J82" s="3" t="s">
        <v>6</v>
      </c>
      <c r="K82" s="3" t="s">
        <v>7</v>
      </c>
      <c r="L82" s="3" t="s">
        <v>8</v>
      </c>
      <c r="M82" s="6">
        <v>0</v>
      </c>
      <c r="N82" s="6">
        <v>170841</v>
      </c>
      <c r="O82" s="6">
        <v>172549</v>
      </c>
      <c r="P82" s="6">
        <v>0</v>
      </c>
      <c r="Q82" s="6">
        <v>0</v>
      </c>
      <c r="R82" s="6">
        <v>172549</v>
      </c>
    </row>
    <row r="83" spans="1:18" ht="13.5" x14ac:dyDescent="0.2">
      <c r="A83" s="2">
        <v>82</v>
      </c>
      <c r="B83" s="3" t="s">
        <v>1</v>
      </c>
      <c r="C83" s="3" t="s">
        <v>89</v>
      </c>
      <c r="D83" s="4" t="s">
        <v>3</v>
      </c>
      <c r="E83" s="3" t="s">
        <v>4</v>
      </c>
      <c r="F83" s="5">
        <v>45455</v>
      </c>
      <c r="G83" s="5">
        <v>45231</v>
      </c>
      <c r="H83" s="5">
        <v>45596</v>
      </c>
      <c r="I83" s="3" t="s">
        <v>5</v>
      </c>
      <c r="J83" s="3" t="s">
        <v>6</v>
      </c>
      <c r="K83" s="3" t="s">
        <v>7</v>
      </c>
      <c r="L83" s="3" t="s">
        <v>8</v>
      </c>
      <c r="M83" s="6">
        <v>0</v>
      </c>
      <c r="N83" s="6">
        <v>-2347</v>
      </c>
      <c r="O83" s="6">
        <v>-2370</v>
      </c>
      <c r="P83" s="6">
        <v>0</v>
      </c>
      <c r="Q83" s="6">
        <v>0</v>
      </c>
      <c r="R83" s="6">
        <v>-2370</v>
      </c>
    </row>
    <row r="84" spans="1:18" ht="13.5" x14ac:dyDescent="0.2">
      <c r="A84" s="2">
        <v>83</v>
      </c>
      <c r="B84" s="3" t="s">
        <v>1</v>
      </c>
      <c r="C84" s="3" t="s">
        <v>90</v>
      </c>
      <c r="D84" s="4" t="s">
        <v>3</v>
      </c>
      <c r="E84" s="3" t="s">
        <v>4</v>
      </c>
      <c r="F84" s="5">
        <v>45456</v>
      </c>
      <c r="G84" s="5">
        <v>45231</v>
      </c>
      <c r="H84" s="5">
        <v>45596</v>
      </c>
      <c r="I84" s="3" t="s">
        <v>5</v>
      </c>
      <c r="J84" s="3" t="s">
        <v>6</v>
      </c>
      <c r="K84" s="3" t="s">
        <v>7</v>
      </c>
      <c r="L84" s="3" t="s">
        <v>8</v>
      </c>
      <c r="M84" s="6">
        <v>0</v>
      </c>
      <c r="N84" s="6">
        <v>-4408</v>
      </c>
      <c r="O84" s="6">
        <v>-4452</v>
      </c>
      <c r="P84" s="6">
        <v>0</v>
      </c>
      <c r="Q84" s="6">
        <v>0</v>
      </c>
      <c r="R84" s="6">
        <v>-4452</v>
      </c>
    </row>
    <row r="85" spans="1:18" ht="13.5" x14ac:dyDescent="0.2">
      <c r="A85" s="2">
        <v>84</v>
      </c>
      <c r="B85" s="3" t="s">
        <v>1</v>
      </c>
      <c r="C85" s="3" t="s">
        <v>91</v>
      </c>
      <c r="D85" s="4" t="s">
        <v>3</v>
      </c>
      <c r="E85" s="3" t="s">
        <v>4</v>
      </c>
      <c r="F85" s="5">
        <v>45456</v>
      </c>
      <c r="G85" s="5">
        <v>45231</v>
      </c>
      <c r="H85" s="5">
        <v>45596</v>
      </c>
      <c r="I85" s="3" t="s">
        <v>5</v>
      </c>
      <c r="J85" s="3" t="s">
        <v>6</v>
      </c>
      <c r="K85" s="3" t="s">
        <v>7</v>
      </c>
      <c r="L85" s="3" t="s">
        <v>8</v>
      </c>
      <c r="M85" s="6">
        <v>0</v>
      </c>
      <c r="N85" s="6">
        <v>360192</v>
      </c>
      <c r="O85" s="6">
        <v>363794</v>
      </c>
      <c r="P85" s="6">
        <v>0</v>
      </c>
      <c r="Q85" s="6">
        <v>0</v>
      </c>
      <c r="R85" s="6">
        <v>363794</v>
      </c>
    </row>
    <row r="86" spans="1:18" ht="13.5" x14ac:dyDescent="0.2">
      <c r="A86" s="2">
        <v>85</v>
      </c>
      <c r="B86" s="3" t="s">
        <v>1</v>
      </c>
      <c r="C86" s="3" t="s">
        <v>92</v>
      </c>
      <c r="D86" s="4" t="s">
        <v>3</v>
      </c>
      <c r="E86" s="3" t="s">
        <v>4</v>
      </c>
      <c r="F86" s="5">
        <v>45457</v>
      </c>
      <c r="G86" s="5">
        <v>45231</v>
      </c>
      <c r="H86" s="5">
        <v>45596</v>
      </c>
      <c r="I86" s="3" t="s">
        <v>5</v>
      </c>
      <c r="J86" s="3" t="s">
        <v>6</v>
      </c>
      <c r="K86" s="3" t="s">
        <v>7</v>
      </c>
      <c r="L86" s="3" t="s">
        <v>8</v>
      </c>
      <c r="M86" s="6">
        <v>0</v>
      </c>
      <c r="N86" s="6">
        <v>1930</v>
      </c>
      <c r="O86" s="6">
        <v>1949</v>
      </c>
      <c r="P86" s="6">
        <v>0</v>
      </c>
      <c r="Q86" s="6">
        <v>0</v>
      </c>
      <c r="R86" s="6">
        <v>1949</v>
      </c>
    </row>
    <row r="87" spans="1:18" ht="13.5" x14ac:dyDescent="0.2">
      <c r="A87" s="2">
        <v>86</v>
      </c>
      <c r="B87" s="3" t="s">
        <v>1</v>
      </c>
      <c r="C87" s="3" t="s">
        <v>93</v>
      </c>
      <c r="D87" s="4" t="s">
        <v>3</v>
      </c>
      <c r="E87" s="3" t="s">
        <v>4</v>
      </c>
      <c r="F87" s="5">
        <v>45468</v>
      </c>
      <c r="G87" s="5">
        <v>45231</v>
      </c>
      <c r="H87" s="5">
        <v>45596</v>
      </c>
      <c r="I87" s="3" t="s">
        <v>5</v>
      </c>
      <c r="J87" s="3" t="s">
        <v>6</v>
      </c>
      <c r="K87" s="3" t="s">
        <v>7</v>
      </c>
      <c r="L87" s="3" t="s">
        <v>8</v>
      </c>
      <c r="M87" s="6">
        <v>0</v>
      </c>
      <c r="N87" s="6">
        <v>113003</v>
      </c>
      <c r="O87" s="6">
        <v>114133</v>
      </c>
      <c r="P87" s="6">
        <v>0</v>
      </c>
      <c r="Q87" s="6">
        <v>0</v>
      </c>
      <c r="R87" s="6">
        <v>114133</v>
      </c>
    </row>
    <row r="88" spans="1:18" ht="13.5" x14ac:dyDescent="0.2">
      <c r="A88" s="2">
        <v>87</v>
      </c>
      <c r="B88" s="3" t="s">
        <v>1</v>
      </c>
      <c r="C88" s="3" t="s">
        <v>94</v>
      </c>
      <c r="D88" s="4" t="s">
        <v>3</v>
      </c>
      <c r="E88" s="3" t="s">
        <v>4</v>
      </c>
      <c r="F88" s="5">
        <v>45471</v>
      </c>
      <c r="G88" s="5">
        <v>45231</v>
      </c>
      <c r="H88" s="5">
        <v>45596</v>
      </c>
      <c r="I88" s="3" t="s">
        <v>5</v>
      </c>
      <c r="J88" s="3" t="s">
        <v>6</v>
      </c>
      <c r="K88" s="3" t="s">
        <v>7</v>
      </c>
      <c r="L88" s="3" t="s">
        <v>8</v>
      </c>
      <c r="M88" s="6">
        <v>0</v>
      </c>
      <c r="N88" s="6">
        <v>99861</v>
      </c>
      <c r="O88" s="6">
        <v>100860</v>
      </c>
      <c r="P88" s="6">
        <v>0</v>
      </c>
      <c r="Q88" s="6">
        <v>0</v>
      </c>
      <c r="R88" s="6">
        <v>100860</v>
      </c>
    </row>
    <row r="89" spans="1:18" ht="13.5" x14ac:dyDescent="0.2">
      <c r="A89" s="2">
        <v>88</v>
      </c>
      <c r="B89" s="3" t="s">
        <v>1</v>
      </c>
      <c r="C89" s="3" t="s">
        <v>95</v>
      </c>
      <c r="D89" s="4" t="s">
        <v>3</v>
      </c>
      <c r="E89" s="3" t="s">
        <v>4</v>
      </c>
      <c r="F89" s="5">
        <v>45475</v>
      </c>
      <c r="G89" s="5">
        <v>45231</v>
      </c>
      <c r="H89" s="5">
        <v>45596</v>
      </c>
      <c r="I89" s="3" t="s">
        <v>5</v>
      </c>
      <c r="J89" s="3" t="s">
        <v>6</v>
      </c>
      <c r="K89" s="3" t="s">
        <v>7</v>
      </c>
      <c r="L89" s="3" t="s">
        <v>8</v>
      </c>
      <c r="M89" s="6">
        <v>0</v>
      </c>
      <c r="N89" s="6">
        <v>-529798</v>
      </c>
      <c r="O89" s="6">
        <v>-535096</v>
      </c>
      <c r="P89" s="6">
        <v>0</v>
      </c>
      <c r="Q89" s="6">
        <v>0</v>
      </c>
      <c r="R89" s="6">
        <v>-535096</v>
      </c>
    </row>
    <row r="90" spans="1:18" ht="13.5" x14ac:dyDescent="0.2">
      <c r="A90" s="2">
        <v>89</v>
      </c>
      <c r="B90" s="3" t="s">
        <v>1</v>
      </c>
      <c r="C90" s="3" t="s">
        <v>96</v>
      </c>
      <c r="D90" s="4" t="s">
        <v>3</v>
      </c>
      <c r="E90" s="3" t="s">
        <v>4</v>
      </c>
      <c r="F90" s="5">
        <v>45478</v>
      </c>
      <c r="G90" s="5">
        <v>45231</v>
      </c>
      <c r="H90" s="5">
        <v>45596</v>
      </c>
      <c r="I90" s="3" t="s">
        <v>5</v>
      </c>
      <c r="J90" s="3" t="s">
        <v>6</v>
      </c>
      <c r="K90" s="3" t="s">
        <v>7</v>
      </c>
      <c r="L90" s="3" t="s">
        <v>8</v>
      </c>
      <c r="M90" s="6">
        <v>0</v>
      </c>
      <c r="N90" s="6">
        <v>186153</v>
      </c>
      <c r="O90" s="6">
        <v>188015</v>
      </c>
      <c r="P90" s="6">
        <v>0</v>
      </c>
      <c r="Q90" s="6">
        <v>0</v>
      </c>
      <c r="R90" s="6">
        <v>188015</v>
      </c>
    </row>
    <row r="91" spans="1:18" ht="13.5" x14ac:dyDescent="0.2">
      <c r="A91" s="2">
        <v>90</v>
      </c>
      <c r="B91" s="3" t="s">
        <v>1</v>
      </c>
      <c r="C91" s="3" t="s">
        <v>97</v>
      </c>
      <c r="D91" s="4" t="s">
        <v>3</v>
      </c>
      <c r="E91" s="3" t="s">
        <v>4</v>
      </c>
      <c r="F91" s="5">
        <v>45482</v>
      </c>
      <c r="G91" s="5">
        <v>45231</v>
      </c>
      <c r="H91" s="5">
        <v>45596</v>
      </c>
      <c r="I91" s="3" t="s">
        <v>5</v>
      </c>
      <c r="J91" s="3" t="s">
        <v>6</v>
      </c>
      <c r="K91" s="3" t="s">
        <v>7</v>
      </c>
      <c r="L91" s="3" t="s">
        <v>8</v>
      </c>
      <c r="M91" s="6">
        <v>0</v>
      </c>
      <c r="N91" s="6">
        <v>1793</v>
      </c>
      <c r="O91" s="6">
        <v>1811</v>
      </c>
      <c r="P91" s="6">
        <v>0</v>
      </c>
      <c r="Q91" s="6">
        <v>0</v>
      </c>
      <c r="R91" s="6">
        <v>1811</v>
      </c>
    </row>
    <row r="92" spans="1:18" ht="13.5" x14ac:dyDescent="0.2">
      <c r="A92" s="2">
        <v>91</v>
      </c>
      <c r="B92" s="3" t="s">
        <v>1</v>
      </c>
      <c r="C92" s="3" t="s">
        <v>98</v>
      </c>
      <c r="D92" s="4" t="s">
        <v>3</v>
      </c>
      <c r="E92" s="3" t="s">
        <v>4</v>
      </c>
      <c r="F92" s="5">
        <v>45488</v>
      </c>
      <c r="G92" s="5">
        <v>45231</v>
      </c>
      <c r="H92" s="5">
        <v>45596</v>
      </c>
      <c r="I92" s="3" t="s">
        <v>5</v>
      </c>
      <c r="J92" s="3" t="s">
        <v>6</v>
      </c>
      <c r="K92" s="3" t="s">
        <v>7</v>
      </c>
      <c r="L92" s="3" t="s">
        <v>8</v>
      </c>
      <c r="M92" s="6">
        <v>0</v>
      </c>
      <c r="N92" s="6">
        <v>131242</v>
      </c>
      <c r="O92" s="6">
        <v>132554</v>
      </c>
      <c r="P92" s="6">
        <v>0</v>
      </c>
      <c r="Q92" s="6">
        <v>0</v>
      </c>
      <c r="R92" s="6">
        <v>132554</v>
      </c>
    </row>
    <row r="93" spans="1:18" ht="13.5" x14ac:dyDescent="0.2">
      <c r="A93" s="2">
        <v>92</v>
      </c>
      <c r="B93" s="3" t="s">
        <v>1</v>
      </c>
      <c r="C93" s="3" t="s">
        <v>99</v>
      </c>
      <c r="D93" s="4" t="s">
        <v>3</v>
      </c>
      <c r="E93" s="3" t="s">
        <v>4</v>
      </c>
      <c r="F93" s="5">
        <v>45491</v>
      </c>
      <c r="G93" s="5">
        <v>45231</v>
      </c>
      <c r="H93" s="5">
        <v>45596</v>
      </c>
      <c r="I93" s="3" t="s">
        <v>5</v>
      </c>
      <c r="J93" s="3" t="s">
        <v>6</v>
      </c>
      <c r="K93" s="3" t="s">
        <v>7</v>
      </c>
      <c r="L93" s="3" t="s">
        <v>8</v>
      </c>
      <c r="M93" s="6">
        <v>0</v>
      </c>
      <c r="N93" s="6">
        <v>5247</v>
      </c>
      <c r="O93" s="6">
        <v>5299</v>
      </c>
      <c r="P93" s="6">
        <v>0</v>
      </c>
      <c r="Q93" s="6">
        <v>0</v>
      </c>
      <c r="R93" s="6">
        <v>5299</v>
      </c>
    </row>
    <row r="94" spans="1:18" ht="13.5" x14ac:dyDescent="0.2">
      <c r="A94" s="2">
        <v>93</v>
      </c>
      <c r="B94" s="3" t="s">
        <v>1</v>
      </c>
      <c r="C94" s="3" t="s">
        <v>100</v>
      </c>
      <c r="D94" s="4" t="s">
        <v>3</v>
      </c>
      <c r="E94" s="3" t="s">
        <v>4</v>
      </c>
      <c r="F94" s="5">
        <v>45494</v>
      </c>
      <c r="G94" s="5">
        <v>45231</v>
      </c>
      <c r="H94" s="5">
        <v>45596</v>
      </c>
      <c r="I94" s="3" t="s">
        <v>5</v>
      </c>
      <c r="J94" s="3" t="s">
        <v>6</v>
      </c>
      <c r="K94" s="3" t="s">
        <v>7</v>
      </c>
      <c r="L94" s="3" t="s">
        <v>8</v>
      </c>
      <c r="M94" s="6">
        <v>0</v>
      </c>
      <c r="N94" s="6">
        <v>-2799</v>
      </c>
      <c r="O94" s="6">
        <v>-2827</v>
      </c>
      <c r="P94" s="6">
        <v>0</v>
      </c>
      <c r="Q94" s="6">
        <v>0</v>
      </c>
      <c r="R94" s="6">
        <v>-2827</v>
      </c>
    </row>
    <row r="95" spans="1:18" ht="13.5" x14ac:dyDescent="0.2">
      <c r="A95" s="2">
        <v>94</v>
      </c>
      <c r="B95" s="3" t="s">
        <v>1</v>
      </c>
      <c r="C95" s="3" t="s">
        <v>101</v>
      </c>
      <c r="D95" s="4" t="s">
        <v>3</v>
      </c>
      <c r="E95" s="3" t="s">
        <v>4</v>
      </c>
      <c r="F95" s="5">
        <v>45498</v>
      </c>
      <c r="G95" s="5">
        <v>45231</v>
      </c>
      <c r="H95" s="5">
        <v>45596</v>
      </c>
      <c r="I95" s="3" t="s">
        <v>5</v>
      </c>
      <c r="J95" s="3" t="s">
        <v>6</v>
      </c>
      <c r="K95" s="3" t="s">
        <v>7</v>
      </c>
      <c r="L95" s="3" t="s">
        <v>8</v>
      </c>
      <c r="M95" s="6">
        <v>0</v>
      </c>
      <c r="N95" s="6">
        <v>180892</v>
      </c>
      <c r="O95" s="6">
        <v>182701</v>
      </c>
      <c r="P95" s="6">
        <v>0</v>
      </c>
      <c r="Q95" s="6">
        <v>0</v>
      </c>
      <c r="R95" s="6">
        <v>182701</v>
      </c>
    </row>
    <row r="96" spans="1:18" ht="13.5" x14ac:dyDescent="0.2">
      <c r="A96" s="2">
        <v>95</v>
      </c>
      <c r="B96" s="3" t="s">
        <v>1</v>
      </c>
      <c r="C96" s="3" t="s">
        <v>102</v>
      </c>
      <c r="D96" s="4" t="s">
        <v>3</v>
      </c>
      <c r="E96" s="3" t="s">
        <v>4</v>
      </c>
      <c r="F96" s="5">
        <v>45502</v>
      </c>
      <c r="G96" s="5">
        <v>45231</v>
      </c>
      <c r="H96" s="5">
        <v>45596</v>
      </c>
      <c r="I96" s="3" t="s">
        <v>5</v>
      </c>
      <c r="J96" s="3" t="s">
        <v>6</v>
      </c>
      <c r="K96" s="3" t="s">
        <v>7</v>
      </c>
      <c r="L96" s="3" t="s">
        <v>8</v>
      </c>
      <c r="M96" s="6">
        <v>0</v>
      </c>
      <c r="N96" s="6">
        <v>-2449</v>
      </c>
      <c r="O96" s="6">
        <v>-2473</v>
      </c>
      <c r="P96" s="6">
        <v>0</v>
      </c>
      <c r="Q96" s="6">
        <v>0</v>
      </c>
      <c r="R96" s="6">
        <v>-2473</v>
      </c>
    </row>
    <row r="97" spans="1:18" ht="13.5" x14ac:dyDescent="0.2">
      <c r="A97" s="2">
        <v>96</v>
      </c>
      <c r="B97" s="3" t="s">
        <v>1</v>
      </c>
      <c r="C97" s="3" t="s">
        <v>103</v>
      </c>
      <c r="D97" s="4" t="s">
        <v>3</v>
      </c>
      <c r="E97" s="3" t="s">
        <v>4</v>
      </c>
      <c r="F97" s="5">
        <v>45505</v>
      </c>
      <c r="G97" s="5">
        <v>45231</v>
      </c>
      <c r="H97" s="5">
        <v>45596</v>
      </c>
      <c r="I97" s="3" t="s">
        <v>5</v>
      </c>
      <c r="J97" s="3" t="s">
        <v>6</v>
      </c>
      <c r="K97" s="3" t="s">
        <v>7</v>
      </c>
      <c r="L97" s="3" t="s">
        <v>8</v>
      </c>
      <c r="M97" s="6">
        <v>0</v>
      </c>
      <c r="N97" s="6">
        <v>-693731</v>
      </c>
      <c r="O97" s="6">
        <v>-700668</v>
      </c>
      <c r="P97" s="6">
        <v>0</v>
      </c>
      <c r="Q97" s="6">
        <v>0</v>
      </c>
      <c r="R97" s="6">
        <v>-700668</v>
      </c>
    </row>
    <row r="98" spans="1:18" ht="13.5" x14ac:dyDescent="0.2">
      <c r="A98" s="2">
        <v>97</v>
      </c>
      <c r="B98" s="3" t="s">
        <v>1</v>
      </c>
      <c r="C98" s="3" t="s">
        <v>104</v>
      </c>
      <c r="D98" s="4" t="s">
        <v>3</v>
      </c>
      <c r="E98" s="3" t="s">
        <v>4</v>
      </c>
      <c r="F98" s="5">
        <v>45508</v>
      </c>
      <c r="G98" s="5">
        <v>45231</v>
      </c>
      <c r="H98" s="5">
        <v>45596</v>
      </c>
      <c r="I98" s="3" t="s">
        <v>5</v>
      </c>
      <c r="J98" s="3" t="s">
        <v>6</v>
      </c>
      <c r="K98" s="3" t="s">
        <v>7</v>
      </c>
      <c r="L98" s="3" t="s">
        <v>8</v>
      </c>
      <c r="M98" s="6">
        <v>0</v>
      </c>
      <c r="N98" s="6">
        <v>80298</v>
      </c>
      <c r="O98" s="6">
        <v>81101</v>
      </c>
      <c r="P98" s="6">
        <v>0</v>
      </c>
      <c r="Q98" s="6">
        <v>0</v>
      </c>
      <c r="R98" s="6">
        <v>81101</v>
      </c>
    </row>
    <row r="99" spans="1:18" ht="13.5" x14ac:dyDescent="0.2">
      <c r="A99" s="2">
        <v>98</v>
      </c>
      <c r="B99" s="3" t="s">
        <v>1</v>
      </c>
      <c r="C99" s="3" t="s">
        <v>105</v>
      </c>
      <c r="D99" s="4" t="s">
        <v>3</v>
      </c>
      <c r="E99" s="3" t="s">
        <v>4</v>
      </c>
      <c r="F99" s="5">
        <v>45510</v>
      </c>
      <c r="G99" s="5">
        <v>45231</v>
      </c>
      <c r="H99" s="5">
        <v>45596</v>
      </c>
      <c r="I99" s="3" t="s">
        <v>5</v>
      </c>
      <c r="J99" s="3" t="s">
        <v>6</v>
      </c>
      <c r="K99" s="3" t="s">
        <v>7</v>
      </c>
      <c r="L99" s="3" t="s">
        <v>8</v>
      </c>
      <c r="M99" s="6">
        <v>0</v>
      </c>
      <c r="N99" s="6">
        <v>2737</v>
      </c>
      <c r="O99" s="6">
        <v>2764</v>
      </c>
      <c r="P99" s="6">
        <v>0</v>
      </c>
      <c r="Q99" s="6">
        <v>0</v>
      </c>
      <c r="R99" s="6">
        <v>2764</v>
      </c>
    </row>
    <row r="100" spans="1:18" ht="13.5" x14ac:dyDescent="0.2">
      <c r="A100" s="2">
        <v>99</v>
      </c>
      <c r="B100" s="3" t="s">
        <v>1</v>
      </c>
      <c r="C100" s="3" t="s">
        <v>106</v>
      </c>
      <c r="D100" s="4" t="s">
        <v>3</v>
      </c>
      <c r="E100" s="3" t="s">
        <v>4</v>
      </c>
      <c r="F100" s="5">
        <v>45516</v>
      </c>
      <c r="G100" s="5">
        <v>45231</v>
      </c>
      <c r="H100" s="5">
        <v>45596</v>
      </c>
      <c r="I100" s="3" t="s">
        <v>5</v>
      </c>
      <c r="J100" s="3" t="s">
        <v>6</v>
      </c>
      <c r="K100" s="3" t="s">
        <v>7</v>
      </c>
      <c r="L100" s="3" t="s">
        <v>8</v>
      </c>
      <c r="M100" s="6">
        <v>0</v>
      </c>
      <c r="N100" s="6">
        <v>826</v>
      </c>
      <c r="O100" s="6">
        <v>834</v>
      </c>
      <c r="P100" s="6">
        <v>0</v>
      </c>
      <c r="Q100" s="6">
        <v>0</v>
      </c>
      <c r="R100" s="6">
        <v>834</v>
      </c>
    </row>
    <row r="101" spans="1:18" ht="13.5" x14ac:dyDescent="0.2">
      <c r="A101" s="2">
        <v>100</v>
      </c>
      <c r="B101" s="3" t="s">
        <v>1</v>
      </c>
      <c r="C101" s="3" t="s">
        <v>107</v>
      </c>
      <c r="D101" s="4" t="s">
        <v>3</v>
      </c>
      <c r="E101" s="3" t="s">
        <v>4</v>
      </c>
      <c r="F101" s="5">
        <v>45518</v>
      </c>
      <c r="G101" s="5">
        <v>45231</v>
      </c>
      <c r="H101" s="5">
        <v>45596</v>
      </c>
      <c r="I101" s="3" t="s">
        <v>5</v>
      </c>
      <c r="J101" s="3" t="s">
        <v>6</v>
      </c>
      <c r="K101" s="3" t="s">
        <v>7</v>
      </c>
      <c r="L101" s="3" t="s">
        <v>8</v>
      </c>
      <c r="M101" s="6">
        <v>0</v>
      </c>
      <c r="N101" s="6">
        <v>816</v>
      </c>
      <c r="O101" s="6">
        <v>824</v>
      </c>
      <c r="P101" s="6">
        <v>0</v>
      </c>
      <c r="Q101" s="6">
        <v>0</v>
      </c>
      <c r="R101" s="6">
        <v>824</v>
      </c>
    </row>
    <row r="102" spans="1:18" ht="13.5" x14ac:dyDescent="0.2">
      <c r="A102" s="2">
        <v>101</v>
      </c>
      <c r="B102" s="3" t="s">
        <v>1</v>
      </c>
      <c r="C102" s="3" t="s">
        <v>108</v>
      </c>
      <c r="D102" s="4" t="s">
        <v>3</v>
      </c>
      <c r="E102" s="3" t="s">
        <v>4</v>
      </c>
      <c r="F102" s="5">
        <v>45519</v>
      </c>
      <c r="G102" s="5">
        <v>45231</v>
      </c>
      <c r="H102" s="5">
        <v>45596</v>
      </c>
      <c r="I102" s="3" t="s">
        <v>5</v>
      </c>
      <c r="J102" s="3" t="s">
        <v>6</v>
      </c>
      <c r="K102" s="3" t="s">
        <v>7</v>
      </c>
      <c r="L102" s="3" t="s">
        <v>8</v>
      </c>
      <c r="M102" s="6">
        <v>0</v>
      </c>
      <c r="N102" s="6">
        <v>116229</v>
      </c>
      <c r="O102" s="6">
        <v>117391</v>
      </c>
      <c r="P102" s="6">
        <v>0</v>
      </c>
      <c r="Q102" s="6">
        <v>0</v>
      </c>
      <c r="R102" s="6">
        <v>117391</v>
      </c>
    </row>
    <row r="103" spans="1:18" ht="13.5" x14ac:dyDescent="0.2">
      <c r="A103" s="2">
        <v>102</v>
      </c>
      <c r="B103" s="3" t="s">
        <v>1</v>
      </c>
      <c r="C103" s="3" t="s">
        <v>109</v>
      </c>
      <c r="D103" s="4" t="s">
        <v>3</v>
      </c>
      <c r="E103" s="3" t="s">
        <v>4</v>
      </c>
      <c r="F103" s="5">
        <v>45520</v>
      </c>
      <c r="G103" s="5">
        <v>45231</v>
      </c>
      <c r="H103" s="5">
        <v>45596</v>
      </c>
      <c r="I103" s="3" t="s">
        <v>5</v>
      </c>
      <c r="J103" s="3" t="s">
        <v>6</v>
      </c>
      <c r="K103" s="3" t="s">
        <v>7</v>
      </c>
      <c r="L103" s="3" t="s">
        <v>8</v>
      </c>
      <c r="M103" s="6">
        <v>0</v>
      </c>
      <c r="N103" s="6">
        <v>691169</v>
      </c>
      <c r="O103" s="6">
        <v>698081</v>
      </c>
      <c r="P103" s="6">
        <v>0</v>
      </c>
      <c r="Q103" s="6">
        <v>0</v>
      </c>
      <c r="R103" s="6">
        <v>698081</v>
      </c>
    </row>
    <row r="104" spans="1:18" ht="13.5" x14ac:dyDescent="0.2">
      <c r="A104" s="2">
        <v>103</v>
      </c>
      <c r="B104" s="3" t="s">
        <v>1</v>
      </c>
      <c r="C104" s="3" t="s">
        <v>110</v>
      </c>
      <c r="D104" s="4" t="s">
        <v>3</v>
      </c>
      <c r="E104" s="3" t="s">
        <v>4</v>
      </c>
      <c r="F104" s="5">
        <v>45523</v>
      </c>
      <c r="G104" s="5">
        <v>45231</v>
      </c>
      <c r="H104" s="5">
        <v>45596</v>
      </c>
      <c r="I104" s="3" t="s">
        <v>5</v>
      </c>
      <c r="J104" s="3" t="s">
        <v>6</v>
      </c>
      <c r="K104" s="3" t="s">
        <v>7</v>
      </c>
      <c r="L104" s="3" t="s">
        <v>8</v>
      </c>
      <c r="M104" s="6">
        <v>0</v>
      </c>
      <c r="N104" s="6">
        <v>-9181</v>
      </c>
      <c r="O104" s="6">
        <v>-9273</v>
      </c>
      <c r="P104" s="6">
        <v>0</v>
      </c>
      <c r="Q104" s="6">
        <v>0</v>
      </c>
      <c r="R104" s="6">
        <v>-9273</v>
      </c>
    </row>
    <row r="105" spans="1:18" ht="13.5" x14ac:dyDescent="0.2">
      <c r="A105" s="2">
        <v>104</v>
      </c>
      <c r="B105" s="3" t="s">
        <v>1</v>
      </c>
      <c r="C105" s="3" t="s">
        <v>111</v>
      </c>
      <c r="D105" s="4" t="s">
        <v>3</v>
      </c>
      <c r="E105" s="3" t="s">
        <v>4</v>
      </c>
      <c r="F105" s="5">
        <v>45525</v>
      </c>
      <c r="G105" s="5">
        <v>45231</v>
      </c>
      <c r="H105" s="5">
        <v>45596</v>
      </c>
      <c r="I105" s="3" t="s">
        <v>5</v>
      </c>
      <c r="J105" s="3" t="s">
        <v>6</v>
      </c>
      <c r="K105" s="3" t="s">
        <v>7</v>
      </c>
      <c r="L105" s="3" t="s">
        <v>8</v>
      </c>
      <c r="M105" s="6">
        <v>0</v>
      </c>
      <c r="N105" s="6">
        <v>21028</v>
      </c>
      <c r="O105" s="6">
        <v>21238</v>
      </c>
      <c r="P105" s="6">
        <v>0</v>
      </c>
      <c r="Q105" s="6">
        <v>0</v>
      </c>
      <c r="R105" s="6">
        <v>21238</v>
      </c>
    </row>
    <row r="106" spans="1:18" ht="13.5" x14ac:dyDescent="0.2">
      <c r="A106" s="2">
        <v>105</v>
      </c>
      <c r="B106" s="3" t="s">
        <v>1</v>
      </c>
      <c r="C106" s="3" t="s">
        <v>112</v>
      </c>
      <c r="D106" s="4" t="s">
        <v>3</v>
      </c>
      <c r="E106" s="3" t="s">
        <v>4</v>
      </c>
      <c r="F106" s="5">
        <v>45530</v>
      </c>
      <c r="G106" s="5">
        <v>45231</v>
      </c>
      <c r="H106" s="5">
        <v>45596</v>
      </c>
      <c r="I106" s="3" t="s">
        <v>5</v>
      </c>
      <c r="J106" s="3" t="s">
        <v>6</v>
      </c>
      <c r="K106" s="3" t="s">
        <v>7</v>
      </c>
      <c r="L106" s="3" t="s">
        <v>8</v>
      </c>
      <c r="M106" s="6">
        <v>0</v>
      </c>
      <c r="N106" s="6">
        <v>185198</v>
      </c>
      <c r="O106" s="6">
        <v>187050</v>
      </c>
      <c r="P106" s="6">
        <v>0</v>
      </c>
      <c r="Q106" s="6">
        <v>0</v>
      </c>
      <c r="R106" s="6">
        <v>187050</v>
      </c>
    </row>
    <row r="107" spans="1:18" ht="13.5" x14ac:dyDescent="0.2">
      <c r="A107" s="2">
        <v>106</v>
      </c>
      <c r="B107" s="3" t="s">
        <v>1</v>
      </c>
      <c r="C107" s="3" t="s">
        <v>113</v>
      </c>
      <c r="D107" s="4" t="s">
        <v>3</v>
      </c>
      <c r="E107" s="3" t="s">
        <v>4</v>
      </c>
      <c r="F107" s="5">
        <v>45533</v>
      </c>
      <c r="G107" s="5">
        <v>45231</v>
      </c>
      <c r="H107" s="5">
        <v>45596</v>
      </c>
      <c r="I107" s="3" t="s">
        <v>5</v>
      </c>
      <c r="J107" s="3" t="s">
        <v>6</v>
      </c>
      <c r="K107" s="3" t="s">
        <v>7</v>
      </c>
      <c r="L107" s="3" t="s">
        <v>8</v>
      </c>
      <c r="M107" s="6">
        <v>0</v>
      </c>
      <c r="N107" s="6">
        <v>120501</v>
      </c>
      <c r="O107" s="6">
        <v>121706</v>
      </c>
      <c r="P107" s="6">
        <v>0</v>
      </c>
      <c r="Q107" s="6">
        <v>0</v>
      </c>
      <c r="R107" s="6">
        <v>121706</v>
      </c>
    </row>
    <row r="108" spans="1:18" ht="13.5" x14ac:dyDescent="0.2">
      <c r="A108" s="2">
        <v>107</v>
      </c>
      <c r="B108" s="3" t="s">
        <v>1</v>
      </c>
      <c r="C108" s="3" t="s">
        <v>114</v>
      </c>
      <c r="D108" s="4" t="s">
        <v>3</v>
      </c>
      <c r="E108" s="3" t="s">
        <v>4</v>
      </c>
      <c r="F108" s="5">
        <v>45537</v>
      </c>
      <c r="G108" s="5">
        <v>45231</v>
      </c>
      <c r="H108" s="5">
        <v>45596</v>
      </c>
      <c r="I108" s="3" t="s">
        <v>5</v>
      </c>
      <c r="J108" s="3" t="s">
        <v>6</v>
      </c>
      <c r="K108" s="3" t="s">
        <v>7</v>
      </c>
      <c r="L108" s="3" t="s">
        <v>8</v>
      </c>
      <c r="M108" s="6">
        <v>0</v>
      </c>
      <c r="N108" s="6">
        <v>777</v>
      </c>
      <c r="O108" s="6">
        <v>785</v>
      </c>
      <c r="P108" s="6">
        <v>0</v>
      </c>
      <c r="Q108" s="6">
        <v>0</v>
      </c>
      <c r="R108" s="6">
        <v>785</v>
      </c>
    </row>
    <row r="109" spans="1:18" ht="13.5" x14ac:dyDescent="0.2">
      <c r="A109" s="2">
        <v>108</v>
      </c>
      <c r="B109" s="3" t="s">
        <v>1</v>
      </c>
      <c r="C109" s="3" t="s">
        <v>115</v>
      </c>
      <c r="D109" s="4" t="s">
        <v>3</v>
      </c>
      <c r="E109" s="3" t="s">
        <v>4</v>
      </c>
      <c r="F109" s="5">
        <v>45538</v>
      </c>
      <c r="G109" s="5">
        <v>45231</v>
      </c>
      <c r="H109" s="5">
        <v>45596</v>
      </c>
      <c r="I109" s="3" t="s">
        <v>5</v>
      </c>
      <c r="J109" s="3" t="s">
        <v>6</v>
      </c>
      <c r="K109" s="3" t="s">
        <v>7</v>
      </c>
      <c r="L109" s="3" t="s">
        <v>8</v>
      </c>
      <c r="M109" s="6">
        <v>0</v>
      </c>
      <c r="N109" s="6">
        <v>-332938</v>
      </c>
      <c r="O109" s="6">
        <v>-336267</v>
      </c>
      <c r="P109" s="6">
        <v>0</v>
      </c>
      <c r="Q109" s="6">
        <v>0</v>
      </c>
      <c r="R109" s="6">
        <v>-336267</v>
      </c>
    </row>
    <row r="110" spans="1:18" ht="13.5" x14ac:dyDescent="0.2">
      <c r="A110" s="2">
        <v>109</v>
      </c>
      <c r="B110" s="3" t="s">
        <v>1</v>
      </c>
      <c r="C110" s="3" t="s">
        <v>116</v>
      </c>
      <c r="D110" s="4" t="s">
        <v>3</v>
      </c>
      <c r="E110" s="3" t="s">
        <v>4</v>
      </c>
      <c r="F110" s="5">
        <v>45539</v>
      </c>
      <c r="G110" s="5">
        <v>45231</v>
      </c>
      <c r="H110" s="5">
        <v>45596</v>
      </c>
      <c r="I110" s="3" t="s">
        <v>5</v>
      </c>
      <c r="J110" s="3" t="s">
        <v>6</v>
      </c>
      <c r="K110" s="3" t="s">
        <v>7</v>
      </c>
      <c r="L110" s="3" t="s">
        <v>8</v>
      </c>
      <c r="M110" s="6">
        <v>0</v>
      </c>
      <c r="N110" s="6">
        <v>214739</v>
      </c>
      <c r="O110" s="6">
        <v>216886</v>
      </c>
      <c r="P110" s="6">
        <v>0</v>
      </c>
      <c r="Q110" s="6">
        <v>0</v>
      </c>
      <c r="R110" s="6">
        <v>216886</v>
      </c>
    </row>
    <row r="111" spans="1:18" ht="13.5" x14ac:dyDescent="0.2">
      <c r="A111" s="2">
        <v>110</v>
      </c>
      <c r="B111" s="3" t="s">
        <v>1</v>
      </c>
      <c r="C111" s="3" t="s">
        <v>117</v>
      </c>
      <c r="D111" s="4" t="s">
        <v>3</v>
      </c>
      <c r="E111" s="3" t="s">
        <v>4</v>
      </c>
      <c r="F111" s="5">
        <v>45539</v>
      </c>
      <c r="G111" s="5">
        <v>45231</v>
      </c>
      <c r="H111" s="5">
        <v>45596</v>
      </c>
      <c r="I111" s="3" t="s">
        <v>5</v>
      </c>
      <c r="J111" s="3" t="s">
        <v>6</v>
      </c>
      <c r="K111" s="3" t="s">
        <v>7</v>
      </c>
      <c r="L111" s="3" t="s">
        <v>8</v>
      </c>
      <c r="M111" s="6">
        <v>0</v>
      </c>
      <c r="N111" s="6">
        <v>8</v>
      </c>
      <c r="O111" s="6">
        <v>8</v>
      </c>
      <c r="P111" s="6">
        <v>0</v>
      </c>
      <c r="Q111" s="6">
        <v>0</v>
      </c>
      <c r="R111" s="6">
        <v>8</v>
      </c>
    </row>
    <row r="112" spans="1:18" ht="13.5" x14ac:dyDescent="0.2">
      <c r="A112" s="2">
        <v>111</v>
      </c>
      <c r="B112" s="3" t="s">
        <v>1</v>
      </c>
      <c r="C112" s="3" t="s">
        <v>118</v>
      </c>
      <c r="D112" s="4" t="s">
        <v>3</v>
      </c>
      <c r="E112" s="3" t="s">
        <v>4</v>
      </c>
      <c r="F112" s="5">
        <v>45539</v>
      </c>
      <c r="G112" s="5">
        <v>45231</v>
      </c>
      <c r="H112" s="5">
        <v>45596</v>
      </c>
      <c r="I112" s="3" t="s">
        <v>5</v>
      </c>
      <c r="J112" s="3" t="s">
        <v>6</v>
      </c>
      <c r="K112" s="3" t="s">
        <v>7</v>
      </c>
      <c r="L112" s="3" t="s">
        <v>8</v>
      </c>
      <c r="M112" s="6">
        <v>0</v>
      </c>
      <c r="N112" s="6">
        <v>9395</v>
      </c>
      <c r="O112" s="6">
        <v>9489</v>
      </c>
      <c r="P112" s="6">
        <v>0</v>
      </c>
      <c r="Q112" s="6">
        <v>0</v>
      </c>
      <c r="R112" s="6">
        <v>9489</v>
      </c>
    </row>
    <row r="113" spans="1:18" ht="13.5" x14ac:dyDescent="0.2">
      <c r="A113" s="2">
        <v>112</v>
      </c>
      <c r="B113" s="3" t="s">
        <v>1</v>
      </c>
      <c r="C113" s="3" t="s">
        <v>119</v>
      </c>
      <c r="D113" s="4" t="s">
        <v>3</v>
      </c>
      <c r="E113" s="3" t="s">
        <v>4</v>
      </c>
      <c r="F113" s="5">
        <v>45545</v>
      </c>
      <c r="G113" s="5">
        <v>45231</v>
      </c>
      <c r="H113" s="5">
        <v>45596</v>
      </c>
      <c r="I113" s="3" t="s">
        <v>5</v>
      </c>
      <c r="J113" s="3" t="s">
        <v>6</v>
      </c>
      <c r="K113" s="3" t="s">
        <v>7</v>
      </c>
      <c r="L113" s="3" t="s">
        <v>8</v>
      </c>
      <c r="M113" s="6">
        <v>0</v>
      </c>
      <c r="N113" s="6">
        <v>692</v>
      </c>
      <c r="O113" s="6">
        <v>699</v>
      </c>
      <c r="P113" s="6">
        <v>0</v>
      </c>
      <c r="Q113" s="6">
        <v>0</v>
      </c>
      <c r="R113" s="6">
        <v>699</v>
      </c>
    </row>
    <row r="114" spans="1:18" ht="13.5" x14ac:dyDescent="0.2">
      <c r="A114" s="2">
        <v>113</v>
      </c>
      <c r="B114" s="3" t="s">
        <v>1</v>
      </c>
      <c r="C114" s="3" t="s">
        <v>120</v>
      </c>
      <c r="D114" s="4" t="s">
        <v>3</v>
      </c>
      <c r="E114" s="3" t="s">
        <v>4</v>
      </c>
      <c r="F114" s="5">
        <v>45546</v>
      </c>
      <c r="G114" s="5">
        <v>45231</v>
      </c>
      <c r="H114" s="5">
        <v>45596</v>
      </c>
      <c r="I114" s="3" t="s">
        <v>5</v>
      </c>
      <c r="J114" s="3" t="s">
        <v>6</v>
      </c>
      <c r="K114" s="3" t="s">
        <v>7</v>
      </c>
      <c r="L114" s="3" t="s">
        <v>8</v>
      </c>
      <c r="M114" s="6">
        <v>0</v>
      </c>
      <c r="N114" s="6">
        <v>62454</v>
      </c>
      <c r="O114" s="6">
        <v>63079</v>
      </c>
      <c r="P114" s="6">
        <v>0</v>
      </c>
      <c r="Q114" s="6">
        <v>0</v>
      </c>
      <c r="R114" s="6">
        <v>63079</v>
      </c>
    </row>
    <row r="115" spans="1:18" ht="13.5" x14ac:dyDescent="0.2">
      <c r="A115" s="2">
        <v>114</v>
      </c>
      <c r="B115" s="3" t="s">
        <v>1</v>
      </c>
      <c r="C115" s="3" t="s">
        <v>121</v>
      </c>
      <c r="D115" s="4" t="s">
        <v>3</v>
      </c>
      <c r="E115" s="3" t="s">
        <v>4</v>
      </c>
      <c r="F115" s="5">
        <v>45547</v>
      </c>
      <c r="G115" s="5">
        <v>45231</v>
      </c>
      <c r="H115" s="5">
        <v>45596</v>
      </c>
      <c r="I115" s="3" t="s">
        <v>5</v>
      </c>
      <c r="J115" s="3" t="s">
        <v>6</v>
      </c>
      <c r="K115" s="3" t="s">
        <v>7</v>
      </c>
      <c r="L115" s="3" t="s">
        <v>8</v>
      </c>
      <c r="M115" s="6">
        <v>0</v>
      </c>
      <c r="N115" s="6">
        <v>-4872</v>
      </c>
      <c r="O115" s="6">
        <v>-4921</v>
      </c>
      <c r="P115" s="6">
        <v>0</v>
      </c>
      <c r="Q115" s="6">
        <v>0</v>
      </c>
      <c r="R115" s="6">
        <v>-4921</v>
      </c>
    </row>
    <row r="116" spans="1:18" ht="13.5" x14ac:dyDescent="0.2">
      <c r="A116" s="2">
        <v>115</v>
      </c>
      <c r="B116" s="3" t="s">
        <v>1</v>
      </c>
      <c r="C116" s="3" t="s">
        <v>122</v>
      </c>
      <c r="D116" s="4" t="s">
        <v>3</v>
      </c>
      <c r="E116" s="3" t="s">
        <v>4</v>
      </c>
      <c r="F116" s="5">
        <v>45555</v>
      </c>
      <c r="G116" s="5">
        <v>45231</v>
      </c>
      <c r="H116" s="5">
        <v>45596</v>
      </c>
      <c r="I116" s="3" t="s">
        <v>5</v>
      </c>
      <c r="J116" s="3" t="s">
        <v>6</v>
      </c>
      <c r="K116" s="3" t="s">
        <v>7</v>
      </c>
      <c r="L116" s="3" t="s">
        <v>8</v>
      </c>
      <c r="M116" s="6">
        <v>0</v>
      </c>
      <c r="N116" s="6">
        <v>423788</v>
      </c>
      <c r="O116" s="6">
        <v>428026</v>
      </c>
      <c r="P116" s="6">
        <v>0</v>
      </c>
      <c r="Q116" s="6">
        <v>0</v>
      </c>
      <c r="R116" s="6">
        <v>428026</v>
      </c>
    </row>
    <row r="117" spans="1:18" ht="13.5" x14ac:dyDescent="0.2">
      <c r="A117" s="2">
        <v>116</v>
      </c>
      <c r="B117" s="3" t="s">
        <v>1</v>
      </c>
      <c r="C117" s="3" t="s">
        <v>123</v>
      </c>
      <c r="D117" s="4" t="s">
        <v>3</v>
      </c>
      <c r="E117" s="3" t="s">
        <v>4</v>
      </c>
      <c r="F117" s="5">
        <v>45558</v>
      </c>
      <c r="G117" s="5">
        <v>45231</v>
      </c>
      <c r="H117" s="5">
        <v>45596</v>
      </c>
      <c r="I117" s="3" t="s">
        <v>5</v>
      </c>
      <c r="J117" s="3" t="s">
        <v>6</v>
      </c>
      <c r="K117" s="3" t="s">
        <v>7</v>
      </c>
      <c r="L117" s="3" t="s">
        <v>8</v>
      </c>
      <c r="M117" s="6">
        <v>0</v>
      </c>
      <c r="N117" s="6">
        <v>597</v>
      </c>
      <c r="O117" s="6">
        <v>603</v>
      </c>
      <c r="P117" s="6">
        <v>0</v>
      </c>
      <c r="Q117" s="6">
        <v>0</v>
      </c>
      <c r="R117" s="6">
        <v>603</v>
      </c>
    </row>
    <row r="118" spans="1:18" ht="13.5" x14ac:dyDescent="0.2">
      <c r="A118" s="2">
        <v>117</v>
      </c>
      <c r="B118" s="3" t="s">
        <v>1</v>
      </c>
      <c r="C118" s="3" t="s">
        <v>124</v>
      </c>
      <c r="D118" s="4" t="s">
        <v>3</v>
      </c>
      <c r="E118" s="3" t="s">
        <v>4</v>
      </c>
      <c r="F118" s="5">
        <v>45562</v>
      </c>
      <c r="G118" s="5">
        <v>45231</v>
      </c>
      <c r="H118" s="5">
        <v>45596</v>
      </c>
      <c r="I118" s="3" t="s">
        <v>5</v>
      </c>
      <c r="J118" s="3" t="s">
        <v>6</v>
      </c>
      <c r="K118" s="3" t="s">
        <v>7</v>
      </c>
      <c r="L118" s="3" t="s">
        <v>8</v>
      </c>
      <c r="M118" s="6">
        <v>0</v>
      </c>
      <c r="N118" s="6">
        <v>387</v>
      </c>
      <c r="O118" s="6">
        <v>391</v>
      </c>
      <c r="P118" s="6">
        <v>0</v>
      </c>
      <c r="Q118" s="6">
        <v>0</v>
      </c>
      <c r="R118" s="6">
        <v>391</v>
      </c>
    </row>
    <row r="119" spans="1:18" ht="13.5" x14ac:dyDescent="0.2">
      <c r="A119" s="2">
        <v>118</v>
      </c>
      <c r="B119" s="3" t="s">
        <v>1</v>
      </c>
      <c r="C119" s="3" t="s">
        <v>125</v>
      </c>
      <c r="D119" s="4" t="s">
        <v>3</v>
      </c>
      <c r="E119" s="3" t="s">
        <v>4</v>
      </c>
      <c r="F119" s="5">
        <v>45565</v>
      </c>
      <c r="G119" s="5">
        <v>45231</v>
      </c>
      <c r="H119" s="5">
        <v>45596</v>
      </c>
      <c r="I119" s="3" t="s">
        <v>5</v>
      </c>
      <c r="J119" s="3" t="s">
        <v>6</v>
      </c>
      <c r="K119" s="3" t="s">
        <v>7</v>
      </c>
      <c r="L119" s="3" t="s">
        <v>8</v>
      </c>
      <c r="M119" s="6">
        <v>0</v>
      </c>
      <c r="N119" s="6">
        <v>398</v>
      </c>
      <c r="O119" s="6">
        <v>402</v>
      </c>
      <c r="P119" s="6">
        <v>0</v>
      </c>
      <c r="Q119" s="6">
        <v>0</v>
      </c>
      <c r="R119" s="6">
        <v>402</v>
      </c>
    </row>
    <row r="120" spans="1:18" ht="13.5" x14ac:dyDescent="0.2">
      <c r="A120" s="2">
        <v>119</v>
      </c>
      <c r="B120" s="3" t="s">
        <v>1</v>
      </c>
      <c r="C120" s="3" t="s">
        <v>126</v>
      </c>
      <c r="D120" s="4" t="s">
        <v>3</v>
      </c>
      <c r="E120" s="3" t="s">
        <v>4</v>
      </c>
      <c r="F120" s="5">
        <v>45566</v>
      </c>
      <c r="G120" s="5">
        <v>45231</v>
      </c>
      <c r="H120" s="5">
        <v>45596</v>
      </c>
      <c r="I120" s="3" t="s">
        <v>5</v>
      </c>
      <c r="J120" s="3" t="s">
        <v>6</v>
      </c>
      <c r="K120" s="3" t="s">
        <v>7</v>
      </c>
      <c r="L120" s="3" t="s">
        <v>8</v>
      </c>
      <c r="M120" s="6">
        <v>0</v>
      </c>
      <c r="N120" s="6">
        <v>3</v>
      </c>
      <c r="O120" s="6">
        <v>3</v>
      </c>
      <c r="P120" s="6">
        <v>0</v>
      </c>
      <c r="Q120" s="6">
        <v>0</v>
      </c>
      <c r="R120" s="6">
        <v>3</v>
      </c>
    </row>
    <row r="121" spans="1:18" ht="13.5" x14ac:dyDescent="0.2">
      <c r="A121" s="2">
        <v>120</v>
      </c>
      <c r="B121" s="3" t="s">
        <v>1</v>
      </c>
      <c r="C121" s="3" t="s">
        <v>127</v>
      </c>
      <c r="D121" s="4" t="s">
        <v>3</v>
      </c>
      <c r="E121" s="3" t="s">
        <v>4</v>
      </c>
      <c r="F121" s="5">
        <v>45566</v>
      </c>
      <c r="G121" s="5">
        <v>45231</v>
      </c>
      <c r="H121" s="5">
        <v>45596</v>
      </c>
      <c r="I121" s="3" t="s">
        <v>5</v>
      </c>
      <c r="J121" s="3" t="s">
        <v>6</v>
      </c>
      <c r="K121" s="3" t="s">
        <v>7</v>
      </c>
      <c r="L121" s="3" t="s">
        <v>8</v>
      </c>
      <c r="M121" s="6">
        <v>0</v>
      </c>
      <c r="N121" s="6">
        <v>-119525</v>
      </c>
      <c r="O121" s="6">
        <v>-120720</v>
      </c>
      <c r="P121" s="6">
        <v>0</v>
      </c>
      <c r="Q121" s="6">
        <v>0</v>
      </c>
      <c r="R121" s="6">
        <v>-120720</v>
      </c>
    </row>
    <row r="122" spans="1:18" ht="13.5" x14ac:dyDescent="0.2">
      <c r="A122" s="2">
        <v>121</v>
      </c>
      <c r="B122" s="3" t="s">
        <v>1</v>
      </c>
      <c r="C122" s="3" t="s">
        <v>128</v>
      </c>
      <c r="D122" s="4" t="s">
        <v>3</v>
      </c>
      <c r="E122" s="3" t="s">
        <v>4</v>
      </c>
      <c r="F122" s="5">
        <v>45567</v>
      </c>
      <c r="G122" s="5">
        <v>45231</v>
      </c>
      <c r="H122" s="5">
        <v>45596</v>
      </c>
      <c r="I122" s="3" t="s">
        <v>5</v>
      </c>
      <c r="J122" s="3" t="s">
        <v>6</v>
      </c>
      <c r="K122" s="3" t="s">
        <v>7</v>
      </c>
      <c r="L122" s="3" t="s">
        <v>8</v>
      </c>
      <c r="M122" s="6">
        <v>0</v>
      </c>
      <c r="N122" s="6">
        <v>101060</v>
      </c>
      <c r="O122" s="6">
        <v>102071</v>
      </c>
      <c r="P122" s="6">
        <v>0</v>
      </c>
      <c r="Q122" s="6">
        <v>0</v>
      </c>
      <c r="R122" s="6">
        <v>102071</v>
      </c>
    </row>
    <row r="123" spans="1:18" ht="13.5" x14ac:dyDescent="0.2">
      <c r="A123" s="2">
        <v>122</v>
      </c>
      <c r="B123" s="3" t="s">
        <v>1</v>
      </c>
      <c r="C123" s="3" t="s">
        <v>129</v>
      </c>
      <c r="D123" s="4" t="s">
        <v>3</v>
      </c>
      <c r="E123" s="3" t="s">
        <v>4</v>
      </c>
      <c r="F123" s="5">
        <v>45567</v>
      </c>
      <c r="G123" s="5">
        <v>45231</v>
      </c>
      <c r="H123" s="5">
        <v>45596</v>
      </c>
      <c r="I123" s="3" t="s">
        <v>5</v>
      </c>
      <c r="J123" s="3" t="s">
        <v>6</v>
      </c>
      <c r="K123" s="3" t="s">
        <v>7</v>
      </c>
      <c r="L123" s="3" t="s">
        <v>8</v>
      </c>
      <c r="M123" s="6">
        <v>0</v>
      </c>
      <c r="N123" s="6">
        <v>9485</v>
      </c>
      <c r="O123" s="6">
        <v>9580</v>
      </c>
      <c r="P123" s="6">
        <v>0</v>
      </c>
      <c r="Q123" s="6">
        <v>0</v>
      </c>
      <c r="R123" s="6">
        <v>9580</v>
      </c>
    </row>
    <row r="124" spans="1:18" ht="13.5" x14ac:dyDescent="0.2">
      <c r="A124" s="2">
        <v>123</v>
      </c>
      <c r="B124" s="3" t="s">
        <v>1</v>
      </c>
      <c r="C124" s="3" t="s">
        <v>130</v>
      </c>
      <c r="D124" s="4" t="s">
        <v>3</v>
      </c>
      <c r="E124" s="3" t="s">
        <v>4</v>
      </c>
      <c r="F124" s="5">
        <v>45569</v>
      </c>
      <c r="G124" s="5">
        <v>45231</v>
      </c>
      <c r="H124" s="5">
        <v>45596</v>
      </c>
      <c r="I124" s="3" t="s">
        <v>5</v>
      </c>
      <c r="J124" s="3" t="s">
        <v>6</v>
      </c>
      <c r="K124" s="3" t="s">
        <v>7</v>
      </c>
      <c r="L124" s="3" t="s">
        <v>8</v>
      </c>
      <c r="M124" s="6">
        <v>0</v>
      </c>
      <c r="N124" s="6">
        <v>3</v>
      </c>
      <c r="O124" s="6">
        <v>3</v>
      </c>
      <c r="P124" s="6">
        <v>0</v>
      </c>
      <c r="Q124" s="6">
        <v>0</v>
      </c>
      <c r="R124" s="6">
        <v>3</v>
      </c>
    </row>
    <row r="125" spans="1:18" ht="13.5" x14ac:dyDescent="0.2">
      <c r="A125" s="2">
        <v>124</v>
      </c>
      <c r="B125" s="3" t="s">
        <v>1</v>
      </c>
      <c r="C125" s="3" t="s">
        <v>131</v>
      </c>
      <c r="D125" s="4" t="s">
        <v>3</v>
      </c>
      <c r="E125" s="3" t="s">
        <v>4</v>
      </c>
      <c r="F125" s="5">
        <v>45572</v>
      </c>
      <c r="G125" s="5">
        <v>45231</v>
      </c>
      <c r="H125" s="5">
        <v>45596</v>
      </c>
      <c r="I125" s="3" t="s">
        <v>5</v>
      </c>
      <c r="J125" s="3" t="s">
        <v>6</v>
      </c>
      <c r="K125" s="3" t="s">
        <v>7</v>
      </c>
      <c r="L125" s="3" t="s">
        <v>8</v>
      </c>
      <c r="M125" s="6">
        <v>0</v>
      </c>
      <c r="N125" s="6">
        <v>34423</v>
      </c>
      <c r="O125" s="6">
        <v>34767</v>
      </c>
      <c r="P125" s="6">
        <v>0</v>
      </c>
      <c r="Q125" s="6">
        <v>0</v>
      </c>
      <c r="R125" s="6">
        <v>34767</v>
      </c>
    </row>
    <row r="126" spans="1:18" ht="13.5" x14ac:dyDescent="0.2">
      <c r="A126" s="2">
        <v>125</v>
      </c>
      <c r="B126" s="3" t="s">
        <v>1</v>
      </c>
      <c r="C126" s="3" t="s">
        <v>132</v>
      </c>
      <c r="D126" s="4" t="s">
        <v>3</v>
      </c>
      <c r="E126" s="3" t="s">
        <v>4</v>
      </c>
      <c r="F126" s="5">
        <v>45572</v>
      </c>
      <c r="G126" s="5">
        <v>45231</v>
      </c>
      <c r="H126" s="5">
        <v>45596</v>
      </c>
      <c r="I126" s="3" t="s">
        <v>5</v>
      </c>
      <c r="J126" s="3" t="s">
        <v>6</v>
      </c>
      <c r="K126" s="3" t="s">
        <v>7</v>
      </c>
      <c r="L126" s="3" t="s">
        <v>8</v>
      </c>
      <c r="M126" s="6">
        <v>0</v>
      </c>
      <c r="N126" s="6">
        <v>318</v>
      </c>
      <c r="O126" s="6">
        <v>321</v>
      </c>
      <c r="P126" s="6">
        <v>0</v>
      </c>
      <c r="Q126" s="6">
        <v>0</v>
      </c>
      <c r="R126" s="6">
        <v>321</v>
      </c>
    </row>
    <row r="127" spans="1:18" ht="13.5" x14ac:dyDescent="0.2">
      <c r="A127" s="2">
        <v>126</v>
      </c>
      <c r="B127" s="3" t="s">
        <v>1</v>
      </c>
      <c r="C127" s="3" t="s">
        <v>133</v>
      </c>
      <c r="D127" s="4" t="s">
        <v>3</v>
      </c>
      <c r="E127" s="3" t="s">
        <v>4</v>
      </c>
      <c r="F127" s="5">
        <v>45575</v>
      </c>
      <c r="G127" s="5">
        <v>45231</v>
      </c>
      <c r="H127" s="5">
        <v>45596</v>
      </c>
      <c r="I127" s="3" t="s">
        <v>5</v>
      </c>
      <c r="J127" s="3" t="s">
        <v>6</v>
      </c>
      <c r="K127" s="3" t="s">
        <v>7</v>
      </c>
      <c r="L127" s="3" t="s">
        <v>8</v>
      </c>
      <c r="M127" s="6">
        <v>0</v>
      </c>
      <c r="N127" s="6">
        <v>37226</v>
      </c>
      <c r="O127" s="6">
        <v>37598</v>
      </c>
      <c r="P127" s="6">
        <v>0</v>
      </c>
      <c r="Q127" s="6">
        <v>0</v>
      </c>
      <c r="R127" s="6">
        <v>37598</v>
      </c>
    </row>
    <row r="128" spans="1:18" ht="13.5" x14ac:dyDescent="0.2">
      <c r="A128" s="2">
        <v>127</v>
      </c>
      <c r="B128" s="3" t="s">
        <v>1</v>
      </c>
      <c r="C128" s="3" t="s">
        <v>134</v>
      </c>
      <c r="D128" s="4" t="s">
        <v>3</v>
      </c>
      <c r="E128" s="3" t="s">
        <v>4</v>
      </c>
      <c r="F128" s="5">
        <v>45579</v>
      </c>
      <c r="G128" s="5">
        <v>45231</v>
      </c>
      <c r="H128" s="5">
        <v>45596</v>
      </c>
      <c r="I128" s="3" t="s">
        <v>5</v>
      </c>
      <c r="J128" s="3" t="s">
        <v>6</v>
      </c>
      <c r="K128" s="3" t="s">
        <v>7</v>
      </c>
      <c r="L128" s="3" t="s">
        <v>8</v>
      </c>
      <c r="M128" s="6">
        <v>0</v>
      </c>
      <c r="N128" s="6">
        <v>199</v>
      </c>
      <c r="O128" s="6">
        <v>201</v>
      </c>
      <c r="P128" s="6">
        <v>0</v>
      </c>
      <c r="Q128" s="6">
        <v>0</v>
      </c>
      <c r="R128" s="6">
        <v>201</v>
      </c>
    </row>
    <row r="129" spans="1:18" ht="13.5" x14ac:dyDescent="0.2">
      <c r="A129" s="2">
        <v>128</v>
      </c>
      <c r="B129" s="3" t="s">
        <v>1</v>
      </c>
      <c r="C129" s="3" t="s">
        <v>135</v>
      </c>
      <c r="D129" s="4" t="s">
        <v>3</v>
      </c>
      <c r="E129" s="3" t="s">
        <v>4</v>
      </c>
      <c r="F129" s="5">
        <v>45583</v>
      </c>
      <c r="G129" s="5">
        <v>45231</v>
      </c>
      <c r="H129" s="5">
        <v>45596</v>
      </c>
      <c r="I129" s="3" t="s">
        <v>5</v>
      </c>
      <c r="J129" s="3" t="s">
        <v>6</v>
      </c>
      <c r="K129" s="3" t="s">
        <v>7</v>
      </c>
      <c r="L129" s="3" t="s">
        <v>8</v>
      </c>
      <c r="M129" s="6">
        <v>0</v>
      </c>
      <c r="N129" s="6">
        <v>139</v>
      </c>
      <c r="O129" s="6">
        <v>140</v>
      </c>
      <c r="P129" s="6">
        <v>0</v>
      </c>
      <c r="Q129" s="6">
        <v>0</v>
      </c>
      <c r="R129" s="6">
        <v>140</v>
      </c>
    </row>
    <row r="130" spans="1:18" ht="13.5" x14ac:dyDescent="0.2">
      <c r="A130" s="2">
        <v>129</v>
      </c>
      <c r="B130" s="3" t="s">
        <v>1</v>
      </c>
      <c r="C130" s="3" t="s">
        <v>136</v>
      </c>
      <c r="D130" s="4" t="s">
        <v>3</v>
      </c>
      <c r="E130" s="3" t="s">
        <v>4</v>
      </c>
      <c r="F130" s="5">
        <v>45586</v>
      </c>
      <c r="G130" s="5">
        <v>45231</v>
      </c>
      <c r="H130" s="5">
        <v>45596</v>
      </c>
      <c r="I130" s="3" t="s">
        <v>5</v>
      </c>
      <c r="J130" s="3" t="s">
        <v>6</v>
      </c>
      <c r="K130" s="3" t="s">
        <v>7</v>
      </c>
      <c r="L130" s="3" t="s">
        <v>8</v>
      </c>
      <c r="M130" s="6">
        <v>0</v>
      </c>
      <c r="N130" s="6">
        <v>129</v>
      </c>
      <c r="O130" s="6">
        <v>130</v>
      </c>
      <c r="P130" s="6">
        <v>0</v>
      </c>
      <c r="Q130" s="6">
        <v>0</v>
      </c>
      <c r="R130" s="6">
        <v>130</v>
      </c>
    </row>
    <row r="131" spans="1:18" ht="13.5" x14ac:dyDescent="0.2">
      <c r="A131" s="2">
        <v>130</v>
      </c>
      <c r="B131" s="3" t="s">
        <v>1</v>
      </c>
      <c r="C131" s="3" t="s">
        <v>137</v>
      </c>
      <c r="D131" s="4" t="s">
        <v>3</v>
      </c>
      <c r="E131" s="3" t="s">
        <v>4</v>
      </c>
      <c r="F131" s="5">
        <v>45587</v>
      </c>
      <c r="G131" s="5">
        <v>45231</v>
      </c>
      <c r="H131" s="5">
        <v>45596</v>
      </c>
      <c r="I131" s="3" t="s">
        <v>5</v>
      </c>
      <c r="J131" s="3" t="s">
        <v>6</v>
      </c>
      <c r="K131" s="3" t="s">
        <v>7</v>
      </c>
      <c r="L131" s="3" t="s">
        <v>8</v>
      </c>
      <c r="M131" s="6">
        <v>0</v>
      </c>
      <c r="N131" s="6">
        <v>49282</v>
      </c>
      <c r="O131" s="6">
        <v>49775</v>
      </c>
      <c r="P131" s="6">
        <v>0</v>
      </c>
      <c r="Q131" s="6">
        <v>0</v>
      </c>
      <c r="R131" s="6">
        <v>49775</v>
      </c>
    </row>
    <row r="132" spans="1:18" ht="13.5" x14ac:dyDescent="0.2">
      <c r="A132" s="2">
        <v>131</v>
      </c>
      <c r="B132" s="3" t="s">
        <v>1</v>
      </c>
      <c r="C132" s="3" t="s">
        <v>138</v>
      </c>
      <c r="D132" s="4" t="s">
        <v>3</v>
      </c>
      <c r="E132" s="3" t="s">
        <v>4</v>
      </c>
      <c r="F132" s="5">
        <v>45587</v>
      </c>
      <c r="G132" s="5">
        <v>45231</v>
      </c>
      <c r="H132" s="5">
        <v>45596</v>
      </c>
      <c r="I132" s="3" t="s">
        <v>5</v>
      </c>
      <c r="J132" s="3" t="s">
        <v>6</v>
      </c>
      <c r="K132" s="3" t="s">
        <v>7</v>
      </c>
      <c r="L132" s="3" t="s">
        <v>8</v>
      </c>
      <c r="M132" s="6">
        <v>0</v>
      </c>
      <c r="N132" s="6">
        <v>146</v>
      </c>
      <c r="O132" s="6">
        <v>147</v>
      </c>
      <c r="P132" s="6">
        <v>0</v>
      </c>
      <c r="Q132" s="6">
        <v>0</v>
      </c>
      <c r="R132" s="6">
        <v>147</v>
      </c>
    </row>
    <row r="133" spans="1:18" ht="13.5" x14ac:dyDescent="0.2">
      <c r="A133" s="2">
        <v>132</v>
      </c>
      <c r="B133" s="3" t="s">
        <v>1</v>
      </c>
      <c r="C133" s="3" t="s">
        <v>139</v>
      </c>
      <c r="D133" s="4" t="s">
        <v>3</v>
      </c>
      <c r="E133" s="3" t="s">
        <v>4</v>
      </c>
      <c r="F133" s="5">
        <v>45588</v>
      </c>
      <c r="G133" s="5">
        <v>45231</v>
      </c>
      <c r="H133" s="5">
        <v>45596</v>
      </c>
      <c r="I133" s="3" t="s">
        <v>5</v>
      </c>
      <c r="J133" s="3" t="s">
        <v>6</v>
      </c>
      <c r="K133" s="3" t="s">
        <v>7</v>
      </c>
      <c r="L133" s="3" t="s">
        <v>8</v>
      </c>
      <c r="M133" s="6">
        <v>0</v>
      </c>
      <c r="N133" s="6">
        <v>100</v>
      </c>
      <c r="O133" s="6">
        <v>101</v>
      </c>
      <c r="P133" s="6">
        <v>0</v>
      </c>
      <c r="Q133" s="6">
        <v>0</v>
      </c>
      <c r="R133" s="6">
        <v>101</v>
      </c>
    </row>
    <row r="134" spans="1:18" ht="13.5" x14ac:dyDescent="0.2">
      <c r="A134" s="2">
        <v>133</v>
      </c>
      <c r="B134" s="3" t="s">
        <v>1</v>
      </c>
      <c r="C134" s="3" t="s">
        <v>140</v>
      </c>
      <c r="D134" s="4" t="s">
        <v>3</v>
      </c>
      <c r="E134" s="3" t="s">
        <v>4</v>
      </c>
      <c r="F134" s="5">
        <v>45588</v>
      </c>
      <c r="G134" s="5">
        <v>45231</v>
      </c>
      <c r="H134" s="5">
        <v>45596</v>
      </c>
      <c r="I134" s="3" t="s">
        <v>5</v>
      </c>
      <c r="J134" s="3" t="s">
        <v>6</v>
      </c>
      <c r="K134" s="3" t="s">
        <v>7</v>
      </c>
      <c r="L134" s="3" t="s">
        <v>8</v>
      </c>
      <c r="M134" s="6">
        <v>0</v>
      </c>
      <c r="N134" s="6">
        <v>-3520</v>
      </c>
      <c r="O134" s="6">
        <v>-3555</v>
      </c>
      <c r="P134" s="6">
        <v>0</v>
      </c>
      <c r="Q134" s="6">
        <v>0</v>
      </c>
      <c r="R134" s="6">
        <v>-3555</v>
      </c>
    </row>
    <row r="135" spans="1:18" ht="13.5" x14ac:dyDescent="0.2">
      <c r="A135" s="2">
        <v>134</v>
      </c>
      <c r="B135" s="3" t="s">
        <v>1</v>
      </c>
      <c r="C135" s="3" t="s">
        <v>141</v>
      </c>
      <c r="D135" s="4" t="s">
        <v>3</v>
      </c>
      <c r="E135" s="3" t="s">
        <v>4</v>
      </c>
      <c r="F135" s="5">
        <v>45593</v>
      </c>
      <c r="G135" s="5">
        <v>45231</v>
      </c>
      <c r="H135" s="5">
        <v>45596</v>
      </c>
      <c r="I135" s="3" t="s">
        <v>5</v>
      </c>
      <c r="J135" s="3" t="s">
        <v>6</v>
      </c>
      <c r="K135" s="3" t="s">
        <v>7</v>
      </c>
      <c r="L135" s="3" t="s">
        <v>8</v>
      </c>
      <c r="M135" s="6">
        <v>0</v>
      </c>
      <c r="N135" s="6">
        <v>235</v>
      </c>
      <c r="O135" s="6">
        <v>237</v>
      </c>
      <c r="P135" s="6">
        <v>0</v>
      </c>
      <c r="Q135" s="6">
        <v>0</v>
      </c>
      <c r="R135" s="6">
        <v>237</v>
      </c>
    </row>
    <row r="136" spans="1:18" ht="13.5" x14ac:dyDescent="0.2">
      <c r="A136" s="2">
        <v>135</v>
      </c>
      <c r="B136" s="3" t="s">
        <v>1</v>
      </c>
      <c r="C136" s="3" t="s">
        <v>142</v>
      </c>
      <c r="D136" s="4" t="s">
        <v>3</v>
      </c>
      <c r="E136" s="3" t="s">
        <v>4</v>
      </c>
      <c r="F136" s="5">
        <v>45597</v>
      </c>
      <c r="G136" s="5">
        <v>45231</v>
      </c>
      <c r="H136" s="5">
        <v>45596</v>
      </c>
      <c r="I136" s="3" t="s">
        <v>5</v>
      </c>
      <c r="J136" s="3" t="s">
        <v>6</v>
      </c>
      <c r="K136" s="3" t="s">
        <v>7</v>
      </c>
      <c r="L136" s="3" t="s">
        <v>8</v>
      </c>
      <c r="M136" s="6">
        <v>0</v>
      </c>
      <c r="N136" s="6">
        <v>79</v>
      </c>
      <c r="O136" s="6">
        <v>80</v>
      </c>
      <c r="P136" s="6">
        <v>0</v>
      </c>
      <c r="Q136" s="6">
        <v>0</v>
      </c>
      <c r="R136" s="6">
        <v>80</v>
      </c>
    </row>
    <row r="137" spans="1:18" ht="13.5" x14ac:dyDescent="0.2">
      <c r="A137" s="2">
        <v>136</v>
      </c>
      <c r="B137" s="3" t="s">
        <v>1</v>
      </c>
      <c r="C137" s="3" t="s">
        <v>143</v>
      </c>
      <c r="D137" s="4" t="s">
        <v>3</v>
      </c>
      <c r="E137" s="3" t="s">
        <v>4</v>
      </c>
      <c r="F137" s="5">
        <v>45631</v>
      </c>
      <c r="G137" s="5">
        <v>45231</v>
      </c>
      <c r="H137" s="5">
        <v>45596</v>
      </c>
      <c r="I137" s="3" t="s">
        <v>5</v>
      </c>
      <c r="J137" s="3" t="s">
        <v>6</v>
      </c>
      <c r="K137" s="3" t="s">
        <v>7</v>
      </c>
      <c r="L137" s="3" t="s">
        <v>8</v>
      </c>
      <c r="M137" s="6">
        <v>0</v>
      </c>
      <c r="N137" s="6">
        <v>4308</v>
      </c>
      <c r="O137" s="6">
        <v>4351</v>
      </c>
      <c r="P137" s="6">
        <v>0</v>
      </c>
      <c r="Q137" s="6">
        <v>0</v>
      </c>
      <c r="R137" s="6">
        <v>4351</v>
      </c>
    </row>
    <row r="138" spans="1:18" ht="13.5" x14ac:dyDescent="0.2">
      <c r="A138" s="2">
        <v>137</v>
      </c>
      <c r="B138" s="3" t="s">
        <v>1</v>
      </c>
      <c r="C138" s="3" t="s">
        <v>144</v>
      </c>
      <c r="D138" s="4" t="s">
        <v>3</v>
      </c>
      <c r="E138" s="3" t="s">
        <v>4</v>
      </c>
      <c r="F138" s="5">
        <v>45807</v>
      </c>
      <c r="G138" s="5">
        <v>45231</v>
      </c>
      <c r="H138" s="5">
        <v>45596</v>
      </c>
      <c r="I138" s="3" t="s">
        <v>5</v>
      </c>
      <c r="J138" s="3" t="s">
        <v>6</v>
      </c>
      <c r="K138" s="3" t="s">
        <v>7</v>
      </c>
      <c r="L138" s="3" t="s">
        <v>8</v>
      </c>
      <c r="M138" s="6">
        <v>0</v>
      </c>
      <c r="N138" s="6">
        <v>-11354</v>
      </c>
      <c r="O138" s="6">
        <v>-11468</v>
      </c>
      <c r="P138" s="6">
        <v>0</v>
      </c>
      <c r="Q138" s="6">
        <v>0</v>
      </c>
      <c r="R138" s="6">
        <v>-11468</v>
      </c>
    </row>
    <row r="139" spans="1:18" ht="13.5" x14ac:dyDescent="0.2">
      <c r="A139" s="2">
        <v>138</v>
      </c>
      <c r="B139" s="3" t="s">
        <v>145</v>
      </c>
      <c r="D139" s="4" t="s">
        <v>3</v>
      </c>
      <c r="E139" s="3" t="s">
        <v>4</v>
      </c>
      <c r="F139" s="5">
        <v>45611</v>
      </c>
      <c r="G139" s="5">
        <v>45597</v>
      </c>
      <c r="H139" s="5">
        <v>45961</v>
      </c>
      <c r="I139" s="3" t="s">
        <v>5</v>
      </c>
      <c r="J139" s="3" t="s">
        <v>6</v>
      </c>
      <c r="K139" s="3" t="s">
        <v>7</v>
      </c>
      <c r="L139" s="3" t="s">
        <v>8</v>
      </c>
      <c r="M139" s="6">
        <v>0</v>
      </c>
      <c r="N139" s="6">
        <v>124584684</v>
      </c>
      <c r="O139" s="6">
        <v>125831031</v>
      </c>
      <c r="P139" s="6">
        <v>31458133</v>
      </c>
      <c r="Q139" s="6">
        <v>0</v>
      </c>
      <c r="R139" s="6">
        <v>94372898</v>
      </c>
    </row>
    <row r="140" spans="1:18" ht="13.5" x14ac:dyDescent="0.2">
      <c r="A140" s="2">
        <v>139</v>
      </c>
      <c r="B140" s="3" t="s">
        <v>145</v>
      </c>
      <c r="C140" s="3" t="s">
        <v>146</v>
      </c>
      <c r="D140" s="4" t="s">
        <v>3</v>
      </c>
      <c r="E140" s="3" t="s">
        <v>4</v>
      </c>
      <c r="F140" s="5">
        <v>45625</v>
      </c>
      <c r="G140" s="5">
        <v>45597</v>
      </c>
      <c r="H140" s="5">
        <v>45961</v>
      </c>
      <c r="I140" s="3" t="s">
        <v>5</v>
      </c>
      <c r="J140" s="3" t="s">
        <v>6</v>
      </c>
      <c r="K140" s="3" t="s">
        <v>7</v>
      </c>
      <c r="L140" s="3" t="s">
        <v>8</v>
      </c>
      <c r="M140" s="6">
        <v>0</v>
      </c>
      <c r="N140" s="6">
        <v>21489</v>
      </c>
      <c r="O140" s="6">
        <v>21704</v>
      </c>
      <c r="P140" s="6">
        <v>0</v>
      </c>
      <c r="Q140" s="6">
        <v>0</v>
      </c>
      <c r="R140" s="6">
        <v>21704</v>
      </c>
    </row>
    <row r="141" spans="1:18" ht="13.5" x14ac:dyDescent="0.2">
      <c r="A141" s="2">
        <v>140</v>
      </c>
      <c r="B141" s="3" t="s">
        <v>145</v>
      </c>
      <c r="C141" s="3" t="s">
        <v>147</v>
      </c>
      <c r="D141" s="4" t="s">
        <v>3</v>
      </c>
      <c r="E141" s="3" t="s">
        <v>4</v>
      </c>
      <c r="F141" s="5">
        <v>45628</v>
      </c>
      <c r="G141" s="5">
        <v>45597</v>
      </c>
      <c r="H141" s="5">
        <v>45961</v>
      </c>
      <c r="I141" s="3" t="s">
        <v>5</v>
      </c>
      <c r="J141" s="3" t="s">
        <v>6</v>
      </c>
      <c r="K141" s="3" t="s">
        <v>7</v>
      </c>
      <c r="L141" s="3" t="s">
        <v>8</v>
      </c>
      <c r="M141" s="6">
        <v>0</v>
      </c>
      <c r="N141" s="6">
        <v>-1349011</v>
      </c>
      <c r="O141" s="6">
        <v>-1362501</v>
      </c>
      <c r="P141" s="6">
        <v>0</v>
      </c>
      <c r="Q141" s="6">
        <v>0</v>
      </c>
      <c r="R141" s="6">
        <v>-1362501</v>
      </c>
    </row>
    <row r="142" spans="1:18" ht="13.5" x14ac:dyDescent="0.2">
      <c r="A142" s="2">
        <v>141</v>
      </c>
      <c r="B142" s="3" t="s">
        <v>145</v>
      </c>
      <c r="C142" s="3" t="s">
        <v>148</v>
      </c>
      <c r="D142" s="4" t="s">
        <v>3</v>
      </c>
      <c r="E142" s="3" t="s">
        <v>4</v>
      </c>
      <c r="F142" s="5">
        <v>45628</v>
      </c>
      <c r="G142" s="5">
        <v>45597</v>
      </c>
      <c r="H142" s="5">
        <v>45961</v>
      </c>
      <c r="I142" s="3" t="s">
        <v>5</v>
      </c>
      <c r="J142" s="3" t="s">
        <v>6</v>
      </c>
      <c r="K142" s="3" t="s">
        <v>7</v>
      </c>
      <c r="L142" s="3" t="s">
        <v>8</v>
      </c>
      <c r="M142" s="6">
        <v>0</v>
      </c>
      <c r="N142" s="6">
        <v>29452</v>
      </c>
      <c r="O142" s="6">
        <v>29747</v>
      </c>
      <c r="P142" s="6">
        <v>0</v>
      </c>
      <c r="Q142" s="6">
        <v>0</v>
      </c>
      <c r="R142" s="6">
        <v>29747</v>
      </c>
    </row>
    <row r="143" spans="1:18" ht="13.5" x14ac:dyDescent="0.2">
      <c r="A143" s="2">
        <v>142</v>
      </c>
      <c r="B143" s="3" t="s">
        <v>145</v>
      </c>
      <c r="C143" s="3" t="s">
        <v>149</v>
      </c>
      <c r="D143" s="4" t="s">
        <v>3</v>
      </c>
      <c r="E143" s="3" t="s">
        <v>4</v>
      </c>
      <c r="F143" s="5">
        <v>45629</v>
      </c>
      <c r="G143" s="5">
        <v>45597</v>
      </c>
      <c r="H143" s="5">
        <v>45961</v>
      </c>
      <c r="I143" s="3" t="s">
        <v>5</v>
      </c>
      <c r="J143" s="3" t="s">
        <v>6</v>
      </c>
      <c r="K143" s="3" t="s">
        <v>7</v>
      </c>
      <c r="L143" s="3" t="s">
        <v>8</v>
      </c>
      <c r="M143" s="6">
        <v>0</v>
      </c>
      <c r="N143" s="6">
        <v>896781</v>
      </c>
      <c r="O143" s="6">
        <v>905749</v>
      </c>
      <c r="P143" s="6">
        <v>0</v>
      </c>
      <c r="Q143" s="6">
        <v>0</v>
      </c>
      <c r="R143" s="6">
        <v>905749</v>
      </c>
    </row>
    <row r="144" spans="1:18" ht="13.5" x14ac:dyDescent="0.2">
      <c r="A144" s="2">
        <v>143</v>
      </c>
      <c r="B144" s="3" t="s">
        <v>145</v>
      </c>
      <c r="C144" s="3" t="s">
        <v>150</v>
      </c>
      <c r="D144" s="4" t="s">
        <v>3</v>
      </c>
      <c r="E144" s="3" t="s">
        <v>4</v>
      </c>
      <c r="F144" s="5">
        <v>45630</v>
      </c>
      <c r="G144" s="5">
        <v>45597</v>
      </c>
      <c r="H144" s="5">
        <v>45961</v>
      </c>
      <c r="I144" s="3" t="s">
        <v>5</v>
      </c>
      <c r="J144" s="3" t="s">
        <v>6</v>
      </c>
      <c r="K144" s="3" t="s">
        <v>7</v>
      </c>
      <c r="L144" s="3" t="s">
        <v>8</v>
      </c>
      <c r="M144" s="6">
        <v>0</v>
      </c>
      <c r="N144" s="6">
        <v>-13616</v>
      </c>
      <c r="O144" s="6">
        <v>-13752</v>
      </c>
      <c r="P144" s="6">
        <v>0</v>
      </c>
      <c r="Q144" s="6">
        <v>0</v>
      </c>
      <c r="R144" s="6">
        <v>-13752</v>
      </c>
    </row>
    <row r="145" spans="1:18" ht="13.5" x14ac:dyDescent="0.2">
      <c r="A145" s="2">
        <v>144</v>
      </c>
      <c r="B145" s="3" t="s">
        <v>145</v>
      </c>
      <c r="C145" s="3" t="s">
        <v>151</v>
      </c>
      <c r="D145" s="4" t="s">
        <v>3</v>
      </c>
      <c r="E145" s="3" t="s">
        <v>4</v>
      </c>
      <c r="F145" s="5">
        <v>45630</v>
      </c>
      <c r="G145" s="5">
        <v>45597</v>
      </c>
      <c r="H145" s="5">
        <v>45961</v>
      </c>
      <c r="I145" s="3" t="s">
        <v>5</v>
      </c>
      <c r="J145" s="3" t="s">
        <v>6</v>
      </c>
      <c r="K145" s="3" t="s">
        <v>7</v>
      </c>
      <c r="L145" s="3" t="s">
        <v>8</v>
      </c>
      <c r="M145" s="6">
        <v>0</v>
      </c>
      <c r="N145" s="6">
        <v>599241</v>
      </c>
      <c r="O145" s="6">
        <v>605233</v>
      </c>
      <c r="P145" s="6">
        <v>0</v>
      </c>
      <c r="Q145" s="6">
        <v>0</v>
      </c>
      <c r="R145" s="6">
        <v>605233</v>
      </c>
    </row>
    <row r="146" spans="1:18" ht="13.5" x14ac:dyDescent="0.2">
      <c r="A146" s="2">
        <v>145</v>
      </c>
      <c r="B146" s="3" t="s">
        <v>145</v>
      </c>
      <c r="C146" s="3" t="s">
        <v>152</v>
      </c>
      <c r="D146" s="4" t="s">
        <v>3</v>
      </c>
      <c r="E146" s="3" t="s">
        <v>4</v>
      </c>
      <c r="F146" s="5">
        <v>45631</v>
      </c>
      <c r="G146" s="5">
        <v>45597</v>
      </c>
      <c r="H146" s="5">
        <v>45961</v>
      </c>
      <c r="I146" s="3" t="s">
        <v>5</v>
      </c>
      <c r="J146" s="3" t="s">
        <v>6</v>
      </c>
      <c r="K146" s="3" t="s">
        <v>7</v>
      </c>
      <c r="L146" s="3" t="s">
        <v>8</v>
      </c>
      <c r="M146" s="6">
        <v>0</v>
      </c>
      <c r="N146" s="6">
        <v>5295</v>
      </c>
      <c r="O146" s="6">
        <v>5348</v>
      </c>
      <c r="P146" s="6">
        <v>0</v>
      </c>
      <c r="Q146" s="6">
        <v>0</v>
      </c>
      <c r="R146" s="6">
        <v>5348</v>
      </c>
    </row>
    <row r="147" spans="1:18" ht="13.5" x14ac:dyDescent="0.2">
      <c r="A147" s="2">
        <v>146</v>
      </c>
      <c r="B147" s="3" t="s">
        <v>145</v>
      </c>
      <c r="C147" s="3" t="s">
        <v>153</v>
      </c>
      <c r="D147" s="4" t="s">
        <v>3</v>
      </c>
      <c r="E147" s="3" t="s">
        <v>4</v>
      </c>
      <c r="F147" s="5">
        <v>45635</v>
      </c>
      <c r="G147" s="5">
        <v>45597</v>
      </c>
      <c r="H147" s="5">
        <v>45961</v>
      </c>
      <c r="I147" s="3" t="s">
        <v>5</v>
      </c>
      <c r="J147" s="3" t="s">
        <v>6</v>
      </c>
      <c r="K147" s="3" t="s">
        <v>7</v>
      </c>
      <c r="L147" s="3" t="s">
        <v>8</v>
      </c>
      <c r="M147" s="6">
        <v>0</v>
      </c>
      <c r="N147" s="6">
        <v>4158</v>
      </c>
      <c r="O147" s="6">
        <v>4200</v>
      </c>
      <c r="P147" s="6">
        <v>0</v>
      </c>
      <c r="Q147" s="6">
        <v>0</v>
      </c>
      <c r="R147" s="6">
        <v>4200</v>
      </c>
    </row>
    <row r="148" spans="1:18" ht="13.5" x14ac:dyDescent="0.2">
      <c r="A148" s="2">
        <v>147</v>
      </c>
      <c r="B148" s="3" t="s">
        <v>145</v>
      </c>
      <c r="C148" s="3" t="s">
        <v>154</v>
      </c>
      <c r="D148" s="4" t="s">
        <v>3</v>
      </c>
      <c r="E148" s="3" t="s">
        <v>4</v>
      </c>
      <c r="F148" s="5">
        <v>45638</v>
      </c>
      <c r="G148" s="5">
        <v>45597</v>
      </c>
      <c r="H148" s="5">
        <v>45961</v>
      </c>
      <c r="I148" s="3" t="s">
        <v>5</v>
      </c>
      <c r="J148" s="3" t="s">
        <v>6</v>
      </c>
      <c r="K148" s="3" t="s">
        <v>7</v>
      </c>
      <c r="L148" s="3" t="s">
        <v>8</v>
      </c>
      <c r="M148" s="6">
        <v>0</v>
      </c>
      <c r="N148" s="6">
        <v>2099</v>
      </c>
      <c r="O148" s="6">
        <v>2120</v>
      </c>
      <c r="P148" s="6">
        <v>0</v>
      </c>
      <c r="Q148" s="6">
        <v>0</v>
      </c>
      <c r="R148" s="6">
        <v>2120</v>
      </c>
    </row>
    <row r="149" spans="1:18" ht="13.5" x14ac:dyDescent="0.2">
      <c r="A149" s="2">
        <v>148</v>
      </c>
      <c r="B149" s="3" t="s">
        <v>145</v>
      </c>
      <c r="C149" s="3" t="s">
        <v>155</v>
      </c>
      <c r="D149" s="4" t="s">
        <v>3</v>
      </c>
      <c r="E149" s="3" t="s">
        <v>4</v>
      </c>
      <c r="F149" s="5">
        <v>45638</v>
      </c>
      <c r="G149" s="5">
        <v>45597</v>
      </c>
      <c r="H149" s="5">
        <v>45961</v>
      </c>
      <c r="I149" s="3" t="s">
        <v>5</v>
      </c>
      <c r="J149" s="3" t="s">
        <v>6</v>
      </c>
      <c r="K149" s="3" t="s">
        <v>7</v>
      </c>
      <c r="L149" s="3" t="s">
        <v>8</v>
      </c>
      <c r="M149" s="6">
        <v>0</v>
      </c>
      <c r="N149" s="6">
        <v>1783386</v>
      </c>
      <c r="O149" s="6">
        <v>1801220</v>
      </c>
      <c r="P149" s="6">
        <v>0</v>
      </c>
      <c r="Q149" s="6">
        <v>0</v>
      </c>
      <c r="R149" s="6">
        <v>1801220</v>
      </c>
    </row>
    <row r="150" spans="1:18" ht="13.5" x14ac:dyDescent="0.2">
      <c r="A150" s="2">
        <v>149</v>
      </c>
      <c r="B150" s="3" t="s">
        <v>145</v>
      </c>
      <c r="C150" s="3" t="s">
        <v>156</v>
      </c>
      <c r="D150" s="4" t="s">
        <v>3</v>
      </c>
      <c r="E150" s="3" t="s">
        <v>4</v>
      </c>
      <c r="F150" s="5">
        <v>45639</v>
      </c>
      <c r="G150" s="5">
        <v>45597</v>
      </c>
      <c r="H150" s="5">
        <v>45961</v>
      </c>
      <c r="I150" s="3" t="s">
        <v>5</v>
      </c>
      <c r="J150" s="3" t="s">
        <v>6</v>
      </c>
      <c r="K150" s="3" t="s">
        <v>7</v>
      </c>
      <c r="L150" s="3" t="s">
        <v>8</v>
      </c>
      <c r="M150" s="6">
        <v>0</v>
      </c>
      <c r="N150" s="6">
        <v>5870</v>
      </c>
      <c r="O150" s="6">
        <v>5929</v>
      </c>
      <c r="P150" s="6">
        <v>0</v>
      </c>
      <c r="Q150" s="6">
        <v>0</v>
      </c>
      <c r="R150" s="6">
        <v>5929</v>
      </c>
    </row>
    <row r="151" spans="1:18" ht="13.5" x14ac:dyDescent="0.2">
      <c r="A151" s="2">
        <v>150</v>
      </c>
      <c r="B151" s="3" t="s">
        <v>145</v>
      </c>
      <c r="C151" s="3" t="s">
        <v>157</v>
      </c>
      <c r="D151" s="4" t="s">
        <v>3</v>
      </c>
      <c r="E151" s="3" t="s">
        <v>4</v>
      </c>
      <c r="F151" s="5">
        <v>45650</v>
      </c>
      <c r="G151" s="5">
        <v>45597</v>
      </c>
      <c r="H151" s="5">
        <v>45961</v>
      </c>
      <c r="I151" s="3" t="s">
        <v>5</v>
      </c>
      <c r="J151" s="3" t="s">
        <v>6</v>
      </c>
      <c r="K151" s="3" t="s">
        <v>7</v>
      </c>
      <c r="L151" s="3" t="s">
        <v>8</v>
      </c>
      <c r="M151" s="6">
        <v>0</v>
      </c>
      <c r="N151" s="6">
        <v>929366</v>
      </c>
      <c r="O151" s="6">
        <v>938660</v>
      </c>
      <c r="P151" s="6">
        <v>0</v>
      </c>
      <c r="Q151" s="6">
        <v>0</v>
      </c>
      <c r="R151" s="6">
        <v>938660</v>
      </c>
    </row>
    <row r="152" spans="1:18" ht="13.5" x14ac:dyDescent="0.2">
      <c r="A152" s="2">
        <v>151</v>
      </c>
      <c r="B152" s="3" t="s">
        <v>145</v>
      </c>
      <c r="C152" s="3" t="s">
        <v>158</v>
      </c>
      <c r="D152" s="4" t="s">
        <v>3</v>
      </c>
      <c r="E152" s="3" t="s">
        <v>4</v>
      </c>
      <c r="F152" s="5">
        <v>45652</v>
      </c>
      <c r="G152" s="5">
        <v>45597</v>
      </c>
      <c r="H152" s="5">
        <v>45961</v>
      </c>
      <c r="I152" s="3" t="s">
        <v>5</v>
      </c>
      <c r="J152" s="3" t="s">
        <v>6</v>
      </c>
      <c r="K152" s="3" t="s">
        <v>7</v>
      </c>
      <c r="L152" s="3" t="s">
        <v>8</v>
      </c>
      <c r="M152" s="6">
        <v>0</v>
      </c>
      <c r="N152" s="6">
        <v>4496</v>
      </c>
      <c r="O152" s="6">
        <v>4541</v>
      </c>
      <c r="P152" s="6">
        <v>0</v>
      </c>
      <c r="Q152" s="6">
        <v>0</v>
      </c>
      <c r="R152" s="6">
        <v>4541</v>
      </c>
    </row>
    <row r="153" spans="1:18" ht="13.5" x14ac:dyDescent="0.2">
      <c r="A153" s="2">
        <v>152</v>
      </c>
      <c r="B153" s="3" t="s">
        <v>145</v>
      </c>
      <c r="C153" s="3" t="s">
        <v>159</v>
      </c>
      <c r="D153" s="4" t="s">
        <v>3</v>
      </c>
      <c r="E153" s="3" t="s">
        <v>4</v>
      </c>
      <c r="F153" s="5">
        <v>45658</v>
      </c>
      <c r="G153" s="5">
        <v>45597</v>
      </c>
      <c r="H153" s="5">
        <v>45961</v>
      </c>
      <c r="I153" s="3" t="s">
        <v>5</v>
      </c>
      <c r="J153" s="3" t="s">
        <v>6</v>
      </c>
      <c r="K153" s="3" t="s">
        <v>7</v>
      </c>
      <c r="L153" s="3" t="s">
        <v>8</v>
      </c>
      <c r="M153" s="6">
        <v>0</v>
      </c>
      <c r="N153" s="6">
        <v>-2178083</v>
      </c>
      <c r="O153" s="6">
        <v>-2199864</v>
      </c>
      <c r="P153" s="6">
        <v>0</v>
      </c>
      <c r="Q153" s="6">
        <v>0</v>
      </c>
      <c r="R153" s="6">
        <v>-2199864</v>
      </c>
    </row>
    <row r="154" spans="1:18" ht="13.5" x14ac:dyDescent="0.2">
      <c r="A154" s="2">
        <v>153</v>
      </c>
      <c r="B154" s="3" t="s">
        <v>145</v>
      </c>
      <c r="C154" s="3" t="s">
        <v>160</v>
      </c>
      <c r="D154" s="4" t="s">
        <v>3</v>
      </c>
      <c r="E154" s="3" t="s">
        <v>4</v>
      </c>
      <c r="F154" s="5">
        <v>45663</v>
      </c>
      <c r="G154" s="5">
        <v>45597</v>
      </c>
      <c r="H154" s="5">
        <v>45961</v>
      </c>
      <c r="I154" s="3" t="s">
        <v>5</v>
      </c>
      <c r="J154" s="3" t="s">
        <v>6</v>
      </c>
      <c r="K154" s="3" t="s">
        <v>7</v>
      </c>
      <c r="L154" s="3" t="s">
        <v>8</v>
      </c>
      <c r="M154" s="6">
        <v>0</v>
      </c>
      <c r="N154" s="6">
        <v>1165584</v>
      </c>
      <c r="O154" s="6">
        <v>1177240</v>
      </c>
      <c r="P154" s="6">
        <v>0</v>
      </c>
      <c r="Q154" s="6">
        <v>0</v>
      </c>
      <c r="R154" s="6">
        <v>1177240</v>
      </c>
    </row>
    <row r="155" spans="1:18" ht="13.5" x14ac:dyDescent="0.2">
      <c r="A155" s="2">
        <v>154</v>
      </c>
      <c r="B155" s="3" t="s">
        <v>145</v>
      </c>
      <c r="C155" s="3" t="s">
        <v>161</v>
      </c>
      <c r="D155" s="4" t="s">
        <v>3</v>
      </c>
      <c r="E155" s="3" t="s">
        <v>4</v>
      </c>
      <c r="F155" s="5">
        <v>45670</v>
      </c>
      <c r="G155" s="5">
        <v>45597</v>
      </c>
      <c r="H155" s="5">
        <v>45961</v>
      </c>
      <c r="I155" s="3" t="s">
        <v>5</v>
      </c>
      <c r="J155" s="3" t="s">
        <v>6</v>
      </c>
      <c r="K155" s="3" t="s">
        <v>7</v>
      </c>
      <c r="L155" s="3" t="s">
        <v>8</v>
      </c>
      <c r="M155" s="6">
        <v>0</v>
      </c>
      <c r="N155" s="6">
        <v>3690</v>
      </c>
      <c r="O155" s="6">
        <v>3727</v>
      </c>
      <c r="P155" s="6">
        <v>0</v>
      </c>
      <c r="Q155" s="6">
        <v>0</v>
      </c>
      <c r="R155" s="6">
        <v>3727</v>
      </c>
    </row>
    <row r="156" spans="1:18" ht="13.5" x14ac:dyDescent="0.2">
      <c r="A156" s="2">
        <v>155</v>
      </c>
      <c r="B156" s="3" t="s">
        <v>145</v>
      </c>
      <c r="C156" s="3" t="s">
        <v>162</v>
      </c>
      <c r="D156" s="4" t="s">
        <v>3</v>
      </c>
      <c r="E156" s="3" t="s">
        <v>4</v>
      </c>
      <c r="F156" s="5">
        <v>45676</v>
      </c>
      <c r="G156" s="5">
        <v>45597</v>
      </c>
      <c r="H156" s="5">
        <v>45961</v>
      </c>
      <c r="I156" s="3" t="s">
        <v>5</v>
      </c>
      <c r="J156" s="3" t="s">
        <v>6</v>
      </c>
      <c r="K156" s="3" t="s">
        <v>7</v>
      </c>
      <c r="L156" s="3" t="s">
        <v>8</v>
      </c>
      <c r="M156" s="6">
        <v>0</v>
      </c>
      <c r="N156" s="6">
        <v>1771166</v>
      </c>
      <c r="O156" s="6">
        <v>1788878</v>
      </c>
      <c r="P156" s="6">
        <v>0</v>
      </c>
      <c r="Q156" s="6">
        <v>0</v>
      </c>
      <c r="R156" s="6">
        <v>1788878</v>
      </c>
    </row>
    <row r="157" spans="1:18" ht="13.5" x14ac:dyDescent="0.2">
      <c r="A157" s="2">
        <v>156</v>
      </c>
      <c r="B157" s="3" t="s">
        <v>145</v>
      </c>
      <c r="C157" s="3" t="s">
        <v>163</v>
      </c>
      <c r="D157" s="4" t="s">
        <v>3</v>
      </c>
      <c r="E157" s="3" t="s">
        <v>4</v>
      </c>
      <c r="F157" s="5">
        <v>45676</v>
      </c>
      <c r="G157" s="5">
        <v>45597</v>
      </c>
      <c r="H157" s="5">
        <v>45961</v>
      </c>
      <c r="I157" s="3" t="s">
        <v>5</v>
      </c>
      <c r="J157" s="3" t="s">
        <v>6</v>
      </c>
      <c r="K157" s="3" t="s">
        <v>7</v>
      </c>
      <c r="L157" s="3" t="s">
        <v>8</v>
      </c>
      <c r="M157" s="6">
        <v>0</v>
      </c>
      <c r="N157" s="6">
        <v>1224166</v>
      </c>
      <c r="O157" s="6">
        <v>1236408</v>
      </c>
      <c r="P157" s="6">
        <v>0</v>
      </c>
      <c r="Q157" s="6">
        <v>0</v>
      </c>
      <c r="R157" s="6">
        <v>1236408</v>
      </c>
    </row>
    <row r="158" spans="1:18" ht="13.5" x14ac:dyDescent="0.2">
      <c r="A158" s="2">
        <v>157</v>
      </c>
      <c r="B158" s="3" t="s">
        <v>145</v>
      </c>
      <c r="C158" s="3" t="s">
        <v>164</v>
      </c>
      <c r="D158" s="4" t="s">
        <v>3</v>
      </c>
      <c r="E158" s="3" t="s">
        <v>4</v>
      </c>
      <c r="F158" s="5">
        <v>45687</v>
      </c>
      <c r="G158" s="5">
        <v>45597</v>
      </c>
      <c r="H158" s="5">
        <v>45961</v>
      </c>
      <c r="I158" s="3" t="s">
        <v>5</v>
      </c>
      <c r="J158" s="3" t="s">
        <v>6</v>
      </c>
      <c r="K158" s="3" t="s">
        <v>7</v>
      </c>
      <c r="L158" s="3" t="s">
        <v>8</v>
      </c>
      <c r="M158" s="6">
        <v>0</v>
      </c>
      <c r="N158" s="6">
        <v>3488</v>
      </c>
      <c r="O158" s="6">
        <v>3523</v>
      </c>
      <c r="P158" s="6">
        <v>0</v>
      </c>
      <c r="Q158" s="6">
        <v>0</v>
      </c>
      <c r="R158" s="6">
        <v>3523</v>
      </c>
    </row>
    <row r="159" spans="1:18" ht="13.5" x14ac:dyDescent="0.2">
      <c r="A159" s="2">
        <v>158</v>
      </c>
      <c r="B159" s="3" t="s">
        <v>145</v>
      </c>
      <c r="C159" s="3" t="s">
        <v>165</v>
      </c>
      <c r="D159" s="4" t="s">
        <v>3</v>
      </c>
      <c r="E159" s="3" t="s">
        <v>4</v>
      </c>
      <c r="F159" s="5">
        <v>45688</v>
      </c>
      <c r="G159" s="5">
        <v>45597</v>
      </c>
      <c r="H159" s="5">
        <v>45961</v>
      </c>
      <c r="I159" s="3" t="s">
        <v>5</v>
      </c>
      <c r="J159" s="3" t="s">
        <v>6</v>
      </c>
      <c r="K159" s="3" t="s">
        <v>7</v>
      </c>
      <c r="L159" s="3" t="s">
        <v>8</v>
      </c>
      <c r="M159" s="6">
        <v>0</v>
      </c>
      <c r="N159" s="6">
        <v>-77696520</v>
      </c>
      <c r="O159" s="6">
        <v>-78473485</v>
      </c>
      <c r="P159" s="6">
        <v>0</v>
      </c>
      <c r="Q159" s="6">
        <v>0</v>
      </c>
      <c r="R159" s="6">
        <v>-78473485</v>
      </c>
    </row>
    <row r="160" spans="1:18" ht="13.5" x14ac:dyDescent="0.2">
      <c r="A160" s="2">
        <v>159</v>
      </c>
      <c r="B160" s="3" t="s">
        <v>145</v>
      </c>
      <c r="C160" s="3" t="s">
        <v>166</v>
      </c>
      <c r="D160" s="4" t="s">
        <v>3</v>
      </c>
      <c r="E160" s="3" t="s">
        <v>4</v>
      </c>
      <c r="F160" s="5">
        <v>45807</v>
      </c>
      <c r="G160" s="5">
        <v>45597</v>
      </c>
      <c r="H160" s="5">
        <v>45961</v>
      </c>
      <c r="I160" s="3" t="s">
        <v>5</v>
      </c>
      <c r="J160" s="3" t="s">
        <v>6</v>
      </c>
      <c r="K160" s="3" t="s">
        <v>7</v>
      </c>
      <c r="L160" s="3" t="s">
        <v>8</v>
      </c>
      <c r="M160" s="6">
        <v>0</v>
      </c>
      <c r="N160" s="6">
        <v>-16772256</v>
      </c>
      <c r="O160" s="6">
        <v>-16939979</v>
      </c>
      <c r="P160" s="6">
        <v>0</v>
      </c>
      <c r="Q160" s="6">
        <v>0</v>
      </c>
      <c r="R160" s="6">
        <v>-16939979</v>
      </c>
    </row>
    <row r="161" spans="1:18" s="16" customFormat="1" ht="16.149999999999999" customHeight="1" x14ac:dyDescent="0.2">
      <c r="A161" s="15"/>
      <c r="B161" s="15"/>
      <c r="C161" s="15"/>
      <c r="E161" s="15"/>
      <c r="F161" s="15"/>
      <c r="G161" s="15"/>
      <c r="H161" s="15"/>
      <c r="I161" s="15"/>
      <c r="J161" s="15"/>
      <c r="K161" s="15"/>
      <c r="L161" s="34" t="s">
        <v>167</v>
      </c>
      <c r="M161" s="34"/>
      <c r="N161" s="9">
        <f>+SUBTOTAL(9,N2:N160)</f>
        <v>43870747</v>
      </c>
      <c r="O161" s="9">
        <f>+SUBTOTAL(9,O2:O160)</f>
        <v>44309956</v>
      </c>
      <c r="P161" s="9">
        <f>+SUBTOTAL(9,P2:P160)</f>
        <v>31458133</v>
      </c>
      <c r="Q161" s="9">
        <f>+SUBTOTAL(9,Q2:Q160)</f>
        <v>0</v>
      </c>
      <c r="R161" s="9">
        <f>+SUBTOTAL(9,R2:R160)</f>
        <v>12851823</v>
      </c>
    </row>
    <row r="162" spans="1:18" s="16" customFormat="1" ht="16.149999999999999" customHeight="1" x14ac:dyDescent="0.2">
      <c r="A162" s="15"/>
      <c r="B162" s="15"/>
      <c r="C162" s="15"/>
      <c r="E162" s="15"/>
      <c r="F162" s="15"/>
      <c r="G162" s="15"/>
      <c r="H162" s="15"/>
      <c r="I162" s="15"/>
      <c r="J162" s="15"/>
      <c r="K162" s="15"/>
      <c r="L162" s="35" t="s">
        <v>182</v>
      </c>
      <c r="M162" s="35"/>
      <c r="N162" s="14"/>
      <c r="O162" s="14"/>
      <c r="P162" s="14"/>
      <c r="Q162" s="14"/>
      <c r="R162" s="14">
        <v>1018468</v>
      </c>
    </row>
    <row r="163" spans="1:18" s="16" customFormat="1" ht="16.149999999999999" customHeight="1" x14ac:dyDescent="0.2">
      <c r="A163" s="15"/>
      <c r="B163" s="15"/>
      <c r="C163" s="15"/>
      <c r="E163" s="15"/>
      <c r="F163" s="15"/>
      <c r="G163" s="15"/>
      <c r="H163" s="15"/>
      <c r="I163" s="15"/>
      <c r="J163" s="15"/>
      <c r="K163" s="15"/>
      <c r="L163" s="36" t="s">
        <v>188</v>
      </c>
      <c r="M163" s="36"/>
      <c r="N163" s="10"/>
      <c r="O163" s="10"/>
      <c r="P163" s="10"/>
      <c r="Q163" s="10"/>
      <c r="R163" s="10">
        <f>+SUM(R161:R162)</f>
        <v>13870291</v>
      </c>
    </row>
    <row r="164" spans="1:18" s="16" customFormat="1" ht="16.149999999999999" customHeight="1" x14ac:dyDescent="0.2">
      <c r="A164" s="15"/>
      <c r="B164" s="15"/>
      <c r="C164" s="15"/>
      <c r="E164" s="15"/>
      <c r="F164" s="15"/>
      <c r="G164" s="15"/>
      <c r="H164" s="15"/>
      <c r="I164" s="15"/>
      <c r="J164" s="15"/>
      <c r="K164" s="15"/>
      <c r="L164" s="37" t="s">
        <v>183</v>
      </c>
      <c r="M164" s="37"/>
      <c r="N164" s="11"/>
      <c r="O164" s="11"/>
      <c r="P164" s="11"/>
      <c r="Q164" s="11"/>
      <c r="R164" s="11">
        <v>-9703583</v>
      </c>
    </row>
    <row r="165" spans="1:18" s="16" customFormat="1" ht="16.149999999999999" customHeight="1" thickBot="1" x14ac:dyDescent="0.25">
      <c r="A165" s="15"/>
      <c r="B165" s="15"/>
      <c r="C165" s="15"/>
      <c r="E165" s="15"/>
      <c r="F165" s="15"/>
      <c r="G165" s="15"/>
      <c r="H165" s="15"/>
      <c r="I165" s="15"/>
      <c r="J165" s="15"/>
      <c r="K165" s="15"/>
      <c r="L165" s="38" t="s">
        <v>184</v>
      </c>
      <c r="M165" s="38"/>
      <c r="N165" s="12"/>
      <c r="O165" s="12"/>
      <c r="P165" s="12"/>
      <c r="Q165" s="12"/>
      <c r="R165" s="13">
        <f>+SUM(R163:R164)</f>
        <v>4166708</v>
      </c>
    </row>
    <row r="166" spans="1:18" ht="12.75" customHeight="1" thickTop="1" x14ac:dyDescent="0.2"/>
  </sheetData>
  <mergeCells count="5">
    <mergeCell ref="L161:M161"/>
    <mergeCell ref="L162:M162"/>
    <mergeCell ref="L163:M163"/>
    <mergeCell ref="L164:M164"/>
    <mergeCell ref="L165:M165"/>
  </mergeCells>
  <pageMargins left="0" right="0" top="0" bottom="0" header="0" footer="0"/>
  <pageSetup paperSize="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F392-2752-4644-8055-76592A1A21AF}">
  <dimension ref="A1:I160"/>
  <sheetViews>
    <sheetView topLeftCell="A142" workbookViewId="0">
      <selection activeCell="C160" sqref="C160"/>
    </sheetView>
  </sheetViews>
  <sheetFormatPr defaultRowHeight="12.75" x14ac:dyDescent="0.2"/>
  <cols>
    <col min="1" max="1" width="38.28515625" bestFit="1" customWidth="1"/>
    <col min="2" max="2" width="36.28515625" bestFit="1" customWidth="1"/>
    <col min="3" max="3" width="14.7109375" style="17" bestFit="1" customWidth="1"/>
    <col min="5" max="7" width="14.140625" bestFit="1" customWidth="1"/>
    <col min="9" max="9" width="13.140625" bestFit="1" customWidth="1"/>
  </cols>
  <sheetData>
    <row r="1" spans="1:3" x14ac:dyDescent="0.2">
      <c r="A1" t="s">
        <v>170</v>
      </c>
      <c r="B1" t="s">
        <v>177</v>
      </c>
      <c r="C1" s="33" t="s">
        <v>189</v>
      </c>
    </row>
    <row r="2" spans="1:3" x14ac:dyDescent="0.2">
      <c r="A2" t="s">
        <v>2</v>
      </c>
      <c r="B2" t="s">
        <v>6</v>
      </c>
      <c r="C2" s="17">
        <v>9195</v>
      </c>
    </row>
    <row r="3" spans="1:3" x14ac:dyDescent="0.2">
      <c r="A3" t="s">
        <v>9</v>
      </c>
      <c r="B3" t="s">
        <v>6</v>
      </c>
      <c r="C3" s="17">
        <v>174998</v>
      </c>
    </row>
    <row r="4" spans="1:3" x14ac:dyDescent="0.2">
      <c r="A4" t="s">
        <v>10</v>
      </c>
      <c r="B4" t="s">
        <v>6</v>
      </c>
      <c r="C4" s="17">
        <v>-1328132</v>
      </c>
    </row>
    <row r="5" spans="1:3" x14ac:dyDescent="0.2">
      <c r="A5" t="s">
        <v>11</v>
      </c>
      <c r="B5" t="s">
        <v>6</v>
      </c>
      <c r="C5" s="17">
        <v>443506</v>
      </c>
    </row>
    <row r="6" spans="1:3" x14ac:dyDescent="0.2">
      <c r="A6" t="s">
        <v>12</v>
      </c>
      <c r="B6" t="s">
        <v>6</v>
      </c>
      <c r="C6" s="17">
        <v>14628</v>
      </c>
    </row>
    <row r="7" spans="1:3" x14ac:dyDescent="0.2">
      <c r="A7" t="s">
        <v>13</v>
      </c>
      <c r="B7" t="s">
        <v>6</v>
      </c>
      <c r="C7" s="17">
        <v>363379</v>
      </c>
    </row>
    <row r="8" spans="1:3" x14ac:dyDescent="0.2">
      <c r="A8" t="s">
        <v>14</v>
      </c>
      <c r="B8" t="s">
        <v>6</v>
      </c>
      <c r="C8" s="17">
        <v>-368706</v>
      </c>
    </row>
    <row r="9" spans="1:3" x14ac:dyDescent="0.2">
      <c r="A9" t="s">
        <v>15</v>
      </c>
      <c r="B9" t="s">
        <v>6</v>
      </c>
      <c r="C9" s="17">
        <v>231042</v>
      </c>
    </row>
    <row r="10" spans="1:3" x14ac:dyDescent="0.2">
      <c r="A10" t="s">
        <v>16</v>
      </c>
      <c r="B10" t="s">
        <v>6</v>
      </c>
      <c r="C10" s="17">
        <v>16066</v>
      </c>
    </row>
    <row r="11" spans="1:3" x14ac:dyDescent="0.2">
      <c r="A11" t="s">
        <v>17</v>
      </c>
      <c r="B11" t="s">
        <v>6</v>
      </c>
      <c r="C11" s="17">
        <v>796925</v>
      </c>
    </row>
    <row r="12" spans="1:3" x14ac:dyDescent="0.2">
      <c r="A12" t="s">
        <v>18</v>
      </c>
      <c r="B12" t="s">
        <v>6</v>
      </c>
      <c r="C12" s="17">
        <v>-23672</v>
      </c>
    </row>
    <row r="13" spans="1:3" x14ac:dyDescent="0.2">
      <c r="A13" t="s">
        <v>19</v>
      </c>
      <c r="B13" t="s">
        <v>6</v>
      </c>
      <c r="C13" s="17">
        <v>8286</v>
      </c>
    </row>
    <row r="14" spans="1:3" x14ac:dyDescent="0.2">
      <c r="A14" t="s">
        <v>20</v>
      </c>
      <c r="B14" t="s">
        <v>6</v>
      </c>
      <c r="C14" s="17">
        <v>662765</v>
      </c>
    </row>
    <row r="15" spans="1:3" x14ac:dyDescent="0.2">
      <c r="A15" t="s">
        <v>21</v>
      </c>
      <c r="B15" t="s">
        <v>6</v>
      </c>
      <c r="C15" s="17">
        <v>-6388</v>
      </c>
    </row>
    <row r="16" spans="1:3" x14ac:dyDescent="0.2">
      <c r="A16" t="s">
        <v>22</v>
      </c>
      <c r="B16" t="s">
        <v>6</v>
      </c>
      <c r="C16" s="17">
        <v>488248</v>
      </c>
    </row>
    <row r="17" spans="1:3" x14ac:dyDescent="0.2">
      <c r="A17" t="s">
        <v>23</v>
      </c>
      <c r="B17" t="s">
        <v>6</v>
      </c>
      <c r="C17" s="17">
        <v>-12405</v>
      </c>
    </row>
    <row r="18" spans="1:3" x14ac:dyDescent="0.2">
      <c r="A18" t="s">
        <v>24</v>
      </c>
      <c r="B18" t="s">
        <v>6</v>
      </c>
      <c r="C18" s="17">
        <v>3117</v>
      </c>
    </row>
    <row r="19" spans="1:3" x14ac:dyDescent="0.2">
      <c r="A19" t="s">
        <v>25</v>
      </c>
      <c r="B19" t="s">
        <v>6</v>
      </c>
      <c r="C19" s="17">
        <v>277094</v>
      </c>
    </row>
    <row r="20" spans="1:3" x14ac:dyDescent="0.2">
      <c r="A20" t="s">
        <v>26</v>
      </c>
      <c r="B20" t="s">
        <v>6</v>
      </c>
      <c r="C20" s="17">
        <v>-1662227</v>
      </c>
    </row>
    <row r="21" spans="1:3" x14ac:dyDescent="0.2">
      <c r="A21" t="s">
        <v>27</v>
      </c>
      <c r="B21" t="s">
        <v>6</v>
      </c>
      <c r="C21" s="17">
        <v>6627</v>
      </c>
    </row>
    <row r="22" spans="1:3" x14ac:dyDescent="0.2">
      <c r="A22" t="s">
        <v>28</v>
      </c>
      <c r="B22" t="s">
        <v>6</v>
      </c>
      <c r="C22" s="17">
        <v>749994</v>
      </c>
    </row>
    <row r="23" spans="1:3" x14ac:dyDescent="0.2">
      <c r="A23" t="s">
        <v>29</v>
      </c>
      <c r="B23" t="s">
        <v>6</v>
      </c>
      <c r="C23" s="17">
        <v>6876</v>
      </c>
    </row>
    <row r="24" spans="1:3" x14ac:dyDescent="0.2">
      <c r="A24" t="s">
        <v>30</v>
      </c>
      <c r="B24" t="s">
        <v>6</v>
      </c>
      <c r="C24" s="17">
        <v>-6415</v>
      </c>
    </row>
    <row r="25" spans="1:3" x14ac:dyDescent="0.2">
      <c r="A25" t="s">
        <v>31</v>
      </c>
      <c r="B25" t="s">
        <v>6</v>
      </c>
      <c r="C25" s="17">
        <v>-765007</v>
      </c>
    </row>
    <row r="26" spans="1:3" x14ac:dyDescent="0.2">
      <c r="A26" t="s">
        <v>32</v>
      </c>
      <c r="B26" t="s">
        <v>6</v>
      </c>
      <c r="C26" s="17">
        <v>3004</v>
      </c>
    </row>
    <row r="27" spans="1:3" x14ac:dyDescent="0.2">
      <c r="A27" t="s">
        <v>33</v>
      </c>
      <c r="B27" t="s">
        <v>6</v>
      </c>
      <c r="C27" s="17">
        <v>623516</v>
      </c>
    </row>
    <row r="28" spans="1:3" x14ac:dyDescent="0.2">
      <c r="A28" t="s">
        <v>34</v>
      </c>
      <c r="B28" t="s">
        <v>6</v>
      </c>
      <c r="C28" s="17">
        <v>6320</v>
      </c>
    </row>
    <row r="29" spans="1:3" x14ac:dyDescent="0.2">
      <c r="A29" t="s">
        <v>35</v>
      </c>
      <c r="B29" t="s">
        <v>6</v>
      </c>
      <c r="C29" s="17">
        <v>-33009</v>
      </c>
    </row>
    <row r="30" spans="1:3" x14ac:dyDescent="0.2">
      <c r="A30" t="s">
        <v>36</v>
      </c>
      <c r="B30" t="s">
        <v>6</v>
      </c>
      <c r="C30" s="17">
        <v>8</v>
      </c>
    </row>
    <row r="31" spans="1:3" x14ac:dyDescent="0.2">
      <c r="A31" t="s">
        <v>37</v>
      </c>
      <c r="B31" t="s">
        <v>6</v>
      </c>
      <c r="C31" s="17">
        <v>7010</v>
      </c>
    </row>
    <row r="32" spans="1:3" x14ac:dyDescent="0.2">
      <c r="A32" t="s">
        <v>38</v>
      </c>
      <c r="B32" t="s">
        <v>6</v>
      </c>
      <c r="C32" s="17">
        <v>462914</v>
      </c>
    </row>
    <row r="33" spans="1:3" x14ac:dyDescent="0.2">
      <c r="A33" t="s">
        <v>39</v>
      </c>
      <c r="B33" t="s">
        <v>6</v>
      </c>
      <c r="C33" s="17">
        <v>-6191</v>
      </c>
    </row>
    <row r="34" spans="1:3" x14ac:dyDescent="0.2">
      <c r="A34" t="s">
        <v>40</v>
      </c>
      <c r="B34" t="s">
        <v>6</v>
      </c>
      <c r="C34" s="17">
        <v>555099</v>
      </c>
    </row>
    <row r="35" spans="1:3" x14ac:dyDescent="0.2">
      <c r="A35" t="s">
        <v>41</v>
      </c>
      <c r="B35" t="s">
        <v>6</v>
      </c>
      <c r="C35" s="17">
        <v>13830</v>
      </c>
    </row>
    <row r="36" spans="1:3" x14ac:dyDescent="0.2">
      <c r="A36" t="s">
        <v>42</v>
      </c>
      <c r="B36" t="s">
        <v>6</v>
      </c>
      <c r="C36" s="17">
        <v>1146074</v>
      </c>
    </row>
    <row r="37" spans="1:3" x14ac:dyDescent="0.2">
      <c r="A37" t="s">
        <v>43</v>
      </c>
      <c r="B37" t="s">
        <v>6</v>
      </c>
      <c r="C37" s="17">
        <v>13613</v>
      </c>
    </row>
    <row r="38" spans="1:3" x14ac:dyDescent="0.2">
      <c r="A38" t="s">
        <v>44</v>
      </c>
      <c r="B38" t="s">
        <v>6</v>
      </c>
      <c r="C38" s="17">
        <v>-704386</v>
      </c>
    </row>
    <row r="39" spans="1:3" x14ac:dyDescent="0.2">
      <c r="A39" t="s">
        <v>45</v>
      </c>
      <c r="B39" t="s">
        <v>6</v>
      </c>
      <c r="C39" s="17">
        <v>343673</v>
      </c>
    </row>
    <row r="40" spans="1:3" x14ac:dyDescent="0.2">
      <c r="A40" t="s">
        <v>46</v>
      </c>
      <c r="B40" t="s">
        <v>6</v>
      </c>
      <c r="C40" s="17">
        <v>431579</v>
      </c>
    </row>
    <row r="41" spans="1:3" x14ac:dyDescent="0.2">
      <c r="A41" t="s">
        <v>47</v>
      </c>
      <c r="B41" t="s">
        <v>6</v>
      </c>
      <c r="C41" s="17">
        <v>-225686</v>
      </c>
    </row>
    <row r="42" spans="1:3" x14ac:dyDescent="0.2">
      <c r="A42" t="s">
        <v>48</v>
      </c>
      <c r="B42" t="s">
        <v>6</v>
      </c>
      <c r="C42" s="17">
        <v>-10640</v>
      </c>
    </row>
    <row r="43" spans="1:3" x14ac:dyDescent="0.2">
      <c r="A43" t="s">
        <v>49</v>
      </c>
      <c r="B43" t="s">
        <v>6</v>
      </c>
      <c r="C43" s="17">
        <v>9</v>
      </c>
    </row>
    <row r="44" spans="1:3" x14ac:dyDescent="0.2">
      <c r="A44" t="s">
        <v>50</v>
      </c>
      <c r="B44" t="s">
        <v>6</v>
      </c>
      <c r="C44" s="17">
        <v>704332</v>
      </c>
    </row>
    <row r="45" spans="1:3" x14ac:dyDescent="0.2">
      <c r="A45" t="s">
        <v>51</v>
      </c>
      <c r="B45" t="s">
        <v>6</v>
      </c>
      <c r="C45" s="17">
        <v>23669</v>
      </c>
    </row>
    <row r="46" spans="1:3" x14ac:dyDescent="0.2">
      <c r="A46" t="s">
        <v>52</v>
      </c>
      <c r="B46" t="s">
        <v>6</v>
      </c>
      <c r="C46" s="17">
        <v>-2755</v>
      </c>
    </row>
    <row r="47" spans="1:3" x14ac:dyDescent="0.2">
      <c r="A47" t="s">
        <v>53</v>
      </c>
      <c r="B47" t="s">
        <v>6</v>
      </c>
      <c r="C47" s="17">
        <v>-904605</v>
      </c>
    </row>
    <row r="48" spans="1:3" x14ac:dyDescent="0.2">
      <c r="A48" t="s">
        <v>54</v>
      </c>
      <c r="B48" t="s">
        <v>6</v>
      </c>
      <c r="C48" s="17">
        <v>3008</v>
      </c>
    </row>
    <row r="49" spans="1:3" x14ac:dyDescent="0.2">
      <c r="A49" t="s">
        <v>55</v>
      </c>
      <c r="B49" t="s">
        <v>6</v>
      </c>
      <c r="C49" s="17">
        <v>6391</v>
      </c>
    </row>
    <row r="50" spans="1:3" x14ac:dyDescent="0.2">
      <c r="A50" t="s">
        <v>56</v>
      </c>
      <c r="B50" t="s">
        <v>6</v>
      </c>
      <c r="C50" s="17">
        <v>630274</v>
      </c>
    </row>
    <row r="51" spans="1:3" x14ac:dyDescent="0.2">
      <c r="A51" t="s">
        <v>57</v>
      </c>
      <c r="B51" t="s">
        <v>6</v>
      </c>
      <c r="C51" s="17">
        <v>14055</v>
      </c>
    </row>
    <row r="52" spans="1:3" x14ac:dyDescent="0.2">
      <c r="A52" t="s">
        <v>58</v>
      </c>
      <c r="B52" t="s">
        <v>6</v>
      </c>
      <c r="C52" s="17">
        <v>-2913</v>
      </c>
    </row>
    <row r="53" spans="1:3" x14ac:dyDescent="0.2">
      <c r="A53" t="s">
        <v>59</v>
      </c>
      <c r="B53" t="s">
        <v>6</v>
      </c>
      <c r="C53" s="17">
        <v>532285</v>
      </c>
    </row>
    <row r="54" spans="1:3" x14ac:dyDescent="0.2">
      <c r="A54" t="s">
        <v>60</v>
      </c>
      <c r="B54" t="s">
        <v>6</v>
      </c>
      <c r="C54" s="17">
        <v>600930</v>
      </c>
    </row>
    <row r="55" spans="1:3" x14ac:dyDescent="0.2">
      <c r="A55" t="s">
        <v>61</v>
      </c>
      <c r="B55" t="s">
        <v>6</v>
      </c>
      <c r="C55" s="17">
        <v>509086</v>
      </c>
    </row>
    <row r="56" spans="1:3" x14ac:dyDescent="0.2">
      <c r="A56" t="s">
        <v>62</v>
      </c>
      <c r="B56" t="s">
        <v>6</v>
      </c>
      <c r="C56" s="17">
        <v>4437</v>
      </c>
    </row>
    <row r="57" spans="1:3" x14ac:dyDescent="0.2">
      <c r="A57" t="s">
        <v>63</v>
      </c>
      <c r="B57" t="s">
        <v>6</v>
      </c>
      <c r="C57" s="17">
        <v>-3096</v>
      </c>
    </row>
    <row r="58" spans="1:3" x14ac:dyDescent="0.2">
      <c r="A58" t="s">
        <v>64</v>
      </c>
      <c r="B58" t="s">
        <v>6</v>
      </c>
      <c r="C58" s="17">
        <v>161930</v>
      </c>
    </row>
    <row r="59" spans="1:3" x14ac:dyDescent="0.2">
      <c r="A59" t="s">
        <v>65</v>
      </c>
      <c r="B59" t="s">
        <v>6</v>
      </c>
      <c r="C59" s="17">
        <v>-902054</v>
      </c>
    </row>
    <row r="60" spans="1:3" x14ac:dyDescent="0.2">
      <c r="A60" t="s">
        <v>66</v>
      </c>
      <c r="B60" t="s">
        <v>6</v>
      </c>
      <c r="C60" s="17">
        <v>12645</v>
      </c>
    </row>
    <row r="61" spans="1:3" x14ac:dyDescent="0.2">
      <c r="A61" t="s">
        <v>67</v>
      </c>
      <c r="B61" t="s">
        <v>6</v>
      </c>
      <c r="C61" s="17">
        <v>704484</v>
      </c>
    </row>
    <row r="62" spans="1:3" x14ac:dyDescent="0.2">
      <c r="A62" t="s">
        <v>68</v>
      </c>
      <c r="B62" t="s">
        <v>6</v>
      </c>
      <c r="C62" s="17">
        <v>-5294</v>
      </c>
    </row>
    <row r="63" spans="1:3" x14ac:dyDescent="0.2">
      <c r="A63" t="s">
        <v>69</v>
      </c>
      <c r="B63" t="s">
        <v>6</v>
      </c>
      <c r="C63" s="17">
        <v>347753</v>
      </c>
    </row>
    <row r="64" spans="1:3" x14ac:dyDescent="0.2">
      <c r="A64" t="s">
        <v>70</v>
      </c>
      <c r="B64" t="s">
        <v>6</v>
      </c>
      <c r="C64" s="17">
        <v>-2500</v>
      </c>
    </row>
    <row r="65" spans="1:3" x14ac:dyDescent="0.2">
      <c r="A65" t="s">
        <v>71</v>
      </c>
      <c r="B65" t="s">
        <v>6</v>
      </c>
      <c r="C65" s="17">
        <v>2235</v>
      </c>
    </row>
    <row r="66" spans="1:3" x14ac:dyDescent="0.2">
      <c r="A66" t="s">
        <v>72</v>
      </c>
      <c r="B66" t="s">
        <v>6</v>
      </c>
      <c r="C66" s="17">
        <v>-725788</v>
      </c>
    </row>
    <row r="67" spans="1:3" x14ac:dyDescent="0.2">
      <c r="A67" t="s">
        <v>73</v>
      </c>
      <c r="B67" t="s">
        <v>6</v>
      </c>
      <c r="C67" s="17">
        <v>216329</v>
      </c>
    </row>
    <row r="68" spans="1:3" x14ac:dyDescent="0.2">
      <c r="A68" t="s">
        <v>74</v>
      </c>
      <c r="B68" t="s">
        <v>6</v>
      </c>
      <c r="C68" s="17">
        <v>-4254</v>
      </c>
    </row>
    <row r="69" spans="1:3" x14ac:dyDescent="0.2">
      <c r="A69" t="s">
        <v>75</v>
      </c>
      <c r="B69" t="s">
        <v>6</v>
      </c>
      <c r="C69" s="17">
        <v>-1254</v>
      </c>
    </row>
    <row r="70" spans="1:3" x14ac:dyDescent="0.2">
      <c r="A70" t="s">
        <v>76</v>
      </c>
      <c r="B70" t="s">
        <v>6</v>
      </c>
      <c r="C70" s="17">
        <v>3680</v>
      </c>
    </row>
    <row r="71" spans="1:3" x14ac:dyDescent="0.2">
      <c r="A71" t="s">
        <v>77</v>
      </c>
      <c r="B71" t="s">
        <v>6</v>
      </c>
      <c r="C71" s="17">
        <v>12050</v>
      </c>
    </row>
    <row r="72" spans="1:3" x14ac:dyDescent="0.2">
      <c r="A72" t="s">
        <v>78</v>
      </c>
      <c r="B72" t="s">
        <v>6</v>
      </c>
      <c r="C72" s="17">
        <v>14855</v>
      </c>
    </row>
    <row r="73" spans="1:3" x14ac:dyDescent="0.2">
      <c r="A73" t="s">
        <v>79</v>
      </c>
      <c r="B73" t="s">
        <v>6</v>
      </c>
      <c r="C73" s="17">
        <v>922383</v>
      </c>
    </row>
    <row r="74" spans="1:3" x14ac:dyDescent="0.2">
      <c r="A74" t="s">
        <v>80</v>
      </c>
      <c r="B74" t="s">
        <v>6</v>
      </c>
      <c r="C74" s="17">
        <v>-4254</v>
      </c>
    </row>
    <row r="75" spans="1:3" x14ac:dyDescent="0.2">
      <c r="A75" t="s">
        <v>81</v>
      </c>
      <c r="B75" t="s">
        <v>6</v>
      </c>
      <c r="C75" s="17">
        <v>1124339</v>
      </c>
    </row>
    <row r="76" spans="1:3" x14ac:dyDescent="0.2">
      <c r="A76" t="s">
        <v>82</v>
      </c>
      <c r="B76" t="s">
        <v>6</v>
      </c>
      <c r="C76" s="17">
        <v>658265</v>
      </c>
    </row>
    <row r="77" spans="1:3" x14ac:dyDescent="0.2">
      <c r="A77" t="s">
        <v>83</v>
      </c>
      <c r="B77" t="s">
        <v>6</v>
      </c>
      <c r="C77" s="17">
        <v>14442</v>
      </c>
    </row>
    <row r="78" spans="1:3" x14ac:dyDescent="0.2">
      <c r="A78" t="s">
        <v>84</v>
      </c>
      <c r="B78" t="s">
        <v>6</v>
      </c>
      <c r="C78" s="17">
        <v>723285</v>
      </c>
    </row>
    <row r="79" spans="1:3" x14ac:dyDescent="0.2">
      <c r="A79" t="s">
        <v>85</v>
      </c>
      <c r="B79" t="s">
        <v>6</v>
      </c>
      <c r="C79" s="17">
        <v>6832</v>
      </c>
    </row>
    <row r="80" spans="1:3" x14ac:dyDescent="0.2">
      <c r="A80" t="s">
        <v>86</v>
      </c>
      <c r="B80" t="s">
        <v>6</v>
      </c>
      <c r="C80" s="17">
        <v>-890698</v>
      </c>
    </row>
    <row r="81" spans="1:3" x14ac:dyDescent="0.2">
      <c r="A81" t="s">
        <v>87</v>
      </c>
      <c r="B81" t="s">
        <v>6</v>
      </c>
      <c r="C81" s="17">
        <v>2802</v>
      </c>
    </row>
    <row r="82" spans="1:3" x14ac:dyDescent="0.2">
      <c r="A82" t="s">
        <v>88</v>
      </c>
      <c r="B82" t="s">
        <v>6</v>
      </c>
      <c r="C82" s="17">
        <v>172549</v>
      </c>
    </row>
    <row r="83" spans="1:3" x14ac:dyDescent="0.2">
      <c r="A83" t="s">
        <v>89</v>
      </c>
      <c r="B83" t="s">
        <v>6</v>
      </c>
      <c r="C83" s="17">
        <v>-2370</v>
      </c>
    </row>
    <row r="84" spans="1:3" x14ac:dyDescent="0.2">
      <c r="A84" t="s">
        <v>90</v>
      </c>
      <c r="B84" t="s">
        <v>6</v>
      </c>
      <c r="C84" s="17">
        <v>-4452</v>
      </c>
    </row>
    <row r="85" spans="1:3" x14ac:dyDescent="0.2">
      <c r="A85" t="s">
        <v>91</v>
      </c>
      <c r="B85" t="s">
        <v>6</v>
      </c>
      <c r="C85" s="17">
        <v>363794</v>
      </c>
    </row>
    <row r="86" spans="1:3" x14ac:dyDescent="0.2">
      <c r="A86" t="s">
        <v>92</v>
      </c>
      <c r="B86" t="s">
        <v>6</v>
      </c>
      <c r="C86" s="17">
        <v>1949</v>
      </c>
    </row>
    <row r="87" spans="1:3" x14ac:dyDescent="0.2">
      <c r="A87" t="s">
        <v>93</v>
      </c>
      <c r="B87" t="s">
        <v>6</v>
      </c>
      <c r="C87" s="17">
        <v>114133</v>
      </c>
    </row>
    <row r="88" spans="1:3" x14ac:dyDescent="0.2">
      <c r="A88" t="s">
        <v>94</v>
      </c>
      <c r="B88" t="s">
        <v>6</v>
      </c>
      <c r="C88" s="17">
        <v>100860</v>
      </c>
    </row>
    <row r="89" spans="1:3" x14ac:dyDescent="0.2">
      <c r="A89" t="s">
        <v>95</v>
      </c>
      <c r="B89" t="s">
        <v>6</v>
      </c>
      <c r="C89" s="17">
        <v>-535096</v>
      </c>
    </row>
    <row r="90" spans="1:3" x14ac:dyDescent="0.2">
      <c r="A90" t="s">
        <v>96</v>
      </c>
      <c r="B90" t="s">
        <v>6</v>
      </c>
      <c r="C90" s="17">
        <v>188015</v>
      </c>
    </row>
    <row r="91" spans="1:3" x14ac:dyDescent="0.2">
      <c r="A91" t="s">
        <v>97</v>
      </c>
      <c r="B91" t="s">
        <v>6</v>
      </c>
      <c r="C91" s="17">
        <v>1811</v>
      </c>
    </row>
    <row r="92" spans="1:3" x14ac:dyDescent="0.2">
      <c r="A92" t="s">
        <v>98</v>
      </c>
      <c r="B92" t="s">
        <v>6</v>
      </c>
      <c r="C92" s="17">
        <v>132554</v>
      </c>
    </row>
    <row r="93" spans="1:3" x14ac:dyDescent="0.2">
      <c r="A93" t="s">
        <v>99</v>
      </c>
      <c r="B93" t="s">
        <v>6</v>
      </c>
      <c r="C93" s="17">
        <v>5299</v>
      </c>
    </row>
    <row r="94" spans="1:3" x14ac:dyDescent="0.2">
      <c r="A94" t="s">
        <v>100</v>
      </c>
      <c r="B94" t="s">
        <v>6</v>
      </c>
      <c r="C94" s="17">
        <v>-2827</v>
      </c>
    </row>
    <row r="95" spans="1:3" x14ac:dyDescent="0.2">
      <c r="A95" t="s">
        <v>101</v>
      </c>
      <c r="B95" t="s">
        <v>6</v>
      </c>
      <c r="C95" s="17">
        <v>182701</v>
      </c>
    </row>
    <row r="96" spans="1:3" x14ac:dyDescent="0.2">
      <c r="A96" t="s">
        <v>102</v>
      </c>
      <c r="B96" t="s">
        <v>6</v>
      </c>
      <c r="C96" s="17">
        <v>-2473</v>
      </c>
    </row>
    <row r="97" spans="1:3" x14ac:dyDescent="0.2">
      <c r="A97" t="s">
        <v>103</v>
      </c>
      <c r="B97" t="s">
        <v>6</v>
      </c>
      <c r="C97" s="17">
        <v>-700668</v>
      </c>
    </row>
    <row r="98" spans="1:3" x14ac:dyDescent="0.2">
      <c r="A98" t="s">
        <v>104</v>
      </c>
      <c r="B98" t="s">
        <v>6</v>
      </c>
      <c r="C98" s="17">
        <v>81101</v>
      </c>
    </row>
    <row r="99" spans="1:3" x14ac:dyDescent="0.2">
      <c r="A99" t="s">
        <v>105</v>
      </c>
      <c r="B99" t="s">
        <v>6</v>
      </c>
      <c r="C99" s="17">
        <v>2764</v>
      </c>
    </row>
    <row r="100" spans="1:3" x14ac:dyDescent="0.2">
      <c r="A100" t="s">
        <v>106</v>
      </c>
      <c r="B100" t="s">
        <v>6</v>
      </c>
      <c r="C100" s="17">
        <v>834</v>
      </c>
    </row>
    <row r="101" spans="1:3" x14ac:dyDescent="0.2">
      <c r="A101" t="s">
        <v>107</v>
      </c>
      <c r="B101" t="s">
        <v>6</v>
      </c>
      <c r="C101" s="17">
        <v>824</v>
      </c>
    </row>
    <row r="102" spans="1:3" x14ac:dyDescent="0.2">
      <c r="A102" t="s">
        <v>108</v>
      </c>
      <c r="B102" t="s">
        <v>6</v>
      </c>
      <c r="C102" s="17">
        <v>117391</v>
      </c>
    </row>
    <row r="103" spans="1:3" x14ac:dyDescent="0.2">
      <c r="A103" t="s">
        <v>109</v>
      </c>
      <c r="B103" t="s">
        <v>6</v>
      </c>
      <c r="C103" s="17">
        <v>698081</v>
      </c>
    </row>
    <row r="104" spans="1:3" x14ac:dyDescent="0.2">
      <c r="A104" t="s">
        <v>110</v>
      </c>
      <c r="B104" t="s">
        <v>6</v>
      </c>
      <c r="C104" s="17">
        <v>-9273</v>
      </c>
    </row>
    <row r="105" spans="1:3" x14ac:dyDescent="0.2">
      <c r="A105" t="s">
        <v>111</v>
      </c>
      <c r="B105" t="s">
        <v>6</v>
      </c>
      <c r="C105" s="17">
        <v>21238</v>
      </c>
    </row>
    <row r="106" spans="1:3" x14ac:dyDescent="0.2">
      <c r="A106" t="s">
        <v>112</v>
      </c>
      <c r="B106" t="s">
        <v>6</v>
      </c>
      <c r="C106" s="17">
        <v>187050</v>
      </c>
    </row>
    <row r="107" spans="1:3" x14ac:dyDescent="0.2">
      <c r="A107" t="s">
        <v>113</v>
      </c>
      <c r="B107" t="s">
        <v>6</v>
      </c>
      <c r="C107" s="17">
        <v>121706</v>
      </c>
    </row>
    <row r="108" spans="1:3" x14ac:dyDescent="0.2">
      <c r="A108" t="s">
        <v>114</v>
      </c>
      <c r="B108" t="s">
        <v>6</v>
      </c>
      <c r="C108" s="17">
        <v>785</v>
      </c>
    </row>
    <row r="109" spans="1:3" x14ac:dyDescent="0.2">
      <c r="A109" t="s">
        <v>115</v>
      </c>
      <c r="B109" t="s">
        <v>6</v>
      </c>
      <c r="C109" s="17">
        <v>-336267</v>
      </c>
    </row>
    <row r="110" spans="1:3" x14ac:dyDescent="0.2">
      <c r="A110" t="s">
        <v>116</v>
      </c>
      <c r="B110" t="s">
        <v>6</v>
      </c>
      <c r="C110" s="17">
        <v>216886</v>
      </c>
    </row>
    <row r="111" spans="1:3" x14ac:dyDescent="0.2">
      <c r="A111" t="s">
        <v>117</v>
      </c>
      <c r="B111" t="s">
        <v>6</v>
      </c>
      <c r="C111" s="17">
        <v>8</v>
      </c>
    </row>
    <row r="112" spans="1:3" x14ac:dyDescent="0.2">
      <c r="A112" t="s">
        <v>118</v>
      </c>
      <c r="B112" t="s">
        <v>6</v>
      </c>
      <c r="C112" s="17">
        <v>9489</v>
      </c>
    </row>
    <row r="113" spans="1:3" x14ac:dyDescent="0.2">
      <c r="A113" t="s">
        <v>119</v>
      </c>
      <c r="B113" t="s">
        <v>6</v>
      </c>
      <c r="C113" s="17">
        <v>699</v>
      </c>
    </row>
    <row r="114" spans="1:3" x14ac:dyDescent="0.2">
      <c r="A114" t="s">
        <v>120</v>
      </c>
      <c r="B114" t="s">
        <v>6</v>
      </c>
      <c r="C114" s="17">
        <v>63079</v>
      </c>
    </row>
    <row r="115" spans="1:3" x14ac:dyDescent="0.2">
      <c r="A115" t="s">
        <v>121</v>
      </c>
      <c r="B115" t="s">
        <v>6</v>
      </c>
      <c r="C115" s="17">
        <v>-4921</v>
      </c>
    </row>
    <row r="116" spans="1:3" x14ac:dyDescent="0.2">
      <c r="A116" t="s">
        <v>122</v>
      </c>
      <c r="B116" t="s">
        <v>6</v>
      </c>
      <c r="C116" s="17">
        <v>428026</v>
      </c>
    </row>
    <row r="117" spans="1:3" x14ac:dyDescent="0.2">
      <c r="A117" t="s">
        <v>123</v>
      </c>
      <c r="B117" t="s">
        <v>6</v>
      </c>
      <c r="C117" s="17">
        <v>603</v>
      </c>
    </row>
    <row r="118" spans="1:3" x14ac:dyDescent="0.2">
      <c r="A118" t="s">
        <v>124</v>
      </c>
      <c r="B118" t="s">
        <v>6</v>
      </c>
      <c r="C118" s="17">
        <v>391</v>
      </c>
    </row>
    <row r="119" spans="1:3" x14ac:dyDescent="0.2">
      <c r="A119" t="s">
        <v>125</v>
      </c>
      <c r="B119" t="s">
        <v>6</v>
      </c>
      <c r="C119" s="17">
        <v>402</v>
      </c>
    </row>
    <row r="120" spans="1:3" x14ac:dyDescent="0.2">
      <c r="A120" t="s">
        <v>126</v>
      </c>
      <c r="B120" t="s">
        <v>6</v>
      </c>
      <c r="C120" s="17">
        <v>3</v>
      </c>
    </row>
    <row r="121" spans="1:3" x14ac:dyDescent="0.2">
      <c r="A121" t="s">
        <v>127</v>
      </c>
      <c r="B121" t="s">
        <v>6</v>
      </c>
      <c r="C121" s="17">
        <v>-120720</v>
      </c>
    </row>
    <row r="122" spans="1:3" x14ac:dyDescent="0.2">
      <c r="A122" t="s">
        <v>128</v>
      </c>
      <c r="B122" t="s">
        <v>6</v>
      </c>
      <c r="C122" s="17">
        <v>102071</v>
      </c>
    </row>
    <row r="123" spans="1:3" x14ac:dyDescent="0.2">
      <c r="A123" t="s">
        <v>129</v>
      </c>
      <c r="B123" t="s">
        <v>6</v>
      </c>
      <c r="C123" s="17">
        <v>9580</v>
      </c>
    </row>
    <row r="124" spans="1:3" x14ac:dyDescent="0.2">
      <c r="A124" t="s">
        <v>130</v>
      </c>
      <c r="B124" t="s">
        <v>6</v>
      </c>
      <c r="C124" s="17">
        <v>3</v>
      </c>
    </row>
    <row r="125" spans="1:3" x14ac:dyDescent="0.2">
      <c r="A125" t="s">
        <v>131</v>
      </c>
      <c r="B125" t="s">
        <v>6</v>
      </c>
      <c r="C125" s="17">
        <v>34767</v>
      </c>
    </row>
    <row r="126" spans="1:3" x14ac:dyDescent="0.2">
      <c r="A126" t="s">
        <v>132</v>
      </c>
      <c r="B126" t="s">
        <v>6</v>
      </c>
      <c r="C126" s="17">
        <v>321</v>
      </c>
    </row>
    <row r="127" spans="1:3" x14ac:dyDescent="0.2">
      <c r="A127" t="s">
        <v>133</v>
      </c>
      <c r="B127" t="s">
        <v>6</v>
      </c>
      <c r="C127" s="17">
        <v>37598</v>
      </c>
    </row>
    <row r="128" spans="1:3" x14ac:dyDescent="0.2">
      <c r="A128" t="s">
        <v>134</v>
      </c>
      <c r="B128" t="s">
        <v>6</v>
      </c>
      <c r="C128" s="17">
        <v>201</v>
      </c>
    </row>
    <row r="129" spans="1:9" x14ac:dyDescent="0.2">
      <c r="A129" t="s">
        <v>135</v>
      </c>
      <c r="B129" t="s">
        <v>6</v>
      </c>
      <c r="C129" s="17">
        <v>140</v>
      </c>
    </row>
    <row r="130" spans="1:9" x14ac:dyDescent="0.2">
      <c r="A130" t="s">
        <v>136</v>
      </c>
      <c r="B130" t="s">
        <v>6</v>
      </c>
      <c r="C130" s="17">
        <v>130</v>
      </c>
    </row>
    <row r="131" spans="1:9" x14ac:dyDescent="0.2">
      <c r="A131" t="s">
        <v>137</v>
      </c>
      <c r="B131" t="s">
        <v>6</v>
      </c>
      <c r="C131" s="17">
        <v>49775</v>
      </c>
    </row>
    <row r="132" spans="1:9" x14ac:dyDescent="0.2">
      <c r="A132" t="s">
        <v>138</v>
      </c>
      <c r="B132" t="s">
        <v>6</v>
      </c>
      <c r="C132" s="17">
        <v>147</v>
      </c>
      <c r="F132" s="18"/>
    </row>
    <row r="133" spans="1:9" ht="13.5" x14ac:dyDescent="0.2">
      <c r="A133" t="s">
        <v>139</v>
      </c>
      <c r="B133" t="s">
        <v>6</v>
      </c>
      <c r="C133" s="17">
        <v>101</v>
      </c>
      <c r="F133" s="11"/>
    </row>
    <row r="134" spans="1:9" x14ac:dyDescent="0.2">
      <c r="A134" t="s">
        <v>140</v>
      </c>
      <c r="B134" t="s">
        <v>6</v>
      </c>
      <c r="C134" s="17">
        <v>-3555</v>
      </c>
    </row>
    <row r="135" spans="1:9" x14ac:dyDescent="0.2">
      <c r="A135" t="s">
        <v>141</v>
      </c>
      <c r="B135" t="s">
        <v>6</v>
      </c>
      <c r="C135" s="17">
        <v>237</v>
      </c>
    </row>
    <row r="136" spans="1:9" x14ac:dyDescent="0.2">
      <c r="A136" t="s">
        <v>142</v>
      </c>
      <c r="B136" t="s">
        <v>6</v>
      </c>
      <c r="C136" s="17">
        <v>80</v>
      </c>
    </row>
    <row r="137" spans="1:9" x14ac:dyDescent="0.2">
      <c r="A137" t="s">
        <v>143</v>
      </c>
      <c r="B137" t="s">
        <v>6</v>
      </c>
      <c r="C137" s="17">
        <v>4351</v>
      </c>
    </row>
    <row r="138" spans="1:9" x14ac:dyDescent="0.2">
      <c r="A138" t="s">
        <v>144</v>
      </c>
      <c r="B138" t="s">
        <v>6</v>
      </c>
      <c r="C138" s="17">
        <v>-11468</v>
      </c>
    </row>
    <row r="139" spans="1:9" ht="13.5" x14ac:dyDescent="0.2">
      <c r="A139" t="s">
        <v>146</v>
      </c>
      <c r="B139" t="s">
        <v>6</v>
      </c>
      <c r="C139" s="28">
        <v>21704</v>
      </c>
      <c r="E139" s="31"/>
      <c r="F139" s="30"/>
      <c r="G139" s="31"/>
      <c r="H139" s="31"/>
      <c r="I139" s="31"/>
    </row>
    <row r="140" spans="1:9" ht="13.5" x14ac:dyDescent="0.2">
      <c r="A140" s="19" t="s">
        <v>147</v>
      </c>
      <c r="B140" s="19" t="s">
        <v>6</v>
      </c>
      <c r="C140" s="32">
        <v>-344033</v>
      </c>
      <c r="E140" s="29">
        <v>-1362501</v>
      </c>
      <c r="F140" s="30">
        <v>1018468</v>
      </c>
      <c r="G140" s="29">
        <f>E140+F140</f>
        <v>-344033</v>
      </c>
      <c r="H140" s="31"/>
      <c r="I140" s="31"/>
    </row>
    <row r="141" spans="1:9" x14ac:dyDescent="0.2">
      <c r="A141" t="s">
        <v>148</v>
      </c>
      <c r="B141" t="s">
        <v>6</v>
      </c>
      <c r="C141" s="17">
        <v>29747</v>
      </c>
    </row>
    <row r="142" spans="1:9" x14ac:dyDescent="0.2">
      <c r="A142" t="s">
        <v>149</v>
      </c>
      <c r="B142" t="s">
        <v>6</v>
      </c>
      <c r="C142" s="17">
        <v>905749</v>
      </c>
    </row>
    <row r="143" spans="1:9" x14ac:dyDescent="0.2">
      <c r="A143" t="s">
        <v>150</v>
      </c>
      <c r="B143" t="s">
        <v>6</v>
      </c>
      <c r="C143" s="17">
        <v>-13752</v>
      </c>
    </row>
    <row r="144" spans="1:9" x14ac:dyDescent="0.2">
      <c r="A144" t="s">
        <v>151</v>
      </c>
      <c r="B144" t="s">
        <v>6</v>
      </c>
      <c r="C144" s="17">
        <v>605233</v>
      </c>
    </row>
    <row r="145" spans="1:3" x14ac:dyDescent="0.2">
      <c r="A145" t="s">
        <v>152</v>
      </c>
      <c r="B145" t="s">
        <v>6</v>
      </c>
      <c r="C145" s="17">
        <v>5348</v>
      </c>
    </row>
    <row r="146" spans="1:3" x14ac:dyDescent="0.2">
      <c r="A146" t="s">
        <v>153</v>
      </c>
      <c r="B146" t="s">
        <v>6</v>
      </c>
      <c r="C146" s="17">
        <v>4200</v>
      </c>
    </row>
    <row r="147" spans="1:3" x14ac:dyDescent="0.2">
      <c r="A147" t="s">
        <v>154</v>
      </c>
      <c r="B147" s="19" t="s">
        <v>6</v>
      </c>
      <c r="C147" s="17">
        <v>2120</v>
      </c>
    </row>
    <row r="148" spans="1:3" x14ac:dyDescent="0.2">
      <c r="A148" t="s">
        <v>155</v>
      </c>
      <c r="B148" t="s">
        <v>6</v>
      </c>
      <c r="C148" s="17">
        <v>1801220</v>
      </c>
    </row>
    <row r="149" spans="1:3" x14ac:dyDescent="0.2">
      <c r="A149" t="s">
        <v>156</v>
      </c>
      <c r="B149" t="s">
        <v>6</v>
      </c>
      <c r="C149" s="17">
        <v>5929</v>
      </c>
    </row>
    <row r="150" spans="1:3" x14ac:dyDescent="0.2">
      <c r="A150" t="s">
        <v>157</v>
      </c>
      <c r="B150" t="s">
        <v>6</v>
      </c>
      <c r="C150" s="17">
        <v>938660</v>
      </c>
    </row>
    <row r="151" spans="1:3" x14ac:dyDescent="0.2">
      <c r="A151" t="s">
        <v>158</v>
      </c>
      <c r="B151" t="s">
        <v>6</v>
      </c>
      <c r="C151" s="17">
        <v>4541</v>
      </c>
    </row>
    <row r="152" spans="1:3" x14ac:dyDescent="0.2">
      <c r="A152" t="s">
        <v>159</v>
      </c>
      <c r="B152" t="s">
        <v>6</v>
      </c>
      <c r="C152" s="17">
        <v>-2199864</v>
      </c>
    </row>
    <row r="153" spans="1:3" x14ac:dyDescent="0.2">
      <c r="A153" t="s">
        <v>160</v>
      </c>
      <c r="B153" t="s">
        <v>6</v>
      </c>
      <c r="C153" s="17">
        <v>1177240</v>
      </c>
    </row>
    <row r="154" spans="1:3" x14ac:dyDescent="0.2">
      <c r="A154" t="s">
        <v>161</v>
      </c>
      <c r="B154" t="s">
        <v>6</v>
      </c>
      <c r="C154" s="17">
        <v>3727</v>
      </c>
    </row>
    <row r="155" spans="1:3" x14ac:dyDescent="0.2">
      <c r="A155" t="s">
        <v>162</v>
      </c>
      <c r="B155" t="s">
        <v>6</v>
      </c>
      <c r="C155" s="17">
        <v>1788878</v>
      </c>
    </row>
    <row r="156" spans="1:3" x14ac:dyDescent="0.2">
      <c r="A156" t="s">
        <v>163</v>
      </c>
      <c r="B156" t="s">
        <v>6</v>
      </c>
      <c r="C156" s="17">
        <v>1236408</v>
      </c>
    </row>
    <row r="157" spans="1:3" x14ac:dyDescent="0.2">
      <c r="A157" t="s">
        <v>164</v>
      </c>
      <c r="B157" t="s">
        <v>6</v>
      </c>
      <c r="C157" s="17">
        <v>3523</v>
      </c>
    </row>
    <row r="158" spans="1:3" x14ac:dyDescent="0.2">
      <c r="A158" t="s">
        <v>165</v>
      </c>
      <c r="B158" t="s">
        <v>6</v>
      </c>
      <c r="C158" s="17">
        <v>-78473485</v>
      </c>
    </row>
    <row r="159" spans="1:3" x14ac:dyDescent="0.2">
      <c r="A159" t="s">
        <v>166</v>
      </c>
      <c r="B159" t="s">
        <v>6</v>
      </c>
      <c r="C159" s="17">
        <v>-16939979</v>
      </c>
    </row>
    <row r="160" spans="1:3" x14ac:dyDescent="0.2">
      <c r="C160" s="17">
        <f>SUM(C2:C159)</f>
        <v>-80502607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65A-7E49-4718-A0A0-3B8B1DF52925}">
  <dimension ref="A1:H160"/>
  <sheetViews>
    <sheetView tabSelected="1" topLeftCell="A157" workbookViewId="0">
      <selection activeCell="E163" sqref="E163"/>
    </sheetView>
  </sheetViews>
  <sheetFormatPr defaultRowHeight="12.75" x14ac:dyDescent="0.2"/>
  <cols>
    <col min="1" max="1" width="39.28515625" bestFit="1" customWidth="1"/>
    <col min="2" max="2" width="13.5703125" bestFit="1" customWidth="1"/>
    <col min="3" max="3" width="14.5703125" bestFit="1" customWidth="1"/>
    <col min="4" max="4" width="10.42578125" bestFit="1" customWidth="1"/>
    <col min="5" max="5" width="13.7109375" bestFit="1" customWidth="1"/>
    <col min="6" max="6" width="97.42578125" customWidth="1"/>
    <col min="7" max="7" width="87.7109375" customWidth="1"/>
    <col min="8" max="8" width="79.42578125" customWidth="1"/>
  </cols>
  <sheetData>
    <row r="1" spans="1:8" ht="15" x14ac:dyDescent="0.25">
      <c r="A1" s="42" t="s">
        <v>349</v>
      </c>
      <c r="B1" s="40" t="s">
        <v>350</v>
      </c>
      <c r="C1" s="40"/>
      <c r="D1" s="43" t="s">
        <v>351</v>
      </c>
      <c r="E1" s="44" t="s">
        <v>374</v>
      </c>
      <c r="F1" s="40"/>
      <c r="G1" s="40"/>
      <c r="H1" s="40"/>
    </row>
    <row r="2" spans="1:8" ht="84" customHeight="1" x14ac:dyDescent="0.25">
      <c r="A2" t="s">
        <v>2</v>
      </c>
      <c r="B2" t="str">
        <f>VLOOKUP(A2,policy!B:C,2,0)</f>
        <v>050000678854</v>
      </c>
      <c r="C2" s="17">
        <v>9195</v>
      </c>
      <c r="D2" s="45">
        <f>ROUND(C2,0)</f>
        <v>9195</v>
      </c>
      <c r="E2" s="44" t="s">
        <v>374</v>
      </c>
      <c r="F2" s="46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7" t="str">
        <f>"('"&amp;E2&amp;"','"&amp;B2&amp;"','"&amp;D2&amp;"',(select max(to_number(i.premium_rcv_detail_code))+1
from ins_premium_det i),'"&amp;D2&amp;"','"&amp;D2&amp;"','02', '11000003','00','Request by Mr. Omair Ali 30-May-2025');"</f>
        <v>('29May250204','050000678854','9195',(select max(to_number(i.premium_rcv_detail_code))+1
from ins_premium_det i),'9195','9195','02', '11000003','00','Request by Mr. Omair Ali 30-May-2025');</v>
      </c>
      <c r="H2" s="48" t="str">
        <f>F2&amp;G2</f>
        <v>insert into ins_premium_det (premium_rcv_code,assorted_code, rec_amount,premium_rcv_detail_code,remaining_amt, payrec, mode_code,coinsurance_code,class_cd,it_remarks) values('29May250204','050000678854','9195',(select max(to_number(i.premium_rcv_detail_code))+1
from ins_premium_det i),'9195','9195','02', '11000003','00','Request by Mr. Omair Ali 30-May-2025');</v>
      </c>
    </row>
    <row r="3" spans="1:8" ht="90" x14ac:dyDescent="0.25">
      <c r="A3" t="s">
        <v>9</v>
      </c>
      <c r="B3" t="str">
        <f>VLOOKUP(A3,policy!B:C,2,0)</f>
        <v>050000679072</v>
      </c>
      <c r="C3" s="17">
        <v>174998</v>
      </c>
      <c r="D3" s="45">
        <f t="shared" ref="D3:D66" si="1">ROUND(C3,0)</f>
        <v>174998</v>
      </c>
      <c r="E3" s="44" t="s">
        <v>374</v>
      </c>
      <c r="F3" s="46" t="str">
        <f t="shared" si="0"/>
        <v>insert into ins_premium_det (premium_rcv_code,assorted_code, rec_amount,premium_rcv_detail_code,remaining_amt, payrec, mode_code,coinsurance_code,class_cd,it_remarks) values</v>
      </c>
      <c r="G3" s="47" t="str">
        <f t="shared" ref="G3:G66" si="2">"('"&amp;E3&amp;"','"&amp;B3&amp;"','"&amp;D3&amp;"',(select max(to_number(i.premium_rcv_detail_code))+1
from ins_premium_det i),'"&amp;D3&amp;"','"&amp;D3&amp;"','02', '11000003','00','Request by Mr. Omair Ali 30-May-2025');"</f>
        <v>('29May250204','050000679072','174998',(select max(to_number(i.premium_rcv_detail_code))+1
from ins_premium_det i),'174998','174998','02', '11000003','00','Request by Mr. Omair Ali 30-May-2025');</v>
      </c>
      <c r="H3" s="48" t="str">
        <f t="shared" ref="H3:H66" si="3">F3&amp;G3</f>
        <v>insert into ins_premium_det (premium_rcv_code,assorted_code, rec_amount,premium_rcv_detail_code,remaining_amt, payrec, mode_code,coinsurance_code,class_cd,it_remarks) values('29May250204','050000679072','174998',(select max(to_number(i.premium_rcv_detail_code))+1
from ins_premium_det i),'174998','174998','02', '11000003','00','Request by Mr. Omair Ali 30-May-2025');</v>
      </c>
    </row>
    <row r="4" spans="1:8" ht="90" x14ac:dyDescent="0.25">
      <c r="A4" t="s">
        <v>10</v>
      </c>
      <c r="B4" t="str">
        <f>VLOOKUP(A4,policy!B:C,2,0)</f>
        <v>050000681167</v>
      </c>
      <c r="C4" s="17">
        <v>-1328132</v>
      </c>
      <c r="D4" s="45">
        <f t="shared" si="1"/>
        <v>-1328132</v>
      </c>
      <c r="E4" s="44" t="s">
        <v>374</v>
      </c>
      <c r="F4" s="46" t="str">
        <f t="shared" si="0"/>
        <v>insert into ins_premium_det (premium_rcv_code,assorted_code, rec_amount,premium_rcv_detail_code,remaining_amt, payrec, mode_code,coinsurance_code,class_cd,it_remarks) values</v>
      </c>
      <c r="G4" s="47" t="str">
        <f t="shared" si="2"/>
        <v>('29May250204','050000681167','-1328132',(select max(to_number(i.premium_rcv_detail_code))+1
from ins_premium_det i),'-1328132','-1328132','02', '11000003','00','Request by Mr. Omair Ali 30-May-2025');</v>
      </c>
      <c r="H4" s="48" t="str">
        <f t="shared" si="3"/>
        <v>insert into ins_premium_det (premium_rcv_code,assorted_code, rec_amount,premium_rcv_detail_code,remaining_amt, payrec, mode_code,coinsurance_code,class_cd,it_remarks) values('29May250204','050000681167','-1328132',(select max(to_number(i.premium_rcv_detail_code))+1
from ins_premium_det i),'-1328132','-1328132','02', '11000003','00','Request by Mr. Omair Ali 30-May-2025');</v>
      </c>
    </row>
    <row r="5" spans="1:8" ht="90" x14ac:dyDescent="0.25">
      <c r="A5" t="s">
        <v>11</v>
      </c>
      <c r="B5" t="str">
        <f>VLOOKUP(A5,policy!B:C,2,0)</f>
        <v>050000681384</v>
      </c>
      <c r="C5" s="17">
        <v>443506</v>
      </c>
      <c r="D5" s="45">
        <f t="shared" si="1"/>
        <v>443506</v>
      </c>
      <c r="E5" s="44" t="s">
        <v>374</v>
      </c>
      <c r="F5" s="46" t="str">
        <f t="shared" si="0"/>
        <v>insert into ins_premium_det (premium_rcv_code,assorted_code, rec_amount,premium_rcv_detail_code,remaining_amt, payrec, mode_code,coinsurance_code,class_cd,it_remarks) values</v>
      </c>
      <c r="G5" s="47" t="str">
        <f t="shared" si="2"/>
        <v>('29May250204','050000681384','443506',(select max(to_number(i.premium_rcv_detail_code))+1
from ins_premium_det i),'443506','443506','02', '11000003','00','Request by Mr. Omair Ali 30-May-2025');</v>
      </c>
      <c r="H5" s="48" t="str">
        <f t="shared" si="3"/>
        <v>insert into ins_premium_det (premium_rcv_code,assorted_code, rec_amount,premium_rcv_detail_code,remaining_amt, payrec, mode_code,coinsurance_code,class_cd,it_remarks) values('29May250204','050000681384','443506',(select max(to_number(i.premium_rcv_detail_code))+1
from ins_premium_det i),'443506','443506','02', '11000003','00','Request by Mr. Omair Ali 30-May-2025');</v>
      </c>
    </row>
    <row r="6" spans="1:8" ht="90" x14ac:dyDescent="0.25">
      <c r="A6" t="s">
        <v>12</v>
      </c>
      <c r="B6" t="str">
        <f>VLOOKUP(A6,policy!B:C,2,0)</f>
        <v>050000681751</v>
      </c>
      <c r="C6" s="17">
        <v>14628</v>
      </c>
      <c r="D6" s="45">
        <f t="shared" si="1"/>
        <v>14628</v>
      </c>
      <c r="E6" s="44" t="s">
        <v>374</v>
      </c>
      <c r="F6" s="46" t="str">
        <f t="shared" si="0"/>
        <v>insert into ins_premium_det (premium_rcv_code,assorted_code, rec_amount,premium_rcv_detail_code,remaining_amt, payrec, mode_code,coinsurance_code,class_cd,it_remarks) values</v>
      </c>
      <c r="G6" s="47" t="str">
        <f t="shared" si="2"/>
        <v>('29May250204','050000681751','14628',(select max(to_number(i.premium_rcv_detail_code))+1
from ins_premium_det i),'14628','14628','02', '11000003','00','Request by Mr. Omair Ali 30-May-2025');</v>
      </c>
      <c r="H6" s="48" t="str">
        <f t="shared" si="3"/>
        <v>insert into ins_premium_det (premium_rcv_code,assorted_code, rec_amount,premium_rcv_detail_code,remaining_amt, payrec, mode_code,coinsurance_code,class_cd,it_remarks) values('29May250204','050000681751','14628',(select max(to_number(i.premium_rcv_detail_code))+1
from ins_premium_det i),'14628','14628','02', '11000003','00','Request by Mr. Omair Ali 30-May-2025');</v>
      </c>
    </row>
    <row r="7" spans="1:8" ht="90" x14ac:dyDescent="0.25">
      <c r="A7" t="s">
        <v>13</v>
      </c>
      <c r="B7" t="str">
        <f>VLOOKUP(A7,policy!B:C,2,0)</f>
        <v>050000683578</v>
      </c>
      <c r="C7" s="17">
        <v>363379</v>
      </c>
      <c r="D7" s="45">
        <f t="shared" si="1"/>
        <v>363379</v>
      </c>
      <c r="E7" s="44" t="s">
        <v>374</v>
      </c>
      <c r="F7" s="46" t="str">
        <f t="shared" si="0"/>
        <v>insert into ins_premium_det (premium_rcv_code,assorted_code, rec_amount,premium_rcv_detail_code,remaining_amt, payrec, mode_code,coinsurance_code,class_cd,it_remarks) values</v>
      </c>
      <c r="G7" s="47" t="str">
        <f t="shared" si="2"/>
        <v>('29May250204','050000683578','363379',(select max(to_number(i.premium_rcv_detail_code))+1
from ins_premium_det i),'363379','363379','02', '11000003','00','Request by Mr. Omair Ali 30-May-2025');</v>
      </c>
      <c r="H7" s="48" t="str">
        <f t="shared" si="3"/>
        <v>insert into ins_premium_det (premium_rcv_code,assorted_code, rec_amount,premium_rcv_detail_code,remaining_amt, payrec, mode_code,coinsurance_code,class_cd,it_remarks) values('29May250204','050000683578','363379',(select max(to_number(i.premium_rcv_detail_code))+1
from ins_premium_det i),'363379','363379','02', '11000003','00','Request by Mr. Omair Ali 30-May-2025');</v>
      </c>
    </row>
    <row r="8" spans="1:8" ht="90" x14ac:dyDescent="0.25">
      <c r="A8" t="s">
        <v>14</v>
      </c>
      <c r="B8" t="str">
        <f>VLOOKUP(A8,policy!B:C,2,0)</f>
        <v>050000684243</v>
      </c>
      <c r="C8" s="17">
        <v>-368706</v>
      </c>
      <c r="D8" s="45">
        <f t="shared" si="1"/>
        <v>-368706</v>
      </c>
      <c r="E8" s="44" t="s">
        <v>374</v>
      </c>
      <c r="F8" s="46" t="str">
        <f t="shared" si="0"/>
        <v>insert into ins_premium_det (premium_rcv_code,assorted_code, rec_amount,premium_rcv_detail_code,remaining_amt, payrec, mode_code,coinsurance_code,class_cd,it_remarks) values</v>
      </c>
      <c r="G8" s="47" t="str">
        <f t="shared" si="2"/>
        <v>('29May250204','050000684243','-368706',(select max(to_number(i.premium_rcv_detail_code))+1
from ins_premium_det i),'-368706','-368706','02', '11000003','00','Request by Mr. Omair Ali 30-May-2025');</v>
      </c>
      <c r="H8" s="48" t="str">
        <f t="shared" si="3"/>
        <v>insert into ins_premium_det (premium_rcv_code,assorted_code, rec_amount,premium_rcv_detail_code,remaining_amt, payrec, mode_code,coinsurance_code,class_cd,it_remarks) values('29May250204','050000684243','-368706',(select max(to_number(i.premium_rcv_detail_code))+1
from ins_premium_det i),'-368706','-368706','02', '11000003','00','Request by Mr. Omair Ali 30-May-2025');</v>
      </c>
    </row>
    <row r="9" spans="1:8" ht="90" x14ac:dyDescent="0.25">
      <c r="A9" t="s">
        <v>15</v>
      </c>
      <c r="B9" t="str">
        <f>VLOOKUP(A9,policy!B:C,2,0)</f>
        <v>050000685755</v>
      </c>
      <c r="C9" s="17">
        <v>231042</v>
      </c>
      <c r="D9" s="45">
        <f t="shared" si="1"/>
        <v>231042</v>
      </c>
      <c r="E9" s="44" t="s">
        <v>374</v>
      </c>
      <c r="F9" s="46" t="str">
        <f t="shared" si="0"/>
        <v>insert into ins_premium_det (premium_rcv_code,assorted_code, rec_amount,premium_rcv_detail_code,remaining_amt, payrec, mode_code,coinsurance_code,class_cd,it_remarks) values</v>
      </c>
      <c r="G9" s="47" t="str">
        <f t="shared" si="2"/>
        <v>('29May250204','050000685755','231042',(select max(to_number(i.premium_rcv_detail_code))+1
from ins_premium_det i),'231042','231042','02', '11000003','00','Request by Mr. Omair Ali 30-May-2025');</v>
      </c>
      <c r="H9" s="48" t="str">
        <f t="shared" si="3"/>
        <v>insert into ins_premium_det (premium_rcv_code,assorted_code, rec_amount,premium_rcv_detail_code,remaining_amt, payrec, mode_code,coinsurance_code,class_cd,it_remarks) values('29May250204','050000685755','231042',(select max(to_number(i.premium_rcv_detail_code))+1
from ins_premium_det i),'231042','231042','02', '11000003','00','Request by Mr. Omair Ali 30-May-2025');</v>
      </c>
    </row>
    <row r="10" spans="1:8" ht="90" x14ac:dyDescent="0.25">
      <c r="A10" t="s">
        <v>16</v>
      </c>
      <c r="B10" t="str">
        <f>VLOOKUP(A10,policy!B:C,2,0)</f>
        <v>050000687304</v>
      </c>
      <c r="C10" s="17">
        <v>16066</v>
      </c>
      <c r="D10" s="45">
        <f t="shared" si="1"/>
        <v>16066</v>
      </c>
      <c r="E10" s="44" t="s">
        <v>374</v>
      </c>
      <c r="F10" s="46" t="str">
        <f t="shared" si="0"/>
        <v>insert into ins_premium_det (premium_rcv_code,assorted_code, rec_amount,premium_rcv_detail_code,remaining_amt, payrec, mode_code,coinsurance_code,class_cd,it_remarks) values</v>
      </c>
      <c r="G10" s="47" t="str">
        <f t="shared" si="2"/>
        <v>('29May250204','050000687304','16066',(select max(to_number(i.premium_rcv_detail_code))+1
from ins_premium_det i),'16066','16066','02', '11000003','00','Request by Mr. Omair Ali 30-May-2025');</v>
      </c>
      <c r="H10" s="48" t="str">
        <f t="shared" si="3"/>
        <v>insert into ins_premium_det (premium_rcv_code,assorted_code, rec_amount,premium_rcv_detail_code,remaining_amt, payrec, mode_code,coinsurance_code,class_cd,it_remarks) values('29May250204','050000687304','16066',(select max(to_number(i.premium_rcv_detail_code))+1
from ins_premium_det i),'16066','16066','02', '11000003','00','Request by Mr. Omair Ali 30-May-2025');</v>
      </c>
    </row>
    <row r="11" spans="1:8" ht="90" x14ac:dyDescent="0.25">
      <c r="A11" t="s">
        <v>17</v>
      </c>
      <c r="B11" t="str">
        <f>VLOOKUP(A11,policy!B:C,2,0)</f>
        <v>050000688402</v>
      </c>
      <c r="C11" s="17">
        <v>796925</v>
      </c>
      <c r="D11" s="45">
        <f t="shared" si="1"/>
        <v>796925</v>
      </c>
      <c r="E11" s="44" t="s">
        <v>374</v>
      </c>
      <c r="F11" s="46" t="str">
        <f t="shared" si="0"/>
        <v>insert into ins_premium_det (premium_rcv_code,assorted_code, rec_amount,premium_rcv_detail_code,remaining_amt, payrec, mode_code,coinsurance_code,class_cd,it_remarks) values</v>
      </c>
      <c r="G11" s="47" t="str">
        <f t="shared" si="2"/>
        <v>('29May250204','050000688402','796925',(select max(to_number(i.premium_rcv_detail_code))+1
from ins_premium_det i),'796925','796925','02', '11000003','00','Request by Mr. Omair Ali 30-May-2025');</v>
      </c>
      <c r="H11" s="48" t="str">
        <f t="shared" si="3"/>
        <v>insert into ins_premium_det (premium_rcv_code,assorted_code, rec_amount,premium_rcv_detail_code,remaining_amt, payrec, mode_code,coinsurance_code,class_cd,it_remarks) values('29May250204','050000688402','796925',(select max(to_number(i.premium_rcv_detail_code))+1
from ins_premium_det i),'796925','796925','02', '11000003','00','Request by Mr. Omair Ali 30-May-2025');</v>
      </c>
    </row>
    <row r="12" spans="1:8" ht="90" x14ac:dyDescent="0.25">
      <c r="A12" t="s">
        <v>18</v>
      </c>
      <c r="B12" t="str">
        <f>VLOOKUP(A12,policy!B:C,2,0)</f>
        <v>050000688864</v>
      </c>
      <c r="C12" s="17">
        <v>-23672</v>
      </c>
      <c r="D12" s="45">
        <f t="shared" si="1"/>
        <v>-23672</v>
      </c>
      <c r="E12" s="44" t="s">
        <v>374</v>
      </c>
      <c r="F12" s="46" t="str">
        <f t="shared" si="0"/>
        <v>insert into ins_premium_det (premium_rcv_code,assorted_code, rec_amount,premium_rcv_detail_code,remaining_amt, payrec, mode_code,coinsurance_code,class_cd,it_remarks) values</v>
      </c>
      <c r="G12" s="47" t="str">
        <f t="shared" si="2"/>
        <v>('29May250204','050000688864','-23672',(select max(to_number(i.premium_rcv_detail_code))+1
from ins_premium_det i),'-23672','-23672','02', '11000003','00','Request by Mr. Omair Ali 30-May-2025');</v>
      </c>
      <c r="H12" s="48" t="str">
        <f t="shared" si="3"/>
        <v>insert into ins_premium_det (premium_rcv_code,assorted_code, rec_amount,premium_rcv_detail_code,remaining_amt, payrec, mode_code,coinsurance_code,class_cd,it_remarks) values('29May250204','050000688864','-23672',(select max(to_number(i.premium_rcv_detail_code))+1
from ins_premium_det i),'-23672','-23672','02', '11000003','00','Request by Mr. Omair Ali 30-May-2025');</v>
      </c>
    </row>
    <row r="13" spans="1:8" ht="90" x14ac:dyDescent="0.25">
      <c r="A13" t="s">
        <v>19</v>
      </c>
      <c r="B13" t="str">
        <f>VLOOKUP(A13,policy!B:C,2,0)</f>
        <v>050000689315</v>
      </c>
      <c r="C13" s="17">
        <v>8286</v>
      </c>
      <c r="D13" s="45">
        <f t="shared" si="1"/>
        <v>8286</v>
      </c>
      <c r="E13" s="44" t="s">
        <v>374</v>
      </c>
      <c r="F13" s="46" t="str">
        <f t="shared" si="0"/>
        <v>insert into ins_premium_det (premium_rcv_code,assorted_code, rec_amount,premium_rcv_detail_code,remaining_amt, payrec, mode_code,coinsurance_code,class_cd,it_remarks) values</v>
      </c>
      <c r="G13" s="47" t="str">
        <f t="shared" si="2"/>
        <v>('29May250204','050000689315','8286',(select max(to_number(i.premium_rcv_detail_code))+1
from ins_premium_det i),'8286','8286','02', '11000003','00','Request by Mr. Omair Ali 30-May-2025');</v>
      </c>
      <c r="H13" s="48" t="str">
        <f t="shared" si="3"/>
        <v>insert into ins_premium_det (premium_rcv_code,assorted_code, rec_amount,premium_rcv_detail_code,remaining_amt, payrec, mode_code,coinsurance_code,class_cd,it_remarks) values('29May250204','050000689315','8286',(select max(to_number(i.premium_rcv_detail_code))+1
from ins_premium_det i),'8286','8286','02', '11000003','00','Request by Mr. Omair Ali 30-May-2025');</v>
      </c>
    </row>
    <row r="14" spans="1:8" ht="90" x14ac:dyDescent="0.25">
      <c r="A14" t="s">
        <v>20</v>
      </c>
      <c r="B14" t="str">
        <f>VLOOKUP(A14,policy!B:C,2,0)</f>
        <v>050000690885</v>
      </c>
      <c r="C14" s="17">
        <v>662765</v>
      </c>
      <c r="D14" s="45">
        <f t="shared" si="1"/>
        <v>662765</v>
      </c>
      <c r="E14" s="44" t="s">
        <v>374</v>
      </c>
      <c r="F14" s="46" t="str">
        <f t="shared" si="0"/>
        <v>insert into ins_premium_det (premium_rcv_code,assorted_code, rec_amount,premium_rcv_detail_code,remaining_amt, payrec, mode_code,coinsurance_code,class_cd,it_remarks) values</v>
      </c>
      <c r="G14" s="47" t="str">
        <f t="shared" si="2"/>
        <v>('29May250204','050000690885','662765',(select max(to_number(i.premium_rcv_detail_code))+1
from ins_premium_det i),'662765','662765','02', '11000003','00','Request by Mr. Omair Ali 30-May-2025');</v>
      </c>
      <c r="H14" s="48" t="str">
        <f t="shared" si="3"/>
        <v>insert into ins_premium_det (premium_rcv_code,assorted_code, rec_amount,premium_rcv_detail_code,remaining_amt, payrec, mode_code,coinsurance_code,class_cd,it_remarks) values('29May250204','050000690885','662765',(select max(to_number(i.premium_rcv_detail_code))+1
from ins_premium_det i),'662765','662765','02', '11000003','00','Request by Mr. Omair Ali 30-May-2025');</v>
      </c>
    </row>
    <row r="15" spans="1:8" ht="90" x14ac:dyDescent="0.25">
      <c r="A15" t="s">
        <v>21</v>
      </c>
      <c r="B15" t="str">
        <f>VLOOKUP(A15,policy!B:C,2,0)</f>
        <v>050000691075</v>
      </c>
      <c r="C15" s="17">
        <v>-6388</v>
      </c>
      <c r="D15" s="45">
        <f t="shared" si="1"/>
        <v>-6388</v>
      </c>
      <c r="E15" s="44" t="s">
        <v>374</v>
      </c>
      <c r="F15" s="46" t="str">
        <f t="shared" si="0"/>
        <v>insert into ins_premium_det (premium_rcv_code,assorted_code, rec_amount,premium_rcv_detail_code,remaining_amt, payrec, mode_code,coinsurance_code,class_cd,it_remarks) values</v>
      </c>
      <c r="G15" s="47" t="str">
        <f t="shared" si="2"/>
        <v>('29May250204','050000691075','-6388',(select max(to_number(i.premium_rcv_detail_code))+1
from ins_premium_det i),'-6388','-6388','02', '11000003','00','Request by Mr. Omair Ali 30-May-2025');</v>
      </c>
      <c r="H15" s="48" t="str">
        <f t="shared" si="3"/>
        <v>insert into ins_premium_det (premium_rcv_code,assorted_code, rec_amount,premium_rcv_detail_code,remaining_amt, payrec, mode_code,coinsurance_code,class_cd,it_remarks) values('29May250204','050000691075','-6388',(select max(to_number(i.premium_rcv_detail_code))+1
from ins_premium_det i),'-6388','-6388','02', '11000003','00','Request by Mr. Omair Ali 30-May-2025');</v>
      </c>
    </row>
    <row r="16" spans="1:8" ht="90" x14ac:dyDescent="0.25">
      <c r="A16" t="s">
        <v>22</v>
      </c>
      <c r="B16" t="str">
        <f>VLOOKUP(A16,policy!B:C,2,0)</f>
        <v>050000692006</v>
      </c>
      <c r="C16" s="17">
        <v>488248</v>
      </c>
      <c r="D16" s="45">
        <f t="shared" si="1"/>
        <v>488248</v>
      </c>
      <c r="E16" s="44" t="s">
        <v>374</v>
      </c>
      <c r="F16" s="46" t="str">
        <f t="shared" si="0"/>
        <v>insert into ins_premium_det (premium_rcv_code,assorted_code, rec_amount,premium_rcv_detail_code,remaining_amt, payrec, mode_code,coinsurance_code,class_cd,it_remarks) values</v>
      </c>
      <c r="G16" s="47" t="str">
        <f t="shared" si="2"/>
        <v>('29May250204','050000692006','488248',(select max(to_number(i.premium_rcv_detail_code))+1
from ins_premium_det i),'488248','488248','02', '11000003','00','Request by Mr. Omair Ali 30-May-2025');</v>
      </c>
      <c r="H16" s="48" t="str">
        <f t="shared" si="3"/>
        <v>insert into ins_premium_det (premium_rcv_code,assorted_code, rec_amount,premium_rcv_detail_code,remaining_amt, payrec, mode_code,coinsurance_code,class_cd,it_remarks) values('29May250204','050000692006','488248',(select max(to_number(i.premium_rcv_detail_code))+1
from ins_premium_det i),'488248','488248','02', '11000003','00','Request by Mr. Omair Ali 30-May-2025');</v>
      </c>
    </row>
    <row r="17" spans="1:8" ht="90" x14ac:dyDescent="0.25">
      <c r="A17" t="s">
        <v>23</v>
      </c>
      <c r="B17" t="str">
        <f>VLOOKUP(A17,policy!B:C,2,0)</f>
        <v>050000692044</v>
      </c>
      <c r="C17" s="17">
        <v>-12405</v>
      </c>
      <c r="D17" s="45">
        <f t="shared" si="1"/>
        <v>-12405</v>
      </c>
      <c r="E17" s="44" t="s">
        <v>374</v>
      </c>
      <c r="F17" s="46" t="str">
        <f t="shared" si="0"/>
        <v>insert into ins_premium_det (premium_rcv_code,assorted_code, rec_amount,premium_rcv_detail_code,remaining_amt, payrec, mode_code,coinsurance_code,class_cd,it_remarks) values</v>
      </c>
      <c r="G17" s="47" t="str">
        <f t="shared" si="2"/>
        <v>('29May250204','050000692044','-12405',(select max(to_number(i.premium_rcv_detail_code))+1
from ins_premium_det i),'-12405','-12405','02', '11000003','00','Request by Mr. Omair Ali 30-May-2025');</v>
      </c>
      <c r="H17" s="48" t="str">
        <f t="shared" si="3"/>
        <v>insert into ins_premium_det (premium_rcv_code,assorted_code, rec_amount,premium_rcv_detail_code,remaining_amt, payrec, mode_code,coinsurance_code,class_cd,it_remarks) values('29May250204','050000692044','-12405',(select max(to_number(i.premium_rcv_detail_code))+1
from ins_premium_det i),'-12405','-12405','02', '11000003','00','Request by Mr. Omair Ali 30-May-2025');</v>
      </c>
    </row>
    <row r="18" spans="1:8" ht="90" x14ac:dyDescent="0.25">
      <c r="A18" t="s">
        <v>24</v>
      </c>
      <c r="B18" t="str">
        <f>VLOOKUP(A18,policy!B:C,2,0)</f>
        <v>050000692332</v>
      </c>
      <c r="C18" s="17">
        <v>3117</v>
      </c>
      <c r="D18" s="45">
        <f t="shared" si="1"/>
        <v>3117</v>
      </c>
      <c r="E18" s="44" t="s">
        <v>374</v>
      </c>
      <c r="F18" s="46" t="str">
        <f t="shared" si="0"/>
        <v>insert into ins_premium_det (premium_rcv_code,assorted_code, rec_amount,premium_rcv_detail_code,remaining_amt, payrec, mode_code,coinsurance_code,class_cd,it_remarks) values</v>
      </c>
      <c r="G18" s="47" t="str">
        <f t="shared" si="2"/>
        <v>('29May250204','050000692332','3117',(select max(to_number(i.premium_rcv_detail_code))+1
from ins_premium_det i),'3117','3117','02', '11000003','00','Request by Mr. Omair Ali 30-May-2025');</v>
      </c>
      <c r="H18" s="48" t="str">
        <f t="shared" si="3"/>
        <v>insert into ins_premium_det (premium_rcv_code,assorted_code, rec_amount,premium_rcv_detail_code,remaining_amt, payrec, mode_code,coinsurance_code,class_cd,it_remarks) values('29May250204','050000692332','3117',(select max(to_number(i.premium_rcv_detail_code))+1
from ins_premium_det i),'3117','3117','02', '11000003','00','Request by Mr. Omair Ali 30-May-2025');</v>
      </c>
    </row>
    <row r="19" spans="1:8" ht="90" x14ac:dyDescent="0.25">
      <c r="A19" t="s">
        <v>25</v>
      </c>
      <c r="B19" t="str">
        <f>VLOOKUP(A19,policy!B:C,2,0)</f>
        <v>050000693940</v>
      </c>
      <c r="C19" s="17">
        <v>277094</v>
      </c>
      <c r="D19" s="45">
        <f t="shared" si="1"/>
        <v>277094</v>
      </c>
      <c r="E19" s="44" t="s">
        <v>374</v>
      </c>
      <c r="F19" s="46" t="str">
        <f t="shared" si="0"/>
        <v>insert into ins_premium_det (premium_rcv_code,assorted_code, rec_amount,premium_rcv_detail_code,remaining_amt, payrec, mode_code,coinsurance_code,class_cd,it_remarks) values</v>
      </c>
      <c r="G19" s="47" t="str">
        <f t="shared" si="2"/>
        <v>('29May250204','050000693940','277094',(select max(to_number(i.premium_rcv_detail_code))+1
from ins_premium_det i),'277094','277094','02', '11000003','00','Request by Mr. Omair Ali 30-May-2025');</v>
      </c>
      <c r="H19" s="48" t="str">
        <f t="shared" si="3"/>
        <v>insert into ins_premium_det (premium_rcv_code,assorted_code, rec_amount,premium_rcv_detail_code,remaining_amt, payrec, mode_code,coinsurance_code,class_cd,it_remarks) values('29May250204','050000693940','277094',(select max(to_number(i.premium_rcv_detail_code))+1
from ins_premium_det i),'277094','277094','02', '11000003','00','Request by Mr. Omair Ali 30-May-2025');</v>
      </c>
    </row>
    <row r="20" spans="1:8" ht="90" x14ac:dyDescent="0.25">
      <c r="A20" t="s">
        <v>26</v>
      </c>
      <c r="B20" t="str">
        <f>VLOOKUP(A20,policy!B:C,2,0)</f>
        <v>050000694422</v>
      </c>
      <c r="C20" s="17">
        <v>-1662227</v>
      </c>
      <c r="D20" s="45">
        <f t="shared" si="1"/>
        <v>-1662227</v>
      </c>
      <c r="E20" s="44" t="s">
        <v>374</v>
      </c>
      <c r="F20" s="46" t="str">
        <f t="shared" si="0"/>
        <v>insert into ins_premium_det (premium_rcv_code,assorted_code, rec_amount,premium_rcv_detail_code,remaining_amt, payrec, mode_code,coinsurance_code,class_cd,it_remarks) values</v>
      </c>
      <c r="G20" s="47" t="str">
        <f t="shared" si="2"/>
        <v>('29May250204','050000694422','-1662227',(select max(to_number(i.premium_rcv_detail_code))+1
from ins_premium_det i),'-1662227','-1662227','02', '11000003','00','Request by Mr. Omair Ali 30-May-2025');</v>
      </c>
      <c r="H20" s="48" t="str">
        <f t="shared" si="3"/>
        <v>insert into ins_premium_det (premium_rcv_code,assorted_code, rec_amount,premium_rcv_detail_code,remaining_amt, payrec, mode_code,coinsurance_code,class_cd,it_remarks) values('29May250204','050000694422','-1662227',(select max(to_number(i.premium_rcv_detail_code))+1
from ins_premium_det i),'-1662227','-1662227','02', '11000003','00','Request by Mr. Omair Ali 30-May-2025');</v>
      </c>
    </row>
    <row r="21" spans="1:8" ht="90" x14ac:dyDescent="0.25">
      <c r="A21" t="s">
        <v>27</v>
      </c>
      <c r="B21" t="str">
        <f>VLOOKUP(A21,policy!B:C,2,0)</f>
        <v>050000697828</v>
      </c>
      <c r="C21" s="17">
        <v>6627</v>
      </c>
      <c r="D21" s="45">
        <f t="shared" si="1"/>
        <v>6627</v>
      </c>
      <c r="E21" s="44" t="s">
        <v>374</v>
      </c>
      <c r="F21" s="46" t="str">
        <f t="shared" si="0"/>
        <v>insert into ins_premium_det (premium_rcv_code,assorted_code, rec_amount,premium_rcv_detail_code,remaining_amt, payrec, mode_code,coinsurance_code,class_cd,it_remarks) values</v>
      </c>
      <c r="G21" s="47" t="str">
        <f t="shared" si="2"/>
        <v>('29May250204','050000697828','6627',(select max(to_number(i.premium_rcv_detail_code))+1
from ins_premium_det i),'6627','6627','02', '11000003','00','Request by Mr. Omair Ali 30-May-2025');</v>
      </c>
      <c r="H21" s="48" t="str">
        <f t="shared" si="3"/>
        <v>insert into ins_premium_det (premium_rcv_code,assorted_code, rec_amount,premium_rcv_detail_code,remaining_amt, payrec, mode_code,coinsurance_code,class_cd,it_remarks) values('29May250204','050000697828','6627',(select max(to_number(i.premium_rcv_detail_code))+1
from ins_premium_det i),'6627','6627','02', '11000003','00','Request by Mr. Omair Ali 30-May-2025');</v>
      </c>
    </row>
    <row r="22" spans="1:8" ht="90" x14ac:dyDescent="0.25">
      <c r="A22" t="s">
        <v>28</v>
      </c>
      <c r="B22" t="str">
        <f>VLOOKUP(A22,policy!B:C,2,0)</f>
        <v>050000698082</v>
      </c>
      <c r="C22" s="17">
        <v>749994</v>
      </c>
      <c r="D22" s="45">
        <f t="shared" si="1"/>
        <v>749994</v>
      </c>
      <c r="E22" s="44" t="s">
        <v>374</v>
      </c>
      <c r="F22" s="46" t="str">
        <f t="shared" si="0"/>
        <v>insert into ins_premium_det (premium_rcv_code,assorted_code, rec_amount,premium_rcv_detail_code,remaining_amt, payrec, mode_code,coinsurance_code,class_cd,it_remarks) values</v>
      </c>
      <c r="G22" s="47" t="str">
        <f t="shared" si="2"/>
        <v>('29May250204','050000698082','749994',(select max(to_number(i.premium_rcv_detail_code))+1
from ins_premium_det i),'749994','749994','02', '11000003','00','Request by Mr. Omair Ali 30-May-2025');</v>
      </c>
      <c r="H22" s="48" t="str">
        <f t="shared" si="3"/>
        <v>insert into ins_premium_det (premium_rcv_code,assorted_code, rec_amount,premium_rcv_detail_code,remaining_amt, payrec, mode_code,coinsurance_code,class_cd,it_remarks) values('29May250204','050000698082','749994',(select max(to_number(i.premium_rcv_detail_code))+1
from ins_premium_det i),'749994','749994','02', '11000003','00','Request by Mr. Omair Ali 30-May-2025');</v>
      </c>
    </row>
    <row r="23" spans="1:8" ht="90" x14ac:dyDescent="0.25">
      <c r="A23" t="s">
        <v>29</v>
      </c>
      <c r="B23" t="str">
        <f>VLOOKUP(A23,policy!B:C,2,0)</f>
        <v>050000699071</v>
      </c>
      <c r="C23" s="17">
        <v>6876</v>
      </c>
      <c r="D23" s="45">
        <f t="shared" si="1"/>
        <v>6876</v>
      </c>
      <c r="E23" s="44" t="s">
        <v>374</v>
      </c>
      <c r="F23" s="46" t="str">
        <f t="shared" si="0"/>
        <v>insert into ins_premium_det (premium_rcv_code,assorted_code, rec_amount,premium_rcv_detail_code,remaining_amt, payrec, mode_code,coinsurance_code,class_cd,it_remarks) values</v>
      </c>
      <c r="G23" s="47" t="str">
        <f t="shared" si="2"/>
        <v>('29May250204','050000699071','6876',(select max(to_number(i.premium_rcv_detail_code))+1
from ins_premium_det i),'6876','6876','02', '11000003','00','Request by Mr. Omair Ali 30-May-2025');</v>
      </c>
      <c r="H23" s="48" t="str">
        <f t="shared" si="3"/>
        <v>insert into ins_premium_det (premium_rcv_code,assorted_code, rec_amount,premium_rcv_detail_code,remaining_amt, payrec, mode_code,coinsurance_code,class_cd,it_remarks) values('29May250204','050000699071','6876',(select max(to_number(i.premium_rcv_detail_code))+1
from ins_premium_det i),'6876','6876','02', '11000003','00','Request by Mr. Omair Ali 30-May-2025');</v>
      </c>
    </row>
    <row r="24" spans="1:8" ht="90" x14ac:dyDescent="0.25">
      <c r="A24" t="s">
        <v>30</v>
      </c>
      <c r="B24" t="str">
        <f>VLOOKUP(A24,policy!B:C,2,0)</f>
        <v>050000700695</v>
      </c>
      <c r="C24" s="17">
        <v>-6415</v>
      </c>
      <c r="D24" s="45">
        <f t="shared" si="1"/>
        <v>-6415</v>
      </c>
      <c r="E24" s="44" t="s">
        <v>374</v>
      </c>
      <c r="F24" s="46" t="str">
        <f t="shared" si="0"/>
        <v>insert into ins_premium_det (premium_rcv_code,assorted_code, rec_amount,premium_rcv_detail_code,remaining_amt, payrec, mode_code,coinsurance_code,class_cd,it_remarks) values</v>
      </c>
      <c r="G24" s="47" t="str">
        <f t="shared" si="2"/>
        <v>('29May250204','050000700695','-6415',(select max(to_number(i.premium_rcv_detail_code))+1
from ins_premium_det i),'-6415','-6415','02', '11000003','00','Request by Mr. Omair Ali 30-May-2025');</v>
      </c>
      <c r="H24" s="48" t="str">
        <f t="shared" si="3"/>
        <v>insert into ins_premium_det (premium_rcv_code,assorted_code, rec_amount,premium_rcv_detail_code,remaining_amt, payrec, mode_code,coinsurance_code,class_cd,it_remarks) values('29May250204','050000700695','-6415',(select max(to_number(i.premium_rcv_detail_code))+1
from ins_premium_det i),'-6415','-6415','02', '11000003','00','Request by Mr. Omair Ali 30-May-2025');</v>
      </c>
    </row>
    <row r="25" spans="1:8" ht="90" x14ac:dyDescent="0.25">
      <c r="A25" t="s">
        <v>31</v>
      </c>
      <c r="B25" t="str">
        <f>VLOOKUP(A25,policy!B:C,2,0)</f>
        <v>050000700825</v>
      </c>
      <c r="C25" s="17">
        <v>-765007</v>
      </c>
      <c r="D25" s="45">
        <f t="shared" si="1"/>
        <v>-765007</v>
      </c>
      <c r="E25" s="44" t="s">
        <v>374</v>
      </c>
      <c r="F25" s="46" t="str">
        <f t="shared" si="0"/>
        <v>insert into ins_premium_det (premium_rcv_code,assorted_code, rec_amount,premium_rcv_detail_code,remaining_amt, payrec, mode_code,coinsurance_code,class_cd,it_remarks) values</v>
      </c>
      <c r="G25" s="47" t="str">
        <f t="shared" si="2"/>
        <v>('29May250204','050000700825','-765007',(select max(to_number(i.premium_rcv_detail_code))+1
from ins_premium_det i),'-765007','-765007','02', '11000003','00','Request by Mr. Omair Ali 30-May-2025');</v>
      </c>
      <c r="H25" s="48" t="str">
        <f t="shared" si="3"/>
        <v>insert into ins_premium_det (premium_rcv_code,assorted_code, rec_amount,premium_rcv_detail_code,remaining_amt, payrec, mode_code,coinsurance_code,class_cd,it_remarks) values('29May250204','050000700825','-765007',(select max(to_number(i.premium_rcv_detail_code))+1
from ins_premium_det i),'-765007','-765007','02', '11000003','00','Request by Mr. Omair Ali 30-May-2025');</v>
      </c>
    </row>
    <row r="26" spans="1:8" ht="90" x14ac:dyDescent="0.25">
      <c r="A26" t="s">
        <v>32</v>
      </c>
      <c r="B26" t="str">
        <f>VLOOKUP(A26,policy!B:C,2,0)</f>
        <v>050000701416</v>
      </c>
      <c r="C26" s="17">
        <v>3004</v>
      </c>
      <c r="D26" s="45">
        <f t="shared" si="1"/>
        <v>3004</v>
      </c>
      <c r="E26" s="44" t="s">
        <v>374</v>
      </c>
      <c r="F26" s="46" t="str">
        <f t="shared" si="0"/>
        <v>insert into ins_premium_det (premium_rcv_code,assorted_code, rec_amount,premium_rcv_detail_code,remaining_amt, payrec, mode_code,coinsurance_code,class_cd,it_remarks) values</v>
      </c>
      <c r="G26" s="47" t="str">
        <f t="shared" si="2"/>
        <v>('29May250204','050000701416','3004',(select max(to_number(i.premium_rcv_detail_code))+1
from ins_premium_det i),'3004','3004','02', '11000003','00','Request by Mr. Omair Ali 30-May-2025');</v>
      </c>
      <c r="H26" s="48" t="str">
        <f t="shared" si="3"/>
        <v>insert into ins_premium_det (premium_rcv_code,assorted_code, rec_amount,premium_rcv_detail_code,remaining_amt, payrec, mode_code,coinsurance_code,class_cd,it_remarks) values('29May250204','050000701416','3004',(select max(to_number(i.premium_rcv_detail_code))+1
from ins_premium_det i),'3004','3004','02', '11000003','00','Request by Mr. Omair Ali 30-May-2025');</v>
      </c>
    </row>
    <row r="27" spans="1:8" ht="90" x14ac:dyDescent="0.25">
      <c r="A27" t="s">
        <v>33</v>
      </c>
      <c r="B27" t="str">
        <f>VLOOKUP(A27,policy!B:C,2,0)</f>
        <v>050000701955</v>
      </c>
      <c r="C27" s="17">
        <v>623516</v>
      </c>
      <c r="D27" s="45">
        <f t="shared" si="1"/>
        <v>623516</v>
      </c>
      <c r="E27" s="44" t="s">
        <v>374</v>
      </c>
      <c r="F27" s="46" t="str">
        <f t="shared" si="0"/>
        <v>insert into ins_premium_det (premium_rcv_code,assorted_code, rec_amount,premium_rcv_detail_code,remaining_amt, payrec, mode_code,coinsurance_code,class_cd,it_remarks) values</v>
      </c>
      <c r="G27" s="47" t="str">
        <f t="shared" si="2"/>
        <v>('29May250204','050000701955','623516',(select max(to_number(i.premium_rcv_detail_code))+1
from ins_premium_det i),'623516','623516','02', '11000003','00','Request by Mr. Omair Ali 30-May-2025');</v>
      </c>
      <c r="H27" s="48" t="str">
        <f t="shared" si="3"/>
        <v>insert into ins_premium_det (premium_rcv_code,assorted_code, rec_amount,premium_rcv_detail_code,remaining_amt, payrec, mode_code,coinsurance_code,class_cd,it_remarks) values('29May250204','050000701955','623516',(select max(to_number(i.premium_rcv_detail_code))+1
from ins_premium_det i),'623516','623516','02', '11000003','00','Request by Mr. Omair Ali 30-May-2025');</v>
      </c>
    </row>
    <row r="28" spans="1:8" ht="90" x14ac:dyDescent="0.25">
      <c r="A28" t="s">
        <v>34</v>
      </c>
      <c r="B28" t="str">
        <f>VLOOKUP(A28,policy!B:C,2,0)</f>
        <v>050000702073</v>
      </c>
      <c r="C28" s="17">
        <v>6320</v>
      </c>
      <c r="D28" s="45">
        <f t="shared" si="1"/>
        <v>6320</v>
      </c>
      <c r="E28" s="44" t="s">
        <v>374</v>
      </c>
      <c r="F28" s="46" t="str">
        <f t="shared" si="0"/>
        <v>insert into ins_premium_det (premium_rcv_code,assorted_code, rec_amount,premium_rcv_detail_code,remaining_amt, payrec, mode_code,coinsurance_code,class_cd,it_remarks) values</v>
      </c>
      <c r="G28" s="47" t="str">
        <f t="shared" si="2"/>
        <v>('29May250204','050000702073','6320',(select max(to_number(i.premium_rcv_detail_code))+1
from ins_premium_det i),'6320','6320','02', '11000003','00','Request by Mr. Omair Ali 30-May-2025');</v>
      </c>
      <c r="H28" s="48" t="str">
        <f t="shared" si="3"/>
        <v>insert into ins_premium_det (premium_rcv_code,assorted_code, rec_amount,premium_rcv_detail_code,remaining_amt, payrec, mode_code,coinsurance_code,class_cd,it_remarks) values('29May250204','050000702073','6320',(select max(to_number(i.premium_rcv_detail_code))+1
from ins_premium_det i),'6320','6320','02', '11000003','00','Request by Mr. Omair Ali 30-May-2025');</v>
      </c>
    </row>
    <row r="29" spans="1:8" ht="90" x14ac:dyDescent="0.25">
      <c r="A29" t="s">
        <v>35</v>
      </c>
      <c r="B29" t="str">
        <f>VLOOKUP(A29,policy!B:C,2,0)</f>
        <v>050000705122</v>
      </c>
      <c r="C29" s="17">
        <v>-33009</v>
      </c>
      <c r="D29" s="45">
        <f t="shared" si="1"/>
        <v>-33009</v>
      </c>
      <c r="E29" s="44" t="s">
        <v>374</v>
      </c>
      <c r="F29" s="46" t="str">
        <f t="shared" si="0"/>
        <v>insert into ins_premium_det (premium_rcv_code,assorted_code, rec_amount,premium_rcv_detail_code,remaining_amt, payrec, mode_code,coinsurance_code,class_cd,it_remarks) values</v>
      </c>
      <c r="G29" s="47" t="str">
        <f t="shared" si="2"/>
        <v>('29May250204','050000705122','-33009',(select max(to_number(i.premium_rcv_detail_code))+1
from ins_premium_det i),'-33009','-33009','02', '11000003','00','Request by Mr. Omair Ali 30-May-2025');</v>
      </c>
      <c r="H29" s="48" t="str">
        <f t="shared" si="3"/>
        <v>insert into ins_premium_det (premium_rcv_code,assorted_code, rec_amount,premium_rcv_detail_code,remaining_amt, payrec, mode_code,coinsurance_code,class_cd,it_remarks) values('29May250204','050000705122','-33009',(select max(to_number(i.premium_rcv_detail_code))+1
from ins_premium_det i),'-33009','-33009','02', '11000003','00','Request by Mr. Omair Ali 30-May-2025');</v>
      </c>
    </row>
    <row r="30" spans="1:8" ht="90" x14ac:dyDescent="0.25">
      <c r="A30" t="s">
        <v>36</v>
      </c>
      <c r="B30" t="str">
        <f>VLOOKUP(A30,policy!B:C,2,0)</f>
        <v>050000705523</v>
      </c>
      <c r="C30" s="17">
        <v>8</v>
      </c>
      <c r="D30" s="45">
        <f t="shared" si="1"/>
        <v>8</v>
      </c>
      <c r="E30" s="44" t="s">
        <v>374</v>
      </c>
      <c r="F30" s="46" t="str">
        <f t="shared" si="0"/>
        <v>insert into ins_premium_det (premium_rcv_code,assorted_code, rec_amount,premium_rcv_detail_code,remaining_amt, payrec, mode_code,coinsurance_code,class_cd,it_remarks) values</v>
      </c>
      <c r="G30" s="47" t="str">
        <f t="shared" si="2"/>
        <v>('29May250204','050000705523','8',(select max(to_number(i.premium_rcv_detail_code))+1
from ins_premium_det i),'8','8','02', '11000003','00','Request by Mr. Omair Ali 30-May-2025');</v>
      </c>
      <c r="H30" s="48" t="str">
        <f t="shared" si="3"/>
        <v>insert into ins_premium_det (premium_rcv_code,assorted_code, rec_amount,premium_rcv_detail_code,remaining_amt, payrec, mode_code,coinsurance_code,class_cd,it_remarks) values('29May250204','050000705523','8',(select max(to_number(i.premium_rcv_detail_code))+1
from ins_premium_det i),'8','8','02', '11000003','00','Request by Mr. Omair Ali 30-May-2025');</v>
      </c>
    </row>
    <row r="31" spans="1:8" ht="90" x14ac:dyDescent="0.25">
      <c r="A31" t="s">
        <v>37</v>
      </c>
      <c r="B31" t="str">
        <f>VLOOKUP(A31,policy!B:C,2,0)</f>
        <v>050000705813</v>
      </c>
      <c r="C31" s="17">
        <v>7010</v>
      </c>
      <c r="D31" s="45">
        <f t="shared" si="1"/>
        <v>7010</v>
      </c>
      <c r="E31" s="44" t="s">
        <v>374</v>
      </c>
      <c r="F31" s="46" t="str">
        <f t="shared" si="0"/>
        <v>insert into ins_premium_det (premium_rcv_code,assorted_code, rec_amount,premium_rcv_detail_code,remaining_amt, payrec, mode_code,coinsurance_code,class_cd,it_remarks) values</v>
      </c>
      <c r="G31" s="47" t="str">
        <f t="shared" si="2"/>
        <v>('29May250204','050000705813','7010',(select max(to_number(i.premium_rcv_detail_code))+1
from ins_premium_det i),'7010','7010','02', '11000003','00','Request by Mr. Omair Ali 30-May-2025');</v>
      </c>
      <c r="H31" s="48" t="str">
        <f t="shared" si="3"/>
        <v>insert into ins_premium_det (premium_rcv_code,assorted_code, rec_amount,premium_rcv_detail_code,remaining_amt, payrec, mode_code,coinsurance_code,class_cd,it_remarks) values('29May250204','050000705813','7010',(select max(to_number(i.premium_rcv_detail_code))+1
from ins_premium_det i),'7010','7010','02', '11000003','00','Request by Mr. Omair Ali 30-May-2025');</v>
      </c>
    </row>
    <row r="32" spans="1:8" ht="90" x14ac:dyDescent="0.25">
      <c r="A32" t="s">
        <v>38</v>
      </c>
      <c r="B32" t="str">
        <f>VLOOKUP(A32,policy!B:C,2,0)</f>
        <v>050000707065</v>
      </c>
      <c r="C32" s="17">
        <v>462914</v>
      </c>
      <c r="D32" s="45">
        <f t="shared" si="1"/>
        <v>462914</v>
      </c>
      <c r="E32" s="44" t="s">
        <v>374</v>
      </c>
      <c r="F32" s="46" t="str">
        <f t="shared" si="0"/>
        <v>insert into ins_premium_det (premium_rcv_code,assorted_code, rec_amount,premium_rcv_detail_code,remaining_amt, payrec, mode_code,coinsurance_code,class_cd,it_remarks) values</v>
      </c>
      <c r="G32" s="47" t="str">
        <f t="shared" si="2"/>
        <v>('29May250204','050000707065','462914',(select max(to_number(i.premium_rcv_detail_code))+1
from ins_premium_det i),'462914','462914','02', '11000003','00','Request by Mr. Omair Ali 30-May-2025');</v>
      </c>
      <c r="H32" s="48" t="str">
        <f t="shared" si="3"/>
        <v>insert into ins_premium_det (premium_rcv_code,assorted_code, rec_amount,premium_rcv_detail_code,remaining_amt, payrec, mode_code,coinsurance_code,class_cd,it_remarks) values('29May250204','050000707065','462914',(select max(to_number(i.premium_rcv_detail_code))+1
from ins_premium_det i),'462914','462914','02', '11000003','00','Request by Mr. Omair Ali 30-May-2025');</v>
      </c>
    </row>
    <row r="33" spans="1:8" ht="90" x14ac:dyDescent="0.25">
      <c r="A33" t="s">
        <v>39</v>
      </c>
      <c r="B33" t="str">
        <f>VLOOKUP(A33,policy!B:C,2,0)</f>
        <v>050000709797</v>
      </c>
      <c r="C33" s="17">
        <v>-6191</v>
      </c>
      <c r="D33" s="45">
        <f t="shared" si="1"/>
        <v>-6191</v>
      </c>
      <c r="E33" s="44" t="s">
        <v>374</v>
      </c>
      <c r="F33" s="46" t="str">
        <f t="shared" si="0"/>
        <v>insert into ins_premium_det (premium_rcv_code,assorted_code, rec_amount,premium_rcv_detail_code,remaining_amt, payrec, mode_code,coinsurance_code,class_cd,it_remarks) values</v>
      </c>
      <c r="G33" s="47" t="str">
        <f t="shared" si="2"/>
        <v>('29May250204','050000709797','-6191',(select max(to_number(i.premium_rcv_detail_code))+1
from ins_premium_det i),'-6191','-6191','02', '11000003','00','Request by Mr. Omair Ali 30-May-2025');</v>
      </c>
      <c r="H33" s="48" t="str">
        <f t="shared" si="3"/>
        <v>insert into ins_premium_det (premium_rcv_code,assorted_code, rec_amount,premium_rcv_detail_code,remaining_amt, payrec, mode_code,coinsurance_code,class_cd,it_remarks) values('29May250204','050000709797','-6191',(select max(to_number(i.premium_rcv_detail_code))+1
from ins_premium_det i),'-6191','-6191','02', '11000003','00','Request by Mr. Omair Ali 30-May-2025');</v>
      </c>
    </row>
    <row r="34" spans="1:8" ht="90" x14ac:dyDescent="0.25">
      <c r="A34" t="s">
        <v>40</v>
      </c>
      <c r="B34" t="str">
        <f>VLOOKUP(A34,policy!B:C,2,0)</f>
        <v>050000710158</v>
      </c>
      <c r="C34" s="17">
        <v>555099</v>
      </c>
      <c r="D34" s="45">
        <f t="shared" si="1"/>
        <v>555099</v>
      </c>
      <c r="E34" s="44" t="s">
        <v>374</v>
      </c>
      <c r="F34" s="46" t="str">
        <f t="shared" si="0"/>
        <v>insert into ins_premium_det (premium_rcv_code,assorted_code, rec_amount,premium_rcv_detail_code,remaining_amt, payrec, mode_code,coinsurance_code,class_cd,it_remarks) values</v>
      </c>
      <c r="G34" s="47" t="str">
        <f t="shared" si="2"/>
        <v>('29May250204','050000710158','555099',(select max(to_number(i.premium_rcv_detail_code))+1
from ins_premium_det i),'555099','555099','02', '11000003','00','Request by Mr. Omair Ali 30-May-2025');</v>
      </c>
      <c r="H34" s="48" t="str">
        <f t="shared" si="3"/>
        <v>insert into ins_premium_det (premium_rcv_code,assorted_code, rec_amount,premium_rcv_detail_code,remaining_amt, payrec, mode_code,coinsurance_code,class_cd,it_remarks) values('29May250204','050000710158','555099',(select max(to_number(i.premium_rcv_detail_code))+1
from ins_premium_det i),'555099','555099','02', '11000003','00','Request by Mr. Omair Ali 30-May-2025');</v>
      </c>
    </row>
    <row r="35" spans="1:8" ht="90" x14ac:dyDescent="0.25">
      <c r="A35" t="s">
        <v>41</v>
      </c>
      <c r="B35" t="str">
        <f>VLOOKUP(A35,policy!B:C,2,0)</f>
        <v>050000710330</v>
      </c>
      <c r="C35" s="17">
        <v>13830</v>
      </c>
      <c r="D35" s="45">
        <f t="shared" si="1"/>
        <v>13830</v>
      </c>
      <c r="E35" s="44" t="s">
        <v>374</v>
      </c>
      <c r="F35" s="46" t="str">
        <f t="shared" si="0"/>
        <v>insert into ins_premium_det (premium_rcv_code,assorted_code, rec_amount,premium_rcv_detail_code,remaining_amt, payrec, mode_code,coinsurance_code,class_cd,it_remarks) values</v>
      </c>
      <c r="G35" s="47" t="str">
        <f t="shared" si="2"/>
        <v>('29May250204','050000710330','13830',(select max(to_number(i.premium_rcv_detail_code))+1
from ins_premium_det i),'13830','13830','02', '11000003','00','Request by Mr. Omair Ali 30-May-2025');</v>
      </c>
      <c r="H35" s="48" t="str">
        <f t="shared" si="3"/>
        <v>insert into ins_premium_det (premium_rcv_code,assorted_code, rec_amount,premium_rcv_detail_code,remaining_amt, payrec, mode_code,coinsurance_code,class_cd,it_remarks) values('29May250204','050000710330','13830',(select max(to_number(i.premium_rcv_detail_code))+1
from ins_premium_det i),'13830','13830','02', '11000003','00','Request by Mr. Omair Ali 30-May-2025');</v>
      </c>
    </row>
    <row r="36" spans="1:8" ht="90" x14ac:dyDescent="0.25">
      <c r="A36" t="s">
        <v>42</v>
      </c>
      <c r="B36" t="str">
        <f>VLOOKUP(A36,policy!B:C,2,0)</f>
        <v>050000710366</v>
      </c>
      <c r="C36" s="17">
        <v>1146074</v>
      </c>
      <c r="D36" s="45">
        <f t="shared" si="1"/>
        <v>1146074</v>
      </c>
      <c r="E36" s="44" t="s">
        <v>374</v>
      </c>
      <c r="F36" s="46" t="str">
        <f t="shared" si="0"/>
        <v>insert into ins_premium_det (premium_rcv_code,assorted_code, rec_amount,premium_rcv_detail_code,remaining_amt, payrec, mode_code,coinsurance_code,class_cd,it_remarks) values</v>
      </c>
      <c r="G36" s="47" t="str">
        <f t="shared" si="2"/>
        <v>('29May250204','050000710366','1146074',(select max(to_number(i.premium_rcv_detail_code))+1
from ins_premium_det i),'1146074','1146074','02', '11000003','00','Request by Mr. Omair Ali 30-May-2025');</v>
      </c>
      <c r="H36" s="48" t="str">
        <f t="shared" si="3"/>
        <v>insert into ins_premium_det (premium_rcv_code,assorted_code, rec_amount,premium_rcv_detail_code,remaining_amt, payrec, mode_code,coinsurance_code,class_cd,it_remarks) values('29May250204','050000710366','1146074',(select max(to_number(i.premium_rcv_detail_code))+1
from ins_premium_det i),'1146074','1146074','02', '11000003','00','Request by Mr. Omair Ali 30-May-2025');</v>
      </c>
    </row>
    <row r="37" spans="1:8" ht="90" x14ac:dyDescent="0.25">
      <c r="A37" t="s">
        <v>43</v>
      </c>
      <c r="B37" t="str">
        <f>VLOOKUP(A37,policy!B:C,2,0)</f>
        <v>050000711021</v>
      </c>
      <c r="C37" s="17">
        <v>13613</v>
      </c>
      <c r="D37" s="45">
        <f t="shared" si="1"/>
        <v>13613</v>
      </c>
      <c r="E37" s="44" t="s">
        <v>374</v>
      </c>
      <c r="F37" s="46" t="str">
        <f t="shared" si="0"/>
        <v>insert into ins_premium_det (premium_rcv_code,assorted_code, rec_amount,premium_rcv_detail_code,remaining_amt, payrec, mode_code,coinsurance_code,class_cd,it_remarks) values</v>
      </c>
      <c r="G37" s="47" t="str">
        <f t="shared" si="2"/>
        <v>('29May250204','050000711021','13613',(select max(to_number(i.premium_rcv_detail_code))+1
from ins_premium_det i),'13613','13613','02', '11000003','00','Request by Mr. Omair Ali 30-May-2025');</v>
      </c>
      <c r="H37" s="48" t="str">
        <f t="shared" si="3"/>
        <v>insert into ins_premium_det (premium_rcv_code,assorted_code, rec_amount,premium_rcv_detail_code,remaining_amt, payrec, mode_code,coinsurance_code,class_cd,it_remarks) values('29May250204','050000711021','13613',(select max(to_number(i.premium_rcv_detail_code))+1
from ins_premium_det i),'13613','13613','02', '11000003','00','Request by Mr. Omair Ali 30-May-2025');</v>
      </c>
    </row>
    <row r="38" spans="1:8" ht="90" x14ac:dyDescent="0.25">
      <c r="A38" t="s">
        <v>44</v>
      </c>
      <c r="B38" t="str">
        <f>VLOOKUP(A38,policy!B:C,2,0)</f>
        <v>050000711028</v>
      </c>
      <c r="C38" s="17">
        <v>-704386</v>
      </c>
      <c r="D38" s="45">
        <f t="shared" si="1"/>
        <v>-704386</v>
      </c>
      <c r="E38" s="44" t="s">
        <v>374</v>
      </c>
      <c r="F38" s="46" t="str">
        <f t="shared" si="0"/>
        <v>insert into ins_premium_det (premium_rcv_code,assorted_code, rec_amount,premium_rcv_detail_code,remaining_amt, payrec, mode_code,coinsurance_code,class_cd,it_remarks) values</v>
      </c>
      <c r="G38" s="47" t="str">
        <f t="shared" si="2"/>
        <v>('29May250204','050000711028','-704386',(select max(to_number(i.premium_rcv_detail_code))+1
from ins_premium_det i),'-704386','-704386','02', '11000003','00','Request by Mr. Omair Ali 30-May-2025');</v>
      </c>
      <c r="H38" s="48" t="str">
        <f t="shared" si="3"/>
        <v>insert into ins_premium_det (premium_rcv_code,assorted_code, rec_amount,premium_rcv_detail_code,remaining_amt, payrec, mode_code,coinsurance_code,class_cd,it_remarks) values('29May250204','050000711028','-704386',(select max(to_number(i.premium_rcv_detail_code))+1
from ins_premium_det i),'-704386','-704386','02', '11000003','00','Request by Mr. Omair Ali 30-May-2025');</v>
      </c>
    </row>
    <row r="39" spans="1:8" ht="90" x14ac:dyDescent="0.25">
      <c r="A39" t="s">
        <v>45</v>
      </c>
      <c r="B39" t="str">
        <f>VLOOKUP(A39,policy!B:C,2,0)</f>
        <v>050000716611</v>
      </c>
      <c r="C39" s="17">
        <v>343673</v>
      </c>
      <c r="D39" s="45">
        <f t="shared" si="1"/>
        <v>343673</v>
      </c>
      <c r="E39" s="44" t="s">
        <v>374</v>
      </c>
      <c r="F39" s="46" t="str">
        <f t="shared" si="0"/>
        <v>insert into ins_premium_det (premium_rcv_code,assorted_code, rec_amount,premium_rcv_detail_code,remaining_amt, payrec, mode_code,coinsurance_code,class_cd,it_remarks) values</v>
      </c>
      <c r="G39" s="47" t="str">
        <f t="shared" si="2"/>
        <v>('29May250204','050000716611','343673',(select max(to_number(i.premium_rcv_detail_code))+1
from ins_premium_det i),'343673','343673','02', '11000003','00','Request by Mr. Omair Ali 30-May-2025');</v>
      </c>
      <c r="H39" s="48" t="str">
        <f t="shared" si="3"/>
        <v>insert into ins_premium_det (premium_rcv_code,assorted_code, rec_amount,premium_rcv_detail_code,remaining_amt, payrec, mode_code,coinsurance_code,class_cd,it_remarks) values('29May250204','050000716611','343673',(select max(to_number(i.premium_rcv_detail_code))+1
from ins_premium_det i),'343673','343673','02', '11000003','00','Request by Mr. Omair Ali 30-May-2025');</v>
      </c>
    </row>
    <row r="40" spans="1:8" ht="90" x14ac:dyDescent="0.25">
      <c r="A40" t="s">
        <v>46</v>
      </c>
      <c r="B40" t="str">
        <f>VLOOKUP(A40,policy!B:C,2,0)</f>
        <v>050000718164</v>
      </c>
      <c r="C40" s="17">
        <v>431579</v>
      </c>
      <c r="D40" s="45">
        <f t="shared" si="1"/>
        <v>431579</v>
      </c>
      <c r="E40" s="44" t="s">
        <v>374</v>
      </c>
      <c r="F40" s="46" t="str">
        <f t="shared" si="0"/>
        <v>insert into ins_premium_det (premium_rcv_code,assorted_code, rec_amount,premium_rcv_detail_code,remaining_amt, payrec, mode_code,coinsurance_code,class_cd,it_remarks) values</v>
      </c>
      <c r="G40" s="47" t="str">
        <f t="shared" si="2"/>
        <v>('29May250204','050000718164','431579',(select max(to_number(i.premium_rcv_detail_code))+1
from ins_premium_det i),'431579','431579','02', '11000003','00','Request by Mr. Omair Ali 30-May-2025');</v>
      </c>
      <c r="H40" s="48" t="str">
        <f t="shared" si="3"/>
        <v>insert into ins_premium_det (premium_rcv_code,assorted_code, rec_amount,premium_rcv_detail_code,remaining_amt, payrec, mode_code,coinsurance_code,class_cd,it_remarks) values('29May250204','050000718164','431579',(select max(to_number(i.premium_rcv_detail_code))+1
from ins_premium_det i),'431579','431579','02', '11000003','00','Request by Mr. Omair Ali 30-May-2025');</v>
      </c>
    </row>
    <row r="41" spans="1:8" ht="90" x14ac:dyDescent="0.25">
      <c r="A41" t="s">
        <v>47</v>
      </c>
      <c r="B41" t="str">
        <f>VLOOKUP(A41,policy!B:C,2,0)</f>
        <v>050000718280</v>
      </c>
      <c r="C41" s="17">
        <v>-225686</v>
      </c>
      <c r="D41" s="45">
        <f t="shared" si="1"/>
        <v>-225686</v>
      </c>
      <c r="E41" s="44" t="s">
        <v>374</v>
      </c>
      <c r="F41" s="46" t="str">
        <f t="shared" si="0"/>
        <v>insert into ins_premium_det (premium_rcv_code,assorted_code, rec_amount,premium_rcv_detail_code,remaining_amt, payrec, mode_code,coinsurance_code,class_cd,it_remarks) values</v>
      </c>
      <c r="G41" s="47" t="str">
        <f t="shared" si="2"/>
        <v>('29May250204','050000718280','-225686',(select max(to_number(i.premium_rcv_detail_code))+1
from ins_premium_det i),'-225686','-225686','02', '11000003','00','Request by Mr. Omair Ali 30-May-2025');</v>
      </c>
      <c r="H41" s="48" t="str">
        <f t="shared" si="3"/>
        <v>insert into ins_premium_det (premium_rcv_code,assorted_code, rec_amount,premium_rcv_detail_code,remaining_amt, payrec, mode_code,coinsurance_code,class_cd,it_remarks) values('29May250204','050000718280','-225686',(select max(to_number(i.premium_rcv_detail_code))+1
from ins_premium_det i),'-225686','-225686','02', '11000003','00','Request by Mr. Omair Ali 30-May-2025');</v>
      </c>
    </row>
    <row r="42" spans="1:8" ht="90" x14ac:dyDescent="0.25">
      <c r="A42" t="s">
        <v>48</v>
      </c>
      <c r="B42" t="str">
        <f>VLOOKUP(A42,policy!B:C,2,0)</f>
        <v>050000718490</v>
      </c>
      <c r="C42" s="17">
        <v>-10640</v>
      </c>
      <c r="D42" s="45">
        <f t="shared" si="1"/>
        <v>-10640</v>
      </c>
      <c r="E42" s="44" t="s">
        <v>374</v>
      </c>
      <c r="F42" s="46" t="str">
        <f t="shared" si="0"/>
        <v>insert into ins_premium_det (premium_rcv_code,assorted_code, rec_amount,premium_rcv_detail_code,remaining_amt, payrec, mode_code,coinsurance_code,class_cd,it_remarks) values</v>
      </c>
      <c r="G42" s="47" t="str">
        <f t="shared" si="2"/>
        <v>('29May250204','050000718490','-10640',(select max(to_number(i.premium_rcv_detail_code))+1
from ins_premium_det i),'-10640','-10640','02', '11000003','00','Request by Mr. Omair Ali 30-May-2025');</v>
      </c>
      <c r="H42" s="48" t="str">
        <f t="shared" si="3"/>
        <v>insert into ins_premium_det (premium_rcv_code,assorted_code, rec_amount,premium_rcv_detail_code,remaining_amt, payrec, mode_code,coinsurance_code,class_cd,it_remarks) values('29May250204','050000718490','-10640',(select max(to_number(i.premium_rcv_detail_code))+1
from ins_premium_det i),'-10640','-10640','02', '11000003','00','Request by Mr. Omair Ali 30-May-2025');</v>
      </c>
    </row>
    <row r="43" spans="1:8" ht="90" x14ac:dyDescent="0.25">
      <c r="A43" t="s">
        <v>49</v>
      </c>
      <c r="B43" t="str">
        <f>VLOOKUP(A43,policy!B:C,2,0)</f>
        <v>050000718526</v>
      </c>
      <c r="C43" s="17">
        <v>9</v>
      </c>
      <c r="D43" s="45">
        <f t="shared" si="1"/>
        <v>9</v>
      </c>
      <c r="E43" s="44" t="s">
        <v>374</v>
      </c>
      <c r="F43" s="46" t="str">
        <f t="shared" si="0"/>
        <v>insert into ins_premium_det (premium_rcv_code,assorted_code, rec_amount,premium_rcv_detail_code,remaining_amt, payrec, mode_code,coinsurance_code,class_cd,it_remarks) values</v>
      </c>
      <c r="G43" s="47" t="str">
        <f t="shared" si="2"/>
        <v>('29May250204','050000718526','9',(select max(to_number(i.premium_rcv_detail_code))+1
from ins_premium_det i),'9','9','02', '11000003','00','Request by Mr. Omair Ali 30-May-2025');</v>
      </c>
      <c r="H43" s="48" t="str">
        <f t="shared" si="3"/>
        <v>insert into ins_premium_det (premium_rcv_code,assorted_code, rec_amount,premium_rcv_detail_code,remaining_amt, payrec, mode_code,coinsurance_code,class_cd,it_remarks) values('29May250204','050000718526','9',(select max(to_number(i.premium_rcv_detail_code))+1
from ins_premium_det i),'9','9','02', '11000003','00','Request by Mr. Omair Ali 30-May-2025');</v>
      </c>
    </row>
    <row r="44" spans="1:8" ht="90" x14ac:dyDescent="0.25">
      <c r="A44" t="s">
        <v>50</v>
      </c>
      <c r="B44" t="str">
        <f>VLOOKUP(A44,policy!B:C,2,0)</f>
        <v>050000719700</v>
      </c>
      <c r="C44" s="17">
        <v>704332</v>
      </c>
      <c r="D44" s="45">
        <f t="shared" si="1"/>
        <v>704332</v>
      </c>
      <c r="E44" s="44" t="s">
        <v>374</v>
      </c>
      <c r="F44" s="46" t="str">
        <f t="shared" si="0"/>
        <v>insert into ins_premium_det (premium_rcv_code,assorted_code, rec_amount,premium_rcv_detail_code,remaining_amt, payrec, mode_code,coinsurance_code,class_cd,it_remarks) values</v>
      </c>
      <c r="G44" s="47" t="str">
        <f t="shared" si="2"/>
        <v>('29May250204','050000719700','704332',(select max(to_number(i.premium_rcv_detail_code))+1
from ins_premium_det i),'704332','704332','02', '11000003','00','Request by Mr. Omair Ali 30-May-2025');</v>
      </c>
      <c r="H44" s="48" t="str">
        <f t="shared" si="3"/>
        <v>insert into ins_premium_det (premium_rcv_code,assorted_code, rec_amount,premium_rcv_detail_code,remaining_amt, payrec, mode_code,coinsurance_code,class_cd,it_remarks) values('29May250204','050000719700','704332',(select max(to_number(i.premium_rcv_detail_code))+1
from ins_premium_det i),'704332','704332','02', '11000003','00','Request by Mr. Omair Ali 30-May-2025');</v>
      </c>
    </row>
    <row r="45" spans="1:8" ht="90" x14ac:dyDescent="0.25">
      <c r="A45" t="s">
        <v>51</v>
      </c>
      <c r="B45" t="str">
        <f>VLOOKUP(A45,policy!B:C,2,0)</f>
        <v>050000721475</v>
      </c>
      <c r="C45" s="17">
        <v>23669</v>
      </c>
      <c r="D45" s="45">
        <f t="shared" si="1"/>
        <v>23669</v>
      </c>
      <c r="E45" s="44" t="s">
        <v>374</v>
      </c>
      <c r="F45" s="46" t="str">
        <f t="shared" si="0"/>
        <v>insert into ins_premium_det (premium_rcv_code,assorted_code, rec_amount,premium_rcv_detail_code,remaining_amt, payrec, mode_code,coinsurance_code,class_cd,it_remarks) values</v>
      </c>
      <c r="G45" s="47" t="str">
        <f t="shared" si="2"/>
        <v>('29May250204','050000721475','23669',(select max(to_number(i.premium_rcv_detail_code))+1
from ins_premium_det i),'23669','23669','02', '11000003','00','Request by Mr. Omair Ali 30-May-2025');</v>
      </c>
      <c r="H45" s="48" t="str">
        <f t="shared" si="3"/>
        <v>insert into ins_premium_det (premium_rcv_code,assorted_code, rec_amount,premium_rcv_detail_code,remaining_amt, payrec, mode_code,coinsurance_code,class_cd,it_remarks) values('29May250204','050000721475','23669',(select max(to_number(i.premium_rcv_detail_code))+1
from ins_premium_det i),'23669','23669','02', '11000003','00','Request by Mr. Omair Ali 30-May-2025');</v>
      </c>
    </row>
    <row r="46" spans="1:8" ht="90" x14ac:dyDescent="0.25">
      <c r="A46" t="s">
        <v>52</v>
      </c>
      <c r="B46" t="str">
        <f>VLOOKUP(A46,policy!B:C,2,0)</f>
        <v>050000721978</v>
      </c>
      <c r="C46" s="17">
        <v>-2755</v>
      </c>
      <c r="D46" s="45">
        <f t="shared" si="1"/>
        <v>-2755</v>
      </c>
      <c r="E46" s="44" t="s">
        <v>374</v>
      </c>
      <c r="F46" s="46" t="str">
        <f t="shared" si="0"/>
        <v>insert into ins_premium_det (premium_rcv_code,assorted_code, rec_amount,premium_rcv_detail_code,remaining_amt, payrec, mode_code,coinsurance_code,class_cd,it_remarks) values</v>
      </c>
      <c r="G46" s="47" t="str">
        <f t="shared" si="2"/>
        <v>('29May250204','050000721978','-2755',(select max(to_number(i.premium_rcv_detail_code))+1
from ins_premium_det i),'-2755','-2755','02', '11000003','00','Request by Mr. Omair Ali 30-May-2025');</v>
      </c>
      <c r="H46" s="48" t="str">
        <f t="shared" si="3"/>
        <v>insert into ins_premium_det (premium_rcv_code,assorted_code, rec_amount,premium_rcv_detail_code,remaining_amt, payrec, mode_code,coinsurance_code,class_cd,it_remarks) values('29May250204','050000721978','-2755',(select max(to_number(i.premium_rcv_detail_code))+1
from ins_premium_det i),'-2755','-2755','02', '11000003','00','Request by Mr. Omair Ali 30-May-2025');</v>
      </c>
    </row>
    <row r="47" spans="1:8" ht="90" x14ac:dyDescent="0.25">
      <c r="A47" t="s">
        <v>53</v>
      </c>
      <c r="B47" t="str">
        <f>VLOOKUP(A47,policy!B:C,2,0)</f>
        <v>050000723943</v>
      </c>
      <c r="C47" s="17">
        <v>-904605</v>
      </c>
      <c r="D47" s="45">
        <f t="shared" si="1"/>
        <v>-904605</v>
      </c>
      <c r="E47" s="44" t="s">
        <v>374</v>
      </c>
      <c r="F47" s="46" t="str">
        <f t="shared" si="0"/>
        <v>insert into ins_premium_det (premium_rcv_code,assorted_code, rec_amount,premium_rcv_detail_code,remaining_amt, payrec, mode_code,coinsurance_code,class_cd,it_remarks) values</v>
      </c>
      <c r="G47" s="47" t="str">
        <f t="shared" si="2"/>
        <v>('29May250204','050000723943','-904605',(select max(to_number(i.premium_rcv_detail_code))+1
from ins_premium_det i),'-904605','-904605','02', '11000003','00','Request by Mr. Omair Ali 30-May-2025');</v>
      </c>
      <c r="H47" s="48" t="str">
        <f t="shared" si="3"/>
        <v>insert into ins_premium_det (premium_rcv_code,assorted_code, rec_amount,premium_rcv_detail_code,remaining_amt, payrec, mode_code,coinsurance_code,class_cd,it_remarks) values('29May250204','050000723943','-904605',(select max(to_number(i.premium_rcv_detail_code))+1
from ins_premium_det i),'-904605','-904605','02', '11000003','00','Request by Mr. Omair Ali 30-May-2025');</v>
      </c>
    </row>
    <row r="48" spans="1:8" ht="90" x14ac:dyDescent="0.25">
      <c r="A48" t="s">
        <v>54</v>
      </c>
      <c r="B48" t="str">
        <f>VLOOKUP(A48,policy!B:C,2,0)</f>
        <v>050000724671</v>
      </c>
      <c r="C48" s="17">
        <v>3008</v>
      </c>
      <c r="D48" s="45">
        <f t="shared" si="1"/>
        <v>3008</v>
      </c>
      <c r="E48" s="44" t="s">
        <v>374</v>
      </c>
      <c r="F48" s="46" t="str">
        <f t="shared" si="0"/>
        <v>insert into ins_premium_det (premium_rcv_code,assorted_code, rec_amount,premium_rcv_detail_code,remaining_amt, payrec, mode_code,coinsurance_code,class_cd,it_remarks) values</v>
      </c>
      <c r="G48" s="47" t="str">
        <f t="shared" si="2"/>
        <v>('29May250204','050000724671','3008',(select max(to_number(i.premium_rcv_detail_code))+1
from ins_premium_det i),'3008','3008','02', '11000003','00','Request by Mr. Omair Ali 30-May-2025');</v>
      </c>
      <c r="H48" s="48" t="str">
        <f t="shared" si="3"/>
        <v>insert into ins_premium_det (premium_rcv_code,assorted_code, rec_amount,premium_rcv_detail_code,remaining_amt, payrec, mode_code,coinsurance_code,class_cd,it_remarks) values('29May250204','050000724671','3008',(select max(to_number(i.premium_rcv_detail_code))+1
from ins_premium_det i),'3008','3008','02', '11000003','00','Request by Mr. Omair Ali 30-May-2025');</v>
      </c>
    </row>
    <row r="49" spans="1:8" ht="90" x14ac:dyDescent="0.25">
      <c r="A49" t="s">
        <v>55</v>
      </c>
      <c r="B49" t="str">
        <f>VLOOKUP(A49,policy!B:C,2,0)</f>
        <v>050000724903</v>
      </c>
      <c r="C49" s="17">
        <v>6391</v>
      </c>
      <c r="D49" s="45">
        <f t="shared" si="1"/>
        <v>6391</v>
      </c>
      <c r="E49" s="44" t="s">
        <v>374</v>
      </c>
      <c r="F49" s="46" t="str">
        <f t="shared" si="0"/>
        <v>insert into ins_premium_det (premium_rcv_code,assorted_code, rec_amount,premium_rcv_detail_code,remaining_amt, payrec, mode_code,coinsurance_code,class_cd,it_remarks) values</v>
      </c>
      <c r="G49" s="47" t="str">
        <f t="shared" si="2"/>
        <v>('29May250204','050000724903','6391',(select max(to_number(i.premium_rcv_detail_code))+1
from ins_premium_det i),'6391','6391','02', '11000003','00','Request by Mr. Omair Ali 30-May-2025');</v>
      </c>
      <c r="H49" s="48" t="str">
        <f t="shared" si="3"/>
        <v>insert into ins_premium_det (premium_rcv_code,assorted_code, rec_amount,premium_rcv_detail_code,remaining_amt, payrec, mode_code,coinsurance_code,class_cd,it_remarks) values('29May250204','050000724903','6391',(select max(to_number(i.premium_rcv_detail_code))+1
from ins_premium_det i),'6391','6391','02', '11000003','00','Request by Mr. Omair Ali 30-May-2025');</v>
      </c>
    </row>
    <row r="50" spans="1:8" ht="90" x14ac:dyDescent="0.25">
      <c r="A50" t="s">
        <v>56</v>
      </c>
      <c r="B50" t="str">
        <f>VLOOKUP(A50,policy!B:C,2,0)</f>
        <v>050000724968</v>
      </c>
      <c r="C50" s="17">
        <v>630274</v>
      </c>
      <c r="D50" s="45">
        <f t="shared" si="1"/>
        <v>630274</v>
      </c>
      <c r="E50" s="44" t="s">
        <v>374</v>
      </c>
      <c r="F50" s="46" t="str">
        <f t="shared" si="0"/>
        <v>insert into ins_premium_det (premium_rcv_code,assorted_code, rec_amount,premium_rcv_detail_code,remaining_amt, payrec, mode_code,coinsurance_code,class_cd,it_remarks) values</v>
      </c>
      <c r="G50" s="47" t="str">
        <f t="shared" si="2"/>
        <v>('29May250204','050000724968','630274',(select max(to_number(i.premium_rcv_detail_code))+1
from ins_premium_det i),'630274','630274','02', '11000003','00','Request by Mr. Omair Ali 30-May-2025');</v>
      </c>
      <c r="H50" s="48" t="str">
        <f t="shared" si="3"/>
        <v>insert into ins_premium_det (premium_rcv_code,assorted_code, rec_amount,premium_rcv_detail_code,remaining_amt, payrec, mode_code,coinsurance_code,class_cd,it_remarks) values('29May250204','050000724968','630274',(select max(to_number(i.premium_rcv_detail_code))+1
from ins_premium_det i),'630274','630274','02', '11000003','00','Request by Mr. Omair Ali 30-May-2025');</v>
      </c>
    </row>
    <row r="51" spans="1:8" ht="90" x14ac:dyDescent="0.25">
      <c r="A51" t="s">
        <v>57</v>
      </c>
      <c r="B51" t="str">
        <f>VLOOKUP(A51,policy!B:C,2,0)</f>
        <v>050000725052</v>
      </c>
      <c r="C51" s="17">
        <v>14055</v>
      </c>
      <c r="D51" s="45">
        <f t="shared" si="1"/>
        <v>14055</v>
      </c>
      <c r="E51" s="44" t="s">
        <v>374</v>
      </c>
      <c r="F51" s="46" t="str">
        <f t="shared" si="0"/>
        <v>insert into ins_premium_det (premium_rcv_code,assorted_code, rec_amount,premium_rcv_detail_code,remaining_amt, payrec, mode_code,coinsurance_code,class_cd,it_remarks) values</v>
      </c>
      <c r="G51" s="47" t="str">
        <f t="shared" si="2"/>
        <v>('29May250204','050000725052','14055',(select max(to_number(i.premium_rcv_detail_code))+1
from ins_premium_det i),'14055','14055','02', '11000003','00','Request by Mr. Omair Ali 30-May-2025');</v>
      </c>
      <c r="H51" s="48" t="str">
        <f t="shared" si="3"/>
        <v>insert into ins_premium_det (premium_rcv_code,assorted_code, rec_amount,premium_rcv_detail_code,remaining_amt, payrec, mode_code,coinsurance_code,class_cd,it_remarks) values('29May250204','050000725052','14055',(select max(to_number(i.premium_rcv_detail_code))+1
from ins_premium_det i),'14055','14055','02', '11000003','00','Request by Mr. Omair Ali 30-May-2025');</v>
      </c>
    </row>
    <row r="52" spans="1:8" ht="90" x14ac:dyDescent="0.25">
      <c r="A52" t="s">
        <v>58</v>
      </c>
      <c r="B52" t="str">
        <f>VLOOKUP(A52,policy!B:C,2,0)</f>
        <v>050000726599</v>
      </c>
      <c r="C52" s="17">
        <v>-2913</v>
      </c>
      <c r="D52" s="45">
        <f t="shared" si="1"/>
        <v>-2913</v>
      </c>
      <c r="E52" s="44" t="s">
        <v>374</v>
      </c>
      <c r="F52" s="46" t="str">
        <f t="shared" si="0"/>
        <v>insert into ins_premium_det (premium_rcv_code,assorted_code, rec_amount,premium_rcv_detail_code,remaining_amt, payrec, mode_code,coinsurance_code,class_cd,it_remarks) values</v>
      </c>
      <c r="G52" s="47" t="str">
        <f t="shared" si="2"/>
        <v>('29May250204','050000726599','-2913',(select max(to_number(i.premium_rcv_detail_code))+1
from ins_premium_det i),'-2913','-2913','02', '11000003','00','Request by Mr. Omair Ali 30-May-2025');</v>
      </c>
      <c r="H52" s="48" t="str">
        <f t="shared" si="3"/>
        <v>insert into ins_premium_det (premium_rcv_code,assorted_code, rec_amount,premium_rcv_detail_code,remaining_amt, payrec, mode_code,coinsurance_code,class_cd,it_remarks) values('29May250204','050000726599','-2913',(select max(to_number(i.premium_rcv_detail_code))+1
from ins_premium_det i),'-2913','-2913','02', '11000003','00','Request by Mr. Omair Ali 30-May-2025');</v>
      </c>
    </row>
    <row r="53" spans="1:8" ht="90" x14ac:dyDescent="0.25">
      <c r="A53" t="s">
        <v>59</v>
      </c>
      <c r="B53" t="str">
        <f>VLOOKUP(A53,policy!B:C,2,0)</f>
        <v>050000726656</v>
      </c>
      <c r="C53" s="17">
        <v>532285</v>
      </c>
      <c r="D53" s="45">
        <f t="shared" si="1"/>
        <v>532285</v>
      </c>
      <c r="E53" s="44" t="s">
        <v>374</v>
      </c>
      <c r="F53" s="46" t="str">
        <f t="shared" si="0"/>
        <v>insert into ins_premium_det (premium_rcv_code,assorted_code, rec_amount,premium_rcv_detail_code,remaining_amt, payrec, mode_code,coinsurance_code,class_cd,it_remarks) values</v>
      </c>
      <c r="G53" s="47" t="str">
        <f t="shared" si="2"/>
        <v>('29May250204','050000726656','532285',(select max(to_number(i.premium_rcv_detail_code))+1
from ins_premium_det i),'532285','532285','02', '11000003','00','Request by Mr. Omair Ali 30-May-2025');</v>
      </c>
      <c r="H53" s="48" t="str">
        <f t="shared" si="3"/>
        <v>insert into ins_premium_det (premium_rcv_code,assorted_code, rec_amount,premium_rcv_detail_code,remaining_amt, payrec, mode_code,coinsurance_code,class_cd,it_remarks) values('29May250204','050000726656','532285',(select max(to_number(i.premium_rcv_detail_code))+1
from ins_premium_det i),'532285','532285','02', '11000003','00','Request by Mr. Omair Ali 30-May-2025');</v>
      </c>
    </row>
    <row r="54" spans="1:8" ht="90" x14ac:dyDescent="0.25">
      <c r="A54" t="s">
        <v>60</v>
      </c>
      <c r="B54" t="str">
        <f>VLOOKUP(A54,policy!B:C,2,0)</f>
        <v>050000728193</v>
      </c>
      <c r="C54" s="17">
        <v>600930</v>
      </c>
      <c r="D54" s="45">
        <f t="shared" si="1"/>
        <v>600930</v>
      </c>
      <c r="E54" s="44" t="s">
        <v>374</v>
      </c>
      <c r="F54" s="46" t="str">
        <f t="shared" si="0"/>
        <v>insert into ins_premium_det (premium_rcv_code,assorted_code, rec_amount,premium_rcv_detail_code,remaining_amt, payrec, mode_code,coinsurance_code,class_cd,it_remarks) values</v>
      </c>
      <c r="G54" s="47" t="str">
        <f t="shared" si="2"/>
        <v>('29May250204','050000728193','600930',(select max(to_number(i.premium_rcv_detail_code))+1
from ins_premium_det i),'600930','600930','02', '11000003','00','Request by Mr. Omair Ali 30-May-2025');</v>
      </c>
      <c r="H54" s="48" t="str">
        <f t="shared" si="3"/>
        <v>insert into ins_premium_det (premium_rcv_code,assorted_code, rec_amount,premium_rcv_detail_code,remaining_amt, payrec, mode_code,coinsurance_code,class_cd,it_remarks) values('29May250204','050000728193','600930',(select max(to_number(i.premium_rcv_detail_code))+1
from ins_premium_det i),'600930','600930','02', '11000003','00','Request by Mr. Omair Ali 30-May-2025');</v>
      </c>
    </row>
    <row r="55" spans="1:8" ht="90" x14ac:dyDescent="0.25">
      <c r="A55" t="s">
        <v>61</v>
      </c>
      <c r="B55" t="str">
        <f>VLOOKUP(A55,policy!B:C,2,0)</f>
        <v>050000728938</v>
      </c>
      <c r="C55" s="17">
        <v>509086</v>
      </c>
      <c r="D55" s="45">
        <f t="shared" si="1"/>
        <v>509086</v>
      </c>
      <c r="E55" s="44" t="s">
        <v>374</v>
      </c>
      <c r="F55" s="46" t="str">
        <f t="shared" si="0"/>
        <v>insert into ins_premium_det (premium_rcv_code,assorted_code, rec_amount,premium_rcv_detail_code,remaining_amt, payrec, mode_code,coinsurance_code,class_cd,it_remarks) values</v>
      </c>
      <c r="G55" s="47" t="str">
        <f t="shared" si="2"/>
        <v>('29May250204','050000728938','509086',(select max(to_number(i.premium_rcv_detail_code))+1
from ins_premium_det i),'509086','509086','02', '11000003','00','Request by Mr. Omair Ali 30-May-2025');</v>
      </c>
      <c r="H55" s="48" t="str">
        <f t="shared" si="3"/>
        <v>insert into ins_premium_det (premium_rcv_code,assorted_code, rec_amount,premium_rcv_detail_code,remaining_amt, payrec, mode_code,coinsurance_code,class_cd,it_remarks) values('29May250204','050000728938','509086',(select max(to_number(i.premium_rcv_detail_code))+1
from ins_premium_det i),'509086','509086','02', '11000003','00','Request by Mr. Omair Ali 30-May-2025');</v>
      </c>
    </row>
    <row r="56" spans="1:8" ht="90" x14ac:dyDescent="0.25">
      <c r="A56" t="s">
        <v>62</v>
      </c>
      <c r="B56" t="str">
        <f>VLOOKUP(A56,policy!B:C,2,0)</f>
        <v>050000729210</v>
      </c>
      <c r="C56" s="17">
        <v>4437</v>
      </c>
      <c r="D56" s="45">
        <f t="shared" si="1"/>
        <v>4437</v>
      </c>
      <c r="E56" s="44" t="s">
        <v>374</v>
      </c>
      <c r="F56" s="46" t="str">
        <f t="shared" si="0"/>
        <v>insert into ins_premium_det (premium_rcv_code,assorted_code, rec_amount,premium_rcv_detail_code,remaining_amt, payrec, mode_code,coinsurance_code,class_cd,it_remarks) values</v>
      </c>
      <c r="G56" s="47" t="str">
        <f t="shared" si="2"/>
        <v>('29May250204','050000729210','4437',(select max(to_number(i.premium_rcv_detail_code))+1
from ins_premium_det i),'4437','4437','02', '11000003','00','Request by Mr. Omair Ali 30-May-2025');</v>
      </c>
      <c r="H56" s="48" t="str">
        <f t="shared" si="3"/>
        <v>insert into ins_premium_det (premium_rcv_code,assorted_code, rec_amount,premium_rcv_detail_code,remaining_amt, payrec, mode_code,coinsurance_code,class_cd,it_remarks) values('29May250204','050000729210','4437',(select max(to_number(i.premium_rcv_detail_code))+1
from ins_premium_det i),'4437','4437','02', '11000003','00','Request by Mr. Omair Ali 30-May-2025');</v>
      </c>
    </row>
    <row r="57" spans="1:8" ht="90" x14ac:dyDescent="0.25">
      <c r="A57" t="s">
        <v>63</v>
      </c>
      <c r="B57" t="str">
        <f>VLOOKUP(A57,policy!B:C,2,0)</f>
        <v>050000729260</v>
      </c>
      <c r="C57" s="17">
        <v>-3096</v>
      </c>
      <c r="D57" s="45">
        <f t="shared" si="1"/>
        <v>-3096</v>
      </c>
      <c r="E57" s="44" t="s">
        <v>374</v>
      </c>
      <c r="F57" s="46" t="str">
        <f t="shared" si="0"/>
        <v>insert into ins_premium_det (premium_rcv_code,assorted_code, rec_amount,premium_rcv_detail_code,remaining_amt, payrec, mode_code,coinsurance_code,class_cd,it_remarks) values</v>
      </c>
      <c r="G57" s="47" t="str">
        <f t="shared" si="2"/>
        <v>('29May250204','050000729260','-3096',(select max(to_number(i.premium_rcv_detail_code))+1
from ins_premium_det i),'-3096','-3096','02', '11000003','00','Request by Mr. Omair Ali 30-May-2025');</v>
      </c>
      <c r="H57" s="48" t="str">
        <f t="shared" si="3"/>
        <v>insert into ins_premium_det (premium_rcv_code,assorted_code, rec_amount,premium_rcv_detail_code,remaining_amt, payrec, mode_code,coinsurance_code,class_cd,it_remarks) values('29May250204','050000729260','-3096',(select max(to_number(i.premium_rcv_detail_code))+1
from ins_premium_det i),'-3096','-3096','02', '11000003','00','Request by Mr. Omair Ali 30-May-2025');</v>
      </c>
    </row>
    <row r="58" spans="1:8" ht="90" x14ac:dyDescent="0.25">
      <c r="A58" t="s">
        <v>64</v>
      </c>
      <c r="B58" t="str">
        <f>VLOOKUP(A58,policy!B:C,2,0)</f>
        <v>050000730207</v>
      </c>
      <c r="C58" s="17">
        <v>161930</v>
      </c>
      <c r="D58" s="45">
        <f t="shared" si="1"/>
        <v>161930</v>
      </c>
      <c r="E58" s="44" t="s">
        <v>374</v>
      </c>
      <c r="F58" s="46" t="str">
        <f t="shared" si="0"/>
        <v>insert into ins_premium_det (premium_rcv_code,assorted_code, rec_amount,premium_rcv_detail_code,remaining_amt, payrec, mode_code,coinsurance_code,class_cd,it_remarks) values</v>
      </c>
      <c r="G58" s="47" t="str">
        <f t="shared" si="2"/>
        <v>('29May250204','050000730207','161930',(select max(to_number(i.premium_rcv_detail_code))+1
from ins_premium_det i),'161930','161930','02', '11000003','00','Request by Mr. Omair Ali 30-May-2025');</v>
      </c>
      <c r="H58" s="48" t="str">
        <f t="shared" si="3"/>
        <v>insert into ins_premium_det (premium_rcv_code,assorted_code, rec_amount,premium_rcv_detail_code,remaining_amt, payrec, mode_code,coinsurance_code,class_cd,it_remarks) values('29May250204','050000730207','161930',(select max(to_number(i.premium_rcv_detail_code))+1
from ins_premium_det i),'161930','161930','02', '11000003','00','Request by Mr. Omair Ali 30-May-2025');</v>
      </c>
    </row>
    <row r="59" spans="1:8" ht="90" x14ac:dyDescent="0.25">
      <c r="A59" t="s">
        <v>65</v>
      </c>
      <c r="B59" t="str">
        <f>VLOOKUP(A59,policy!B:C,2,0)</f>
        <v>050000732116</v>
      </c>
      <c r="C59" s="17">
        <v>-902054</v>
      </c>
      <c r="D59" s="45">
        <f t="shared" si="1"/>
        <v>-902054</v>
      </c>
      <c r="E59" s="44" t="s">
        <v>374</v>
      </c>
      <c r="F59" s="46" t="str">
        <f t="shared" si="0"/>
        <v>insert into ins_premium_det (premium_rcv_code,assorted_code, rec_amount,premium_rcv_detail_code,remaining_amt, payrec, mode_code,coinsurance_code,class_cd,it_remarks) values</v>
      </c>
      <c r="G59" s="47" t="str">
        <f t="shared" si="2"/>
        <v>('29May250204','050000732116','-902054',(select max(to_number(i.premium_rcv_detail_code))+1
from ins_premium_det i),'-902054','-902054','02', '11000003','00','Request by Mr. Omair Ali 30-May-2025');</v>
      </c>
      <c r="H59" s="48" t="str">
        <f t="shared" si="3"/>
        <v>insert into ins_premium_det (premium_rcv_code,assorted_code, rec_amount,premium_rcv_detail_code,remaining_amt, payrec, mode_code,coinsurance_code,class_cd,it_remarks) values('29May250204','050000732116','-902054',(select max(to_number(i.premium_rcv_detail_code))+1
from ins_premium_det i),'-902054','-902054','02', '11000003','00','Request by Mr. Omair Ali 30-May-2025');</v>
      </c>
    </row>
    <row r="60" spans="1:8" ht="90" x14ac:dyDescent="0.25">
      <c r="A60" t="s">
        <v>66</v>
      </c>
      <c r="B60" t="str">
        <f>VLOOKUP(A60,policy!B:C,2,0)</f>
        <v>050000733550</v>
      </c>
      <c r="C60" s="17">
        <v>12645</v>
      </c>
      <c r="D60" s="45">
        <f t="shared" si="1"/>
        <v>12645</v>
      </c>
      <c r="E60" s="44" t="s">
        <v>374</v>
      </c>
      <c r="F60" s="46" t="str">
        <f t="shared" si="0"/>
        <v>insert into ins_premium_det (premium_rcv_code,assorted_code, rec_amount,premium_rcv_detail_code,remaining_amt, payrec, mode_code,coinsurance_code,class_cd,it_remarks) values</v>
      </c>
      <c r="G60" s="47" t="str">
        <f t="shared" si="2"/>
        <v>('29May250204','050000733550','12645',(select max(to_number(i.premium_rcv_detail_code))+1
from ins_premium_det i),'12645','12645','02', '11000003','00','Request by Mr. Omair Ali 30-May-2025');</v>
      </c>
      <c r="H60" s="48" t="str">
        <f t="shared" si="3"/>
        <v>insert into ins_premium_det (premium_rcv_code,assorted_code, rec_amount,premium_rcv_detail_code,remaining_amt, payrec, mode_code,coinsurance_code,class_cd,it_remarks) values('29May250204','050000733550','12645',(select max(to_number(i.premium_rcv_detail_code))+1
from ins_premium_det i),'12645','12645','02', '11000003','00','Request by Mr. Omair Ali 30-May-2025');</v>
      </c>
    </row>
    <row r="61" spans="1:8" ht="90" x14ac:dyDescent="0.25">
      <c r="A61" t="s">
        <v>67</v>
      </c>
      <c r="B61" t="str">
        <f>VLOOKUP(A61,policy!B:C,2,0)</f>
        <v>050000737701</v>
      </c>
      <c r="C61" s="17">
        <v>704484</v>
      </c>
      <c r="D61" s="45">
        <f t="shared" si="1"/>
        <v>704484</v>
      </c>
      <c r="E61" s="44" t="s">
        <v>374</v>
      </c>
      <c r="F61" s="46" t="str">
        <f t="shared" si="0"/>
        <v>insert into ins_premium_det (premium_rcv_code,assorted_code, rec_amount,premium_rcv_detail_code,remaining_amt, payrec, mode_code,coinsurance_code,class_cd,it_remarks) values</v>
      </c>
      <c r="G61" s="47" t="str">
        <f t="shared" si="2"/>
        <v>('29May250204','050000737701','704484',(select max(to_number(i.premium_rcv_detail_code))+1
from ins_premium_det i),'704484','704484','02', '11000003','00','Request by Mr. Omair Ali 30-May-2025');</v>
      </c>
      <c r="H61" s="48" t="str">
        <f t="shared" si="3"/>
        <v>insert into ins_premium_det (premium_rcv_code,assorted_code, rec_amount,premium_rcv_detail_code,remaining_amt, payrec, mode_code,coinsurance_code,class_cd,it_remarks) values('29May250204','050000737701','704484',(select max(to_number(i.premium_rcv_detail_code))+1
from ins_premium_det i),'704484','704484','02', '11000003','00','Request by Mr. Omair Ali 30-May-2025');</v>
      </c>
    </row>
    <row r="62" spans="1:8" ht="90" x14ac:dyDescent="0.25">
      <c r="A62" t="s">
        <v>68</v>
      </c>
      <c r="B62" t="str">
        <f>VLOOKUP(A62,policy!B:C,2,0)</f>
        <v>050000738396</v>
      </c>
      <c r="C62" s="17">
        <v>-5294</v>
      </c>
      <c r="D62" s="45">
        <f t="shared" si="1"/>
        <v>-5294</v>
      </c>
      <c r="E62" s="44" t="s">
        <v>374</v>
      </c>
      <c r="F62" s="46" t="str">
        <f t="shared" si="0"/>
        <v>insert into ins_premium_det (premium_rcv_code,assorted_code, rec_amount,premium_rcv_detail_code,remaining_amt, payrec, mode_code,coinsurance_code,class_cd,it_remarks) values</v>
      </c>
      <c r="G62" s="47" t="str">
        <f t="shared" si="2"/>
        <v>('29May250204','050000738396','-5294',(select max(to_number(i.premium_rcv_detail_code))+1
from ins_premium_det i),'-5294','-5294','02', '11000003','00','Request by Mr. Omair Ali 30-May-2025');</v>
      </c>
      <c r="H62" s="48" t="str">
        <f t="shared" si="3"/>
        <v>insert into ins_premium_det (premium_rcv_code,assorted_code, rec_amount,premium_rcv_detail_code,remaining_amt, payrec, mode_code,coinsurance_code,class_cd,it_remarks) values('29May250204','050000738396','-5294',(select max(to_number(i.premium_rcv_detail_code))+1
from ins_premium_det i),'-5294','-5294','02', '11000003','00','Request by Mr. Omair Ali 30-May-2025');</v>
      </c>
    </row>
    <row r="63" spans="1:8" ht="90" x14ac:dyDescent="0.25">
      <c r="A63" t="s">
        <v>69</v>
      </c>
      <c r="B63" t="str">
        <f>VLOOKUP(A63,policy!B:C,2,0)</f>
        <v>050000739262</v>
      </c>
      <c r="C63" s="17">
        <v>347753</v>
      </c>
      <c r="D63" s="45">
        <f t="shared" si="1"/>
        <v>347753</v>
      </c>
      <c r="E63" s="44" t="s">
        <v>374</v>
      </c>
      <c r="F63" s="46" t="str">
        <f t="shared" si="0"/>
        <v>insert into ins_premium_det (premium_rcv_code,assorted_code, rec_amount,premium_rcv_detail_code,remaining_amt, payrec, mode_code,coinsurance_code,class_cd,it_remarks) values</v>
      </c>
      <c r="G63" s="47" t="str">
        <f t="shared" si="2"/>
        <v>('29May250204','050000739262','347753',(select max(to_number(i.premium_rcv_detail_code))+1
from ins_premium_det i),'347753','347753','02', '11000003','00','Request by Mr. Omair Ali 30-May-2025');</v>
      </c>
      <c r="H63" s="48" t="str">
        <f t="shared" si="3"/>
        <v>insert into ins_premium_det (premium_rcv_code,assorted_code, rec_amount,premium_rcv_detail_code,remaining_amt, payrec, mode_code,coinsurance_code,class_cd,it_remarks) values('29May250204','050000739262','347753',(select max(to_number(i.premium_rcv_detail_code))+1
from ins_premium_det i),'347753','347753','02', '11000003','00','Request by Mr. Omair Ali 30-May-2025');</v>
      </c>
    </row>
    <row r="64" spans="1:8" ht="90" x14ac:dyDescent="0.25">
      <c r="A64" t="s">
        <v>70</v>
      </c>
      <c r="B64" t="str">
        <f>VLOOKUP(A64,policy!B:C,2,0)</f>
        <v>050000739579</v>
      </c>
      <c r="C64" s="17">
        <v>-2500</v>
      </c>
      <c r="D64" s="45">
        <f t="shared" si="1"/>
        <v>-2500</v>
      </c>
      <c r="E64" s="44" t="s">
        <v>374</v>
      </c>
      <c r="F64" s="46" t="str">
        <f t="shared" si="0"/>
        <v>insert into ins_premium_det (premium_rcv_code,assorted_code, rec_amount,premium_rcv_detail_code,remaining_amt, payrec, mode_code,coinsurance_code,class_cd,it_remarks) values</v>
      </c>
      <c r="G64" s="47" t="str">
        <f t="shared" si="2"/>
        <v>('29May250204','050000739579','-2500',(select max(to_number(i.premium_rcv_detail_code))+1
from ins_premium_det i),'-2500','-2500','02', '11000003','00','Request by Mr. Omair Ali 30-May-2025');</v>
      </c>
      <c r="H64" s="48" t="str">
        <f t="shared" si="3"/>
        <v>insert into ins_premium_det (premium_rcv_code,assorted_code, rec_amount,premium_rcv_detail_code,remaining_amt, payrec, mode_code,coinsurance_code,class_cd,it_remarks) values('29May250204','050000739579','-2500',(select max(to_number(i.premium_rcv_detail_code))+1
from ins_premium_det i),'-2500','-2500','02', '11000003','00','Request by Mr. Omair Ali 30-May-2025');</v>
      </c>
    </row>
    <row r="65" spans="1:8" ht="90" x14ac:dyDescent="0.25">
      <c r="A65" t="s">
        <v>71</v>
      </c>
      <c r="B65" t="str">
        <f>VLOOKUP(A65,policy!B:C,2,0)</f>
        <v>050000740474</v>
      </c>
      <c r="C65" s="17">
        <v>2235</v>
      </c>
      <c r="D65" s="45">
        <f t="shared" si="1"/>
        <v>2235</v>
      </c>
      <c r="E65" s="44" t="s">
        <v>374</v>
      </c>
      <c r="F65" s="46" t="str">
        <f t="shared" si="0"/>
        <v>insert into ins_premium_det (premium_rcv_code,assorted_code, rec_amount,premium_rcv_detail_code,remaining_amt, payrec, mode_code,coinsurance_code,class_cd,it_remarks) values</v>
      </c>
      <c r="G65" s="47" t="str">
        <f t="shared" si="2"/>
        <v>('29May250204','050000740474','2235',(select max(to_number(i.premium_rcv_detail_code))+1
from ins_premium_det i),'2235','2235','02', '11000003','00','Request by Mr. Omair Ali 30-May-2025');</v>
      </c>
      <c r="H65" s="48" t="str">
        <f t="shared" si="3"/>
        <v>insert into ins_premium_det (premium_rcv_code,assorted_code, rec_amount,premium_rcv_detail_code,remaining_amt, payrec, mode_code,coinsurance_code,class_cd,it_remarks) values('29May250204','050000740474','2235',(select max(to_number(i.premium_rcv_detail_code))+1
from ins_premium_det i),'2235','2235','02', '11000003','00','Request by Mr. Omair Ali 30-May-2025');</v>
      </c>
    </row>
    <row r="66" spans="1:8" ht="90" x14ac:dyDescent="0.25">
      <c r="A66" t="s">
        <v>72</v>
      </c>
      <c r="B66" t="str">
        <f>VLOOKUP(A66,policy!B:C,2,0)</f>
        <v>050000740645</v>
      </c>
      <c r="C66" s="17">
        <v>-725788</v>
      </c>
      <c r="D66" s="45">
        <f t="shared" si="1"/>
        <v>-725788</v>
      </c>
      <c r="E66" s="44" t="s">
        <v>374</v>
      </c>
      <c r="F66" s="46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7" t="str">
        <f t="shared" si="2"/>
        <v>('29May250204','050000740645','-725788',(select max(to_number(i.premium_rcv_detail_code))+1
from ins_premium_det i),'-725788','-725788','02', '11000003','00','Request by Mr. Omair Ali 30-May-2025');</v>
      </c>
      <c r="H66" s="48" t="str">
        <f t="shared" si="3"/>
        <v>insert into ins_premium_det (premium_rcv_code,assorted_code, rec_amount,premium_rcv_detail_code,remaining_amt, payrec, mode_code,coinsurance_code,class_cd,it_remarks) values('29May250204','050000740645','-725788',(select max(to_number(i.premium_rcv_detail_code))+1
from ins_premium_det i),'-725788','-725788','02', '11000003','00','Request by Mr. Omair Ali 30-May-2025');</v>
      </c>
    </row>
    <row r="67" spans="1:8" ht="90" x14ac:dyDescent="0.25">
      <c r="A67" t="s">
        <v>73</v>
      </c>
      <c r="B67" t="str">
        <f>VLOOKUP(A67,policy!B:C,2,0)</f>
        <v>050000740686</v>
      </c>
      <c r="C67" s="17">
        <v>216329</v>
      </c>
      <c r="D67" s="45">
        <f t="shared" ref="D67:D130" si="5">ROUND(C67,0)</f>
        <v>216329</v>
      </c>
      <c r="E67" s="44" t="s">
        <v>374</v>
      </c>
      <c r="F67" s="46" t="str">
        <f t="shared" si="4"/>
        <v>insert into ins_premium_det (premium_rcv_code,assorted_code, rec_amount,premium_rcv_detail_code,remaining_amt, payrec, mode_code,coinsurance_code,class_cd,it_remarks) values</v>
      </c>
      <c r="G67" s="47" t="str">
        <f t="shared" ref="G67:G130" si="6">"('"&amp;E67&amp;"','"&amp;B67&amp;"','"&amp;D67&amp;"',(select max(to_number(i.premium_rcv_detail_code))+1
from ins_premium_det i),'"&amp;D67&amp;"','"&amp;D67&amp;"','02', '11000003','00','Request by Mr. Omair Ali 30-May-2025');"</f>
        <v>('29May250204','050000740686','216329',(select max(to_number(i.premium_rcv_detail_code))+1
from ins_premium_det i),'216329','216329','02', '11000003','00','Request by Mr. Omair Ali 30-May-2025');</v>
      </c>
      <c r="H67" s="48" t="str">
        <f t="shared" ref="H67:H130" si="7">F67&amp;G67</f>
        <v>insert into ins_premium_det (premium_rcv_code,assorted_code, rec_amount,premium_rcv_detail_code,remaining_amt, payrec, mode_code,coinsurance_code,class_cd,it_remarks) values('29May250204','050000740686','216329',(select max(to_number(i.premium_rcv_detail_code))+1
from ins_premium_det i),'216329','216329','02', '11000003','00','Request by Mr. Omair Ali 30-May-2025');</v>
      </c>
    </row>
    <row r="68" spans="1:8" ht="90" x14ac:dyDescent="0.25">
      <c r="A68" t="s">
        <v>74</v>
      </c>
      <c r="B68" t="str">
        <f>VLOOKUP(A68,policy!B:C,2,0)</f>
        <v>050000740700</v>
      </c>
      <c r="C68" s="17">
        <v>-4254</v>
      </c>
      <c r="D68" s="45">
        <f t="shared" si="5"/>
        <v>-4254</v>
      </c>
      <c r="E68" s="44" t="s">
        <v>374</v>
      </c>
      <c r="F68" s="46" t="str">
        <f t="shared" si="4"/>
        <v>insert into ins_premium_det (premium_rcv_code,assorted_code, rec_amount,premium_rcv_detail_code,remaining_amt, payrec, mode_code,coinsurance_code,class_cd,it_remarks) values</v>
      </c>
      <c r="G68" s="47" t="str">
        <f t="shared" si="6"/>
        <v>('29May250204','050000740700','-4254',(select max(to_number(i.premium_rcv_detail_code))+1
from ins_premium_det i),'-4254','-4254','02', '11000003','00','Request by Mr. Omair Ali 30-May-2025');</v>
      </c>
      <c r="H68" s="48" t="str">
        <f t="shared" si="7"/>
        <v>insert into ins_premium_det (premium_rcv_code,assorted_code, rec_amount,premium_rcv_detail_code,remaining_amt, payrec, mode_code,coinsurance_code,class_cd,it_remarks) values('29May250204','050000740700','-4254',(select max(to_number(i.premium_rcv_detail_code))+1
from ins_premium_det i),'-4254','-4254','02', '11000003','00','Request by Mr. Omair Ali 30-May-2025');</v>
      </c>
    </row>
    <row r="69" spans="1:8" ht="90" x14ac:dyDescent="0.25">
      <c r="A69" t="s">
        <v>75</v>
      </c>
      <c r="B69" t="str">
        <f>VLOOKUP(A69,policy!B:C,2,0)</f>
        <v>050000741308</v>
      </c>
      <c r="C69" s="17">
        <v>-1254</v>
      </c>
      <c r="D69" s="45">
        <f t="shared" si="5"/>
        <v>-1254</v>
      </c>
      <c r="E69" s="44" t="s">
        <v>374</v>
      </c>
      <c r="F69" s="46" t="str">
        <f t="shared" si="4"/>
        <v>insert into ins_premium_det (premium_rcv_code,assorted_code, rec_amount,premium_rcv_detail_code,remaining_amt, payrec, mode_code,coinsurance_code,class_cd,it_remarks) values</v>
      </c>
      <c r="G69" s="47" t="str">
        <f t="shared" si="6"/>
        <v>('29May250204','050000741308','-1254',(select max(to_number(i.premium_rcv_detail_code))+1
from ins_premium_det i),'-1254','-1254','02', '11000003','00','Request by Mr. Omair Ali 30-May-2025');</v>
      </c>
      <c r="H69" s="48" t="str">
        <f t="shared" si="7"/>
        <v>insert into ins_premium_det (premium_rcv_code,assorted_code, rec_amount,premium_rcv_detail_code,remaining_amt, payrec, mode_code,coinsurance_code,class_cd,it_remarks) values('29May250204','050000741308','-1254',(select max(to_number(i.premium_rcv_detail_code))+1
from ins_premium_det i),'-1254','-1254','02', '11000003','00','Request by Mr. Omair Ali 30-May-2025');</v>
      </c>
    </row>
    <row r="70" spans="1:8" ht="90" x14ac:dyDescent="0.25">
      <c r="A70" t="s">
        <v>76</v>
      </c>
      <c r="B70" t="str">
        <f>VLOOKUP(A70,policy!B:C,2,0)</f>
        <v>050000745718</v>
      </c>
      <c r="C70" s="17">
        <v>3680</v>
      </c>
      <c r="D70" s="45">
        <f t="shared" si="5"/>
        <v>3680</v>
      </c>
      <c r="E70" s="44" t="s">
        <v>374</v>
      </c>
      <c r="F70" s="46" t="str">
        <f t="shared" si="4"/>
        <v>insert into ins_premium_det (premium_rcv_code,assorted_code, rec_amount,premium_rcv_detail_code,remaining_amt, payrec, mode_code,coinsurance_code,class_cd,it_remarks) values</v>
      </c>
      <c r="G70" s="47" t="str">
        <f t="shared" si="6"/>
        <v>('29May250204','050000745718','3680',(select max(to_number(i.premium_rcv_detail_code))+1
from ins_premium_det i),'3680','3680','02', '11000003','00','Request by Mr. Omair Ali 30-May-2025');</v>
      </c>
      <c r="H70" s="48" t="str">
        <f t="shared" si="7"/>
        <v>insert into ins_premium_det (premium_rcv_code,assorted_code, rec_amount,premium_rcv_detail_code,remaining_amt, payrec, mode_code,coinsurance_code,class_cd,it_remarks) values('29May250204','050000745718','3680',(select max(to_number(i.premium_rcv_detail_code))+1
from ins_premium_det i),'3680','3680','02', '11000003','00','Request by Mr. Omair Ali 30-May-2025');</v>
      </c>
    </row>
    <row r="71" spans="1:8" ht="90" x14ac:dyDescent="0.25">
      <c r="A71" t="s">
        <v>77</v>
      </c>
      <c r="B71" t="str">
        <f>VLOOKUP(A71,policy!B:C,2,0)</f>
        <v>050000746671</v>
      </c>
      <c r="C71" s="17">
        <v>12050</v>
      </c>
      <c r="D71" s="45">
        <f t="shared" si="5"/>
        <v>12050</v>
      </c>
      <c r="E71" s="44" t="s">
        <v>374</v>
      </c>
      <c r="F71" s="46" t="str">
        <f t="shared" si="4"/>
        <v>insert into ins_premium_det (premium_rcv_code,assorted_code, rec_amount,premium_rcv_detail_code,remaining_amt, payrec, mode_code,coinsurance_code,class_cd,it_remarks) values</v>
      </c>
      <c r="G71" s="47" t="str">
        <f t="shared" si="6"/>
        <v>('29May250204','050000746671','12050',(select max(to_number(i.premium_rcv_detail_code))+1
from ins_premium_det i),'12050','12050','02', '11000003','00','Request by Mr. Omair Ali 30-May-2025');</v>
      </c>
      <c r="H71" s="48" t="str">
        <f t="shared" si="7"/>
        <v>insert into ins_premium_det (premium_rcv_code,assorted_code, rec_amount,premium_rcv_detail_code,remaining_amt, payrec, mode_code,coinsurance_code,class_cd,it_remarks) values('29May250204','050000746671','12050',(select max(to_number(i.premium_rcv_detail_code))+1
from ins_premium_det i),'12050','12050','02', '11000003','00','Request by Mr. Omair Ali 30-May-2025');</v>
      </c>
    </row>
    <row r="72" spans="1:8" ht="90" x14ac:dyDescent="0.25">
      <c r="A72" t="s">
        <v>78</v>
      </c>
      <c r="B72" t="str">
        <f>VLOOKUP(A72,policy!B:C,2,0)</f>
        <v>050000747242</v>
      </c>
      <c r="C72" s="17">
        <v>14855</v>
      </c>
      <c r="D72" s="45">
        <f t="shared" si="5"/>
        <v>14855</v>
      </c>
      <c r="E72" s="44" t="s">
        <v>374</v>
      </c>
      <c r="F72" s="46" t="str">
        <f t="shared" si="4"/>
        <v>insert into ins_premium_det (premium_rcv_code,assorted_code, rec_amount,premium_rcv_detail_code,remaining_amt, payrec, mode_code,coinsurance_code,class_cd,it_remarks) values</v>
      </c>
      <c r="G72" s="47" t="str">
        <f t="shared" si="6"/>
        <v>('29May250204','050000747242','14855',(select max(to_number(i.premium_rcv_detail_code))+1
from ins_premium_det i),'14855','14855','02', '11000003','00','Request by Mr. Omair Ali 30-May-2025');</v>
      </c>
      <c r="H72" s="48" t="str">
        <f t="shared" si="7"/>
        <v>insert into ins_premium_det (premium_rcv_code,assorted_code, rec_amount,premium_rcv_detail_code,remaining_amt, payrec, mode_code,coinsurance_code,class_cd,it_remarks) values('29May250204','050000747242','14855',(select max(to_number(i.premium_rcv_detail_code))+1
from ins_premium_det i),'14855','14855','02', '11000003','00','Request by Mr. Omair Ali 30-May-2025');</v>
      </c>
    </row>
    <row r="73" spans="1:8" ht="90" x14ac:dyDescent="0.25">
      <c r="A73" t="s">
        <v>79</v>
      </c>
      <c r="B73" t="str">
        <f>VLOOKUP(A73,policy!B:C,2,0)</f>
        <v>050000747271</v>
      </c>
      <c r="C73" s="17">
        <v>922383</v>
      </c>
      <c r="D73" s="45">
        <f t="shared" si="5"/>
        <v>922383</v>
      </c>
      <c r="E73" s="44" t="s">
        <v>374</v>
      </c>
      <c r="F73" s="46" t="str">
        <f t="shared" si="4"/>
        <v>insert into ins_premium_det (premium_rcv_code,assorted_code, rec_amount,premium_rcv_detail_code,remaining_amt, payrec, mode_code,coinsurance_code,class_cd,it_remarks) values</v>
      </c>
      <c r="G73" s="47" t="str">
        <f t="shared" si="6"/>
        <v>('29May250204','050000747271','922383',(select max(to_number(i.premium_rcv_detail_code))+1
from ins_premium_det i),'922383','922383','02', '11000003','00','Request by Mr. Omair Ali 30-May-2025');</v>
      </c>
      <c r="H73" s="48" t="str">
        <f t="shared" si="7"/>
        <v>insert into ins_premium_det (premium_rcv_code,assorted_code, rec_amount,premium_rcv_detail_code,remaining_amt, payrec, mode_code,coinsurance_code,class_cd,it_remarks) values('29May250204','050000747271','922383',(select max(to_number(i.premium_rcv_detail_code))+1
from ins_premium_det i),'922383','922383','02', '11000003','00','Request by Mr. Omair Ali 30-May-2025');</v>
      </c>
    </row>
    <row r="74" spans="1:8" ht="90" x14ac:dyDescent="0.25">
      <c r="A74" t="s">
        <v>80</v>
      </c>
      <c r="B74" t="str">
        <f>VLOOKUP(A74,policy!B:C,2,0)</f>
        <v>050000747327</v>
      </c>
      <c r="C74" s="17">
        <v>-4254</v>
      </c>
      <c r="D74" s="45">
        <f t="shared" si="5"/>
        <v>-4254</v>
      </c>
      <c r="E74" s="44" t="s">
        <v>374</v>
      </c>
      <c r="F74" s="46" t="str">
        <f t="shared" si="4"/>
        <v>insert into ins_premium_det (premium_rcv_code,assorted_code, rec_amount,premium_rcv_detail_code,remaining_amt, payrec, mode_code,coinsurance_code,class_cd,it_remarks) values</v>
      </c>
      <c r="G74" s="47" t="str">
        <f t="shared" si="6"/>
        <v>('29May250204','050000747327','-4254',(select max(to_number(i.premium_rcv_detail_code))+1
from ins_premium_det i),'-4254','-4254','02', '11000003','00','Request by Mr. Omair Ali 30-May-2025');</v>
      </c>
      <c r="H74" s="48" t="str">
        <f t="shared" si="7"/>
        <v>insert into ins_premium_det (premium_rcv_code,assorted_code, rec_amount,premium_rcv_detail_code,remaining_amt, payrec, mode_code,coinsurance_code,class_cd,it_remarks) values('29May250204','050000747327','-4254',(select max(to_number(i.premium_rcv_detail_code))+1
from ins_premium_det i),'-4254','-4254','02', '11000003','00','Request by Mr. Omair Ali 30-May-2025');</v>
      </c>
    </row>
    <row r="75" spans="1:8" ht="90" x14ac:dyDescent="0.25">
      <c r="A75" t="s">
        <v>81</v>
      </c>
      <c r="B75" t="str">
        <f>VLOOKUP(A75,policy!B:C,2,0)</f>
        <v>050000748792</v>
      </c>
      <c r="C75" s="17">
        <v>1124339</v>
      </c>
      <c r="D75" s="45">
        <f t="shared" si="5"/>
        <v>1124339</v>
      </c>
      <c r="E75" s="44" t="s">
        <v>374</v>
      </c>
      <c r="F75" s="46" t="str">
        <f t="shared" si="4"/>
        <v>insert into ins_premium_det (premium_rcv_code,assorted_code, rec_amount,premium_rcv_detail_code,remaining_amt, payrec, mode_code,coinsurance_code,class_cd,it_remarks) values</v>
      </c>
      <c r="G75" s="47" t="str">
        <f t="shared" si="6"/>
        <v>('29May250204','050000748792','1124339',(select max(to_number(i.premium_rcv_detail_code))+1
from ins_premium_det i),'1124339','1124339','02', '11000003','00','Request by Mr. Omair Ali 30-May-2025');</v>
      </c>
      <c r="H75" s="48" t="str">
        <f t="shared" si="7"/>
        <v>insert into ins_premium_det (premium_rcv_code,assorted_code, rec_amount,premium_rcv_detail_code,remaining_amt, payrec, mode_code,coinsurance_code,class_cd,it_remarks) values('29May250204','050000748792','1124339',(select max(to_number(i.premium_rcv_detail_code))+1
from ins_premium_det i),'1124339','1124339','02', '11000003','00','Request by Mr. Omair Ali 30-May-2025');</v>
      </c>
    </row>
    <row r="76" spans="1:8" ht="90" x14ac:dyDescent="0.25">
      <c r="A76" t="s">
        <v>82</v>
      </c>
      <c r="B76" t="str">
        <f>VLOOKUP(A76,policy!B:C,2,0)</f>
        <v>050000750216</v>
      </c>
      <c r="C76" s="17">
        <v>658265</v>
      </c>
      <c r="D76" s="45">
        <f t="shared" si="5"/>
        <v>658265</v>
      </c>
      <c r="E76" s="44" t="s">
        <v>374</v>
      </c>
      <c r="F76" s="46" t="str">
        <f t="shared" si="4"/>
        <v>insert into ins_premium_det (premium_rcv_code,assorted_code, rec_amount,premium_rcv_detail_code,remaining_amt, payrec, mode_code,coinsurance_code,class_cd,it_remarks) values</v>
      </c>
      <c r="G76" s="47" t="str">
        <f t="shared" si="6"/>
        <v>('29May250204','050000750216','658265',(select max(to_number(i.premium_rcv_detail_code))+1
from ins_premium_det i),'658265','658265','02', '11000003','00','Request by Mr. Omair Ali 30-May-2025');</v>
      </c>
      <c r="H76" s="48" t="str">
        <f t="shared" si="7"/>
        <v>insert into ins_premium_det (premium_rcv_code,assorted_code, rec_amount,premium_rcv_detail_code,remaining_amt, payrec, mode_code,coinsurance_code,class_cd,it_remarks) values('29May250204','050000750216','658265',(select max(to_number(i.premium_rcv_detail_code))+1
from ins_premium_det i),'658265','658265','02', '11000003','00','Request by Mr. Omair Ali 30-May-2025');</v>
      </c>
    </row>
    <row r="77" spans="1:8" ht="90" x14ac:dyDescent="0.25">
      <c r="A77" t="s">
        <v>83</v>
      </c>
      <c r="B77" t="str">
        <f>VLOOKUP(A77,policy!B:C,2,0)</f>
        <v>050000751148</v>
      </c>
      <c r="C77" s="17">
        <v>14442</v>
      </c>
      <c r="D77" s="45">
        <f t="shared" si="5"/>
        <v>14442</v>
      </c>
      <c r="E77" s="44" t="s">
        <v>374</v>
      </c>
      <c r="F77" s="46" t="str">
        <f t="shared" si="4"/>
        <v>insert into ins_premium_det (premium_rcv_code,assorted_code, rec_amount,premium_rcv_detail_code,remaining_amt, payrec, mode_code,coinsurance_code,class_cd,it_remarks) values</v>
      </c>
      <c r="G77" s="47" t="str">
        <f t="shared" si="6"/>
        <v>('29May250204','050000751148','14442',(select max(to_number(i.premium_rcv_detail_code))+1
from ins_premium_det i),'14442','14442','02', '11000003','00','Request by Mr. Omair Ali 30-May-2025');</v>
      </c>
      <c r="H77" s="48" t="str">
        <f t="shared" si="7"/>
        <v>insert into ins_premium_det (premium_rcv_code,assorted_code, rec_amount,premium_rcv_detail_code,remaining_amt, payrec, mode_code,coinsurance_code,class_cd,it_remarks) values('29May250204','050000751148','14442',(select max(to_number(i.premium_rcv_detail_code))+1
from ins_premium_det i),'14442','14442','02', '11000003','00','Request by Mr. Omair Ali 30-May-2025');</v>
      </c>
    </row>
    <row r="78" spans="1:8" ht="90" x14ac:dyDescent="0.25">
      <c r="A78" t="s">
        <v>84</v>
      </c>
      <c r="B78" t="str">
        <f>VLOOKUP(A78,policy!B:C,2,0)</f>
        <v>050000751804</v>
      </c>
      <c r="C78" s="17">
        <v>723285</v>
      </c>
      <c r="D78" s="45">
        <f t="shared" si="5"/>
        <v>723285</v>
      </c>
      <c r="E78" s="44" t="s">
        <v>374</v>
      </c>
      <c r="F78" s="46" t="str">
        <f t="shared" si="4"/>
        <v>insert into ins_premium_det (premium_rcv_code,assorted_code, rec_amount,premium_rcv_detail_code,remaining_amt, payrec, mode_code,coinsurance_code,class_cd,it_remarks) values</v>
      </c>
      <c r="G78" s="47" t="str">
        <f t="shared" si="6"/>
        <v>('29May250204','050000751804','723285',(select max(to_number(i.premium_rcv_detail_code))+1
from ins_premium_det i),'723285','723285','02', '11000003','00','Request by Mr. Omair Ali 30-May-2025');</v>
      </c>
      <c r="H78" s="48" t="str">
        <f t="shared" si="7"/>
        <v>insert into ins_premium_det (premium_rcv_code,assorted_code, rec_amount,premium_rcv_detail_code,remaining_amt, payrec, mode_code,coinsurance_code,class_cd,it_remarks) values('29May250204','050000751804','723285',(select max(to_number(i.premium_rcv_detail_code))+1
from ins_premium_det i),'723285','723285','02', '11000003','00','Request by Mr. Omair Ali 30-May-2025');</v>
      </c>
    </row>
    <row r="79" spans="1:8" ht="90" x14ac:dyDescent="0.25">
      <c r="A79" t="s">
        <v>85</v>
      </c>
      <c r="B79" t="str">
        <f>VLOOKUP(A79,policy!B:C,2,0)</f>
        <v>050000751874</v>
      </c>
      <c r="C79" s="17">
        <v>6832</v>
      </c>
      <c r="D79" s="45">
        <f t="shared" si="5"/>
        <v>6832</v>
      </c>
      <c r="E79" s="44" t="s">
        <v>374</v>
      </c>
      <c r="F79" s="46" t="str">
        <f t="shared" si="4"/>
        <v>insert into ins_premium_det (premium_rcv_code,assorted_code, rec_amount,premium_rcv_detail_code,remaining_amt, payrec, mode_code,coinsurance_code,class_cd,it_remarks) values</v>
      </c>
      <c r="G79" s="47" t="str">
        <f t="shared" si="6"/>
        <v>('29May250204','050000751874','6832',(select max(to_number(i.premium_rcv_detail_code))+1
from ins_premium_det i),'6832','6832','02', '11000003','00','Request by Mr. Omair Ali 30-May-2025');</v>
      </c>
      <c r="H79" s="48" t="str">
        <f t="shared" si="7"/>
        <v>insert into ins_premium_det (premium_rcv_code,assorted_code, rec_amount,premium_rcv_detail_code,remaining_amt, payrec, mode_code,coinsurance_code,class_cd,it_remarks) values('29May250204','050000751874','6832',(select max(to_number(i.premium_rcv_detail_code))+1
from ins_premium_det i),'6832','6832','02', '11000003','00','Request by Mr. Omair Ali 30-May-2025');</v>
      </c>
    </row>
    <row r="80" spans="1:8" ht="90" x14ac:dyDescent="0.25">
      <c r="A80" t="s">
        <v>86</v>
      </c>
      <c r="B80" t="str">
        <f>VLOOKUP(A80,policy!B:C,2,0)</f>
        <v>050000754524</v>
      </c>
      <c r="C80" s="17">
        <v>-890698</v>
      </c>
      <c r="D80" s="45">
        <f t="shared" si="5"/>
        <v>-890698</v>
      </c>
      <c r="E80" s="44" t="s">
        <v>374</v>
      </c>
      <c r="F80" s="46" t="str">
        <f t="shared" si="4"/>
        <v>insert into ins_premium_det (premium_rcv_code,assorted_code, rec_amount,premium_rcv_detail_code,remaining_amt, payrec, mode_code,coinsurance_code,class_cd,it_remarks) values</v>
      </c>
      <c r="G80" s="47" t="str">
        <f t="shared" si="6"/>
        <v>('29May250204','050000754524','-890698',(select max(to_number(i.premium_rcv_detail_code))+1
from ins_premium_det i),'-890698','-890698','02', '11000003','00','Request by Mr. Omair Ali 30-May-2025');</v>
      </c>
      <c r="H80" s="48" t="str">
        <f t="shared" si="7"/>
        <v>insert into ins_premium_det (premium_rcv_code,assorted_code, rec_amount,premium_rcv_detail_code,remaining_amt, payrec, mode_code,coinsurance_code,class_cd,it_remarks) values('29May250204','050000754524','-890698',(select max(to_number(i.premium_rcv_detail_code))+1
from ins_premium_det i),'-890698','-890698','02', '11000003','00','Request by Mr. Omair Ali 30-May-2025');</v>
      </c>
    </row>
    <row r="81" spans="1:8" ht="90" x14ac:dyDescent="0.25">
      <c r="A81" t="s">
        <v>87</v>
      </c>
      <c r="B81" t="str">
        <f>VLOOKUP(A81,policy!B:C,2,0)</f>
        <v>050000755332</v>
      </c>
      <c r="C81" s="17">
        <v>2802</v>
      </c>
      <c r="D81" s="45">
        <f t="shared" si="5"/>
        <v>2802</v>
      </c>
      <c r="E81" s="44" t="s">
        <v>374</v>
      </c>
      <c r="F81" s="46" t="str">
        <f t="shared" si="4"/>
        <v>insert into ins_premium_det (premium_rcv_code,assorted_code, rec_amount,premium_rcv_detail_code,remaining_amt, payrec, mode_code,coinsurance_code,class_cd,it_remarks) values</v>
      </c>
      <c r="G81" s="47" t="str">
        <f t="shared" si="6"/>
        <v>('29May250204','050000755332','2802',(select max(to_number(i.premium_rcv_detail_code))+1
from ins_premium_det i),'2802','2802','02', '11000003','00','Request by Mr. Omair Ali 30-May-2025');</v>
      </c>
      <c r="H81" s="48" t="str">
        <f t="shared" si="7"/>
        <v>insert into ins_premium_det (premium_rcv_code,assorted_code, rec_amount,premium_rcv_detail_code,remaining_amt, payrec, mode_code,coinsurance_code,class_cd,it_remarks) values('29May250204','050000755332','2802',(select max(to_number(i.premium_rcv_detail_code))+1
from ins_premium_det i),'2802','2802','02', '11000003','00','Request by Mr. Omair Ali 30-May-2025');</v>
      </c>
    </row>
    <row r="82" spans="1:8" ht="90" x14ac:dyDescent="0.25">
      <c r="A82" t="s">
        <v>88</v>
      </c>
      <c r="B82" t="str">
        <f>VLOOKUP(A82,policy!B:C,2,0)</f>
        <v>050000756612</v>
      </c>
      <c r="C82" s="17">
        <v>172549</v>
      </c>
      <c r="D82" s="45">
        <f t="shared" si="5"/>
        <v>172549</v>
      </c>
      <c r="E82" s="44" t="s">
        <v>374</v>
      </c>
      <c r="F82" s="46" t="str">
        <f t="shared" si="4"/>
        <v>insert into ins_premium_det (premium_rcv_code,assorted_code, rec_amount,premium_rcv_detail_code,remaining_amt, payrec, mode_code,coinsurance_code,class_cd,it_remarks) values</v>
      </c>
      <c r="G82" s="47" t="str">
        <f t="shared" si="6"/>
        <v>('29May250204','050000756612','172549',(select max(to_number(i.premium_rcv_detail_code))+1
from ins_premium_det i),'172549','172549','02', '11000003','00','Request by Mr. Omair Ali 30-May-2025');</v>
      </c>
      <c r="H82" s="48" t="str">
        <f t="shared" si="7"/>
        <v>insert into ins_premium_det (premium_rcv_code,assorted_code, rec_amount,premium_rcv_detail_code,remaining_amt, payrec, mode_code,coinsurance_code,class_cd,it_remarks) values('29May250204','050000756612','172549',(select max(to_number(i.premium_rcv_detail_code))+1
from ins_premium_det i),'172549','172549','02', '11000003','00','Request by Mr. Omair Ali 30-May-2025');</v>
      </c>
    </row>
    <row r="83" spans="1:8" ht="90" x14ac:dyDescent="0.25">
      <c r="A83" t="s">
        <v>89</v>
      </c>
      <c r="B83" t="str">
        <f>VLOOKUP(A83,policy!B:C,2,0)</f>
        <v>050000758922</v>
      </c>
      <c r="C83" s="17">
        <v>-2370</v>
      </c>
      <c r="D83" s="45">
        <f t="shared" si="5"/>
        <v>-2370</v>
      </c>
      <c r="E83" s="44" t="s">
        <v>374</v>
      </c>
      <c r="F83" s="46" t="str">
        <f t="shared" si="4"/>
        <v>insert into ins_premium_det (premium_rcv_code,assorted_code, rec_amount,premium_rcv_detail_code,remaining_amt, payrec, mode_code,coinsurance_code,class_cd,it_remarks) values</v>
      </c>
      <c r="G83" s="47" t="str">
        <f t="shared" si="6"/>
        <v>('29May250204','050000758922','-2370',(select max(to_number(i.premium_rcv_detail_code))+1
from ins_premium_det i),'-2370','-2370','02', '11000003','00','Request by Mr. Omair Ali 30-May-2025');</v>
      </c>
      <c r="H83" s="48" t="str">
        <f t="shared" si="7"/>
        <v>insert into ins_premium_det (premium_rcv_code,assorted_code, rec_amount,premium_rcv_detail_code,remaining_amt, payrec, mode_code,coinsurance_code,class_cd,it_remarks) values('29May250204','050000758922','-2370',(select max(to_number(i.premium_rcv_detail_code))+1
from ins_premium_det i),'-2370','-2370','02', '11000003','00','Request by Mr. Omair Ali 30-May-2025');</v>
      </c>
    </row>
    <row r="84" spans="1:8" ht="90" x14ac:dyDescent="0.25">
      <c r="A84" t="s">
        <v>90</v>
      </c>
      <c r="B84" t="str">
        <f>VLOOKUP(A84,policy!B:C,2,0)</f>
        <v>050000758999</v>
      </c>
      <c r="C84" s="17">
        <v>-4452</v>
      </c>
      <c r="D84" s="45">
        <f t="shared" si="5"/>
        <v>-4452</v>
      </c>
      <c r="E84" s="44" t="s">
        <v>374</v>
      </c>
      <c r="F84" s="46" t="str">
        <f t="shared" si="4"/>
        <v>insert into ins_premium_det (premium_rcv_code,assorted_code, rec_amount,premium_rcv_detail_code,remaining_amt, payrec, mode_code,coinsurance_code,class_cd,it_remarks) values</v>
      </c>
      <c r="G84" s="47" t="str">
        <f t="shared" si="6"/>
        <v>('29May250204','050000758999','-4452',(select max(to_number(i.premium_rcv_detail_code))+1
from ins_premium_det i),'-4452','-4452','02', '11000003','00','Request by Mr. Omair Ali 30-May-2025');</v>
      </c>
      <c r="H84" s="48" t="str">
        <f t="shared" si="7"/>
        <v>insert into ins_premium_det (premium_rcv_code,assorted_code, rec_amount,premium_rcv_detail_code,remaining_amt, payrec, mode_code,coinsurance_code,class_cd,it_remarks) values('29May250204','050000758999','-4452',(select max(to_number(i.premium_rcv_detail_code))+1
from ins_premium_det i),'-4452','-4452','02', '11000003','00','Request by Mr. Omair Ali 30-May-2025');</v>
      </c>
    </row>
    <row r="85" spans="1:8" ht="90" x14ac:dyDescent="0.25">
      <c r="A85" t="s">
        <v>91</v>
      </c>
      <c r="B85" t="str">
        <f>VLOOKUP(A85,policy!B:C,2,0)</f>
        <v>050000759568</v>
      </c>
      <c r="C85" s="17">
        <v>363794</v>
      </c>
      <c r="D85" s="45">
        <f t="shared" si="5"/>
        <v>363794</v>
      </c>
      <c r="E85" s="44" t="s">
        <v>374</v>
      </c>
      <c r="F85" s="46" t="str">
        <f t="shared" si="4"/>
        <v>insert into ins_premium_det (premium_rcv_code,assorted_code, rec_amount,premium_rcv_detail_code,remaining_amt, payrec, mode_code,coinsurance_code,class_cd,it_remarks) values</v>
      </c>
      <c r="G85" s="47" t="str">
        <f t="shared" si="6"/>
        <v>('29May250204','050000759568','363794',(select max(to_number(i.premium_rcv_detail_code))+1
from ins_premium_det i),'363794','363794','02', '11000003','00','Request by Mr. Omair Ali 30-May-2025');</v>
      </c>
      <c r="H85" s="48" t="str">
        <f t="shared" si="7"/>
        <v>insert into ins_premium_det (premium_rcv_code,assorted_code, rec_amount,premium_rcv_detail_code,remaining_amt, payrec, mode_code,coinsurance_code,class_cd,it_remarks) values('29May250204','050000759568','363794',(select max(to_number(i.premium_rcv_detail_code))+1
from ins_premium_det i),'363794','363794','02', '11000003','00','Request by Mr. Omair Ali 30-May-2025');</v>
      </c>
    </row>
    <row r="86" spans="1:8" ht="90" x14ac:dyDescent="0.25">
      <c r="A86" t="s">
        <v>92</v>
      </c>
      <c r="B86" t="str">
        <f>VLOOKUP(A86,policy!B:C,2,0)</f>
        <v>050000759588</v>
      </c>
      <c r="C86" s="17">
        <v>1949</v>
      </c>
      <c r="D86" s="45">
        <f t="shared" si="5"/>
        <v>1949</v>
      </c>
      <c r="E86" s="44" t="s">
        <v>374</v>
      </c>
      <c r="F86" s="46" t="str">
        <f t="shared" si="4"/>
        <v>insert into ins_premium_det (premium_rcv_code,assorted_code, rec_amount,premium_rcv_detail_code,remaining_amt, payrec, mode_code,coinsurance_code,class_cd,it_remarks) values</v>
      </c>
      <c r="G86" s="47" t="str">
        <f t="shared" si="6"/>
        <v>('29May250204','050000759588','1949',(select max(to_number(i.premium_rcv_detail_code))+1
from ins_premium_det i),'1949','1949','02', '11000003','00','Request by Mr. Omair Ali 30-May-2025');</v>
      </c>
      <c r="H86" s="48" t="str">
        <f t="shared" si="7"/>
        <v>insert into ins_premium_det (premium_rcv_code,assorted_code, rec_amount,premium_rcv_detail_code,remaining_amt, payrec, mode_code,coinsurance_code,class_cd,it_remarks) values('29May250204','050000759588','1949',(select max(to_number(i.premium_rcv_detail_code))+1
from ins_premium_det i),'1949','1949','02', '11000003','00','Request by Mr. Omair Ali 30-May-2025');</v>
      </c>
    </row>
    <row r="87" spans="1:8" ht="90" x14ac:dyDescent="0.25">
      <c r="A87" t="s">
        <v>93</v>
      </c>
      <c r="B87" t="str">
        <f>VLOOKUP(A87,policy!B:C,2,0)</f>
        <v>050000760064</v>
      </c>
      <c r="C87" s="17">
        <v>114133</v>
      </c>
      <c r="D87" s="45">
        <f t="shared" si="5"/>
        <v>114133</v>
      </c>
      <c r="E87" s="44" t="s">
        <v>374</v>
      </c>
      <c r="F87" s="46" t="str">
        <f t="shared" si="4"/>
        <v>insert into ins_premium_det (premium_rcv_code,assorted_code, rec_amount,premium_rcv_detail_code,remaining_amt, payrec, mode_code,coinsurance_code,class_cd,it_remarks) values</v>
      </c>
      <c r="G87" s="47" t="str">
        <f t="shared" si="6"/>
        <v>('29May250204','050000760064','114133',(select max(to_number(i.premium_rcv_detail_code))+1
from ins_premium_det i),'114133','114133','02', '11000003','00','Request by Mr. Omair Ali 30-May-2025');</v>
      </c>
      <c r="H87" s="48" t="str">
        <f t="shared" si="7"/>
        <v>insert into ins_premium_det (premium_rcv_code,assorted_code, rec_amount,premium_rcv_detail_code,remaining_amt, payrec, mode_code,coinsurance_code,class_cd,it_remarks) values('29May250204','050000760064','114133',(select max(to_number(i.premium_rcv_detail_code))+1
from ins_premium_det i),'114133','114133','02', '11000003','00','Request by Mr. Omair Ali 30-May-2025');</v>
      </c>
    </row>
    <row r="88" spans="1:8" ht="90" x14ac:dyDescent="0.25">
      <c r="A88" t="s">
        <v>94</v>
      </c>
      <c r="B88" t="str">
        <f>VLOOKUP(A88,policy!B:C,2,0)</f>
        <v>050000760737</v>
      </c>
      <c r="C88" s="17">
        <v>100860</v>
      </c>
      <c r="D88" s="45">
        <f t="shared" si="5"/>
        <v>100860</v>
      </c>
      <c r="E88" s="44" t="s">
        <v>374</v>
      </c>
      <c r="F88" s="46" t="str">
        <f t="shared" si="4"/>
        <v>insert into ins_premium_det (premium_rcv_code,assorted_code, rec_amount,premium_rcv_detail_code,remaining_amt, payrec, mode_code,coinsurance_code,class_cd,it_remarks) values</v>
      </c>
      <c r="G88" s="47" t="str">
        <f t="shared" si="6"/>
        <v>('29May250204','050000760737','100860',(select max(to_number(i.premium_rcv_detail_code))+1
from ins_premium_det i),'100860','100860','02', '11000003','00','Request by Mr. Omair Ali 30-May-2025');</v>
      </c>
      <c r="H88" s="48" t="str">
        <f t="shared" si="7"/>
        <v>insert into ins_premium_det (premium_rcv_code,assorted_code, rec_amount,premium_rcv_detail_code,remaining_amt, payrec, mode_code,coinsurance_code,class_cd,it_remarks) values('29May250204','050000760737','100860',(select max(to_number(i.premium_rcv_detail_code))+1
from ins_premium_det i),'100860','100860','02', '11000003','00','Request by Mr. Omair Ali 30-May-2025');</v>
      </c>
    </row>
    <row r="89" spans="1:8" ht="90" x14ac:dyDescent="0.25">
      <c r="A89" t="s">
        <v>95</v>
      </c>
      <c r="B89" t="str">
        <f>VLOOKUP(A89,policy!B:C,2,0)</f>
        <v>050000761166</v>
      </c>
      <c r="C89" s="17">
        <v>-535096</v>
      </c>
      <c r="D89" s="45">
        <f t="shared" si="5"/>
        <v>-535096</v>
      </c>
      <c r="E89" s="44" t="s">
        <v>374</v>
      </c>
      <c r="F89" s="46" t="str">
        <f t="shared" si="4"/>
        <v>insert into ins_premium_det (premium_rcv_code,assorted_code, rec_amount,premium_rcv_detail_code,remaining_amt, payrec, mode_code,coinsurance_code,class_cd,it_remarks) values</v>
      </c>
      <c r="G89" s="47" t="str">
        <f t="shared" si="6"/>
        <v>('29May250204','050000761166','-535096',(select max(to_number(i.premium_rcv_detail_code))+1
from ins_premium_det i),'-535096','-535096','02', '11000003','00','Request by Mr. Omair Ali 30-May-2025');</v>
      </c>
      <c r="H89" s="48" t="str">
        <f t="shared" si="7"/>
        <v>insert into ins_premium_det (premium_rcv_code,assorted_code, rec_amount,premium_rcv_detail_code,remaining_amt, payrec, mode_code,coinsurance_code,class_cd,it_remarks) values('29May250204','050000761166','-535096',(select max(to_number(i.premium_rcv_detail_code))+1
from ins_premium_det i),'-535096','-535096','02', '11000003','00','Request by Mr. Omair Ali 30-May-2025');</v>
      </c>
    </row>
    <row r="90" spans="1:8" ht="90" x14ac:dyDescent="0.25">
      <c r="A90" t="s">
        <v>96</v>
      </c>
      <c r="B90" t="str">
        <f>VLOOKUP(A90,policy!B:C,2,0)</f>
        <v>050000761995</v>
      </c>
      <c r="C90" s="17">
        <v>188015</v>
      </c>
      <c r="D90" s="45">
        <f t="shared" si="5"/>
        <v>188015</v>
      </c>
      <c r="E90" s="44" t="s">
        <v>374</v>
      </c>
      <c r="F90" s="46" t="str">
        <f t="shared" si="4"/>
        <v>insert into ins_premium_det (premium_rcv_code,assorted_code, rec_amount,premium_rcv_detail_code,remaining_amt, payrec, mode_code,coinsurance_code,class_cd,it_remarks) values</v>
      </c>
      <c r="G90" s="47" t="str">
        <f t="shared" si="6"/>
        <v>('29May250204','050000761995','188015',(select max(to_number(i.premium_rcv_detail_code))+1
from ins_premium_det i),'188015','188015','02', '11000003','00','Request by Mr. Omair Ali 30-May-2025');</v>
      </c>
      <c r="H90" s="48" t="str">
        <f t="shared" si="7"/>
        <v>insert into ins_premium_det (premium_rcv_code,assorted_code, rec_amount,premium_rcv_detail_code,remaining_amt, payrec, mode_code,coinsurance_code,class_cd,it_remarks) values('29May250204','050000761995','188015',(select max(to_number(i.premium_rcv_detail_code))+1
from ins_premium_det i),'188015','188015','02', '11000003','00','Request by Mr. Omair Ali 30-May-2025');</v>
      </c>
    </row>
    <row r="91" spans="1:8" ht="90" x14ac:dyDescent="0.25">
      <c r="A91" t="s">
        <v>97</v>
      </c>
      <c r="B91" t="str">
        <f>VLOOKUP(A91,policy!B:C,2,0)</f>
        <v>050000765981</v>
      </c>
      <c r="C91" s="17">
        <v>1811</v>
      </c>
      <c r="D91" s="45">
        <f t="shared" si="5"/>
        <v>1811</v>
      </c>
      <c r="E91" s="44" t="s">
        <v>374</v>
      </c>
      <c r="F91" s="46" t="str">
        <f t="shared" si="4"/>
        <v>insert into ins_premium_det (premium_rcv_code,assorted_code, rec_amount,premium_rcv_detail_code,remaining_amt, payrec, mode_code,coinsurance_code,class_cd,it_remarks) values</v>
      </c>
      <c r="G91" s="47" t="str">
        <f t="shared" si="6"/>
        <v>('29May250204','050000765981','1811',(select max(to_number(i.premium_rcv_detail_code))+1
from ins_premium_det i),'1811','1811','02', '11000003','00','Request by Mr. Omair Ali 30-May-2025');</v>
      </c>
      <c r="H91" s="48" t="str">
        <f t="shared" si="7"/>
        <v>insert into ins_premium_det (premium_rcv_code,assorted_code, rec_amount,premium_rcv_detail_code,remaining_amt, payrec, mode_code,coinsurance_code,class_cd,it_remarks) values('29May250204','050000765981','1811',(select max(to_number(i.premium_rcv_detail_code))+1
from ins_premium_det i),'1811','1811','02', '11000003','00','Request by Mr. Omair Ali 30-May-2025');</v>
      </c>
    </row>
    <row r="92" spans="1:8" ht="90" x14ac:dyDescent="0.25">
      <c r="A92" t="s">
        <v>98</v>
      </c>
      <c r="B92" t="str">
        <f>VLOOKUP(A92,policy!B:C,2,0)</f>
        <v>050000767618</v>
      </c>
      <c r="C92" s="17">
        <v>132554</v>
      </c>
      <c r="D92" s="45">
        <f t="shared" si="5"/>
        <v>132554</v>
      </c>
      <c r="E92" s="44" t="s">
        <v>374</v>
      </c>
      <c r="F92" s="46" t="str">
        <f t="shared" si="4"/>
        <v>insert into ins_premium_det (premium_rcv_code,assorted_code, rec_amount,premium_rcv_detail_code,remaining_amt, payrec, mode_code,coinsurance_code,class_cd,it_remarks) values</v>
      </c>
      <c r="G92" s="47" t="str">
        <f t="shared" si="6"/>
        <v>('29May250204','050000767618','132554',(select max(to_number(i.premium_rcv_detail_code))+1
from ins_premium_det i),'132554','132554','02', '11000003','00','Request by Mr. Omair Ali 30-May-2025');</v>
      </c>
      <c r="H92" s="48" t="str">
        <f t="shared" si="7"/>
        <v>insert into ins_premium_det (premium_rcv_code,assorted_code, rec_amount,premium_rcv_detail_code,remaining_amt, payrec, mode_code,coinsurance_code,class_cd,it_remarks) values('29May250204','050000767618','132554',(select max(to_number(i.premium_rcv_detail_code))+1
from ins_premium_det i),'132554','132554','02', '11000003','00','Request by Mr. Omair Ali 30-May-2025');</v>
      </c>
    </row>
    <row r="93" spans="1:8" ht="90" x14ac:dyDescent="0.25">
      <c r="A93" t="s">
        <v>99</v>
      </c>
      <c r="B93" t="str">
        <f>VLOOKUP(A93,policy!B:C,2,0)</f>
        <v>050000769348</v>
      </c>
      <c r="C93" s="17">
        <v>5299</v>
      </c>
      <c r="D93" s="45">
        <f t="shared" si="5"/>
        <v>5299</v>
      </c>
      <c r="E93" s="44" t="s">
        <v>374</v>
      </c>
      <c r="F93" s="46" t="str">
        <f t="shared" si="4"/>
        <v>insert into ins_premium_det (premium_rcv_code,assorted_code, rec_amount,premium_rcv_detail_code,remaining_amt, payrec, mode_code,coinsurance_code,class_cd,it_remarks) values</v>
      </c>
      <c r="G93" s="47" t="str">
        <f t="shared" si="6"/>
        <v>('29May250204','050000769348','5299',(select max(to_number(i.premium_rcv_detail_code))+1
from ins_premium_det i),'5299','5299','02', '11000003','00','Request by Mr. Omair Ali 30-May-2025');</v>
      </c>
      <c r="H93" s="48" t="str">
        <f t="shared" si="7"/>
        <v>insert into ins_premium_det (premium_rcv_code,assorted_code, rec_amount,premium_rcv_detail_code,remaining_amt, payrec, mode_code,coinsurance_code,class_cd,it_remarks) values('29May250204','050000769348','5299',(select max(to_number(i.premium_rcv_detail_code))+1
from ins_premium_det i),'5299','5299','02', '11000003','00','Request by Mr. Omair Ali 30-May-2025');</v>
      </c>
    </row>
    <row r="94" spans="1:8" ht="90" x14ac:dyDescent="0.25">
      <c r="A94" t="s">
        <v>100</v>
      </c>
      <c r="B94" t="str">
        <f>VLOOKUP(A94,policy!B:C,2,0)</f>
        <v>050000769605</v>
      </c>
      <c r="C94" s="17">
        <v>-2827</v>
      </c>
      <c r="D94" s="45">
        <f t="shared" si="5"/>
        <v>-2827</v>
      </c>
      <c r="E94" s="44" t="s">
        <v>374</v>
      </c>
      <c r="F94" s="46" t="str">
        <f t="shared" si="4"/>
        <v>insert into ins_premium_det (premium_rcv_code,assorted_code, rec_amount,premium_rcv_detail_code,remaining_amt, payrec, mode_code,coinsurance_code,class_cd,it_remarks) values</v>
      </c>
      <c r="G94" s="47" t="str">
        <f t="shared" si="6"/>
        <v>('29May250204','050000769605','-2827',(select max(to_number(i.premium_rcv_detail_code))+1
from ins_premium_det i),'-2827','-2827','02', '11000003','00','Request by Mr. Omair Ali 30-May-2025');</v>
      </c>
      <c r="H94" s="48" t="str">
        <f t="shared" si="7"/>
        <v>insert into ins_premium_det (premium_rcv_code,assorted_code, rec_amount,premium_rcv_detail_code,remaining_amt, payrec, mode_code,coinsurance_code,class_cd,it_remarks) values('29May250204','050000769605','-2827',(select max(to_number(i.premium_rcv_detail_code))+1
from ins_premium_det i),'-2827','-2827','02', '11000003','00','Request by Mr. Omair Ali 30-May-2025');</v>
      </c>
    </row>
    <row r="95" spans="1:8" ht="90" x14ac:dyDescent="0.25">
      <c r="A95" t="s">
        <v>101</v>
      </c>
      <c r="B95" t="str">
        <f>VLOOKUP(A95,policy!B:C,2,0)</f>
        <v>050000770594</v>
      </c>
      <c r="C95" s="17">
        <v>182701</v>
      </c>
      <c r="D95" s="45">
        <f t="shared" si="5"/>
        <v>182701</v>
      </c>
      <c r="E95" s="44" t="s">
        <v>374</v>
      </c>
      <c r="F95" s="46" t="str">
        <f t="shared" si="4"/>
        <v>insert into ins_premium_det (premium_rcv_code,assorted_code, rec_amount,premium_rcv_detail_code,remaining_amt, payrec, mode_code,coinsurance_code,class_cd,it_remarks) values</v>
      </c>
      <c r="G95" s="47" t="str">
        <f t="shared" si="6"/>
        <v>('29May250204','050000770594','182701',(select max(to_number(i.premium_rcv_detail_code))+1
from ins_premium_det i),'182701','182701','02', '11000003','00','Request by Mr. Omair Ali 30-May-2025');</v>
      </c>
      <c r="H95" s="48" t="str">
        <f t="shared" si="7"/>
        <v>insert into ins_premium_det (premium_rcv_code,assorted_code, rec_amount,premium_rcv_detail_code,remaining_amt, payrec, mode_code,coinsurance_code,class_cd,it_remarks) values('29May250204','050000770594','182701',(select max(to_number(i.premium_rcv_detail_code))+1
from ins_premium_det i),'182701','182701','02', '11000003','00','Request by Mr. Omair Ali 30-May-2025');</v>
      </c>
    </row>
    <row r="96" spans="1:8" ht="90" x14ac:dyDescent="0.25">
      <c r="A96" t="s">
        <v>102</v>
      </c>
      <c r="B96" t="str">
        <f>VLOOKUP(A96,policy!B:C,2,0)</f>
        <v>050000770751</v>
      </c>
      <c r="C96" s="17">
        <v>-2473</v>
      </c>
      <c r="D96" s="45">
        <f t="shared" si="5"/>
        <v>-2473</v>
      </c>
      <c r="E96" s="44" t="s">
        <v>374</v>
      </c>
      <c r="F96" s="46" t="str">
        <f t="shared" si="4"/>
        <v>insert into ins_premium_det (premium_rcv_code,assorted_code, rec_amount,premium_rcv_detail_code,remaining_amt, payrec, mode_code,coinsurance_code,class_cd,it_remarks) values</v>
      </c>
      <c r="G96" s="47" t="str">
        <f t="shared" si="6"/>
        <v>('29May250204','050000770751','-2473',(select max(to_number(i.premium_rcv_detail_code))+1
from ins_premium_det i),'-2473','-2473','02', '11000003','00','Request by Mr. Omair Ali 30-May-2025');</v>
      </c>
      <c r="H96" s="48" t="str">
        <f t="shared" si="7"/>
        <v>insert into ins_premium_det (premium_rcv_code,assorted_code, rec_amount,premium_rcv_detail_code,remaining_amt, payrec, mode_code,coinsurance_code,class_cd,it_remarks) values('29May250204','050000770751','-2473',(select max(to_number(i.premium_rcv_detail_code))+1
from ins_premium_det i),'-2473','-2473','02', '11000003','00','Request by Mr. Omair Ali 30-May-2025');</v>
      </c>
    </row>
    <row r="97" spans="1:8" ht="90" x14ac:dyDescent="0.25">
      <c r="A97" t="s">
        <v>103</v>
      </c>
      <c r="B97" t="str">
        <f>VLOOKUP(A97,policy!B:C,2,0)</f>
        <v>050000771176</v>
      </c>
      <c r="C97" s="17">
        <v>-700668</v>
      </c>
      <c r="D97" s="45">
        <f t="shared" si="5"/>
        <v>-700668</v>
      </c>
      <c r="E97" s="44" t="s">
        <v>374</v>
      </c>
      <c r="F97" s="46" t="str">
        <f t="shared" si="4"/>
        <v>insert into ins_premium_det (premium_rcv_code,assorted_code, rec_amount,premium_rcv_detail_code,remaining_amt, payrec, mode_code,coinsurance_code,class_cd,it_remarks) values</v>
      </c>
      <c r="G97" s="47" t="str">
        <f t="shared" si="6"/>
        <v>('29May250204','050000771176','-700668',(select max(to_number(i.premium_rcv_detail_code))+1
from ins_premium_det i),'-700668','-700668','02', '11000003','00','Request by Mr. Omair Ali 30-May-2025');</v>
      </c>
      <c r="H97" s="48" t="str">
        <f t="shared" si="7"/>
        <v>insert into ins_premium_det (premium_rcv_code,assorted_code, rec_amount,premium_rcv_detail_code,remaining_amt, payrec, mode_code,coinsurance_code,class_cd,it_remarks) values('29May250204','050000771176','-700668',(select max(to_number(i.premium_rcv_detail_code))+1
from ins_premium_det i),'-700668','-700668','02', '11000003','00','Request by Mr. Omair Ali 30-May-2025');</v>
      </c>
    </row>
    <row r="98" spans="1:8" ht="90" x14ac:dyDescent="0.25">
      <c r="A98" t="s">
        <v>104</v>
      </c>
      <c r="B98" t="str">
        <f>VLOOKUP(A98,policy!B:C,2,0)</f>
        <v>050000773606</v>
      </c>
      <c r="C98" s="17">
        <v>81101</v>
      </c>
      <c r="D98" s="45">
        <f t="shared" si="5"/>
        <v>81101</v>
      </c>
      <c r="E98" s="44" t="s">
        <v>374</v>
      </c>
      <c r="F98" s="46" t="str">
        <f t="shared" si="4"/>
        <v>insert into ins_premium_det (premium_rcv_code,assorted_code, rec_amount,premium_rcv_detail_code,remaining_amt, payrec, mode_code,coinsurance_code,class_cd,it_remarks) values</v>
      </c>
      <c r="G98" s="47" t="str">
        <f t="shared" si="6"/>
        <v>('29May250204','050000773606','81101',(select max(to_number(i.premium_rcv_detail_code))+1
from ins_premium_det i),'81101','81101','02', '11000003','00','Request by Mr. Omair Ali 30-May-2025');</v>
      </c>
      <c r="H98" s="48" t="str">
        <f t="shared" si="7"/>
        <v>insert into ins_premium_det (premium_rcv_code,assorted_code, rec_amount,premium_rcv_detail_code,remaining_amt, payrec, mode_code,coinsurance_code,class_cd,it_remarks) values('29May250204','050000773606','81101',(select max(to_number(i.premium_rcv_detail_code))+1
from ins_premium_det i),'81101','81101','02', '11000003','00','Request by Mr. Omair Ali 30-May-2025');</v>
      </c>
    </row>
    <row r="99" spans="1:8" ht="90" x14ac:dyDescent="0.25">
      <c r="A99" t="s">
        <v>105</v>
      </c>
      <c r="B99" t="str">
        <f>VLOOKUP(A99,policy!B:C,2,0)</f>
        <v>050000775554</v>
      </c>
      <c r="C99" s="17">
        <v>2764</v>
      </c>
      <c r="D99" s="45">
        <f t="shared" si="5"/>
        <v>2764</v>
      </c>
      <c r="E99" s="44" t="s">
        <v>374</v>
      </c>
      <c r="F99" s="46" t="str">
        <f t="shared" si="4"/>
        <v>insert into ins_premium_det (premium_rcv_code,assorted_code, rec_amount,premium_rcv_detail_code,remaining_amt, payrec, mode_code,coinsurance_code,class_cd,it_remarks) values</v>
      </c>
      <c r="G99" s="47" t="str">
        <f t="shared" si="6"/>
        <v>('29May250204','050000775554','2764',(select max(to_number(i.premium_rcv_detail_code))+1
from ins_premium_det i),'2764','2764','02', '11000003','00','Request by Mr. Omair Ali 30-May-2025');</v>
      </c>
      <c r="H99" s="48" t="str">
        <f t="shared" si="7"/>
        <v>insert into ins_premium_det (premium_rcv_code,assorted_code, rec_amount,premium_rcv_detail_code,remaining_amt, payrec, mode_code,coinsurance_code,class_cd,it_remarks) values('29May250204','050000775554','2764',(select max(to_number(i.premium_rcv_detail_code))+1
from ins_premium_det i),'2764','2764','02', '11000003','00','Request by Mr. Omair Ali 30-May-2025');</v>
      </c>
    </row>
    <row r="100" spans="1:8" ht="90" x14ac:dyDescent="0.25">
      <c r="A100" t="s">
        <v>106</v>
      </c>
      <c r="B100" t="str">
        <f>VLOOKUP(A100,policy!B:C,2,0)</f>
        <v>050000777819</v>
      </c>
      <c r="C100" s="17">
        <v>834</v>
      </c>
      <c r="D100" s="45">
        <f t="shared" si="5"/>
        <v>834</v>
      </c>
      <c r="E100" s="44" t="s">
        <v>374</v>
      </c>
      <c r="F100" s="46" t="str">
        <f t="shared" si="4"/>
        <v>insert into ins_premium_det (premium_rcv_code,assorted_code, rec_amount,premium_rcv_detail_code,remaining_amt, payrec, mode_code,coinsurance_code,class_cd,it_remarks) values</v>
      </c>
      <c r="G100" s="47" t="str">
        <f t="shared" si="6"/>
        <v>('29May250204','050000777819','834',(select max(to_number(i.premium_rcv_detail_code))+1
from ins_premium_det i),'834','834','02', '11000003','00','Request by Mr. Omair Ali 30-May-2025');</v>
      </c>
      <c r="H100" s="48" t="str">
        <f t="shared" si="7"/>
        <v>insert into ins_premium_det (premium_rcv_code,assorted_code, rec_amount,premium_rcv_detail_code,remaining_amt, payrec, mode_code,coinsurance_code,class_cd,it_remarks) values('29May250204','050000777819','834',(select max(to_number(i.premium_rcv_detail_code))+1
from ins_premium_det i),'834','834','02', '11000003','00','Request by Mr. Omair Ali 30-May-2025');</v>
      </c>
    </row>
    <row r="101" spans="1:8" ht="90" x14ac:dyDescent="0.25">
      <c r="A101" t="s">
        <v>107</v>
      </c>
      <c r="B101" t="str">
        <f>VLOOKUP(A101,policy!B:C,2,0)</f>
        <v>050000778001</v>
      </c>
      <c r="C101" s="17">
        <v>824</v>
      </c>
      <c r="D101" s="45">
        <f t="shared" si="5"/>
        <v>824</v>
      </c>
      <c r="E101" s="44" t="s">
        <v>374</v>
      </c>
      <c r="F101" s="46" t="str">
        <f t="shared" si="4"/>
        <v>insert into ins_premium_det (premium_rcv_code,assorted_code, rec_amount,premium_rcv_detail_code,remaining_amt, payrec, mode_code,coinsurance_code,class_cd,it_remarks) values</v>
      </c>
      <c r="G101" s="47" t="str">
        <f t="shared" si="6"/>
        <v>('29May250204','050000778001','824',(select max(to_number(i.premium_rcv_detail_code))+1
from ins_premium_det i),'824','824','02', '11000003','00','Request by Mr. Omair Ali 30-May-2025');</v>
      </c>
      <c r="H101" s="48" t="str">
        <f t="shared" si="7"/>
        <v>insert into ins_premium_det (premium_rcv_code,assorted_code, rec_amount,premium_rcv_detail_code,remaining_amt, payrec, mode_code,coinsurance_code,class_cd,it_remarks) values('29May250204','050000778001','824',(select max(to_number(i.premium_rcv_detail_code))+1
from ins_premium_det i),'824','824','02', '11000003','00','Request by Mr. Omair Ali 30-May-2025');</v>
      </c>
    </row>
    <row r="102" spans="1:8" ht="90" x14ac:dyDescent="0.25">
      <c r="A102" t="s">
        <v>108</v>
      </c>
      <c r="B102" t="str">
        <f>VLOOKUP(A102,policy!B:C,2,0)</f>
        <v>050000778119</v>
      </c>
      <c r="C102" s="17">
        <v>117391</v>
      </c>
      <c r="D102" s="45">
        <f t="shared" si="5"/>
        <v>117391</v>
      </c>
      <c r="E102" s="44" t="s">
        <v>374</v>
      </c>
      <c r="F102" s="46" t="str">
        <f t="shared" si="4"/>
        <v>insert into ins_premium_det (premium_rcv_code,assorted_code, rec_amount,premium_rcv_detail_code,remaining_amt, payrec, mode_code,coinsurance_code,class_cd,it_remarks) values</v>
      </c>
      <c r="G102" s="47" t="str">
        <f t="shared" si="6"/>
        <v>('29May250204','050000778119','117391',(select max(to_number(i.premium_rcv_detail_code))+1
from ins_premium_det i),'117391','117391','02', '11000003','00','Request by Mr. Omair Ali 30-May-2025');</v>
      </c>
      <c r="H102" s="48" t="str">
        <f t="shared" si="7"/>
        <v>insert into ins_premium_det (premium_rcv_code,assorted_code, rec_amount,premium_rcv_detail_code,remaining_amt, payrec, mode_code,coinsurance_code,class_cd,it_remarks) values('29May250204','050000778119','117391',(select max(to_number(i.premium_rcv_detail_code))+1
from ins_premium_det i),'117391','117391','02', '11000003','00','Request by Mr. Omair Ali 30-May-2025');</v>
      </c>
    </row>
    <row r="103" spans="1:8" ht="90" x14ac:dyDescent="0.25">
      <c r="A103" t="s">
        <v>109</v>
      </c>
      <c r="B103" t="str">
        <f>VLOOKUP(A103,policy!B:C,2,0)</f>
        <v>050000778714</v>
      </c>
      <c r="C103" s="17">
        <v>698081</v>
      </c>
      <c r="D103" s="45">
        <f t="shared" si="5"/>
        <v>698081</v>
      </c>
      <c r="E103" s="44" t="s">
        <v>374</v>
      </c>
      <c r="F103" s="46" t="str">
        <f t="shared" si="4"/>
        <v>insert into ins_premium_det (premium_rcv_code,assorted_code, rec_amount,premium_rcv_detail_code,remaining_amt, payrec, mode_code,coinsurance_code,class_cd,it_remarks) values</v>
      </c>
      <c r="G103" s="47" t="str">
        <f t="shared" si="6"/>
        <v>('29May250204','050000778714','698081',(select max(to_number(i.premium_rcv_detail_code))+1
from ins_premium_det i),'698081','698081','02', '11000003','00','Request by Mr. Omair Ali 30-May-2025');</v>
      </c>
      <c r="H103" s="48" t="str">
        <f t="shared" si="7"/>
        <v>insert into ins_premium_det (premium_rcv_code,assorted_code, rec_amount,premium_rcv_detail_code,remaining_amt, payrec, mode_code,coinsurance_code,class_cd,it_remarks) values('29May250204','050000778714','698081',(select max(to_number(i.premium_rcv_detail_code))+1
from ins_premium_det i),'698081','698081','02', '11000003','00','Request by Mr. Omair Ali 30-May-2025');</v>
      </c>
    </row>
    <row r="104" spans="1:8" ht="90" x14ac:dyDescent="0.25">
      <c r="A104" t="s">
        <v>110</v>
      </c>
      <c r="B104" t="str">
        <f>VLOOKUP(A104,policy!B:C,2,0)</f>
        <v>050000778899</v>
      </c>
      <c r="C104" s="17">
        <v>-9273</v>
      </c>
      <c r="D104" s="45">
        <f t="shared" si="5"/>
        <v>-9273</v>
      </c>
      <c r="E104" s="44" t="s">
        <v>374</v>
      </c>
      <c r="F104" s="46" t="str">
        <f t="shared" si="4"/>
        <v>insert into ins_premium_det (premium_rcv_code,assorted_code, rec_amount,premium_rcv_detail_code,remaining_amt, payrec, mode_code,coinsurance_code,class_cd,it_remarks) values</v>
      </c>
      <c r="G104" s="47" t="str">
        <f t="shared" si="6"/>
        <v>('29May250204','050000778899','-9273',(select max(to_number(i.premium_rcv_detail_code))+1
from ins_premium_det i),'-9273','-9273','02', '11000003','00','Request by Mr. Omair Ali 30-May-2025');</v>
      </c>
      <c r="H104" s="48" t="str">
        <f t="shared" si="7"/>
        <v>insert into ins_premium_det (premium_rcv_code,assorted_code, rec_amount,premium_rcv_detail_code,remaining_amt, payrec, mode_code,coinsurance_code,class_cd,it_remarks) values('29May250204','050000778899','-9273',(select max(to_number(i.premium_rcv_detail_code))+1
from ins_premium_det i),'-9273','-9273','02', '11000003','00','Request by Mr. Omair Ali 30-May-2025');</v>
      </c>
    </row>
    <row r="105" spans="1:8" ht="90" x14ac:dyDescent="0.25">
      <c r="A105" t="s">
        <v>111</v>
      </c>
      <c r="B105" t="str">
        <f>VLOOKUP(A105,policy!B:C,2,0)</f>
        <v>050000779257</v>
      </c>
      <c r="C105" s="17">
        <v>21238</v>
      </c>
      <c r="D105" s="45">
        <f t="shared" si="5"/>
        <v>21238</v>
      </c>
      <c r="E105" s="44" t="s">
        <v>374</v>
      </c>
      <c r="F105" s="46" t="str">
        <f t="shared" si="4"/>
        <v>insert into ins_premium_det (premium_rcv_code,assorted_code, rec_amount,premium_rcv_detail_code,remaining_amt, payrec, mode_code,coinsurance_code,class_cd,it_remarks) values</v>
      </c>
      <c r="G105" s="47" t="str">
        <f t="shared" si="6"/>
        <v>('29May250204','050000779257','21238',(select max(to_number(i.premium_rcv_detail_code))+1
from ins_premium_det i),'21238','21238','02', '11000003','00','Request by Mr. Omair Ali 30-May-2025');</v>
      </c>
      <c r="H105" s="48" t="str">
        <f t="shared" si="7"/>
        <v>insert into ins_premium_det (premium_rcv_code,assorted_code, rec_amount,premium_rcv_detail_code,remaining_amt, payrec, mode_code,coinsurance_code,class_cd,it_remarks) values('29May250204','050000779257','21238',(select max(to_number(i.premium_rcv_detail_code))+1
from ins_premium_det i),'21238','21238','02', '11000003','00','Request by Mr. Omair Ali 30-May-2025');</v>
      </c>
    </row>
    <row r="106" spans="1:8" ht="90" x14ac:dyDescent="0.25">
      <c r="A106" t="s">
        <v>112</v>
      </c>
      <c r="B106" t="str">
        <f>VLOOKUP(A106,policy!B:C,2,0)</f>
        <v>050000780651</v>
      </c>
      <c r="C106" s="17">
        <v>187050</v>
      </c>
      <c r="D106" s="45">
        <f t="shared" si="5"/>
        <v>187050</v>
      </c>
      <c r="E106" s="44" t="s">
        <v>374</v>
      </c>
      <c r="F106" s="46" t="str">
        <f t="shared" si="4"/>
        <v>insert into ins_premium_det (premium_rcv_code,assorted_code, rec_amount,premium_rcv_detail_code,remaining_amt, payrec, mode_code,coinsurance_code,class_cd,it_remarks) values</v>
      </c>
      <c r="G106" s="47" t="str">
        <f t="shared" si="6"/>
        <v>('29May250204','050000780651','187050',(select max(to_number(i.premium_rcv_detail_code))+1
from ins_premium_det i),'187050','187050','02', '11000003','00','Request by Mr. Omair Ali 30-May-2025');</v>
      </c>
      <c r="H106" s="48" t="str">
        <f t="shared" si="7"/>
        <v>insert into ins_premium_det (premium_rcv_code,assorted_code, rec_amount,premium_rcv_detail_code,remaining_amt, payrec, mode_code,coinsurance_code,class_cd,it_remarks) values('29May250204','050000780651','187050',(select max(to_number(i.premium_rcv_detail_code))+1
from ins_premium_det i),'187050','187050','02', '11000003','00','Request by Mr. Omair Ali 30-May-2025');</v>
      </c>
    </row>
    <row r="107" spans="1:8" ht="90" x14ac:dyDescent="0.25">
      <c r="A107" t="s">
        <v>113</v>
      </c>
      <c r="B107" t="str">
        <f>VLOOKUP(A107,policy!B:C,2,0)</f>
        <v>050000781960</v>
      </c>
      <c r="C107" s="17">
        <v>121706</v>
      </c>
      <c r="D107" s="45">
        <f t="shared" si="5"/>
        <v>121706</v>
      </c>
      <c r="E107" s="44" t="s">
        <v>374</v>
      </c>
      <c r="F107" s="46" t="str">
        <f t="shared" si="4"/>
        <v>insert into ins_premium_det (premium_rcv_code,assorted_code, rec_amount,premium_rcv_detail_code,remaining_amt, payrec, mode_code,coinsurance_code,class_cd,it_remarks) values</v>
      </c>
      <c r="G107" s="47" t="str">
        <f t="shared" si="6"/>
        <v>('29May250204','050000781960','121706',(select max(to_number(i.premium_rcv_detail_code))+1
from ins_premium_det i),'121706','121706','02', '11000003','00','Request by Mr. Omair Ali 30-May-2025');</v>
      </c>
      <c r="H107" s="48" t="str">
        <f t="shared" si="7"/>
        <v>insert into ins_premium_det (premium_rcv_code,assorted_code, rec_amount,premium_rcv_detail_code,remaining_amt, payrec, mode_code,coinsurance_code,class_cd,it_remarks) values('29May250204','050000781960','121706',(select max(to_number(i.premium_rcv_detail_code))+1
from ins_premium_det i),'121706','121706','02', '11000003','00','Request by Mr. Omair Ali 30-May-2025');</v>
      </c>
    </row>
    <row r="108" spans="1:8" ht="90" x14ac:dyDescent="0.25">
      <c r="A108" t="s">
        <v>114</v>
      </c>
      <c r="B108" t="str">
        <f>VLOOKUP(A108,policy!B:C,2,0)</f>
        <v>050000785772</v>
      </c>
      <c r="C108" s="17">
        <v>785</v>
      </c>
      <c r="D108" s="45">
        <f t="shared" si="5"/>
        <v>785</v>
      </c>
      <c r="E108" s="44" t="s">
        <v>374</v>
      </c>
      <c r="F108" s="46" t="str">
        <f t="shared" si="4"/>
        <v>insert into ins_premium_det (premium_rcv_code,assorted_code, rec_amount,premium_rcv_detail_code,remaining_amt, payrec, mode_code,coinsurance_code,class_cd,it_remarks) values</v>
      </c>
      <c r="G108" s="47" t="str">
        <f t="shared" si="6"/>
        <v>('29May250204','050000785772','785',(select max(to_number(i.premium_rcv_detail_code))+1
from ins_premium_det i),'785','785','02', '11000003','00','Request by Mr. Omair Ali 30-May-2025');</v>
      </c>
      <c r="H108" s="48" t="str">
        <f t="shared" si="7"/>
        <v>insert into ins_premium_det (premium_rcv_code,assorted_code, rec_amount,premium_rcv_detail_code,remaining_amt, payrec, mode_code,coinsurance_code,class_cd,it_remarks) values('29May250204','050000785772','785',(select max(to_number(i.premium_rcv_detail_code))+1
from ins_premium_det i),'785','785','02', '11000003','00','Request by Mr. Omair Ali 30-May-2025');</v>
      </c>
    </row>
    <row r="109" spans="1:8" ht="90" x14ac:dyDescent="0.25">
      <c r="A109" t="s">
        <v>115</v>
      </c>
      <c r="B109" t="str">
        <f>VLOOKUP(A109,policy!B:C,2,0)</f>
        <v>050000786192</v>
      </c>
      <c r="C109" s="17">
        <v>-336267</v>
      </c>
      <c r="D109" s="45">
        <f t="shared" si="5"/>
        <v>-336267</v>
      </c>
      <c r="E109" s="44" t="s">
        <v>374</v>
      </c>
      <c r="F109" s="46" t="str">
        <f t="shared" si="4"/>
        <v>insert into ins_premium_det (premium_rcv_code,assorted_code, rec_amount,premium_rcv_detail_code,remaining_amt, payrec, mode_code,coinsurance_code,class_cd,it_remarks) values</v>
      </c>
      <c r="G109" s="47" t="str">
        <f t="shared" si="6"/>
        <v>('29May250204','050000786192','-336267',(select max(to_number(i.premium_rcv_detail_code))+1
from ins_premium_det i),'-336267','-336267','02', '11000003','00','Request by Mr. Omair Ali 30-May-2025');</v>
      </c>
      <c r="H109" s="48" t="str">
        <f t="shared" si="7"/>
        <v>insert into ins_premium_det (premium_rcv_code,assorted_code, rec_amount,premium_rcv_detail_code,remaining_amt, payrec, mode_code,coinsurance_code,class_cd,it_remarks) values('29May250204','050000786192','-336267',(select max(to_number(i.premium_rcv_detail_code))+1
from ins_premium_det i),'-336267','-336267','02', '11000003','00','Request by Mr. Omair Ali 30-May-2025');</v>
      </c>
    </row>
    <row r="110" spans="1:8" ht="90" x14ac:dyDescent="0.25">
      <c r="A110" t="s">
        <v>116</v>
      </c>
      <c r="B110" t="str">
        <f>VLOOKUP(A110,policy!B:C,2,0)</f>
        <v>050000786430</v>
      </c>
      <c r="C110" s="17">
        <v>216886</v>
      </c>
      <c r="D110" s="45">
        <f t="shared" si="5"/>
        <v>216886</v>
      </c>
      <c r="E110" s="44" t="s">
        <v>374</v>
      </c>
      <c r="F110" s="46" t="str">
        <f t="shared" si="4"/>
        <v>insert into ins_premium_det (premium_rcv_code,assorted_code, rec_amount,premium_rcv_detail_code,remaining_amt, payrec, mode_code,coinsurance_code,class_cd,it_remarks) values</v>
      </c>
      <c r="G110" s="47" t="str">
        <f t="shared" si="6"/>
        <v>('29May250204','050000786430','216886',(select max(to_number(i.premium_rcv_detail_code))+1
from ins_premium_det i),'216886','216886','02', '11000003','00','Request by Mr. Omair Ali 30-May-2025');</v>
      </c>
      <c r="H110" s="48" t="str">
        <f t="shared" si="7"/>
        <v>insert into ins_premium_det (premium_rcv_code,assorted_code, rec_amount,premium_rcv_detail_code,remaining_amt, payrec, mode_code,coinsurance_code,class_cd,it_remarks) values('29May250204','050000786430','216886',(select max(to_number(i.premium_rcv_detail_code))+1
from ins_premium_det i),'216886','216886','02', '11000003','00','Request by Mr. Omair Ali 30-May-2025');</v>
      </c>
    </row>
    <row r="111" spans="1:8" ht="90" x14ac:dyDescent="0.25">
      <c r="A111" t="s">
        <v>117</v>
      </c>
      <c r="B111" t="str">
        <f>VLOOKUP(A111,policy!B:C,2,0)</f>
        <v>050000786433</v>
      </c>
      <c r="C111" s="17">
        <v>8</v>
      </c>
      <c r="D111" s="45">
        <f t="shared" si="5"/>
        <v>8</v>
      </c>
      <c r="E111" s="44" t="s">
        <v>374</v>
      </c>
      <c r="F111" s="46" t="str">
        <f t="shared" si="4"/>
        <v>insert into ins_premium_det (premium_rcv_code,assorted_code, rec_amount,premium_rcv_detail_code,remaining_amt, payrec, mode_code,coinsurance_code,class_cd,it_remarks) values</v>
      </c>
      <c r="G111" s="47" t="str">
        <f t="shared" si="6"/>
        <v>('29May250204','050000786433','8',(select max(to_number(i.premium_rcv_detail_code))+1
from ins_premium_det i),'8','8','02', '11000003','00','Request by Mr. Omair Ali 30-May-2025');</v>
      </c>
      <c r="H111" s="48" t="str">
        <f t="shared" si="7"/>
        <v>insert into ins_premium_det (premium_rcv_code,assorted_code, rec_amount,premium_rcv_detail_code,remaining_amt, payrec, mode_code,coinsurance_code,class_cd,it_remarks) values('29May250204','050000786433','8',(select max(to_number(i.premium_rcv_detail_code))+1
from ins_premium_det i),'8','8','02', '11000003','00','Request by Mr. Omair Ali 30-May-2025');</v>
      </c>
    </row>
    <row r="112" spans="1:8" ht="90" x14ac:dyDescent="0.25">
      <c r="A112" t="s">
        <v>118</v>
      </c>
      <c r="B112" t="str">
        <f>VLOOKUP(A112,policy!B:C,2,0)</f>
        <v>050000786438</v>
      </c>
      <c r="C112" s="17">
        <v>9489</v>
      </c>
      <c r="D112" s="45">
        <f t="shared" si="5"/>
        <v>9489</v>
      </c>
      <c r="E112" s="44" t="s">
        <v>374</v>
      </c>
      <c r="F112" s="46" t="str">
        <f t="shared" si="4"/>
        <v>insert into ins_premium_det (premium_rcv_code,assorted_code, rec_amount,premium_rcv_detail_code,remaining_amt, payrec, mode_code,coinsurance_code,class_cd,it_remarks) values</v>
      </c>
      <c r="G112" s="47" t="str">
        <f t="shared" si="6"/>
        <v>('29May250204','050000786438','9489',(select max(to_number(i.premium_rcv_detail_code))+1
from ins_premium_det i),'9489','9489','02', '11000003','00','Request by Mr. Omair Ali 30-May-2025');</v>
      </c>
      <c r="H112" s="48" t="str">
        <f t="shared" si="7"/>
        <v>insert into ins_premium_det (premium_rcv_code,assorted_code, rec_amount,premium_rcv_detail_code,remaining_amt, payrec, mode_code,coinsurance_code,class_cd,it_remarks) values('29May250204','050000786438','9489',(select max(to_number(i.premium_rcv_detail_code))+1
from ins_premium_det i),'9489','9489','02', '11000003','00','Request by Mr. Omair Ali 30-May-2025');</v>
      </c>
    </row>
    <row r="113" spans="1:8" ht="90" x14ac:dyDescent="0.25">
      <c r="A113" t="s">
        <v>119</v>
      </c>
      <c r="B113" t="str">
        <f>VLOOKUP(A113,policy!B:C,2,0)</f>
        <v>050000788711</v>
      </c>
      <c r="C113" s="17">
        <v>699</v>
      </c>
      <c r="D113" s="45">
        <f t="shared" si="5"/>
        <v>699</v>
      </c>
      <c r="E113" s="44" t="s">
        <v>374</v>
      </c>
      <c r="F113" s="46" t="str">
        <f t="shared" si="4"/>
        <v>insert into ins_premium_det (premium_rcv_code,assorted_code, rec_amount,premium_rcv_detail_code,remaining_amt, payrec, mode_code,coinsurance_code,class_cd,it_remarks) values</v>
      </c>
      <c r="G113" s="47" t="str">
        <f t="shared" si="6"/>
        <v>('29May250204','050000788711','699',(select max(to_number(i.premium_rcv_detail_code))+1
from ins_premium_det i),'699','699','02', '11000003','00','Request by Mr. Omair Ali 30-May-2025');</v>
      </c>
      <c r="H113" s="48" t="str">
        <f t="shared" si="7"/>
        <v>insert into ins_premium_det (premium_rcv_code,assorted_code, rec_amount,premium_rcv_detail_code,remaining_amt, payrec, mode_code,coinsurance_code,class_cd,it_remarks) values('29May250204','050000788711','699',(select max(to_number(i.premium_rcv_detail_code))+1
from ins_premium_det i),'699','699','02', '11000003','00','Request by Mr. Omair Ali 30-May-2025');</v>
      </c>
    </row>
    <row r="114" spans="1:8" ht="90" x14ac:dyDescent="0.25">
      <c r="A114" t="s">
        <v>120</v>
      </c>
      <c r="B114" t="str">
        <f>VLOOKUP(A114,policy!B:C,2,0)</f>
        <v>050000788840</v>
      </c>
      <c r="C114" s="17">
        <v>63079</v>
      </c>
      <c r="D114" s="45">
        <f t="shared" si="5"/>
        <v>63079</v>
      </c>
      <c r="E114" s="44" t="s">
        <v>374</v>
      </c>
      <c r="F114" s="46" t="str">
        <f t="shared" si="4"/>
        <v>insert into ins_premium_det (premium_rcv_code,assorted_code, rec_amount,premium_rcv_detail_code,remaining_amt, payrec, mode_code,coinsurance_code,class_cd,it_remarks) values</v>
      </c>
      <c r="G114" s="47" t="str">
        <f t="shared" si="6"/>
        <v>('29May250204','050000788840','63079',(select max(to_number(i.premium_rcv_detail_code))+1
from ins_premium_det i),'63079','63079','02', '11000003','00','Request by Mr. Omair Ali 30-May-2025');</v>
      </c>
      <c r="H114" s="48" t="str">
        <f t="shared" si="7"/>
        <v>insert into ins_premium_det (premium_rcv_code,assorted_code, rec_amount,premium_rcv_detail_code,remaining_amt, payrec, mode_code,coinsurance_code,class_cd,it_remarks) values('29May250204','050000788840','63079',(select max(to_number(i.premium_rcv_detail_code))+1
from ins_premium_det i),'63079','63079','02', '11000003','00','Request by Mr. Omair Ali 30-May-2025');</v>
      </c>
    </row>
    <row r="115" spans="1:8" ht="90" x14ac:dyDescent="0.25">
      <c r="A115" t="s">
        <v>121</v>
      </c>
      <c r="B115" t="str">
        <f>VLOOKUP(A115,policy!B:C,2,0)</f>
        <v>050000789479</v>
      </c>
      <c r="C115" s="17">
        <v>-4921</v>
      </c>
      <c r="D115" s="45">
        <f t="shared" si="5"/>
        <v>-4921</v>
      </c>
      <c r="E115" s="44" t="s">
        <v>374</v>
      </c>
      <c r="F115" s="46" t="str">
        <f t="shared" si="4"/>
        <v>insert into ins_premium_det (premium_rcv_code,assorted_code, rec_amount,premium_rcv_detail_code,remaining_amt, payrec, mode_code,coinsurance_code,class_cd,it_remarks) values</v>
      </c>
      <c r="G115" s="47" t="str">
        <f t="shared" si="6"/>
        <v>('29May250204','050000789479','-4921',(select max(to_number(i.premium_rcv_detail_code))+1
from ins_premium_det i),'-4921','-4921','02', '11000003','00','Request by Mr. Omair Ali 30-May-2025');</v>
      </c>
      <c r="H115" s="48" t="str">
        <f t="shared" si="7"/>
        <v>insert into ins_premium_det (premium_rcv_code,assorted_code, rec_amount,premium_rcv_detail_code,remaining_amt, payrec, mode_code,coinsurance_code,class_cd,it_remarks) values('29May250204','050000789479','-4921',(select max(to_number(i.premium_rcv_detail_code))+1
from ins_premium_det i),'-4921','-4921','02', '11000003','00','Request by Mr. Omair Ali 30-May-2025');</v>
      </c>
    </row>
    <row r="116" spans="1:8" ht="90" x14ac:dyDescent="0.25">
      <c r="A116" t="s">
        <v>122</v>
      </c>
      <c r="B116" t="str">
        <f>VLOOKUP(A116,policy!B:C,2,0)</f>
        <v>050000791176</v>
      </c>
      <c r="C116" s="17">
        <v>428026</v>
      </c>
      <c r="D116" s="45">
        <f t="shared" si="5"/>
        <v>428026</v>
      </c>
      <c r="E116" s="44" t="s">
        <v>374</v>
      </c>
      <c r="F116" s="46" t="str">
        <f t="shared" si="4"/>
        <v>insert into ins_premium_det (premium_rcv_code,assorted_code, rec_amount,premium_rcv_detail_code,remaining_amt, payrec, mode_code,coinsurance_code,class_cd,it_remarks) values</v>
      </c>
      <c r="G116" s="47" t="str">
        <f t="shared" si="6"/>
        <v>('29May250204','050000791176','428026',(select max(to_number(i.premium_rcv_detail_code))+1
from ins_premium_det i),'428026','428026','02', '11000003','00','Request by Mr. Omair Ali 30-May-2025');</v>
      </c>
      <c r="H116" s="48" t="str">
        <f t="shared" si="7"/>
        <v>insert into ins_premium_det (premium_rcv_code,assorted_code, rec_amount,premium_rcv_detail_code,remaining_amt, payrec, mode_code,coinsurance_code,class_cd,it_remarks) values('29May250204','050000791176','428026',(select max(to_number(i.premium_rcv_detail_code))+1
from ins_premium_det i),'428026','428026','02', '11000003','00','Request by Mr. Omair Ali 30-May-2025');</v>
      </c>
    </row>
    <row r="117" spans="1:8" ht="90" x14ac:dyDescent="0.25">
      <c r="A117" t="s">
        <v>123</v>
      </c>
      <c r="B117" t="str">
        <f>VLOOKUP(A117,policy!B:C,2,0)</f>
        <v>050000791630</v>
      </c>
      <c r="C117" s="17">
        <v>603</v>
      </c>
      <c r="D117" s="45">
        <f t="shared" si="5"/>
        <v>603</v>
      </c>
      <c r="E117" s="44" t="s">
        <v>374</v>
      </c>
      <c r="F117" s="46" t="str">
        <f t="shared" si="4"/>
        <v>insert into ins_premium_det (premium_rcv_code,assorted_code, rec_amount,premium_rcv_detail_code,remaining_amt, payrec, mode_code,coinsurance_code,class_cd,it_remarks) values</v>
      </c>
      <c r="G117" s="47" t="str">
        <f t="shared" si="6"/>
        <v>('29May250204','050000791630','603',(select max(to_number(i.premium_rcv_detail_code))+1
from ins_premium_det i),'603','603','02', '11000003','00','Request by Mr. Omair Ali 30-May-2025');</v>
      </c>
      <c r="H117" s="48" t="str">
        <f t="shared" si="7"/>
        <v>insert into ins_premium_det (premium_rcv_code,assorted_code, rec_amount,premium_rcv_detail_code,remaining_amt, payrec, mode_code,coinsurance_code,class_cd,it_remarks) values('29May250204','050000791630','603',(select max(to_number(i.premium_rcv_detail_code))+1
from ins_premium_det i),'603','603','02', '11000003','00','Request by Mr. Omair Ali 30-May-2025');</v>
      </c>
    </row>
    <row r="118" spans="1:8" ht="90" x14ac:dyDescent="0.25">
      <c r="A118" t="s">
        <v>124</v>
      </c>
      <c r="B118" t="str">
        <f>VLOOKUP(A118,policy!B:C,2,0)</f>
        <v>050000792357</v>
      </c>
      <c r="C118" s="17">
        <v>391</v>
      </c>
      <c r="D118" s="45">
        <f t="shared" si="5"/>
        <v>391</v>
      </c>
      <c r="E118" s="44" t="s">
        <v>374</v>
      </c>
      <c r="F118" s="46" t="str">
        <f t="shared" si="4"/>
        <v>insert into ins_premium_det (premium_rcv_code,assorted_code, rec_amount,premium_rcv_detail_code,remaining_amt, payrec, mode_code,coinsurance_code,class_cd,it_remarks) values</v>
      </c>
      <c r="G118" s="47" t="str">
        <f t="shared" si="6"/>
        <v>('29May250204','050000792357','391',(select max(to_number(i.premium_rcv_detail_code))+1
from ins_premium_det i),'391','391','02', '11000003','00','Request by Mr. Omair Ali 30-May-2025');</v>
      </c>
      <c r="H118" s="48" t="str">
        <f t="shared" si="7"/>
        <v>insert into ins_premium_det (premium_rcv_code,assorted_code, rec_amount,premium_rcv_detail_code,remaining_amt, payrec, mode_code,coinsurance_code,class_cd,it_remarks) values('29May250204','050000792357','391',(select max(to_number(i.premium_rcv_detail_code))+1
from ins_premium_det i),'391','391','02', '11000003','00','Request by Mr. Omair Ali 30-May-2025');</v>
      </c>
    </row>
    <row r="119" spans="1:8" ht="90" x14ac:dyDescent="0.25">
      <c r="A119" t="s">
        <v>125</v>
      </c>
      <c r="B119" t="str">
        <f>VLOOKUP(A119,policy!B:C,2,0)</f>
        <v>050000793176</v>
      </c>
      <c r="C119" s="17">
        <v>402</v>
      </c>
      <c r="D119" s="45">
        <f t="shared" si="5"/>
        <v>402</v>
      </c>
      <c r="E119" s="44" t="s">
        <v>374</v>
      </c>
      <c r="F119" s="46" t="str">
        <f t="shared" si="4"/>
        <v>insert into ins_premium_det (premium_rcv_code,assorted_code, rec_amount,premium_rcv_detail_code,remaining_amt, payrec, mode_code,coinsurance_code,class_cd,it_remarks) values</v>
      </c>
      <c r="G119" s="47" t="str">
        <f t="shared" si="6"/>
        <v>('29May250204','050000793176','402',(select max(to_number(i.premium_rcv_detail_code))+1
from ins_premium_det i),'402','402','02', '11000003','00','Request by Mr. Omair Ali 30-May-2025');</v>
      </c>
      <c r="H119" s="48" t="str">
        <f t="shared" si="7"/>
        <v>insert into ins_premium_det (premium_rcv_code,assorted_code, rec_amount,premium_rcv_detail_code,remaining_amt, payrec, mode_code,coinsurance_code,class_cd,it_remarks) values('29May250204','050000793176','402',(select max(to_number(i.premium_rcv_detail_code))+1
from ins_premium_det i),'402','402','02', '11000003','00','Request by Mr. Omair Ali 30-May-2025');</v>
      </c>
    </row>
    <row r="120" spans="1:8" ht="90" x14ac:dyDescent="0.25">
      <c r="A120" t="s">
        <v>126</v>
      </c>
      <c r="B120" t="str">
        <f>VLOOKUP(A120,policy!B:C,2,0)</f>
        <v>050000795461</v>
      </c>
      <c r="C120" s="17">
        <v>3</v>
      </c>
      <c r="D120" s="45">
        <f t="shared" si="5"/>
        <v>3</v>
      </c>
      <c r="E120" s="44" t="s">
        <v>374</v>
      </c>
      <c r="F120" s="46" t="str">
        <f t="shared" si="4"/>
        <v>insert into ins_premium_det (premium_rcv_code,assorted_code, rec_amount,premium_rcv_detail_code,remaining_amt, payrec, mode_code,coinsurance_code,class_cd,it_remarks) values</v>
      </c>
      <c r="G120" s="47" t="str">
        <f t="shared" si="6"/>
        <v>('29May250204','050000795461','3',(select max(to_number(i.premium_rcv_detail_code))+1
from ins_premium_det i),'3','3','02', '11000003','00','Request by Mr. Omair Ali 30-May-2025');</v>
      </c>
      <c r="H120" s="48" t="str">
        <f t="shared" si="7"/>
        <v>insert into ins_premium_det (premium_rcv_code,assorted_code, rec_amount,premium_rcv_detail_code,remaining_amt, payrec, mode_code,coinsurance_code,class_cd,it_remarks) values('29May250204','050000795461','3',(select max(to_number(i.premium_rcv_detail_code))+1
from ins_premium_det i),'3','3','02', '11000003','00','Request by Mr. Omair Ali 30-May-2025');</v>
      </c>
    </row>
    <row r="121" spans="1:8" ht="90" x14ac:dyDescent="0.25">
      <c r="A121" t="s">
        <v>127</v>
      </c>
      <c r="B121" t="str">
        <f>VLOOKUP(A121,policy!B:C,2,0)</f>
        <v>050000795464</v>
      </c>
      <c r="C121" s="17">
        <v>-120720</v>
      </c>
      <c r="D121" s="45">
        <f t="shared" si="5"/>
        <v>-120720</v>
      </c>
      <c r="E121" s="44" t="s">
        <v>374</v>
      </c>
      <c r="F121" s="46" t="str">
        <f t="shared" si="4"/>
        <v>insert into ins_premium_det (premium_rcv_code,assorted_code, rec_amount,premium_rcv_detail_code,remaining_amt, payrec, mode_code,coinsurance_code,class_cd,it_remarks) values</v>
      </c>
      <c r="G121" s="47" t="str">
        <f t="shared" si="6"/>
        <v>('29May250204','050000795464','-120720',(select max(to_number(i.premium_rcv_detail_code))+1
from ins_premium_det i),'-120720','-120720','02', '11000003','00','Request by Mr. Omair Ali 30-May-2025');</v>
      </c>
      <c r="H121" s="48" t="str">
        <f t="shared" si="7"/>
        <v>insert into ins_premium_det (premium_rcv_code,assorted_code, rec_amount,premium_rcv_detail_code,remaining_amt, payrec, mode_code,coinsurance_code,class_cd,it_remarks) values('29May250204','050000795464','-120720',(select max(to_number(i.premium_rcv_detail_code))+1
from ins_premium_det i),'-120720','-120720','02', '11000003','00','Request by Mr. Omair Ali 30-May-2025');</v>
      </c>
    </row>
    <row r="122" spans="1:8" ht="90" x14ac:dyDescent="0.25">
      <c r="A122" t="s">
        <v>128</v>
      </c>
      <c r="B122" t="str">
        <f>VLOOKUP(A122,policy!B:C,2,0)</f>
        <v>050000795522</v>
      </c>
      <c r="C122" s="17">
        <v>102071</v>
      </c>
      <c r="D122" s="45">
        <f t="shared" si="5"/>
        <v>102071</v>
      </c>
      <c r="E122" s="44" t="s">
        <v>374</v>
      </c>
      <c r="F122" s="46" t="str">
        <f t="shared" si="4"/>
        <v>insert into ins_premium_det (premium_rcv_code,assorted_code, rec_amount,premium_rcv_detail_code,remaining_amt, payrec, mode_code,coinsurance_code,class_cd,it_remarks) values</v>
      </c>
      <c r="G122" s="47" t="str">
        <f t="shared" si="6"/>
        <v>('29May250204','050000795522','102071',(select max(to_number(i.premium_rcv_detail_code))+1
from ins_premium_det i),'102071','102071','02', '11000003','00','Request by Mr. Omair Ali 30-May-2025');</v>
      </c>
      <c r="H122" s="48" t="str">
        <f t="shared" si="7"/>
        <v>insert into ins_premium_det (premium_rcv_code,assorted_code, rec_amount,premium_rcv_detail_code,remaining_amt, payrec, mode_code,coinsurance_code,class_cd,it_remarks) values('29May250204','050000795522','102071',(select max(to_number(i.premium_rcv_detail_code))+1
from ins_premium_det i),'102071','102071','02', '11000003','00','Request by Mr. Omair Ali 30-May-2025');</v>
      </c>
    </row>
    <row r="123" spans="1:8" ht="90" x14ac:dyDescent="0.25">
      <c r="A123" t="s">
        <v>129</v>
      </c>
      <c r="B123" t="str">
        <f>VLOOKUP(A123,policy!B:C,2,0)</f>
        <v>050000795580</v>
      </c>
      <c r="C123" s="17">
        <v>9580</v>
      </c>
      <c r="D123" s="45">
        <f t="shared" si="5"/>
        <v>9580</v>
      </c>
      <c r="E123" s="44" t="s">
        <v>374</v>
      </c>
      <c r="F123" s="46" t="str">
        <f t="shared" si="4"/>
        <v>insert into ins_premium_det (premium_rcv_code,assorted_code, rec_amount,premium_rcv_detail_code,remaining_amt, payrec, mode_code,coinsurance_code,class_cd,it_remarks) values</v>
      </c>
      <c r="G123" s="47" t="str">
        <f t="shared" si="6"/>
        <v>('29May250204','050000795580','9580',(select max(to_number(i.premium_rcv_detail_code))+1
from ins_premium_det i),'9580','9580','02', '11000003','00','Request by Mr. Omair Ali 30-May-2025');</v>
      </c>
      <c r="H123" s="48" t="str">
        <f t="shared" si="7"/>
        <v>insert into ins_premium_det (premium_rcv_code,assorted_code, rec_amount,premium_rcv_detail_code,remaining_amt, payrec, mode_code,coinsurance_code,class_cd,it_remarks) values('29May250204','050000795580','9580',(select max(to_number(i.premium_rcv_detail_code))+1
from ins_premium_det i),'9580','9580','02', '11000003','00','Request by Mr. Omair Ali 30-May-2025');</v>
      </c>
    </row>
    <row r="124" spans="1:8" ht="90" x14ac:dyDescent="0.25">
      <c r="A124" t="s">
        <v>130</v>
      </c>
      <c r="B124" t="str">
        <f>VLOOKUP(A124,policy!B:C,2,0)</f>
        <v>050000798031</v>
      </c>
      <c r="C124" s="17">
        <v>3</v>
      </c>
      <c r="D124" s="45">
        <f t="shared" si="5"/>
        <v>3</v>
      </c>
      <c r="E124" s="44" t="s">
        <v>374</v>
      </c>
      <c r="F124" s="46" t="str">
        <f t="shared" si="4"/>
        <v>insert into ins_premium_det (premium_rcv_code,assorted_code, rec_amount,premium_rcv_detail_code,remaining_amt, payrec, mode_code,coinsurance_code,class_cd,it_remarks) values</v>
      </c>
      <c r="G124" s="47" t="str">
        <f t="shared" si="6"/>
        <v>('29May250204','050000798031','3',(select max(to_number(i.premium_rcv_detail_code))+1
from ins_premium_det i),'3','3','02', '11000003','00','Request by Mr. Omair Ali 30-May-2025');</v>
      </c>
      <c r="H124" s="48" t="str">
        <f t="shared" si="7"/>
        <v>insert into ins_premium_det (premium_rcv_code,assorted_code, rec_amount,premium_rcv_detail_code,remaining_amt, payrec, mode_code,coinsurance_code,class_cd,it_remarks) values('29May250204','050000798031','3',(select max(to_number(i.premium_rcv_detail_code))+1
from ins_premium_det i),'3','3','02', '11000003','00','Request by Mr. Omair Ali 30-May-2025');</v>
      </c>
    </row>
    <row r="125" spans="1:8" ht="90" x14ac:dyDescent="0.25">
      <c r="A125" t="s">
        <v>131</v>
      </c>
      <c r="B125" t="str">
        <f>VLOOKUP(A125,policy!B:C,2,0)</f>
        <v>050000798329</v>
      </c>
      <c r="C125" s="17">
        <v>34767</v>
      </c>
      <c r="D125" s="45">
        <f t="shared" si="5"/>
        <v>34767</v>
      </c>
      <c r="E125" s="44" t="s">
        <v>374</v>
      </c>
      <c r="F125" s="46" t="str">
        <f t="shared" si="4"/>
        <v>insert into ins_premium_det (premium_rcv_code,assorted_code, rec_amount,premium_rcv_detail_code,remaining_amt, payrec, mode_code,coinsurance_code,class_cd,it_remarks) values</v>
      </c>
      <c r="G125" s="47" t="str">
        <f t="shared" si="6"/>
        <v>('29May250204','050000798329','34767',(select max(to_number(i.premium_rcv_detail_code))+1
from ins_premium_det i),'34767','34767','02', '11000003','00','Request by Mr. Omair Ali 30-May-2025');</v>
      </c>
      <c r="H125" s="48" t="str">
        <f t="shared" si="7"/>
        <v>insert into ins_premium_det (premium_rcv_code,assorted_code, rec_amount,premium_rcv_detail_code,remaining_amt, payrec, mode_code,coinsurance_code,class_cd,it_remarks) values('29May250204','050000798329','34767',(select max(to_number(i.premium_rcv_detail_code))+1
from ins_premium_det i),'34767','34767','02', '11000003','00','Request by Mr. Omair Ali 30-May-2025');</v>
      </c>
    </row>
    <row r="126" spans="1:8" ht="90" x14ac:dyDescent="0.25">
      <c r="A126" t="s">
        <v>132</v>
      </c>
      <c r="B126" t="str">
        <f>VLOOKUP(A126,policy!B:C,2,0)</f>
        <v>050000798944</v>
      </c>
      <c r="C126" s="17">
        <v>321</v>
      </c>
      <c r="D126" s="45">
        <f t="shared" si="5"/>
        <v>321</v>
      </c>
      <c r="E126" s="44" t="s">
        <v>374</v>
      </c>
      <c r="F126" s="46" t="str">
        <f t="shared" si="4"/>
        <v>insert into ins_premium_det (premium_rcv_code,assorted_code, rec_amount,premium_rcv_detail_code,remaining_amt, payrec, mode_code,coinsurance_code,class_cd,it_remarks) values</v>
      </c>
      <c r="G126" s="47" t="str">
        <f t="shared" si="6"/>
        <v>('29May250204','050000798944','321',(select max(to_number(i.premium_rcv_detail_code))+1
from ins_premium_det i),'321','321','02', '11000003','00','Request by Mr. Omair Ali 30-May-2025');</v>
      </c>
      <c r="H126" s="48" t="str">
        <f t="shared" si="7"/>
        <v>insert into ins_premium_det (premium_rcv_code,assorted_code, rec_amount,premium_rcv_detail_code,remaining_amt, payrec, mode_code,coinsurance_code,class_cd,it_remarks) values('29May250204','050000798944','321',(select max(to_number(i.premium_rcv_detail_code))+1
from ins_premium_det i),'321','321','02', '11000003','00','Request by Mr. Omair Ali 30-May-2025');</v>
      </c>
    </row>
    <row r="127" spans="1:8" ht="90" x14ac:dyDescent="0.25">
      <c r="A127" t="s">
        <v>133</v>
      </c>
      <c r="B127" t="str">
        <f>VLOOKUP(A127,policy!B:C,2,0)</f>
        <v>050000800073</v>
      </c>
      <c r="C127" s="17">
        <v>37598</v>
      </c>
      <c r="D127" s="45">
        <f t="shared" si="5"/>
        <v>37598</v>
      </c>
      <c r="E127" s="44" t="s">
        <v>374</v>
      </c>
      <c r="F127" s="46" t="str">
        <f t="shared" si="4"/>
        <v>insert into ins_premium_det (premium_rcv_code,assorted_code, rec_amount,premium_rcv_detail_code,remaining_amt, payrec, mode_code,coinsurance_code,class_cd,it_remarks) values</v>
      </c>
      <c r="G127" s="47" t="str">
        <f t="shared" si="6"/>
        <v>('29May250204','050000800073','37598',(select max(to_number(i.premium_rcv_detail_code))+1
from ins_premium_det i),'37598','37598','02', '11000003','00','Request by Mr. Omair Ali 30-May-2025');</v>
      </c>
      <c r="H127" s="48" t="str">
        <f t="shared" si="7"/>
        <v>insert into ins_premium_det (premium_rcv_code,assorted_code, rec_amount,premium_rcv_detail_code,remaining_amt, payrec, mode_code,coinsurance_code,class_cd,it_remarks) values('29May250204','050000800073','37598',(select max(to_number(i.premium_rcv_detail_code))+1
from ins_premium_det i),'37598','37598','02', '11000003','00','Request by Mr. Omair Ali 30-May-2025');</v>
      </c>
    </row>
    <row r="128" spans="1:8" ht="90" x14ac:dyDescent="0.25">
      <c r="A128" t="s">
        <v>134</v>
      </c>
      <c r="B128" t="str">
        <f>VLOOKUP(A128,policy!B:C,2,0)</f>
        <v>050000800723</v>
      </c>
      <c r="C128" s="17">
        <v>201</v>
      </c>
      <c r="D128" s="45">
        <f t="shared" si="5"/>
        <v>201</v>
      </c>
      <c r="E128" s="44" t="s">
        <v>374</v>
      </c>
      <c r="F128" s="46" t="str">
        <f t="shared" si="4"/>
        <v>insert into ins_premium_det (premium_rcv_code,assorted_code, rec_amount,premium_rcv_detail_code,remaining_amt, payrec, mode_code,coinsurance_code,class_cd,it_remarks) values</v>
      </c>
      <c r="G128" s="47" t="str">
        <f t="shared" si="6"/>
        <v>('29May250204','050000800723','201',(select max(to_number(i.premium_rcv_detail_code))+1
from ins_premium_det i),'201','201','02', '11000003','00','Request by Mr. Omair Ali 30-May-2025');</v>
      </c>
      <c r="H128" s="48" t="str">
        <f t="shared" si="7"/>
        <v>insert into ins_premium_det (premium_rcv_code,assorted_code, rec_amount,premium_rcv_detail_code,remaining_amt, payrec, mode_code,coinsurance_code,class_cd,it_remarks) values('29May250204','050000800723','201',(select max(to_number(i.premium_rcv_detail_code))+1
from ins_premium_det i),'201','201','02', '11000003','00','Request by Mr. Omair Ali 30-May-2025');</v>
      </c>
    </row>
    <row r="129" spans="1:8" ht="90" x14ac:dyDescent="0.25">
      <c r="A129" t="s">
        <v>135</v>
      </c>
      <c r="B129" t="str">
        <f>VLOOKUP(A129,policy!B:C,2,0)</f>
        <v>050000813069</v>
      </c>
      <c r="C129" s="17">
        <v>140</v>
      </c>
      <c r="D129" s="45">
        <f t="shared" si="5"/>
        <v>140</v>
      </c>
      <c r="E129" s="44" t="s">
        <v>374</v>
      </c>
      <c r="F129" s="46" t="str">
        <f t="shared" si="4"/>
        <v>insert into ins_premium_det (premium_rcv_code,assorted_code, rec_amount,premium_rcv_detail_code,remaining_amt, payrec, mode_code,coinsurance_code,class_cd,it_remarks) values</v>
      </c>
      <c r="G129" s="47" t="str">
        <f t="shared" si="6"/>
        <v>('29May250204','050000813069','140',(select max(to_number(i.premium_rcv_detail_code))+1
from ins_premium_det i),'140','140','02', '11000003','00','Request by Mr. Omair Ali 30-May-2025');</v>
      </c>
      <c r="H129" s="48" t="str">
        <f t="shared" si="7"/>
        <v>insert into ins_premium_det (premium_rcv_code,assorted_code, rec_amount,premium_rcv_detail_code,remaining_amt, payrec, mode_code,coinsurance_code,class_cd,it_remarks) values('29May250204','050000813069','140',(select max(to_number(i.premium_rcv_detail_code))+1
from ins_premium_det i),'140','140','02', '11000003','00','Request by Mr. Omair Ali 30-May-2025');</v>
      </c>
    </row>
    <row r="130" spans="1:8" ht="90" x14ac:dyDescent="0.25">
      <c r="A130" t="s">
        <v>136</v>
      </c>
      <c r="B130" t="str">
        <f>VLOOKUP(A130,policy!B:C,2,0)</f>
        <v>050000813091</v>
      </c>
      <c r="C130" s="17">
        <v>130</v>
      </c>
      <c r="D130" s="45">
        <f t="shared" si="5"/>
        <v>130</v>
      </c>
      <c r="E130" s="44" t="s">
        <v>374</v>
      </c>
      <c r="F130" s="46" t="str">
        <f t="shared" ref="F130:F159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47" t="str">
        <f t="shared" si="6"/>
        <v>('29May250204','050000813091','130',(select max(to_number(i.premium_rcv_detail_code))+1
from ins_premium_det i),'130','130','02', '11000003','00','Request by Mr. Omair Ali 30-May-2025');</v>
      </c>
      <c r="H130" s="48" t="str">
        <f t="shared" si="7"/>
        <v>insert into ins_premium_det (premium_rcv_code,assorted_code, rec_amount,premium_rcv_detail_code,remaining_amt, payrec, mode_code,coinsurance_code,class_cd,it_remarks) values('29May250204','050000813091','130',(select max(to_number(i.premium_rcv_detail_code))+1
from ins_premium_det i),'130','130','02', '11000003','00','Request by Mr. Omair Ali 30-May-2025');</v>
      </c>
    </row>
    <row r="131" spans="1:8" ht="90" x14ac:dyDescent="0.25">
      <c r="A131" t="s">
        <v>137</v>
      </c>
      <c r="B131" t="str">
        <f>VLOOKUP(A131,policy!B:C,2,0)</f>
        <v>050000813692</v>
      </c>
      <c r="C131" s="17">
        <v>49775</v>
      </c>
      <c r="D131" s="45">
        <f t="shared" ref="D131:D159" si="9">ROUND(C131,0)</f>
        <v>49775</v>
      </c>
      <c r="E131" s="44" t="s">
        <v>374</v>
      </c>
      <c r="F131" s="46" t="str">
        <f t="shared" si="8"/>
        <v>insert into ins_premium_det (premium_rcv_code,assorted_code, rec_amount,premium_rcv_detail_code,remaining_amt, payrec, mode_code,coinsurance_code,class_cd,it_remarks) values</v>
      </c>
      <c r="G131" s="47" t="str">
        <f t="shared" ref="G131:G159" si="10">"('"&amp;E131&amp;"','"&amp;B131&amp;"','"&amp;D131&amp;"',(select max(to_number(i.premium_rcv_detail_code))+1
from ins_premium_det i),'"&amp;D131&amp;"','"&amp;D131&amp;"','02', '11000003','00','Request by Mr. Omair Ali 30-May-2025');"</f>
        <v>('29May250204','050000813692','49775',(select max(to_number(i.premium_rcv_detail_code))+1
from ins_premium_det i),'49775','49775','02', '11000003','00','Request by Mr. Omair Ali 30-May-2025');</v>
      </c>
      <c r="H131" s="48" t="str">
        <f t="shared" ref="H131:H159" si="11">F131&amp;G131</f>
        <v>insert into ins_premium_det (premium_rcv_code,assorted_code, rec_amount,premium_rcv_detail_code,remaining_amt, payrec, mode_code,coinsurance_code,class_cd,it_remarks) values('29May250204','050000813692','49775',(select max(to_number(i.premium_rcv_detail_code))+1
from ins_premium_det i),'49775','49775','02', '11000003','00','Request by Mr. Omair Ali 30-May-2025');</v>
      </c>
    </row>
    <row r="132" spans="1:8" ht="90" x14ac:dyDescent="0.25">
      <c r="A132" t="s">
        <v>138</v>
      </c>
      <c r="B132" t="str">
        <f>VLOOKUP(A132,policy!B:C,2,0)</f>
        <v>050000813980</v>
      </c>
      <c r="C132" s="17">
        <v>147</v>
      </c>
      <c r="D132" s="45">
        <f t="shared" si="9"/>
        <v>147</v>
      </c>
      <c r="E132" s="44" t="s">
        <v>374</v>
      </c>
      <c r="F132" s="46" t="str">
        <f t="shared" si="8"/>
        <v>insert into ins_premium_det (premium_rcv_code,assorted_code, rec_amount,premium_rcv_detail_code,remaining_amt, payrec, mode_code,coinsurance_code,class_cd,it_remarks) values</v>
      </c>
      <c r="G132" s="47" t="str">
        <f t="shared" si="10"/>
        <v>('29May250204','050000813980','147',(select max(to_number(i.premium_rcv_detail_code))+1
from ins_premium_det i),'147','147','02', '11000003','00','Request by Mr. Omair Ali 30-May-2025');</v>
      </c>
      <c r="H132" s="48" t="str">
        <f t="shared" si="11"/>
        <v>insert into ins_premium_det (premium_rcv_code,assorted_code, rec_amount,premium_rcv_detail_code,remaining_amt, payrec, mode_code,coinsurance_code,class_cd,it_remarks) values('29May250204','050000813980','147',(select max(to_number(i.premium_rcv_detail_code))+1
from ins_premium_det i),'147','147','02', '11000003','00','Request by Mr. Omair Ali 30-May-2025');</v>
      </c>
    </row>
    <row r="133" spans="1:8" ht="90" x14ac:dyDescent="0.25">
      <c r="A133" t="s">
        <v>139</v>
      </c>
      <c r="B133" t="str">
        <f>VLOOKUP(A133,policy!B:C,2,0)</f>
        <v>050000814291</v>
      </c>
      <c r="C133" s="17">
        <v>101</v>
      </c>
      <c r="D133" s="45">
        <f t="shared" si="9"/>
        <v>101</v>
      </c>
      <c r="E133" s="44" t="s">
        <v>374</v>
      </c>
      <c r="F133" s="46" t="str">
        <f t="shared" si="8"/>
        <v>insert into ins_premium_det (premium_rcv_code,assorted_code, rec_amount,premium_rcv_detail_code,remaining_amt, payrec, mode_code,coinsurance_code,class_cd,it_remarks) values</v>
      </c>
      <c r="G133" s="47" t="str">
        <f t="shared" si="10"/>
        <v>('29May250204','050000814291','101',(select max(to_number(i.premium_rcv_detail_code))+1
from ins_premium_det i),'101','101','02', '11000003','00','Request by Mr. Omair Ali 30-May-2025');</v>
      </c>
      <c r="H133" s="48" t="str">
        <f t="shared" si="11"/>
        <v>insert into ins_premium_det (premium_rcv_code,assorted_code, rec_amount,premium_rcv_detail_code,remaining_amt, payrec, mode_code,coinsurance_code,class_cd,it_remarks) values('29May250204','050000814291','101',(select max(to_number(i.premium_rcv_detail_code))+1
from ins_premium_det i),'101','101','02', '11000003','00','Request by Mr. Omair Ali 30-May-2025');</v>
      </c>
    </row>
    <row r="134" spans="1:8" ht="90" x14ac:dyDescent="0.25">
      <c r="A134" t="s">
        <v>140</v>
      </c>
      <c r="B134" t="str">
        <f>VLOOKUP(A134,policy!B:C,2,0)</f>
        <v>050000814443</v>
      </c>
      <c r="C134" s="17">
        <v>-3555</v>
      </c>
      <c r="D134" s="45">
        <f t="shared" si="9"/>
        <v>-3555</v>
      </c>
      <c r="E134" s="44" t="s">
        <v>374</v>
      </c>
      <c r="F134" s="46" t="str">
        <f t="shared" si="8"/>
        <v>insert into ins_premium_det (premium_rcv_code,assorted_code, rec_amount,premium_rcv_detail_code,remaining_amt, payrec, mode_code,coinsurance_code,class_cd,it_remarks) values</v>
      </c>
      <c r="G134" s="47" t="str">
        <f t="shared" si="10"/>
        <v>('29May250204','050000814443','-3555',(select max(to_number(i.premium_rcv_detail_code))+1
from ins_premium_det i),'-3555','-3555','02', '11000003','00','Request by Mr. Omair Ali 30-May-2025');</v>
      </c>
      <c r="H134" s="48" t="str">
        <f t="shared" si="11"/>
        <v>insert into ins_premium_det (premium_rcv_code,assorted_code, rec_amount,premium_rcv_detail_code,remaining_amt, payrec, mode_code,coinsurance_code,class_cd,it_remarks) values('29May250204','050000814443','-3555',(select max(to_number(i.premium_rcv_detail_code))+1
from ins_premium_det i),'-3555','-3555','02', '11000003','00','Request by Mr. Omair Ali 30-May-2025');</v>
      </c>
    </row>
    <row r="135" spans="1:8" ht="90" x14ac:dyDescent="0.25">
      <c r="A135" t="s">
        <v>141</v>
      </c>
      <c r="B135" t="str">
        <f>VLOOKUP(A135,policy!B:C,2,0)</f>
        <v>050000815695</v>
      </c>
      <c r="C135" s="17">
        <v>237</v>
      </c>
      <c r="D135" s="45">
        <f t="shared" si="9"/>
        <v>237</v>
      </c>
      <c r="E135" s="44" t="s">
        <v>374</v>
      </c>
      <c r="F135" s="46" t="str">
        <f t="shared" si="8"/>
        <v>insert into ins_premium_det (premium_rcv_code,assorted_code, rec_amount,premium_rcv_detail_code,remaining_amt, payrec, mode_code,coinsurance_code,class_cd,it_remarks) values</v>
      </c>
      <c r="G135" s="47" t="str">
        <f t="shared" si="10"/>
        <v>('29May250204','050000815695','237',(select max(to_number(i.premium_rcv_detail_code))+1
from ins_premium_det i),'237','237','02', '11000003','00','Request by Mr. Omair Ali 30-May-2025');</v>
      </c>
      <c r="H135" s="48" t="str">
        <f t="shared" si="11"/>
        <v>insert into ins_premium_det (premium_rcv_code,assorted_code, rec_amount,premium_rcv_detail_code,remaining_amt, payrec, mode_code,coinsurance_code,class_cd,it_remarks) values('29May250204','050000815695','237',(select max(to_number(i.premium_rcv_detail_code))+1
from ins_premium_det i),'237','237','02', '11000003','00','Request by Mr. Omair Ali 30-May-2025');</v>
      </c>
    </row>
    <row r="136" spans="1:8" ht="90" x14ac:dyDescent="0.25">
      <c r="A136" t="s">
        <v>142</v>
      </c>
      <c r="B136" t="str">
        <f>VLOOKUP(A136,policy!B:C,2,0)</f>
        <v>050000817482</v>
      </c>
      <c r="C136" s="17">
        <v>80</v>
      </c>
      <c r="D136" s="45">
        <f t="shared" si="9"/>
        <v>80</v>
      </c>
      <c r="E136" s="44" t="s">
        <v>374</v>
      </c>
      <c r="F136" s="46" t="str">
        <f t="shared" si="8"/>
        <v>insert into ins_premium_det (premium_rcv_code,assorted_code, rec_amount,premium_rcv_detail_code,remaining_amt, payrec, mode_code,coinsurance_code,class_cd,it_remarks) values</v>
      </c>
      <c r="G136" s="47" t="str">
        <f t="shared" si="10"/>
        <v>('29May250204','050000817482','80',(select max(to_number(i.premium_rcv_detail_code))+1
from ins_premium_det i),'80','80','02', '11000003','00','Request by Mr. Omair Ali 30-May-2025');</v>
      </c>
      <c r="H136" s="48" t="str">
        <f t="shared" si="11"/>
        <v>insert into ins_premium_det (premium_rcv_code,assorted_code, rec_amount,premium_rcv_detail_code,remaining_amt, payrec, mode_code,coinsurance_code,class_cd,it_remarks) values('29May250204','050000817482','80',(select max(to_number(i.premium_rcv_detail_code))+1
from ins_premium_det i),'80','80','02', '11000003','00','Request by Mr. Omair Ali 30-May-2025');</v>
      </c>
    </row>
    <row r="137" spans="1:8" ht="90" x14ac:dyDescent="0.25">
      <c r="A137" t="s">
        <v>143</v>
      </c>
      <c r="B137" t="str">
        <f>VLOOKUP(A137,policy!B:C,2,0)</f>
        <v>050000831041</v>
      </c>
      <c r="C137" s="17">
        <v>4351</v>
      </c>
      <c r="D137" s="45">
        <f t="shared" si="9"/>
        <v>4351</v>
      </c>
      <c r="E137" s="44" t="s">
        <v>374</v>
      </c>
      <c r="F137" s="46" t="str">
        <f t="shared" si="8"/>
        <v>insert into ins_premium_det (premium_rcv_code,assorted_code, rec_amount,premium_rcv_detail_code,remaining_amt, payrec, mode_code,coinsurance_code,class_cd,it_remarks) values</v>
      </c>
      <c r="G137" s="47" t="str">
        <f t="shared" si="10"/>
        <v>('29May250204','050000831041','4351',(select max(to_number(i.premium_rcv_detail_code))+1
from ins_premium_det i),'4351','4351','02', '11000003','00','Request by Mr. Omair Ali 30-May-2025');</v>
      </c>
      <c r="H137" s="48" t="str">
        <f t="shared" si="11"/>
        <v>insert into ins_premium_det (premium_rcv_code,assorted_code, rec_amount,premium_rcv_detail_code,remaining_amt, payrec, mode_code,coinsurance_code,class_cd,it_remarks) values('29May250204','050000831041','4351',(select max(to_number(i.premium_rcv_detail_code))+1
from ins_premium_det i),'4351','4351','02', '11000003','00','Request by Mr. Omair Ali 30-May-2025');</v>
      </c>
    </row>
    <row r="138" spans="1:8" ht="90" x14ac:dyDescent="0.25">
      <c r="A138" t="s">
        <v>144</v>
      </c>
      <c r="B138" t="str">
        <f>VLOOKUP(A138,policy!B:C,2,0)</f>
        <v>050000890468</v>
      </c>
      <c r="C138" s="17">
        <v>-11468</v>
      </c>
      <c r="D138" s="45">
        <f t="shared" si="9"/>
        <v>-11468</v>
      </c>
      <c r="E138" s="44" t="s">
        <v>374</v>
      </c>
      <c r="F138" s="46" t="str">
        <f t="shared" si="8"/>
        <v>insert into ins_premium_det (premium_rcv_code,assorted_code, rec_amount,premium_rcv_detail_code,remaining_amt, payrec, mode_code,coinsurance_code,class_cd,it_remarks) values</v>
      </c>
      <c r="G138" s="47" t="str">
        <f t="shared" si="10"/>
        <v>('29May250204','050000890468','-11468',(select max(to_number(i.premium_rcv_detail_code))+1
from ins_premium_det i),'-11468','-11468','02', '11000003','00','Request by Mr. Omair Ali 30-May-2025');</v>
      </c>
      <c r="H138" s="48" t="str">
        <f t="shared" si="11"/>
        <v>insert into ins_premium_det (premium_rcv_code,assorted_code, rec_amount,premium_rcv_detail_code,remaining_amt, payrec, mode_code,coinsurance_code,class_cd,it_remarks) values('29May250204','050000890468','-11468',(select max(to_number(i.premium_rcv_detail_code))+1
from ins_premium_det i),'-11468','-11468','02', '11000003','00','Request by Mr. Omair Ali 30-May-2025');</v>
      </c>
    </row>
    <row r="139" spans="1:8" ht="90" x14ac:dyDescent="0.25">
      <c r="A139" t="s">
        <v>146</v>
      </c>
      <c r="B139" t="str">
        <f>VLOOKUP(A139,policy!B:C,2,0)</f>
        <v>050000826599</v>
      </c>
      <c r="C139" s="28">
        <v>21704</v>
      </c>
      <c r="D139" s="45">
        <f t="shared" si="9"/>
        <v>21704</v>
      </c>
      <c r="E139" s="44" t="s">
        <v>374</v>
      </c>
      <c r="F139" s="46" t="str">
        <f t="shared" si="8"/>
        <v>insert into ins_premium_det (premium_rcv_code,assorted_code, rec_amount,premium_rcv_detail_code,remaining_amt, payrec, mode_code,coinsurance_code,class_cd,it_remarks) values</v>
      </c>
      <c r="G139" s="47" t="str">
        <f t="shared" si="10"/>
        <v>('29May250204','050000826599','21704',(select max(to_number(i.premium_rcv_detail_code))+1
from ins_premium_det i),'21704','21704','02', '11000003','00','Request by Mr. Omair Ali 30-May-2025');</v>
      </c>
      <c r="H139" s="48" t="str">
        <f t="shared" si="11"/>
        <v>insert into ins_premium_det (premium_rcv_code,assorted_code, rec_amount,premium_rcv_detail_code,remaining_amt, payrec, mode_code,coinsurance_code,class_cd,it_remarks) values('29May250204','050000826599','21704',(select max(to_number(i.premium_rcv_detail_code))+1
from ins_premium_det i),'21704','21704','02', '11000003','00','Request by Mr. Omair Ali 30-May-2025');</v>
      </c>
    </row>
    <row r="140" spans="1:8" ht="90" x14ac:dyDescent="0.25">
      <c r="A140" s="19" t="s">
        <v>147</v>
      </c>
      <c r="B140" t="str">
        <f>VLOOKUP(A140,policy!B:C,2,0)</f>
        <v>050000826786</v>
      </c>
      <c r="C140" s="32">
        <v>-344033</v>
      </c>
      <c r="D140" s="45">
        <f t="shared" si="9"/>
        <v>-344033</v>
      </c>
      <c r="E140" s="44" t="s">
        <v>374</v>
      </c>
      <c r="F140" s="46" t="str">
        <f t="shared" si="8"/>
        <v>insert into ins_premium_det (premium_rcv_code,assorted_code, rec_amount,premium_rcv_detail_code,remaining_amt, payrec, mode_code,coinsurance_code,class_cd,it_remarks) values</v>
      </c>
      <c r="G140" s="47" t="str">
        <f t="shared" si="10"/>
        <v>('29May250204','050000826786','-344033',(select max(to_number(i.premium_rcv_detail_code))+1
from ins_premium_det i),'-344033','-344033','02', '11000003','00','Request by Mr. Omair Ali 30-May-2025');</v>
      </c>
      <c r="H140" s="48" t="str">
        <f t="shared" si="11"/>
        <v>insert into ins_premium_det (premium_rcv_code,assorted_code, rec_amount,premium_rcv_detail_code,remaining_amt, payrec, mode_code,coinsurance_code,class_cd,it_remarks) values('29May250204','050000826786','-344033',(select max(to_number(i.premium_rcv_detail_code))+1
from ins_premium_det i),'-344033','-344033','02', '11000003','00','Request by Mr. Omair Ali 30-May-2025');</v>
      </c>
    </row>
    <row r="141" spans="1:8" ht="90" x14ac:dyDescent="0.25">
      <c r="A141" t="s">
        <v>148</v>
      </c>
      <c r="B141" t="str">
        <f>VLOOKUP(A141,policy!B:C,2,0)</f>
        <v>050000826803</v>
      </c>
      <c r="C141" s="17">
        <v>29747</v>
      </c>
      <c r="D141" s="45">
        <f t="shared" si="9"/>
        <v>29747</v>
      </c>
      <c r="E141" s="44" t="s">
        <v>374</v>
      </c>
      <c r="F141" s="46" t="str">
        <f t="shared" si="8"/>
        <v>insert into ins_premium_det (premium_rcv_code,assorted_code, rec_amount,premium_rcv_detail_code,remaining_amt, payrec, mode_code,coinsurance_code,class_cd,it_remarks) values</v>
      </c>
      <c r="G141" s="47" t="str">
        <f t="shared" si="10"/>
        <v>('29May250204','050000826803','29747',(select max(to_number(i.premium_rcv_detail_code))+1
from ins_premium_det i),'29747','29747','02', '11000003','00','Request by Mr. Omair Ali 30-May-2025');</v>
      </c>
      <c r="H141" s="48" t="str">
        <f t="shared" si="11"/>
        <v>insert into ins_premium_det (premium_rcv_code,assorted_code, rec_amount,premium_rcv_detail_code,remaining_amt, payrec, mode_code,coinsurance_code,class_cd,it_remarks) values('29May250204','050000826803','29747',(select max(to_number(i.premium_rcv_detail_code))+1
from ins_premium_det i),'29747','29747','02', '11000003','00','Request by Mr. Omair Ali 30-May-2025');</v>
      </c>
    </row>
    <row r="142" spans="1:8" ht="90" x14ac:dyDescent="0.25">
      <c r="A142" t="s">
        <v>149</v>
      </c>
      <c r="B142" t="str">
        <f>VLOOKUP(A142,policy!B:C,2,0)</f>
        <v>050000827477</v>
      </c>
      <c r="C142" s="17">
        <v>905749</v>
      </c>
      <c r="D142" s="45">
        <f t="shared" si="9"/>
        <v>905749</v>
      </c>
      <c r="E142" s="44" t="s">
        <v>374</v>
      </c>
      <c r="F142" s="46" t="str">
        <f t="shared" si="8"/>
        <v>insert into ins_premium_det (premium_rcv_code,assorted_code, rec_amount,premium_rcv_detail_code,remaining_amt, payrec, mode_code,coinsurance_code,class_cd,it_remarks) values</v>
      </c>
      <c r="G142" s="47" t="str">
        <f t="shared" si="10"/>
        <v>('29May250204','050000827477','905749',(select max(to_number(i.premium_rcv_detail_code))+1
from ins_premium_det i),'905749','905749','02', '11000003','00','Request by Mr. Omair Ali 30-May-2025');</v>
      </c>
      <c r="H142" s="48" t="str">
        <f t="shared" si="11"/>
        <v>insert into ins_premium_det (premium_rcv_code,assorted_code, rec_amount,premium_rcv_detail_code,remaining_amt, payrec, mode_code,coinsurance_code,class_cd,it_remarks) values('29May250204','050000827477','905749',(select max(to_number(i.premium_rcv_detail_code))+1
from ins_premium_det i),'905749','905749','02', '11000003','00','Request by Mr. Omair Ali 30-May-2025');</v>
      </c>
    </row>
    <row r="143" spans="1:8" ht="90" x14ac:dyDescent="0.25">
      <c r="A143" t="s">
        <v>150</v>
      </c>
      <c r="B143" t="str">
        <f>VLOOKUP(A143,policy!B:C,2,0)</f>
        <v>050000830262</v>
      </c>
      <c r="C143" s="17">
        <v>-13752</v>
      </c>
      <c r="D143" s="45">
        <f t="shared" si="9"/>
        <v>-13752</v>
      </c>
      <c r="E143" s="44" t="s">
        <v>374</v>
      </c>
      <c r="F143" s="46" t="str">
        <f t="shared" si="8"/>
        <v>insert into ins_premium_det (premium_rcv_code,assorted_code, rec_amount,premium_rcv_detail_code,remaining_amt, payrec, mode_code,coinsurance_code,class_cd,it_remarks) values</v>
      </c>
      <c r="G143" s="47" t="str">
        <f t="shared" si="10"/>
        <v>('29May250204','050000830262','-13752',(select max(to_number(i.premium_rcv_detail_code))+1
from ins_premium_det i),'-13752','-13752','02', '11000003','00','Request by Mr. Omair Ali 30-May-2025');</v>
      </c>
      <c r="H143" s="48" t="str">
        <f t="shared" si="11"/>
        <v>insert into ins_premium_det (premium_rcv_code,assorted_code, rec_amount,premium_rcv_detail_code,remaining_amt, payrec, mode_code,coinsurance_code,class_cd,it_remarks) values('29May250204','050000830262','-13752',(select max(to_number(i.premium_rcv_detail_code))+1
from ins_premium_det i),'-13752','-13752','02', '11000003','00','Request by Mr. Omair Ali 30-May-2025');</v>
      </c>
    </row>
    <row r="144" spans="1:8" ht="90" x14ac:dyDescent="0.25">
      <c r="A144" t="s">
        <v>151</v>
      </c>
      <c r="B144" t="str">
        <f>VLOOKUP(A144,policy!B:C,2,0)</f>
        <v>050000830635</v>
      </c>
      <c r="C144" s="17">
        <v>605233</v>
      </c>
      <c r="D144" s="45">
        <f t="shared" si="9"/>
        <v>605233</v>
      </c>
      <c r="E144" s="44" t="s">
        <v>374</v>
      </c>
      <c r="F144" s="46" t="str">
        <f t="shared" si="8"/>
        <v>insert into ins_premium_det (premium_rcv_code,assorted_code, rec_amount,premium_rcv_detail_code,remaining_amt, payrec, mode_code,coinsurance_code,class_cd,it_remarks) values</v>
      </c>
      <c r="G144" s="47" t="str">
        <f t="shared" si="10"/>
        <v>('29May250204','050000830635','605233',(select max(to_number(i.premium_rcv_detail_code))+1
from ins_premium_det i),'605233','605233','02', '11000003','00','Request by Mr. Omair Ali 30-May-2025');</v>
      </c>
      <c r="H144" s="48" t="str">
        <f t="shared" si="11"/>
        <v>insert into ins_premium_det (premium_rcv_code,assorted_code, rec_amount,premium_rcv_detail_code,remaining_amt, payrec, mode_code,coinsurance_code,class_cd,it_remarks) values('29May250204','050000830635','605233',(select max(to_number(i.premium_rcv_detail_code))+1
from ins_premium_det i),'605233','605233','02', '11000003','00','Request by Mr. Omair Ali 30-May-2025');</v>
      </c>
    </row>
    <row r="145" spans="1:8" ht="90" x14ac:dyDescent="0.25">
      <c r="A145" t="s">
        <v>152</v>
      </c>
      <c r="B145" t="str">
        <f>VLOOKUP(A145,policy!B:C,2,0)</f>
        <v>050000831259</v>
      </c>
      <c r="C145" s="17">
        <v>5348</v>
      </c>
      <c r="D145" s="45">
        <f t="shared" si="9"/>
        <v>5348</v>
      </c>
      <c r="E145" s="44" t="s">
        <v>374</v>
      </c>
      <c r="F145" s="46" t="str">
        <f t="shared" si="8"/>
        <v>insert into ins_premium_det (premium_rcv_code,assorted_code, rec_amount,premium_rcv_detail_code,remaining_amt, payrec, mode_code,coinsurance_code,class_cd,it_remarks) values</v>
      </c>
      <c r="G145" s="47" t="str">
        <f t="shared" si="10"/>
        <v>('29May250204','050000831259','5348',(select max(to_number(i.premium_rcv_detail_code))+1
from ins_premium_det i),'5348','5348','02', '11000003','00','Request by Mr. Omair Ali 30-May-2025');</v>
      </c>
      <c r="H145" s="48" t="str">
        <f t="shared" si="11"/>
        <v>insert into ins_premium_det (premium_rcv_code,assorted_code, rec_amount,premium_rcv_detail_code,remaining_amt, payrec, mode_code,coinsurance_code,class_cd,it_remarks) values('29May250204','050000831259','5348',(select max(to_number(i.premium_rcv_detail_code))+1
from ins_premium_det i),'5348','5348','02', '11000003','00','Request by Mr. Omair Ali 30-May-2025');</v>
      </c>
    </row>
    <row r="146" spans="1:8" ht="90" x14ac:dyDescent="0.25">
      <c r="A146" t="s">
        <v>153</v>
      </c>
      <c r="B146" t="str">
        <f>VLOOKUP(A146,policy!B:C,2,0)</f>
        <v>050000831903</v>
      </c>
      <c r="C146" s="17">
        <v>4200</v>
      </c>
      <c r="D146" s="45">
        <f t="shared" si="9"/>
        <v>4200</v>
      </c>
      <c r="E146" s="44" t="s">
        <v>374</v>
      </c>
      <c r="F146" s="46" t="str">
        <f t="shared" si="8"/>
        <v>insert into ins_premium_det (premium_rcv_code,assorted_code, rec_amount,premium_rcv_detail_code,remaining_amt, payrec, mode_code,coinsurance_code,class_cd,it_remarks) values</v>
      </c>
      <c r="G146" s="47" t="str">
        <f t="shared" si="10"/>
        <v>('29May250204','050000831903','4200',(select max(to_number(i.premium_rcv_detail_code))+1
from ins_premium_det i),'4200','4200','02', '11000003','00','Request by Mr. Omair Ali 30-May-2025');</v>
      </c>
      <c r="H146" s="48" t="str">
        <f t="shared" si="11"/>
        <v>insert into ins_premium_det (premium_rcv_code,assorted_code, rec_amount,premium_rcv_detail_code,remaining_amt, payrec, mode_code,coinsurance_code,class_cd,it_remarks) values('29May250204','050000831903','4200',(select max(to_number(i.premium_rcv_detail_code))+1
from ins_premium_det i),'4200','4200','02', '11000003','00','Request by Mr. Omair Ali 30-May-2025');</v>
      </c>
    </row>
    <row r="147" spans="1:8" ht="90" x14ac:dyDescent="0.25">
      <c r="A147" t="s">
        <v>154</v>
      </c>
      <c r="B147" t="str">
        <f>VLOOKUP(A147,policy!B:C,2,0)</f>
        <v>050000833872</v>
      </c>
      <c r="C147" s="17">
        <v>2120</v>
      </c>
      <c r="D147" s="45">
        <f t="shared" si="9"/>
        <v>2120</v>
      </c>
      <c r="E147" s="44" t="s">
        <v>374</v>
      </c>
      <c r="F147" s="46" t="str">
        <f t="shared" si="8"/>
        <v>insert into ins_premium_det (premium_rcv_code,assorted_code, rec_amount,premium_rcv_detail_code,remaining_amt, payrec, mode_code,coinsurance_code,class_cd,it_remarks) values</v>
      </c>
      <c r="G147" s="47" t="str">
        <f t="shared" si="10"/>
        <v>('29May250204','050000833872','2120',(select max(to_number(i.premium_rcv_detail_code))+1
from ins_premium_det i),'2120','2120','02', '11000003','00','Request by Mr. Omair Ali 30-May-2025');</v>
      </c>
      <c r="H147" s="48" t="str">
        <f t="shared" si="11"/>
        <v>insert into ins_premium_det (premium_rcv_code,assorted_code, rec_amount,premium_rcv_detail_code,remaining_amt, payrec, mode_code,coinsurance_code,class_cd,it_remarks) values('29May250204','050000833872','2120',(select max(to_number(i.premium_rcv_detail_code))+1
from ins_premium_det i),'2120','2120','02', '11000003','00','Request by Mr. Omair Ali 30-May-2025');</v>
      </c>
    </row>
    <row r="148" spans="1:8" ht="90" x14ac:dyDescent="0.25">
      <c r="A148" t="s">
        <v>155</v>
      </c>
      <c r="B148" t="str">
        <f>VLOOKUP(A148,policy!B:C,2,0)</f>
        <v>050000834487</v>
      </c>
      <c r="C148" s="17">
        <v>1801220</v>
      </c>
      <c r="D148" s="45">
        <f t="shared" si="9"/>
        <v>1801220</v>
      </c>
      <c r="E148" s="44" t="s">
        <v>374</v>
      </c>
      <c r="F148" s="46" t="str">
        <f t="shared" si="8"/>
        <v>insert into ins_premium_det (premium_rcv_code,assorted_code, rec_amount,premium_rcv_detail_code,remaining_amt, payrec, mode_code,coinsurance_code,class_cd,it_remarks) values</v>
      </c>
      <c r="G148" s="47" t="str">
        <f t="shared" si="10"/>
        <v>('29May250204','050000834487','1801220',(select max(to_number(i.premium_rcv_detail_code))+1
from ins_premium_det i),'1801220','1801220','02', '11000003','00','Request by Mr. Omair Ali 30-May-2025');</v>
      </c>
      <c r="H148" s="48" t="str">
        <f t="shared" si="11"/>
        <v>insert into ins_premium_det (premium_rcv_code,assorted_code, rec_amount,premium_rcv_detail_code,remaining_amt, payrec, mode_code,coinsurance_code,class_cd,it_remarks) values('29May250204','050000834487','1801220',(select max(to_number(i.premium_rcv_detail_code))+1
from ins_premium_det i),'1801220','1801220','02', '11000003','00','Request by Mr. Omair Ali 30-May-2025');</v>
      </c>
    </row>
    <row r="149" spans="1:8" ht="90" x14ac:dyDescent="0.25">
      <c r="A149" t="s">
        <v>156</v>
      </c>
      <c r="B149" t="str">
        <f>VLOOKUP(A149,policy!B:C,2,0)</f>
        <v>050000834543</v>
      </c>
      <c r="C149" s="17">
        <v>5929</v>
      </c>
      <c r="D149" s="45">
        <f t="shared" si="9"/>
        <v>5929</v>
      </c>
      <c r="E149" s="44" t="s">
        <v>374</v>
      </c>
      <c r="F149" s="46" t="str">
        <f t="shared" si="8"/>
        <v>insert into ins_premium_det (premium_rcv_code,assorted_code, rec_amount,premium_rcv_detail_code,remaining_amt, payrec, mode_code,coinsurance_code,class_cd,it_remarks) values</v>
      </c>
      <c r="G149" s="47" t="str">
        <f t="shared" si="10"/>
        <v>('29May250204','050000834543','5929',(select max(to_number(i.premium_rcv_detail_code))+1
from ins_premium_det i),'5929','5929','02', '11000003','00','Request by Mr. Omair Ali 30-May-2025');</v>
      </c>
      <c r="H149" s="48" t="str">
        <f t="shared" si="11"/>
        <v>insert into ins_premium_det (premium_rcv_code,assorted_code, rec_amount,premium_rcv_detail_code,remaining_amt, payrec, mode_code,coinsurance_code,class_cd,it_remarks) values('29May250204','050000834543','5929',(select max(to_number(i.premium_rcv_detail_code))+1
from ins_premium_det i),'5929','5929','02', '11000003','00','Request by Mr. Omair Ali 30-May-2025');</v>
      </c>
    </row>
    <row r="150" spans="1:8" ht="90" x14ac:dyDescent="0.25">
      <c r="A150" t="s">
        <v>157</v>
      </c>
      <c r="B150" t="str">
        <f>VLOOKUP(A150,policy!B:C,2,0)</f>
        <v>050000836096</v>
      </c>
      <c r="C150" s="17">
        <v>938660</v>
      </c>
      <c r="D150" s="45">
        <f t="shared" si="9"/>
        <v>938660</v>
      </c>
      <c r="E150" s="44" t="s">
        <v>374</v>
      </c>
      <c r="F150" s="46" t="str">
        <f t="shared" si="8"/>
        <v>insert into ins_premium_det (premium_rcv_code,assorted_code, rec_amount,premium_rcv_detail_code,remaining_amt, payrec, mode_code,coinsurance_code,class_cd,it_remarks) values</v>
      </c>
      <c r="G150" s="47" t="str">
        <f t="shared" si="10"/>
        <v>('29May250204','050000836096','938660',(select max(to_number(i.premium_rcv_detail_code))+1
from ins_premium_det i),'938660','938660','02', '11000003','00','Request by Mr. Omair Ali 30-May-2025');</v>
      </c>
      <c r="H150" s="48" t="str">
        <f t="shared" si="11"/>
        <v>insert into ins_premium_det (premium_rcv_code,assorted_code, rec_amount,premium_rcv_detail_code,remaining_amt, payrec, mode_code,coinsurance_code,class_cd,it_remarks) values('29May250204','050000836096','938660',(select max(to_number(i.premium_rcv_detail_code))+1
from ins_premium_det i),'938660','938660','02', '11000003','00','Request by Mr. Omair Ali 30-May-2025');</v>
      </c>
    </row>
    <row r="151" spans="1:8" ht="90" x14ac:dyDescent="0.25">
      <c r="A151" t="s">
        <v>158</v>
      </c>
      <c r="B151" t="str">
        <f>VLOOKUP(A151,policy!B:C,2,0)</f>
        <v>050000836487</v>
      </c>
      <c r="C151" s="17">
        <v>4541</v>
      </c>
      <c r="D151" s="45">
        <f t="shared" si="9"/>
        <v>4541</v>
      </c>
      <c r="E151" s="44" t="s">
        <v>374</v>
      </c>
      <c r="F151" s="46" t="str">
        <f t="shared" si="8"/>
        <v>insert into ins_premium_det (premium_rcv_code,assorted_code, rec_amount,premium_rcv_detail_code,remaining_amt, payrec, mode_code,coinsurance_code,class_cd,it_remarks) values</v>
      </c>
      <c r="G151" s="47" t="str">
        <f t="shared" si="10"/>
        <v>('29May250204','050000836487','4541',(select max(to_number(i.premium_rcv_detail_code))+1
from ins_premium_det i),'4541','4541','02', '11000003','00','Request by Mr. Omair Ali 30-May-2025');</v>
      </c>
      <c r="H151" s="48" t="str">
        <f t="shared" si="11"/>
        <v>insert into ins_premium_det (premium_rcv_code,assorted_code, rec_amount,premium_rcv_detail_code,remaining_amt, payrec, mode_code,coinsurance_code,class_cd,it_remarks) values('29May250204','050000836487','4541',(select max(to_number(i.premium_rcv_detail_code))+1
from ins_premium_det i),'4541','4541','02', '11000003','00','Request by Mr. Omair Ali 30-May-2025');</v>
      </c>
    </row>
    <row r="152" spans="1:8" ht="90" x14ac:dyDescent="0.25">
      <c r="A152" t="s">
        <v>159</v>
      </c>
      <c r="B152" t="str">
        <f>VLOOKUP(A152,policy!B:C,2,0)</f>
        <v>050000837805</v>
      </c>
      <c r="C152" s="17">
        <v>-2199864</v>
      </c>
      <c r="D152" s="45">
        <f t="shared" si="9"/>
        <v>-2199864</v>
      </c>
      <c r="E152" s="44" t="s">
        <v>374</v>
      </c>
      <c r="F152" s="46" t="str">
        <f t="shared" si="8"/>
        <v>insert into ins_premium_det (premium_rcv_code,assorted_code, rec_amount,premium_rcv_detail_code,remaining_amt, payrec, mode_code,coinsurance_code,class_cd,it_remarks) values</v>
      </c>
      <c r="G152" s="47" t="str">
        <f t="shared" si="10"/>
        <v>('29May250204','050000837805','-2199864',(select max(to_number(i.premium_rcv_detail_code))+1
from ins_premium_det i),'-2199864','-2199864','02', '11000003','00','Request by Mr. Omair Ali 30-May-2025');</v>
      </c>
      <c r="H152" s="48" t="str">
        <f t="shared" si="11"/>
        <v>insert into ins_premium_det (premium_rcv_code,assorted_code, rec_amount,premium_rcv_detail_code,remaining_amt, payrec, mode_code,coinsurance_code,class_cd,it_remarks) values('29May250204','050000837805','-2199864',(select max(to_number(i.premium_rcv_detail_code))+1
from ins_premium_det i),'-2199864','-2199864','02', '11000003','00','Request by Mr. Omair Ali 30-May-2025');</v>
      </c>
    </row>
    <row r="153" spans="1:8" ht="90" x14ac:dyDescent="0.25">
      <c r="A153" t="s">
        <v>160</v>
      </c>
      <c r="B153" t="str">
        <f>VLOOKUP(A153,policy!B:C,2,0)</f>
        <v>050000839969</v>
      </c>
      <c r="C153" s="17">
        <v>1177240</v>
      </c>
      <c r="D153" s="45">
        <f t="shared" si="9"/>
        <v>1177240</v>
      </c>
      <c r="E153" s="44" t="s">
        <v>374</v>
      </c>
      <c r="F153" s="46" t="str">
        <f t="shared" si="8"/>
        <v>insert into ins_premium_det (premium_rcv_code,assorted_code, rec_amount,premium_rcv_detail_code,remaining_amt, payrec, mode_code,coinsurance_code,class_cd,it_remarks) values</v>
      </c>
      <c r="G153" s="47" t="str">
        <f t="shared" si="10"/>
        <v>('29May250204','050000839969','1177240',(select max(to_number(i.premium_rcv_detail_code))+1
from ins_premium_det i),'1177240','1177240','02', '11000003','00','Request by Mr. Omair Ali 30-May-2025');</v>
      </c>
      <c r="H153" s="48" t="str">
        <f t="shared" si="11"/>
        <v>insert into ins_premium_det (premium_rcv_code,assorted_code, rec_amount,premium_rcv_detail_code,remaining_amt, payrec, mode_code,coinsurance_code,class_cd,it_remarks) values('29May250204','050000839969','1177240',(select max(to_number(i.premium_rcv_detail_code))+1
from ins_premium_det i),'1177240','1177240','02', '11000003','00','Request by Mr. Omair Ali 30-May-2025');</v>
      </c>
    </row>
    <row r="154" spans="1:8" ht="90" x14ac:dyDescent="0.25">
      <c r="A154" t="s">
        <v>161</v>
      </c>
      <c r="B154" t="str">
        <f>VLOOKUP(A154,policy!B:C,2,0)</f>
        <v>050000842776</v>
      </c>
      <c r="C154" s="17">
        <v>3727</v>
      </c>
      <c r="D154" s="45">
        <f t="shared" si="9"/>
        <v>3727</v>
      </c>
      <c r="E154" s="44" t="s">
        <v>374</v>
      </c>
      <c r="F154" s="46" t="str">
        <f t="shared" si="8"/>
        <v>insert into ins_premium_det (premium_rcv_code,assorted_code, rec_amount,premium_rcv_detail_code,remaining_amt, payrec, mode_code,coinsurance_code,class_cd,it_remarks) values</v>
      </c>
      <c r="G154" s="47" t="str">
        <f t="shared" si="10"/>
        <v>('29May250204','050000842776','3727',(select max(to_number(i.premium_rcv_detail_code))+1
from ins_premium_det i),'3727','3727','02', '11000003','00','Request by Mr. Omair Ali 30-May-2025');</v>
      </c>
      <c r="H154" s="48" t="str">
        <f t="shared" si="11"/>
        <v>insert into ins_premium_det (premium_rcv_code,assorted_code, rec_amount,premium_rcv_detail_code,remaining_amt, payrec, mode_code,coinsurance_code,class_cd,it_remarks) values('29May250204','050000842776','3727',(select max(to_number(i.premium_rcv_detail_code))+1
from ins_premium_det i),'3727','3727','02', '11000003','00','Request by Mr. Omair Ali 30-May-2025');</v>
      </c>
    </row>
    <row r="155" spans="1:8" ht="90" x14ac:dyDescent="0.25">
      <c r="A155" t="s">
        <v>162</v>
      </c>
      <c r="B155" t="str">
        <f>VLOOKUP(A155,policy!B:C,2,0)</f>
        <v>050000844675</v>
      </c>
      <c r="C155" s="17">
        <v>1788878</v>
      </c>
      <c r="D155" s="45">
        <f t="shared" si="9"/>
        <v>1788878</v>
      </c>
      <c r="E155" s="44" t="s">
        <v>374</v>
      </c>
      <c r="F155" s="46" t="str">
        <f t="shared" si="8"/>
        <v>insert into ins_premium_det (premium_rcv_code,assorted_code, rec_amount,premium_rcv_detail_code,remaining_amt, payrec, mode_code,coinsurance_code,class_cd,it_remarks) values</v>
      </c>
      <c r="G155" s="47" t="str">
        <f t="shared" si="10"/>
        <v>('29May250204','050000844675','1788878',(select max(to_number(i.premium_rcv_detail_code))+1
from ins_premium_det i),'1788878','1788878','02', '11000003','00','Request by Mr. Omair Ali 30-May-2025');</v>
      </c>
      <c r="H155" s="48" t="str">
        <f t="shared" si="11"/>
        <v>insert into ins_premium_det (premium_rcv_code,assorted_code, rec_amount,premium_rcv_detail_code,remaining_amt, payrec, mode_code,coinsurance_code,class_cd,it_remarks) values('29May250204','050000844675','1788878',(select max(to_number(i.premium_rcv_detail_code))+1
from ins_premium_det i),'1788878','1788878','02', '11000003','00','Request by Mr. Omair Ali 30-May-2025');</v>
      </c>
    </row>
    <row r="156" spans="1:8" ht="90" x14ac:dyDescent="0.25">
      <c r="A156" t="s">
        <v>163</v>
      </c>
      <c r="B156" t="str">
        <f>VLOOKUP(A156,policy!B:C,2,0)</f>
        <v>050000844682</v>
      </c>
      <c r="C156" s="17">
        <v>1236408</v>
      </c>
      <c r="D156" s="45">
        <f t="shared" si="9"/>
        <v>1236408</v>
      </c>
      <c r="E156" s="44" t="s">
        <v>374</v>
      </c>
      <c r="F156" s="46" t="str">
        <f t="shared" si="8"/>
        <v>insert into ins_premium_det (premium_rcv_code,assorted_code, rec_amount,premium_rcv_detail_code,remaining_amt, payrec, mode_code,coinsurance_code,class_cd,it_remarks) values</v>
      </c>
      <c r="G156" s="47" t="str">
        <f t="shared" si="10"/>
        <v>('29May250204','050000844682','1236408',(select max(to_number(i.premium_rcv_detail_code))+1
from ins_premium_det i),'1236408','1236408','02', '11000003','00','Request by Mr. Omair Ali 30-May-2025');</v>
      </c>
      <c r="H156" s="48" t="str">
        <f t="shared" si="11"/>
        <v>insert into ins_premium_det (premium_rcv_code,assorted_code, rec_amount,premium_rcv_detail_code,remaining_amt, payrec, mode_code,coinsurance_code,class_cd,it_remarks) values('29May250204','050000844682','1236408',(select max(to_number(i.premium_rcv_detail_code))+1
from ins_premium_det i),'1236408','1236408','02', '11000003','00','Request by Mr. Omair Ali 30-May-2025');</v>
      </c>
    </row>
    <row r="157" spans="1:8" ht="90" x14ac:dyDescent="0.25">
      <c r="A157" t="s">
        <v>164</v>
      </c>
      <c r="B157" t="str">
        <f>VLOOKUP(A157,policy!B:C,2,0)</f>
        <v>050000846838</v>
      </c>
      <c r="C157" s="17">
        <v>3523</v>
      </c>
      <c r="D157" s="45">
        <f t="shared" si="9"/>
        <v>3523</v>
      </c>
      <c r="E157" s="44" t="s">
        <v>374</v>
      </c>
      <c r="F157" s="46" t="str">
        <f t="shared" si="8"/>
        <v>insert into ins_premium_det (premium_rcv_code,assorted_code, rec_amount,premium_rcv_detail_code,remaining_amt, payrec, mode_code,coinsurance_code,class_cd,it_remarks) values</v>
      </c>
      <c r="G157" s="47" t="str">
        <f t="shared" si="10"/>
        <v>('29May250204','050000846838','3523',(select max(to_number(i.premium_rcv_detail_code))+1
from ins_premium_det i),'3523','3523','02', '11000003','00','Request by Mr. Omair Ali 30-May-2025');</v>
      </c>
      <c r="H157" s="48" t="str">
        <f t="shared" si="11"/>
        <v>insert into ins_premium_det (premium_rcv_code,assorted_code, rec_amount,premium_rcv_detail_code,remaining_amt, payrec, mode_code,coinsurance_code,class_cd,it_remarks) values('29May250204','050000846838','3523',(select max(to_number(i.premium_rcv_detail_code))+1
from ins_premium_det i),'3523','3523','02', '11000003','00','Request by Mr. Omair Ali 30-May-2025');</v>
      </c>
    </row>
    <row r="158" spans="1:8" ht="90" x14ac:dyDescent="0.25">
      <c r="A158" t="s">
        <v>165</v>
      </c>
      <c r="B158" t="str">
        <f>VLOOKUP(A158,policy!B:C,2,0)</f>
        <v>050000847216</v>
      </c>
      <c r="C158" s="17">
        <v>-78473485</v>
      </c>
      <c r="D158" s="45">
        <f t="shared" si="9"/>
        <v>-78473485</v>
      </c>
      <c r="E158" s="44" t="s">
        <v>374</v>
      </c>
      <c r="F158" s="46" t="str">
        <f t="shared" si="8"/>
        <v>insert into ins_premium_det (premium_rcv_code,assorted_code, rec_amount,premium_rcv_detail_code,remaining_amt, payrec, mode_code,coinsurance_code,class_cd,it_remarks) values</v>
      </c>
      <c r="G158" s="47" t="str">
        <f t="shared" si="10"/>
        <v>('29May250204','050000847216','-78473485',(select max(to_number(i.premium_rcv_detail_code))+1
from ins_premium_det i),'-78473485','-78473485','02', '11000003','00','Request by Mr. Omair Ali 30-May-2025');</v>
      </c>
      <c r="H158" s="48" t="str">
        <f t="shared" si="11"/>
        <v>insert into ins_premium_det (premium_rcv_code,assorted_code, rec_amount,premium_rcv_detail_code,remaining_amt, payrec, mode_code,coinsurance_code,class_cd,it_remarks) values('29May250204','050000847216','-78473485',(select max(to_number(i.premium_rcv_detail_code))+1
from ins_premium_det i),'-78473485','-78473485','02', '11000003','00','Request by Mr. Omair Ali 30-May-2025');</v>
      </c>
    </row>
    <row r="159" spans="1:8" ht="90" x14ac:dyDescent="0.25">
      <c r="A159" t="s">
        <v>166</v>
      </c>
      <c r="B159" t="str">
        <f>VLOOKUP(A159,policy!B:C,2,0)</f>
        <v>050000890436</v>
      </c>
      <c r="C159" s="17">
        <v>-16939979</v>
      </c>
      <c r="D159" s="45">
        <f t="shared" si="9"/>
        <v>-16939979</v>
      </c>
      <c r="E159" s="44" t="s">
        <v>374</v>
      </c>
      <c r="F159" s="46" t="str">
        <f t="shared" si="8"/>
        <v>insert into ins_premium_det (premium_rcv_code,assorted_code, rec_amount,premium_rcv_detail_code,remaining_amt, payrec, mode_code,coinsurance_code,class_cd,it_remarks) values</v>
      </c>
      <c r="G159" s="47" t="str">
        <f t="shared" si="10"/>
        <v>('29May250204','050000890436','-16939979',(select max(to_number(i.premium_rcv_detail_code))+1
from ins_premium_det i),'-16939979','-16939979','02', '11000003','00','Request by Mr. Omair Ali 30-May-2025');</v>
      </c>
      <c r="H159" s="48" t="str">
        <f t="shared" si="11"/>
        <v>insert into ins_premium_det (premium_rcv_code,assorted_code, rec_amount,premium_rcv_detail_code,remaining_amt, payrec, mode_code,coinsurance_code,class_cd,it_remarks) values('29May250204','050000890436','-16939979',(select max(to_number(i.premium_rcv_detail_code))+1
from ins_premium_det i),'-16939979','-16939979','02', '11000003','00','Request by Mr. Omair Ali 30-May-2025');</v>
      </c>
    </row>
    <row r="160" spans="1:8" x14ac:dyDescent="0.2">
      <c r="C160" s="49">
        <f>SUM(C2:C159)</f>
        <v>-80502607</v>
      </c>
    </row>
  </sheetData>
  <sheetCalcPr fullCalcOnLoad="1"/>
  <conditionalFormatting sqref="A1">
    <cfRule type="duplicateValues" dxfId="3" priority="1"/>
  </conditionalFormatting>
  <conditionalFormatting sqref="A2:B2 B3:B15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C6DC-2EAB-415C-93A7-2305D20A5834}">
  <dimension ref="A1:E158"/>
  <sheetViews>
    <sheetView workbookViewId="0">
      <selection activeCell="E1" sqref="E1:E158"/>
    </sheetView>
  </sheetViews>
  <sheetFormatPr defaultRowHeight="12.75" x14ac:dyDescent="0.2"/>
  <cols>
    <col min="1" max="1" width="39.28515625" bestFit="1" customWidth="1"/>
  </cols>
  <sheetData>
    <row r="1" spans="1:5" x14ac:dyDescent="0.2">
      <c r="A1" t="s">
        <v>2</v>
      </c>
      <c r="B1" t="s">
        <v>194</v>
      </c>
      <c r="D1">
        <v>22529</v>
      </c>
      <c r="E1" s="40" t="str">
        <f t="shared" ref="E1:E64" si="0">"ia.assorted_string like '%"&amp;D1&amp;B1&amp;"%' or"</f>
        <v>ia.assorted_string like '%22529-11-2023%' or</v>
      </c>
    </row>
    <row r="2" spans="1:5" x14ac:dyDescent="0.2">
      <c r="A2" t="s">
        <v>9</v>
      </c>
      <c r="B2" t="s">
        <v>194</v>
      </c>
      <c r="D2">
        <v>22580</v>
      </c>
      <c r="E2" s="40" t="str">
        <f t="shared" si="0"/>
        <v>ia.assorted_string like '%22580-11-2023%' or</v>
      </c>
    </row>
    <row r="3" spans="1:5" x14ac:dyDescent="0.2">
      <c r="A3" t="s">
        <v>10</v>
      </c>
      <c r="B3" t="s">
        <v>194</v>
      </c>
      <c r="D3">
        <v>22744</v>
      </c>
      <c r="E3" s="40" t="str">
        <f t="shared" si="0"/>
        <v>ia.assorted_string like '%22744-11-2023%' or</v>
      </c>
    </row>
    <row r="4" spans="1:5" x14ac:dyDescent="0.2">
      <c r="A4" t="s">
        <v>11</v>
      </c>
      <c r="B4" t="s">
        <v>194</v>
      </c>
      <c r="D4">
        <v>22751</v>
      </c>
      <c r="E4" s="40" t="str">
        <f t="shared" si="0"/>
        <v>ia.assorted_string like '%22751-11-2023%' or</v>
      </c>
    </row>
    <row r="5" spans="1:5" x14ac:dyDescent="0.2">
      <c r="A5" t="s">
        <v>12</v>
      </c>
      <c r="B5" t="s">
        <v>194</v>
      </c>
      <c r="D5">
        <v>22828</v>
      </c>
      <c r="E5" s="40" t="str">
        <f t="shared" si="0"/>
        <v>ia.assorted_string like '%22828-11-2023%' or</v>
      </c>
    </row>
    <row r="6" spans="1:5" x14ac:dyDescent="0.2">
      <c r="A6" t="s">
        <v>13</v>
      </c>
      <c r="B6" t="s">
        <v>195</v>
      </c>
      <c r="D6">
        <v>22877</v>
      </c>
      <c r="E6" s="40" t="str">
        <f t="shared" si="0"/>
        <v>ia.assorted_string like '%22877-12-2023%' or</v>
      </c>
    </row>
    <row r="7" spans="1:5" x14ac:dyDescent="0.2">
      <c r="A7" t="s">
        <v>14</v>
      </c>
      <c r="B7" t="s">
        <v>195</v>
      </c>
      <c r="D7">
        <v>22895</v>
      </c>
      <c r="E7" s="40" t="str">
        <f t="shared" si="0"/>
        <v>ia.assorted_string like '%22895-12-2023%' or</v>
      </c>
    </row>
    <row r="8" spans="1:5" x14ac:dyDescent="0.2">
      <c r="A8" t="s">
        <v>15</v>
      </c>
      <c r="B8" t="s">
        <v>195</v>
      </c>
      <c r="D8">
        <v>22921</v>
      </c>
      <c r="E8" s="40" t="str">
        <f t="shared" si="0"/>
        <v>ia.assorted_string like '%22921-12-2023%' or</v>
      </c>
    </row>
    <row r="9" spans="1:5" x14ac:dyDescent="0.2">
      <c r="A9" t="s">
        <v>16</v>
      </c>
      <c r="B9" t="s">
        <v>195</v>
      </c>
      <c r="D9">
        <v>22974</v>
      </c>
      <c r="E9" s="40" t="str">
        <f t="shared" si="0"/>
        <v>ia.assorted_string like '%22974-12-2023%' or</v>
      </c>
    </row>
    <row r="10" spans="1:5" x14ac:dyDescent="0.2">
      <c r="A10" t="s">
        <v>17</v>
      </c>
      <c r="B10" t="s">
        <v>195</v>
      </c>
      <c r="D10">
        <v>23025</v>
      </c>
      <c r="E10" s="40" t="str">
        <f t="shared" si="0"/>
        <v>ia.assorted_string like '%23025-12-2023%' or</v>
      </c>
    </row>
    <row r="11" spans="1:5" x14ac:dyDescent="0.2">
      <c r="A11" t="s">
        <v>18</v>
      </c>
      <c r="B11" t="s">
        <v>195</v>
      </c>
      <c r="D11">
        <v>23043</v>
      </c>
      <c r="E11" s="40" t="str">
        <f t="shared" si="0"/>
        <v>ia.assorted_string like '%23043-12-2023%' or</v>
      </c>
    </row>
    <row r="12" spans="1:5" x14ac:dyDescent="0.2">
      <c r="A12" t="s">
        <v>19</v>
      </c>
      <c r="B12" t="s">
        <v>195</v>
      </c>
      <c r="D12">
        <v>23074</v>
      </c>
      <c r="E12" s="40" t="str">
        <f t="shared" si="0"/>
        <v>ia.assorted_string like '%23074-12-2023%' or</v>
      </c>
    </row>
    <row r="13" spans="1:5" x14ac:dyDescent="0.2">
      <c r="A13" t="s">
        <v>20</v>
      </c>
      <c r="B13" t="s">
        <v>195</v>
      </c>
      <c r="D13">
        <v>23107</v>
      </c>
      <c r="E13" s="40" t="str">
        <f t="shared" si="0"/>
        <v>ia.assorted_string like '%23107-12-2023%' or</v>
      </c>
    </row>
    <row r="14" spans="1:5" x14ac:dyDescent="0.2">
      <c r="A14" t="s">
        <v>21</v>
      </c>
      <c r="B14" t="s">
        <v>195</v>
      </c>
      <c r="D14">
        <v>23127</v>
      </c>
      <c r="E14" s="40" t="str">
        <f t="shared" si="0"/>
        <v>ia.assorted_string like '%23127-12-2023%' or</v>
      </c>
    </row>
    <row r="15" spans="1:5" x14ac:dyDescent="0.2">
      <c r="A15" t="s">
        <v>22</v>
      </c>
      <c r="B15" t="s">
        <v>195</v>
      </c>
      <c r="D15">
        <v>23229</v>
      </c>
      <c r="E15" s="40" t="str">
        <f t="shared" si="0"/>
        <v>ia.assorted_string like '%23229-12-2023%' or</v>
      </c>
    </row>
    <row r="16" spans="1:5" x14ac:dyDescent="0.2">
      <c r="A16" t="s">
        <v>23</v>
      </c>
      <c r="B16" t="s">
        <v>195</v>
      </c>
      <c r="D16">
        <v>23242</v>
      </c>
      <c r="E16" s="40" t="str">
        <f t="shared" si="0"/>
        <v>ia.assorted_string like '%23242-12-2023%' or</v>
      </c>
    </row>
    <row r="17" spans="1:5" x14ac:dyDescent="0.2">
      <c r="A17" t="s">
        <v>24</v>
      </c>
      <c r="B17" t="s">
        <v>195</v>
      </c>
      <c r="D17">
        <v>23294</v>
      </c>
      <c r="E17" s="40" t="str">
        <f t="shared" si="0"/>
        <v>ia.assorted_string like '%23294-12-2023%' or</v>
      </c>
    </row>
    <row r="18" spans="1:5" x14ac:dyDescent="0.2">
      <c r="A18" t="s">
        <v>25</v>
      </c>
      <c r="B18" t="s">
        <v>196</v>
      </c>
      <c r="D18">
        <v>23322</v>
      </c>
      <c r="E18" s="40" t="str">
        <f t="shared" si="0"/>
        <v>ia.assorted_string like '%23322-01-2024%' or</v>
      </c>
    </row>
    <row r="19" spans="1:5" x14ac:dyDescent="0.2">
      <c r="A19" t="s">
        <v>26</v>
      </c>
      <c r="B19" t="s">
        <v>196</v>
      </c>
      <c r="D19">
        <v>23344</v>
      </c>
      <c r="E19" s="40" t="str">
        <f t="shared" si="0"/>
        <v>ia.assorted_string like '%23344-01-2024%' or</v>
      </c>
    </row>
    <row r="20" spans="1:5" x14ac:dyDescent="0.2">
      <c r="A20" t="s">
        <v>27</v>
      </c>
      <c r="B20" t="s">
        <v>196</v>
      </c>
      <c r="D20">
        <v>23416</v>
      </c>
      <c r="E20" s="40" t="str">
        <f t="shared" si="0"/>
        <v>ia.assorted_string like '%23416-01-2024%' or</v>
      </c>
    </row>
    <row r="21" spans="1:5" x14ac:dyDescent="0.2">
      <c r="A21" t="s">
        <v>28</v>
      </c>
      <c r="B21" t="s">
        <v>196</v>
      </c>
      <c r="D21">
        <v>23445</v>
      </c>
      <c r="E21" s="40" t="str">
        <f t="shared" si="0"/>
        <v>ia.assorted_string like '%23445-01-2024%' or</v>
      </c>
    </row>
    <row r="22" spans="1:5" x14ac:dyDescent="0.2">
      <c r="A22" t="s">
        <v>29</v>
      </c>
      <c r="B22" t="s">
        <v>196</v>
      </c>
      <c r="D22">
        <v>23467</v>
      </c>
      <c r="E22" s="40" t="str">
        <f t="shared" si="0"/>
        <v>ia.assorted_string like '%23467-01-2024%' or</v>
      </c>
    </row>
    <row r="23" spans="1:5" x14ac:dyDescent="0.2">
      <c r="A23" t="s">
        <v>30</v>
      </c>
      <c r="B23" t="s">
        <v>196</v>
      </c>
      <c r="D23">
        <v>23519</v>
      </c>
      <c r="E23" s="40" t="str">
        <f t="shared" si="0"/>
        <v>ia.assorted_string like '%23519-01-2024%' or</v>
      </c>
    </row>
    <row r="24" spans="1:5" x14ac:dyDescent="0.2">
      <c r="A24" t="s">
        <v>31</v>
      </c>
      <c r="B24" t="s">
        <v>196</v>
      </c>
      <c r="D24">
        <v>23554</v>
      </c>
      <c r="E24" s="40" t="str">
        <f t="shared" si="0"/>
        <v>ia.assorted_string like '%23554-01-2024%' or</v>
      </c>
    </row>
    <row r="25" spans="1:5" x14ac:dyDescent="0.2">
      <c r="A25" t="s">
        <v>32</v>
      </c>
      <c r="B25" t="s">
        <v>196</v>
      </c>
      <c r="D25">
        <v>23584</v>
      </c>
      <c r="E25" s="40" t="str">
        <f t="shared" si="0"/>
        <v>ia.assorted_string like '%23584-01-2024%' or</v>
      </c>
    </row>
    <row r="26" spans="1:5" x14ac:dyDescent="0.2">
      <c r="A26" t="s">
        <v>33</v>
      </c>
      <c r="B26" t="s">
        <v>196</v>
      </c>
      <c r="D26">
        <v>23589</v>
      </c>
      <c r="E26" s="40" t="str">
        <f t="shared" si="0"/>
        <v>ia.assorted_string like '%23589-01-2024%' or</v>
      </c>
    </row>
    <row r="27" spans="1:5" x14ac:dyDescent="0.2">
      <c r="A27" t="s">
        <v>34</v>
      </c>
      <c r="B27" t="s">
        <v>196</v>
      </c>
      <c r="D27">
        <v>23619</v>
      </c>
      <c r="E27" s="40" t="str">
        <f t="shared" si="0"/>
        <v>ia.assorted_string like '%23619-01-2024%' or</v>
      </c>
    </row>
    <row r="28" spans="1:5" x14ac:dyDescent="0.2">
      <c r="A28" t="s">
        <v>35</v>
      </c>
      <c r="B28" t="s">
        <v>196</v>
      </c>
      <c r="D28">
        <v>23743</v>
      </c>
      <c r="E28" s="40" t="str">
        <f t="shared" si="0"/>
        <v>ia.assorted_string like '%23743-01-2024%' or</v>
      </c>
    </row>
    <row r="29" spans="1:5" x14ac:dyDescent="0.2">
      <c r="A29" t="s">
        <v>36</v>
      </c>
      <c r="B29" t="s">
        <v>196</v>
      </c>
      <c r="D29">
        <v>23752</v>
      </c>
      <c r="E29" s="40" t="str">
        <f t="shared" si="0"/>
        <v>ia.assorted_string like '%23752-01-2024%' or</v>
      </c>
    </row>
    <row r="30" spans="1:5" x14ac:dyDescent="0.2">
      <c r="A30" t="s">
        <v>37</v>
      </c>
      <c r="B30" t="s">
        <v>196</v>
      </c>
      <c r="D30">
        <v>23793</v>
      </c>
      <c r="E30" s="40" t="str">
        <f t="shared" si="0"/>
        <v>ia.assorted_string like '%23793-01-2024%' or</v>
      </c>
    </row>
    <row r="31" spans="1:5" x14ac:dyDescent="0.2">
      <c r="A31" t="s">
        <v>38</v>
      </c>
      <c r="B31" t="s">
        <v>196</v>
      </c>
      <c r="D31">
        <v>23825</v>
      </c>
      <c r="E31" s="40" t="str">
        <f t="shared" si="0"/>
        <v>ia.assorted_string like '%23825-01-2024%' or</v>
      </c>
    </row>
    <row r="32" spans="1:5" x14ac:dyDescent="0.2">
      <c r="A32" t="s">
        <v>39</v>
      </c>
      <c r="B32" t="s">
        <v>197</v>
      </c>
      <c r="D32">
        <v>23888</v>
      </c>
      <c r="E32" s="40" t="str">
        <f t="shared" si="0"/>
        <v>ia.assorted_string like '%23888-02-2024%' or</v>
      </c>
    </row>
    <row r="33" spans="1:5" x14ac:dyDescent="0.2">
      <c r="A33" t="s">
        <v>40</v>
      </c>
      <c r="B33" t="s">
        <v>197</v>
      </c>
      <c r="D33">
        <v>23897</v>
      </c>
      <c r="E33" s="40" t="str">
        <f t="shared" si="0"/>
        <v>ia.assorted_string like '%23897-02-2024%' or</v>
      </c>
    </row>
    <row r="34" spans="1:5" x14ac:dyDescent="0.2">
      <c r="A34" t="s">
        <v>41</v>
      </c>
      <c r="B34" t="s">
        <v>197</v>
      </c>
      <c r="D34">
        <v>23910</v>
      </c>
      <c r="E34" s="40" t="str">
        <f t="shared" si="0"/>
        <v>ia.assorted_string like '%23910-02-2024%' or</v>
      </c>
    </row>
    <row r="35" spans="1:5" x14ac:dyDescent="0.2">
      <c r="A35" t="s">
        <v>42</v>
      </c>
      <c r="B35" t="s">
        <v>197</v>
      </c>
      <c r="D35">
        <v>23921</v>
      </c>
      <c r="E35" s="40" t="str">
        <f t="shared" si="0"/>
        <v>ia.assorted_string like '%23921-02-2024%' or</v>
      </c>
    </row>
    <row r="36" spans="1:5" x14ac:dyDescent="0.2">
      <c r="A36" t="s">
        <v>43</v>
      </c>
      <c r="B36" t="s">
        <v>197</v>
      </c>
      <c r="D36">
        <v>23947</v>
      </c>
      <c r="E36" s="40" t="str">
        <f t="shared" si="0"/>
        <v>ia.assorted_string like '%23947-02-2024%' or</v>
      </c>
    </row>
    <row r="37" spans="1:5" x14ac:dyDescent="0.2">
      <c r="A37" t="s">
        <v>44</v>
      </c>
      <c r="B37" t="s">
        <v>197</v>
      </c>
      <c r="D37">
        <v>23954</v>
      </c>
      <c r="E37" s="40" t="str">
        <f t="shared" si="0"/>
        <v>ia.assorted_string like '%23954-02-2024%' or</v>
      </c>
    </row>
    <row r="38" spans="1:5" x14ac:dyDescent="0.2">
      <c r="A38" t="s">
        <v>45</v>
      </c>
      <c r="B38" t="s">
        <v>197</v>
      </c>
      <c r="D38">
        <v>24074</v>
      </c>
      <c r="E38" s="40" t="str">
        <f t="shared" si="0"/>
        <v>ia.assorted_string like '%24074-02-2024%' or</v>
      </c>
    </row>
    <row r="39" spans="1:5" x14ac:dyDescent="0.2">
      <c r="A39" t="s">
        <v>46</v>
      </c>
      <c r="B39" t="s">
        <v>197</v>
      </c>
      <c r="D39">
        <v>24153</v>
      </c>
      <c r="E39" s="40" t="str">
        <f t="shared" si="0"/>
        <v>ia.assorted_string like '%24153-02-2024%' or</v>
      </c>
    </row>
    <row r="40" spans="1:5" x14ac:dyDescent="0.2">
      <c r="A40" t="s">
        <v>47</v>
      </c>
      <c r="B40" t="s">
        <v>197</v>
      </c>
      <c r="D40">
        <v>24190</v>
      </c>
      <c r="E40" s="40" t="str">
        <f t="shared" si="0"/>
        <v>ia.assorted_string like '%24190-02-2024%' or</v>
      </c>
    </row>
    <row r="41" spans="1:5" x14ac:dyDescent="0.2">
      <c r="A41" t="s">
        <v>48</v>
      </c>
      <c r="B41" t="s">
        <v>197</v>
      </c>
      <c r="D41">
        <v>24238</v>
      </c>
      <c r="E41" s="40" t="str">
        <f t="shared" si="0"/>
        <v>ia.assorted_string like '%24238-02-2024%' or</v>
      </c>
    </row>
    <row r="42" spans="1:5" x14ac:dyDescent="0.2">
      <c r="A42" t="s">
        <v>49</v>
      </c>
      <c r="B42" t="s">
        <v>197</v>
      </c>
      <c r="D42">
        <v>24240</v>
      </c>
      <c r="E42" s="40" t="str">
        <f t="shared" si="0"/>
        <v>ia.assorted_string like '%24240-02-2024%' or</v>
      </c>
    </row>
    <row r="43" spans="1:5" x14ac:dyDescent="0.2">
      <c r="A43" t="s">
        <v>50</v>
      </c>
      <c r="B43" t="s">
        <v>197</v>
      </c>
      <c r="D43">
        <v>24264</v>
      </c>
      <c r="E43" s="40" t="str">
        <f t="shared" si="0"/>
        <v>ia.assorted_string like '%24264-02-2024%' or</v>
      </c>
    </row>
    <row r="44" spans="1:5" x14ac:dyDescent="0.2">
      <c r="A44" t="s">
        <v>51</v>
      </c>
      <c r="B44" t="s">
        <v>198</v>
      </c>
      <c r="D44">
        <v>24313</v>
      </c>
      <c r="E44" s="40" t="str">
        <f t="shared" si="0"/>
        <v>ia.assorted_string like '%24313-03-2024%' or</v>
      </c>
    </row>
    <row r="45" spans="1:5" x14ac:dyDescent="0.2">
      <c r="A45" t="s">
        <v>52</v>
      </c>
      <c r="B45" t="s">
        <v>198</v>
      </c>
      <c r="D45">
        <v>24326</v>
      </c>
      <c r="E45" s="40" t="str">
        <f t="shared" si="0"/>
        <v>ia.assorted_string like '%24326-03-2024%' or</v>
      </c>
    </row>
    <row r="46" spans="1:5" x14ac:dyDescent="0.2">
      <c r="A46" t="s">
        <v>53</v>
      </c>
      <c r="B46" t="s">
        <v>198</v>
      </c>
      <c r="D46">
        <v>24344</v>
      </c>
      <c r="E46" s="40" t="str">
        <f t="shared" si="0"/>
        <v>ia.assorted_string like '%24344-03-2024%' or</v>
      </c>
    </row>
    <row r="47" spans="1:5" x14ac:dyDescent="0.2">
      <c r="A47" t="s">
        <v>54</v>
      </c>
      <c r="B47" t="s">
        <v>198</v>
      </c>
      <c r="D47">
        <v>24377</v>
      </c>
      <c r="E47" s="40" t="str">
        <f t="shared" si="0"/>
        <v>ia.assorted_string like '%24377-03-2024%' or</v>
      </c>
    </row>
    <row r="48" spans="1:5" x14ac:dyDescent="0.2">
      <c r="A48" t="s">
        <v>55</v>
      </c>
      <c r="B48" t="s">
        <v>198</v>
      </c>
      <c r="D48">
        <v>24408</v>
      </c>
      <c r="E48" s="40" t="str">
        <f t="shared" si="0"/>
        <v>ia.assorted_string like '%24408-03-2024%' or</v>
      </c>
    </row>
    <row r="49" spans="1:5" x14ac:dyDescent="0.2">
      <c r="A49" t="s">
        <v>56</v>
      </c>
      <c r="B49" t="s">
        <v>198</v>
      </c>
      <c r="D49">
        <v>24412</v>
      </c>
      <c r="E49" s="40" t="str">
        <f t="shared" si="0"/>
        <v>ia.assorted_string like '%24412-03-2024%' or</v>
      </c>
    </row>
    <row r="50" spans="1:5" x14ac:dyDescent="0.2">
      <c r="A50" t="s">
        <v>57</v>
      </c>
      <c r="B50" t="s">
        <v>198</v>
      </c>
      <c r="D50">
        <v>24428</v>
      </c>
      <c r="E50" s="40" t="str">
        <f t="shared" si="0"/>
        <v>ia.assorted_string like '%24428-03-2024%' or</v>
      </c>
    </row>
    <row r="51" spans="1:5" x14ac:dyDescent="0.2">
      <c r="A51" t="s">
        <v>58</v>
      </c>
      <c r="B51" t="s">
        <v>198</v>
      </c>
      <c r="D51">
        <v>24467</v>
      </c>
      <c r="E51" s="40" t="str">
        <f t="shared" si="0"/>
        <v>ia.assorted_string like '%24467-03-2024%' or</v>
      </c>
    </row>
    <row r="52" spans="1:5" x14ac:dyDescent="0.2">
      <c r="A52" t="s">
        <v>59</v>
      </c>
      <c r="B52" t="s">
        <v>198</v>
      </c>
      <c r="D52">
        <v>24492</v>
      </c>
      <c r="E52" s="40" t="str">
        <f t="shared" si="0"/>
        <v>ia.assorted_string like '%24492-03-2024%' or</v>
      </c>
    </row>
    <row r="53" spans="1:5" x14ac:dyDescent="0.2">
      <c r="A53" t="s">
        <v>60</v>
      </c>
      <c r="B53" t="s">
        <v>198</v>
      </c>
      <c r="D53">
        <v>24559</v>
      </c>
      <c r="E53" s="40" t="str">
        <f t="shared" si="0"/>
        <v>ia.assorted_string like '%24559-03-2024%' or</v>
      </c>
    </row>
    <row r="54" spans="1:5" x14ac:dyDescent="0.2">
      <c r="A54" t="s">
        <v>61</v>
      </c>
      <c r="B54" t="s">
        <v>198</v>
      </c>
      <c r="D54">
        <v>24612</v>
      </c>
      <c r="E54" s="40" t="str">
        <f t="shared" si="0"/>
        <v>ia.assorted_string like '%24612-03-2024%' or</v>
      </c>
    </row>
    <row r="55" spans="1:5" x14ac:dyDescent="0.2">
      <c r="A55" t="s">
        <v>62</v>
      </c>
      <c r="B55" t="s">
        <v>198</v>
      </c>
      <c r="D55">
        <v>24657</v>
      </c>
      <c r="E55" s="40" t="str">
        <f t="shared" si="0"/>
        <v>ia.assorted_string like '%24657-03-2024%' or</v>
      </c>
    </row>
    <row r="56" spans="1:5" x14ac:dyDescent="0.2">
      <c r="A56" t="s">
        <v>63</v>
      </c>
      <c r="B56" t="s">
        <v>198</v>
      </c>
      <c r="D56">
        <v>24671</v>
      </c>
      <c r="E56" s="40" t="str">
        <f t="shared" si="0"/>
        <v>ia.assorted_string like '%24671-03-2024%' or</v>
      </c>
    </row>
    <row r="57" spans="1:5" x14ac:dyDescent="0.2">
      <c r="A57" t="s">
        <v>64</v>
      </c>
      <c r="B57" t="s">
        <v>199</v>
      </c>
      <c r="D57">
        <v>24757</v>
      </c>
      <c r="E57" s="40" t="str">
        <f t="shared" si="0"/>
        <v>ia.assorted_string like '%24757-04-2024%' or</v>
      </c>
    </row>
    <row r="58" spans="1:5" x14ac:dyDescent="0.2">
      <c r="A58" t="s">
        <v>65</v>
      </c>
      <c r="B58" t="s">
        <v>199</v>
      </c>
      <c r="D58">
        <v>24764</v>
      </c>
      <c r="E58" s="40" t="str">
        <f t="shared" si="0"/>
        <v>ia.assorted_string like '%24764-04-2024%' or</v>
      </c>
    </row>
    <row r="59" spans="1:5" x14ac:dyDescent="0.2">
      <c r="A59" t="s">
        <v>66</v>
      </c>
      <c r="B59" t="s">
        <v>199</v>
      </c>
      <c r="D59">
        <v>24781</v>
      </c>
      <c r="E59" s="40" t="str">
        <f t="shared" si="0"/>
        <v>ia.assorted_string like '%24781-04-2024%' or</v>
      </c>
    </row>
    <row r="60" spans="1:5" x14ac:dyDescent="0.2">
      <c r="A60" t="s">
        <v>67</v>
      </c>
      <c r="B60" t="s">
        <v>199</v>
      </c>
      <c r="D60">
        <v>24876</v>
      </c>
      <c r="E60" s="40" t="str">
        <f t="shared" si="0"/>
        <v>ia.assorted_string like '%24876-04-2024%' or</v>
      </c>
    </row>
    <row r="61" spans="1:5" x14ac:dyDescent="0.2">
      <c r="A61" t="s">
        <v>68</v>
      </c>
      <c r="B61" t="s">
        <v>199</v>
      </c>
      <c r="D61">
        <v>24948</v>
      </c>
      <c r="E61" s="40" t="str">
        <f t="shared" si="0"/>
        <v>ia.assorted_string like '%24948-04-2024%' or</v>
      </c>
    </row>
    <row r="62" spans="1:5" x14ac:dyDescent="0.2">
      <c r="A62" t="s">
        <v>69</v>
      </c>
      <c r="B62" t="s">
        <v>199</v>
      </c>
      <c r="D62">
        <v>25009</v>
      </c>
      <c r="E62" s="40" t="str">
        <f t="shared" si="0"/>
        <v>ia.assorted_string like '%25009-04-2024%' or</v>
      </c>
    </row>
    <row r="63" spans="1:5" x14ac:dyDescent="0.2">
      <c r="A63" t="s">
        <v>70</v>
      </c>
      <c r="B63" t="s">
        <v>199</v>
      </c>
      <c r="D63">
        <v>25056</v>
      </c>
      <c r="E63" s="40" t="str">
        <f t="shared" si="0"/>
        <v>ia.assorted_string like '%25056-04-2024%' or</v>
      </c>
    </row>
    <row r="64" spans="1:5" x14ac:dyDescent="0.2">
      <c r="A64" t="s">
        <v>71</v>
      </c>
      <c r="B64" t="s">
        <v>199</v>
      </c>
      <c r="D64">
        <v>25086</v>
      </c>
      <c r="E64" s="40" t="str">
        <f t="shared" si="0"/>
        <v>ia.assorted_string like '%25086-04-2024%' or</v>
      </c>
    </row>
    <row r="65" spans="1:5" x14ac:dyDescent="0.2">
      <c r="A65" t="s">
        <v>72</v>
      </c>
      <c r="B65" t="s">
        <v>200</v>
      </c>
      <c r="D65">
        <v>25121</v>
      </c>
      <c r="E65" s="40" t="str">
        <f t="shared" ref="E65:E128" si="1">"ia.assorted_string like '%"&amp;D65&amp;B65&amp;"%' or"</f>
        <v>ia.assorted_string like '%25121-05-2024%' or</v>
      </c>
    </row>
    <row r="66" spans="1:5" x14ac:dyDescent="0.2">
      <c r="A66" t="s">
        <v>73</v>
      </c>
      <c r="B66" t="s">
        <v>200</v>
      </c>
      <c r="D66">
        <v>25125</v>
      </c>
      <c r="E66" s="40" t="str">
        <f t="shared" si="1"/>
        <v>ia.assorted_string like '%25125-05-2024%' or</v>
      </c>
    </row>
    <row r="67" spans="1:5" x14ac:dyDescent="0.2">
      <c r="A67" t="s">
        <v>74</v>
      </c>
      <c r="B67" t="s">
        <v>200</v>
      </c>
      <c r="D67">
        <v>25136</v>
      </c>
      <c r="E67" s="40" t="str">
        <f t="shared" si="1"/>
        <v>ia.assorted_string like '%25136-05-2024%' or</v>
      </c>
    </row>
    <row r="68" spans="1:5" x14ac:dyDescent="0.2">
      <c r="A68" t="s">
        <v>75</v>
      </c>
      <c r="B68" t="s">
        <v>200</v>
      </c>
      <c r="D68">
        <v>25167</v>
      </c>
      <c r="E68" s="40" t="str">
        <f t="shared" si="1"/>
        <v>ia.assorted_string like '%25167-05-2024%' or</v>
      </c>
    </row>
    <row r="69" spans="1:5" x14ac:dyDescent="0.2">
      <c r="A69" t="s">
        <v>76</v>
      </c>
      <c r="B69" t="s">
        <v>200</v>
      </c>
      <c r="D69">
        <v>25226</v>
      </c>
      <c r="E69" s="40" t="str">
        <f t="shared" si="1"/>
        <v>ia.assorted_string like '%25226-05-2024%' or</v>
      </c>
    </row>
    <row r="70" spans="1:5" x14ac:dyDescent="0.2">
      <c r="A70" t="s">
        <v>77</v>
      </c>
      <c r="B70" t="s">
        <v>200</v>
      </c>
      <c r="D70">
        <v>25288</v>
      </c>
      <c r="E70" s="40" t="str">
        <f t="shared" si="1"/>
        <v>ia.assorted_string like '%25288-05-2024%' or</v>
      </c>
    </row>
    <row r="71" spans="1:5" x14ac:dyDescent="0.2">
      <c r="A71" t="s">
        <v>78</v>
      </c>
      <c r="B71" t="s">
        <v>200</v>
      </c>
      <c r="D71">
        <v>25303</v>
      </c>
      <c r="E71" s="40" t="str">
        <f t="shared" si="1"/>
        <v>ia.assorted_string like '%25303-05-2024%' or</v>
      </c>
    </row>
    <row r="72" spans="1:5" x14ac:dyDescent="0.2">
      <c r="A72" t="s">
        <v>79</v>
      </c>
      <c r="B72" t="s">
        <v>200</v>
      </c>
      <c r="D72">
        <v>25321</v>
      </c>
      <c r="E72" s="40" t="str">
        <f t="shared" si="1"/>
        <v>ia.assorted_string like '%25321-05-2024%' or</v>
      </c>
    </row>
    <row r="73" spans="1:5" x14ac:dyDescent="0.2">
      <c r="A73" t="s">
        <v>80</v>
      </c>
      <c r="B73" t="s">
        <v>200</v>
      </c>
      <c r="D73">
        <v>25337</v>
      </c>
      <c r="E73" s="40" t="str">
        <f t="shared" si="1"/>
        <v>ia.assorted_string like '%25337-05-2024%' or</v>
      </c>
    </row>
    <row r="74" spans="1:5" x14ac:dyDescent="0.2">
      <c r="A74" t="s">
        <v>81</v>
      </c>
      <c r="B74" t="s">
        <v>200</v>
      </c>
      <c r="D74">
        <v>25393</v>
      </c>
      <c r="E74" s="40" t="str">
        <f t="shared" si="1"/>
        <v>ia.assorted_string like '%25393-05-2024%' or</v>
      </c>
    </row>
    <row r="75" spans="1:5" x14ac:dyDescent="0.2">
      <c r="A75" t="s">
        <v>82</v>
      </c>
      <c r="B75" t="s">
        <v>200</v>
      </c>
      <c r="D75">
        <v>25434</v>
      </c>
      <c r="E75" s="40" t="str">
        <f t="shared" si="1"/>
        <v>ia.assorted_string like '%25434-05-2024%' or</v>
      </c>
    </row>
    <row r="76" spans="1:5" x14ac:dyDescent="0.2">
      <c r="A76" t="s">
        <v>83</v>
      </c>
      <c r="B76" t="s">
        <v>200</v>
      </c>
      <c r="D76">
        <v>25526</v>
      </c>
      <c r="E76" s="40" t="str">
        <f t="shared" si="1"/>
        <v>ia.assorted_string like '%25526-05-2024%' or</v>
      </c>
    </row>
    <row r="77" spans="1:5" x14ac:dyDescent="0.2">
      <c r="A77" t="s">
        <v>84</v>
      </c>
      <c r="B77" t="s">
        <v>200</v>
      </c>
      <c r="D77">
        <v>25551</v>
      </c>
      <c r="E77" s="40" t="str">
        <f t="shared" si="1"/>
        <v>ia.assorted_string like '%25551-05-2024%' or</v>
      </c>
    </row>
    <row r="78" spans="1:5" x14ac:dyDescent="0.2">
      <c r="A78" t="s">
        <v>85</v>
      </c>
      <c r="B78" t="s">
        <v>201</v>
      </c>
      <c r="D78">
        <v>25572</v>
      </c>
      <c r="E78" s="40" t="str">
        <f t="shared" si="1"/>
        <v>ia.assorted_string like '%25572-06-2024%' or</v>
      </c>
    </row>
    <row r="79" spans="1:5" x14ac:dyDescent="0.2">
      <c r="A79" t="s">
        <v>86</v>
      </c>
      <c r="B79" t="s">
        <v>201</v>
      </c>
      <c r="D79">
        <v>25596</v>
      </c>
      <c r="E79" s="40" t="str">
        <f t="shared" si="1"/>
        <v>ia.assorted_string like '%25596-06-2024%' or</v>
      </c>
    </row>
    <row r="80" spans="1:5" x14ac:dyDescent="0.2">
      <c r="A80" t="s">
        <v>87</v>
      </c>
      <c r="B80" t="s">
        <v>201</v>
      </c>
      <c r="D80">
        <v>25636</v>
      </c>
      <c r="E80" s="40" t="str">
        <f t="shared" si="1"/>
        <v>ia.assorted_string like '%25636-06-2024%' or</v>
      </c>
    </row>
    <row r="81" spans="1:5" x14ac:dyDescent="0.2">
      <c r="A81" t="s">
        <v>88</v>
      </c>
      <c r="B81" t="s">
        <v>201</v>
      </c>
      <c r="D81">
        <v>25662</v>
      </c>
      <c r="E81" s="40" t="str">
        <f t="shared" si="1"/>
        <v>ia.assorted_string like '%25662-06-2024%' or</v>
      </c>
    </row>
    <row r="82" spans="1:5" x14ac:dyDescent="0.2">
      <c r="A82" t="s">
        <v>89</v>
      </c>
      <c r="B82" t="s">
        <v>201</v>
      </c>
      <c r="D82">
        <v>25727</v>
      </c>
      <c r="E82" s="40" t="str">
        <f t="shared" si="1"/>
        <v>ia.assorted_string like '%25727-06-2024%' or</v>
      </c>
    </row>
    <row r="83" spans="1:5" x14ac:dyDescent="0.2">
      <c r="A83" t="s">
        <v>90</v>
      </c>
      <c r="B83" t="s">
        <v>201</v>
      </c>
      <c r="D83">
        <v>25760</v>
      </c>
      <c r="E83" s="40" t="str">
        <f t="shared" si="1"/>
        <v>ia.assorted_string like '%25760-06-2024%' or</v>
      </c>
    </row>
    <row r="84" spans="1:5" x14ac:dyDescent="0.2">
      <c r="A84" t="s">
        <v>91</v>
      </c>
      <c r="B84" t="s">
        <v>201</v>
      </c>
      <c r="D84">
        <v>25772</v>
      </c>
      <c r="E84" s="40" t="str">
        <f t="shared" si="1"/>
        <v>ia.assorted_string like '%25772-06-2024%' or</v>
      </c>
    </row>
    <row r="85" spans="1:5" x14ac:dyDescent="0.2">
      <c r="A85" t="s">
        <v>92</v>
      </c>
      <c r="B85" t="s">
        <v>201</v>
      </c>
      <c r="D85">
        <v>25781</v>
      </c>
      <c r="E85" s="40" t="str">
        <f t="shared" si="1"/>
        <v>ia.assorted_string like '%25781-06-2024%' or</v>
      </c>
    </row>
    <row r="86" spans="1:5" x14ac:dyDescent="0.2">
      <c r="A86" t="s">
        <v>93</v>
      </c>
      <c r="B86" t="s">
        <v>201</v>
      </c>
      <c r="D86">
        <v>25863</v>
      </c>
      <c r="E86" s="40" t="str">
        <f t="shared" si="1"/>
        <v>ia.assorted_string like '%25863-06-2024%' or</v>
      </c>
    </row>
    <row r="87" spans="1:5" x14ac:dyDescent="0.2">
      <c r="A87" t="s">
        <v>94</v>
      </c>
      <c r="B87" t="s">
        <v>201</v>
      </c>
      <c r="D87">
        <v>25930</v>
      </c>
      <c r="E87" s="40" t="str">
        <f t="shared" si="1"/>
        <v>ia.assorted_string like '%25930-06-2024%' or</v>
      </c>
    </row>
    <row r="88" spans="1:5" x14ac:dyDescent="0.2">
      <c r="A88" t="s">
        <v>95</v>
      </c>
      <c r="B88" t="s">
        <v>202</v>
      </c>
      <c r="D88">
        <v>25986</v>
      </c>
      <c r="E88" s="40" t="str">
        <f t="shared" si="1"/>
        <v>ia.assorted_string like '%25986-07-2024%' or</v>
      </c>
    </row>
    <row r="89" spans="1:5" x14ac:dyDescent="0.2">
      <c r="A89" t="s">
        <v>96</v>
      </c>
      <c r="B89" t="s">
        <v>202</v>
      </c>
      <c r="D89">
        <v>26041</v>
      </c>
      <c r="E89" s="40" t="str">
        <f t="shared" si="1"/>
        <v>ia.assorted_string like '%26041-07-2024%' or</v>
      </c>
    </row>
    <row r="90" spans="1:5" x14ac:dyDescent="0.2">
      <c r="A90" t="s">
        <v>97</v>
      </c>
      <c r="B90" t="s">
        <v>202</v>
      </c>
      <c r="D90">
        <v>26091</v>
      </c>
      <c r="E90" s="40" t="str">
        <f t="shared" si="1"/>
        <v>ia.assorted_string like '%26091-07-2024%' or</v>
      </c>
    </row>
    <row r="91" spans="1:5" x14ac:dyDescent="0.2">
      <c r="A91" t="s">
        <v>98</v>
      </c>
      <c r="B91" t="s">
        <v>202</v>
      </c>
      <c r="D91">
        <v>26152</v>
      </c>
      <c r="E91" s="40" t="str">
        <f t="shared" si="1"/>
        <v>ia.assorted_string like '%26152-07-2024%' or</v>
      </c>
    </row>
    <row r="92" spans="1:5" x14ac:dyDescent="0.2">
      <c r="A92" t="s">
        <v>99</v>
      </c>
      <c r="B92" t="s">
        <v>202</v>
      </c>
      <c r="D92">
        <v>26187</v>
      </c>
      <c r="E92" s="40" t="str">
        <f t="shared" si="1"/>
        <v>ia.assorted_string like '%26187-07-2024%' or</v>
      </c>
    </row>
    <row r="93" spans="1:5" x14ac:dyDescent="0.2">
      <c r="A93" t="s">
        <v>100</v>
      </c>
      <c r="B93" t="s">
        <v>202</v>
      </c>
      <c r="D93">
        <v>26216</v>
      </c>
      <c r="E93" s="40" t="str">
        <f t="shared" si="1"/>
        <v>ia.assorted_string like '%26216-07-2024%' or</v>
      </c>
    </row>
    <row r="94" spans="1:5" x14ac:dyDescent="0.2">
      <c r="A94" t="s">
        <v>101</v>
      </c>
      <c r="B94" t="s">
        <v>202</v>
      </c>
      <c r="D94">
        <v>26285</v>
      </c>
      <c r="E94" s="40" t="str">
        <f t="shared" si="1"/>
        <v>ia.assorted_string like '%26285-07-2024%' or</v>
      </c>
    </row>
    <row r="95" spans="1:5" x14ac:dyDescent="0.2">
      <c r="A95" t="s">
        <v>102</v>
      </c>
      <c r="B95" t="s">
        <v>202</v>
      </c>
      <c r="D95">
        <v>26324</v>
      </c>
      <c r="E95" s="40" t="str">
        <f t="shared" si="1"/>
        <v>ia.assorted_string like '%26324-07-2024%' or</v>
      </c>
    </row>
    <row r="96" spans="1:5" x14ac:dyDescent="0.2">
      <c r="A96" t="s">
        <v>103</v>
      </c>
      <c r="B96" t="s">
        <v>203</v>
      </c>
      <c r="D96">
        <v>26382</v>
      </c>
      <c r="E96" s="40" t="str">
        <f t="shared" si="1"/>
        <v>ia.assorted_string like '%26382-08-2024%' or</v>
      </c>
    </row>
    <row r="97" spans="1:5" x14ac:dyDescent="0.2">
      <c r="A97" t="s">
        <v>104</v>
      </c>
      <c r="B97" t="s">
        <v>203</v>
      </c>
      <c r="D97">
        <v>26423</v>
      </c>
      <c r="E97" s="40" t="str">
        <f t="shared" si="1"/>
        <v>ia.assorted_string like '%26423-08-2024%' or</v>
      </c>
    </row>
    <row r="98" spans="1:5" x14ac:dyDescent="0.2">
      <c r="A98" t="s">
        <v>105</v>
      </c>
      <c r="B98" t="s">
        <v>203</v>
      </c>
      <c r="D98">
        <v>26483</v>
      </c>
      <c r="E98" s="40" t="str">
        <f t="shared" si="1"/>
        <v>ia.assorted_string like '%26483-08-2024%' or</v>
      </c>
    </row>
    <row r="99" spans="1:5" x14ac:dyDescent="0.2">
      <c r="A99" t="s">
        <v>106</v>
      </c>
      <c r="B99" t="s">
        <v>203</v>
      </c>
      <c r="D99">
        <v>26562</v>
      </c>
      <c r="E99" s="40" t="str">
        <f t="shared" si="1"/>
        <v>ia.assorted_string like '%26562-08-2024%' or</v>
      </c>
    </row>
    <row r="100" spans="1:5" x14ac:dyDescent="0.2">
      <c r="A100" t="s">
        <v>107</v>
      </c>
      <c r="B100" t="s">
        <v>203</v>
      </c>
      <c r="D100">
        <v>26600</v>
      </c>
      <c r="E100" s="40" t="str">
        <f t="shared" si="1"/>
        <v>ia.assorted_string like '%26600-08-2024%' or</v>
      </c>
    </row>
    <row r="101" spans="1:5" x14ac:dyDescent="0.2">
      <c r="A101" t="s">
        <v>108</v>
      </c>
      <c r="B101" t="s">
        <v>203</v>
      </c>
      <c r="D101">
        <v>26623</v>
      </c>
      <c r="E101" s="40" t="str">
        <f t="shared" si="1"/>
        <v>ia.assorted_string like '%26623-08-2024%' or</v>
      </c>
    </row>
    <row r="102" spans="1:5" x14ac:dyDescent="0.2">
      <c r="A102" t="s">
        <v>109</v>
      </c>
      <c r="B102" t="s">
        <v>203</v>
      </c>
      <c r="D102">
        <v>26639</v>
      </c>
      <c r="E102" s="40" t="str">
        <f t="shared" si="1"/>
        <v>ia.assorted_string like '%26639-08-2024%' or</v>
      </c>
    </row>
    <row r="103" spans="1:5" x14ac:dyDescent="0.2">
      <c r="A103" t="s">
        <v>110</v>
      </c>
      <c r="B103" t="s">
        <v>203</v>
      </c>
      <c r="D103">
        <v>26673</v>
      </c>
      <c r="E103" s="40" t="str">
        <f t="shared" si="1"/>
        <v>ia.assorted_string like '%26673-08-2024%' or</v>
      </c>
    </row>
    <row r="104" spans="1:5" x14ac:dyDescent="0.2">
      <c r="A104" t="s">
        <v>111</v>
      </c>
      <c r="B104" t="s">
        <v>203</v>
      </c>
      <c r="D104">
        <v>26720</v>
      </c>
      <c r="E104" s="40" t="str">
        <f t="shared" si="1"/>
        <v>ia.assorted_string like '%26720-08-2024%' or</v>
      </c>
    </row>
    <row r="105" spans="1:5" x14ac:dyDescent="0.2">
      <c r="A105" t="s">
        <v>112</v>
      </c>
      <c r="B105" t="s">
        <v>203</v>
      </c>
      <c r="D105">
        <v>26781</v>
      </c>
      <c r="E105" s="40" t="str">
        <f t="shared" si="1"/>
        <v>ia.assorted_string like '%26781-08-2024%' or</v>
      </c>
    </row>
    <row r="106" spans="1:5" x14ac:dyDescent="0.2">
      <c r="A106" t="s">
        <v>113</v>
      </c>
      <c r="B106" t="s">
        <v>203</v>
      </c>
      <c r="D106">
        <v>26879</v>
      </c>
      <c r="E106" s="40" t="str">
        <f t="shared" si="1"/>
        <v>ia.assorted_string like '%26879-08-2024%' or</v>
      </c>
    </row>
    <row r="107" spans="1:5" x14ac:dyDescent="0.2">
      <c r="A107" t="s">
        <v>114</v>
      </c>
      <c r="B107" t="s">
        <v>204</v>
      </c>
      <c r="D107">
        <v>26933</v>
      </c>
      <c r="E107" s="40" t="str">
        <f t="shared" si="1"/>
        <v>ia.assorted_string like '%26933-09-2024%' or</v>
      </c>
    </row>
    <row r="108" spans="1:5" x14ac:dyDescent="0.2">
      <c r="A108" t="s">
        <v>115</v>
      </c>
      <c r="B108" t="s">
        <v>204</v>
      </c>
      <c r="D108">
        <v>26973</v>
      </c>
      <c r="E108" s="40" t="str">
        <f t="shared" si="1"/>
        <v>ia.assorted_string like '%26973-09-2024%' or</v>
      </c>
    </row>
    <row r="109" spans="1:5" x14ac:dyDescent="0.2">
      <c r="A109" t="s">
        <v>116</v>
      </c>
      <c r="B109" t="s">
        <v>204</v>
      </c>
      <c r="D109">
        <v>27001</v>
      </c>
      <c r="E109" s="40" t="str">
        <f t="shared" si="1"/>
        <v>ia.assorted_string like '%27001-09-2024%' or</v>
      </c>
    </row>
    <row r="110" spans="1:5" x14ac:dyDescent="0.2">
      <c r="A110" t="s">
        <v>117</v>
      </c>
      <c r="B110" t="s">
        <v>204</v>
      </c>
      <c r="D110">
        <v>27004</v>
      </c>
      <c r="E110" s="40" t="str">
        <f t="shared" si="1"/>
        <v>ia.assorted_string like '%27004-09-2024%' or</v>
      </c>
    </row>
    <row r="111" spans="1:5" x14ac:dyDescent="0.2">
      <c r="A111" t="s">
        <v>118</v>
      </c>
      <c r="B111" t="s">
        <v>204</v>
      </c>
      <c r="D111">
        <v>27009</v>
      </c>
      <c r="E111" s="40" t="str">
        <f t="shared" si="1"/>
        <v>ia.assorted_string like '%27009-09-2024%' or</v>
      </c>
    </row>
    <row r="112" spans="1:5" x14ac:dyDescent="0.2">
      <c r="A112" t="s">
        <v>119</v>
      </c>
      <c r="B112" t="s">
        <v>204</v>
      </c>
      <c r="D112">
        <v>27197</v>
      </c>
      <c r="E112" s="40" t="str">
        <f t="shared" si="1"/>
        <v>ia.assorted_string like '%27197-09-2024%' or</v>
      </c>
    </row>
    <row r="113" spans="1:5" x14ac:dyDescent="0.2">
      <c r="A113" t="s">
        <v>120</v>
      </c>
      <c r="B113" t="s">
        <v>204</v>
      </c>
      <c r="D113">
        <v>27222</v>
      </c>
      <c r="E113" s="40" t="str">
        <f t="shared" si="1"/>
        <v>ia.assorted_string like '%27222-09-2024%' or</v>
      </c>
    </row>
    <row r="114" spans="1:5" x14ac:dyDescent="0.2">
      <c r="A114" t="s">
        <v>121</v>
      </c>
      <c r="B114" t="s">
        <v>204</v>
      </c>
      <c r="D114">
        <v>27251</v>
      </c>
      <c r="E114" s="40" t="str">
        <f t="shared" si="1"/>
        <v>ia.assorted_string like '%27251-09-2024%' or</v>
      </c>
    </row>
    <row r="115" spans="1:5" x14ac:dyDescent="0.2">
      <c r="A115" t="s">
        <v>122</v>
      </c>
      <c r="B115" t="s">
        <v>204</v>
      </c>
      <c r="D115">
        <v>27394</v>
      </c>
      <c r="E115" s="40" t="str">
        <f t="shared" si="1"/>
        <v>ia.assorted_string like '%27394-09-2024%' or</v>
      </c>
    </row>
    <row r="116" spans="1:5" x14ac:dyDescent="0.2">
      <c r="A116" t="s">
        <v>123</v>
      </c>
      <c r="B116" t="s">
        <v>204</v>
      </c>
      <c r="D116">
        <v>27433</v>
      </c>
      <c r="E116" s="40" t="str">
        <f t="shared" si="1"/>
        <v>ia.assorted_string like '%27433-09-2024%' or</v>
      </c>
    </row>
    <row r="117" spans="1:5" x14ac:dyDescent="0.2">
      <c r="A117" t="s">
        <v>124</v>
      </c>
      <c r="B117" t="s">
        <v>204</v>
      </c>
      <c r="D117">
        <v>27525</v>
      </c>
      <c r="E117" s="40" t="str">
        <f t="shared" si="1"/>
        <v>ia.assorted_string like '%27525-09-2024%' or</v>
      </c>
    </row>
    <row r="118" spans="1:5" x14ac:dyDescent="0.2">
      <c r="A118" t="s">
        <v>125</v>
      </c>
      <c r="B118" t="s">
        <v>204</v>
      </c>
      <c r="D118">
        <v>27559</v>
      </c>
      <c r="E118" s="40" t="str">
        <f t="shared" si="1"/>
        <v>ia.assorted_string like '%27559-09-2024%' or</v>
      </c>
    </row>
    <row r="119" spans="1:5" x14ac:dyDescent="0.2">
      <c r="A119" t="s">
        <v>126</v>
      </c>
      <c r="B119" t="s">
        <v>205</v>
      </c>
      <c r="D119">
        <v>27586</v>
      </c>
      <c r="E119" s="40" t="str">
        <f t="shared" si="1"/>
        <v>ia.assorted_string like '%27586-10-2024%' or</v>
      </c>
    </row>
    <row r="120" spans="1:5" x14ac:dyDescent="0.2">
      <c r="A120" t="s">
        <v>127</v>
      </c>
      <c r="B120" t="s">
        <v>205</v>
      </c>
      <c r="D120">
        <v>27588</v>
      </c>
      <c r="E120" s="40" t="str">
        <f t="shared" si="1"/>
        <v>ia.assorted_string like '%27588-10-2024%' or</v>
      </c>
    </row>
    <row r="121" spans="1:5" x14ac:dyDescent="0.2">
      <c r="A121" t="s">
        <v>128</v>
      </c>
      <c r="B121" t="s">
        <v>205</v>
      </c>
      <c r="D121">
        <v>27611</v>
      </c>
      <c r="E121" s="40" t="str">
        <f t="shared" si="1"/>
        <v>ia.assorted_string like '%27611-10-2024%' or</v>
      </c>
    </row>
    <row r="122" spans="1:5" x14ac:dyDescent="0.2">
      <c r="A122" t="s">
        <v>129</v>
      </c>
      <c r="B122" t="s">
        <v>205</v>
      </c>
      <c r="D122">
        <v>27631</v>
      </c>
      <c r="E122" s="40" t="str">
        <f t="shared" si="1"/>
        <v>ia.assorted_string like '%27631-10-2024%' or</v>
      </c>
    </row>
    <row r="123" spans="1:5" x14ac:dyDescent="0.2">
      <c r="A123" t="s">
        <v>130</v>
      </c>
      <c r="B123" t="s">
        <v>205</v>
      </c>
      <c r="D123">
        <v>27681</v>
      </c>
      <c r="E123" s="40" t="str">
        <f t="shared" si="1"/>
        <v>ia.assorted_string like '%27681-10-2024%' or</v>
      </c>
    </row>
    <row r="124" spans="1:5" x14ac:dyDescent="0.2">
      <c r="A124" t="s">
        <v>131</v>
      </c>
      <c r="B124" t="s">
        <v>205</v>
      </c>
      <c r="D124">
        <v>27735</v>
      </c>
      <c r="E124" s="40" t="str">
        <f t="shared" si="1"/>
        <v>ia.assorted_string like '%27735-10-2024%' or</v>
      </c>
    </row>
    <row r="125" spans="1:5" x14ac:dyDescent="0.2">
      <c r="A125" t="s">
        <v>132</v>
      </c>
      <c r="B125" t="s">
        <v>205</v>
      </c>
      <c r="D125">
        <v>27747</v>
      </c>
      <c r="E125" s="40" t="str">
        <f t="shared" si="1"/>
        <v>ia.assorted_string like '%27747-10-2024%' or</v>
      </c>
    </row>
    <row r="126" spans="1:5" x14ac:dyDescent="0.2">
      <c r="A126" t="s">
        <v>133</v>
      </c>
      <c r="B126" t="s">
        <v>205</v>
      </c>
      <c r="D126">
        <v>27832</v>
      </c>
      <c r="E126" s="40" t="str">
        <f t="shared" si="1"/>
        <v>ia.assorted_string like '%27832-10-2024%' or</v>
      </c>
    </row>
    <row r="127" spans="1:5" x14ac:dyDescent="0.2">
      <c r="A127" t="s">
        <v>134</v>
      </c>
      <c r="B127" t="s">
        <v>205</v>
      </c>
      <c r="D127">
        <v>27897</v>
      </c>
      <c r="E127" s="40" t="str">
        <f t="shared" si="1"/>
        <v>ia.assorted_string like '%27897-10-2024%' or</v>
      </c>
    </row>
    <row r="128" spans="1:5" x14ac:dyDescent="0.2">
      <c r="A128" t="s">
        <v>135</v>
      </c>
      <c r="B128" t="s">
        <v>205</v>
      </c>
      <c r="D128">
        <v>28010</v>
      </c>
      <c r="E128" s="40" t="str">
        <f t="shared" si="1"/>
        <v>ia.assorted_string like '%28010-10-2024%' or</v>
      </c>
    </row>
    <row r="129" spans="1:5" x14ac:dyDescent="0.2">
      <c r="A129" t="s">
        <v>136</v>
      </c>
      <c r="B129" t="s">
        <v>205</v>
      </c>
      <c r="D129">
        <v>28020</v>
      </c>
      <c r="E129" s="40" t="str">
        <f t="shared" ref="E129:E158" si="2">"ia.assorted_string like '%"&amp;D129&amp;B129&amp;"%' or"</f>
        <v>ia.assorted_string like '%28020-10-2024%' or</v>
      </c>
    </row>
    <row r="130" spans="1:5" x14ac:dyDescent="0.2">
      <c r="A130" t="s">
        <v>137</v>
      </c>
      <c r="B130" t="s">
        <v>205</v>
      </c>
      <c r="D130">
        <v>28053</v>
      </c>
      <c r="E130" s="40" t="str">
        <f t="shared" si="2"/>
        <v>ia.assorted_string like '%28053-10-2024%' or</v>
      </c>
    </row>
    <row r="131" spans="1:5" x14ac:dyDescent="0.2">
      <c r="A131" t="s">
        <v>138</v>
      </c>
      <c r="B131" t="s">
        <v>205</v>
      </c>
      <c r="D131">
        <v>28072</v>
      </c>
      <c r="E131" s="40" t="str">
        <f t="shared" si="2"/>
        <v>ia.assorted_string like '%28072-10-2024%' or</v>
      </c>
    </row>
    <row r="132" spans="1:5" x14ac:dyDescent="0.2">
      <c r="A132" t="s">
        <v>139</v>
      </c>
      <c r="B132" t="s">
        <v>205</v>
      </c>
      <c r="D132">
        <v>28094</v>
      </c>
      <c r="E132" s="40" t="str">
        <f t="shared" si="2"/>
        <v>ia.assorted_string like '%28094-10-2024%' or</v>
      </c>
    </row>
    <row r="133" spans="1:5" x14ac:dyDescent="0.2">
      <c r="A133" t="s">
        <v>140</v>
      </c>
      <c r="B133" t="s">
        <v>205</v>
      </c>
      <c r="D133">
        <v>28113</v>
      </c>
      <c r="E133" s="40" t="str">
        <f t="shared" si="2"/>
        <v>ia.assorted_string like '%28113-10-2024%' or</v>
      </c>
    </row>
    <row r="134" spans="1:5" x14ac:dyDescent="0.2">
      <c r="A134" t="s">
        <v>141</v>
      </c>
      <c r="B134" t="s">
        <v>205</v>
      </c>
      <c r="D134">
        <v>28162</v>
      </c>
      <c r="E134" s="40" t="str">
        <f t="shared" si="2"/>
        <v>ia.assorted_string like '%28162-10-2024%' or</v>
      </c>
    </row>
    <row r="135" spans="1:5" x14ac:dyDescent="0.2">
      <c r="A135" t="s">
        <v>142</v>
      </c>
      <c r="B135" t="s">
        <v>206</v>
      </c>
      <c r="D135">
        <v>28276</v>
      </c>
      <c r="E135" s="40" t="str">
        <f t="shared" si="2"/>
        <v>ia.assorted_string like '%28276-11-2024%' or</v>
      </c>
    </row>
    <row r="136" spans="1:5" x14ac:dyDescent="0.2">
      <c r="A136" t="s">
        <v>143</v>
      </c>
      <c r="B136" t="s">
        <v>207</v>
      </c>
      <c r="D136">
        <v>28997</v>
      </c>
      <c r="E136" s="40" t="str">
        <f t="shared" si="2"/>
        <v>ia.assorted_string like '%28997-12-2024%' or</v>
      </c>
    </row>
    <row r="137" spans="1:5" x14ac:dyDescent="0.2">
      <c r="A137" t="s">
        <v>144</v>
      </c>
      <c r="B137" t="s">
        <v>208</v>
      </c>
      <c r="D137">
        <v>30885</v>
      </c>
      <c r="E137" s="40" t="str">
        <f t="shared" si="2"/>
        <v>ia.assorted_string like '%30885-05-2025%' or</v>
      </c>
    </row>
    <row r="138" spans="1:5" x14ac:dyDescent="0.2">
      <c r="A138" t="s">
        <v>146</v>
      </c>
      <c r="B138" t="s">
        <v>206</v>
      </c>
      <c r="D138">
        <v>28862</v>
      </c>
      <c r="E138" s="40" t="str">
        <f t="shared" si="2"/>
        <v>ia.assorted_string like '%28862-11-2024%' or</v>
      </c>
    </row>
    <row r="139" spans="1:5" x14ac:dyDescent="0.2">
      <c r="A139" s="19" t="s">
        <v>147</v>
      </c>
      <c r="B139" t="s">
        <v>207</v>
      </c>
      <c r="D139">
        <v>28896</v>
      </c>
      <c r="E139" s="40" t="str">
        <f t="shared" si="2"/>
        <v>ia.assorted_string like '%28896-12-2024%' or</v>
      </c>
    </row>
    <row r="140" spans="1:5" x14ac:dyDescent="0.2">
      <c r="A140" t="s">
        <v>148</v>
      </c>
      <c r="B140" t="s">
        <v>207</v>
      </c>
      <c r="D140">
        <v>28910</v>
      </c>
      <c r="E140" s="40" t="str">
        <f t="shared" si="2"/>
        <v>ia.assorted_string like '%28910-12-2024%' or</v>
      </c>
    </row>
    <row r="141" spans="1:5" x14ac:dyDescent="0.2">
      <c r="A141" t="s">
        <v>149</v>
      </c>
      <c r="B141" t="s">
        <v>207</v>
      </c>
      <c r="D141">
        <v>28931</v>
      </c>
      <c r="E141" s="40" t="str">
        <f t="shared" si="2"/>
        <v>ia.assorted_string like '%28931-12-2024%' or</v>
      </c>
    </row>
    <row r="142" spans="1:5" x14ac:dyDescent="0.2">
      <c r="A142" t="s">
        <v>150</v>
      </c>
      <c r="B142" t="s">
        <v>207</v>
      </c>
      <c r="D142">
        <v>28961</v>
      </c>
      <c r="E142" s="40" t="str">
        <f t="shared" si="2"/>
        <v>ia.assorted_string like '%28961-12-2024%' or</v>
      </c>
    </row>
    <row r="143" spans="1:5" x14ac:dyDescent="0.2">
      <c r="A143" t="s">
        <v>151</v>
      </c>
      <c r="B143" t="s">
        <v>207</v>
      </c>
      <c r="D143">
        <v>28968</v>
      </c>
      <c r="E143" s="40" t="str">
        <f t="shared" si="2"/>
        <v>ia.assorted_string like '%28968-12-2024%' or</v>
      </c>
    </row>
    <row r="144" spans="1:5" x14ac:dyDescent="0.2">
      <c r="A144" t="s">
        <v>152</v>
      </c>
      <c r="B144" t="s">
        <v>207</v>
      </c>
      <c r="D144">
        <v>28998</v>
      </c>
      <c r="E144" s="40" t="str">
        <f t="shared" si="2"/>
        <v>ia.assorted_string like '%28998-12-2024%' or</v>
      </c>
    </row>
    <row r="145" spans="1:5" x14ac:dyDescent="0.2">
      <c r="A145" t="s">
        <v>153</v>
      </c>
      <c r="B145" t="s">
        <v>207</v>
      </c>
      <c r="D145">
        <v>29043</v>
      </c>
      <c r="E145" s="40" t="str">
        <f t="shared" si="2"/>
        <v>ia.assorted_string like '%29043-12-2024%' or</v>
      </c>
    </row>
    <row r="146" spans="1:5" x14ac:dyDescent="0.2">
      <c r="A146" t="s">
        <v>154</v>
      </c>
      <c r="B146" t="s">
        <v>207</v>
      </c>
      <c r="D146">
        <v>29133</v>
      </c>
      <c r="E146" s="40" t="str">
        <f t="shared" si="2"/>
        <v>ia.assorted_string like '%29133-12-2024%' or</v>
      </c>
    </row>
    <row r="147" spans="1:5" x14ac:dyDescent="0.2">
      <c r="A147" t="s">
        <v>155</v>
      </c>
      <c r="B147" t="s">
        <v>207</v>
      </c>
      <c r="D147">
        <v>29146</v>
      </c>
      <c r="E147" s="40" t="str">
        <f t="shared" si="2"/>
        <v>ia.assorted_string like '%29146-12-2024%' or</v>
      </c>
    </row>
    <row r="148" spans="1:5" x14ac:dyDescent="0.2">
      <c r="A148" t="s">
        <v>156</v>
      </c>
      <c r="B148" t="s">
        <v>207</v>
      </c>
      <c r="D148">
        <v>29149</v>
      </c>
      <c r="E148" s="40" t="str">
        <f t="shared" si="2"/>
        <v>ia.assorted_string like '%29149-12-2024%' or</v>
      </c>
    </row>
    <row r="149" spans="1:5" x14ac:dyDescent="0.2">
      <c r="A149" t="s">
        <v>157</v>
      </c>
      <c r="B149" t="s">
        <v>207</v>
      </c>
      <c r="D149">
        <v>29322</v>
      </c>
      <c r="E149" s="40" t="str">
        <f t="shared" si="2"/>
        <v>ia.assorted_string like '%29322-12-2024%' or</v>
      </c>
    </row>
    <row r="150" spans="1:5" x14ac:dyDescent="0.2">
      <c r="A150" t="s">
        <v>158</v>
      </c>
      <c r="B150" t="s">
        <v>207</v>
      </c>
      <c r="D150">
        <v>29361</v>
      </c>
      <c r="E150" s="40" t="str">
        <f t="shared" si="2"/>
        <v>ia.assorted_string like '%29361-12-2024%' or</v>
      </c>
    </row>
    <row r="151" spans="1:5" x14ac:dyDescent="0.2">
      <c r="A151" t="s">
        <v>159</v>
      </c>
      <c r="B151" t="s">
        <v>352</v>
      </c>
      <c r="D151">
        <v>29460</v>
      </c>
      <c r="E151" s="40" t="str">
        <f t="shared" si="2"/>
        <v>ia.assorted_string like '%29460-01-2025%' or</v>
      </c>
    </row>
    <row r="152" spans="1:5" x14ac:dyDescent="0.2">
      <c r="A152" t="s">
        <v>160</v>
      </c>
      <c r="B152" t="s">
        <v>352</v>
      </c>
      <c r="D152">
        <v>29509</v>
      </c>
      <c r="E152" s="40" t="str">
        <f t="shared" si="2"/>
        <v>ia.assorted_string like '%29509-01-2025%' or</v>
      </c>
    </row>
    <row r="153" spans="1:5" x14ac:dyDescent="0.2">
      <c r="A153" t="s">
        <v>161</v>
      </c>
      <c r="B153" t="s">
        <v>352</v>
      </c>
      <c r="D153">
        <v>29621</v>
      </c>
      <c r="E153" s="40" t="str">
        <f t="shared" si="2"/>
        <v>ia.assorted_string like '%29621-01-2025%' or</v>
      </c>
    </row>
    <row r="154" spans="1:5" x14ac:dyDescent="0.2">
      <c r="A154" t="s">
        <v>162</v>
      </c>
      <c r="B154" t="s">
        <v>352</v>
      </c>
      <c r="D154">
        <v>29687</v>
      </c>
      <c r="E154" s="40" t="str">
        <f t="shared" si="2"/>
        <v>ia.assorted_string like '%29687-01-2025%' or</v>
      </c>
    </row>
    <row r="155" spans="1:5" x14ac:dyDescent="0.2">
      <c r="A155" t="s">
        <v>163</v>
      </c>
      <c r="B155" t="s">
        <v>352</v>
      </c>
      <c r="D155">
        <v>29694</v>
      </c>
      <c r="E155" s="40" t="str">
        <f t="shared" si="2"/>
        <v>ia.assorted_string like '%29694-01-2025%' or</v>
      </c>
    </row>
    <row r="156" spans="1:5" x14ac:dyDescent="0.2">
      <c r="A156" t="s">
        <v>164</v>
      </c>
      <c r="B156" t="s">
        <v>352</v>
      </c>
      <c r="D156">
        <v>29859</v>
      </c>
      <c r="E156" s="40" t="str">
        <f t="shared" si="2"/>
        <v>ia.assorted_string like '%29859-01-2025%' or</v>
      </c>
    </row>
    <row r="157" spans="1:5" x14ac:dyDescent="0.2">
      <c r="A157" t="s">
        <v>165</v>
      </c>
      <c r="B157" t="s">
        <v>352</v>
      </c>
      <c r="D157">
        <v>29881</v>
      </c>
      <c r="E157" s="40" t="str">
        <f t="shared" si="2"/>
        <v>ia.assorted_string like '%29881-01-2025%' or</v>
      </c>
    </row>
    <row r="158" spans="1:5" x14ac:dyDescent="0.2">
      <c r="A158" t="s">
        <v>166</v>
      </c>
      <c r="B158" t="s">
        <v>208</v>
      </c>
      <c r="D158">
        <v>30884</v>
      </c>
      <c r="E158" s="40" t="str">
        <f t="shared" si="2"/>
        <v>ia.assorted_string like '%30884-05-2025%' or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B24B-47EB-4383-AADD-20710B5A930B}">
  <dimension ref="A1:C159"/>
  <sheetViews>
    <sheetView workbookViewId="0">
      <selection activeCell="B12" sqref="B12"/>
    </sheetView>
  </sheetViews>
  <sheetFormatPr defaultColWidth="7.85546875" defaultRowHeight="12.75" x14ac:dyDescent="0.2"/>
  <cols>
    <col min="1" max="1" width="4" style="40" bestFit="1" customWidth="1"/>
    <col min="2" max="2" width="40" style="40" bestFit="1" customWidth="1"/>
    <col min="3" max="3" width="15" style="40" bestFit="1" customWidth="1"/>
    <col min="4" max="16384" width="7.85546875" style="40"/>
  </cols>
  <sheetData>
    <row r="1" spans="1:3" s="41" customFormat="1" ht="12" x14ac:dyDescent="0.2">
      <c r="A1" s="41" t="s">
        <v>209</v>
      </c>
      <c r="B1" s="41" t="s">
        <v>210</v>
      </c>
      <c r="C1" s="41" t="s">
        <v>211</v>
      </c>
    </row>
    <row r="2" spans="1:3" x14ac:dyDescent="0.2">
      <c r="A2" s="40">
        <v>1</v>
      </c>
      <c r="B2" s="40" t="s">
        <v>106</v>
      </c>
      <c r="C2" s="40" t="s">
        <v>212</v>
      </c>
    </row>
    <row r="3" spans="1:3" x14ac:dyDescent="0.2">
      <c r="A3" s="40">
        <v>2</v>
      </c>
      <c r="B3" s="40" t="s">
        <v>13</v>
      </c>
      <c r="C3" s="40" t="s">
        <v>213</v>
      </c>
    </row>
    <row r="4" spans="1:3" x14ac:dyDescent="0.2">
      <c r="A4" s="40">
        <v>3</v>
      </c>
      <c r="B4" s="40" t="s">
        <v>30</v>
      </c>
      <c r="C4" s="40" t="s">
        <v>214</v>
      </c>
    </row>
    <row r="5" spans="1:3" x14ac:dyDescent="0.2">
      <c r="A5" s="40">
        <v>4</v>
      </c>
      <c r="B5" s="40" t="s">
        <v>58</v>
      </c>
      <c r="C5" s="40" t="s">
        <v>215</v>
      </c>
    </row>
    <row r="6" spans="1:3" x14ac:dyDescent="0.2">
      <c r="A6" s="40">
        <v>5</v>
      </c>
      <c r="B6" s="40" t="s">
        <v>9</v>
      </c>
      <c r="C6" s="40" t="s">
        <v>216</v>
      </c>
    </row>
    <row r="7" spans="1:3" x14ac:dyDescent="0.2">
      <c r="A7" s="40">
        <v>6</v>
      </c>
      <c r="B7" s="40" t="s">
        <v>25</v>
      </c>
      <c r="C7" s="40" t="s">
        <v>217</v>
      </c>
    </row>
    <row r="8" spans="1:3" x14ac:dyDescent="0.2">
      <c r="A8" s="40">
        <v>7</v>
      </c>
      <c r="B8" s="40" t="s">
        <v>40</v>
      </c>
      <c r="C8" s="40" t="s">
        <v>218</v>
      </c>
    </row>
    <row r="9" spans="1:3" x14ac:dyDescent="0.2">
      <c r="A9" s="40">
        <v>8</v>
      </c>
      <c r="B9" s="40" t="s">
        <v>23</v>
      </c>
      <c r="C9" s="40" t="s">
        <v>219</v>
      </c>
    </row>
    <row r="10" spans="1:3" x14ac:dyDescent="0.2">
      <c r="A10" s="40">
        <v>9</v>
      </c>
      <c r="B10" s="40" t="s">
        <v>12</v>
      </c>
      <c r="C10" s="40" t="s">
        <v>220</v>
      </c>
    </row>
    <row r="11" spans="1:3" x14ac:dyDescent="0.2">
      <c r="A11" s="40">
        <v>10</v>
      </c>
      <c r="B11" s="40" t="s">
        <v>32</v>
      </c>
      <c r="C11" s="40" t="s">
        <v>221</v>
      </c>
    </row>
    <row r="12" spans="1:3" x14ac:dyDescent="0.2">
      <c r="A12" s="40">
        <v>11</v>
      </c>
      <c r="B12" s="40" t="s">
        <v>16</v>
      </c>
      <c r="C12" s="40" t="s">
        <v>222</v>
      </c>
    </row>
    <row r="13" spans="1:3" x14ac:dyDescent="0.2">
      <c r="A13" s="40">
        <v>12</v>
      </c>
      <c r="B13" s="40" t="s">
        <v>46</v>
      </c>
      <c r="C13" s="40" t="s">
        <v>223</v>
      </c>
    </row>
    <row r="14" spans="1:3" x14ac:dyDescent="0.2">
      <c r="A14" s="40">
        <v>13</v>
      </c>
      <c r="B14" s="40" t="s">
        <v>38</v>
      </c>
      <c r="C14" s="40" t="s">
        <v>224</v>
      </c>
    </row>
    <row r="15" spans="1:3" x14ac:dyDescent="0.2">
      <c r="A15" s="40">
        <v>14</v>
      </c>
      <c r="B15" s="40" t="s">
        <v>42</v>
      </c>
      <c r="C15" s="40" t="s">
        <v>225</v>
      </c>
    </row>
    <row r="16" spans="1:3" x14ac:dyDescent="0.2">
      <c r="A16" s="40">
        <v>15</v>
      </c>
      <c r="B16" s="40" t="s">
        <v>55</v>
      </c>
      <c r="C16" s="40" t="s">
        <v>226</v>
      </c>
    </row>
    <row r="17" spans="1:3" x14ac:dyDescent="0.2">
      <c r="A17" s="40">
        <v>16</v>
      </c>
      <c r="B17" s="40" t="s">
        <v>48</v>
      </c>
      <c r="C17" s="40" t="s">
        <v>227</v>
      </c>
    </row>
    <row r="18" spans="1:3" x14ac:dyDescent="0.2">
      <c r="A18" s="40">
        <v>17</v>
      </c>
      <c r="B18" s="40" t="s">
        <v>43</v>
      </c>
      <c r="C18" s="40" t="s">
        <v>228</v>
      </c>
    </row>
    <row r="19" spans="1:3" x14ac:dyDescent="0.2">
      <c r="A19" s="40">
        <v>18</v>
      </c>
      <c r="B19" s="40" t="s">
        <v>28</v>
      </c>
      <c r="C19" s="40" t="s">
        <v>229</v>
      </c>
    </row>
    <row r="20" spans="1:3" x14ac:dyDescent="0.2">
      <c r="A20" s="40">
        <v>19</v>
      </c>
      <c r="B20" s="40" t="s">
        <v>34</v>
      </c>
      <c r="C20" s="40" t="s">
        <v>230</v>
      </c>
    </row>
    <row r="21" spans="1:3" x14ac:dyDescent="0.2">
      <c r="A21" s="40">
        <v>20</v>
      </c>
      <c r="B21" s="40" t="s">
        <v>21</v>
      </c>
      <c r="C21" s="40" t="s">
        <v>231</v>
      </c>
    </row>
    <row r="22" spans="1:3" x14ac:dyDescent="0.2">
      <c r="A22" s="40">
        <v>21</v>
      </c>
      <c r="B22" s="40" t="s">
        <v>24</v>
      </c>
      <c r="C22" s="40" t="s">
        <v>232</v>
      </c>
    </row>
    <row r="23" spans="1:3" x14ac:dyDescent="0.2">
      <c r="A23" s="40">
        <v>22</v>
      </c>
      <c r="B23" s="40" t="s">
        <v>29</v>
      </c>
      <c r="C23" s="40" t="s">
        <v>233</v>
      </c>
    </row>
    <row r="24" spans="1:3" x14ac:dyDescent="0.2">
      <c r="A24" s="40">
        <v>23</v>
      </c>
      <c r="B24" s="40" t="s">
        <v>31</v>
      </c>
      <c r="C24" s="40" t="s">
        <v>234</v>
      </c>
    </row>
    <row r="25" spans="1:3" x14ac:dyDescent="0.2">
      <c r="A25" s="40">
        <v>24</v>
      </c>
      <c r="B25" s="40" t="s">
        <v>33</v>
      </c>
      <c r="C25" s="40" t="s">
        <v>235</v>
      </c>
    </row>
    <row r="26" spans="1:3" x14ac:dyDescent="0.2">
      <c r="A26" s="40">
        <v>25</v>
      </c>
      <c r="B26" s="40" t="s">
        <v>15</v>
      </c>
      <c r="C26" s="40" t="s">
        <v>236</v>
      </c>
    </row>
    <row r="27" spans="1:3" x14ac:dyDescent="0.2">
      <c r="A27" s="40">
        <v>26</v>
      </c>
      <c r="B27" s="40" t="s">
        <v>2</v>
      </c>
      <c r="C27" s="40" t="s">
        <v>237</v>
      </c>
    </row>
    <row r="28" spans="1:3" x14ac:dyDescent="0.2">
      <c r="A28" s="40">
        <v>27</v>
      </c>
      <c r="B28" s="40" t="s">
        <v>27</v>
      </c>
      <c r="C28" s="40" t="s">
        <v>238</v>
      </c>
    </row>
    <row r="29" spans="1:3" x14ac:dyDescent="0.2">
      <c r="A29" s="40">
        <v>28</v>
      </c>
      <c r="B29" s="40" t="s">
        <v>19</v>
      </c>
      <c r="C29" s="40" t="s">
        <v>239</v>
      </c>
    </row>
    <row r="30" spans="1:3" x14ac:dyDescent="0.2">
      <c r="A30" s="40">
        <v>29</v>
      </c>
      <c r="B30" s="40" t="s">
        <v>36</v>
      </c>
      <c r="C30" s="40" t="s">
        <v>240</v>
      </c>
    </row>
    <row r="31" spans="1:3" x14ac:dyDescent="0.2">
      <c r="A31" s="40">
        <v>30</v>
      </c>
      <c r="B31" s="40" t="s">
        <v>51</v>
      </c>
      <c r="C31" s="40" t="s">
        <v>241</v>
      </c>
    </row>
    <row r="32" spans="1:3" x14ac:dyDescent="0.2">
      <c r="A32" s="40">
        <v>31</v>
      </c>
      <c r="B32" s="40" t="s">
        <v>11</v>
      </c>
      <c r="C32" s="40" t="s">
        <v>242</v>
      </c>
    </row>
    <row r="33" spans="1:3" x14ac:dyDescent="0.2">
      <c r="A33" s="40">
        <v>32</v>
      </c>
      <c r="B33" s="40" t="s">
        <v>35</v>
      </c>
      <c r="C33" s="40" t="s">
        <v>243</v>
      </c>
    </row>
    <row r="34" spans="1:3" x14ac:dyDescent="0.2">
      <c r="A34" s="40">
        <v>33</v>
      </c>
      <c r="B34" s="40" t="s">
        <v>44</v>
      </c>
      <c r="C34" s="40" t="s">
        <v>244</v>
      </c>
    </row>
    <row r="35" spans="1:3" x14ac:dyDescent="0.2">
      <c r="A35" s="40">
        <v>34</v>
      </c>
      <c r="B35" s="40" t="s">
        <v>22</v>
      </c>
      <c r="C35" s="40" t="s">
        <v>245</v>
      </c>
    </row>
    <row r="36" spans="1:3" x14ac:dyDescent="0.2">
      <c r="A36" s="40">
        <v>35</v>
      </c>
      <c r="B36" s="40" t="s">
        <v>20</v>
      </c>
      <c r="C36" s="40" t="s">
        <v>246</v>
      </c>
    </row>
    <row r="37" spans="1:3" x14ac:dyDescent="0.2">
      <c r="A37" s="40">
        <v>36</v>
      </c>
      <c r="B37" s="40" t="s">
        <v>54</v>
      </c>
      <c r="C37" s="40" t="s">
        <v>247</v>
      </c>
    </row>
    <row r="38" spans="1:3" x14ac:dyDescent="0.2">
      <c r="A38" s="40">
        <v>37</v>
      </c>
      <c r="B38" s="40" t="s">
        <v>18</v>
      </c>
      <c r="C38" s="40" t="s">
        <v>248</v>
      </c>
    </row>
    <row r="39" spans="1:3" x14ac:dyDescent="0.2">
      <c r="A39" s="40">
        <v>38</v>
      </c>
      <c r="B39" s="40" t="s">
        <v>10</v>
      </c>
      <c r="C39" s="40" t="s">
        <v>249</v>
      </c>
    </row>
    <row r="40" spans="1:3" x14ac:dyDescent="0.2">
      <c r="A40" s="40">
        <v>39</v>
      </c>
      <c r="B40" s="40" t="s">
        <v>49</v>
      </c>
      <c r="C40" s="40" t="s">
        <v>250</v>
      </c>
    </row>
    <row r="41" spans="1:3" x14ac:dyDescent="0.2">
      <c r="A41" s="40">
        <v>40</v>
      </c>
      <c r="B41" s="40" t="s">
        <v>47</v>
      </c>
      <c r="C41" s="40" t="s">
        <v>251</v>
      </c>
    </row>
    <row r="42" spans="1:3" x14ac:dyDescent="0.2">
      <c r="A42" s="40">
        <v>41</v>
      </c>
      <c r="B42" s="40" t="s">
        <v>14</v>
      </c>
      <c r="C42" s="40" t="s">
        <v>252</v>
      </c>
    </row>
    <row r="43" spans="1:3" x14ac:dyDescent="0.2">
      <c r="A43" s="40">
        <v>42</v>
      </c>
      <c r="B43" s="40" t="s">
        <v>37</v>
      </c>
      <c r="C43" s="40" t="s">
        <v>253</v>
      </c>
    </row>
    <row r="44" spans="1:3" x14ac:dyDescent="0.2">
      <c r="A44" s="40">
        <v>43</v>
      </c>
      <c r="B44" s="40" t="s">
        <v>26</v>
      </c>
      <c r="C44" s="40" t="s">
        <v>254</v>
      </c>
    </row>
    <row r="45" spans="1:3" x14ac:dyDescent="0.2">
      <c r="A45" s="40">
        <v>44</v>
      </c>
      <c r="B45" s="40" t="s">
        <v>39</v>
      </c>
      <c r="C45" s="40" t="s">
        <v>255</v>
      </c>
    </row>
    <row r="46" spans="1:3" x14ac:dyDescent="0.2">
      <c r="A46" s="40">
        <v>45</v>
      </c>
      <c r="B46" s="40" t="s">
        <v>64</v>
      </c>
      <c r="C46" s="40" t="s">
        <v>256</v>
      </c>
    </row>
    <row r="47" spans="1:3" x14ac:dyDescent="0.2">
      <c r="A47" s="40">
        <v>46</v>
      </c>
      <c r="B47" s="40" t="s">
        <v>17</v>
      </c>
      <c r="C47" s="40" t="s">
        <v>257</v>
      </c>
    </row>
    <row r="48" spans="1:3" x14ac:dyDescent="0.2">
      <c r="A48" s="40">
        <v>47</v>
      </c>
      <c r="B48" s="40" t="s">
        <v>57</v>
      </c>
      <c r="C48" s="40" t="s">
        <v>258</v>
      </c>
    </row>
    <row r="49" spans="1:3" x14ac:dyDescent="0.2">
      <c r="A49" s="40">
        <v>48</v>
      </c>
      <c r="B49" s="40" t="s">
        <v>65</v>
      </c>
      <c r="C49" s="40" t="s">
        <v>259</v>
      </c>
    </row>
    <row r="50" spans="1:3" x14ac:dyDescent="0.2">
      <c r="A50" s="40">
        <v>49</v>
      </c>
      <c r="B50" s="40" t="s">
        <v>45</v>
      </c>
      <c r="C50" s="40" t="s">
        <v>260</v>
      </c>
    </row>
    <row r="51" spans="1:3" x14ac:dyDescent="0.2">
      <c r="A51" s="40">
        <v>50</v>
      </c>
      <c r="B51" s="40" t="s">
        <v>53</v>
      </c>
      <c r="C51" s="40" t="s">
        <v>261</v>
      </c>
    </row>
    <row r="52" spans="1:3" x14ac:dyDescent="0.2">
      <c r="A52" s="40">
        <v>51</v>
      </c>
      <c r="B52" s="40" t="s">
        <v>60</v>
      </c>
      <c r="C52" s="40" t="s">
        <v>262</v>
      </c>
    </row>
    <row r="53" spans="1:3" x14ac:dyDescent="0.2">
      <c r="A53" s="40">
        <v>52</v>
      </c>
      <c r="B53" s="40" t="s">
        <v>71</v>
      </c>
      <c r="C53" s="40" t="s">
        <v>263</v>
      </c>
    </row>
    <row r="54" spans="1:3" x14ac:dyDescent="0.2">
      <c r="A54" s="40">
        <v>53</v>
      </c>
      <c r="B54" s="40" t="s">
        <v>70</v>
      </c>
      <c r="C54" s="40" t="s">
        <v>264</v>
      </c>
    </row>
    <row r="55" spans="1:3" x14ac:dyDescent="0.2">
      <c r="A55" s="40">
        <v>54</v>
      </c>
      <c r="B55" s="40" t="s">
        <v>68</v>
      </c>
      <c r="C55" s="40" t="s">
        <v>265</v>
      </c>
    </row>
    <row r="56" spans="1:3" x14ac:dyDescent="0.2">
      <c r="A56" s="40">
        <v>55</v>
      </c>
      <c r="B56" s="40" t="s">
        <v>56</v>
      </c>
      <c r="C56" s="40" t="s">
        <v>266</v>
      </c>
    </row>
    <row r="57" spans="1:3" x14ac:dyDescent="0.2">
      <c r="A57" s="40">
        <v>56</v>
      </c>
      <c r="B57" s="40" t="s">
        <v>41</v>
      </c>
      <c r="C57" s="40" t="s">
        <v>267</v>
      </c>
    </row>
    <row r="58" spans="1:3" x14ac:dyDescent="0.2">
      <c r="A58" s="40">
        <v>57</v>
      </c>
      <c r="B58" s="40" t="s">
        <v>63</v>
      </c>
      <c r="C58" s="40" t="s">
        <v>268</v>
      </c>
    </row>
    <row r="59" spans="1:3" x14ac:dyDescent="0.2">
      <c r="A59" s="40">
        <v>58</v>
      </c>
      <c r="B59" s="40" t="s">
        <v>73</v>
      </c>
      <c r="C59" s="40" t="s">
        <v>269</v>
      </c>
    </row>
    <row r="60" spans="1:3" x14ac:dyDescent="0.2">
      <c r="A60" s="40">
        <v>59</v>
      </c>
      <c r="B60" s="40" t="s">
        <v>61</v>
      </c>
      <c r="C60" s="40" t="s">
        <v>270</v>
      </c>
    </row>
    <row r="61" spans="1:3" x14ac:dyDescent="0.2">
      <c r="A61" s="40">
        <v>60</v>
      </c>
      <c r="B61" s="40" t="s">
        <v>75</v>
      </c>
      <c r="C61" s="40" t="s">
        <v>271</v>
      </c>
    </row>
    <row r="62" spans="1:3" x14ac:dyDescent="0.2">
      <c r="A62" s="40">
        <v>61</v>
      </c>
      <c r="B62" s="40" t="s">
        <v>69</v>
      </c>
      <c r="C62" s="40" t="s">
        <v>272</v>
      </c>
    </row>
    <row r="63" spans="1:3" x14ac:dyDescent="0.2">
      <c r="A63" s="40">
        <v>62</v>
      </c>
      <c r="B63" s="40" t="s">
        <v>62</v>
      </c>
      <c r="C63" s="40" t="s">
        <v>273</v>
      </c>
    </row>
    <row r="64" spans="1:3" x14ac:dyDescent="0.2">
      <c r="A64" s="40">
        <v>63</v>
      </c>
      <c r="B64" s="40" t="s">
        <v>72</v>
      </c>
      <c r="C64" s="40" t="s">
        <v>274</v>
      </c>
    </row>
    <row r="65" spans="1:3" x14ac:dyDescent="0.2">
      <c r="A65" s="40">
        <v>64</v>
      </c>
      <c r="B65" s="40" t="s">
        <v>67</v>
      </c>
      <c r="C65" s="40" t="s">
        <v>275</v>
      </c>
    </row>
    <row r="66" spans="1:3" x14ac:dyDescent="0.2">
      <c r="A66" s="40">
        <v>65</v>
      </c>
      <c r="B66" s="40" t="s">
        <v>59</v>
      </c>
      <c r="C66" s="40" t="s">
        <v>276</v>
      </c>
    </row>
    <row r="67" spans="1:3" x14ac:dyDescent="0.2">
      <c r="A67" s="40">
        <v>66</v>
      </c>
      <c r="B67" s="40" t="s">
        <v>74</v>
      </c>
      <c r="C67" s="40" t="s">
        <v>277</v>
      </c>
    </row>
    <row r="68" spans="1:3" x14ac:dyDescent="0.2">
      <c r="A68" s="40">
        <v>67</v>
      </c>
      <c r="B68" s="40" t="s">
        <v>66</v>
      </c>
      <c r="C68" s="40" t="s">
        <v>278</v>
      </c>
    </row>
    <row r="69" spans="1:3" x14ac:dyDescent="0.2">
      <c r="A69" s="40">
        <v>68</v>
      </c>
      <c r="B69" s="40" t="s">
        <v>52</v>
      </c>
      <c r="C69" s="40" t="s">
        <v>279</v>
      </c>
    </row>
    <row r="70" spans="1:3" x14ac:dyDescent="0.2">
      <c r="A70" s="40">
        <v>69</v>
      </c>
      <c r="B70" s="40" t="s">
        <v>50</v>
      </c>
      <c r="C70" s="40" t="s">
        <v>280</v>
      </c>
    </row>
    <row r="71" spans="1:3" x14ac:dyDescent="0.2">
      <c r="A71" s="40">
        <v>70</v>
      </c>
      <c r="B71" s="40" t="s">
        <v>80</v>
      </c>
      <c r="C71" s="40" t="s">
        <v>281</v>
      </c>
    </row>
    <row r="72" spans="1:3" x14ac:dyDescent="0.2">
      <c r="A72" s="40">
        <v>71</v>
      </c>
      <c r="B72" s="40" t="s">
        <v>111</v>
      </c>
      <c r="C72" s="40" t="s">
        <v>282</v>
      </c>
    </row>
    <row r="73" spans="1:3" x14ac:dyDescent="0.2">
      <c r="A73" s="40">
        <v>72</v>
      </c>
      <c r="B73" s="40" t="s">
        <v>133</v>
      </c>
      <c r="C73" s="40" t="s">
        <v>283</v>
      </c>
    </row>
    <row r="74" spans="1:3" x14ac:dyDescent="0.2">
      <c r="A74" s="40">
        <v>73</v>
      </c>
      <c r="B74" s="40" t="s">
        <v>110</v>
      </c>
      <c r="C74" s="40" t="s">
        <v>284</v>
      </c>
    </row>
    <row r="75" spans="1:3" x14ac:dyDescent="0.2">
      <c r="A75" s="40">
        <v>74</v>
      </c>
      <c r="B75" s="40" t="s">
        <v>120</v>
      </c>
      <c r="C75" s="40" t="s">
        <v>285</v>
      </c>
    </row>
    <row r="76" spans="1:3" x14ac:dyDescent="0.2">
      <c r="A76" s="40">
        <v>75</v>
      </c>
      <c r="B76" s="40" t="s">
        <v>141</v>
      </c>
      <c r="C76" s="40" t="s">
        <v>286</v>
      </c>
    </row>
    <row r="77" spans="1:3" x14ac:dyDescent="0.2">
      <c r="A77" s="40">
        <v>76</v>
      </c>
      <c r="B77" s="40" t="s">
        <v>114</v>
      </c>
      <c r="C77" s="40" t="s">
        <v>287</v>
      </c>
    </row>
    <row r="78" spans="1:3" x14ac:dyDescent="0.2">
      <c r="A78" s="40">
        <v>77</v>
      </c>
      <c r="B78" s="40" t="s">
        <v>130</v>
      </c>
      <c r="C78" s="40" t="s">
        <v>288</v>
      </c>
    </row>
    <row r="79" spans="1:3" x14ac:dyDescent="0.2">
      <c r="A79" s="40">
        <v>78</v>
      </c>
      <c r="B79" s="40" t="s">
        <v>112</v>
      </c>
      <c r="C79" s="40" t="s">
        <v>289</v>
      </c>
    </row>
    <row r="80" spans="1:3" x14ac:dyDescent="0.2">
      <c r="A80" s="40">
        <v>79</v>
      </c>
      <c r="B80" s="40" t="s">
        <v>132</v>
      </c>
      <c r="C80" s="40" t="s">
        <v>290</v>
      </c>
    </row>
    <row r="81" spans="1:3" x14ac:dyDescent="0.2">
      <c r="A81" s="40">
        <v>80</v>
      </c>
      <c r="B81" s="40" t="s">
        <v>124</v>
      </c>
      <c r="C81" s="40" t="s">
        <v>291</v>
      </c>
    </row>
    <row r="82" spans="1:3" x14ac:dyDescent="0.2">
      <c r="A82" s="40">
        <v>81</v>
      </c>
      <c r="B82" s="40" t="s">
        <v>136</v>
      </c>
      <c r="C82" s="40" t="s">
        <v>292</v>
      </c>
    </row>
    <row r="83" spans="1:3" x14ac:dyDescent="0.2">
      <c r="A83" s="40">
        <v>82</v>
      </c>
      <c r="B83" s="40" t="s">
        <v>108</v>
      </c>
      <c r="C83" s="40" t="s">
        <v>293</v>
      </c>
    </row>
    <row r="84" spans="1:3" x14ac:dyDescent="0.2">
      <c r="A84" s="40">
        <v>83</v>
      </c>
      <c r="B84" s="40" t="s">
        <v>117</v>
      </c>
      <c r="C84" s="40" t="s">
        <v>294</v>
      </c>
    </row>
    <row r="85" spans="1:3" x14ac:dyDescent="0.2">
      <c r="A85" s="40">
        <v>84</v>
      </c>
      <c r="B85" s="40" t="s">
        <v>131</v>
      </c>
      <c r="C85" s="40" t="s">
        <v>295</v>
      </c>
    </row>
    <row r="86" spans="1:3" x14ac:dyDescent="0.2">
      <c r="A86" s="40">
        <v>85</v>
      </c>
      <c r="B86" s="40" t="s">
        <v>127</v>
      </c>
      <c r="C86" s="40" t="s">
        <v>296</v>
      </c>
    </row>
    <row r="87" spans="1:3" x14ac:dyDescent="0.2">
      <c r="A87" s="40">
        <v>86</v>
      </c>
      <c r="B87" s="40" t="s">
        <v>142</v>
      </c>
      <c r="C87" s="40" t="s">
        <v>297</v>
      </c>
    </row>
    <row r="88" spans="1:3" x14ac:dyDescent="0.2">
      <c r="A88" s="40">
        <v>87</v>
      </c>
      <c r="B88" s="40" t="s">
        <v>139</v>
      </c>
      <c r="C88" s="40" t="s">
        <v>298</v>
      </c>
    </row>
    <row r="89" spans="1:3" x14ac:dyDescent="0.2">
      <c r="A89" s="40">
        <v>88</v>
      </c>
      <c r="B89" s="40" t="s">
        <v>109</v>
      </c>
      <c r="C89" s="40" t="s">
        <v>299</v>
      </c>
    </row>
    <row r="90" spans="1:3" x14ac:dyDescent="0.2">
      <c r="A90" s="40">
        <v>89</v>
      </c>
      <c r="B90" s="40" t="s">
        <v>115</v>
      </c>
      <c r="C90" s="40" t="s">
        <v>300</v>
      </c>
    </row>
    <row r="91" spans="1:3" x14ac:dyDescent="0.2">
      <c r="A91" s="40">
        <v>90</v>
      </c>
      <c r="B91" s="40" t="s">
        <v>118</v>
      </c>
      <c r="C91" s="40" t="s">
        <v>301</v>
      </c>
    </row>
    <row r="92" spans="1:3" x14ac:dyDescent="0.2">
      <c r="A92" s="40">
        <v>91</v>
      </c>
      <c r="B92" s="40" t="s">
        <v>116</v>
      </c>
      <c r="C92" s="40" t="s">
        <v>302</v>
      </c>
    </row>
    <row r="93" spans="1:3" x14ac:dyDescent="0.2">
      <c r="A93" s="40">
        <v>92</v>
      </c>
      <c r="B93" s="40" t="s">
        <v>137</v>
      </c>
      <c r="C93" s="40" t="s">
        <v>303</v>
      </c>
    </row>
    <row r="94" spans="1:3" x14ac:dyDescent="0.2">
      <c r="A94" s="40">
        <v>93</v>
      </c>
      <c r="B94" s="40" t="s">
        <v>126</v>
      </c>
      <c r="C94" s="40" t="s">
        <v>304</v>
      </c>
    </row>
    <row r="95" spans="1:3" x14ac:dyDescent="0.2">
      <c r="A95" s="40">
        <v>94</v>
      </c>
      <c r="B95" s="40" t="s">
        <v>121</v>
      </c>
      <c r="C95" s="40" t="s">
        <v>305</v>
      </c>
    </row>
    <row r="96" spans="1:3" x14ac:dyDescent="0.2">
      <c r="A96" s="40">
        <v>95</v>
      </c>
      <c r="B96" s="40" t="s">
        <v>129</v>
      </c>
      <c r="C96" s="40" t="s">
        <v>306</v>
      </c>
    </row>
    <row r="97" spans="1:3" x14ac:dyDescent="0.2">
      <c r="A97" s="40">
        <v>96</v>
      </c>
      <c r="B97" s="40" t="s">
        <v>128</v>
      </c>
      <c r="C97" s="40" t="s">
        <v>307</v>
      </c>
    </row>
    <row r="98" spans="1:3" x14ac:dyDescent="0.2">
      <c r="A98" s="40">
        <v>97</v>
      </c>
      <c r="B98" s="40" t="s">
        <v>122</v>
      </c>
      <c r="C98" s="40" t="s">
        <v>308</v>
      </c>
    </row>
    <row r="99" spans="1:3" x14ac:dyDescent="0.2">
      <c r="A99" s="40">
        <v>98</v>
      </c>
      <c r="B99" s="40" t="s">
        <v>123</v>
      </c>
      <c r="C99" s="40" t="s">
        <v>309</v>
      </c>
    </row>
    <row r="100" spans="1:3" x14ac:dyDescent="0.2">
      <c r="A100" s="40">
        <v>99</v>
      </c>
      <c r="B100" s="40" t="s">
        <v>138</v>
      </c>
      <c r="C100" s="40" t="s">
        <v>310</v>
      </c>
    </row>
    <row r="101" spans="1:3" x14ac:dyDescent="0.2">
      <c r="A101" s="40">
        <v>100</v>
      </c>
      <c r="B101" s="40" t="s">
        <v>86</v>
      </c>
      <c r="C101" s="40" t="s">
        <v>311</v>
      </c>
    </row>
    <row r="102" spans="1:3" x14ac:dyDescent="0.2">
      <c r="A102" s="40">
        <v>101</v>
      </c>
      <c r="B102" s="40" t="s">
        <v>99</v>
      </c>
      <c r="C102" s="40" t="s">
        <v>312</v>
      </c>
    </row>
    <row r="103" spans="1:3" x14ac:dyDescent="0.2">
      <c r="A103" s="40">
        <v>102</v>
      </c>
      <c r="B103" s="40" t="s">
        <v>98</v>
      </c>
      <c r="C103" s="40" t="s">
        <v>313</v>
      </c>
    </row>
    <row r="104" spans="1:3" x14ac:dyDescent="0.2">
      <c r="A104" s="40">
        <v>103</v>
      </c>
      <c r="B104" s="40" t="s">
        <v>103</v>
      </c>
      <c r="C104" s="40" t="s">
        <v>314</v>
      </c>
    </row>
    <row r="105" spans="1:3" x14ac:dyDescent="0.2">
      <c r="A105" s="40">
        <v>104</v>
      </c>
      <c r="B105" s="40" t="s">
        <v>96</v>
      </c>
      <c r="C105" s="40" t="s">
        <v>315</v>
      </c>
    </row>
    <row r="106" spans="1:3" x14ac:dyDescent="0.2">
      <c r="A106" s="40">
        <v>105</v>
      </c>
      <c r="B106" s="40" t="s">
        <v>84</v>
      </c>
      <c r="C106" s="40" t="s">
        <v>316</v>
      </c>
    </row>
    <row r="107" spans="1:3" x14ac:dyDescent="0.2">
      <c r="A107" s="40">
        <v>106</v>
      </c>
      <c r="B107" s="40" t="s">
        <v>101</v>
      </c>
      <c r="C107" s="40" t="s">
        <v>317</v>
      </c>
    </row>
    <row r="108" spans="1:3" x14ac:dyDescent="0.2">
      <c r="A108" s="40">
        <v>107</v>
      </c>
      <c r="B108" s="40" t="s">
        <v>102</v>
      </c>
      <c r="C108" s="40" t="s">
        <v>318</v>
      </c>
    </row>
    <row r="109" spans="1:3" x14ac:dyDescent="0.2">
      <c r="A109" s="40">
        <v>108</v>
      </c>
      <c r="B109" s="40" t="s">
        <v>79</v>
      </c>
      <c r="C109" s="40" t="s">
        <v>319</v>
      </c>
    </row>
    <row r="110" spans="1:3" x14ac:dyDescent="0.2">
      <c r="A110" s="40">
        <v>109</v>
      </c>
      <c r="B110" s="40" t="s">
        <v>92</v>
      </c>
      <c r="C110" s="40" t="s">
        <v>320</v>
      </c>
    </row>
    <row r="111" spans="1:3" x14ac:dyDescent="0.2">
      <c r="A111" s="40">
        <v>110</v>
      </c>
      <c r="B111" s="40" t="s">
        <v>89</v>
      </c>
      <c r="C111" s="40" t="s">
        <v>321</v>
      </c>
    </row>
    <row r="112" spans="1:3" x14ac:dyDescent="0.2">
      <c r="A112" s="40">
        <v>111</v>
      </c>
      <c r="B112" s="40" t="s">
        <v>87</v>
      </c>
      <c r="C112" s="40" t="s">
        <v>322</v>
      </c>
    </row>
    <row r="113" spans="1:3" x14ac:dyDescent="0.2">
      <c r="A113" s="40">
        <v>112</v>
      </c>
      <c r="B113" s="40" t="s">
        <v>97</v>
      </c>
      <c r="C113" s="40" t="s">
        <v>323</v>
      </c>
    </row>
    <row r="114" spans="1:3" x14ac:dyDescent="0.2">
      <c r="A114" s="40">
        <v>113</v>
      </c>
      <c r="B114" s="40" t="s">
        <v>95</v>
      </c>
      <c r="C114" s="40" t="s">
        <v>324</v>
      </c>
    </row>
    <row r="115" spans="1:3" x14ac:dyDescent="0.2">
      <c r="A115" s="40">
        <v>114</v>
      </c>
      <c r="B115" s="40" t="s">
        <v>78</v>
      </c>
      <c r="C115" s="40" t="s">
        <v>325</v>
      </c>
    </row>
    <row r="116" spans="1:3" x14ac:dyDescent="0.2">
      <c r="A116" s="40">
        <v>115</v>
      </c>
      <c r="B116" s="40" t="s">
        <v>81</v>
      </c>
      <c r="C116" s="40" t="s">
        <v>326</v>
      </c>
    </row>
    <row r="117" spans="1:3" x14ac:dyDescent="0.2">
      <c r="A117" s="40">
        <v>116</v>
      </c>
      <c r="B117" s="40" t="s">
        <v>100</v>
      </c>
      <c r="C117" s="40" t="s">
        <v>327</v>
      </c>
    </row>
    <row r="118" spans="1:3" x14ac:dyDescent="0.2">
      <c r="A118" s="40">
        <v>117</v>
      </c>
      <c r="B118" s="40" t="s">
        <v>90</v>
      </c>
      <c r="C118" s="40" t="s">
        <v>328</v>
      </c>
    </row>
    <row r="119" spans="1:3" x14ac:dyDescent="0.2">
      <c r="A119" s="40">
        <v>118</v>
      </c>
      <c r="B119" s="40" t="s">
        <v>94</v>
      </c>
      <c r="C119" s="40" t="s">
        <v>329</v>
      </c>
    </row>
    <row r="120" spans="1:3" x14ac:dyDescent="0.2">
      <c r="A120" s="40">
        <v>119</v>
      </c>
      <c r="B120" s="40" t="s">
        <v>76</v>
      </c>
      <c r="C120" s="40" t="s">
        <v>330</v>
      </c>
    </row>
    <row r="121" spans="1:3" x14ac:dyDescent="0.2">
      <c r="A121" s="40">
        <v>120</v>
      </c>
      <c r="B121" s="40" t="s">
        <v>104</v>
      </c>
      <c r="C121" s="40" t="s">
        <v>331</v>
      </c>
    </row>
    <row r="122" spans="1:3" x14ac:dyDescent="0.2">
      <c r="A122" s="40">
        <v>121</v>
      </c>
      <c r="B122" s="40" t="s">
        <v>83</v>
      </c>
      <c r="C122" s="40" t="s">
        <v>332</v>
      </c>
    </row>
    <row r="123" spans="1:3" x14ac:dyDescent="0.2">
      <c r="A123" s="40">
        <v>122</v>
      </c>
      <c r="B123" s="40" t="s">
        <v>88</v>
      </c>
      <c r="C123" s="40" t="s">
        <v>333</v>
      </c>
    </row>
    <row r="124" spans="1:3" x14ac:dyDescent="0.2">
      <c r="A124" s="40">
        <v>123</v>
      </c>
      <c r="B124" s="40" t="s">
        <v>85</v>
      </c>
      <c r="C124" s="40" t="s">
        <v>334</v>
      </c>
    </row>
    <row r="125" spans="1:3" x14ac:dyDescent="0.2">
      <c r="A125" s="40">
        <v>124</v>
      </c>
      <c r="B125" s="40" t="s">
        <v>105</v>
      </c>
      <c r="C125" s="40" t="s">
        <v>335</v>
      </c>
    </row>
    <row r="126" spans="1:3" x14ac:dyDescent="0.2">
      <c r="A126" s="40">
        <v>125</v>
      </c>
      <c r="B126" s="40" t="s">
        <v>113</v>
      </c>
      <c r="C126" s="40" t="s">
        <v>336</v>
      </c>
    </row>
    <row r="127" spans="1:3" x14ac:dyDescent="0.2">
      <c r="A127" s="40">
        <v>126</v>
      </c>
      <c r="B127" s="40" t="s">
        <v>135</v>
      </c>
      <c r="C127" s="40" t="s">
        <v>337</v>
      </c>
    </row>
    <row r="128" spans="1:3" x14ac:dyDescent="0.2">
      <c r="A128" s="40">
        <v>127</v>
      </c>
      <c r="B128" s="40" t="s">
        <v>91</v>
      </c>
      <c r="C128" s="40" t="s">
        <v>338</v>
      </c>
    </row>
    <row r="129" spans="1:3" x14ac:dyDescent="0.2">
      <c r="A129" s="40">
        <v>128</v>
      </c>
      <c r="B129" s="40" t="s">
        <v>93</v>
      </c>
      <c r="C129" s="40" t="s">
        <v>339</v>
      </c>
    </row>
    <row r="130" spans="1:3" x14ac:dyDescent="0.2">
      <c r="A130" s="40">
        <v>129</v>
      </c>
      <c r="B130" s="40" t="s">
        <v>125</v>
      </c>
      <c r="C130" s="40" t="s">
        <v>340</v>
      </c>
    </row>
    <row r="131" spans="1:3" x14ac:dyDescent="0.2">
      <c r="A131" s="40">
        <v>130</v>
      </c>
      <c r="B131" s="40" t="s">
        <v>107</v>
      </c>
      <c r="C131" s="40" t="s">
        <v>341</v>
      </c>
    </row>
    <row r="132" spans="1:3" x14ac:dyDescent="0.2">
      <c r="A132" s="40">
        <v>131</v>
      </c>
      <c r="B132" s="40" t="s">
        <v>134</v>
      </c>
      <c r="C132" s="40" t="s">
        <v>342</v>
      </c>
    </row>
    <row r="133" spans="1:3" x14ac:dyDescent="0.2">
      <c r="A133" s="40">
        <v>132</v>
      </c>
      <c r="B133" s="40" t="s">
        <v>140</v>
      </c>
      <c r="C133" s="40" t="s">
        <v>343</v>
      </c>
    </row>
    <row r="134" spans="1:3" x14ac:dyDescent="0.2">
      <c r="A134" s="40">
        <v>133</v>
      </c>
      <c r="B134" s="40" t="s">
        <v>119</v>
      </c>
      <c r="C134" s="40" t="s">
        <v>344</v>
      </c>
    </row>
    <row r="135" spans="1:3" x14ac:dyDescent="0.2">
      <c r="A135" s="40">
        <v>134</v>
      </c>
      <c r="B135" s="40" t="s">
        <v>82</v>
      </c>
      <c r="C135" s="40" t="s">
        <v>345</v>
      </c>
    </row>
    <row r="136" spans="1:3" x14ac:dyDescent="0.2">
      <c r="A136" s="40">
        <v>135</v>
      </c>
      <c r="B136" s="40" t="s">
        <v>77</v>
      </c>
      <c r="C136" s="40" t="s">
        <v>346</v>
      </c>
    </row>
    <row r="137" spans="1:3" x14ac:dyDescent="0.2">
      <c r="A137" s="40">
        <v>136</v>
      </c>
      <c r="B137" s="40" t="s">
        <v>147</v>
      </c>
      <c r="C137" s="40" t="s">
        <v>353</v>
      </c>
    </row>
    <row r="138" spans="1:3" x14ac:dyDescent="0.2">
      <c r="A138" s="40">
        <v>137</v>
      </c>
      <c r="B138" s="40" t="s">
        <v>155</v>
      </c>
      <c r="C138" s="40" t="s">
        <v>354</v>
      </c>
    </row>
    <row r="139" spans="1:3" x14ac:dyDescent="0.2">
      <c r="A139" s="40">
        <v>138</v>
      </c>
      <c r="B139" s="40" t="s">
        <v>158</v>
      </c>
      <c r="C139" s="40" t="s">
        <v>355</v>
      </c>
    </row>
    <row r="140" spans="1:3" x14ac:dyDescent="0.2">
      <c r="A140" s="40">
        <v>139</v>
      </c>
      <c r="B140" s="40" t="s">
        <v>161</v>
      </c>
      <c r="C140" s="40" t="s">
        <v>356</v>
      </c>
    </row>
    <row r="141" spans="1:3" x14ac:dyDescent="0.2">
      <c r="A141" s="40">
        <v>140</v>
      </c>
      <c r="B141" s="40" t="s">
        <v>164</v>
      </c>
      <c r="C141" s="40" t="s">
        <v>357</v>
      </c>
    </row>
    <row r="142" spans="1:3" x14ac:dyDescent="0.2">
      <c r="A142" s="40">
        <v>141</v>
      </c>
      <c r="B142" s="40" t="s">
        <v>154</v>
      </c>
      <c r="C142" s="40" t="s">
        <v>358</v>
      </c>
    </row>
    <row r="143" spans="1:3" x14ac:dyDescent="0.2">
      <c r="A143" s="40">
        <v>142</v>
      </c>
      <c r="B143" s="40" t="s">
        <v>163</v>
      </c>
      <c r="C143" s="40" t="s">
        <v>359</v>
      </c>
    </row>
    <row r="144" spans="1:3" x14ac:dyDescent="0.2">
      <c r="A144" s="40">
        <v>143</v>
      </c>
      <c r="B144" s="40" t="s">
        <v>165</v>
      </c>
      <c r="C144" s="40" t="s">
        <v>360</v>
      </c>
    </row>
    <row r="145" spans="1:3" x14ac:dyDescent="0.2">
      <c r="A145" s="40">
        <v>144</v>
      </c>
      <c r="B145" s="40" t="s">
        <v>143</v>
      </c>
      <c r="C145" s="40" t="s">
        <v>347</v>
      </c>
    </row>
    <row r="146" spans="1:3" x14ac:dyDescent="0.2">
      <c r="A146" s="40">
        <v>145</v>
      </c>
      <c r="B146" s="40" t="s">
        <v>153</v>
      </c>
      <c r="C146" s="40" t="s">
        <v>361</v>
      </c>
    </row>
    <row r="147" spans="1:3" x14ac:dyDescent="0.2">
      <c r="A147" s="40">
        <v>146</v>
      </c>
      <c r="B147" s="40" t="s">
        <v>162</v>
      </c>
      <c r="C147" s="40" t="s">
        <v>362</v>
      </c>
    </row>
    <row r="148" spans="1:3" x14ac:dyDescent="0.2">
      <c r="A148" s="40">
        <v>147</v>
      </c>
      <c r="B148" s="40" t="s">
        <v>156</v>
      </c>
      <c r="C148" s="40" t="s">
        <v>363</v>
      </c>
    </row>
    <row r="149" spans="1:3" x14ac:dyDescent="0.2">
      <c r="A149" s="40">
        <v>148</v>
      </c>
      <c r="B149" s="40" t="s">
        <v>150</v>
      </c>
      <c r="C149" s="40" t="s">
        <v>364</v>
      </c>
    </row>
    <row r="150" spans="1:3" x14ac:dyDescent="0.2">
      <c r="A150" s="40">
        <v>149</v>
      </c>
      <c r="B150" s="40" t="s">
        <v>152</v>
      </c>
      <c r="C150" s="40" t="s">
        <v>365</v>
      </c>
    </row>
    <row r="151" spans="1:3" x14ac:dyDescent="0.2">
      <c r="A151" s="40">
        <v>150</v>
      </c>
      <c r="B151" s="40" t="s">
        <v>159</v>
      </c>
      <c r="C151" s="40" t="s">
        <v>366</v>
      </c>
    </row>
    <row r="152" spans="1:3" x14ac:dyDescent="0.2">
      <c r="A152" s="40">
        <v>151</v>
      </c>
      <c r="B152" s="40" t="s">
        <v>157</v>
      </c>
      <c r="C152" s="40" t="s">
        <v>367</v>
      </c>
    </row>
    <row r="153" spans="1:3" x14ac:dyDescent="0.2">
      <c r="A153" s="40">
        <v>152</v>
      </c>
      <c r="B153" s="40" t="s">
        <v>148</v>
      </c>
      <c r="C153" s="40" t="s">
        <v>368</v>
      </c>
    </row>
    <row r="154" spans="1:3" x14ac:dyDescent="0.2">
      <c r="A154" s="40">
        <v>153</v>
      </c>
      <c r="B154" s="40" t="s">
        <v>149</v>
      </c>
      <c r="C154" s="40" t="s">
        <v>369</v>
      </c>
    </row>
    <row r="155" spans="1:3" x14ac:dyDescent="0.2">
      <c r="A155" s="40">
        <v>154</v>
      </c>
      <c r="B155" s="40" t="s">
        <v>160</v>
      </c>
      <c r="C155" s="40" t="s">
        <v>370</v>
      </c>
    </row>
    <row r="156" spans="1:3" x14ac:dyDescent="0.2">
      <c r="A156" s="40">
        <v>155</v>
      </c>
      <c r="B156" s="40" t="s">
        <v>151</v>
      </c>
      <c r="C156" s="40" t="s">
        <v>371</v>
      </c>
    </row>
    <row r="157" spans="1:3" x14ac:dyDescent="0.2">
      <c r="A157" s="40">
        <v>156</v>
      </c>
      <c r="B157" s="40" t="s">
        <v>146</v>
      </c>
      <c r="C157" s="40" t="s">
        <v>372</v>
      </c>
    </row>
    <row r="158" spans="1:3" x14ac:dyDescent="0.2">
      <c r="A158" s="40">
        <v>157</v>
      </c>
      <c r="B158" s="40" t="s">
        <v>166</v>
      </c>
      <c r="C158" s="40" t="s">
        <v>373</v>
      </c>
    </row>
    <row r="159" spans="1:3" x14ac:dyDescent="0.2">
      <c r="A159" s="40">
        <v>158</v>
      </c>
      <c r="B159" s="40" t="s">
        <v>144</v>
      </c>
      <c r="C159" s="40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A1E1-AD94-486B-B146-0B1387068327}">
  <dimension ref="A1:C8"/>
  <sheetViews>
    <sheetView workbookViewId="0">
      <selection sqref="A1:C1"/>
    </sheetView>
  </sheetViews>
  <sheetFormatPr defaultRowHeight="12.75" x14ac:dyDescent="0.2"/>
  <cols>
    <col min="1" max="1" width="39.85546875" bestFit="1" customWidth="1"/>
    <col min="2" max="2" width="37.140625" bestFit="1" customWidth="1"/>
    <col min="3" max="3" width="14.140625" bestFit="1" customWidth="1"/>
  </cols>
  <sheetData>
    <row r="1" spans="1:3" x14ac:dyDescent="0.2">
      <c r="A1" s="39" t="s">
        <v>6</v>
      </c>
      <c r="B1" s="39"/>
      <c r="C1" s="39"/>
    </row>
    <row r="2" spans="1:3" ht="13.5" x14ac:dyDescent="0.2">
      <c r="A2" s="22" t="s">
        <v>191</v>
      </c>
      <c r="B2" s="23" t="s">
        <v>145</v>
      </c>
      <c r="C2" s="24">
        <v>9703583</v>
      </c>
    </row>
    <row r="3" spans="1:3" ht="13.5" x14ac:dyDescent="0.2">
      <c r="A3" s="22" t="s">
        <v>190</v>
      </c>
      <c r="B3" s="25"/>
      <c r="C3" s="24">
        <v>-9703583</v>
      </c>
    </row>
    <row r="4" spans="1:3" ht="13.5" x14ac:dyDescent="0.2">
      <c r="A4" s="20"/>
      <c r="C4" s="21"/>
    </row>
    <row r="5" spans="1:3" ht="13.5" x14ac:dyDescent="0.2">
      <c r="A5" s="26" t="s">
        <v>192</v>
      </c>
      <c r="B5" s="27">
        <v>141317</v>
      </c>
      <c r="C5" s="24">
        <v>417888</v>
      </c>
    </row>
    <row r="6" spans="1:3" ht="13.5" x14ac:dyDescent="0.2">
      <c r="A6" s="26" t="s">
        <v>192</v>
      </c>
      <c r="B6" s="27">
        <v>144653</v>
      </c>
      <c r="C6" s="24">
        <v>9451</v>
      </c>
    </row>
    <row r="7" spans="1:3" ht="13.5" x14ac:dyDescent="0.2">
      <c r="A7" s="26" t="s">
        <v>192</v>
      </c>
      <c r="B7" s="27">
        <v>145412</v>
      </c>
      <c r="C7" s="24">
        <v>591129</v>
      </c>
    </row>
    <row r="8" spans="1:3" ht="13.5" x14ac:dyDescent="0.2">
      <c r="A8" s="22" t="s">
        <v>193</v>
      </c>
      <c r="B8" s="23" t="s">
        <v>147</v>
      </c>
      <c r="C8" s="24">
        <v>1018468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working</vt:lpstr>
      <vt:lpstr>Sheet5</vt:lpstr>
      <vt:lpstr>policy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IT User Software</cp:lastModifiedBy>
  <dcterms:created xsi:type="dcterms:W3CDTF">2025-05-30T07:49:27Z</dcterms:created>
  <dcterms:modified xsi:type="dcterms:W3CDTF">2025-05-30T12:22:39Z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5DA3351967656FC308124F6C8AF30E01BF3A4A3D2144E0C0E4B4298763583AD0FA876E366F604F6E673873C88F9485A519F6C24B9CBE3102D501B0BF882486611A945F37A7A67F1DE9B004612B634FD68E0DD81024954A4169C18E8E7BB3861D38F0848323A43B9E9A8D27A399868FDD2EA2648145E5283EC37A775BA7B68A7</vt:lpwstr>
  </property>
  <property fmtid="{D5CDD505-2E9C-101B-9397-08002B2CF9AE}" pid="8" name="Business Objects Context Information6">
    <vt:lpwstr>74AD1BDA959D78C1DC0B43408B37C6403E28E0052112BD78BBE268C91C252B8456A5D8031D13A07E66FE4EFD9D7179547A3223C5972C4DBC79C72923F4A51207F4FF154B34D9AA9F38DA7DDCCC424319ADCA7BC320811CB903B7D0346CC8FBEDD68CCC54226AB8D4D748EE0036FEAC9884E21E808962446F61C6B10CAF87BF8</vt:lpwstr>
  </property>
  <property fmtid="{D5CDD505-2E9C-101B-9397-08002B2CF9AE}" pid="9" name="Business Objects Context Information7">
    <vt:lpwstr>75D10981D8F525B5122C4587EF60A866D97005A7C3BA6D8E1EAD04501B2D2D8558F628F475ACCBE28D7EF69AB2038EDE12CC83D0005416CA303BC706D86D395E3FC70D22AE177A79AFE6362BF42FAE7D9E5AC9A5041E35C0A3706473B4CE2E3F2923E98E5BE5E1E83E380DBF17C12AEDBB235E6E89D40B7434B1626DD7AC4B1</vt:lpwstr>
  </property>
  <property fmtid="{D5CDD505-2E9C-101B-9397-08002B2CF9AE}" pid="10" name="Business Objects Context Information8">
    <vt:lpwstr>53E742D9C0436F2C8FE324FBA403C6A6BF1149D98578D194E29718AC5B5473777A76930002</vt:lpwstr>
  </property>
</Properties>
</file>