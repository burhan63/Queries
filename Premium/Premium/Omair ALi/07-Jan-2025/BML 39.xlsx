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Omair ALi\07-Jan-2025\"/>
    </mc:Choice>
  </mc:AlternateContent>
  <xr:revisionPtr revIDLastSave="0" documentId="13_ncr:1_{EC563589-6A19-458C-AFC4-0F91AE7C9B22}" xr6:coauthVersionLast="47" xr6:coauthVersionMax="47" xr10:uidLastSave="{00000000-0000-0000-0000-000000000000}"/>
  <bookViews>
    <workbookView xWindow="-120" yWindow="-120" windowWidth="20730" windowHeight="11040" activeTab="1" xr2:uid="{3E120B78-D24B-4A01-9505-6CD2BCEBF6EA}"/>
  </bookViews>
  <sheets>
    <sheet name="Sheet1" sheetId="1" r:id="rId1"/>
    <sheet name="working" sheetId="2" r:id="rId2"/>
    <sheet name="Sheet3" sheetId="3" r:id="rId3"/>
    <sheet name="polic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D97" i="2"/>
  <c r="C97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2" i="2"/>
  <c r="F2" i="2"/>
  <c r="D2" i="2"/>
  <c r="H2" i="2" l="1"/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1" i="3"/>
  <c r="B97" i="1" l="1"/>
</calcChain>
</file>

<file path=xl/sharedStrings.xml><?xml version="1.0" encoding="utf-8"?>
<sst xmlns="http://schemas.openxmlformats.org/spreadsheetml/2006/main" count="688" uniqueCount="226">
  <si>
    <t>ENDORSEMENT NUMBER</t>
  </si>
  <si>
    <t>OS</t>
  </si>
  <si>
    <t>KHI/HO/D/HLGRP HEALTH/E/20577/07/2023</t>
  </si>
  <si>
    <t>KHI/HO/D/HLGRP HEALTH/E/20604/07/2023</t>
  </si>
  <si>
    <t>KHI/HO/D/HLGRP HEALTH/E/20606/07/2023</t>
  </si>
  <si>
    <t>KHI/HO/D/HLGRP HEALTH/E/20759/07/2023</t>
  </si>
  <si>
    <t>KHI/HO/D/HLGRP HEALTH/E/20814/07/2023</t>
  </si>
  <si>
    <t>KHI/HO/D/HLGRP HEALTH/E/20834/07/2023</t>
  </si>
  <si>
    <t>KHI/HO/D/HLGRP HEALTH/E/20876/08/2023</t>
  </si>
  <si>
    <t>KHI/HO/D/HLGRP HEALTH/E/20951/08/2023</t>
  </si>
  <si>
    <t>KHI/HO/D/HLGRP HEALTH/E/21001/08/2023</t>
  </si>
  <si>
    <t>KHI/HO/D/HLGRP HEALTH/E/21052/08/2023</t>
  </si>
  <si>
    <t>KHI/HO/D/HLGRP HEALTH/E/21079/08/2023</t>
  </si>
  <si>
    <t>KHI/HO/D/HLGRP HEALTH/E/21157/08/2023</t>
  </si>
  <si>
    <t>KHI/HO/D/HLGRP HEALTH/E/21200/08/2023</t>
  </si>
  <si>
    <t>KHI/HO/D/HLGRP HEALTH/E/21279/08/2023</t>
  </si>
  <si>
    <t>KHI/HO/D/HLGRP HEALTH/E/21313/09/2023</t>
  </si>
  <si>
    <t>KHI/HO/D/HLGRP HEALTH/E/21353/09/2023</t>
  </si>
  <si>
    <t>KHI/HO/D/HLGRP HEALTH/E/21410/09/2023</t>
  </si>
  <si>
    <t>KHI/HO/D/HLGRP HEALTH/E/21445/09/2023</t>
  </si>
  <si>
    <t>KHI/HO/D/HLGRP HEALTH/E/21557/09/2023</t>
  </si>
  <si>
    <t>KHI/HO/D/HLGRP HEALTH/E/21638/09/2023</t>
  </si>
  <si>
    <t>KHI/HO/D/HLGRP HEALTH/E/21751/09/2023</t>
  </si>
  <si>
    <t>KHI/HO/D/HLGRP HEALTH/E/21820/10/2023</t>
  </si>
  <si>
    <t>KHI/HO/D/HLGRP HEALTH/E/21881/10/2023</t>
  </si>
  <si>
    <t>KHI/HO/D/HLGRP HEALTH/E/21955/10/2023</t>
  </si>
  <si>
    <t>KHI/HO/D/HLGRP HEALTH/E/21960/10/2023</t>
  </si>
  <si>
    <t>KHI/HO/D/HLGRP HEALTH/E/21989/10/2023</t>
  </si>
  <si>
    <t>KHI/HO/D/HLGRP HEALTH/E/22027/10/2023</t>
  </si>
  <si>
    <t>KHI/HO/D/HLGRP HEALTH/E/22084/10/2023</t>
  </si>
  <si>
    <t>KHI/HO/D/HLGRP HEALTH/E/22126/10/2023</t>
  </si>
  <si>
    <t>KHI/HO/D/HLGRP HEALTH/E/22171/10/2023</t>
  </si>
  <si>
    <t>KHI/HO/D/HLGRP HEALTH/E/22180/10/2023</t>
  </si>
  <si>
    <t>KHI/HO/D/HLGRP HEALTH/E/22215/10/2023</t>
  </si>
  <si>
    <t>KHI/HO/D/HLGRP HEALTH/E/22245/10/2023</t>
  </si>
  <si>
    <t>KHI/HO/D/HLGRP HEALTH/E/22303/10/2023</t>
  </si>
  <si>
    <t>KHI/HO/D/HLGRP HEALTH/E/22367/11/2023</t>
  </si>
  <si>
    <t>KHI/HO/D/HLGRP HEALTH/E/22411/11/2023</t>
  </si>
  <si>
    <t>KHI/HO/D/HLGRP HEALTH/E/22465/11/2023</t>
  </si>
  <si>
    <t>KHI/HO/D/HLGRP HEALTH/E/22575/11/2023</t>
  </si>
  <si>
    <t>KHI/HO/D/HLGRP HEALTH/E/22600/11/2023</t>
  </si>
  <si>
    <t>KHI/HO/D/HLGRP HEALTH/E/22714/11/2023</t>
  </si>
  <si>
    <t>KHI/HO/D/HLGRP HEALTH/E/22873/12/2023</t>
  </si>
  <si>
    <t>KHI/HO/D/HLGRP HEALTH/E/22926/12/2023</t>
  </si>
  <si>
    <t>KHI/HO/D/HLGRP HEALTH/E/22942/12/2023</t>
  </si>
  <si>
    <t>KHI/HO/D/HLGRP HEALTH/E/22968/12/2023</t>
  </si>
  <si>
    <t>KHI/HO/D/HLGRP HEALTH/E/23042/12/2023</t>
  </si>
  <si>
    <t>KHI/HO/D/HLGRP HEALTH/E/23081/12/2023</t>
  </si>
  <si>
    <t>KHI/HO/D/HLGRP HEALTH/E/23121/12/2023</t>
  </si>
  <si>
    <t>KHI/HO/D/HLGRP HEALTH/E/23188/12/2023</t>
  </si>
  <si>
    <t>KHI/HO/D/HLGRP HEALTH/E/23225/12/2023</t>
  </si>
  <si>
    <t>KHI/HO/D/HLGRP HEALTH/E/23230/12/2023</t>
  </si>
  <si>
    <t>KHI/HO/D/HLGRP HEALTH/E/23261/12/2023</t>
  </si>
  <si>
    <t>KHI/HO/D/HLGRP HEALTH/E/23356/01/2024</t>
  </si>
  <si>
    <t>KHI/HO/D/HLGRP HEALTH/E/23407/01/2024</t>
  </si>
  <si>
    <t>KHI/HO/D/HLGRP HEALTH/E/23436/01/2024</t>
  </si>
  <si>
    <t>KHI/HO/D/HLGRP HEALTH/E/23574/01/2024</t>
  </si>
  <si>
    <t>KHI/HO/D/HLGRP HEALTH/E/23623/01/2024</t>
  </si>
  <si>
    <t>KHI/HO/D/HLGRP HEALTH/E/23667/01/2024</t>
  </si>
  <si>
    <t>KHI/HO/D/HLGRP HEALTH/E/23686/01/2024</t>
  </si>
  <si>
    <t>KHI/HO/D/HLGRP HEALTH/E/23694/01/2024</t>
  </si>
  <si>
    <t>KHI/HO/D/HLGRP HEALTH/E/23763/01/2024</t>
  </si>
  <si>
    <t>KHI/HO/D/HLGRP HEALTH/E/23823/01/2024</t>
  </si>
  <si>
    <t>KHI/HO/D/HLGRP HEALTH/E/23854/02/2024</t>
  </si>
  <si>
    <t>KHI/HO/D/HLGRP HEALTH/E/23931/02/2024</t>
  </si>
  <si>
    <t>KHI/HO/D/HLGRP HEALTH/E/24054/02/2024</t>
  </si>
  <si>
    <t>KHI/HO/D/HLGRP HEALTH/E/24151/02/2024</t>
  </si>
  <si>
    <t>KHI/HO/D/HLGRP HEALTH/E/24192/02/2024</t>
  </si>
  <si>
    <t>KHI/HO/D/HLGRP HEALTH/E/24220/02/2024</t>
  </si>
  <si>
    <t>KHI/HO/D/HLGRP HEALTH/E/24236/02/2024</t>
  </si>
  <si>
    <t>KHI/HO/D/HLGRP HEALTH/E/24295/03/2024</t>
  </si>
  <si>
    <t>KHI/HO/D/HLGRP HEALTH/E/24357/03/2024</t>
  </si>
  <si>
    <t>KHI/HO/D/HLGRP HEALTH/E/24429/03/2024</t>
  </si>
  <si>
    <t>KHI/HO/D/HLGRP HEALTH/E/24463/03/2024</t>
  </si>
  <si>
    <t>KHI/HO/D/HLGRP HEALTH/E/24479/03/2024</t>
  </si>
  <si>
    <t>KHI/HO/D/HLGRP HEALTH/E/24568/03/2024</t>
  </si>
  <si>
    <t>KHI/HO/D/HLGRP HEALTH/E/24606/03/2024</t>
  </si>
  <si>
    <t>KHI/HO/D/HLGRP HEALTH/E/24633/03/2024</t>
  </si>
  <si>
    <t>KHI/HO/D/HLGRP HEALTH/E/24750/04/2024</t>
  </si>
  <si>
    <t>KHI/HO/D/HLGRP HEALTH/E/24783/04/2024</t>
  </si>
  <si>
    <t>KHI/HO/D/HLGRP HEALTH/E/24886/04/2024</t>
  </si>
  <si>
    <t>KHI/HO/D/HLGRP HEALTH/E/24898/04/2024</t>
  </si>
  <si>
    <t>KHI/HO/D/HLGRP HEALTH/E/25018/04/2024</t>
  </si>
  <si>
    <t>KHI/HO/D/HLGRP HEALTH/E/25035/04/2024</t>
  </si>
  <si>
    <t>KHI/HO/D/HLGRP HEALTH/E/25132/05/2024</t>
  </si>
  <si>
    <t>KHI/HO/D/HLGRP HEALTH/E/25241/05/2024</t>
  </si>
  <si>
    <t>KHI/HO/D/HLGRP HEALTH/E/25274/05/2024</t>
  </si>
  <si>
    <t>KHI/HO/D/HLGRP HEALTH/E/25306/05/2024</t>
  </si>
  <si>
    <t>KHI/HO/D/HLGRP HEALTH/E/25366/05/2024</t>
  </si>
  <si>
    <t>KHI/HO/D/HLGRP HEALTH/E/25413/05/2024</t>
  </si>
  <si>
    <t>KHI/HO/D/HLGRP HEALTH/E/25480/05/2024</t>
  </si>
  <si>
    <t>KHI/HO/D/HLGRP HEALTH/E/25594/06/2024</t>
  </si>
  <si>
    <t>KHI/HO/D/HLGRP HEALTH/E/25627/06/2024</t>
  </si>
  <si>
    <t>KHI/HO/D/HLGRP HEALTH/E/25761/06/2024</t>
  </si>
  <si>
    <t>KHI/HO/D/HLGRP HEALTH/E/25907/06/2024</t>
  </si>
  <si>
    <t>KHI/HO/D/HLGRP HEALTH/E/25946/06/2024</t>
  </si>
  <si>
    <t>KHI/HO/D/HLGRP HEALTH/E/26928/08/2024</t>
  </si>
  <si>
    <t>-07-2023</t>
  </si>
  <si>
    <t>-08-2023</t>
  </si>
  <si>
    <t>-09-2023</t>
  </si>
  <si>
    <t>-10-2023</t>
  </si>
  <si>
    <t>-11-2023</t>
  </si>
  <si>
    <t>-12-2023</t>
  </si>
  <si>
    <t>-01-2024</t>
  </si>
  <si>
    <t>-02-2024</t>
  </si>
  <si>
    <t>-03-2024</t>
  </si>
  <si>
    <t>-04-2024</t>
  </si>
  <si>
    <t>-05-2024</t>
  </si>
  <si>
    <t>-06-2024</t>
  </si>
  <si>
    <t>-08-2024</t>
  </si>
  <si>
    <t xml:space="preserve">   </t>
  </si>
  <si>
    <t>FUNC_ASSORTED_STRING(IA.ASSORTED_CODE)</t>
  </si>
  <si>
    <t>ASSORTED_CODE</t>
  </si>
  <si>
    <t>050000623498</t>
  </si>
  <si>
    <t>050000692023</t>
  </si>
  <si>
    <t>050000672556</t>
  </si>
  <si>
    <t>050000689329</t>
  </si>
  <si>
    <t>050000691007</t>
  </si>
  <si>
    <t>050000658845</t>
  </si>
  <si>
    <t>050000665168</t>
  </si>
  <si>
    <t>050000704864</t>
  </si>
  <si>
    <t>050000662190</t>
  </si>
  <si>
    <t>LHR/LHR/D/MR/IMPORTS/C/21353/09/2023</t>
  </si>
  <si>
    <t>020000036293</t>
  </si>
  <si>
    <t>KHI/HO/D/MR/IMPORTS/C/21279/08/2023</t>
  </si>
  <si>
    <t>020000036036</t>
  </si>
  <si>
    <t>050000646251</t>
  </si>
  <si>
    <t>050000669210</t>
  </si>
  <si>
    <t>050000686356</t>
  </si>
  <si>
    <t>050000702088</t>
  </si>
  <si>
    <t>KHI/HO/D/MR/IMPORTS/C/21157/08/2023</t>
  </si>
  <si>
    <t>020000035422</t>
  </si>
  <si>
    <t>050000707063</t>
  </si>
  <si>
    <t>050000687213</t>
  </si>
  <si>
    <t>050000679179</t>
  </si>
  <si>
    <t>050000724532</t>
  </si>
  <si>
    <t>050000726595</t>
  </si>
  <si>
    <t>050000726611</t>
  </si>
  <si>
    <t>050000692259</t>
  </si>
  <si>
    <t>050000648927</t>
  </si>
  <si>
    <t>050000697956</t>
  </si>
  <si>
    <t>050000688831</t>
  </si>
  <si>
    <t>050000687292</t>
  </si>
  <si>
    <t>050000642652</t>
  </si>
  <si>
    <t>050000679063</t>
  </si>
  <si>
    <t>050000668533</t>
  </si>
  <si>
    <t>050000647777</t>
  </si>
  <si>
    <t>050000697817</t>
  </si>
  <si>
    <t>050000728928</t>
  </si>
  <si>
    <t>050000701031</t>
  </si>
  <si>
    <t>050000704853</t>
  </si>
  <si>
    <t>050000703761</t>
  </si>
  <si>
    <t>050000691583</t>
  </si>
  <si>
    <t>050000676932</t>
  </si>
  <si>
    <t>050000705665</t>
  </si>
  <si>
    <t>050000668788</t>
  </si>
  <si>
    <t>050000680911</t>
  </si>
  <si>
    <t>050000695667</t>
  </si>
  <si>
    <t>050000668304</t>
  </si>
  <si>
    <t>050000665999</t>
  </si>
  <si>
    <t>050000653007</t>
  </si>
  <si>
    <t>050000676062</t>
  </si>
  <si>
    <t>050000639429</t>
  </si>
  <si>
    <t>050000623386</t>
  </si>
  <si>
    <t>050000629523</t>
  </si>
  <si>
    <t>050000633292</t>
  </si>
  <si>
    <t>050000632772</t>
  </si>
  <si>
    <t>050000655859</t>
  </si>
  <si>
    <t>KHI/HO/D/MR/INLAND TRANSIT/C/21410/09/2023</t>
  </si>
  <si>
    <t>020000036524</t>
  </si>
  <si>
    <t>050000661332</t>
  </si>
  <si>
    <t>KHI/HO/D/MR/IMPORTS/C/21200/08/2023</t>
  </si>
  <si>
    <t>020000035553</t>
  </si>
  <si>
    <t>050000635626</t>
  </si>
  <si>
    <t>050000623485</t>
  </si>
  <si>
    <t>050000636715</t>
  </si>
  <si>
    <t>050000627529</t>
  </si>
  <si>
    <t>050000661317</t>
  </si>
  <si>
    <t>KHI/HO/D/MR/IMPORTS/C/21445/09/2023</t>
  </si>
  <si>
    <t>020000036706</t>
  </si>
  <si>
    <t>050000627675</t>
  </si>
  <si>
    <t>050000626222</t>
  </si>
  <si>
    <t>050000663290</t>
  </si>
  <si>
    <t>KHI/HO/D/MR/IMPORTS/C/21313/09/2023</t>
  </si>
  <si>
    <t>020000036151</t>
  </si>
  <si>
    <t>050000649615</t>
  </si>
  <si>
    <t>050000664242</t>
  </si>
  <si>
    <t>050000647927</t>
  </si>
  <si>
    <t>050000641234</t>
  </si>
  <si>
    <t>050000638891</t>
  </si>
  <si>
    <t>050000682642</t>
  </si>
  <si>
    <t>050000729119</t>
  </si>
  <si>
    <t>050000718283</t>
  </si>
  <si>
    <t>050000718159</t>
  </si>
  <si>
    <t>050000708884</t>
  </si>
  <si>
    <t>050000719900</t>
  </si>
  <si>
    <t>050000718345</t>
  </si>
  <si>
    <t>050000738309</t>
  </si>
  <si>
    <t>050000718419</t>
  </si>
  <si>
    <t>050000738266</t>
  </si>
  <si>
    <t>050000691998</t>
  </si>
  <si>
    <t>050000733898</t>
  </si>
  <si>
    <t>050000710505</t>
  </si>
  <si>
    <t>050000761019</t>
  </si>
  <si>
    <t>050000715930</t>
  </si>
  <si>
    <t>050000740696</t>
  </si>
  <si>
    <t>050000725053</t>
  </si>
  <si>
    <t>050000730185</t>
  </si>
  <si>
    <t>050000739308</t>
  </si>
  <si>
    <t>050000739278</t>
  </si>
  <si>
    <t>050000728202</t>
  </si>
  <si>
    <t>050000755312</t>
  </si>
  <si>
    <t>050000760572</t>
  </si>
  <si>
    <t>050000748856</t>
  </si>
  <si>
    <t>050000759014</t>
  </si>
  <si>
    <t>050000750332</t>
  </si>
  <si>
    <t>050000745865</t>
  </si>
  <si>
    <t>050000746513</t>
  </si>
  <si>
    <t>050000748240</t>
  </si>
  <si>
    <t>050000747245</t>
  </si>
  <si>
    <t>050000782703</t>
  </si>
  <si>
    <t>050000754522</t>
  </si>
  <si>
    <t>POLICY NO.</t>
  </si>
  <si>
    <t>Assorted_code</t>
  </si>
  <si>
    <t>Premium</t>
  </si>
  <si>
    <t>06Jan250110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</si>
</sst>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43" fontId="0" fillId="0" borderId="0" xfId="1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0" xfId="0" applyFont="1"/>
    <xf numFmtId="0" fontId="0" fillId="0" borderId="0" xfId="0" applyAlignment="1">
      <alignment vertical="top"/>
    </xf>
    <xf numFmtId="164" fontId="5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36BF-8E9F-4F21-B493-5C1232AACB25}">
  <dimension ref="A1:B97"/>
  <sheetViews>
    <sheetView topLeftCell="A80" workbookViewId="0">
      <selection activeCell="B2" sqref="B2:B96"/>
    </sheetView>
  </sheetViews>
  <sheetFormatPr defaultRowHeight="15" x14ac:dyDescent="0.25"/>
  <cols>
    <col min="1" max="1" width="37.7109375" bestFit="1" customWidth="1"/>
    <col min="2" max="2" width="13.1406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>
        <v>-4179953.8719434789</v>
      </c>
    </row>
    <row r="3" spans="1:2" x14ac:dyDescent="0.25">
      <c r="A3" t="s">
        <v>3</v>
      </c>
      <c r="B3" s="3">
        <v>5764607.0776000051</v>
      </c>
    </row>
    <row r="4" spans="1:2" x14ac:dyDescent="0.25">
      <c r="A4" t="s">
        <v>4</v>
      </c>
      <c r="B4" s="3">
        <v>486402.28328839754</v>
      </c>
    </row>
    <row r="5" spans="1:2" x14ac:dyDescent="0.25">
      <c r="A5" t="s">
        <v>5</v>
      </c>
      <c r="B5" s="3">
        <v>243041.77419999999</v>
      </c>
    </row>
    <row r="6" spans="1:2" x14ac:dyDescent="0.25">
      <c r="A6" t="s">
        <v>6</v>
      </c>
      <c r="B6" s="3">
        <v>18221.622100000001</v>
      </c>
    </row>
    <row r="7" spans="1:2" x14ac:dyDescent="0.25">
      <c r="A7" t="s">
        <v>7</v>
      </c>
      <c r="B7" s="3">
        <v>11860.026</v>
      </c>
    </row>
    <row r="8" spans="1:2" x14ac:dyDescent="0.25">
      <c r="A8" t="s">
        <v>8</v>
      </c>
      <c r="B8" s="3">
        <v>88082</v>
      </c>
    </row>
    <row r="9" spans="1:2" x14ac:dyDescent="0.25">
      <c r="A9" t="s">
        <v>9</v>
      </c>
      <c r="B9" s="3">
        <v>1372191.3025</v>
      </c>
    </row>
    <row r="10" spans="1:2" x14ac:dyDescent="0.25">
      <c r="A10" t="s">
        <v>10</v>
      </c>
      <c r="B10" s="3">
        <v>37295</v>
      </c>
    </row>
    <row r="11" spans="1:2" x14ac:dyDescent="0.25">
      <c r="A11" t="s">
        <v>11</v>
      </c>
      <c r="B11" s="3">
        <v>30575.618899999998</v>
      </c>
    </row>
    <row r="12" spans="1:2" x14ac:dyDescent="0.25">
      <c r="A12" t="s">
        <v>12</v>
      </c>
      <c r="B12" s="3">
        <v>-23534.842013299138</v>
      </c>
    </row>
    <row r="13" spans="1:2" x14ac:dyDescent="0.25">
      <c r="A13" t="s">
        <v>13</v>
      </c>
      <c r="B13" s="3">
        <v>29012.088399999997</v>
      </c>
    </row>
    <row r="14" spans="1:2" x14ac:dyDescent="0.25">
      <c r="A14" t="s">
        <v>14</v>
      </c>
      <c r="B14" s="3">
        <v>-2221387.8246796541</v>
      </c>
    </row>
    <row r="15" spans="1:2" x14ac:dyDescent="0.25">
      <c r="A15" t="s">
        <v>15</v>
      </c>
      <c r="B15" s="3">
        <v>928704.78689999972</v>
      </c>
    </row>
    <row r="16" spans="1:2" x14ac:dyDescent="0.25">
      <c r="A16" t="s">
        <v>16</v>
      </c>
      <c r="B16" s="3">
        <v>142132.351</v>
      </c>
    </row>
    <row r="17" spans="1:2" x14ac:dyDescent="0.25">
      <c r="A17" t="s">
        <v>17</v>
      </c>
      <c r="B17" s="3">
        <v>56816.954099999995</v>
      </c>
    </row>
    <row r="18" spans="1:2" x14ac:dyDescent="0.25">
      <c r="A18" t="s">
        <v>18</v>
      </c>
      <c r="B18" s="3">
        <v>18420.036599999999</v>
      </c>
    </row>
    <row r="19" spans="1:2" x14ac:dyDescent="0.25">
      <c r="A19" t="s">
        <v>19</v>
      </c>
      <c r="B19" s="3">
        <v>18256.002500000002</v>
      </c>
    </row>
    <row r="20" spans="1:2" x14ac:dyDescent="0.25">
      <c r="A20" t="s">
        <v>20</v>
      </c>
      <c r="B20" s="3">
        <v>6016.57</v>
      </c>
    </row>
    <row r="21" spans="1:2" x14ac:dyDescent="0.25">
      <c r="A21" t="s">
        <v>21</v>
      </c>
      <c r="B21" s="3">
        <v>31795.1535</v>
      </c>
    </row>
    <row r="22" spans="1:2" x14ac:dyDescent="0.25">
      <c r="A22" t="s">
        <v>22</v>
      </c>
      <c r="B22" s="3">
        <v>8894.6558999999997</v>
      </c>
    </row>
    <row r="23" spans="1:2" x14ac:dyDescent="0.25">
      <c r="A23" t="s">
        <v>23</v>
      </c>
      <c r="B23" s="3">
        <v>9580.9711000000007</v>
      </c>
    </row>
    <row r="24" spans="1:2" x14ac:dyDescent="0.25">
      <c r="A24" t="s">
        <v>24</v>
      </c>
      <c r="B24" s="3">
        <v>72216.921007107972</v>
      </c>
    </row>
    <row r="25" spans="1:2" x14ac:dyDescent="0.25">
      <c r="A25" t="s">
        <v>25</v>
      </c>
      <c r="B25" s="3">
        <v>1336101.0976999234</v>
      </c>
    </row>
    <row r="26" spans="1:2" x14ac:dyDescent="0.25">
      <c r="A26" t="s">
        <v>26</v>
      </c>
      <c r="B26" s="3">
        <v>-1989421.148950744</v>
      </c>
    </row>
    <row r="27" spans="1:2" x14ac:dyDescent="0.25">
      <c r="A27" t="s">
        <v>27</v>
      </c>
      <c r="B27" s="3">
        <v>6728.7512999999999</v>
      </c>
    </row>
    <row r="28" spans="1:2" x14ac:dyDescent="0.25">
      <c r="A28" t="s">
        <v>28</v>
      </c>
      <c r="B28" s="3">
        <v>95646.606099999946</v>
      </c>
    </row>
    <row r="29" spans="1:2" x14ac:dyDescent="0.25">
      <c r="A29" t="s">
        <v>29</v>
      </c>
      <c r="B29" s="3">
        <v>103001.113</v>
      </c>
    </row>
    <row r="30" spans="1:2" x14ac:dyDescent="0.25">
      <c r="A30" t="s">
        <v>30</v>
      </c>
      <c r="B30" s="3">
        <v>93373.553345731241</v>
      </c>
    </row>
    <row r="31" spans="1:2" x14ac:dyDescent="0.25">
      <c r="A31" t="s">
        <v>31</v>
      </c>
      <c r="B31" s="3">
        <v>554896.09069999994</v>
      </c>
    </row>
    <row r="32" spans="1:2" x14ac:dyDescent="0.25">
      <c r="A32" t="s">
        <v>32</v>
      </c>
      <c r="B32" s="3">
        <v>-327877.99252094835</v>
      </c>
    </row>
    <row r="33" spans="1:2" x14ac:dyDescent="0.25">
      <c r="A33" t="s">
        <v>33</v>
      </c>
      <c r="B33" s="3">
        <v>53279.570500000002</v>
      </c>
    </row>
    <row r="34" spans="1:2" x14ac:dyDescent="0.25">
      <c r="A34" t="s">
        <v>34</v>
      </c>
      <c r="B34" s="3">
        <v>14301.236400000002</v>
      </c>
    </row>
    <row r="35" spans="1:2" x14ac:dyDescent="0.25">
      <c r="A35" t="s">
        <v>35</v>
      </c>
      <c r="B35" s="3">
        <v>25055.261899999998</v>
      </c>
    </row>
    <row r="36" spans="1:2" x14ac:dyDescent="0.25">
      <c r="A36" t="s">
        <v>36</v>
      </c>
      <c r="B36" s="3">
        <v>15440</v>
      </c>
    </row>
    <row r="37" spans="1:2" x14ac:dyDescent="0.25">
      <c r="A37" t="s">
        <v>37</v>
      </c>
      <c r="B37" s="3">
        <v>21011.3835</v>
      </c>
    </row>
    <row r="38" spans="1:2" x14ac:dyDescent="0.25">
      <c r="A38" t="s">
        <v>38</v>
      </c>
      <c r="B38" s="3">
        <v>5674.0891000000001</v>
      </c>
    </row>
    <row r="39" spans="1:2" x14ac:dyDescent="0.25">
      <c r="A39" t="s">
        <v>39</v>
      </c>
      <c r="B39" s="3">
        <v>54339.080700000006</v>
      </c>
    </row>
    <row r="40" spans="1:2" x14ac:dyDescent="0.25">
      <c r="A40" t="s">
        <v>40</v>
      </c>
      <c r="B40" s="3">
        <v>67055.455400000006</v>
      </c>
    </row>
    <row r="41" spans="1:2" x14ac:dyDescent="0.25">
      <c r="A41" t="s">
        <v>41</v>
      </c>
      <c r="B41" s="3">
        <v>30852.47</v>
      </c>
    </row>
    <row r="42" spans="1:2" x14ac:dyDescent="0.25">
      <c r="A42" t="s">
        <v>42</v>
      </c>
      <c r="B42" s="3">
        <v>6972.9693000000007</v>
      </c>
    </row>
    <row r="43" spans="1:2" x14ac:dyDescent="0.25">
      <c r="A43" t="s">
        <v>43</v>
      </c>
      <c r="B43" s="3">
        <v>1182414.7164000007</v>
      </c>
    </row>
    <row r="44" spans="1:2" x14ac:dyDescent="0.25">
      <c r="A44" t="s">
        <v>44</v>
      </c>
      <c r="B44" s="3">
        <v>-1684982.4198749086</v>
      </c>
    </row>
    <row r="45" spans="1:2" x14ac:dyDescent="0.25">
      <c r="A45" t="s">
        <v>45</v>
      </c>
      <c r="B45" s="3">
        <v>14826.8909</v>
      </c>
    </row>
    <row r="46" spans="1:2" x14ac:dyDescent="0.25">
      <c r="A46" t="s">
        <v>46</v>
      </c>
      <c r="B46" s="3">
        <v>44517.739699999998</v>
      </c>
    </row>
    <row r="47" spans="1:2" x14ac:dyDescent="0.25">
      <c r="A47" t="s">
        <v>47</v>
      </c>
      <c r="B47" s="3">
        <v>18267.415499999999</v>
      </c>
    </row>
    <row r="48" spans="1:2" x14ac:dyDescent="0.25">
      <c r="A48" t="s">
        <v>48</v>
      </c>
      <c r="B48" s="3">
        <v>21907.6878</v>
      </c>
    </row>
    <row r="49" spans="1:2" x14ac:dyDescent="0.25">
      <c r="A49" t="s">
        <v>49</v>
      </c>
      <c r="B49" s="3">
        <v>-1563.6719000000001</v>
      </c>
    </row>
    <row r="50" spans="1:2" x14ac:dyDescent="0.25">
      <c r="A50" t="s">
        <v>50</v>
      </c>
      <c r="B50" s="3">
        <v>629362.51200000045</v>
      </c>
    </row>
    <row r="51" spans="1:2" x14ac:dyDescent="0.25">
      <c r="A51" t="s">
        <v>51</v>
      </c>
      <c r="B51" s="3">
        <v>-376283.44238119869</v>
      </c>
    </row>
    <row r="52" spans="1:2" x14ac:dyDescent="0.25">
      <c r="A52" t="s">
        <v>52</v>
      </c>
      <c r="B52" s="3">
        <v>35901.843800000002</v>
      </c>
    </row>
    <row r="53" spans="1:2" x14ac:dyDescent="0.25">
      <c r="A53" t="s">
        <v>53</v>
      </c>
      <c r="B53" s="3">
        <v>11053.945</v>
      </c>
    </row>
    <row r="54" spans="1:2" x14ac:dyDescent="0.25">
      <c r="A54" t="s">
        <v>54</v>
      </c>
      <c r="B54" s="3">
        <v>73172.651700000002</v>
      </c>
    </row>
    <row r="55" spans="1:2" x14ac:dyDescent="0.25">
      <c r="A55" t="s">
        <v>55</v>
      </c>
      <c r="B55" s="3">
        <v>27308.6931</v>
      </c>
    </row>
    <row r="56" spans="1:2" x14ac:dyDescent="0.25">
      <c r="A56" t="s">
        <v>56</v>
      </c>
      <c r="B56" s="3">
        <v>598878.7122000003</v>
      </c>
    </row>
    <row r="57" spans="1:2" x14ac:dyDescent="0.25">
      <c r="A57" t="s">
        <v>57</v>
      </c>
      <c r="B57" s="3">
        <v>5710.1460999999999</v>
      </c>
    </row>
    <row r="58" spans="1:2" x14ac:dyDescent="0.25">
      <c r="A58" t="s">
        <v>58</v>
      </c>
      <c r="B58" s="3">
        <v>17899.118999999999</v>
      </c>
    </row>
    <row r="59" spans="1:2" x14ac:dyDescent="0.25">
      <c r="A59" t="s">
        <v>59</v>
      </c>
      <c r="B59" s="3">
        <v>5380.7143999999998</v>
      </c>
    </row>
    <row r="60" spans="1:2" x14ac:dyDescent="0.25">
      <c r="A60" t="s">
        <v>60</v>
      </c>
      <c r="B60" s="3">
        <v>-765663.83263368811</v>
      </c>
    </row>
    <row r="61" spans="1:2" x14ac:dyDescent="0.25">
      <c r="A61" t="s">
        <v>61</v>
      </c>
      <c r="B61" s="3">
        <v>101696.78889999999</v>
      </c>
    </row>
    <row r="62" spans="1:2" x14ac:dyDescent="0.25">
      <c r="A62" t="s">
        <v>62</v>
      </c>
      <c r="B62" s="3">
        <v>39280.4352</v>
      </c>
    </row>
    <row r="63" spans="1:2" x14ac:dyDescent="0.25">
      <c r="A63" t="s">
        <v>63</v>
      </c>
      <c r="B63" s="3">
        <v>4471.7749999999996</v>
      </c>
    </row>
    <row r="64" spans="1:2" x14ac:dyDescent="0.25">
      <c r="A64" t="s">
        <v>64</v>
      </c>
      <c r="B64" s="3">
        <v>569034.45449999999</v>
      </c>
    </row>
    <row r="65" spans="1:2" x14ac:dyDescent="0.25">
      <c r="A65" t="s">
        <v>65</v>
      </c>
      <c r="B65" s="3">
        <v>-525164.35115425044</v>
      </c>
    </row>
    <row r="66" spans="1:2" x14ac:dyDescent="0.25">
      <c r="A66" t="s">
        <v>66</v>
      </c>
      <c r="B66" s="3">
        <v>32903.143700000001</v>
      </c>
    </row>
    <row r="67" spans="1:2" x14ac:dyDescent="0.25">
      <c r="A67" t="s">
        <v>67</v>
      </c>
      <c r="B67" s="3">
        <v>4776.7546000000002</v>
      </c>
    </row>
    <row r="68" spans="1:2" x14ac:dyDescent="0.25">
      <c r="A68" t="s">
        <v>68</v>
      </c>
      <c r="B68" s="3">
        <v>4028.8192999999997</v>
      </c>
    </row>
    <row r="69" spans="1:2" x14ac:dyDescent="0.25">
      <c r="A69" t="s">
        <v>69</v>
      </c>
      <c r="B69" s="3">
        <v>135958.76639999996</v>
      </c>
    </row>
    <row r="70" spans="1:2" x14ac:dyDescent="0.25">
      <c r="A70" t="s">
        <v>70</v>
      </c>
      <c r="B70" s="3">
        <v>-181252.99549954329</v>
      </c>
    </row>
    <row r="71" spans="1:2" x14ac:dyDescent="0.25">
      <c r="A71" t="s">
        <v>71</v>
      </c>
      <c r="B71" s="3">
        <v>10393.595177343999</v>
      </c>
    </row>
    <row r="72" spans="1:2" x14ac:dyDescent="0.25">
      <c r="A72" t="s">
        <v>72</v>
      </c>
      <c r="B72" s="3">
        <v>13798.6402</v>
      </c>
    </row>
    <row r="73" spans="1:2" x14ac:dyDescent="0.25">
      <c r="A73" t="s">
        <v>73</v>
      </c>
      <c r="B73" s="3">
        <v>5843.5064999999995</v>
      </c>
    </row>
    <row r="74" spans="1:2" x14ac:dyDescent="0.25">
      <c r="A74" t="s">
        <v>74</v>
      </c>
      <c r="B74" s="3">
        <v>9435.2584000000006</v>
      </c>
    </row>
    <row r="75" spans="1:2" x14ac:dyDescent="0.25">
      <c r="A75" t="s">
        <v>75</v>
      </c>
      <c r="B75" s="3">
        <v>19953.943800000001</v>
      </c>
    </row>
    <row r="76" spans="1:2" x14ac:dyDescent="0.25">
      <c r="A76" t="s">
        <v>76</v>
      </c>
      <c r="B76" s="3">
        <v>-233662.41072195364</v>
      </c>
    </row>
    <row r="77" spans="1:2" x14ac:dyDescent="0.25">
      <c r="A77" t="s">
        <v>77</v>
      </c>
      <c r="B77" s="3">
        <v>5990.4918000000007</v>
      </c>
    </row>
    <row r="78" spans="1:2" x14ac:dyDescent="0.25">
      <c r="A78" t="s">
        <v>78</v>
      </c>
      <c r="B78" s="3">
        <v>4106.8822</v>
      </c>
    </row>
    <row r="79" spans="1:2" x14ac:dyDescent="0.25">
      <c r="A79" t="s">
        <v>79</v>
      </c>
      <c r="B79" s="3">
        <v>14988.076799999999</v>
      </c>
    </row>
    <row r="80" spans="1:2" x14ac:dyDescent="0.25">
      <c r="A80" t="s">
        <v>80</v>
      </c>
      <c r="B80" s="3">
        <v>780735.16109999968</v>
      </c>
    </row>
    <row r="81" spans="1:2" x14ac:dyDescent="0.25">
      <c r="A81" t="s">
        <v>81</v>
      </c>
      <c r="B81" s="3">
        <v>3568.8451</v>
      </c>
    </row>
    <row r="82" spans="1:2" x14ac:dyDescent="0.25">
      <c r="A82" t="s">
        <v>82</v>
      </c>
      <c r="B82" s="3">
        <v>21495.5674</v>
      </c>
    </row>
    <row r="83" spans="1:2" x14ac:dyDescent="0.25">
      <c r="A83" t="s">
        <v>83</v>
      </c>
      <c r="B83" s="3">
        <v>7490.8670000000002</v>
      </c>
    </row>
    <row r="84" spans="1:2" x14ac:dyDescent="0.25">
      <c r="A84" t="s">
        <v>84</v>
      </c>
      <c r="B84" s="3">
        <v>2784.3073999999997</v>
      </c>
    </row>
    <row r="85" spans="1:2" x14ac:dyDescent="0.25">
      <c r="A85" t="s">
        <v>85</v>
      </c>
      <c r="B85" s="3">
        <v>17453.224199999997</v>
      </c>
    </row>
    <row r="86" spans="1:2" x14ac:dyDescent="0.25">
      <c r="A86" t="s">
        <v>86</v>
      </c>
      <c r="B86" s="3">
        <v>21832.7559</v>
      </c>
    </row>
    <row r="87" spans="1:2" x14ac:dyDescent="0.25">
      <c r="A87" t="s">
        <v>87</v>
      </c>
      <c r="B87" s="3">
        <v>1609.8996</v>
      </c>
    </row>
    <row r="88" spans="1:2" x14ac:dyDescent="0.25">
      <c r="A88" t="s">
        <v>88</v>
      </c>
      <c r="B88" s="3">
        <v>10047.6618</v>
      </c>
    </row>
    <row r="89" spans="1:2" x14ac:dyDescent="0.25">
      <c r="A89" t="s">
        <v>89</v>
      </c>
      <c r="B89" s="3">
        <v>15852.404499999999</v>
      </c>
    </row>
    <row r="90" spans="1:2" x14ac:dyDescent="0.25">
      <c r="A90" t="s">
        <v>90</v>
      </c>
      <c r="B90" s="3">
        <v>11053.945</v>
      </c>
    </row>
    <row r="91" spans="1:2" x14ac:dyDescent="0.25">
      <c r="A91" t="s">
        <v>91</v>
      </c>
      <c r="B91" s="3">
        <v>-193800.84699935766</v>
      </c>
    </row>
    <row r="92" spans="1:2" x14ac:dyDescent="0.25">
      <c r="A92" t="s">
        <v>92</v>
      </c>
      <c r="B92" s="3">
        <v>205674.13759999999</v>
      </c>
    </row>
    <row r="93" spans="1:2" x14ac:dyDescent="0.25">
      <c r="A93" t="s">
        <v>93</v>
      </c>
      <c r="B93" s="3">
        <v>17799.4522</v>
      </c>
    </row>
    <row r="94" spans="1:2" x14ac:dyDescent="0.25">
      <c r="A94" t="s">
        <v>94</v>
      </c>
      <c r="B94" s="3">
        <v>1814.04</v>
      </c>
    </row>
    <row r="95" spans="1:2" x14ac:dyDescent="0.25">
      <c r="A95" t="s">
        <v>95</v>
      </c>
      <c r="B95" s="3">
        <v>6712.1872999999996</v>
      </c>
    </row>
    <row r="96" spans="1:2" x14ac:dyDescent="0.25">
      <c r="A96" t="s">
        <v>96</v>
      </c>
      <c r="B96" s="3">
        <v>17084.150000000001</v>
      </c>
    </row>
    <row r="97" spans="2:2" x14ac:dyDescent="0.25">
      <c r="B97" s="3">
        <f>SUM(B2:B96)</f>
        <v>3959574.9994454854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A0CB-6A77-4FD1-8838-7911EFE4CEC9}">
  <dimension ref="A1:H97"/>
  <sheetViews>
    <sheetView tabSelected="1" topLeftCell="A95" workbookViewId="0">
      <selection activeCell="E104" sqref="E104"/>
    </sheetView>
  </sheetViews>
  <sheetFormatPr defaultRowHeight="15" x14ac:dyDescent="0.25"/>
  <cols>
    <col min="1" max="1" width="38.7109375" bestFit="1" customWidth="1"/>
    <col min="2" max="2" width="14" bestFit="1" customWidth="1"/>
    <col min="3" max="4" width="13.28515625" bestFit="1" customWidth="1"/>
    <col min="5" max="5" width="13.7109375" bestFit="1" customWidth="1"/>
    <col min="6" max="6" width="99" customWidth="1"/>
    <col min="7" max="7" width="89.85546875" customWidth="1"/>
    <col min="8" max="8" width="80.5703125" customWidth="1"/>
  </cols>
  <sheetData>
    <row r="1" spans="1:8" x14ac:dyDescent="0.25">
      <c r="A1" s="5" t="s">
        <v>222</v>
      </c>
      <c r="B1" t="s">
        <v>223</v>
      </c>
      <c r="D1" s="6" t="s">
        <v>224</v>
      </c>
      <c r="E1" s="7" t="s">
        <v>225</v>
      </c>
    </row>
    <row r="2" spans="1:8" ht="90.75" customHeight="1" x14ac:dyDescent="0.25">
      <c r="A2" t="s">
        <v>2</v>
      </c>
      <c r="B2" s="8" t="str">
        <f>VLOOKUP(A2,policy!B:C,2,0)</f>
        <v>050000623386</v>
      </c>
      <c r="C2" s="3">
        <v>-4179953.8719434789</v>
      </c>
      <c r="D2" s="9">
        <f>ROUND(C2,0)</f>
        <v>-4179954</v>
      </c>
      <c r="E2" s="7" t="s">
        <v>225</v>
      </c>
      <c r="F2" s="10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1" t="str">
        <f>"('"&amp;E2&amp;"','"&amp;B2&amp;"','"&amp;D2&amp;"',(select max(to_number(i.premium_rcv_detail_code))+1
from ins_premium_det i),'"&amp;D2&amp;"','"&amp;D2&amp;"','02', '11000003','00','Request by Mr. Omair Ali 07-Jan-2024');"</f>
        <v>('06Jan250110','050000623386','-4179954',(select max(to_number(i.premium_rcv_detail_code))+1
from ins_premium_det i),'-4179954','-4179954','02', '11000003','00','Request by Mr. Omair Ali 07-Jan-2024');</v>
      </c>
      <c r="H2" s="12" t="str">
        <f>F2&amp;G2</f>
        <v>insert into ins_premium_det (premium_rcv_code,assorted_code, rec_amount,premium_rcv_detail_code,remaining_amt, payrec, mode_code,coinsurance_code,class_cd,it_remarks) values('06Jan250110','050000623386','-4179954',(select max(to_number(i.premium_rcv_detail_code))+1
from ins_premium_det i),'-4179954','-4179954','02', '11000003','00','Request by Mr. Omair Ali 07-Jan-2024');</v>
      </c>
    </row>
    <row r="3" spans="1:8" ht="105" x14ac:dyDescent="0.25">
      <c r="A3" t="s">
        <v>3</v>
      </c>
      <c r="B3" s="8" t="str">
        <f>VLOOKUP(A3,policy!B:C,2,0)</f>
        <v>050000623485</v>
      </c>
      <c r="C3" s="3">
        <v>5764607.0776000051</v>
      </c>
      <c r="D3" s="9">
        <f t="shared" ref="D3:D66" si="1">ROUND(C3,0)</f>
        <v>5764607</v>
      </c>
      <c r="E3" s="7" t="s">
        <v>225</v>
      </c>
      <c r="F3" s="10" t="str">
        <f t="shared" si="0"/>
        <v>insert into ins_premium_det (premium_rcv_code,assorted_code, rec_amount,premium_rcv_detail_code,remaining_amt, payrec, mode_code,coinsurance_code,class_cd,it_remarks) values</v>
      </c>
      <c r="G3" s="11" t="str">
        <f t="shared" ref="G3:G66" si="2">"('"&amp;E3&amp;"','"&amp;B3&amp;"','"&amp;D3&amp;"',(select max(to_number(i.premium_rcv_detail_code))+1
from ins_premium_det i),'"&amp;D3&amp;"','"&amp;D3&amp;"','02', '11000003','00','Request by Mr. Omair Ali 07-Jan-2024');"</f>
        <v>('06Jan250110','050000623485','5764607',(select max(to_number(i.premium_rcv_detail_code))+1
from ins_premium_det i),'5764607','5764607','02', '11000003','00','Request by Mr. Omair Ali 07-Jan-2024');</v>
      </c>
      <c r="H3" s="12" t="str">
        <f t="shared" ref="H3:H66" si="3">F3&amp;G3</f>
        <v>insert into ins_premium_det (premium_rcv_code,assorted_code, rec_amount,premium_rcv_detail_code,remaining_amt, payrec, mode_code,coinsurance_code,class_cd,it_remarks) values('06Jan250110','050000623485','5764607',(select max(to_number(i.premium_rcv_detail_code))+1
from ins_premium_det i),'5764607','5764607','02', '11000003','00','Request by Mr. Omair Ali 07-Jan-2024');</v>
      </c>
    </row>
    <row r="4" spans="1:8" ht="105" x14ac:dyDescent="0.25">
      <c r="A4" t="s">
        <v>4</v>
      </c>
      <c r="B4" s="8" t="str">
        <f>VLOOKUP(A4,policy!B:C,2,0)</f>
        <v>050000623498</v>
      </c>
      <c r="C4" s="3">
        <v>486402.28328839754</v>
      </c>
      <c r="D4" s="9">
        <f t="shared" si="1"/>
        <v>486402</v>
      </c>
      <c r="E4" s="7" t="s">
        <v>225</v>
      </c>
      <c r="F4" s="10" t="str">
        <f t="shared" si="0"/>
        <v>insert into ins_premium_det (premium_rcv_code,assorted_code, rec_amount,premium_rcv_detail_code,remaining_amt, payrec, mode_code,coinsurance_code,class_cd,it_remarks) values</v>
      </c>
      <c r="G4" s="11" t="str">
        <f t="shared" si="2"/>
        <v>('06Jan250110','050000623498','486402',(select max(to_number(i.premium_rcv_detail_code))+1
from ins_premium_det i),'486402','486402','02', '11000003','00','Request by Mr. Omair Ali 07-Jan-2024');</v>
      </c>
      <c r="H4" s="12" t="str">
        <f t="shared" si="3"/>
        <v>insert into ins_premium_det (premium_rcv_code,assorted_code, rec_amount,premium_rcv_detail_code,remaining_amt, payrec, mode_code,coinsurance_code,class_cd,it_remarks) values('06Jan250110','050000623498','486402',(select max(to_number(i.premium_rcv_detail_code))+1
from ins_premium_det i),'486402','486402','02', '11000003','00','Request by Mr. Omair Ali 07-Jan-2024');</v>
      </c>
    </row>
    <row r="5" spans="1:8" ht="105" x14ac:dyDescent="0.25">
      <c r="A5" t="s">
        <v>5</v>
      </c>
      <c r="B5" s="8" t="str">
        <f>VLOOKUP(A5,policy!B:C,2,0)</f>
        <v>050000626222</v>
      </c>
      <c r="C5" s="3">
        <v>243041.77419999999</v>
      </c>
      <c r="D5" s="9">
        <f t="shared" si="1"/>
        <v>243042</v>
      </c>
      <c r="E5" s="7" t="s">
        <v>225</v>
      </c>
      <c r="F5" s="10" t="str">
        <f t="shared" si="0"/>
        <v>insert into ins_premium_det (premium_rcv_code,assorted_code, rec_amount,premium_rcv_detail_code,remaining_amt, payrec, mode_code,coinsurance_code,class_cd,it_remarks) values</v>
      </c>
      <c r="G5" s="11" t="str">
        <f t="shared" si="2"/>
        <v>('06Jan250110','050000626222','243042',(select max(to_number(i.premium_rcv_detail_code))+1
from ins_premium_det i),'243042','243042','02', '11000003','00','Request by Mr. Omair Ali 07-Jan-2024');</v>
      </c>
      <c r="H5" s="12" t="str">
        <f t="shared" si="3"/>
        <v>insert into ins_premium_det (premium_rcv_code,assorted_code, rec_amount,premium_rcv_detail_code,remaining_amt, payrec, mode_code,coinsurance_code,class_cd,it_remarks) values('06Jan250110','050000626222','243042',(select max(to_number(i.premium_rcv_detail_code))+1
from ins_premium_det i),'243042','243042','02', '11000003','00','Request by Mr. Omair Ali 07-Jan-2024');</v>
      </c>
    </row>
    <row r="6" spans="1:8" ht="105" x14ac:dyDescent="0.25">
      <c r="A6" t="s">
        <v>6</v>
      </c>
      <c r="B6" s="8" t="str">
        <f>VLOOKUP(A6,policy!B:C,2,0)</f>
        <v>050000627529</v>
      </c>
      <c r="C6" s="3">
        <v>18221.622100000001</v>
      </c>
      <c r="D6" s="9">
        <f t="shared" si="1"/>
        <v>18222</v>
      </c>
      <c r="E6" s="7" t="s">
        <v>225</v>
      </c>
      <c r="F6" s="10" t="str">
        <f t="shared" si="0"/>
        <v>insert into ins_premium_det (premium_rcv_code,assorted_code, rec_amount,premium_rcv_detail_code,remaining_amt, payrec, mode_code,coinsurance_code,class_cd,it_remarks) values</v>
      </c>
      <c r="G6" s="11" t="str">
        <f t="shared" si="2"/>
        <v>('06Jan250110','050000627529','18222',(select max(to_number(i.premium_rcv_detail_code))+1
from ins_premium_det i),'18222','18222','02', '11000003','00','Request by Mr. Omair Ali 07-Jan-2024');</v>
      </c>
      <c r="H6" s="12" t="str">
        <f t="shared" si="3"/>
        <v>insert into ins_premium_det (premium_rcv_code,assorted_code, rec_amount,premium_rcv_detail_code,remaining_amt, payrec, mode_code,coinsurance_code,class_cd,it_remarks) values('06Jan250110','050000627529','18222',(select max(to_number(i.premium_rcv_detail_code))+1
from ins_premium_det i),'18222','18222','02', '11000003','00','Request by Mr. Omair Ali 07-Jan-2024');</v>
      </c>
    </row>
    <row r="7" spans="1:8" ht="105" x14ac:dyDescent="0.25">
      <c r="A7" t="s">
        <v>7</v>
      </c>
      <c r="B7" s="8" t="str">
        <f>VLOOKUP(A7,policy!B:C,2,0)</f>
        <v>050000627675</v>
      </c>
      <c r="C7" s="3">
        <v>11860.026</v>
      </c>
      <c r="D7" s="9">
        <f t="shared" si="1"/>
        <v>11860</v>
      </c>
      <c r="E7" s="7" t="s">
        <v>225</v>
      </c>
      <c r="F7" s="10" t="str">
        <f t="shared" si="0"/>
        <v>insert into ins_premium_det (premium_rcv_code,assorted_code, rec_amount,premium_rcv_detail_code,remaining_amt, payrec, mode_code,coinsurance_code,class_cd,it_remarks) values</v>
      </c>
      <c r="G7" s="11" t="str">
        <f t="shared" si="2"/>
        <v>('06Jan250110','050000627675','11860',(select max(to_number(i.premium_rcv_detail_code))+1
from ins_premium_det i),'11860','11860','02', '11000003','00','Request by Mr. Omair Ali 07-Jan-2024');</v>
      </c>
      <c r="H7" s="12" t="str">
        <f t="shared" si="3"/>
        <v>insert into ins_premium_det (premium_rcv_code,assorted_code, rec_amount,premium_rcv_detail_code,remaining_amt, payrec, mode_code,coinsurance_code,class_cd,it_remarks) values('06Jan250110','050000627675','11860',(select max(to_number(i.premium_rcv_detail_code))+1
from ins_premium_det i),'11860','11860','02', '11000003','00','Request by Mr. Omair Ali 07-Jan-2024');</v>
      </c>
    </row>
    <row r="8" spans="1:8" ht="105" x14ac:dyDescent="0.25">
      <c r="A8" t="s">
        <v>8</v>
      </c>
      <c r="B8" s="8" t="str">
        <f>VLOOKUP(A8,policy!B:C,2,0)</f>
        <v>050000629523</v>
      </c>
      <c r="C8" s="3">
        <v>88082</v>
      </c>
      <c r="D8" s="9">
        <f t="shared" si="1"/>
        <v>88082</v>
      </c>
      <c r="E8" s="7" t="s">
        <v>225</v>
      </c>
      <c r="F8" s="10" t="str">
        <f t="shared" si="0"/>
        <v>insert into ins_premium_det (premium_rcv_code,assorted_code, rec_amount,premium_rcv_detail_code,remaining_amt, payrec, mode_code,coinsurance_code,class_cd,it_remarks) values</v>
      </c>
      <c r="G8" s="11" t="str">
        <f t="shared" si="2"/>
        <v>('06Jan250110','050000629523','88082',(select max(to_number(i.premium_rcv_detail_code))+1
from ins_premium_det i),'88082','88082','02', '11000003','00','Request by Mr. Omair Ali 07-Jan-2024');</v>
      </c>
      <c r="H8" s="12" t="str">
        <f t="shared" si="3"/>
        <v>insert into ins_premium_det (premium_rcv_code,assorted_code, rec_amount,premium_rcv_detail_code,remaining_amt, payrec, mode_code,coinsurance_code,class_cd,it_remarks) values('06Jan250110','050000629523','88082',(select max(to_number(i.premium_rcv_detail_code))+1
from ins_premium_det i),'88082','88082','02', '11000003','00','Request by Mr. Omair Ali 07-Jan-2024');</v>
      </c>
    </row>
    <row r="9" spans="1:8" ht="105" x14ac:dyDescent="0.25">
      <c r="A9" t="s">
        <v>9</v>
      </c>
      <c r="B9" s="8" t="str">
        <f>VLOOKUP(A9,policy!B:C,2,0)</f>
        <v>050000632772</v>
      </c>
      <c r="C9" s="3">
        <v>1372191.3025</v>
      </c>
      <c r="D9" s="9">
        <f t="shared" si="1"/>
        <v>1372191</v>
      </c>
      <c r="E9" s="7" t="s">
        <v>225</v>
      </c>
      <c r="F9" s="10" t="str">
        <f t="shared" si="0"/>
        <v>insert into ins_premium_det (premium_rcv_code,assorted_code, rec_amount,premium_rcv_detail_code,remaining_amt, payrec, mode_code,coinsurance_code,class_cd,it_remarks) values</v>
      </c>
      <c r="G9" s="11" t="str">
        <f t="shared" si="2"/>
        <v>('06Jan250110','050000632772','1372191',(select max(to_number(i.premium_rcv_detail_code))+1
from ins_premium_det i),'1372191','1372191','02', '11000003','00','Request by Mr. Omair Ali 07-Jan-2024');</v>
      </c>
      <c r="H9" s="12" t="str">
        <f t="shared" si="3"/>
        <v>insert into ins_premium_det (premium_rcv_code,assorted_code, rec_amount,premium_rcv_detail_code,remaining_amt, payrec, mode_code,coinsurance_code,class_cd,it_remarks) values('06Jan250110','050000632772','1372191',(select max(to_number(i.premium_rcv_detail_code))+1
from ins_premium_det i),'1372191','1372191','02', '11000003','00','Request by Mr. Omair Ali 07-Jan-2024');</v>
      </c>
    </row>
    <row r="10" spans="1:8" ht="105" x14ac:dyDescent="0.25">
      <c r="A10" t="s">
        <v>10</v>
      </c>
      <c r="B10" s="8" t="str">
        <f>VLOOKUP(A10,policy!B:C,2,0)</f>
        <v>050000633292</v>
      </c>
      <c r="C10" s="3">
        <v>37295</v>
      </c>
      <c r="D10" s="9">
        <f t="shared" si="1"/>
        <v>37295</v>
      </c>
      <c r="E10" s="7" t="s">
        <v>225</v>
      </c>
      <c r="F10" s="10" t="str">
        <f t="shared" si="0"/>
        <v>insert into ins_premium_det (premium_rcv_code,assorted_code, rec_amount,premium_rcv_detail_code,remaining_amt, payrec, mode_code,coinsurance_code,class_cd,it_remarks) values</v>
      </c>
      <c r="G10" s="11" t="str">
        <f t="shared" si="2"/>
        <v>('06Jan250110','050000633292','37295',(select max(to_number(i.premium_rcv_detail_code))+1
from ins_premium_det i),'37295','37295','02', '11000003','00','Request by Mr. Omair Ali 07-Jan-2024');</v>
      </c>
      <c r="H10" s="12" t="str">
        <f t="shared" si="3"/>
        <v>insert into ins_premium_det (premium_rcv_code,assorted_code, rec_amount,premium_rcv_detail_code,remaining_amt, payrec, mode_code,coinsurance_code,class_cd,it_remarks) values('06Jan250110','050000633292','37295',(select max(to_number(i.premium_rcv_detail_code))+1
from ins_premium_det i),'37295','37295','02', '11000003','00','Request by Mr. Omair Ali 07-Jan-2024');</v>
      </c>
    </row>
    <row r="11" spans="1:8" ht="105" x14ac:dyDescent="0.25">
      <c r="A11" t="s">
        <v>11</v>
      </c>
      <c r="B11" s="8" t="str">
        <f>VLOOKUP(A11,policy!B:C,2,0)</f>
        <v>050000635626</v>
      </c>
      <c r="C11" s="3">
        <v>30575.618899999998</v>
      </c>
      <c r="D11" s="9">
        <f t="shared" si="1"/>
        <v>30576</v>
      </c>
      <c r="E11" s="7" t="s">
        <v>225</v>
      </c>
      <c r="F11" s="10" t="str">
        <f t="shared" si="0"/>
        <v>insert into ins_premium_det (premium_rcv_code,assorted_code, rec_amount,premium_rcv_detail_code,remaining_amt, payrec, mode_code,coinsurance_code,class_cd,it_remarks) values</v>
      </c>
      <c r="G11" s="11" t="str">
        <f t="shared" si="2"/>
        <v>('06Jan250110','050000635626','30576',(select max(to_number(i.premium_rcv_detail_code))+1
from ins_premium_det i),'30576','30576','02', '11000003','00','Request by Mr. Omair Ali 07-Jan-2024');</v>
      </c>
      <c r="H11" s="12" t="str">
        <f t="shared" si="3"/>
        <v>insert into ins_premium_det (premium_rcv_code,assorted_code, rec_amount,premium_rcv_detail_code,remaining_amt, payrec, mode_code,coinsurance_code,class_cd,it_remarks) values('06Jan250110','050000635626','30576',(select max(to_number(i.premium_rcv_detail_code))+1
from ins_premium_det i),'30576','30576','02', '11000003','00','Request by Mr. Omair Ali 07-Jan-2024');</v>
      </c>
    </row>
    <row r="12" spans="1:8" ht="105" x14ac:dyDescent="0.25">
      <c r="A12" t="s">
        <v>12</v>
      </c>
      <c r="B12" s="8" t="str">
        <f>VLOOKUP(A12,policy!B:C,2,0)</f>
        <v>050000636715</v>
      </c>
      <c r="C12" s="3">
        <v>-23534.842013299138</v>
      </c>
      <c r="D12" s="9">
        <f t="shared" si="1"/>
        <v>-23535</v>
      </c>
      <c r="E12" s="7" t="s">
        <v>225</v>
      </c>
      <c r="F12" s="10" t="str">
        <f t="shared" si="0"/>
        <v>insert into ins_premium_det (premium_rcv_code,assorted_code, rec_amount,premium_rcv_detail_code,remaining_amt, payrec, mode_code,coinsurance_code,class_cd,it_remarks) values</v>
      </c>
      <c r="G12" s="11" t="str">
        <f t="shared" si="2"/>
        <v>('06Jan250110','050000636715','-23535',(select max(to_number(i.premium_rcv_detail_code))+1
from ins_premium_det i),'-23535','-23535','02', '11000003','00','Request by Mr. Omair Ali 07-Jan-2024');</v>
      </c>
      <c r="H12" s="12" t="str">
        <f t="shared" si="3"/>
        <v>insert into ins_premium_det (premium_rcv_code,assorted_code, rec_amount,premium_rcv_detail_code,remaining_amt, payrec, mode_code,coinsurance_code,class_cd,it_remarks) values('06Jan250110','050000636715','-23535',(select max(to_number(i.premium_rcv_detail_code))+1
from ins_premium_det i),'-23535','-23535','02', '11000003','00','Request by Mr. Omair Ali 07-Jan-2024');</v>
      </c>
    </row>
    <row r="13" spans="1:8" ht="105" x14ac:dyDescent="0.25">
      <c r="A13" t="s">
        <v>13</v>
      </c>
      <c r="B13" s="8" t="str">
        <f>VLOOKUP(A13,policy!B:C,2,0)</f>
        <v>050000638891</v>
      </c>
      <c r="C13" s="3">
        <v>29012.088399999997</v>
      </c>
      <c r="D13" s="9">
        <f t="shared" si="1"/>
        <v>29012</v>
      </c>
      <c r="E13" s="7" t="s">
        <v>225</v>
      </c>
      <c r="F13" s="10" t="str">
        <f t="shared" si="0"/>
        <v>insert into ins_premium_det (premium_rcv_code,assorted_code, rec_amount,premium_rcv_detail_code,remaining_amt, payrec, mode_code,coinsurance_code,class_cd,it_remarks) values</v>
      </c>
      <c r="G13" s="11" t="str">
        <f t="shared" si="2"/>
        <v>('06Jan250110','050000638891','29012',(select max(to_number(i.premium_rcv_detail_code))+1
from ins_premium_det i),'29012','29012','02', '11000003','00','Request by Mr. Omair Ali 07-Jan-2024');</v>
      </c>
      <c r="H13" s="12" t="str">
        <f t="shared" si="3"/>
        <v>insert into ins_premium_det (premium_rcv_code,assorted_code, rec_amount,premium_rcv_detail_code,remaining_amt, payrec, mode_code,coinsurance_code,class_cd,it_remarks) values('06Jan250110','050000638891','29012',(select max(to_number(i.premium_rcv_detail_code))+1
from ins_premium_det i),'29012','29012','02', '11000003','00','Request by Mr. Omair Ali 07-Jan-2024');</v>
      </c>
    </row>
    <row r="14" spans="1:8" ht="105" x14ac:dyDescent="0.25">
      <c r="A14" t="s">
        <v>14</v>
      </c>
      <c r="B14" s="8" t="str">
        <f>VLOOKUP(A14,policy!B:C,2,0)</f>
        <v>050000639429</v>
      </c>
      <c r="C14" s="3">
        <v>-2221387.8246796541</v>
      </c>
      <c r="D14" s="9">
        <f t="shared" si="1"/>
        <v>-2221388</v>
      </c>
      <c r="E14" s="7" t="s">
        <v>225</v>
      </c>
      <c r="F14" s="10" t="str">
        <f t="shared" si="0"/>
        <v>insert into ins_premium_det (premium_rcv_code,assorted_code, rec_amount,premium_rcv_detail_code,remaining_amt, payrec, mode_code,coinsurance_code,class_cd,it_remarks) values</v>
      </c>
      <c r="G14" s="11" t="str">
        <f t="shared" si="2"/>
        <v>('06Jan250110','050000639429','-2221388',(select max(to_number(i.premium_rcv_detail_code))+1
from ins_premium_det i),'-2221388','-2221388','02', '11000003','00','Request by Mr. Omair Ali 07-Jan-2024');</v>
      </c>
      <c r="H14" s="12" t="str">
        <f t="shared" si="3"/>
        <v>insert into ins_premium_det (premium_rcv_code,assorted_code, rec_amount,premium_rcv_detail_code,remaining_amt, payrec, mode_code,coinsurance_code,class_cd,it_remarks) values('06Jan250110','050000639429','-2221388',(select max(to_number(i.premium_rcv_detail_code))+1
from ins_premium_det i),'-2221388','-2221388','02', '11000003','00','Request by Mr. Omair Ali 07-Jan-2024');</v>
      </c>
    </row>
    <row r="15" spans="1:8" ht="105" x14ac:dyDescent="0.25">
      <c r="A15" t="s">
        <v>15</v>
      </c>
      <c r="B15" s="8" t="str">
        <f>VLOOKUP(A15,policy!B:C,2,0)</f>
        <v>050000641234</v>
      </c>
      <c r="C15" s="3">
        <v>928704.78689999972</v>
      </c>
      <c r="D15" s="9">
        <f t="shared" si="1"/>
        <v>928705</v>
      </c>
      <c r="E15" s="7" t="s">
        <v>225</v>
      </c>
      <c r="F15" s="10" t="str">
        <f t="shared" si="0"/>
        <v>insert into ins_premium_det (premium_rcv_code,assorted_code, rec_amount,premium_rcv_detail_code,remaining_amt, payrec, mode_code,coinsurance_code,class_cd,it_remarks) values</v>
      </c>
      <c r="G15" s="11" t="str">
        <f t="shared" si="2"/>
        <v>('06Jan250110','050000641234','928705',(select max(to_number(i.premium_rcv_detail_code))+1
from ins_premium_det i),'928705','928705','02', '11000003','00','Request by Mr. Omair Ali 07-Jan-2024');</v>
      </c>
      <c r="H15" s="12" t="str">
        <f t="shared" si="3"/>
        <v>insert into ins_premium_det (premium_rcv_code,assorted_code, rec_amount,premium_rcv_detail_code,remaining_amt, payrec, mode_code,coinsurance_code,class_cd,it_remarks) values('06Jan250110','050000641234','928705',(select max(to_number(i.premium_rcv_detail_code))+1
from ins_premium_det i),'928705','928705','02', '11000003','00','Request by Mr. Omair Ali 07-Jan-2024');</v>
      </c>
    </row>
    <row r="16" spans="1:8" ht="105" x14ac:dyDescent="0.25">
      <c r="A16" t="s">
        <v>16</v>
      </c>
      <c r="B16" s="8" t="str">
        <f>VLOOKUP(A16,policy!B:C,2,0)</f>
        <v>050000642652</v>
      </c>
      <c r="C16" s="3">
        <v>142132.351</v>
      </c>
      <c r="D16" s="9">
        <f t="shared" si="1"/>
        <v>142132</v>
      </c>
      <c r="E16" s="7" t="s">
        <v>225</v>
      </c>
      <c r="F16" s="10" t="str">
        <f t="shared" si="0"/>
        <v>insert into ins_premium_det (premium_rcv_code,assorted_code, rec_amount,premium_rcv_detail_code,remaining_amt, payrec, mode_code,coinsurance_code,class_cd,it_remarks) values</v>
      </c>
      <c r="G16" s="11" t="str">
        <f t="shared" si="2"/>
        <v>('06Jan250110','050000642652','142132',(select max(to_number(i.premium_rcv_detail_code))+1
from ins_premium_det i),'142132','142132','02', '11000003','00','Request by Mr. Omair Ali 07-Jan-2024');</v>
      </c>
      <c r="H16" s="12" t="str">
        <f t="shared" si="3"/>
        <v>insert into ins_premium_det (premium_rcv_code,assorted_code, rec_amount,premium_rcv_detail_code,remaining_amt, payrec, mode_code,coinsurance_code,class_cd,it_remarks) values('06Jan250110','050000642652','142132',(select max(to_number(i.premium_rcv_detail_code))+1
from ins_premium_det i),'142132','142132','02', '11000003','00','Request by Mr. Omair Ali 07-Jan-2024');</v>
      </c>
    </row>
    <row r="17" spans="1:8" ht="105" x14ac:dyDescent="0.25">
      <c r="A17" t="s">
        <v>17</v>
      </c>
      <c r="B17" s="8" t="str">
        <f>VLOOKUP(A17,policy!B:C,2,0)</f>
        <v>050000646251</v>
      </c>
      <c r="C17" s="3">
        <v>56816.954099999995</v>
      </c>
      <c r="D17" s="9">
        <f t="shared" si="1"/>
        <v>56817</v>
      </c>
      <c r="E17" s="7" t="s">
        <v>225</v>
      </c>
      <c r="F17" s="10" t="str">
        <f t="shared" si="0"/>
        <v>insert into ins_premium_det (premium_rcv_code,assorted_code, rec_amount,premium_rcv_detail_code,remaining_amt, payrec, mode_code,coinsurance_code,class_cd,it_remarks) values</v>
      </c>
      <c r="G17" s="11" t="str">
        <f t="shared" si="2"/>
        <v>('06Jan250110','050000646251','56817',(select max(to_number(i.premium_rcv_detail_code))+1
from ins_premium_det i),'56817','56817','02', '11000003','00','Request by Mr. Omair Ali 07-Jan-2024');</v>
      </c>
      <c r="H17" s="12" t="str">
        <f t="shared" si="3"/>
        <v>insert into ins_premium_det (premium_rcv_code,assorted_code, rec_amount,premium_rcv_detail_code,remaining_amt, payrec, mode_code,coinsurance_code,class_cd,it_remarks) values('06Jan250110','050000646251','56817',(select max(to_number(i.premium_rcv_detail_code))+1
from ins_premium_det i),'56817','56817','02', '11000003','00','Request by Mr. Omair Ali 07-Jan-2024');</v>
      </c>
    </row>
    <row r="18" spans="1:8" ht="105" x14ac:dyDescent="0.25">
      <c r="A18" t="s">
        <v>18</v>
      </c>
      <c r="B18" s="8" t="str">
        <f>VLOOKUP(A18,policy!B:C,2,0)</f>
        <v>050000647777</v>
      </c>
      <c r="C18" s="3">
        <v>18420.036599999999</v>
      </c>
      <c r="D18" s="9">
        <f t="shared" si="1"/>
        <v>18420</v>
      </c>
      <c r="E18" s="7" t="s">
        <v>225</v>
      </c>
      <c r="F18" s="10" t="str">
        <f t="shared" si="0"/>
        <v>insert into ins_premium_det (premium_rcv_code,assorted_code, rec_amount,premium_rcv_detail_code,remaining_amt, payrec, mode_code,coinsurance_code,class_cd,it_remarks) values</v>
      </c>
      <c r="G18" s="11" t="str">
        <f t="shared" si="2"/>
        <v>('06Jan250110','050000647777','18420',(select max(to_number(i.premium_rcv_detail_code))+1
from ins_premium_det i),'18420','18420','02', '11000003','00','Request by Mr. Omair Ali 07-Jan-2024');</v>
      </c>
      <c r="H18" s="12" t="str">
        <f t="shared" si="3"/>
        <v>insert into ins_premium_det (premium_rcv_code,assorted_code, rec_amount,premium_rcv_detail_code,remaining_amt, payrec, mode_code,coinsurance_code,class_cd,it_remarks) values('06Jan250110','050000647777','18420',(select max(to_number(i.premium_rcv_detail_code))+1
from ins_premium_det i),'18420','18420','02', '11000003','00','Request by Mr. Omair Ali 07-Jan-2024');</v>
      </c>
    </row>
    <row r="19" spans="1:8" ht="105" x14ac:dyDescent="0.25">
      <c r="A19" t="s">
        <v>19</v>
      </c>
      <c r="B19" s="8" t="str">
        <f>VLOOKUP(A19,policy!B:C,2,0)</f>
        <v>050000647927</v>
      </c>
      <c r="C19" s="3">
        <v>18256.002500000002</v>
      </c>
      <c r="D19" s="9">
        <f t="shared" si="1"/>
        <v>18256</v>
      </c>
      <c r="E19" s="7" t="s">
        <v>225</v>
      </c>
      <c r="F19" s="10" t="str">
        <f t="shared" si="0"/>
        <v>insert into ins_premium_det (premium_rcv_code,assorted_code, rec_amount,premium_rcv_detail_code,remaining_amt, payrec, mode_code,coinsurance_code,class_cd,it_remarks) values</v>
      </c>
      <c r="G19" s="11" t="str">
        <f t="shared" si="2"/>
        <v>('06Jan250110','050000647927','18256',(select max(to_number(i.premium_rcv_detail_code))+1
from ins_premium_det i),'18256','18256','02', '11000003','00','Request by Mr. Omair Ali 07-Jan-2024');</v>
      </c>
      <c r="H19" s="12" t="str">
        <f t="shared" si="3"/>
        <v>insert into ins_premium_det (premium_rcv_code,assorted_code, rec_amount,premium_rcv_detail_code,remaining_amt, payrec, mode_code,coinsurance_code,class_cd,it_remarks) values('06Jan250110','050000647927','18256',(select max(to_number(i.premium_rcv_detail_code))+1
from ins_premium_det i),'18256','18256','02', '11000003','00','Request by Mr. Omair Ali 07-Jan-2024');</v>
      </c>
    </row>
    <row r="20" spans="1:8" ht="105" x14ac:dyDescent="0.25">
      <c r="A20" t="s">
        <v>20</v>
      </c>
      <c r="B20" s="8" t="str">
        <f>VLOOKUP(A20,policy!B:C,2,0)</f>
        <v>050000648927</v>
      </c>
      <c r="C20" s="3">
        <v>6016.57</v>
      </c>
      <c r="D20" s="9">
        <f t="shared" si="1"/>
        <v>6017</v>
      </c>
      <c r="E20" s="7" t="s">
        <v>225</v>
      </c>
      <c r="F20" s="10" t="str">
        <f t="shared" si="0"/>
        <v>insert into ins_premium_det (premium_rcv_code,assorted_code, rec_amount,premium_rcv_detail_code,remaining_amt, payrec, mode_code,coinsurance_code,class_cd,it_remarks) values</v>
      </c>
      <c r="G20" s="11" t="str">
        <f t="shared" si="2"/>
        <v>('06Jan250110','050000648927','6017',(select max(to_number(i.premium_rcv_detail_code))+1
from ins_premium_det i),'6017','6017','02', '11000003','00','Request by Mr. Omair Ali 07-Jan-2024');</v>
      </c>
      <c r="H20" s="12" t="str">
        <f t="shared" si="3"/>
        <v>insert into ins_premium_det (premium_rcv_code,assorted_code, rec_amount,premium_rcv_detail_code,remaining_amt, payrec, mode_code,coinsurance_code,class_cd,it_remarks) values('06Jan250110','050000648927','6017',(select max(to_number(i.premium_rcv_detail_code))+1
from ins_premium_det i),'6017','6017','02', '11000003','00','Request by Mr. Omair Ali 07-Jan-2024');</v>
      </c>
    </row>
    <row r="21" spans="1:8" ht="105" x14ac:dyDescent="0.25">
      <c r="A21" t="s">
        <v>21</v>
      </c>
      <c r="B21" s="8" t="str">
        <f>VLOOKUP(A21,policy!B:C,2,0)</f>
        <v>050000649615</v>
      </c>
      <c r="C21" s="3">
        <v>31795.1535</v>
      </c>
      <c r="D21" s="9">
        <f t="shared" si="1"/>
        <v>31795</v>
      </c>
      <c r="E21" s="7" t="s">
        <v>225</v>
      </c>
      <c r="F21" s="10" t="str">
        <f t="shared" si="0"/>
        <v>insert into ins_premium_det (premium_rcv_code,assorted_code, rec_amount,premium_rcv_detail_code,remaining_amt, payrec, mode_code,coinsurance_code,class_cd,it_remarks) values</v>
      </c>
      <c r="G21" s="11" t="str">
        <f t="shared" si="2"/>
        <v>('06Jan250110','050000649615','31795',(select max(to_number(i.premium_rcv_detail_code))+1
from ins_premium_det i),'31795','31795','02', '11000003','00','Request by Mr. Omair Ali 07-Jan-2024');</v>
      </c>
      <c r="H21" s="12" t="str">
        <f t="shared" si="3"/>
        <v>insert into ins_premium_det (premium_rcv_code,assorted_code, rec_amount,premium_rcv_detail_code,remaining_amt, payrec, mode_code,coinsurance_code,class_cd,it_remarks) values('06Jan250110','050000649615','31795',(select max(to_number(i.premium_rcv_detail_code))+1
from ins_premium_det i),'31795','31795','02', '11000003','00','Request by Mr. Omair Ali 07-Jan-2024');</v>
      </c>
    </row>
    <row r="22" spans="1:8" ht="105" x14ac:dyDescent="0.25">
      <c r="A22" t="s">
        <v>22</v>
      </c>
      <c r="B22" s="8" t="str">
        <f>VLOOKUP(A22,policy!B:C,2,0)</f>
        <v>050000653007</v>
      </c>
      <c r="C22" s="3">
        <v>8894.6558999999997</v>
      </c>
      <c r="D22" s="9">
        <f t="shared" si="1"/>
        <v>8895</v>
      </c>
      <c r="E22" s="7" t="s">
        <v>225</v>
      </c>
      <c r="F22" s="10" t="str">
        <f t="shared" si="0"/>
        <v>insert into ins_premium_det (premium_rcv_code,assorted_code, rec_amount,premium_rcv_detail_code,remaining_amt, payrec, mode_code,coinsurance_code,class_cd,it_remarks) values</v>
      </c>
      <c r="G22" s="11" t="str">
        <f t="shared" si="2"/>
        <v>('06Jan250110','050000653007','8895',(select max(to_number(i.premium_rcv_detail_code))+1
from ins_premium_det i),'8895','8895','02', '11000003','00','Request by Mr. Omair Ali 07-Jan-2024');</v>
      </c>
      <c r="H22" s="12" t="str">
        <f t="shared" si="3"/>
        <v>insert into ins_premium_det (premium_rcv_code,assorted_code, rec_amount,premium_rcv_detail_code,remaining_amt, payrec, mode_code,coinsurance_code,class_cd,it_remarks) values('06Jan250110','050000653007','8895',(select max(to_number(i.premium_rcv_detail_code))+1
from ins_premium_det i),'8895','8895','02', '11000003','00','Request by Mr. Omair Ali 07-Jan-2024');</v>
      </c>
    </row>
    <row r="23" spans="1:8" ht="105" x14ac:dyDescent="0.25">
      <c r="A23" t="s">
        <v>23</v>
      </c>
      <c r="B23" s="8" t="str">
        <f>VLOOKUP(A23,policy!B:C,2,0)</f>
        <v>050000655859</v>
      </c>
      <c r="C23" s="3">
        <v>9580.9711000000007</v>
      </c>
      <c r="D23" s="9">
        <f t="shared" si="1"/>
        <v>9581</v>
      </c>
      <c r="E23" s="7" t="s">
        <v>225</v>
      </c>
      <c r="F23" s="10" t="str">
        <f t="shared" si="0"/>
        <v>insert into ins_premium_det (premium_rcv_code,assorted_code, rec_amount,premium_rcv_detail_code,remaining_amt, payrec, mode_code,coinsurance_code,class_cd,it_remarks) values</v>
      </c>
      <c r="G23" s="11" t="str">
        <f t="shared" si="2"/>
        <v>('06Jan250110','050000655859','9581',(select max(to_number(i.premium_rcv_detail_code))+1
from ins_premium_det i),'9581','9581','02', '11000003','00','Request by Mr. Omair Ali 07-Jan-2024');</v>
      </c>
      <c r="H23" s="12" t="str">
        <f t="shared" si="3"/>
        <v>insert into ins_premium_det (premium_rcv_code,assorted_code, rec_amount,premium_rcv_detail_code,remaining_amt, payrec, mode_code,coinsurance_code,class_cd,it_remarks) values('06Jan250110','050000655859','9581',(select max(to_number(i.premium_rcv_detail_code))+1
from ins_premium_det i),'9581','9581','02', '11000003','00','Request by Mr. Omair Ali 07-Jan-2024');</v>
      </c>
    </row>
    <row r="24" spans="1:8" ht="105" x14ac:dyDescent="0.25">
      <c r="A24" t="s">
        <v>24</v>
      </c>
      <c r="B24" s="8" t="str">
        <f>VLOOKUP(A24,policy!B:C,2,0)</f>
        <v>050000658845</v>
      </c>
      <c r="C24" s="3">
        <v>72216.921007107972</v>
      </c>
      <c r="D24" s="9">
        <f t="shared" si="1"/>
        <v>72217</v>
      </c>
      <c r="E24" s="7" t="s">
        <v>225</v>
      </c>
      <c r="F24" s="10" t="str">
        <f t="shared" si="0"/>
        <v>insert into ins_premium_det (premium_rcv_code,assorted_code, rec_amount,premium_rcv_detail_code,remaining_amt, payrec, mode_code,coinsurance_code,class_cd,it_remarks) values</v>
      </c>
      <c r="G24" s="11" t="str">
        <f t="shared" si="2"/>
        <v>('06Jan250110','050000658845','72217',(select max(to_number(i.premium_rcv_detail_code))+1
from ins_premium_det i),'72217','72217','02', '11000003','00','Request by Mr. Omair Ali 07-Jan-2024');</v>
      </c>
      <c r="H24" s="12" t="str">
        <f t="shared" si="3"/>
        <v>insert into ins_premium_det (premium_rcv_code,assorted_code, rec_amount,premium_rcv_detail_code,remaining_amt, payrec, mode_code,coinsurance_code,class_cd,it_remarks) values('06Jan250110','050000658845','72217',(select max(to_number(i.premium_rcv_detail_code))+1
from ins_premium_det i),'72217','72217','02', '11000003','00','Request by Mr. Omair Ali 07-Jan-2024');</v>
      </c>
    </row>
    <row r="25" spans="1:8" ht="105" x14ac:dyDescent="0.25">
      <c r="A25" t="s">
        <v>25</v>
      </c>
      <c r="B25" s="8" t="str">
        <f>VLOOKUP(A25,policy!B:C,2,0)</f>
        <v>050000661317</v>
      </c>
      <c r="C25" s="3">
        <v>1336101.0976999234</v>
      </c>
      <c r="D25" s="9">
        <f t="shared" si="1"/>
        <v>1336101</v>
      </c>
      <c r="E25" s="7" t="s">
        <v>225</v>
      </c>
      <c r="F25" s="10" t="str">
        <f t="shared" si="0"/>
        <v>insert into ins_premium_det (premium_rcv_code,assorted_code, rec_amount,premium_rcv_detail_code,remaining_amt, payrec, mode_code,coinsurance_code,class_cd,it_remarks) values</v>
      </c>
      <c r="G25" s="11" t="str">
        <f t="shared" si="2"/>
        <v>('06Jan250110','050000661317','1336101',(select max(to_number(i.premium_rcv_detail_code))+1
from ins_premium_det i),'1336101','1336101','02', '11000003','00','Request by Mr. Omair Ali 07-Jan-2024');</v>
      </c>
      <c r="H25" s="12" t="str">
        <f t="shared" si="3"/>
        <v>insert into ins_premium_det (premium_rcv_code,assorted_code, rec_amount,premium_rcv_detail_code,remaining_amt, payrec, mode_code,coinsurance_code,class_cd,it_remarks) values('06Jan250110','050000661317','1336101',(select max(to_number(i.premium_rcv_detail_code))+1
from ins_premium_det i),'1336101','1336101','02', '11000003','00','Request by Mr. Omair Ali 07-Jan-2024');</v>
      </c>
    </row>
    <row r="26" spans="1:8" ht="105" x14ac:dyDescent="0.25">
      <c r="A26" t="s">
        <v>26</v>
      </c>
      <c r="B26" s="8" t="str">
        <f>VLOOKUP(A26,policy!B:C,2,0)</f>
        <v>050000661332</v>
      </c>
      <c r="C26" s="3">
        <v>-1989421.148950744</v>
      </c>
      <c r="D26" s="9">
        <f t="shared" si="1"/>
        <v>-1989421</v>
      </c>
      <c r="E26" s="7" t="s">
        <v>225</v>
      </c>
      <c r="F26" s="10" t="str">
        <f t="shared" si="0"/>
        <v>insert into ins_premium_det (premium_rcv_code,assorted_code, rec_amount,premium_rcv_detail_code,remaining_amt, payrec, mode_code,coinsurance_code,class_cd,it_remarks) values</v>
      </c>
      <c r="G26" s="11" t="str">
        <f t="shared" si="2"/>
        <v>('06Jan250110','050000661332','-1989421',(select max(to_number(i.premium_rcv_detail_code))+1
from ins_premium_det i),'-1989421','-1989421','02', '11000003','00','Request by Mr. Omair Ali 07-Jan-2024');</v>
      </c>
      <c r="H26" s="12" t="str">
        <f t="shared" si="3"/>
        <v>insert into ins_premium_det (premium_rcv_code,assorted_code, rec_amount,premium_rcv_detail_code,remaining_amt, payrec, mode_code,coinsurance_code,class_cd,it_remarks) values('06Jan250110','050000661332','-1989421',(select max(to_number(i.premium_rcv_detail_code))+1
from ins_premium_det i),'-1989421','-1989421','02', '11000003','00','Request by Mr. Omair Ali 07-Jan-2024');</v>
      </c>
    </row>
    <row r="27" spans="1:8" ht="105" x14ac:dyDescent="0.25">
      <c r="A27" t="s">
        <v>27</v>
      </c>
      <c r="B27" s="8" t="str">
        <f>VLOOKUP(A27,policy!B:C,2,0)</f>
        <v>050000662190</v>
      </c>
      <c r="C27" s="3">
        <v>6728.7512999999999</v>
      </c>
      <c r="D27" s="9">
        <f t="shared" si="1"/>
        <v>6729</v>
      </c>
      <c r="E27" s="7" t="s">
        <v>225</v>
      </c>
      <c r="F27" s="10" t="str">
        <f t="shared" si="0"/>
        <v>insert into ins_premium_det (premium_rcv_code,assorted_code, rec_amount,premium_rcv_detail_code,remaining_amt, payrec, mode_code,coinsurance_code,class_cd,it_remarks) values</v>
      </c>
      <c r="G27" s="11" t="str">
        <f t="shared" si="2"/>
        <v>('06Jan250110','050000662190','6729',(select max(to_number(i.premium_rcv_detail_code))+1
from ins_premium_det i),'6729','6729','02', '11000003','00','Request by Mr. Omair Ali 07-Jan-2024');</v>
      </c>
      <c r="H27" s="12" t="str">
        <f t="shared" si="3"/>
        <v>insert into ins_premium_det (premium_rcv_code,assorted_code, rec_amount,premium_rcv_detail_code,remaining_amt, payrec, mode_code,coinsurance_code,class_cd,it_remarks) values('06Jan250110','050000662190','6729',(select max(to_number(i.premium_rcv_detail_code))+1
from ins_premium_det i),'6729','6729','02', '11000003','00','Request by Mr. Omair Ali 07-Jan-2024');</v>
      </c>
    </row>
    <row r="28" spans="1:8" ht="105" x14ac:dyDescent="0.25">
      <c r="A28" t="s">
        <v>28</v>
      </c>
      <c r="B28" s="8" t="str">
        <f>VLOOKUP(A28,policy!B:C,2,0)</f>
        <v>050000663290</v>
      </c>
      <c r="C28" s="3">
        <v>95646.606099999946</v>
      </c>
      <c r="D28" s="9">
        <f t="shared" si="1"/>
        <v>95647</v>
      </c>
      <c r="E28" s="7" t="s">
        <v>225</v>
      </c>
      <c r="F28" s="10" t="str">
        <f t="shared" si="0"/>
        <v>insert into ins_premium_det (premium_rcv_code,assorted_code, rec_amount,premium_rcv_detail_code,remaining_amt, payrec, mode_code,coinsurance_code,class_cd,it_remarks) values</v>
      </c>
      <c r="G28" s="11" t="str">
        <f t="shared" si="2"/>
        <v>('06Jan250110','050000663290','95647',(select max(to_number(i.premium_rcv_detail_code))+1
from ins_premium_det i),'95647','95647','02', '11000003','00','Request by Mr. Omair Ali 07-Jan-2024');</v>
      </c>
      <c r="H28" s="12" t="str">
        <f t="shared" si="3"/>
        <v>insert into ins_premium_det (premium_rcv_code,assorted_code, rec_amount,premium_rcv_detail_code,remaining_amt, payrec, mode_code,coinsurance_code,class_cd,it_remarks) values('06Jan250110','050000663290','95647',(select max(to_number(i.premium_rcv_detail_code))+1
from ins_premium_det i),'95647','95647','02', '11000003','00','Request by Mr. Omair Ali 07-Jan-2024');</v>
      </c>
    </row>
    <row r="29" spans="1:8" ht="105" x14ac:dyDescent="0.25">
      <c r="A29" t="s">
        <v>29</v>
      </c>
      <c r="B29" s="8" t="str">
        <f>VLOOKUP(A29,policy!B:C,2,0)</f>
        <v>050000664242</v>
      </c>
      <c r="C29" s="3">
        <v>103001.113</v>
      </c>
      <c r="D29" s="9">
        <f t="shared" si="1"/>
        <v>103001</v>
      </c>
      <c r="E29" s="7" t="s">
        <v>225</v>
      </c>
      <c r="F29" s="10" t="str">
        <f t="shared" si="0"/>
        <v>insert into ins_premium_det (premium_rcv_code,assorted_code, rec_amount,premium_rcv_detail_code,remaining_amt, payrec, mode_code,coinsurance_code,class_cd,it_remarks) values</v>
      </c>
      <c r="G29" s="11" t="str">
        <f t="shared" si="2"/>
        <v>('06Jan250110','050000664242','103001',(select max(to_number(i.premium_rcv_detail_code))+1
from ins_premium_det i),'103001','103001','02', '11000003','00','Request by Mr. Omair Ali 07-Jan-2024');</v>
      </c>
      <c r="H29" s="12" t="str">
        <f t="shared" si="3"/>
        <v>insert into ins_premium_det (premium_rcv_code,assorted_code, rec_amount,premium_rcv_detail_code,remaining_amt, payrec, mode_code,coinsurance_code,class_cd,it_remarks) values('06Jan250110','050000664242','103001',(select max(to_number(i.premium_rcv_detail_code))+1
from ins_premium_det i),'103001','103001','02', '11000003','00','Request by Mr. Omair Ali 07-Jan-2024');</v>
      </c>
    </row>
    <row r="30" spans="1:8" ht="105" x14ac:dyDescent="0.25">
      <c r="A30" t="s">
        <v>30</v>
      </c>
      <c r="B30" s="8" t="str">
        <f>VLOOKUP(A30,policy!B:C,2,0)</f>
        <v>050000665168</v>
      </c>
      <c r="C30" s="3">
        <v>93373.553345731241</v>
      </c>
      <c r="D30" s="9">
        <f t="shared" si="1"/>
        <v>93374</v>
      </c>
      <c r="E30" s="7" t="s">
        <v>225</v>
      </c>
      <c r="F30" s="10" t="str">
        <f t="shared" si="0"/>
        <v>insert into ins_premium_det (premium_rcv_code,assorted_code, rec_amount,premium_rcv_detail_code,remaining_amt, payrec, mode_code,coinsurance_code,class_cd,it_remarks) values</v>
      </c>
      <c r="G30" s="11" t="str">
        <f t="shared" si="2"/>
        <v>('06Jan250110','050000665168','93374',(select max(to_number(i.premium_rcv_detail_code))+1
from ins_premium_det i),'93374','93374','02', '11000003','00','Request by Mr. Omair Ali 07-Jan-2024');</v>
      </c>
      <c r="H30" s="12" t="str">
        <f t="shared" si="3"/>
        <v>insert into ins_premium_det (premium_rcv_code,assorted_code, rec_amount,premium_rcv_detail_code,remaining_amt, payrec, mode_code,coinsurance_code,class_cd,it_remarks) values('06Jan250110','050000665168','93374',(select max(to_number(i.premium_rcv_detail_code))+1
from ins_premium_det i),'93374','93374','02', '11000003','00','Request by Mr. Omair Ali 07-Jan-2024');</v>
      </c>
    </row>
    <row r="31" spans="1:8" ht="105" x14ac:dyDescent="0.25">
      <c r="A31" t="s">
        <v>31</v>
      </c>
      <c r="B31" s="8" t="str">
        <f>VLOOKUP(A31,policy!B:C,2,0)</f>
        <v>050000665999</v>
      </c>
      <c r="C31" s="3">
        <v>554896.09069999994</v>
      </c>
      <c r="D31" s="9">
        <f t="shared" si="1"/>
        <v>554896</v>
      </c>
      <c r="E31" s="7" t="s">
        <v>225</v>
      </c>
      <c r="F31" s="10" t="str">
        <f t="shared" si="0"/>
        <v>insert into ins_premium_det (premium_rcv_code,assorted_code, rec_amount,premium_rcv_detail_code,remaining_amt, payrec, mode_code,coinsurance_code,class_cd,it_remarks) values</v>
      </c>
      <c r="G31" s="11" t="str">
        <f t="shared" si="2"/>
        <v>('06Jan250110','050000665999','554896',(select max(to_number(i.premium_rcv_detail_code))+1
from ins_premium_det i),'554896','554896','02', '11000003','00','Request by Mr. Omair Ali 07-Jan-2024');</v>
      </c>
      <c r="H31" s="12" t="str">
        <f t="shared" si="3"/>
        <v>insert into ins_premium_det (premium_rcv_code,assorted_code, rec_amount,premium_rcv_detail_code,remaining_amt, payrec, mode_code,coinsurance_code,class_cd,it_remarks) values('06Jan250110','050000665999','554896',(select max(to_number(i.premium_rcv_detail_code))+1
from ins_premium_det i),'554896','554896','02', '11000003','00','Request by Mr. Omair Ali 07-Jan-2024');</v>
      </c>
    </row>
    <row r="32" spans="1:8" ht="105" x14ac:dyDescent="0.25">
      <c r="A32" t="s">
        <v>32</v>
      </c>
      <c r="B32" s="8" t="str">
        <f>VLOOKUP(A32,policy!B:C,2,0)</f>
        <v>050000668304</v>
      </c>
      <c r="C32" s="3">
        <v>-327877.99252094835</v>
      </c>
      <c r="D32" s="9">
        <f t="shared" si="1"/>
        <v>-327878</v>
      </c>
      <c r="E32" s="7" t="s">
        <v>225</v>
      </c>
      <c r="F32" s="10" t="str">
        <f t="shared" si="0"/>
        <v>insert into ins_premium_det (premium_rcv_code,assorted_code, rec_amount,premium_rcv_detail_code,remaining_amt, payrec, mode_code,coinsurance_code,class_cd,it_remarks) values</v>
      </c>
      <c r="G32" s="11" t="str">
        <f t="shared" si="2"/>
        <v>('06Jan250110','050000668304','-327878',(select max(to_number(i.premium_rcv_detail_code))+1
from ins_premium_det i),'-327878','-327878','02', '11000003','00','Request by Mr. Omair Ali 07-Jan-2024');</v>
      </c>
      <c r="H32" s="12" t="str">
        <f t="shared" si="3"/>
        <v>insert into ins_premium_det (premium_rcv_code,assorted_code, rec_amount,premium_rcv_detail_code,remaining_amt, payrec, mode_code,coinsurance_code,class_cd,it_remarks) values('06Jan250110','050000668304','-327878',(select max(to_number(i.premium_rcv_detail_code))+1
from ins_premium_det i),'-327878','-327878','02', '11000003','00','Request by Mr. Omair Ali 07-Jan-2024');</v>
      </c>
    </row>
    <row r="33" spans="1:8" ht="105" x14ac:dyDescent="0.25">
      <c r="A33" t="s">
        <v>33</v>
      </c>
      <c r="B33" s="8" t="str">
        <f>VLOOKUP(A33,policy!B:C,2,0)</f>
        <v>050000668533</v>
      </c>
      <c r="C33" s="3">
        <v>53279.570500000002</v>
      </c>
      <c r="D33" s="9">
        <f t="shared" si="1"/>
        <v>53280</v>
      </c>
      <c r="E33" s="7" t="s">
        <v>225</v>
      </c>
      <c r="F33" s="10" t="str">
        <f t="shared" si="0"/>
        <v>insert into ins_premium_det (premium_rcv_code,assorted_code, rec_amount,premium_rcv_detail_code,remaining_amt, payrec, mode_code,coinsurance_code,class_cd,it_remarks) values</v>
      </c>
      <c r="G33" s="11" t="str">
        <f t="shared" si="2"/>
        <v>('06Jan250110','050000668533','53280',(select max(to_number(i.premium_rcv_detail_code))+1
from ins_premium_det i),'53280','53280','02', '11000003','00','Request by Mr. Omair Ali 07-Jan-2024');</v>
      </c>
      <c r="H33" s="12" t="str">
        <f t="shared" si="3"/>
        <v>insert into ins_premium_det (premium_rcv_code,assorted_code, rec_amount,premium_rcv_detail_code,remaining_amt, payrec, mode_code,coinsurance_code,class_cd,it_remarks) values('06Jan250110','050000668533','53280',(select max(to_number(i.premium_rcv_detail_code))+1
from ins_premium_det i),'53280','53280','02', '11000003','00','Request by Mr. Omair Ali 07-Jan-2024');</v>
      </c>
    </row>
    <row r="34" spans="1:8" ht="105" x14ac:dyDescent="0.25">
      <c r="A34" t="s">
        <v>34</v>
      </c>
      <c r="B34" s="8" t="str">
        <f>VLOOKUP(A34,policy!B:C,2,0)</f>
        <v>050000668788</v>
      </c>
      <c r="C34" s="3">
        <v>14301.236400000002</v>
      </c>
      <c r="D34" s="9">
        <f t="shared" si="1"/>
        <v>14301</v>
      </c>
      <c r="E34" s="7" t="s">
        <v>225</v>
      </c>
      <c r="F34" s="10" t="str">
        <f t="shared" si="0"/>
        <v>insert into ins_premium_det (premium_rcv_code,assorted_code, rec_amount,premium_rcv_detail_code,remaining_amt, payrec, mode_code,coinsurance_code,class_cd,it_remarks) values</v>
      </c>
      <c r="G34" s="11" t="str">
        <f t="shared" si="2"/>
        <v>('06Jan250110','050000668788','14301',(select max(to_number(i.premium_rcv_detail_code))+1
from ins_premium_det i),'14301','14301','02', '11000003','00','Request by Mr. Omair Ali 07-Jan-2024');</v>
      </c>
      <c r="H34" s="12" t="str">
        <f t="shared" si="3"/>
        <v>insert into ins_premium_det (premium_rcv_code,assorted_code, rec_amount,premium_rcv_detail_code,remaining_amt, payrec, mode_code,coinsurance_code,class_cd,it_remarks) values('06Jan250110','050000668788','14301',(select max(to_number(i.premium_rcv_detail_code))+1
from ins_premium_det i),'14301','14301','02', '11000003','00','Request by Mr. Omair Ali 07-Jan-2024');</v>
      </c>
    </row>
    <row r="35" spans="1:8" ht="105" x14ac:dyDescent="0.25">
      <c r="A35" t="s">
        <v>35</v>
      </c>
      <c r="B35" s="8" t="str">
        <f>VLOOKUP(A35,policy!B:C,2,0)</f>
        <v>050000669210</v>
      </c>
      <c r="C35" s="3">
        <v>25055.261899999998</v>
      </c>
      <c r="D35" s="9">
        <f t="shared" si="1"/>
        <v>25055</v>
      </c>
      <c r="E35" s="7" t="s">
        <v>225</v>
      </c>
      <c r="F35" s="10" t="str">
        <f t="shared" si="0"/>
        <v>insert into ins_premium_det (premium_rcv_code,assorted_code, rec_amount,premium_rcv_detail_code,remaining_amt, payrec, mode_code,coinsurance_code,class_cd,it_remarks) values</v>
      </c>
      <c r="G35" s="11" t="str">
        <f t="shared" si="2"/>
        <v>('06Jan250110','050000669210','25055',(select max(to_number(i.premium_rcv_detail_code))+1
from ins_premium_det i),'25055','25055','02', '11000003','00','Request by Mr. Omair Ali 07-Jan-2024');</v>
      </c>
      <c r="H35" s="12" t="str">
        <f t="shared" si="3"/>
        <v>insert into ins_premium_det (premium_rcv_code,assorted_code, rec_amount,premium_rcv_detail_code,remaining_amt, payrec, mode_code,coinsurance_code,class_cd,it_remarks) values('06Jan250110','050000669210','25055',(select max(to_number(i.premium_rcv_detail_code))+1
from ins_premium_det i),'25055','25055','02', '11000003','00','Request by Mr. Omair Ali 07-Jan-2024');</v>
      </c>
    </row>
    <row r="36" spans="1:8" ht="105" x14ac:dyDescent="0.25">
      <c r="A36" t="s">
        <v>36</v>
      </c>
      <c r="B36" s="8" t="str">
        <f>VLOOKUP(A36,policy!B:C,2,0)</f>
        <v>050000672556</v>
      </c>
      <c r="C36" s="3">
        <v>15440</v>
      </c>
      <c r="D36" s="9">
        <f t="shared" si="1"/>
        <v>15440</v>
      </c>
      <c r="E36" s="7" t="s">
        <v>225</v>
      </c>
      <c r="F36" s="10" t="str">
        <f t="shared" si="0"/>
        <v>insert into ins_premium_det (premium_rcv_code,assorted_code, rec_amount,premium_rcv_detail_code,remaining_amt, payrec, mode_code,coinsurance_code,class_cd,it_remarks) values</v>
      </c>
      <c r="G36" s="11" t="str">
        <f t="shared" si="2"/>
        <v>('06Jan250110','050000672556','15440',(select max(to_number(i.premium_rcv_detail_code))+1
from ins_premium_det i),'15440','15440','02', '11000003','00','Request by Mr. Omair Ali 07-Jan-2024');</v>
      </c>
      <c r="H36" s="12" t="str">
        <f t="shared" si="3"/>
        <v>insert into ins_premium_det (premium_rcv_code,assorted_code, rec_amount,premium_rcv_detail_code,remaining_amt, payrec, mode_code,coinsurance_code,class_cd,it_remarks) values('06Jan250110','050000672556','15440',(select max(to_number(i.premium_rcv_detail_code))+1
from ins_premium_det i),'15440','15440','02', '11000003','00','Request by Mr. Omair Ali 07-Jan-2024');</v>
      </c>
    </row>
    <row r="37" spans="1:8" ht="105" x14ac:dyDescent="0.25">
      <c r="A37" t="s">
        <v>37</v>
      </c>
      <c r="B37" s="8" t="str">
        <f>VLOOKUP(A37,policy!B:C,2,0)</f>
        <v>050000676062</v>
      </c>
      <c r="C37" s="3">
        <v>21011.3835</v>
      </c>
      <c r="D37" s="9">
        <f t="shared" si="1"/>
        <v>21011</v>
      </c>
      <c r="E37" s="7" t="s">
        <v>225</v>
      </c>
      <c r="F37" s="10" t="str">
        <f t="shared" si="0"/>
        <v>insert into ins_premium_det (premium_rcv_code,assorted_code, rec_amount,premium_rcv_detail_code,remaining_amt, payrec, mode_code,coinsurance_code,class_cd,it_remarks) values</v>
      </c>
      <c r="G37" s="11" t="str">
        <f t="shared" si="2"/>
        <v>('06Jan250110','050000676062','21011',(select max(to_number(i.premium_rcv_detail_code))+1
from ins_premium_det i),'21011','21011','02', '11000003','00','Request by Mr. Omair Ali 07-Jan-2024');</v>
      </c>
      <c r="H37" s="12" t="str">
        <f t="shared" si="3"/>
        <v>insert into ins_premium_det (premium_rcv_code,assorted_code, rec_amount,premium_rcv_detail_code,remaining_amt, payrec, mode_code,coinsurance_code,class_cd,it_remarks) values('06Jan250110','050000676062','21011',(select max(to_number(i.premium_rcv_detail_code))+1
from ins_premium_det i),'21011','21011','02', '11000003','00','Request by Mr. Omair Ali 07-Jan-2024');</v>
      </c>
    </row>
    <row r="38" spans="1:8" ht="105" x14ac:dyDescent="0.25">
      <c r="A38" t="s">
        <v>38</v>
      </c>
      <c r="B38" s="8" t="str">
        <f>VLOOKUP(A38,policy!B:C,2,0)</f>
        <v>050000676932</v>
      </c>
      <c r="C38" s="3">
        <v>5674.0891000000001</v>
      </c>
      <c r="D38" s="9">
        <f t="shared" si="1"/>
        <v>5674</v>
      </c>
      <c r="E38" s="7" t="s">
        <v>225</v>
      </c>
      <c r="F38" s="10" t="str">
        <f t="shared" si="0"/>
        <v>insert into ins_premium_det (premium_rcv_code,assorted_code, rec_amount,premium_rcv_detail_code,remaining_amt, payrec, mode_code,coinsurance_code,class_cd,it_remarks) values</v>
      </c>
      <c r="G38" s="11" t="str">
        <f t="shared" si="2"/>
        <v>('06Jan250110','050000676932','5674',(select max(to_number(i.premium_rcv_detail_code))+1
from ins_premium_det i),'5674','5674','02', '11000003','00','Request by Mr. Omair Ali 07-Jan-2024');</v>
      </c>
      <c r="H38" s="12" t="str">
        <f t="shared" si="3"/>
        <v>insert into ins_premium_det (premium_rcv_code,assorted_code, rec_amount,premium_rcv_detail_code,remaining_amt, payrec, mode_code,coinsurance_code,class_cd,it_remarks) values('06Jan250110','050000676932','5674',(select max(to_number(i.premium_rcv_detail_code))+1
from ins_premium_det i),'5674','5674','02', '11000003','00','Request by Mr. Omair Ali 07-Jan-2024');</v>
      </c>
    </row>
    <row r="39" spans="1:8" ht="105" x14ac:dyDescent="0.25">
      <c r="A39" t="s">
        <v>39</v>
      </c>
      <c r="B39" s="8" t="str">
        <f>VLOOKUP(A39,policy!B:C,2,0)</f>
        <v>050000679063</v>
      </c>
      <c r="C39" s="3">
        <v>54339.080700000006</v>
      </c>
      <c r="D39" s="9">
        <f t="shared" si="1"/>
        <v>54339</v>
      </c>
      <c r="E39" s="7" t="s">
        <v>225</v>
      </c>
      <c r="F39" s="10" t="str">
        <f t="shared" si="0"/>
        <v>insert into ins_premium_det (premium_rcv_code,assorted_code, rec_amount,premium_rcv_detail_code,remaining_amt, payrec, mode_code,coinsurance_code,class_cd,it_remarks) values</v>
      </c>
      <c r="G39" s="11" t="str">
        <f t="shared" si="2"/>
        <v>('06Jan250110','050000679063','54339',(select max(to_number(i.premium_rcv_detail_code))+1
from ins_premium_det i),'54339','54339','02', '11000003','00','Request by Mr. Omair Ali 07-Jan-2024');</v>
      </c>
      <c r="H39" s="12" t="str">
        <f t="shared" si="3"/>
        <v>insert into ins_premium_det (premium_rcv_code,assorted_code, rec_amount,premium_rcv_detail_code,remaining_amt, payrec, mode_code,coinsurance_code,class_cd,it_remarks) values('06Jan250110','050000679063','54339',(select max(to_number(i.premium_rcv_detail_code))+1
from ins_premium_det i),'54339','54339','02', '11000003','00','Request by Mr. Omair Ali 07-Jan-2024');</v>
      </c>
    </row>
    <row r="40" spans="1:8" ht="105" x14ac:dyDescent="0.25">
      <c r="A40" t="s">
        <v>40</v>
      </c>
      <c r="B40" s="8" t="str">
        <f>VLOOKUP(A40,policy!B:C,2,0)</f>
        <v>050000679179</v>
      </c>
      <c r="C40" s="3">
        <v>67055.455400000006</v>
      </c>
      <c r="D40" s="9">
        <f t="shared" si="1"/>
        <v>67055</v>
      </c>
      <c r="E40" s="7" t="s">
        <v>225</v>
      </c>
      <c r="F40" s="10" t="str">
        <f t="shared" si="0"/>
        <v>insert into ins_premium_det (premium_rcv_code,assorted_code, rec_amount,premium_rcv_detail_code,remaining_amt, payrec, mode_code,coinsurance_code,class_cd,it_remarks) values</v>
      </c>
      <c r="G40" s="11" t="str">
        <f t="shared" si="2"/>
        <v>('06Jan250110','050000679179','67055',(select max(to_number(i.premium_rcv_detail_code))+1
from ins_premium_det i),'67055','67055','02', '11000003','00','Request by Mr. Omair Ali 07-Jan-2024');</v>
      </c>
      <c r="H40" s="12" t="str">
        <f t="shared" si="3"/>
        <v>insert into ins_premium_det (premium_rcv_code,assorted_code, rec_amount,premium_rcv_detail_code,remaining_amt, payrec, mode_code,coinsurance_code,class_cd,it_remarks) values('06Jan250110','050000679179','67055',(select max(to_number(i.premium_rcv_detail_code))+1
from ins_premium_det i),'67055','67055','02', '11000003','00','Request by Mr. Omair Ali 07-Jan-2024');</v>
      </c>
    </row>
    <row r="41" spans="1:8" ht="105" x14ac:dyDescent="0.25">
      <c r="A41" t="s">
        <v>41</v>
      </c>
      <c r="B41" s="8" t="str">
        <f>VLOOKUP(A41,policy!B:C,2,0)</f>
        <v>050000680911</v>
      </c>
      <c r="C41" s="3">
        <v>30852.47</v>
      </c>
      <c r="D41" s="9">
        <f t="shared" si="1"/>
        <v>30852</v>
      </c>
      <c r="E41" s="7" t="s">
        <v>225</v>
      </c>
      <c r="F41" s="10" t="str">
        <f t="shared" si="0"/>
        <v>insert into ins_premium_det (premium_rcv_code,assorted_code, rec_amount,premium_rcv_detail_code,remaining_amt, payrec, mode_code,coinsurance_code,class_cd,it_remarks) values</v>
      </c>
      <c r="G41" s="11" t="str">
        <f t="shared" si="2"/>
        <v>('06Jan250110','050000680911','30852',(select max(to_number(i.premium_rcv_detail_code))+1
from ins_premium_det i),'30852','30852','02', '11000003','00','Request by Mr. Omair Ali 07-Jan-2024');</v>
      </c>
      <c r="H41" s="12" t="str">
        <f t="shared" si="3"/>
        <v>insert into ins_premium_det (premium_rcv_code,assorted_code, rec_amount,premium_rcv_detail_code,remaining_amt, payrec, mode_code,coinsurance_code,class_cd,it_remarks) values('06Jan250110','050000680911','30852',(select max(to_number(i.premium_rcv_detail_code))+1
from ins_premium_det i),'30852','30852','02', '11000003','00','Request by Mr. Omair Ali 07-Jan-2024');</v>
      </c>
    </row>
    <row r="42" spans="1:8" ht="105" x14ac:dyDescent="0.25">
      <c r="A42" t="s">
        <v>42</v>
      </c>
      <c r="B42" s="8" t="str">
        <f>VLOOKUP(A42,policy!B:C,2,0)</f>
        <v>050000682642</v>
      </c>
      <c r="C42" s="3">
        <v>6972.9693000000007</v>
      </c>
      <c r="D42" s="9">
        <f t="shared" si="1"/>
        <v>6973</v>
      </c>
      <c r="E42" s="7" t="s">
        <v>225</v>
      </c>
      <c r="F42" s="10" t="str">
        <f t="shared" si="0"/>
        <v>insert into ins_premium_det (premium_rcv_code,assorted_code, rec_amount,premium_rcv_detail_code,remaining_amt, payrec, mode_code,coinsurance_code,class_cd,it_remarks) values</v>
      </c>
      <c r="G42" s="11" t="str">
        <f t="shared" si="2"/>
        <v>('06Jan250110','050000682642','6973',(select max(to_number(i.premium_rcv_detail_code))+1
from ins_premium_det i),'6973','6973','02', '11000003','00','Request by Mr. Omair Ali 07-Jan-2024');</v>
      </c>
      <c r="H42" s="12" t="str">
        <f t="shared" si="3"/>
        <v>insert into ins_premium_det (premium_rcv_code,assorted_code, rec_amount,premium_rcv_detail_code,remaining_amt, payrec, mode_code,coinsurance_code,class_cd,it_remarks) values('06Jan250110','050000682642','6973',(select max(to_number(i.premium_rcv_detail_code))+1
from ins_premium_det i),'6973','6973','02', '11000003','00','Request by Mr. Omair Ali 07-Jan-2024');</v>
      </c>
    </row>
    <row r="43" spans="1:8" ht="105" x14ac:dyDescent="0.25">
      <c r="A43" t="s">
        <v>43</v>
      </c>
      <c r="B43" s="8" t="str">
        <f>VLOOKUP(A43,policy!B:C,2,0)</f>
        <v>050000686356</v>
      </c>
      <c r="C43" s="3">
        <v>1182414.7164000007</v>
      </c>
      <c r="D43" s="9">
        <f t="shared" si="1"/>
        <v>1182415</v>
      </c>
      <c r="E43" s="7" t="s">
        <v>225</v>
      </c>
      <c r="F43" s="10" t="str">
        <f t="shared" si="0"/>
        <v>insert into ins_premium_det (premium_rcv_code,assorted_code, rec_amount,premium_rcv_detail_code,remaining_amt, payrec, mode_code,coinsurance_code,class_cd,it_remarks) values</v>
      </c>
      <c r="G43" s="11" t="str">
        <f t="shared" si="2"/>
        <v>('06Jan250110','050000686356','1182415',(select max(to_number(i.premium_rcv_detail_code))+1
from ins_premium_det i),'1182415','1182415','02', '11000003','00','Request by Mr. Omair Ali 07-Jan-2024');</v>
      </c>
      <c r="H43" s="12" t="str">
        <f t="shared" si="3"/>
        <v>insert into ins_premium_det (premium_rcv_code,assorted_code, rec_amount,premium_rcv_detail_code,remaining_amt, payrec, mode_code,coinsurance_code,class_cd,it_remarks) values('06Jan250110','050000686356','1182415',(select max(to_number(i.premium_rcv_detail_code))+1
from ins_premium_det i),'1182415','1182415','02', '11000003','00','Request by Mr. Omair Ali 07-Jan-2024');</v>
      </c>
    </row>
    <row r="44" spans="1:8" ht="105" x14ac:dyDescent="0.25">
      <c r="A44" t="s">
        <v>44</v>
      </c>
      <c r="B44" s="8" t="str">
        <f>VLOOKUP(A44,policy!B:C,2,0)</f>
        <v>050000687213</v>
      </c>
      <c r="C44" s="3">
        <v>-1684982.4198749086</v>
      </c>
      <c r="D44" s="9">
        <f t="shared" si="1"/>
        <v>-1684982</v>
      </c>
      <c r="E44" s="7" t="s">
        <v>225</v>
      </c>
      <c r="F44" s="10" t="str">
        <f t="shared" si="0"/>
        <v>insert into ins_premium_det (premium_rcv_code,assorted_code, rec_amount,premium_rcv_detail_code,remaining_amt, payrec, mode_code,coinsurance_code,class_cd,it_remarks) values</v>
      </c>
      <c r="G44" s="11" t="str">
        <f t="shared" si="2"/>
        <v>('06Jan250110','050000687213','-1684982',(select max(to_number(i.premium_rcv_detail_code))+1
from ins_premium_det i),'-1684982','-1684982','02', '11000003','00','Request by Mr. Omair Ali 07-Jan-2024');</v>
      </c>
      <c r="H44" s="12" t="str">
        <f t="shared" si="3"/>
        <v>insert into ins_premium_det (premium_rcv_code,assorted_code, rec_amount,premium_rcv_detail_code,remaining_amt, payrec, mode_code,coinsurance_code,class_cd,it_remarks) values('06Jan250110','050000687213','-1684982',(select max(to_number(i.premium_rcv_detail_code))+1
from ins_premium_det i),'-1684982','-1684982','02', '11000003','00','Request by Mr. Omair Ali 07-Jan-2024');</v>
      </c>
    </row>
    <row r="45" spans="1:8" ht="105" x14ac:dyDescent="0.25">
      <c r="A45" t="s">
        <v>45</v>
      </c>
      <c r="B45" s="8" t="str">
        <f>VLOOKUP(A45,policy!B:C,2,0)</f>
        <v>050000687292</v>
      </c>
      <c r="C45" s="3">
        <v>14826.8909</v>
      </c>
      <c r="D45" s="9">
        <f t="shared" si="1"/>
        <v>14827</v>
      </c>
      <c r="E45" s="7" t="s">
        <v>225</v>
      </c>
      <c r="F45" s="10" t="str">
        <f t="shared" si="0"/>
        <v>insert into ins_premium_det (premium_rcv_code,assorted_code, rec_amount,premium_rcv_detail_code,remaining_amt, payrec, mode_code,coinsurance_code,class_cd,it_remarks) values</v>
      </c>
      <c r="G45" s="11" t="str">
        <f t="shared" si="2"/>
        <v>('06Jan250110','050000687292','14827',(select max(to_number(i.premium_rcv_detail_code))+1
from ins_premium_det i),'14827','14827','02', '11000003','00','Request by Mr. Omair Ali 07-Jan-2024');</v>
      </c>
      <c r="H45" s="12" t="str">
        <f t="shared" si="3"/>
        <v>insert into ins_premium_det (premium_rcv_code,assorted_code, rec_amount,premium_rcv_detail_code,remaining_amt, payrec, mode_code,coinsurance_code,class_cd,it_remarks) values('06Jan250110','050000687292','14827',(select max(to_number(i.premium_rcv_detail_code))+1
from ins_premium_det i),'14827','14827','02', '11000003','00','Request by Mr. Omair Ali 07-Jan-2024');</v>
      </c>
    </row>
    <row r="46" spans="1:8" ht="105" x14ac:dyDescent="0.25">
      <c r="A46" t="s">
        <v>46</v>
      </c>
      <c r="B46" s="8" t="str">
        <f>VLOOKUP(A46,policy!B:C,2,0)</f>
        <v>050000688831</v>
      </c>
      <c r="C46" s="3">
        <v>44517.739699999998</v>
      </c>
      <c r="D46" s="9">
        <f t="shared" si="1"/>
        <v>44518</v>
      </c>
      <c r="E46" s="7" t="s">
        <v>225</v>
      </c>
      <c r="F46" s="10" t="str">
        <f t="shared" si="0"/>
        <v>insert into ins_premium_det (premium_rcv_code,assorted_code, rec_amount,premium_rcv_detail_code,remaining_amt, payrec, mode_code,coinsurance_code,class_cd,it_remarks) values</v>
      </c>
      <c r="G46" s="11" t="str">
        <f t="shared" si="2"/>
        <v>('06Jan250110','050000688831','44518',(select max(to_number(i.premium_rcv_detail_code))+1
from ins_premium_det i),'44518','44518','02', '11000003','00','Request by Mr. Omair Ali 07-Jan-2024');</v>
      </c>
      <c r="H46" s="12" t="str">
        <f t="shared" si="3"/>
        <v>insert into ins_premium_det (premium_rcv_code,assorted_code, rec_amount,premium_rcv_detail_code,remaining_amt, payrec, mode_code,coinsurance_code,class_cd,it_remarks) values('06Jan250110','050000688831','44518',(select max(to_number(i.premium_rcv_detail_code))+1
from ins_premium_det i),'44518','44518','02', '11000003','00','Request by Mr. Omair Ali 07-Jan-2024');</v>
      </c>
    </row>
    <row r="47" spans="1:8" ht="105" x14ac:dyDescent="0.25">
      <c r="A47" t="s">
        <v>47</v>
      </c>
      <c r="B47" s="8" t="str">
        <f>VLOOKUP(A47,policy!B:C,2,0)</f>
        <v>050000689329</v>
      </c>
      <c r="C47" s="3">
        <v>18267.415499999999</v>
      </c>
      <c r="D47" s="9">
        <f t="shared" si="1"/>
        <v>18267</v>
      </c>
      <c r="E47" s="7" t="s">
        <v>225</v>
      </c>
      <c r="F47" s="10" t="str">
        <f t="shared" si="0"/>
        <v>insert into ins_premium_det (premium_rcv_code,assorted_code, rec_amount,premium_rcv_detail_code,remaining_amt, payrec, mode_code,coinsurance_code,class_cd,it_remarks) values</v>
      </c>
      <c r="G47" s="11" t="str">
        <f t="shared" si="2"/>
        <v>('06Jan250110','050000689329','18267',(select max(to_number(i.premium_rcv_detail_code))+1
from ins_premium_det i),'18267','18267','02', '11000003','00','Request by Mr. Omair Ali 07-Jan-2024');</v>
      </c>
      <c r="H47" s="12" t="str">
        <f t="shared" si="3"/>
        <v>insert into ins_premium_det (premium_rcv_code,assorted_code, rec_amount,premium_rcv_detail_code,remaining_amt, payrec, mode_code,coinsurance_code,class_cd,it_remarks) values('06Jan250110','050000689329','18267',(select max(to_number(i.premium_rcv_detail_code))+1
from ins_premium_det i),'18267','18267','02', '11000003','00','Request by Mr. Omair Ali 07-Jan-2024');</v>
      </c>
    </row>
    <row r="48" spans="1:8" ht="105" x14ac:dyDescent="0.25">
      <c r="A48" t="s">
        <v>48</v>
      </c>
      <c r="B48" s="8" t="str">
        <f>VLOOKUP(A48,policy!B:C,2,0)</f>
        <v>050000691007</v>
      </c>
      <c r="C48" s="3">
        <v>21907.6878</v>
      </c>
      <c r="D48" s="9">
        <f t="shared" si="1"/>
        <v>21908</v>
      </c>
      <c r="E48" s="7" t="s">
        <v>225</v>
      </c>
      <c r="F48" s="10" t="str">
        <f t="shared" si="0"/>
        <v>insert into ins_premium_det (premium_rcv_code,assorted_code, rec_amount,premium_rcv_detail_code,remaining_amt, payrec, mode_code,coinsurance_code,class_cd,it_remarks) values</v>
      </c>
      <c r="G48" s="11" t="str">
        <f t="shared" si="2"/>
        <v>('06Jan250110','050000691007','21908',(select max(to_number(i.premium_rcv_detail_code))+1
from ins_premium_det i),'21908','21908','02', '11000003','00','Request by Mr. Omair Ali 07-Jan-2024');</v>
      </c>
      <c r="H48" s="12" t="str">
        <f t="shared" si="3"/>
        <v>insert into ins_premium_det (premium_rcv_code,assorted_code, rec_amount,premium_rcv_detail_code,remaining_amt, payrec, mode_code,coinsurance_code,class_cd,it_remarks) values('06Jan250110','050000691007','21908',(select max(to_number(i.premium_rcv_detail_code))+1
from ins_premium_det i),'21908','21908','02', '11000003','00','Request by Mr. Omair Ali 07-Jan-2024');</v>
      </c>
    </row>
    <row r="49" spans="1:8" ht="105" x14ac:dyDescent="0.25">
      <c r="A49" t="s">
        <v>49</v>
      </c>
      <c r="B49" s="8" t="str">
        <f>VLOOKUP(A49,policy!B:C,2,0)</f>
        <v>050000691583</v>
      </c>
      <c r="C49" s="3">
        <v>-1563.6719000000001</v>
      </c>
      <c r="D49" s="9">
        <f t="shared" si="1"/>
        <v>-1564</v>
      </c>
      <c r="E49" s="7" t="s">
        <v>225</v>
      </c>
      <c r="F49" s="10" t="str">
        <f t="shared" si="0"/>
        <v>insert into ins_premium_det (premium_rcv_code,assorted_code, rec_amount,premium_rcv_detail_code,remaining_amt, payrec, mode_code,coinsurance_code,class_cd,it_remarks) values</v>
      </c>
      <c r="G49" s="11" t="str">
        <f t="shared" si="2"/>
        <v>('06Jan250110','050000691583','-1564',(select max(to_number(i.premium_rcv_detail_code))+1
from ins_premium_det i),'-1564','-1564','02', '11000003','00','Request by Mr. Omair Ali 07-Jan-2024');</v>
      </c>
      <c r="H49" s="12" t="str">
        <f t="shared" si="3"/>
        <v>insert into ins_premium_det (premium_rcv_code,assorted_code, rec_amount,premium_rcv_detail_code,remaining_amt, payrec, mode_code,coinsurance_code,class_cd,it_remarks) values('06Jan250110','050000691583','-1564',(select max(to_number(i.premium_rcv_detail_code))+1
from ins_premium_det i),'-1564','-1564','02', '11000003','00','Request by Mr. Omair Ali 07-Jan-2024');</v>
      </c>
    </row>
    <row r="50" spans="1:8" ht="105" x14ac:dyDescent="0.25">
      <c r="A50" t="s">
        <v>50</v>
      </c>
      <c r="B50" s="8" t="str">
        <f>VLOOKUP(A50,policy!B:C,2,0)</f>
        <v>050000691998</v>
      </c>
      <c r="C50" s="3">
        <v>629362.51200000045</v>
      </c>
      <c r="D50" s="9">
        <f t="shared" si="1"/>
        <v>629363</v>
      </c>
      <c r="E50" s="7" t="s">
        <v>225</v>
      </c>
      <c r="F50" s="10" t="str">
        <f t="shared" si="0"/>
        <v>insert into ins_premium_det (premium_rcv_code,assorted_code, rec_amount,premium_rcv_detail_code,remaining_amt, payrec, mode_code,coinsurance_code,class_cd,it_remarks) values</v>
      </c>
      <c r="G50" s="11" t="str">
        <f t="shared" si="2"/>
        <v>('06Jan250110','050000691998','629363',(select max(to_number(i.premium_rcv_detail_code))+1
from ins_premium_det i),'629363','629363','02', '11000003','00','Request by Mr. Omair Ali 07-Jan-2024');</v>
      </c>
      <c r="H50" s="12" t="str">
        <f t="shared" si="3"/>
        <v>insert into ins_premium_det (premium_rcv_code,assorted_code, rec_amount,premium_rcv_detail_code,remaining_amt, payrec, mode_code,coinsurance_code,class_cd,it_remarks) values('06Jan250110','050000691998','629363',(select max(to_number(i.premium_rcv_detail_code))+1
from ins_premium_det i),'629363','629363','02', '11000003','00','Request by Mr. Omair Ali 07-Jan-2024');</v>
      </c>
    </row>
    <row r="51" spans="1:8" ht="105" x14ac:dyDescent="0.25">
      <c r="A51" t="s">
        <v>51</v>
      </c>
      <c r="B51" s="8" t="str">
        <f>VLOOKUP(A51,policy!B:C,2,0)</f>
        <v>050000692023</v>
      </c>
      <c r="C51" s="3">
        <v>-376283.44238119869</v>
      </c>
      <c r="D51" s="9">
        <f t="shared" si="1"/>
        <v>-376283</v>
      </c>
      <c r="E51" s="7" t="s">
        <v>225</v>
      </c>
      <c r="F51" s="10" t="str">
        <f t="shared" si="0"/>
        <v>insert into ins_premium_det (premium_rcv_code,assorted_code, rec_amount,premium_rcv_detail_code,remaining_amt, payrec, mode_code,coinsurance_code,class_cd,it_remarks) values</v>
      </c>
      <c r="G51" s="11" t="str">
        <f t="shared" si="2"/>
        <v>('06Jan250110','050000692023','-376283',(select max(to_number(i.premium_rcv_detail_code))+1
from ins_premium_det i),'-376283','-376283','02', '11000003','00','Request by Mr. Omair Ali 07-Jan-2024');</v>
      </c>
      <c r="H51" s="12" t="str">
        <f t="shared" si="3"/>
        <v>insert into ins_premium_det (premium_rcv_code,assorted_code, rec_amount,premium_rcv_detail_code,remaining_amt, payrec, mode_code,coinsurance_code,class_cd,it_remarks) values('06Jan250110','050000692023','-376283',(select max(to_number(i.premium_rcv_detail_code))+1
from ins_premium_det i),'-376283','-376283','02', '11000003','00','Request by Mr. Omair Ali 07-Jan-2024');</v>
      </c>
    </row>
    <row r="52" spans="1:8" ht="105" x14ac:dyDescent="0.25">
      <c r="A52" t="s">
        <v>52</v>
      </c>
      <c r="B52" s="8" t="str">
        <f>VLOOKUP(A52,policy!B:C,2,0)</f>
        <v>050000692259</v>
      </c>
      <c r="C52" s="3">
        <v>35901.843800000002</v>
      </c>
      <c r="D52" s="9">
        <f t="shared" si="1"/>
        <v>35902</v>
      </c>
      <c r="E52" s="7" t="s">
        <v>225</v>
      </c>
      <c r="F52" s="10" t="str">
        <f t="shared" si="0"/>
        <v>insert into ins_premium_det (premium_rcv_code,assorted_code, rec_amount,premium_rcv_detail_code,remaining_amt, payrec, mode_code,coinsurance_code,class_cd,it_remarks) values</v>
      </c>
      <c r="G52" s="11" t="str">
        <f t="shared" si="2"/>
        <v>('06Jan250110','050000692259','35902',(select max(to_number(i.premium_rcv_detail_code))+1
from ins_premium_det i),'35902','35902','02', '11000003','00','Request by Mr. Omair Ali 07-Jan-2024');</v>
      </c>
      <c r="H52" s="12" t="str">
        <f t="shared" si="3"/>
        <v>insert into ins_premium_det (premium_rcv_code,assorted_code, rec_amount,premium_rcv_detail_code,remaining_amt, payrec, mode_code,coinsurance_code,class_cd,it_remarks) values('06Jan250110','050000692259','35902',(select max(to_number(i.premium_rcv_detail_code))+1
from ins_premium_det i),'35902','35902','02', '11000003','00','Request by Mr. Omair Ali 07-Jan-2024');</v>
      </c>
    </row>
    <row r="53" spans="1:8" ht="105" x14ac:dyDescent="0.25">
      <c r="A53" t="s">
        <v>53</v>
      </c>
      <c r="B53" s="8" t="str">
        <f>VLOOKUP(A53,policy!B:C,2,0)</f>
        <v>050000695667</v>
      </c>
      <c r="C53" s="3">
        <v>11053.945</v>
      </c>
      <c r="D53" s="9">
        <f t="shared" si="1"/>
        <v>11054</v>
      </c>
      <c r="E53" s="7" t="s">
        <v>225</v>
      </c>
      <c r="F53" s="10" t="str">
        <f t="shared" si="0"/>
        <v>insert into ins_premium_det (premium_rcv_code,assorted_code, rec_amount,premium_rcv_detail_code,remaining_amt, payrec, mode_code,coinsurance_code,class_cd,it_remarks) values</v>
      </c>
      <c r="G53" s="11" t="str">
        <f t="shared" si="2"/>
        <v>('06Jan250110','050000695667','11054',(select max(to_number(i.premium_rcv_detail_code))+1
from ins_premium_det i),'11054','11054','02', '11000003','00','Request by Mr. Omair Ali 07-Jan-2024');</v>
      </c>
      <c r="H53" s="12" t="str">
        <f t="shared" si="3"/>
        <v>insert into ins_premium_det (premium_rcv_code,assorted_code, rec_amount,premium_rcv_detail_code,remaining_amt, payrec, mode_code,coinsurance_code,class_cd,it_remarks) values('06Jan250110','050000695667','11054',(select max(to_number(i.premium_rcv_detail_code))+1
from ins_premium_det i),'11054','11054','02', '11000003','00','Request by Mr. Omair Ali 07-Jan-2024');</v>
      </c>
    </row>
    <row r="54" spans="1:8" ht="105" x14ac:dyDescent="0.25">
      <c r="A54" t="s">
        <v>54</v>
      </c>
      <c r="B54" s="8" t="str">
        <f>VLOOKUP(A54,policy!B:C,2,0)</f>
        <v>050000697817</v>
      </c>
      <c r="C54" s="3">
        <v>73172.651700000002</v>
      </c>
      <c r="D54" s="9">
        <f t="shared" si="1"/>
        <v>73173</v>
      </c>
      <c r="E54" s="7" t="s">
        <v>225</v>
      </c>
      <c r="F54" s="10" t="str">
        <f t="shared" si="0"/>
        <v>insert into ins_premium_det (premium_rcv_code,assorted_code, rec_amount,premium_rcv_detail_code,remaining_amt, payrec, mode_code,coinsurance_code,class_cd,it_remarks) values</v>
      </c>
      <c r="G54" s="11" t="str">
        <f t="shared" si="2"/>
        <v>('06Jan250110','050000697817','73173',(select max(to_number(i.premium_rcv_detail_code))+1
from ins_premium_det i),'73173','73173','02', '11000003','00','Request by Mr. Omair Ali 07-Jan-2024');</v>
      </c>
      <c r="H54" s="12" t="str">
        <f t="shared" si="3"/>
        <v>insert into ins_premium_det (premium_rcv_code,assorted_code, rec_amount,premium_rcv_detail_code,remaining_amt, payrec, mode_code,coinsurance_code,class_cd,it_remarks) values('06Jan250110','050000697817','73173',(select max(to_number(i.premium_rcv_detail_code))+1
from ins_premium_det i),'73173','73173','02', '11000003','00','Request by Mr. Omair Ali 07-Jan-2024');</v>
      </c>
    </row>
    <row r="55" spans="1:8" ht="105" x14ac:dyDescent="0.25">
      <c r="A55" t="s">
        <v>55</v>
      </c>
      <c r="B55" s="8" t="str">
        <f>VLOOKUP(A55,policy!B:C,2,0)</f>
        <v>050000697956</v>
      </c>
      <c r="C55" s="3">
        <v>27308.6931</v>
      </c>
      <c r="D55" s="9">
        <f t="shared" si="1"/>
        <v>27309</v>
      </c>
      <c r="E55" s="7" t="s">
        <v>225</v>
      </c>
      <c r="F55" s="10" t="str">
        <f t="shared" si="0"/>
        <v>insert into ins_premium_det (premium_rcv_code,assorted_code, rec_amount,premium_rcv_detail_code,remaining_amt, payrec, mode_code,coinsurance_code,class_cd,it_remarks) values</v>
      </c>
      <c r="G55" s="11" t="str">
        <f t="shared" si="2"/>
        <v>('06Jan250110','050000697956','27309',(select max(to_number(i.premium_rcv_detail_code))+1
from ins_premium_det i),'27309','27309','02', '11000003','00','Request by Mr. Omair Ali 07-Jan-2024');</v>
      </c>
      <c r="H55" s="12" t="str">
        <f t="shared" si="3"/>
        <v>insert into ins_premium_det (premium_rcv_code,assorted_code, rec_amount,premium_rcv_detail_code,remaining_amt, payrec, mode_code,coinsurance_code,class_cd,it_remarks) values('06Jan250110','050000697956','27309',(select max(to_number(i.premium_rcv_detail_code))+1
from ins_premium_det i),'27309','27309','02', '11000003','00','Request by Mr. Omair Ali 07-Jan-2024');</v>
      </c>
    </row>
    <row r="56" spans="1:8" ht="105" x14ac:dyDescent="0.25">
      <c r="A56" t="s">
        <v>56</v>
      </c>
      <c r="B56" s="8" t="str">
        <f>VLOOKUP(A56,policy!B:C,2,0)</f>
        <v>050000701031</v>
      </c>
      <c r="C56" s="3">
        <v>598878.7122000003</v>
      </c>
      <c r="D56" s="9">
        <f t="shared" si="1"/>
        <v>598879</v>
      </c>
      <c r="E56" s="7" t="s">
        <v>225</v>
      </c>
      <c r="F56" s="10" t="str">
        <f t="shared" si="0"/>
        <v>insert into ins_premium_det (premium_rcv_code,assorted_code, rec_amount,premium_rcv_detail_code,remaining_amt, payrec, mode_code,coinsurance_code,class_cd,it_remarks) values</v>
      </c>
      <c r="G56" s="11" t="str">
        <f t="shared" si="2"/>
        <v>('06Jan250110','050000701031','598879',(select max(to_number(i.premium_rcv_detail_code))+1
from ins_premium_det i),'598879','598879','02', '11000003','00','Request by Mr. Omair Ali 07-Jan-2024');</v>
      </c>
      <c r="H56" s="12" t="str">
        <f t="shared" si="3"/>
        <v>insert into ins_premium_det (premium_rcv_code,assorted_code, rec_amount,premium_rcv_detail_code,remaining_amt, payrec, mode_code,coinsurance_code,class_cd,it_remarks) values('06Jan250110','050000701031','598879',(select max(to_number(i.premium_rcv_detail_code))+1
from ins_premium_det i),'598879','598879','02', '11000003','00','Request by Mr. Omair Ali 07-Jan-2024');</v>
      </c>
    </row>
    <row r="57" spans="1:8" ht="105" x14ac:dyDescent="0.25">
      <c r="A57" t="s">
        <v>57</v>
      </c>
      <c r="B57" s="8" t="str">
        <f>VLOOKUP(A57,policy!B:C,2,0)</f>
        <v>050000702088</v>
      </c>
      <c r="C57" s="3">
        <v>5710.1460999999999</v>
      </c>
      <c r="D57" s="9">
        <f t="shared" si="1"/>
        <v>5710</v>
      </c>
      <c r="E57" s="7" t="s">
        <v>225</v>
      </c>
      <c r="F57" s="10" t="str">
        <f t="shared" si="0"/>
        <v>insert into ins_premium_det (premium_rcv_code,assorted_code, rec_amount,premium_rcv_detail_code,remaining_amt, payrec, mode_code,coinsurance_code,class_cd,it_remarks) values</v>
      </c>
      <c r="G57" s="11" t="str">
        <f t="shared" si="2"/>
        <v>('06Jan250110','050000702088','5710',(select max(to_number(i.premium_rcv_detail_code))+1
from ins_premium_det i),'5710','5710','02', '11000003','00','Request by Mr. Omair Ali 07-Jan-2024');</v>
      </c>
      <c r="H57" s="12" t="str">
        <f t="shared" si="3"/>
        <v>insert into ins_premium_det (premium_rcv_code,assorted_code, rec_amount,premium_rcv_detail_code,remaining_amt, payrec, mode_code,coinsurance_code,class_cd,it_remarks) values('06Jan250110','050000702088','5710',(select max(to_number(i.premium_rcv_detail_code))+1
from ins_premium_det i),'5710','5710','02', '11000003','00','Request by Mr. Omair Ali 07-Jan-2024');</v>
      </c>
    </row>
    <row r="58" spans="1:8" ht="105" x14ac:dyDescent="0.25">
      <c r="A58" t="s">
        <v>58</v>
      </c>
      <c r="B58" s="8" t="str">
        <f>VLOOKUP(A58,policy!B:C,2,0)</f>
        <v>050000703761</v>
      </c>
      <c r="C58" s="3">
        <v>17899.118999999999</v>
      </c>
      <c r="D58" s="9">
        <f t="shared" si="1"/>
        <v>17899</v>
      </c>
      <c r="E58" s="7" t="s">
        <v>225</v>
      </c>
      <c r="F58" s="10" t="str">
        <f t="shared" si="0"/>
        <v>insert into ins_premium_det (premium_rcv_code,assorted_code, rec_amount,premium_rcv_detail_code,remaining_amt, payrec, mode_code,coinsurance_code,class_cd,it_remarks) values</v>
      </c>
      <c r="G58" s="11" t="str">
        <f t="shared" si="2"/>
        <v>('06Jan250110','050000703761','17899',(select max(to_number(i.premium_rcv_detail_code))+1
from ins_premium_det i),'17899','17899','02', '11000003','00','Request by Mr. Omair Ali 07-Jan-2024');</v>
      </c>
      <c r="H58" s="12" t="str">
        <f t="shared" si="3"/>
        <v>insert into ins_premium_det (premium_rcv_code,assorted_code, rec_amount,premium_rcv_detail_code,remaining_amt, payrec, mode_code,coinsurance_code,class_cd,it_remarks) values('06Jan250110','050000703761','17899',(select max(to_number(i.premium_rcv_detail_code))+1
from ins_premium_det i),'17899','17899','02', '11000003','00','Request by Mr. Omair Ali 07-Jan-2024');</v>
      </c>
    </row>
    <row r="59" spans="1:8" ht="105" x14ac:dyDescent="0.25">
      <c r="A59" t="s">
        <v>59</v>
      </c>
      <c r="B59" s="8" t="str">
        <f>VLOOKUP(A59,policy!B:C,2,0)</f>
        <v>050000704853</v>
      </c>
      <c r="C59" s="3">
        <v>5380.7143999999998</v>
      </c>
      <c r="D59" s="9">
        <f t="shared" si="1"/>
        <v>5381</v>
      </c>
      <c r="E59" s="7" t="s">
        <v>225</v>
      </c>
      <c r="F59" s="10" t="str">
        <f t="shared" si="0"/>
        <v>insert into ins_premium_det (premium_rcv_code,assorted_code, rec_amount,premium_rcv_detail_code,remaining_amt, payrec, mode_code,coinsurance_code,class_cd,it_remarks) values</v>
      </c>
      <c r="G59" s="11" t="str">
        <f t="shared" si="2"/>
        <v>('06Jan250110','050000704853','5381',(select max(to_number(i.premium_rcv_detail_code))+1
from ins_premium_det i),'5381','5381','02', '11000003','00','Request by Mr. Omair Ali 07-Jan-2024');</v>
      </c>
      <c r="H59" s="12" t="str">
        <f t="shared" si="3"/>
        <v>insert into ins_premium_det (premium_rcv_code,assorted_code, rec_amount,premium_rcv_detail_code,remaining_amt, payrec, mode_code,coinsurance_code,class_cd,it_remarks) values('06Jan250110','050000704853','5381',(select max(to_number(i.premium_rcv_detail_code))+1
from ins_premium_det i),'5381','5381','02', '11000003','00','Request by Mr. Omair Ali 07-Jan-2024');</v>
      </c>
    </row>
    <row r="60" spans="1:8" ht="105" x14ac:dyDescent="0.25">
      <c r="A60" t="s">
        <v>60</v>
      </c>
      <c r="B60" s="8" t="str">
        <f>VLOOKUP(A60,policy!B:C,2,0)</f>
        <v>050000704864</v>
      </c>
      <c r="C60" s="3">
        <v>-765663.83263368811</v>
      </c>
      <c r="D60" s="9">
        <f t="shared" si="1"/>
        <v>-765664</v>
      </c>
      <c r="E60" s="7" t="s">
        <v>225</v>
      </c>
      <c r="F60" s="10" t="str">
        <f t="shared" si="0"/>
        <v>insert into ins_premium_det (premium_rcv_code,assorted_code, rec_amount,premium_rcv_detail_code,remaining_amt, payrec, mode_code,coinsurance_code,class_cd,it_remarks) values</v>
      </c>
      <c r="G60" s="11" t="str">
        <f t="shared" si="2"/>
        <v>('06Jan250110','050000704864','-765664',(select max(to_number(i.premium_rcv_detail_code))+1
from ins_premium_det i),'-765664','-765664','02', '11000003','00','Request by Mr. Omair Ali 07-Jan-2024');</v>
      </c>
      <c r="H60" s="12" t="str">
        <f t="shared" si="3"/>
        <v>insert into ins_premium_det (premium_rcv_code,assorted_code, rec_amount,premium_rcv_detail_code,remaining_amt, payrec, mode_code,coinsurance_code,class_cd,it_remarks) values('06Jan250110','050000704864','-765664',(select max(to_number(i.premium_rcv_detail_code))+1
from ins_premium_det i),'-765664','-765664','02', '11000003','00','Request by Mr. Omair Ali 07-Jan-2024');</v>
      </c>
    </row>
    <row r="61" spans="1:8" ht="105" x14ac:dyDescent="0.25">
      <c r="A61" t="s">
        <v>61</v>
      </c>
      <c r="B61" s="8" t="str">
        <f>VLOOKUP(A61,policy!B:C,2,0)</f>
        <v>050000705665</v>
      </c>
      <c r="C61" s="3">
        <v>101696.78889999999</v>
      </c>
      <c r="D61" s="9">
        <f t="shared" si="1"/>
        <v>101697</v>
      </c>
      <c r="E61" s="7" t="s">
        <v>225</v>
      </c>
      <c r="F61" s="10" t="str">
        <f t="shared" si="0"/>
        <v>insert into ins_premium_det (premium_rcv_code,assorted_code, rec_amount,premium_rcv_detail_code,remaining_amt, payrec, mode_code,coinsurance_code,class_cd,it_remarks) values</v>
      </c>
      <c r="G61" s="11" t="str">
        <f t="shared" si="2"/>
        <v>('06Jan250110','050000705665','101697',(select max(to_number(i.premium_rcv_detail_code))+1
from ins_premium_det i),'101697','101697','02', '11000003','00','Request by Mr. Omair Ali 07-Jan-2024');</v>
      </c>
      <c r="H61" s="12" t="str">
        <f t="shared" si="3"/>
        <v>insert into ins_premium_det (premium_rcv_code,assorted_code, rec_amount,premium_rcv_detail_code,remaining_amt, payrec, mode_code,coinsurance_code,class_cd,it_remarks) values('06Jan250110','050000705665','101697',(select max(to_number(i.premium_rcv_detail_code))+1
from ins_premium_det i),'101697','101697','02', '11000003','00','Request by Mr. Omair Ali 07-Jan-2024');</v>
      </c>
    </row>
    <row r="62" spans="1:8" ht="105" x14ac:dyDescent="0.25">
      <c r="A62" t="s">
        <v>62</v>
      </c>
      <c r="B62" s="8" t="str">
        <f>VLOOKUP(A62,policy!B:C,2,0)</f>
        <v>050000707063</v>
      </c>
      <c r="C62" s="3">
        <v>39280.4352</v>
      </c>
      <c r="D62" s="9">
        <f t="shared" si="1"/>
        <v>39280</v>
      </c>
      <c r="E62" s="7" t="s">
        <v>225</v>
      </c>
      <c r="F62" s="10" t="str">
        <f t="shared" si="0"/>
        <v>insert into ins_premium_det (premium_rcv_code,assorted_code, rec_amount,premium_rcv_detail_code,remaining_amt, payrec, mode_code,coinsurance_code,class_cd,it_remarks) values</v>
      </c>
      <c r="G62" s="11" t="str">
        <f t="shared" si="2"/>
        <v>('06Jan250110','050000707063','39280',(select max(to_number(i.premium_rcv_detail_code))+1
from ins_premium_det i),'39280','39280','02', '11000003','00','Request by Mr. Omair Ali 07-Jan-2024');</v>
      </c>
      <c r="H62" s="12" t="str">
        <f t="shared" si="3"/>
        <v>insert into ins_premium_det (premium_rcv_code,assorted_code, rec_amount,premium_rcv_detail_code,remaining_amt, payrec, mode_code,coinsurance_code,class_cd,it_remarks) values('06Jan250110','050000707063','39280',(select max(to_number(i.premium_rcv_detail_code))+1
from ins_premium_det i),'39280','39280','02', '11000003','00','Request by Mr. Omair Ali 07-Jan-2024');</v>
      </c>
    </row>
    <row r="63" spans="1:8" ht="105" x14ac:dyDescent="0.25">
      <c r="A63" t="s">
        <v>63</v>
      </c>
      <c r="B63" s="8" t="str">
        <f>VLOOKUP(A63,policy!B:C,2,0)</f>
        <v>050000708884</v>
      </c>
      <c r="C63" s="3">
        <v>4471.7749999999996</v>
      </c>
      <c r="D63" s="9">
        <f t="shared" si="1"/>
        <v>4472</v>
      </c>
      <c r="E63" s="7" t="s">
        <v>225</v>
      </c>
      <c r="F63" s="10" t="str">
        <f t="shared" si="0"/>
        <v>insert into ins_premium_det (premium_rcv_code,assorted_code, rec_amount,premium_rcv_detail_code,remaining_amt, payrec, mode_code,coinsurance_code,class_cd,it_remarks) values</v>
      </c>
      <c r="G63" s="11" t="str">
        <f t="shared" si="2"/>
        <v>('06Jan250110','050000708884','4472',(select max(to_number(i.premium_rcv_detail_code))+1
from ins_premium_det i),'4472','4472','02', '11000003','00','Request by Mr. Omair Ali 07-Jan-2024');</v>
      </c>
      <c r="H63" s="12" t="str">
        <f t="shared" si="3"/>
        <v>insert into ins_premium_det (premium_rcv_code,assorted_code, rec_amount,premium_rcv_detail_code,remaining_amt, payrec, mode_code,coinsurance_code,class_cd,it_remarks) values('06Jan250110','050000708884','4472',(select max(to_number(i.premium_rcv_detail_code))+1
from ins_premium_det i),'4472','4472','02', '11000003','00','Request by Mr. Omair Ali 07-Jan-2024');</v>
      </c>
    </row>
    <row r="64" spans="1:8" ht="105" x14ac:dyDescent="0.25">
      <c r="A64" t="s">
        <v>64</v>
      </c>
      <c r="B64" s="8" t="str">
        <f>VLOOKUP(A64,policy!B:C,2,0)</f>
        <v>050000710505</v>
      </c>
      <c r="C64" s="3">
        <v>569034.45449999999</v>
      </c>
      <c r="D64" s="9">
        <f t="shared" si="1"/>
        <v>569034</v>
      </c>
      <c r="E64" s="7" t="s">
        <v>225</v>
      </c>
      <c r="F64" s="10" t="str">
        <f t="shared" si="0"/>
        <v>insert into ins_premium_det (premium_rcv_code,assorted_code, rec_amount,premium_rcv_detail_code,remaining_amt, payrec, mode_code,coinsurance_code,class_cd,it_remarks) values</v>
      </c>
      <c r="G64" s="11" t="str">
        <f t="shared" si="2"/>
        <v>('06Jan250110','050000710505','569034',(select max(to_number(i.premium_rcv_detail_code))+1
from ins_premium_det i),'569034','569034','02', '11000003','00','Request by Mr. Omair Ali 07-Jan-2024');</v>
      </c>
      <c r="H64" s="12" t="str">
        <f t="shared" si="3"/>
        <v>insert into ins_premium_det (premium_rcv_code,assorted_code, rec_amount,premium_rcv_detail_code,remaining_amt, payrec, mode_code,coinsurance_code,class_cd,it_remarks) values('06Jan250110','050000710505','569034',(select max(to_number(i.premium_rcv_detail_code))+1
from ins_premium_det i),'569034','569034','02', '11000003','00','Request by Mr. Omair Ali 07-Jan-2024');</v>
      </c>
    </row>
    <row r="65" spans="1:8" ht="105" x14ac:dyDescent="0.25">
      <c r="A65" t="s">
        <v>65</v>
      </c>
      <c r="B65" s="8" t="str">
        <f>VLOOKUP(A65,policy!B:C,2,0)</f>
        <v>050000715930</v>
      </c>
      <c r="C65" s="3">
        <v>-525164.35115425044</v>
      </c>
      <c r="D65" s="9">
        <f t="shared" si="1"/>
        <v>-525164</v>
      </c>
      <c r="E65" s="7" t="s">
        <v>225</v>
      </c>
      <c r="F65" s="10" t="str">
        <f t="shared" si="0"/>
        <v>insert into ins_premium_det (premium_rcv_code,assorted_code, rec_amount,premium_rcv_detail_code,remaining_amt, payrec, mode_code,coinsurance_code,class_cd,it_remarks) values</v>
      </c>
      <c r="G65" s="11" t="str">
        <f t="shared" si="2"/>
        <v>('06Jan250110','050000715930','-525164',(select max(to_number(i.premium_rcv_detail_code))+1
from ins_premium_det i),'-525164','-525164','02', '11000003','00','Request by Mr. Omair Ali 07-Jan-2024');</v>
      </c>
      <c r="H65" s="12" t="str">
        <f t="shared" si="3"/>
        <v>insert into ins_premium_det (premium_rcv_code,assorted_code, rec_amount,premium_rcv_detail_code,remaining_amt, payrec, mode_code,coinsurance_code,class_cd,it_remarks) values('06Jan250110','050000715930','-525164',(select max(to_number(i.premium_rcv_detail_code))+1
from ins_premium_det i),'-525164','-525164','02', '11000003','00','Request by Mr. Omair Ali 07-Jan-2024');</v>
      </c>
    </row>
    <row r="66" spans="1:8" ht="105" x14ac:dyDescent="0.25">
      <c r="A66" t="s">
        <v>66</v>
      </c>
      <c r="B66" s="8" t="str">
        <f>VLOOKUP(A66,policy!B:C,2,0)</f>
        <v>050000718159</v>
      </c>
      <c r="C66" s="3">
        <v>32903.143700000001</v>
      </c>
      <c r="D66" s="9">
        <f t="shared" si="1"/>
        <v>32903</v>
      </c>
      <c r="E66" s="7" t="s">
        <v>225</v>
      </c>
      <c r="F66" s="10" t="str">
        <f t="shared" ref="F66:F96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1" t="str">
        <f t="shared" si="2"/>
        <v>('06Jan250110','050000718159','32903',(select max(to_number(i.premium_rcv_detail_code))+1
from ins_premium_det i),'32903','32903','02', '11000003','00','Request by Mr. Omair Ali 07-Jan-2024');</v>
      </c>
      <c r="H66" s="12" t="str">
        <f t="shared" si="3"/>
        <v>insert into ins_premium_det (premium_rcv_code,assorted_code, rec_amount,premium_rcv_detail_code,remaining_amt, payrec, mode_code,coinsurance_code,class_cd,it_remarks) values('06Jan250110','050000718159','32903',(select max(to_number(i.premium_rcv_detail_code))+1
from ins_premium_det i),'32903','32903','02', '11000003','00','Request by Mr. Omair Ali 07-Jan-2024');</v>
      </c>
    </row>
    <row r="67" spans="1:8" ht="105" x14ac:dyDescent="0.25">
      <c r="A67" t="s">
        <v>67</v>
      </c>
      <c r="B67" s="8" t="str">
        <f>VLOOKUP(A67,policy!B:C,2,0)</f>
        <v>050000718283</v>
      </c>
      <c r="C67" s="3">
        <v>4776.7546000000002</v>
      </c>
      <c r="D67" s="9">
        <f t="shared" ref="D67:D96" si="5">ROUND(C67,0)</f>
        <v>4777</v>
      </c>
      <c r="E67" s="7" t="s">
        <v>225</v>
      </c>
      <c r="F67" s="10" t="str">
        <f t="shared" si="4"/>
        <v>insert into ins_premium_det (premium_rcv_code,assorted_code, rec_amount,premium_rcv_detail_code,remaining_amt, payrec, mode_code,coinsurance_code,class_cd,it_remarks) values</v>
      </c>
      <c r="G67" s="11" t="str">
        <f t="shared" ref="G67:G96" si="6">"('"&amp;E67&amp;"','"&amp;B67&amp;"','"&amp;D67&amp;"',(select max(to_number(i.premium_rcv_detail_code))+1
from ins_premium_det i),'"&amp;D67&amp;"','"&amp;D67&amp;"','02', '11000003','00','Request by Mr. Omair Ali 07-Jan-2024');"</f>
        <v>('06Jan250110','050000718283','4777',(select max(to_number(i.premium_rcv_detail_code))+1
from ins_premium_det i),'4777','4777','02', '11000003','00','Request by Mr. Omair Ali 07-Jan-2024');</v>
      </c>
      <c r="H67" s="12" t="str">
        <f t="shared" ref="H67:H96" si="7">F67&amp;G67</f>
        <v>insert into ins_premium_det (premium_rcv_code,assorted_code, rec_amount,premium_rcv_detail_code,remaining_amt, payrec, mode_code,coinsurance_code,class_cd,it_remarks) values('06Jan250110','050000718283','4777',(select max(to_number(i.premium_rcv_detail_code))+1
from ins_premium_det i),'4777','4777','02', '11000003','00','Request by Mr. Omair Ali 07-Jan-2024');</v>
      </c>
    </row>
    <row r="68" spans="1:8" ht="105" x14ac:dyDescent="0.25">
      <c r="A68" t="s">
        <v>68</v>
      </c>
      <c r="B68" s="8" t="str">
        <f>VLOOKUP(A68,policy!B:C,2,0)</f>
        <v>050000718345</v>
      </c>
      <c r="C68" s="3">
        <v>4028.8192999999997</v>
      </c>
      <c r="D68" s="9">
        <f t="shared" si="5"/>
        <v>4029</v>
      </c>
      <c r="E68" s="7" t="s">
        <v>225</v>
      </c>
      <c r="F68" s="10" t="str">
        <f t="shared" si="4"/>
        <v>insert into ins_premium_det (premium_rcv_code,assorted_code, rec_amount,premium_rcv_detail_code,remaining_amt, payrec, mode_code,coinsurance_code,class_cd,it_remarks) values</v>
      </c>
      <c r="G68" s="11" t="str">
        <f t="shared" si="6"/>
        <v>('06Jan250110','050000718345','4029',(select max(to_number(i.premium_rcv_detail_code))+1
from ins_premium_det i),'4029','4029','02', '11000003','00','Request by Mr. Omair Ali 07-Jan-2024');</v>
      </c>
      <c r="H68" s="12" t="str">
        <f t="shared" si="7"/>
        <v>insert into ins_premium_det (premium_rcv_code,assorted_code, rec_amount,premium_rcv_detail_code,remaining_amt, payrec, mode_code,coinsurance_code,class_cd,it_remarks) values('06Jan250110','050000718345','4029',(select max(to_number(i.premium_rcv_detail_code))+1
from ins_premium_det i),'4029','4029','02', '11000003','00','Request by Mr. Omair Ali 07-Jan-2024');</v>
      </c>
    </row>
    <row r="69" spans="1:8" ht="105" x14ac:dyDescent="0.25">
      <c r="A69" t="s">
        <v>69</v>
      </c>
      <c r="B69" s="8" t="str">
        <f>VLOOKUP(A69,policy!B:C,2,0)</f>
        <v>050000718419</v>
      </c>
      <c r="C69" s="3">
        <v>135958.76639999996</v>
      </c>
      <c r="D69" s="9">
        <f t="shared" si="5"/>
        <v>135959</v>
      </c>
      <c r="E69" s="7" t="s">
        <v>225</v>
      </c>
      <c r="F69" s="10" t="str">
        <f t="shared" si="4"/>
        <v>insert into ins_premium_det (premium_rcv_code,assorted_code, rec_amount,premium_rcv_detail_code,remaining_amt, payrec, mode_code,coinsurance_code,class_cd,it_remarks) values</v>
      </c>
      <c r="G69" s="11" t="str">
        <f t="shared" si="6"/>
        <v>('06Jan250110','050000718419','135959',(select max(to_number(i.premium_rcv_detail_code))+1
from ins_premium_det i),'135959','135959','02', '11000003','00','Request by Mr. Omair Ali 07-Jan-2024');</v>
      </c>
      <c r="H69" s="12" t="str">
        <f t="shared" si="7"/>
        <v>insert into ins_premium_det (premium_rcv_code,assorted_code, rec_amount,premium_rcv_detail_code,remaining_amt, payrec, mode_code,coinsurance_code,class_cd,it_remarks) values('06Jan250110','050000718419','135959',(select max(to_number(i.premium_rcv_detail_code))+1
from ins_premium_det i),'135959','135959','02', '11000003','00','Request by Mr. Omair Ali 07-Jan-2024');</v>
      </c>
    </row>
    <row r="70" spans="1:8" ht="105" x14ac:dyDescent="0.25">
      <c r="A70" t="s">
        <v>70</v>
      </c>
      <c r="B70" s="8" t="str">
        <f>VLOOKUP(A70,policy!B:C,2,0)</f>
        <v>050000719900</v>
      </c>
      <c r="C70" s="3">
        <v>-181252.99549954329</v>
      </c>
      <c r="D70" s="9">
        <f t="shared" si="5"/>
        <v>-181253</v>
      </c>
      <c r="E70" s="7" t="s">
        <v>225</v>
      </c>
      <c r="F70" s="10" t="str">
        <f t="shared" si="4"/>
        <v>insert into ins_premium_det (premium_rcv_code,assorted_code, rec_amount,premium_rcv_detail_code,remaining_amt, payrec, mode_code,coinsurance_code,class_cd,it_remarks) values</v>
      </c>
      <c r="G70" s="11" t="str">
        <f t="shared" si="6"/>
        <v>('06Jan250110','050000719900','-181253',(select max(to_number(i.premium_rcv_detail_code))+1
from ins_premium_det i),'-181253','-181253','02', '11000003','00','Request by Mr. Omair Ali 07-Jan-2024');</v>
      </c>
      <c r="H70" s="12" t="str">
        <f t="shared" si="7"/>
        <v>insert into ins_premium_det (premium_rcv_code,assorted_code, rec_amount,premium_rcv_detail_code,remaining_amt, payrec, mode_code,coinsurance_code,class_cd,it_remarks) values('06Jan250110','050000719900','-181253',(select max(to_number(i.premium_rcv_detail_code))+1
from ins_premium_det i),'-181253','-181253','02', '11000003','00','Request by Mr. Omair Ali 07-Jan-2024');</v>
      </c>
    </row>
    <row r="71" spans="1:8" ht="105" x14ac:dyDescent="0.25">
      <c r="A71" t="s">
        <v>71</v>
      </c>
      <c r="B71" s="8" t="str">
        <f>VLOOKUP(A71,policy!B:C,2,0)</f>
        <v>050000724532</v>
      </c>
      <c r="C71" s="3">
        <v>10393.595177343999</v>
      </c>
      <c r="D71" s="9">
        <f t="shared" si="5"/>
        <v>10394</v>
      </c>
      <c r="E71" s="7" t="s">
        <v>225</v>
      </c>
      <c r="F71" s="10" t="str">
        <f t="shared" si="4"/>
        <v>insert into ins_premium_det (premium_rcv_code,assorted_code, rec_amount,premium_rcv_detail_code,remaining_amt, payrec, mode_code,coinsurance_code,class_cd,it_remarks) values</v>
      </c>
      <c r="G71" s="11" t="str">
        <f t="shared" si="6"/>
        <v>('06Jan250110','050000724532','10394',(select max(to_number(i.premium_rcv_detail_code))+1
from ins_premium_det i),'10394','10394','02', '11000003','00','Request by Mr. Omair Ali 07-Jan-2024');</v>
      </c>
      <c r="H71" s="12" t="str">
        <f t="shared" si="7"/>
        <v>insert into ins_premium_det (premium_rcv_code,assorted_code, rec_amount,premium_rcv_detail_code,remaining_amt, payrec, mode_code,coinsurance_code,class_cd,it_remarks) values('06Jan250110','050000724532','10394',(select max(to_number(i.premium_rcv_detail_code))+1
from ins_premium_det i),'10394','10394','02', '11000003','00','Request by Mr. Omair Ali 07-Jan-2024');</v>
      </c>
    </row>
    <row r="72" spans="1:8" ht="105" x14ac:dyDescent="0.25">
      <c r="A72" t="s">
        <v>72</v>
      </c>
      <c r="B72" s="8" t="str">
        <f>VLOOKUP(A72,policy!B:C,2,0)</f>
        <v>050000725053</v>
      </c>
      <c r="C72" s="3">
        <v>13798.6402</v>
      </c>
      <c r="D72" s="9">
        <f t="shared" si="5"/>
        <v>13799</v>
      </c>
      <c r="E72" s="7" t="s">
        <v>225</v>
      </c>
      <c r="F72" s="10" t="str">
        <f t="shared" si="4"/>
        <v>insert into ins_premium_det (premium_rcv_code,assorted_code, rec_amount,premium_rcv_detail_code,remaining_amt, payrec, mode_code,coinsurance_code,class_cd,it_remarks) values</v>
      </c>
      <c r="G72" s="11" t="str">
        <f t="shared" si="6"/>
        <v>('06Jan250110','050000725053','13799',(select max(to_number(i.premium_rcv_detail_code))+1
from ins_premium_det i),'13799','13799','02', '11000003','00','Request by Mr. Omair Ali 07-Jan-2024');</v>
      </c>
      <c r="H72" s="12" t="str">
        <f t="shared" si="7"/>
        <v>insert into ins_premium_det (premium_rcv_code,assorted_code, rec_amount,premium_rcv_detail_code,remaining_amt, payrec, mode_code,coinsurance_code,class_cd,it_remarks) values('06Jan250110','050000725053','13799',(select max(to_number(i.premium_rcv_detail_code))+1
from ins_premium_det i),'13799','13799','02', '11000003','00','Request by Mr. Omair Ali 07-Jan-2024');</v>
      </c>
    </row>
    <row r="73" spans="1:8" ht="105" x14ac:dyDescent="0.25">
      <c r="A73" t="s">
        <v>73</v>
      </c>
      <c r="B73" s="8" t="str">
        <f>VLOOKUP(A73,policy!B:C,2,0)</f>
        <v>050000726595</v>
      </c>
      <c r="C73" s="3">
        <v>5843.5064999999995</v>
      </c>
      <c r="D73" s="9">
        <f t="shared" si="5"/>
        <v>5844</v>
      </c>
      <c r="E73" s="7" t="s">
        <v>225</v>
      </c>
      <c r="F73" s="10" t="str">
        <f t="shared" si="4"/>
        <v>insert into ins_premium_det (premium_rcv_code,assorted_code, rec_amount,premium_rcv_detail_code,remaining_amt, payrec, mode_code,coinsurance_code,class_cd,it_remarks) values</v>
      </c>
      <c r="G73" s="11" t="str">
        <f t="shared" si="6"/>
        <v>('06Jan250110','050000726595','5844',(select max(to_number(i.premium_rcv_detail_code))+1
from ins_premium_det i),'5844','5844','02', '11000003','00','Request by Mr. Omair Ali 07-Jan-2024');</v>
      </c>
      <c r="H73" s="12" t="str">
        <f t="shared" si="7"/>
        <v>insert into ins_premium_det (premium_rcv_code,assorted_code, rec_amount,premium_rcv_detail_code,remaining_amt, payrec, mode_code,coinsurance_code,class_cd,it_remarks) values('06Jan250110','050000726595','5844',(select max(to_number(i.premium_rcv_detail_code))+1
from ins_premium_det i),'5844','5844','02', '11000003','00','Request by Mr. Omair Ali 07-Jan-2024');</v>
      </c>
    </row>
    <row r="74" spans="1:8" ht="105" x14ac:dyDescent="0.25">
      <c r="A74" t="s">
        <v>74</v>
      </c>
      <c r="B74" s="8" t="str">
        <f>VLOOKUP(A74,policy!B:C,2,0)</f>
        <v>050000726611</v>
      </c>
      <c r="C74" s="3">
        <v>9435.2584000000006</v>
      </c>
      <c r="D74" s="9">
        <f t="shared" si="5"/>
        <v>9435</v>
      </c>
      <c r="E74" s="7" t="s">
        <v>225</v>
      </c>
      <c r="F74" s="10" t="str">
        <f t="shared" si="4"/>
        <v>insert into ins_premium_det (premium_rcv_code,assorted_code, rec_amount,premium_rcv_detail_code,remaining_amt, payrec, mode_code,coinsurance_code,class_cd,it_remarks) values</v>
      </c>
      <c r="G74" s="11" t="str">
        <f t="shared" si="6"/>
        <v>('06Jan250110','050000726611','9435',(select max(to_number(i.premium_rcv_detail_code))+1
from ins_premium_det i),'9435','9435','02', '11000003','00','Request by Mr. Omair Ali 07-Jan-2024');</v>
      </c>
      <c r="H74" s="12" t="str">
        <f t="shared" si="7"/>
        <v>insert into ins_premium_det (premium_rcv_code,assorted_code, rec_amount,premium_rcv_detail_code,remaining_amt, payrec, mode_code,coinsurance_code,class_cd,it_remarks) values('06Jan250110','050000726611','9435',(select max(to_number(i.premium_rcv_detail_code))+1
from ins_premium_det i),'9435','9435','02', '11000003','00','Request by Mr. Omair Ali 07-Jan-2024');</v>
      </c>
    </row>
    <row r="75" spans="1:8" ht="105" x14ac:dyDescent="0.25">
      <c r="A75" t="s">
        <v>75</v>
      </c>
      <c r="B75" s="8" t="str">
        <f>VLOOKUP(A75,policy!B:C,2,0)</f>
        <v>050000728202</v>
      </c>
      <c r="C75" s="3">
        <v>19953.943800000001</v>
      </c>
      <c r="D75" s="9">
        <f t="shared" si="5"/>
        <v>19954</v>
      </c>
      <c r="E75" s="7" t="s">
        <v>225</v>
      </c>
      <c r="F75" s="10" t="str">
        <f t="shared" si="4"/>
        <v>insert into ins_premium_det (premium_rcv_code,assorted_code, rec_amount,premium_rcv_detail_code,remaining_amt, payrec, mode_code,coinsurance_code,class_cd,it_remarks) values</v>
      </c>
      <c r="G75" s="11" t="str">
        <f t="shared" si="6"/>
        <v>('06Jan250110','050000728202','19954',(select max(to_number(i.premium_rcv_detail_code))+1
from ins_premium_det i),'19954','19954','02', '11000003','00','Request by Mr. Omair Ali 07-Jan-2024');</v>
      </c>
      <c r="H75" s="12" t="str">
        <f t="shared" si="7"/>
        <v>insert into ins_premium_det (premium_rcv_code,assorted_code, rec_amount,premium_rcv_detail_code,remaining_amt, payrec, mode_code,coinsurance_code,class_cd,it_remarks) values('06Jan250110','050000728202','19954',(select max(to_number(i.premium_rcv_detail_code))+1
from ins_premium_det i),'19954','19954','02', '11000003','00','Request by Mr. Omair Ali 07-Jan-2024');</v>
      </c>
    </row>
    <row r="76" spans="1:8" ht="105" x14ac:dyDescent="0.25">
      <c r="A76" t="s">
        <v>76</v>
      </c>
      <c r="B76" s="8" t="str">
        <f>VLOOKUP(A76,policy!B:C,2,0)</f>
        <v>050000728928</v>
      </c>
      <c r="C76" s="3">
        <v>-233662.41072195364</v>
      </c>
      <c r="D76" s="9">
        <f t="shared" si="5"/>
        <v>-233662</v>
      </c>
      <c r="E76" s="7" t="s">
        <v>225</v>
      </c>
      <c r="F76" s="10" t="str">
        <f t="shared" si="4"/>
        <v>insert into ins_premium_det (premium_rcv_code,assorted_code, rec_amount,premium_rcv_detail_code,remaining_amt, payrec, mode_code,coinsurance_code,class_cd,it_remarks) values</v>
      </c>
      <c r="G76" s="11" t="str">
        <f t="shared" si="6"/>
        <v>('06Jan250110','050000728928','-233662',(select max(to_number(i.premium_rcv_detail_code))+1
from ins_premium_det i),'-233662','-233662','02', '11000003','00','Request by Mr. Omair Ali 07-Jan-2024');</v>
      </c>
      <c r="H76" s="12" t="str">
        <f t="shared" si="7"/>
        <v>insert into ins_premium_det (premium_rcv_code,assorted_code, rec_amount,premium_rcv_detail_code,remaining_amt, payrec, mode_code,coinsurance_code,class_cd,it_remarks) values('06Jan250110','050000728928','-233662',(select max(to_number(i.premium_rcv_detail_code))+1
from ins_premium_det i),'-233662','-233662','02', '11000003','00','Request by Mr. Omair Ali 07-Jan-2024');</v>
      </c>
    </row>
    <row r="77" spans="1:8" ht="105" x14ac:dyDescent="0.25">
      <c r="A77" t="s">
        <v>77</v>
      </c>
      <c r="B77" s="8" t="str">
        <f>VLOOKUP(A77,policy!B:C,2,0)</f>
        <v>050000729119</v>
      </c>
      <c r="C77" s="3">
        <v>5990.4918000000007</v>
      </c>
      <c r="D77" s="9">
        <f t="shared" si="5"/>
        <v>5990</v>
      </c>
      <c r="E77" s="7" t="s">
        <v>225</v>
      </c>
      <c r="F77" s="10" t="str">
        <f t="shared" si="4"/>
        <v>insert into ins_premium_det (premium_rcv_code,assorted_code, rec_amount,premium_rcv_detail_code,remaining_amt, payrec, mode_code,coinsurance_code,class_cd,it_remarks) values</v>
      </c>
      <c r="G77" s="11" t="str">
        <f t="shared" si="6"/>
        <v>('06Jan250110','050000729119','5990',(select max(to_number(i.premium_rcv_detail_code))+1
from ins_premium_det i),'5990','5990','02', '11000003','00','Request by Mr. Omair Ali 07-Jan-2024');</v>
      </c>
      <c r="H77" s="12" t="str">
        <f t="shared" si="7"/>
        <v>insert into ins_premium_det (premium_rcv_code,assorted_code, rec_amount,premium_rcv_detail_code,remaining_amt, payrec, mode_code,coinsurance_code,class_cd,it_remarks) values('06Jan250110','050000729119','5990',(select max(to_number(i.premium_rcv_detail_code))+1
from ins_premium_det i),'5990','5990','02', '11000003','00','Request by Mr. Omair Ali 07-Jan-2024');</v>
      </c>
    </row>
    <row r="78" spans="1:8" ht="105" x14ac:dyDescent="0.25">
      <c r="A78" t="s">
        <v>78</v>
      </c>
      <c r="B78" s="8" t="str">
        <f>VLOOKUP(A78,policy!B:C,2,0)</f>
        <v>050000730185</v>
      </c>
      <c r="C78" s="3">
        <v>4106.8822</v>
      </c>
      <c r="D78" s="9">
        <f t="shared" si="5"/>
        <v>4107</v>
      </c>
      <c r="E78" s="7" t="s">
        <v>225</v>
      </c>
      <c r="F78" s="10" t="str">
        <f t="shared" si="4"/>
        <v>insert into ins_premium_det (premium_rcv_code,assorted_code, rec_amount,premium_rcv_detail_code,remaining_amt, payrec, mode_code,coinsurance_code,class_cd,it_remarks) values</v>
      </c>
      <c r="G78" s="11" t="str">
        <f t="shared" si="6"/>
        <v>('06Jan250110','050000730185','4107',(select max(to_number(i.premium_rcv_detail_code))+1
from ins_premium_det i),'4107','4107','02', '11000003','00','Request by Mr. Omair Ali 07-Jan-2024');</v>
      </c>
      <c r="H78" s="12" t="str">
        <f t="shared" si="7"/>
        <v>insert into ins_premium_det (premium_rcv_code,assorted_code, rec_amount,premium_rcv_detail_code,remaining_amt, payrec, mode_code,coinsurance_code,class_cd,it_remarks) values('06Jan250110','050000730185','4107',(select max(to_number(i.premium_rcv_detail_code))+1
from ins_premium_det i),'4107','4107','02', '11000003','00','Request by Mr. Omair Ali 07-Jan-2024');</v>
      </c>
    </row>
    <row r="79" spans="1:8" ht="105" x14ac:dyDescent="0.25">
      <c r="A79" t="s">
        <v>79</v>
      </c>
      <c r="B79" s="8" t="str">
        <f>VLOOKUP(A79,policy!B:C,2,0)</f>
        <v>050000733898</v>
      </c>
      <c r="C79" s="3">
        <v>14988.076799999999</v>
      </c>
      <c r="D79" s="9">
        <f t="shared" si="5"/>
        <v>14988</v>
      </c>
      <c r="E79" s="7" t="s">
        <v>225</v>
      </c>
      <c r="F79" s="10" t="str">
        <f t="shared" si="4"/>
        <v>insert into ins_premium_det (premium_rcv_code,assorted_code, rec_amount,premium_rcv_detail_code,remaining_amt, payrec, mode_code,coinsurance_code,class_cd,it_remarks) values</v>
      </c>
      <c r="G79" s="11" t="str">
        <f t="shared" si="6"/>
        <v>('06Jan250110','050000733898','14988',(select max(to_number(i.premium_rcv_detail_code))+1
from ins_premium_det i),'14988','14988','02', '11000003','00','Request by Mr. Omair Ali 07-Jan-2024');</v>
      </c>
      <c r="H79" s="12" t="str">
        <f t="shared" si="7"/>
        <v>insert into ins_premium_det (premium_rcv_code,assorted_code, rec_amount,premium_rcv_detail_code,remaining_amt, payrec, mode_code,coinsurance_code,class_cd,it_remarks) values('06Jan250110','050000733898','14988',(select max(to_number(i.premium_rcv_detail_code))+1
from ins_premium_det i),'14988','14988','02', '11000003','00','Request by Mr. Omair Ali 07-Jan-2024');</v>
      </c>
    </row>
    <row r="80" spans="1:8" ht="105" x14ac:dyDescent="0.25">
      <c r="A80" t="s">
        <v>80</v>
      </c>
      <c r="B80" s="8" t="str">
        <f>VLOOKUP(A80,policy!B:C,2,0)</f>
        <v>050000738266</v>
      </c>
      <c r="C80" s="3">
        <v>780735.16109999968</v>
      </c>
      <c r="D80" s="9">
        <f t="shared" si="5"/>
        <v>780735</v>
      </c>
      <c r="E80" s="7" t="s">
        <v>225</v>
      </c>
      <c r="F80" s="10" t="str">
        <f t="shared" si="4"/>
        <v>insert into ins_premium_det (premium_rcv_code,assorted_code, rec_amount,premium_rcv_detail_code,remaining_amt, payrec, mode_code,coinsurance_code,class_cd,it_remarks) values</v>
      </c>
      <c r="G80" s="11" t="str">
        <f t="shared" si="6"/>
        <v>('06Jan250110','050000738266','780735',(select max(to_number(i.premium_rcv_detail_code))+1
from ins_premium_det i),'780735','780735','02', '11000003','00','Request by Mr. Omair Ali 07-Jan-2024');</v>
      </c>
      <c r="H80" s="12" t="str">
        <f t="shared" si="7"/>
        <v>insert into ins_premium_det (premium_rcv_code,assorted_code, rec_amount,premium_rcv_detail_code,remaining_amt, payrec, mode_code,coinsurance_code,class_cd,it_remarks) values('06Jan250110','050000738266','780735',(select max(to_number(i.premium_rcv_detail_code))+1
from ins_premium_det i),'780735','780735','02', '11000003','00','Request by Mr. Omair Ali 07-Jan-2024');</v>
      </c>
    </row>
    <row r="81" spans="1:8" ht="105" x14ac:dyDescent="0.25">
      <c r="A81" t="s">
        <v>81</v>
      </c>
      <c r="B81" s="8" t="str">
        <f>VLOOKUP(A81,policy!B:C,2,0)</f>
        <v>050000738309</v>
      </c>
      <c r="C81" s="3">
        <v>3568.8451</v>
      </c>
      <c r="D81" s="9">
        <f t="shared" si="5"/>
        <v>3569</v>
      </c>
      <c r="E81" s="7" t="s">
        <v>225</v>
      </c>
      <c r="F81" s="10" t="str">
        <f t="shared" si="4"/>
        <v>insert into ins_premium_det (premium_rcv_code,assorted_code, rec_amount,premium_rcv_detail_code,remaining_amt, payrec, mode_code,coinsurance_code,class_cd,it_remarks) values</v>
      </c>
      <c r="G81" s="11" t="str">
        <f t="shared" si="6"/>
        <v>('06Jan250110','050000738309','3569',(select max(to_number(i.premium_rcv_detail_code))+1
from ins_premium_det i),'3569','3569','02', '11000003','00','Request by Mr. Omair Ali 07-Jan-2024');</v>
      </c>
      <c r="H81" s="12" t="str">
        <f t="shared" si="7"/>
        <v>insert into ins_premium_det (premium_rcv_code,assorted_code, rec_amount,premium_rcv_detail_code,remaining_amt, payrec, mode_code,coinsurance_code,class_cd,it_remarks) values('06Jan250110','050000738309','3569',(select max(to_number(i.premium_rcv_detail_code))+1
from ins_premium_det i),'3569','3569','02', '11000003','00','Request by Mr. Omair Ali 07-Jan-2024');</v>
      </c>
    </row>
    <row r="82" spans="1:8" ht="105" x14ac:dyDescent="0.25">
      <c r="A82" t="s">
        <v>82</v>
      </c>
      <c r="B82" s="8" t="str">
        <f>VLOOKUP(A82,policy!B:C,2,0)</f>
        <v>050000739278</v>
      </c>
      <c r="C82" s="3">
        <v>21495.5674</v>
      </c>
      <c r="D82" s="9">
        <f t="shared" si="5"/>
        <v>21496</v>
      </c>
      <c r="E82" s="7" t="s">
        <v>225</v>
      </c>
      <c r="F82" s="10" t="str">
        <f t="shared" si="4"/>
        <v>insert into ins_premium_det (premium_rcv_code,assorted_code, rec_amount,premium_rcv_detail_code,remaining_amt, payrec, mode_code,coinsurance_code,class_cd,it_remarks) values</v>
      </c>
      <c r="G82" s="11" t="str">
        <f t="shared" si="6"/>
        <v>('06Jan250110','050000739278','21496',(select max(to_number(i.premium_rcv_detail_code))+1
from ins_premium_det i),'21496','21496','02', '11000003','00','Request by Mr. Omair Ali 07-Jan-2024');</v>
      </c>
      <c r="H82" s="12" t="str">
        <f t="shared" si="7"/>
        <v>insert into ins_premium_det (premium_rcv_code,assorted_code, rec_amount,premium_rcv_detail_code,remaining_amt, payrec, mode_code,coinsurance_code,class_cd,it_remarks) values('06Jan250110','050000739278','21496',(select max(to_number(i.premium_rcv_detail_code))+1
from ins_premium_det i),'21496','21496','02', '11000003','00','Request by Mr. Omair Ali 07-Jan-2024');</v>
      </c>
    </row>
    <row r="83" spans="1:8" ht="105" x14ac:dyDescent="0.25">
      <c r="A83" t="s">
        <v>83</v>
      </c>
      <c r="B83" s="8" t="str">
        <f>VLOOKUP(A83,policy!B:C,2,0)</f>
        <v>050000739308</v>
      </c>
      <c r="C83" s="3">
        <v>7490.8670000000002</v>
      </c>
      <c r="D83" s="9">
        <f t="shared" si="5"/>
        <v>7491</v>
      </c>
      <c r="E83" s="7" t="s">
        <v>225</v>
      </c>
      <c r="F83" s="10" t="str">
        <f t="shared" si="4"/>
        <v>insert into ins_premium_det (premium_rcv_code,assorted_code, rec_amount,premium_rcv_detail_code,remaining_amt, payrec, mode_code,coinsurance_code,class_cd,it_remarks) values</v>
      </c>
      <c r="G83" s="11" t="str">
        <f t="shared" si="6"/>
        <v>('06Jan250110','050000739308','7491',(select max(to_number(i.premium_rcv_detail_code))+1
from ins_premium_det i),'7491','7491','02', '11000003','00','Request by Mr. Omair Ali 07-Jan-2024');</v>
      </c>
      <c r="H83" s="12" t="str">
        <f t="shared" si="7"/>
        <v>insert into ins_premium_det (premium_rcv_code,assorted_code, rec_amount,premium_rcv_detail_code,remaining_amt, payrec, mode_code,coinsurance_code,class_cd,it_remarks) values('06Jan250110','050000739308','7491',(select max(to_number(i.premium_rcv_detail_code))+1
from ins_premium_det i),'7491','7491','02', '11000003','00','Request by Mr. Omair Ali 07-Jan-2024');</v>
      </c>
    </row>
    <row r="84" spans="1:8" ht="105" x14ac:dyDescent="0.25">
      <c r="A84" t="s">
        <v>84</v>
      </c>
      <c r="B84" s="8" t="str">
        <f>VLOOKUP(A84,policy!B:C,2,0)</f>
        <v>050000740696</v>
      </c>
      <c r="C84" s="3">
        <v>2784.3073999999997</v>
      </c>
      <c r="D84" s="9">
        <f t="shared" si="5"/>
        <v>2784</v>
      </c>
      <c r="E84" s="7" t="s">
        <v>225</v>
      </c>
      <c r="F84" s="10" t="str">
        <f t="shared" si="4"/>
        <v>insert into ins_premium_det (premium_rcv_code,assorted_code, rec_amount,premium_rcv_detail_code,remaining_amt, payrec, mode_code,coinsurance_code,class_cd,it_remarks) values</v>
      </c>
      <c r="G84" s="11" t="str">
        <f t="shared" si="6"/>
        <v>('06Jan250110','050000740696','2784',(select max(to_number(i.premium_rcv_detail_code))+1
from ins_premium_det i),'2784','2784','02', '11000003','00','Request by Mr. Omair Ali 07-Jan-2024');</v>
      </c>
      <c r="H84" s="12" t="str">
        <f t="shared" si="7"/>
        <v>insert into ins_premium_det (premium_rcv_code,assorted_code, rec_amount,premium_rcv_detail_code,remaining_amt, payrec, mode_code,coinsurance_code,class_cd,it_remarks) values('06Jan250110','050000740696','2784',(select max(to_number(i.premium_rcv_detail_code))+1
from ins_premium_det i),'2784','2784','02', '11000003','00','Request by Mr. Omair Ali 07-Jan-2024');</v>
      </c>
    </row>
    <row r="85" spans="1:8" ht="105" x14ac:dyDescent="0.25">
      <c r="A85" t="s">
        <v>85</v>
      </c>
      <c r="B85" s="8" t="str">
        <f>VLOOKUP(A85,policy!B:C,2,0)</f>
        <v>050000745865</v>
      </c>
      <c r="C85" s="3">
        <v>17453.224199999997</v>
      </c>
      <c r="D85" s="9">
        <f t="shared" si="5"/>
        <v>17453</v>
      </c>
      <c r="E85" s="7" t="s">
        <v>225</v>
      </c>
      <c r="F85" s="10" t="str">
        <f t="shared" si="4"/>
        <v>insert into ins_premium_det (premium_rcv_code,assorted_code, rec_amount,premium_rcv_detail_code,remaining_amt, payrec, mode_code,coinsurance_code,class_cd,it_remarks) values</v>
      </c>
      <c r="G85" s="11" t="str">
        <f t="shared" si="6"/>
        <v>('06Jan250110','050000745865','17453',(select max(to_number(i.premium_rcv_detail_code))+1
from ins_premium_det i),'17453','17453','02', '11000003','00','Request by Mr. Omair Ali 07-Jan-2024');</v>
      </c>
      <c r="H85" s="12" t="str">
        <f t="shared" si="7"/>
        <v>insert into ins_premium_det (premium_rcv_code,assorted_code, rec_amount,premium_rcv_detail_code,remaining_amt, payrec, mode_code,coinsurance_code,class_cd,it_remarks) values('06Jan250110','050000745865','17453',(select max(to_number(i.premium_rcv_detail_code))+1
from ins_premium_det i),'17453','17453','02', '11000003','00','Request by Mr. Omair Ali 07-Jan-2024');</v>
      </c>
    </row>
    <row r="86" spans="1:8" ht="105" x14ac:dyDescent="0.25">
      <c r="A86" t="s">
        <v>86</v>
      </c>
      <c r="B86" s="8" t="str">
        <f>VLOOKUP(A86,policy!B:C,2,0)</f>
        <v>050000746513</v>
      </c>
      <c r="C86" s="3">
        <v>21832.7559</v>
      </c>
      <c r="D86" s="9">
        <f t="shared" si="5"/>
        <v>21833</v>
      </c>
      <c r="E86" s="7" t="s">
        <v>225</v>
      </c>
      <c r="F86" s="10" t="str">
        <f t="shared" si="4"/>
        <v>insert into ins_premium_det (premium_rcv_code,assorted_code, rec_amount,premium_rcv_detail_code,remaining_amt, payrec, mode_code,coinsurance_code,class_cd,it_remarks) values</v>
      </c>
      <c r="G86" s="11" t="str">
        <f t="shared" si="6"/>
        <v>('06Jan250110','050000746513','21833',(select max(to_number(i.premium_rcv_detail_code))+1
from ins_premium_det i),'21833','21833','02', '11000003','00','Request by Mr. Omair Ali 07-Jan-2024');</v>
      </c>
      <c r="H86" s="12" t="str">
        <f t="shared" si="7"/>
        <v>insert into ins_premium_det (premium_rcv_code,assorted_code, rec_amount,premium_rcv_detail_code,remaining_amt, payrec, mode_code,coinsurance_code,class_cd,it_remarks) values('06Jan250110','050000746513','21833',(select max(to_number(i.premium_rcv_detail_code))+1
from ins_premium_det i),'21833','21833','02', '11000003','00','Request by Mr. Omair Ali 07-Jan-2024');</v>
      </c>
    </row>
    <row r="87" spans="1:8" ht="105" x14ac:dyDescent="0.25">
      <c r="A87" t="s">
        <v>87</v>
      </c>
      <c r="B87" s="8" t="str">
        <f>VLOOKUP(A87,policy!B:C,2,0)</f>
        <v>050000747245</v>
      </c>
      <c r="C87" s="3">
        <v>1609.8996</v>
      </c>
      <c r="D87" s="9">
        <f t="shared" si="5"/>
        <v>1610</v>
      </c>
      <c r="E87" s="7" t="s">
        <v>225</v>
      </c>
      <c r="F87" s="10" t="str">
        <f t="shared" si="4"/>
        <v>insert into ins_premium_det (premium_rcv_code,assorted_code, rec_amount,premium_rcv_detail_code,remaining_amt, payrec, mode_code,coinsurance_code,class_cd,it_remarks) values</v>
      </c>
      <c r="G87" s="11" t="str">
        <f t="shared" si="6"/>
        <v>('06Jan250110','050000747245','1610',(select max(to_number(i.premium_rcv_detail_code))+1
from ins_premium_det i),'1610','1610','02', '11000003','00','Request by Mr. Omair Ali 07-Jan-2024');</v>
      </c>
      <c r="H87" s="12" t="str">
        <f t="shared" si="7"/>
        <v>insert into ins_premium_det (premium_rcv_code,assorted_code, rec_amount,premium_rcv_detail_code,remaining_amt, payrec, mode_code,coinsurance_code,class_cd,it_remarks) values('06Jan250110','050000747245','1610',(select max(to_number(i.premium_rcv_detail_code))+1
from ins_premium_det i),'1610','1610','02', '11000003','00','Request by Mr. Omair Ali 07-Jan-2024');</v>
      </c>
    </row>
    <row r="88" spans="1:8" ht="105" x14ac:dyDescent="0.25">
      <c r="A88" t="s">
        <v>88</v>
      </c>
      <c r="B88" s="8" t="str">
        <f>VLOOKUP(A88,policy!B:C,2,0)</f>
        <v>050000748240</v>
      </c>
      <c r="C88" s="3">
        <v>10047.6618</v>
      </c>
      <c r="D88" s="9">
        <f t="shared" si="5"/>
        <v>10048</v>
      </c>
      <c r="E88" s="7" t="s">
        <v>225</v>
      </c>
      <c r="F88" s="10" t="str">
        <f t="shared" si="4"/>
        <v>insert into ins_premium_det (premium_rcv_code,assorted_code, rec_amount,premium_rcv_detail_code,remaining_amt, payrec, mode_code,coinsurance_code,class_cd,it_remarks) values</v>
      </c>
      <c r="G88" s="11" t="str">
        <f t="shared" si="6"/>
        <v>('06Jan250110','050000748240','10048',(select max(to_number(i.premium_rcv_detail_code))+1
from ins_premium_det i),'10048','10048','02', '11000003','00','Request by Mr. Omair Ali 07-Jan-2024');</v>
      </c>
      <c r="H88" s="12" t="str">
        <f t="shared" si="7"/>
        <v>insert into ins_premium_det (premium_rcv_code,assorted_code, rec_amount,premium_rcv_detail_code,remaining_amt, payrec, mode_code,coinsurance_code,class_cd,it_remarks) values('06Jan250110','050000748240','10048',(select max(to_number(i.premium_rcv_detail_code))+1
from ins_premium_det i),'10048','10048','02', '11000003','00','Request by Mr. Omair Ali 07-Jan-2024');</v>
      </c>
    </row>
    <row r="89" spans="1:8" ht="105" x14ac:dyDescent="0.25">
      <c r="A89" t="s">
        <v>89</v>
      </c>
      <c r="B89" s="8" t="str">
        <f>VLOOKUP(A89,policy!B:C,2,0)</f>
        <v>050000748856</v>
      </c>
      <c r="C89" s="3">
        <v>15852.404499999999</v>
      </c>
      <c r="D89" s="9">
        <f t="shared" si="5"/>
        <v>15852</v>
      </c>
      <c r="E89" s="7" t="s">
        <v>225</v>
      </c>
      <c r="F89" s="10" t="str">
        <f t="shared" si="4"/>
        <v>insert into ins_premium_det (premium_rcv_code,assorted_code, rec_amount,premium_rcv_detail_code,remaining_amt, payrec, mode_code,coinsurance_code,class_cd,it_remarks) values</v>
      </c>
      <c r="G89" s="11" t="str">
        <f t="shared" si="6"/>
        <v>('06Jan250110','050000748856','15852',(select max(to_number(i.premium_rcv_detail_code))+1
from ins_premium_det i),'15852','15852','02', '11000003','00','Request by Mr. Omair Ali 07-Jan-2024');</v>
      </c>
      <c r="H89" s="12" t="str">
        <f t="shared" si="7"/>
        <v>insert into ins_premium_det (premium_rcv_code,assorted_code, rec_amount,premium_rcv_detail_code,remaining_amt, payrec, mode_code,coinsurance_code,class_cd,it_remarks) values('06Jan250110','050000748856','15852',(select max(to_number(i.premium_rcv_detail_code))+1
from ins_premium_det i),'15852','15852','02', '11000003','00','Request by Mr. Omair Ali 07-Jan-2024');</v>
      </c>
    </row>
    <row r="90" spans="1:8" ht="105" x14ac:dyDescent="0.25">
      <c r="A90" t="s">
        <v>90</v>
      </c>
      <c r="B90" s="8" t="str">
        <f>VLOOKUP(A90,policy!B:C,2,0)</f>
        <v>050000750332</v>
      </c>
      <c r="C90" s="3">
        <v>11053.945</v>
      </c>
      <c r="D90" s="9">
        <f t="shared" si="5"/>
        <v>11054</v>
      </c>
      <c r="E90" s="7" t="s">
        <v>225</v>
      </c>
      <c r="F90" s="10" t="str">
        <f t="shared" si="4"/>
        <v>insert into ins_premium_det (premium_rcv_code,assorted_code, rec_amount,premium_rcv_detail_code,remaining_amt, payrec, mode_code,coinsurance_code,class_cd,it_remarks) values</v>
      </c>
      <c r="G90" s="11" t="str">
        <f t="shared" si="6"/>
        <v>('06Jan250110','050000750332','11054',(select max(to_number(i.premium_rcv_detail_code))+1
from ins_premium_det i),'11054','11054','02', '11000003','00','Request by Mr. Omair Ali 07-Jan-2024');</v>
      </c>
      <c r="H90" s="12" t="str">
        <f t="shared" si="7"/>
        <v>insert into ins_premium_det (premium_rcv_code,assorted_code, rec_amount,premium_rcv_detail_code,remaining_amt, payrec, mode_code,coinsurance_code,class_cd,it_remarks) values('06Jan250110','050000750332','11054',(select max(to_number(i.premium_rcv_detail_code))+1
from ins_premium_det i),'11054','11054','02', '11000003','00','Request by Mr. Omair Ali 07-Jan-2024');</v>
      </c>
    </row>
    <row r="91" spans="1:8" ht="105" x14ac:dyDescent="0.25">
      <c r="A91" t="s">
        <v>91</v>
      </c>
      <c r="B91" s="8" t="str">
        <f>VLOOKUP(A91,policy!B:C,2,0)</f>
        <v>050000754522</v>
      </c>
      <c r="C91" s="3">
        <v>-193800.84699935766</v>
      </c>
      <c r="D91" s="9">
        <f t="shared" si="5"/>
        <v>-193801</v>
      </c>
      <c r="E91" s="7" t="s">
        <v>225</v>
      </c>
      <c r="F91" s="10" t="str">
        <f t="shared" si="4"/>
        <v>insert into ins_premium_det (premium_rcv_code,assorted_code, rec_amount,premium_rcv_detail_code,remaining_amt, payrec, mode_code,coinsurance_code,class_cd,it_remarks) values</v>
      </c>
      <c r="G91" s="11" t="str">
        <f t="shared" si="6"/>
        <v>('06Jan250110','050000754522','-193801',(select max(to_number(i.premium_rcv_detail_code))+1
from ins_premium_det i),'-193801','-193801','02', '11000003','00','Request by Mr. Omair Ali 07-Jan-2024');</v>
      </c>
      <c r="H91" s="12" t="str">
        <f t="shared" si="7"/>
        <v>insert into ins_premium_det (premium_rcv_code,assorted_code, rec_amount,premium_rcv_detail_code,remaining_amt, payrec, mode_code,coinsurance_code,class_cd,it_remarks) values('06Jan250110','050000754522','-193801',(select max(to_number(i.premium_rcv_detail_code))+1
from ins_premium_det i),'-193801','-193801','02', '11000003','00','Request by Mr. Omair Ali 07-Jan-2024');</v>
      </c>
    </row>
    <row r="92" spans="1:8" ht="105" x14ac:dyDescent="0.25">
      <c r="A92" t="s">
        <v>92</v>
      </c>
      <c r="B92" s="8" t="str">
        <f>VLOOKUP(A92,policy!B:C,2,0)</f>
        <v>050000755312</v>
      </c>
      <c r="C92" s="3">
        <v>205674.13759999999</v>
      </c>
      <c r="D92" s="9">
        <f t="shared" si="5"/>
        <v>205674</v>
      </c>
      <c r="E92" s="7" t="s">
        <v>225</v>
      </c>
      <c r="F92" s="10" t="str">
        <f t="shared" si="4"/>
        <v>insert into ins_premium_det (premium_rcv_code,assorted_code, rec_amount,premium_rcv_detail_code,remaining_amt, payrec, mode_code,coinsurance_code,class_cd,it_remarks) values</v>
      </c>
      <c r="G92" s="11" t="str">
        <f t="shared" si="6"/>
        <v>('06Jan250110','050000755312','205674',(select max(to_number(i.premium_rcv_detail_code))+1
from ins_premium_det i),'205674','205674','02', '11000003','00','Request by Mr. Omair Ali 07-Jan-2024');</v>
      </c>
      <c r="H92" s="12" t="str">
        <f t="shared" si="7"/>
        <v>insert into ins_premium_det (premium_rcv_code,assorted_code, rec_amount,premium_rcv_detail_code,remaining_amt, payrec, mode_code,coinsurance_code,class_cd,it_remarks) values('06Jan250110','050000755312','205674',(select max(to_number(i.premium_rcv_detail_code))+1
from ins_premium_det i),'205674','205674','02', '11000003','00','Request by Mr. Omair Ali 07-Jan-2024');</v>
      </c>
    </row>
    <row r="93" spans="1:8" ht="105" x14ac:dyDescent="0.25">
      <c r="A93" t="s">
        <v>93</v>
      </c>
      <c r="B93" s="8" t="str">
        <f>VLOOKUP(A93,policy!B:C,2,0)</f>
        <v>050000759014</v>
      </c>
      <c r="C93" s="3">
        <v>17799.4522</v>
      </c>
      <c r="D93" s="9">
        <f t="shared" si="5"/>
        <v>17799</v>
      </c>
      <c r="E93" s="7" t="s">
        <v>225</v>
      </c>
      <c r="F93" s="10" t="str">
        <f t="shared" si="4"/>
        <v>insert into ins_premium_det (premium_rcv_code,assorted_code, rec_amount,premium_rcv_detail_code,remaining_amt, payrec, mode_code,coinsurance_code,class_cd,it_remarks) values</v>
      </c>
      <c r="G93" s="11" t="str">
        <f t="shared" si="6"/>
        <v>('06Jan250110','050000759014','17799',(select max(to_number(i.premium_rcv_detail_code))+1
from ins_premium_det i),'17799','17799','02', '11000003','00','Request by Mr. Omair Ali 07-Jan-2024');</v>
      </c>
      <c r="H93" s="12" t="str">
        <f t="shared" si="7"/>
        <v>insert into ins_premium_det (premium_rcv_code,assorted_code, rec_amount,premium_rcv_detail_code,remaining_amt, payrec, mode_code,coinsurance_code,class_cd,it_remarks) values('06Jan250110','050000759014','17799',(select max(to_number(i.premium_rcv_detail_code))+1
from ins_premium_det i),'17799','17799','02', '11000003','00','Request by Mr. Omair Ali 07-Jan-2024');</v>
      </c>
    </row>
    <row r="94" spans="1:8" ht="105" x14ac:dyDescent="0.25">
      <c r="A94" t="s">
        <v>94</v>
      </c>
      <c r="B94" s="8" t="str">
        <f>VLOOKUP(A94,policy!B:C,2,0)</f>
        <v>050000760572</v>
      </c>
      <c r="C94" s="3">
        <v>1814.04</v>
      </c>
      <c r="D94" s="9">
        <f t="shared" si="5"/>
        <v>1814</v>
      </c>
      <c r="E94" s="7" t="s">
        <v>225</v>
      </c>
      <c r="F94" s="10" t="str">
        <f t="shared" si="4"/>
        <v>insert into ins_premium_det (premium_rcv_code,assorted_code, rec_amount,premium_rcv_detail_code,remaining_amt, payrec, mode_code,coinsurance_code,class_cd,it_remarks) values</v>
      </c>
      <c r="G94" s="11" t="str">
        <f t="shared" si="6"/>
        <v>('06Jan250110','050000760572','1814',(select max(to_number(i.premium_rcv_detail_code))+1
from ins_premium_det i),'1814','1814','02', '11000003','00','Request by Mr. Omair Ali 07-Jan-2024');</v>
      </c>
      <c r="H94" s="12" t="str">
        <f t="shared" si="7"/>
        <v>insert into ins_premium_det (premium_rcv_code,assorted_code, rec_amount,premium_rcv_detail_code,remaining_amt, payrec, mode_code,coinsurance_code,class_cd,it_remarks) values('06Jan250110','050000760572','1814',(select max(to_number(i.premium_rcv_detail_code))+1
from ins_premium_det i),'1814','1814','02', '11000003','00','Request by Mr. Omair Ali 07-Jan-2024');</v>
      </c>
    </row>
    <row r="95" spans="1:8" ht="105" x14ac:dyDescent="0.25">
      <c r="A95" t="s">
        <v>95</v>
      </c>
      <c r="B95" s="8" t="str">
        <f>VLOOKUP(A95,policy!B:C,2,0)</f>
        <v>050000761019</v>
      </c>
      <c r="C95" s="3">
        <v>6712.1872999999996</v>
      </c>
      <c r="D95" s="9">
        <f t="shared" si="5"/>
        <v>6712</v>
      </c>
      <c r="E95" s="7" t="s">
        <v>225</v>
      </c>
      <c r="F95" s="10" t="str">
        <f t="shared" si="4"/>
        <v>insert into ins_premium_det (premium_rcv_code,assorted_code, rec_amount,premium_rcv_detail_code,remaining_amt, payrec, mode_code,coinsurance_code,class_cd,it_remarks) values</v>
      </c>
      <c r="G95" s="11" t="str">
        <f t="shared" si="6"/>
        <v>('06Jan250110','050000761019','6712',(select max(to_number(i.premium_rcv_detail_code))+1
from ins_premium_det i),'6712','6712','02', '11000003','00','Request by Mr. Omair Ali 07-Jan-2024');</v>
      </c>
      <c r="H95" s="12" t="str">
        <f t="shared" si="7"/>
        <v>insert into ins_premium_det (premium_rcv_code,assorted_code, rec_amount,premium_rcv_detail_code,remaining_amt, payrec, mode_code,coinsurance_code,class_cd,it_remarks) values('06Jan250110','050000761019','6712',(select max(to_number(i.premium_rcv_detail_code))+1
from ins_premium_det i),'6712','6712','02', '11000003','00','Request by Mr. Omair Ali 07-Jan-2024');</v>
      </c>
    </row>
    <row r="96" spans="1:8" ht="105" x14ac:dyDescent="0.25">
      <c r="A96" t="s">
        <v>96</v>
      </c>
      <c r="B96" s="8" t="str">
        <f>VLOOKUP(A96,policy!B:C,2,0)</f>
        <v>050000782703</v>
      </c>
      <c r="C96" s="3">
        <v>17084.150000000001</v>
      </c>
      <c r="D96" s="9">
        <f t="shared" si="5"/>
        <v>17084</v>
      </c>
      <c r="E96" s="7" t="s">
        <v>225</v>
      </c>
      <c r="F96" s="10" t="str">
        <f t="shared" si="4"/>
        <v>insert into ins_premium_det (premium_rcv_code,assorted_code, rec_amount,premium_rcv_detail_code,remaining_amt, payrec, mode_code,coinsurance_code,class_cd,it_remarks) values</v>
      </c>
      <c r="G96" s="11" t="str">
        <f t="shared" si="6"/>
        <v>('06Jan250110','050000782703','17084',(select max(to_number(i.premium_rcv_detail_code))+1
from ins_premium_det i),'17084','17084','02', '11000003','00','Request by Mr. Omair Ali 07-Jan-2024');</v>
      </c>
      <c r="H96" s="12" t="str">
        <f t="shared" si="7"/>
        <v>insert into ins_premium_det (premium_rcv_code,assorted_code, rec_amount,premium_rcv_detail_code,remaining_amt, payrec, mode_code,coinsurance_code,class_cd,it_remarks) values('06Jan250110','050000782703','17084',(select max(to_number(i.premium_rcv_detail_code))+1
from ins_premium_det i),'17084','17084','02', '11000003','00','Request by Mr. Omair Ali 07-Jan-2024');</v>
      </c>
    </row>
    <row r="97" spans="3:4" x14ac:dyDescent="0.25">
      <c r="C97" s="13">
        <f>SUM(C2:C96)</f>
        <v>3959574.9994454854</v>
      </c>
      <c r="D97" s="13">
        <f>SUM(D2:D96)</f>
        <v>3959578</v>
      </c>
    </row>
  </sheetData>
  <conditionalFormatting sqref="A1">
    <cfRule type="duplicateValues" dxfId="3" priority="1"/>
  </conditionalFormatting>
  <conditionalFormatting sqref="A2:B2 B3:B96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6EF9-3A29-45A5-A447-15A6D98C9BE8}">
  <dimension ref="A1:E95"/>
  <sheetViews>
    <sheetView workbookViewId="0">
      <selection activeCell="J13" sqref="J13"/>
    </sheetView>
  </sheetViews>
  <sheetFormatPr defaultRowHeight="15" x14ac:dyDescent="0.25"/>
  <cols>
    <col min="1" max="1" width="38.7109375" bestFit="1" customWidth="1"/>
  </cols>
  <sheetData>
    <row r="1" spans="1:5" x14ac:dyDescent="0.25">
      <c r="A1" t="s">
        <v>2</v>
      </c>
      <c r="B1" t="s">
        <v>97</v>
      </c>
      <c r="D1">
        <v>20577</v>
      </c>
      <c r="E1" t="str">
        <f>"ia.assorted_string like '%"&amp;D1&amp;B1&amp;"%' or"</f>
        <v>ia.assorted_string like '%20577-07-2023%' or</v>
      </c>
    </row>
    <row r="2" spans="1:5" x14ac:dyDescent="0.25">
      <c r="A2" t="s">
        <v>3</v>
      </c>
      <c r="B2" t="s">
        <v>97</v>
      </c>
      <c r="D2">
        <v>20604</v>
      </c>
      <c r="E2" t="str">
        <f t="shared" ref="E2:E65" si="0">"ia.assorted_string like '%"&amp;D2&amp;B2&amp;"%' or"</f>
        <v>ia.assorted_string like '%20604-07-2023%' or</v>
      </c>
    </row>
    <row r="3" spans="1:5" x14ac:dyDescent="0.25">
      <c r="A3" t="s">
        <v>4</v>
      </c>
      <c r="B3" t="s">
        <v>97</v>
      </c>
      <c r="D3">
        <v>20606</v>
      </c>
      <c r="E3" t="str">
        <f t="shared" si="0"/>
        <v>ia.assorted_string like '%20606-07-2023%' or</v>
      </c>
    </row>
    <row r="4" spans="1:5" x14ac:dyDescent="0.25">
      <c r="A4" t="s">
        <v>5</v>
      </c>
      <c r="B4" t="s">
        <v>97</v>
      </c>
      <c r="D4">
        <v>20759</v>
      </c>
      <c r="E4" t="str">
        <f t="shared" si="0"/>
        <v>ia.assorted_string like '%20759-07-2023%' or</v>
      </c>
    </row>
    <row r="5" spans="1:5" x14ac:dyDescent="0.25">
      <c r="A5" t="s">
        <v>6</v>
      </c>
      <c r="B5" t="s">
        <v>97</v>
      </c>
      <c r="D5">
        <v>20814</v>
      </c>
      <c r="E5" t="str">
        <f t="shared" si="0"/>
        <v>ia.assorted_string like '%20814-07-2023%' or</v>
      </c>
    </row>
    <row r="6" spans="1:5" x14ac:dyDescent="0.25">
      <c r="A6" t="s">
        <v>7</v>
      </c>
      <c r="B6" t="s">
        <v>97</v>
      </c>
      <c r="D6">
        <v>20834</v>
      </c>
      <c r="E6" t="str">
        <f t="shared" si="0"/>
        <v>ia.assorted_string like '%20834-07-2023%' or</v>
      </c>
    </row>
    <row r="7" spans="1:5" x14ac:dyDescent="0.25">
      <c r="A7" t="s">
        <v>8</v>
      </c>
      <c r="B7" t="s">
        <v>98</v>
      </c>
      <c r="D7">
        <v>20876</v>
      </c>
      <c r="E7" t="str">
        <f t="shared" si="0"/>
        <v>ia.assorted_string like '%20876-08-2023%' or</v>
      </c>
    </row>
    <row r="8" spans="1:5" x14ac:dyDescent="0.25">
      <c r="A8" t="s">
        <v>9</v>
      </c>
      <c r="B8" t="s">
        <v>98</v>
      </c>
      <c r="D8">
        <v>20951</v>
      </c>
      <c r="E8" t="str">
        <f t="shared" si="0"/>
        <v>ia.assorted_string like '%20951-08-2023%' or</v>
      </c>
    </row>
    <row r="9" spans="1:5" x14ac:dyDescent="0.25">
      <c r="A9" t="s">
        <v>10</v>
      </c>
      <c r="B9" t="s">
        <v>98</v>
      </c>
      <c r="D9">
        <v>21001</v>
      </c>
      <c r="E9" t="str">
        <f t="shared" si="0"/>
        <v>ia.assorted_string like '%21001-08-2023%' or</v>
      </c>
    </row>
    <row r="10" spans="1:5" x14ac:dyDescent="0.25">
      <c r="A10" t="s">
        <v>11</v>
      </c>
      <c r="B10" t="s">
        <v>98</v>
      </c>
      <c r="D10">
        <v>21052</v>
      </c>
      <c r="E10" t="str">
        <f t="shared" si="0"/>
        <v>ia.assorted_string like '%21052-08-2023%' or</v>
      </c>
    </row>
    <row r="11" spans="1:5" x14ac:dyDescent="0.25">
      <c r="A11" t="s">
        <v>12</v>
      </c>
      <c r="B11" t="s">
        <v>98</v>
      </c>
      <c r="D11">
        <v>21079</v>
      </c>
      <c r="E11" t="str">
        <f t="shared" si="0"/>
        <v>ia.assorted_string like '%21079-08-2023%' or</v>
      </c>
    </row>
    <row r="12" spans="1:5" x14ac:dyDescent="0.25">
      <c r="A12" t="s">
        <v>13</v>
      </c>
      <c r="B12" t="s">
        <v>98</v>
      </c>
      <c r="D12">
        <v>21157</v>
      </c>
      <c r="E12" t="str">
        <f t="shared" si="0"/>
        <v>ia.assorted_string like '%21157-08-2023%' or</v>
      </c>
    </row>
    <row r="13" spans="1:5" x14ac:dyDescent="0.25">
      <c r="A13" t="s">
        <v>14</v>
      </c>
      <c r="B13" t="s">
        <v>98</v>
      </c>
      <c r="D13">
        <v>21200</v>
      </c>
      <c r="E13" t="str">
        <f t="shared" si="0"/>
        <v>ia.assorted_string like '%21200-08-2023%' or</v>
      </c>
    </row>
    <row r="14" spans="1:5" x14ac:dyDescent="0.25">
      <c r="A14" t="s">
        <v>15</v>
      </c>
      <c r="B14" t="s">
        <v>98</v>
      </c>
      <c r="D14">
        <v>21279</v>
      </c>
      <c r="E14" t="str">
        <f t="shared" si="0"/>
        <v>ia.assorted_string like '%21279-08-2023%' or</v>
      </c>
    </row>
    <row r="15" spans="1:5" x14ac:dyDescent="0.25">
      <c r="A15" t="s">
        <v>16</v>
      </c>
      <c r="B15" t="s">
        <v>99</v>
      </c>
      <c r="D15">
        <v>21313</v>
      </c>
      <c r="E15" t="str">
        <f t="shared" si="0"/>
        <v>ia.assorted_string like '%21313-09-2023%' or</v>
      </c>
    </row>
    <row r="16" spans="1:5" x14ac:dyDescent="0.25">
      <c r="A16" t="s">
        <v>17</v>
      </c>
      <c r="B16" t="s">
        <v>99</v>
      </c>
      <c r="D16">
        <v>21353</v>
      </c>
      <c r="E16" t="str">
        <f t="shared" si="0"/>
        <v>ia.assorted_string like '%21353-09-2023%' or</v>
      </c>
    </row>
    <row r="17" spans="1:5" x14ac:dyDescent="0.25">
      <c r="A17" t="s">
        <v>18</v>
      </c>
      <c r="B17" t="s">
        <v>99</v>
      </c>
      <c r="D17">
        <v>21410</v>
      </c>
      <c r="E17" t="str">
        <f t="shared" si="0"/>
        <v>ia.assorted_string like '%21410-09-2023%' or</v>
      </c>
    </row>
    <row r="18" spans="1:5" x14ac:dyDescent="0.25">
      <c r="A18" t="s">
        <v>19</v>
      </c>
      <c r="B18" t="s">
        <v>99</v>
      </c>
      <c r="D18">
        <v>21445</v>
      </c>
      <c r="E18" t="str">
        <f t="shared" si="0"/>
        <v>ia.assorted_string like '%21445-09-2023%' or</v>
      </c>
    </row>
    <row r="19" spans="1:5" x14ac:dyDescent="0.25">
      <c r="A19" t="s">
        <v>20</v>
      </c>
      <c r="B19" t="s">
        <v>99</v>
      </c>
      <c r="D19">
        <v>21557</v>
      </c>
      <c r="E19" t="str">
        <f t="shared" si="0"/>
        <v>ia.assorted_string like '%21557-09-2023%' or</v>
      </c>
    </row>
    <row r="20" spans="1:5" x14ac:dyDescent="0.25">
      <c r="A20" t="s">
        <v>21</v>
      </c>
      <c r="B20" t="s">
        <v>99</v>
      </c>
      <c r="D20">
        <v>21638</v>
      </c>
      <c r="E20" t="str">
        <f t="shared" si="0"/>
        <v>ia.assorted_string like '%21638-09-2023%' or</v>
      </c>
    </row>
    <row r="21" spans="1:5" x14ac:dyDescent="0.25">
      <c r="A21" t="s">
        <v>22</v>
      </c>
      <c r="B21" t="s">
        <v>99</v>
      </c>
      <c r="D21">
        <v>21751</v>
      </c>
      <c r="E21" t="str">
        <f t="shared" si="0"/>
        <v>ia.assorted_string like '%21751-09-2023%' or</v>
      </c>
    </row>
    <row r="22" spans="1:5" x14ac:dyDescent="0.25">
      <c r="A22" t="s">
        <v>23</v>
      </c>
      <c r="B22" t="s">
        <v>100</v>
      </c>
      <c r="D22">
        <v>21820</v>
      </c>
      <c r="E22" t="str">
        <f t="shared" si="0"/>
        <v>ia.assorted_string like '%21820-10-2023%' or</v>
      </c>
    </row>
    <row r="23" spans="1:5" x14ac:dyDescent="0.25">
      <c r="A23" t="s">
        <v>24</v>
      </c>
      <c r="B23" t="s">
        <v>100</v>
      </c>
      <c r="D23">
        <v>21881</v>
      </c>
      <c r="E23" t="str">
        <f t="shared" si="0"/>
        <v>ia.assorted_string like '%21881-10-2023%' or</v>
      </c>
    </row>
    <row r="24" spans="1:5" x14ac:dyDescent="0.25">
      <c r="A24" t="s">
        <v>25</v>
      </c>
      <c r="B24" t="s">
        <v>100</v>
      </c>
      <c r="D24">
        <v>21955</v>
      </c>
      <c r="E24" t="str">
        <f t="shared" si="0"/>
        <v>ia.assorted_string like '%21955-10-2023%' or</v>
      </c>
    </row>
    <row r="25" spans="1:5" x14ac:dyDescent="0.25">
      <c r="A25" t="s">
        <v>26</v>
      </c>
      <c r="B25" t="s">
        <v>100</v>
      </c>
      <c r="D25">
        <v>21960</v>
      </c>
      <c r="E25" t="str">
        <f t="shared" si="0"/>
        <v>ia.assorted_string like '%21960-10-2023%' or</v>
      </c>
    </row>
    <row r="26" spans="1:5" x14ac:dyDescent="0.25">
      <c r="A26" t="s">
        <v>27</v>
      </c>
      <c r="B26" t="s">
        <v>100</v>
      </c>
      <c r="D26">
        <v>21989</v>
      </c>
      <c r="E26" t="str">
        <f t="shared" si="0"/>
        <v>ia.assorted_string like '%21989-10-2023%' or</v>
      </c>
    </row>
    <row r="27" spans="1:5" x14ac:dyDescent="0.25">
      <c r="A27" t="s">
        <v>28</v>
      </c>
      <c r="B27" t="s">
        <v>100</v>
      </c>
      <c r="D27">
        <v>22027</v>
      </c>
      <c r="E27" t="str">
        <f t="shared" si="0"/>
        <v>ia.assorted_string like '%22027-10-2023%' or</v>
      </c>
    </row>
    <row r="28" spans="1:5" x14ac:dyDescent="0.25">
      <c r="A28" t="s">
        <v>29</v>
      </c>
      <c r="B28" t="s">
        <v>100</v>
      </c>
      <c r="D28">
        <v>22084</v>
      </c>
      <c r="E28" t="str">
        <f t="shared" si="0"/>
        <v>ia.assorted_string like '%22084-10-2023%' or</v>
      </c>
    </row>
    <row r="29" spans="1:5" x14ac:dyDescent="0.25">
      <c r="A29" t="s">
        <v>30</v>
      </c>
      <c r="B29" t="s">
        <v>100</v>
      </c>
      <c r="D29">
        <v>22126</v>
      </c>
      <c r="E29" t="str">
        <f t="shared" si="0"/>
        <v>ia.assorted_string like '%22126-10-2023%' or</v>
      </c>
    </row>
    <row r="30" spans="1:5" x14ac:dyDescent="0.25">
      <c r="A30" t="s">
        <v>31</v>
      </c>
      <c r="B30" t="s">
        <v>100</v>
      </c>
      <c r="D30">
        <v>22171</v>
      </c>
      <c r="E30" t="str">
        <f t="shared" si="0"/>
        <v>ia.assorted_string like '%22171-10-2023%' or</v>
      </c>
    </row>
    <row r="31" spans="1:5" x14ac:dyDescent="0.25">
      <c r="A31" t="s">
        <v>32</v>
      </c>
      <c r="B31" t="s">
        <v>100</v>
      </c>
      <c r="D31">
        <v>22180</v>
      </c>
      <c r="E31" t="str">
        <f t="shared" si="0"/>
        <v>ia.assorted_string like '%22180-10-2023%' or</v>
      </c>
    </row>
    <row r="32" spans="1:5" x14ac:dyDescent="0.25">
      <c r="A32" t="s">
        <v>33</v>
      </c>
      <c r="B32" t="s">
        <v>100</v>
      </c>
      <c r="D32">
        <v>22215</v>
      </c>
      <c r="E32" t="str">
        <f t="shared" si="0"/>
        <v>ia.assorted_string like '%22215-10-2023%' or</v>
      </c>
    </row>
    <row r="33" spans="1:5" x14ac:dyDescent="0.25">
      <c r="A33" t="s">
        <v>34</v>
      </c>
      <c r="B33" t="s">
        <v>100</v>
      </c>
      <c r="D33">
        <v>22245</v>
      </c>
      <c r="E33" t="str">
        <f t="shared" si="0"/>
        <v>ia.assorted_string like '%22245-10-2023%' or</v>
      </c>
    </row>
    <row r="34" spans="1:5" x14ac:dyDescent="0.25">
      <c r="A34" t="s">
        <v>35</v>
      </c>
      <c r="B34" t="s">
        <v>100</v>
      </c>
      <c r="D34">
        <v>22303</v>
      </c>
      <c r="E34" t="str">
        <f t="shared" si="0"/>
        <v>ia.assorted_string like '%22303-10-2023%' or</v>
      </c>
    </row>
    <row r="35" spans="1:5" x14ac:dyDescent="0.25">
      <c r="A35" t="s">
        <v>36</v>
      </c>
      <c r="B35" t="s">
        <v>101</v>
      </c>
      <c r="D35">
        <v>22367</v>
      </c>
      <c r="E35" t="str">
        <f t="shared" si="0"/>
        <v>ia.assorted_string like '%22367-11-2023%' or</v>
      </c>
    </row>
    <row r="36" spans="1:5" x14ac:dyDescent="0.25">
      <c r="A36" t="s">
        <v>37</v>
      </c>
      <c r="B36" t="s">
        <v>101</v>
      </c>
      <c r="D36">
        <v>22411</v>
      </c>
      <c r="E36" t="str">
        <f t="shared" si="0"/>
        <v>ia.assorted_string like '%22411-11-2023%' or</v>
      </c>
    </row>
    <row r="37" spans="1:5" x14ac:dyDescent="0.25">
      <c r="A37" t="s">
        <v>38</v>
      </c>
      <c r="B37" t="s">
        <v>101</v>
      </c>
      <c r="D37">
        <v>22465</v>
      </c>
      <c r="E37" t="str">
        <f t="shared" si="0"/>
        <v>ia.assorted_string like '%22465-11-2023%' or</v>
      </c>
    </row>
    <row r="38" spans="1:5" x14ac:dyDescent="0.25">
      <c r="A38" t="s">
        <v>39</v>
      </c>
      <c r="B38" t="s">
        <v>101</v>
      </c>
      <c r="D38">
        <v>22575</v>
      </c>
      <c r="E38" t="str">
        <f t="shared" si="0"/>
        <v>ia.assorted_string like '%22575-11-2023%' or</v>
      </c>
    </row>
    <row r="39" spans="1:5" x14ac:dyDescent="0.25">
      <c r="A39" t="s">
        <v>40</v>
      </c>
      <c r="B39" t="s">
        <v>101</v>
      </c>
      <c r="D39">
        <v>22600</v>
      </c>
      <c r="E39" t="str">
        <f t="shared" si="0"/>
        <v>ia.assorted_string like '%22600-11-2023%' or</v>
      </c>
    </row>
    <row r="40" spans="1:5" x14ac:dyDescent="0.25">
      <c r="A40" t="s">
        <v>41</v>
      </c>
      <c r="B40" t="s">
        <v>101</v>
      </c>
      <c r="D40">
        <v>22714</v>
      </c>
      <c r="E40" t="str">
        <f t="shared" si="0"/>
        <v>ia.assorted_string like '%22714-11-2023%' or</v>
      </c>
    </row>
    <row r="41" spans="1:5" x14ac:dyDescent="0.25">
      <c r="A41" t="s">
        <v>42</v>
      </c>
      <c r="B41" t="s">
        <v>102</v>
      </c>
      <c r="D41">
        <v>22873</v>
      </c>
      <c r="E41" t="str">
        <f t="shared" si="0"/>
        <v>ia.assorted_string like '%22873-12-2023%' or</v>
      </c>
    </row>
    <row r="42" spans="1:5" x14ac:dyDescent="0.25">
      <c r="A42" t="s">
        <v>43</v>
      </c>
      <c r="B42" t="s">
        <v>102</v>
      </c>
      <c r="D42">
        <v>22926</v>
      </c>
      <c r="E42" t="str">
        <f t="shared" si="0"/>
        <v>ia.assorted_string like '%22926-12-2023%' or</v>
      </c>
    </row>
    <row r="43" spans="1:5" x14ac:dyDescent="0.25">
      <c r="A43" t="s">
        <v>44</v>
      </c>
      <c r="B43" t="s">
        <v>102</v>
      </c>
      <c r="D43">
        <v>22942</v>
      </c>
      <c r="E43" t="str">
        <f t="shared" si="0"/>
        <v>ia.assorted_string like '%22942-12-2023%' or</v>
      </c>
    </row>
    <row r="44" spans="1:5" x14ac:dyDescent="0.25">
      <c r="A44" t="s">
        <v>45</v>
      </c>
      <c r="B44" t="s">
        <v>102</v>
      </c>
      <c r="D44">
        <v>22968</v>
      </c>
      <c r="E44" t="str">
        <f t="shared" si="0"/>
        <v>ia.assorted_string like '%22968-12-2023%' or</v>
      </c>
    </row>
    <row r="45" spans="1:5" x14ac:dyDescent="0.25">
      <c r="A45" t="s">
        <v>46</v>
      </c>
      <c r="B45" t="s">
        <v>102</v>
      </c>
      <c r="D45">
        <v>23042</v>
      </c>
      <c r="E45" t="str">
        <f t="shared" si="0"/>
        <v>ia.assorted_string like '%23042-12-2023%' or</v>
      </c>
    </row>
    <row r="46" spans="1:5" x14ac:dyDescent="0.25">
      <c r="A46" t="s">
        <v>47</v>
      </c>
      <c r="B46" t="s">
        <v>102</v>
      </c>
      <c r="D46">
        <v>23081</v>
      </c>
      <c r="E46" t="str">
        <f t="shared" si="0"/>
        <v>ia.assorted_string like '%23081-12-2023%' or</v>
      </c>
    </row>
    <row r="47" spans="1:5" x14ac:dyDescent="0.25">
      <c r="A47" t="s">
        <v>48</v>
      </c>
      <c r="B47" t="s">
        <v>102</v>
      </c>
      <c r="D47">
        <v>23121</v>
      </c>
      <c r="E47" t="str">
        <f t="shared" si="0"/>
        <v>ia.assorted_string like '%23121-12-2023%' or</v>
      </c>
    </row>
    <row r="48" spans="1:5" x14ac:dyDescent="0.25">
      <c r="A48" t="s">
        <v>49</v>
      </c>
      <c r="B48" t="s">
        <v>102</v>
      </c>
      <c r="D48">
        <v>23188</v>
      </c>
      <c r="E48" t="str">
        <f t="shared" si="0"/>
        <v>ia.assorted_string like '%23188-12-2023%' or</v>
      </c>
    </row>
    <row r="49" spans="1:5" x14ac:dyDescent="0.25">
      <c r="A49" t="s">
        <v>50</v>
      </c>
      <c r="B49" t="s">
        <v>102</v>
      </c>
      <c r="D49">
        <v>23225</v>
      </c>
      <c r="E49" t="str">
        <f t="shared" si="0"/>
        <v>ia.assorted_string like '%23225-12-2023%' or</v>
      </c>
    </row>
    <row r="50" spans="1:5" x14ac:dyDescent="0.25">
      <c r="A50" t="s">
        <v>51</v>
      </c>
      <c r="B50" t="s">
        <v>102</v>
      </c>
      <c r="D50">
        <v>23230</v>
      </c>
      <c r="E50" t="str">
        <f t="shared" si="0"/>
        <v>ia.assorted_string like '%23230-12-2023%' or</v>
      </c>
    </row>
    <row r="51" spans="1:5" x14ac:dyDescent="0.25">
      <c r="A51" t="s">
        <v>52</v>
      </c>
      <c r="B51" t="s">
        <v>102</v>
      </c>
      <c r="D51">
        <v>23261</v>
      </c>
      <c r="E51" t="str">
        <f t="shared" si="0"/>
        <v>ia.assorted_string like '%23261-12-2023%' or</v>
      </c>
    </row>
    <row r="52" spans="1:5" x14ac:dyDescent="0.25">
      <c r="A52" t="s">
        <v>53</v>
      </c>
      <c r="B52" t="s">
        <v>103</v>
      </c>
      <c r="D52">
        <v>23356</v>
      </c>
      <c r="E52" t="str">
        <f t="shared" si="0"/>
        <v>ia.assorted_string like '%23356-01-2024%' or</v>
      </c>
    </row>
    <row r="53" spans="1:5" x14ac:dyDescent="0.25">
      <c r="A53" t="s">
        <v>54</v>
      </c>
      <c r="B53" t="s">
        <v>103</v>
      </c>
      <c r="D53">
        <v>23407</v>
      </c>
      <c r="E53" t="str">
        <f t="shared" si="0"/>
        <v>ia.assorted_string like '%23407-01-2024%' or</v>
      </c>
    </row>
    <row r="54" spans="1:5" x14ac:dyDescent="0.25">
      <c r="A54" t="s">
        <v>55</v>
      </c>
      <c r="B54" t="s">
        <v>103</v>
      </c>
      <c r="D54">
        <v>23436</v>
      </c>
      <c r="E54" t="str">
        <f t="shared" si="0"/>
        <v>ia.assorted_string like '%23436-01-2024%' or</v>
      </c>
    </row>
    <row r="55" spans="1:5" x14ac:dyDescent="0.25">
      <c r="A55" t="s">
        <v>56</v>
      </c>
      <c r="B55" t="s">
        <v>103</v>
      </c>
      <c r="D55">
        <v>23574</v>
      </c>
      <c r="E55" t="str">
        <f t="shared" si="0"/>
        <v>ia.assorted_string like '%23574-01-2024%' or</v>
      </c>
    </row>
    <row r="56" spans="1:5" x14ac:dyDescent="0.25">
      <c r="A56" t="s">
        <v>57</v>
      </c>
      <c r="B56" t="s">
        <v>103</v>
      </c>
      <c r="D56">
        <v>23623</v>
      </c>
      <c r="E56" t="str">
        <f t="shared" si="0"/>
        <v>ia.assorted_string like '%23623-01-2024%' or</v>
      </c>
    </row>
    <row r="57" spans="1:5" x14ac:dyDescent="0.25">
      <c r="A57" t="s">
        <v>58</v>
      </c>
      <c r="B57" t="s">
        <v>103</v>
      </c>
      <c r="D57">
        <v>23667</v>
      </c>
      <c r="E57" t="str">
        <f t="shared" si="0"/>
        <v>ia.assorted_string like '%23667-01-2024%' or</v>
      </c>
    </row>
    <row r="58" spans="1:5" x14ac:dyDescent="0.25">
      <c r="A58" t="s">
        <v>59</v>
      </c>
      <c r="B58" t="s">
        <v>103</v>
      </c>
      <c r="D58">
        <v>23686</v>
      </c>
      <c r="E58" t="str">
        <f t="shared" si="0"/>
        <v>ia.assorted_string like '%23686-01-2024%' or</v>
      </c>
    </row>
    <row r="59" spans="1:5" x14ac:dyDescent="0.25">
      <c r="A59" t="s">
        <v>60</v>
      </c>
      <c r="B59" t="s">
        <v>103</v>
      </c>
      <c r="D59">
        <v>23694</v>
      </c>
      <c r="E59" t="str">
        <f t="shared" si="0"/>
        <v>ia.assorted_string like '%23694-01-2024%' or</v>
      </c>
    </row>
    <row r="60" spans="1:5" x14ac:dyDescent="0.25">
      <c r="A60" t="s">
        <v>61</v>
      </c>
      <c r="B60" t="s">
        <v>103</v>
      </c>
      <c r="D60">
        <v>23763</v>
      </c>
      <c r="E60" t="str">
        <f t="shared" si="0"/>
        <v>ia.assorted_string like '%23763-01-2024%' or</v>
      </c>
    </row>
    <row r="61" spans="1:5" x14ac:dyDescent="0.25">
      <c r="A61" t="s">
        <v>62</v>
      </c>
      <c r="B61" t="s">
        <v>103</v>
      </c>
      <c r="D61">
        <v>23823</v>
      </c>
      <c r="E61" t="str">
        <f t="shared" si="0"/>
        <v>ia.assorted_string like '%23823-01-2024%' or</v>
      </c>
    </row>
    <row r="62" spans="1:5" x14ac:dyDescent="0.25">
      <c r="A62" t="s">
        <v>63</v>
      </c>
      <c r="B62" t="s">
        <v>104</v>
      </c>
      <c r="D62">
        <v>23854</v>
      </c>
      <c r="E62" t="str">
        <f t="shared" si="0"/>
        <v>ia.assorted_string like '%23854-02-2024%' or</v>
      </c>
    </row>
    <row r="63" spans="1:5" x14ac:dyDescent="0.25">
      <c r="A63" t="s">
        <v>64</v>
      </c>
      <c r="B63" t="s">
        <v>104</v>
      </c>
      <c r="D63">
        <v>23931</v>
      </c>
      <c r="E63" t="str">
        <f t="shared" si="0"/>
        <v>ia.assorted_string like '%23931-02-2024%' or</v>
      </c>
    </row>
    <row r="64" spans="1:5" x14ac:dyDescent="0.25">
      <c r="A64" t="s">
        <v>65</v>
      </c>
      <c r="B64" t="s">
        <v>104</v>
      </c>
      <c r="D64">
        <v>24054</v>
      </c>
      <c r="E64" t="str">
        <f t="shared" si="0"/>
        <v>ia.assorted_string like '%24054-02-2024%' or</v>
      </c>
    </row>
    <row r="65" spans="1:5" x14ac:dyDescent="0.25">
      <c r="A65" t="s">
        <v>66</v>
      </c>
      <c r="B65" t="s">
        <v>104</v>
      </c>
      <c r="D65">
        <v>24151</v>
      </c>
      <c r="E65" t="str">
        <f t="shared" si="0"/>
        <v>ia.assorted_string like '%24151-02-2024%' or</v>
      </c>
    </row>
    <row r="66" spans="1:5" x14ac:dyDescent="0.25">
      <c r="A66" t="s">
        <v>67</v>
      </c>
      <c r="B66" t="s">
        <v>104</v>
      </c>
      <c r="D66">
        <v>24192</v>
      </c>
      <c r="E66" t="str">
        <f t="shared" ref="E66:E95" si="1">"ia.assorted_string like '%"&amp;D66&amp;B66&amp;"%' or"</f>
        <v>ia.assorted_string like '%24192-02-2024%' or</v>
      </c>
    </row>
    <row r="67" spans="1:5" x14ac:dyDescent="0.25">
      <c r="A67" t="s">
        <v>68</v>
      </c>
      <c r="B67" t="s">
        <v>104</v>
      </c>
      <c r="D67">
        <v>24220</v>
      </c>
      <c r="E67" t="str">
        <f t="shared" si="1"/>
        <v>ia.assorted_string like '%24220-02-2024%' or</v>
      </c>
    </row>
    <row r="68" spans="1:5" x14ac:dyDescent="0.25">
      <c r="A68" t="s">
        <v>69</v>
      </c>
      <c r="B68" t="s">
        <v>104</v>
      </c>
      <c r="D68">
        <v>24236</v>
      </c>
      <c r="E68" t="str">
        <f t="shared" si="1"/>
        <v>ia.assorted_string like '%24236-02-2024%' or</v>
      </c>
    </row>
    <row r="69" spans="1:5" x14ac:dyDescent="0.25">
      <c r="A69" t="s">
        <v>70</v>
      </c>
      <c r="B69" t="s">
        <v>105</v>
      </c>
      <c r="D69">
        <v>24295</v>
      </c>
      <c r="E69" t="str">
        <f t="shared" si="1"/>
        <v>ia.assorted_string like '%24295-03-2024%' or</v>
      </c>
    </row>
    <row r="70" spans="1:5" x14ac:dyDescent="0.25">
      <c r="A70" t="s">
        <v>71</v>
      </c>
      <c r="B70" t="s">
        <v>105</v>
      </c>
      <c r="D70">
        <v>24357</v>
      </c>
      <c r="E70" t="str">
        <f t="shared" si="1"/>
        <v>ia.assorted_string like '%24357-03-2024%' or</v>
      </c>
    </row>
    <row r="71" spans="1:5" x14ac:dyDescent="0.25">
      <c r="A71" t="s">
        <v>72</v>
      </c>
      <c r="B71" t="s">
        <v>105</v>
      </c>
      <c r="D71">
        <v>24429</v>
      </c>
      <c r="E71" t="str">
        <f t="shared" si="1"/>
        <v>ia.assorted_string like '%24429-03-2024%' or</v>
      </c>
    </row>
    <row r="72" spans="1:5" x14ac:dyDescent="0.25">
      <c r="A72" t="s">
        <v>73</v>
      </c>
      <c r="B72" t="s">
        <v>105</v>
      </c>
      <c r="D72">
        <v>24463</v>
      </c>
      <c r="E72" t="str">
        <f t="shared" si="1"/>
        <v>ia.assorted_string like '%24463-03-2024%' or</v>
      </c>
    </row>
    <row r="73" spans="1:5" x14ac:dyDescent="0.25">
      <c r="A73" t="s">
        <v>74</v>
      </c>
      <c r="B73" t="s">
        <v>105</v>
      </c>
      <c r="D73">
        <v>24479</v>
      </c>
      <c r="E73" t="str">
        <f t="shared" si="1"/>
        <v>ia.assorted_string like '%24479-03-2024%' or</v>
      </c>
    </row>
    <row r="74" spans="1:5" x14ac:dyDescent="0.25">
      <c r="A74" t="s">
        <v>75</v>
      </c>
      <c r="B74" t="s">
        <v>105</v>
      </c>
      <c r="D74">
        <v>24568</v>
      </c>
      <c r="E74" t="str">
        <f t="shared" si="1"/>
        <v>ia.assorted_string like '%24568-03-2024%' or</v>
      </c>
    </row>
    <row r="75" spans="1:5" x14ac:dyDescent="0.25">
      <c r="A75" t="s">
        <v>76</v>
      </c>
      <c r="B75" t="s">
        <v>105</v>
      </c>
      <c r="D75">
        <v>24606</v>
      </c>
      <c r="E75" t="str">
        <f t="shared" si="1"/>
        <v>ia.assorted_string like '%24606-03-2024%' or</v>
      </c>
    </row>
    <row r="76" spans="1:5" x14ac:dyDescent="0.25">
      <c r="A76" t="s">
        <v>77</v>
      </c>
      <c r="B76" t="s">
        <v>105</v>
      </c>
      <c r="D76">
        <v>24633</v>
      </c>
      <c r="E76" t="str">
        <f t="shared" si="1"/>
        <v>ia.assorted_string like '%24633-03-2024%' or</v>
      </c>
    </row>
    <row r="77" spans="1:5" x14ac:dyDescent="0.25">
      <c r="A77" t="s">
        <v>78</v>
      </c>
      <c r="B77" t="s">
        <v>106</v>
      </c>
      <c r="D77">
        <v>24750</v>
      </c>
      <c r="E77" t="str">
        <f t="shared" si="1"/>
        <v>ia.assorted_string like '%24750-04-2024%' or</v>
      </c>
    </row>
    <row r="78" spans="1:5" x14ac:dyDescent="0.25">
      <c r="A78" t="s">
        <v>79</v>
      </c>
      <c r="B78" t="s">
        <v>106</v>
      </c>
      <c r="D78">
        <v>24783</v>
      </c>
      <c r="E78" t="str">
        <f t="shared" si="1"/>
        <v>ia.assorted_string like '%24783-04-2024%' or</v>
      </c>
    </row>
    <row r="79" spans="1:5" x14ac:dyDescent="0.25">
      <c r="A79" t="s">
        <v>80</v>
      </c>
      <c r="B79" t="s">
        <v>106</v>
      </c>
      <c r="D79">
        <v>24886</v>
      </c>
      <c r="E79" t="str">
        <f t="shared" si="1"/>
        <v>ia.assorted_string like '%24886-04-2024%' or</v>
      </c>
    </row>
    <row r="80" spans="1:5" x14ac:dyDescent="0.25">
      <c r="A80" t="s">
        <v>81</v>
      </c>
      <c r="B80" t="s">
        <v>106</v>
      </c>
      <c r="D80">
        <v>24898</v>
      </c>
      <c r="E80" t="str">
        <f t="shared" si="1"/>
        <v>ia.assorted_string like '%24898-04-2024%' or</v>
      </c>
    </row>
    <row r="81" spans="1:5" x14ac:dyDescent="0.25">
      <c r="A81" t="s">
        <v>82</v>
      </c>
      <c r="B81" t="s">
        <v>106</v>
      </c>
      <c r="D81">
        <v>25018</v>
      </c>
      <c r="E81" t="str">
        <f t="shared" si="1"/>
        <v>ia.assorted_string like '%25018-04-2024%' or</v>
      </c>
    </row>
    <row r="82" spans="1:5" x14ac:dyDescent="0.25">
      <c r="A82" t="s">
        <v>83</v>
      </c>
      <c r="B82" t="s">
        <v>106</v>
      </c>
      <c r="D82">
        <v>25035</v>
      </c>
      <c r="E82" t="str">
        <f t="shared" si="1"/>
        <v>ia.assorted_string like '%25035-04-2024%' or</v>
      </c>
    </row>
    <row r="83" spans="1:5" x14ac:dyDescent="0.25">
      <c r="A83" t="s">
        <v>84</v>
      </c>
      <c r="B83" t="s">
        <v>107</v>
      </c>
      <c r="D83">
        <v>25132</v>
      </c>
      <c r="E83" t="str">
        <f t="shared" si="1"/>
        <v>ia.assorted_string like '%25132-05-2024%' or</v>
      </c>
    </row>
    <row r="84" spans="1:5" x14ac:dyDescent="0.25">
      <c r="A84" t="s">
        <v>85</v>
      </c>
      <c r="B84" t="s">
        <v>107</v>
      </c>
      <c r="D84">
        <v>25241</v>
      </c>
      <c r="E84" t="str">
        <f t="shared" si="1"/>
        <v>ia.assorted_string like '%25241-05-2024%' or</v>
      </c>
    </row>
    <row r="85" spans="1:5" x14ac:dyDescent="0.25">
      <c r="A85" t="s">
        <v>86</v>
      </c>
      <c r="B85" t="s">
        <v>107</v>
      </c>
      <c r="D85">
        <v>25274</v>
      </c>
      <c r="E85" t="str">
        <f t="shared" si="1"/>
        <v>ia.assorted_string like '%25274-05-2024%' or</v>
      </c>
    </row>
    <row r="86" spans="1:5" x14ac:dyDescent="0.25">
      <c r="A86" t="s">
        <v>87</v>
      </c>
      <c r="B86" t="s">
        <v>107</v>
      </c>
      <c r="D86">
        <v>25306</v>
      </c>
      <c r="E86" t="str">
        <f t="shared" si="1"/>
        <v>ia.assorted_string like '%25306-05-2024%' or</v>
      </c>
    </row>
    <row r="87" spans="1:5" x14ac:dyDescent="0.25">
      <c r="A87" t="s">
        <v>88</v>
      </c>
      <c r="B87" t="s">
        <v>107</v>
      </c>
      <c r="D87">
        <v>25366</v>
      </c>
      <c r="E87" t="str">
        <f t="shared" si="1"/>
        <v>ia.assorted_string like '%25366-05-2024%' or</v>
      </c>
    </row>
    <row r="88" spans="1:5" x14ac:dyDescent="0.25">
      <c r="A88" t="s">
        <v>89</v>
      </c>
      <c r="B88" t="s">
        <v>107</v>
      </c>
      <c r="D88">
        <v>25413</v>
      </c>
      <c r="E88" t="str">
        <f t="shared" si="1"/>
        <v>ia.assorted_string like '%25413-05-2024%' or</v>
      </c>
    </row>
    <row r="89" spans="1:5" x14ac:dyDescent="0.25">
      <c r="A89" t="s">
        <v>90</v>
      </c>
      <c r="B89" t="s">
        <v>107</v>
      </c>
      <c r="D89">
        <v>25480</v>
      </c>
      <c r="E89" t="str">
        <f t="shared" si="1"/>
        <v>ia.assorted_string like '%25480-05-2024%' or</v>
      </c>
    </row>
    <row r="90" spans="1:5" x14ac:dyDescent="0.25">
      <c r="A90" t="s">
        <v>91</v>
      </c>
      <c r="B90" t="s">
        <v>108</v>
      </c>
      <c r="D90">
        <v>25594</v>
      </c>
      <c r="E90" t="str">
        <f t="shared" si="1"/>
        <v>ia.assorted_string like '%25594-06-2024%' or</v>
      </c>
    </row>
    <row r="91" spans="1:5" x14ac:dyDescent="0.25">
      <c r="A91" t="s">
        <v>92</v>
      </c>
      <c r="B91" t="s">
        <v>108</v>
      </c>
      <c r="D91">
        <v>25627</v>
      </c>
      <c r="E91" t="str">
        <f t="shared" si="1"/>
        <v>ia.assorted_string like '%25627-06-2024%' or</v>
      </c>
    </row>
    <row r="92" spans="1:5" x14ac:dyDescent="0.25">
      <c r="A92" t="s">
        <v>93</v>
      </c>
      <c r="B92" t="s">
        <v>108</v>
      </c>
      <c r="D92">
        <v>25761</v>
      </c>
      <c r="E92" t="str">
        <f t="shared" si="1"/>
        <v>ia.assorted_string like '%25761-06-2024%' or</v>
      </c>
    </row>
    <row r="93" spans="1:5" x14ac:dyDescent="0.25">
      <c r="A93" t="s">
        <v>94</v>
      </c>
      <c r="B93" t="s">
        <v>108</v>
      </c>
      <c r="D93">
        <v>25907</v>
      </c>
      <c r="E93" t="str">
        <f t="shared" si="1"/>
        <v>ia.assorted_string like '%25907-06-2024%' or</v>
      </c>
    </row>
    <row r="94" spans="1:5" x14ac:dyDescent="0.25">
      <c r="A94" t="s">
        <v>95</v>
      </c>
      <c r="B94" t="s">
        <v>108</v>
      </c>
      <c r="D94">
        <v>25946</v>
      </c>
      <c r="E94" t="str">
        <f t="shared" si="1"/>
        <v>ia.assorted_string like '%25946-06-2024%' or</v>
      </c>
    </row>
    <row r="95" spans="1:5" x14ac:dyDescent="0.25">
      <c r="A95" t="s">
        <v>96</v>
      </c>
      <c r="B95" t="s">
        <v>109</v>
      </c>
      <c r="D95">
        <v>26928</v>
      </c>
      <c r="E95" t="str">
        <f t="shared" si="1"/>
        <v>ia.assorted_string like '%26928-08-2024%'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9DF55-4573-446F-A9D4-43B2EBE31795}">
  <dimension ref="A1:C103"/>
  <sheetViews>
    <sheetView workbookViewId="0">
      <selection activeCell="L13" sqref="L13"/>
    </sheetView>
  </sheetViews>
  <sheetFormatPr defaultColWidth="7.85546875" defaultRowHeight="15" x14ac:dyDescent="0.25"/>
  <cols>
    <col min="1" max="1" width="3.140625" customWidth="1"/>
    <col min="2" max="2" width="35.28515625" customWidth="1"/>
    <col min="3" max="3" width="14" customWidth="1"/>
  </cols>
  <sheetData>
    <row r="1" spans="1:3" s="4" customFormat="1" ht="12" x14ac:dyDescent="0.2">
      <c r="A1" s="4" t="s">
        <v>110</v>
      </c>
      <c r="B1" s="4" t="s">
        <v>111</v>
      </c>
      <c r="C1" s="4" t="s">
        <v>112</v>
      </c>
    </row>
    <row r="2" spans="1:3" x14ac:dyDescent="0.25">
      <c r="A2">
        <v>1</v>
      </c>
      <c r="B2" t="s">
        <v>4</v>
      </c>
      <c r="C2" t="s">
        <v>113</v>
      </c>
    </row>
    <row r="3" spans="1:3" x14ac:dyDescent="0.25">
      <c r="A3">
        <v>2</v>
      </c>
      <c r="B3" t="s">
        <v>51</v>
      </c>
      <c r="C3" t="s">
        <v>114</v>
      </c>
    </row>
    <row r="4" spans="1:3" x14ac:dyDescent="0.25">
      <c r="A4">
        <v>3</v>
      </c>
      <c r="B4" t="s">
        <v>36</v>
      </c>
      <c r="C4" t="s">
        <v>115</v>
      </c>
    </row>
    <row r="5" spans="1:3" x14ac:dyDescent="0.25">
      <c r="A5">
        <v>4</v>
      </c>
      <c r="B5" t="s">
        <v>47</v>
      </c>
      <c r="C5" t="s">
        <v>116</v>
      </c>
    </row>
    <row r="6" spans="1:3" x14ac:dyDescent="0.25">
      <c r="A6">
        <v>5</v>
      </c>
      <c r="B6" t="s">
        <v>48</v>
      </c>
      <c r="C6" t="s">
        <v>117</v>
      </c>
    </row>
    <row r="7" spans="1:3" x14ac:dyDescent="0.25">
      <c r="A7">
        <v>6</v>
      </c>
      <c r="B7" t="s">
        <v>24</v>
      </c>
      <c r="C7" t="s">
        <v>118</v>
      </c>
    </row>
    <row r="8" spans="1:3" x14ac:dyDescent="0.25">
      <c r="A8">
        <v>7</v>
      </c>
      <c r="B8" t="s">
        <v>30</v>
      </c>
      <c r="C8" t="s">
        <v>119</v>
      </c>
    </row>
    <row r="9" spans="1:3" x14ac:dyDescent="0.25">
      <c r="A9">
        <v>8</v>
      </c>
      <c r="B9" t="s">
        <v>60</v>
      </c>
      <c r="C9" t="s">
        <v>120</v>
      </c>
    </row>
    <row r="10" spans="1:3" x14ac:dyDescent="0.25">
      <c r="A10">
        <v>9</v>
      </c>
      <c r="B10" t="s">
        <v>27</v>
      </c>
      <c r="C10" t="s">
        <v>121</v>
      </c>
    </row>
    <row r="11" spans="1:3" x14ac:dyDescent="0.25">
      <c r="A11">
        <v>10</v>
      </c>
      <c r="B11" t="s">
        <v>122</v>
      </c>
      <c r="C11" t="s">
        <v>123</v>
      </c>
    </row>
    <row r="12" spans="1:3" x14ac:dyDescent="0.25">
      <c r="A12">
        <v>11</v>
      </c>
      <c r="B12" t="s">
        <v>124</v>
      </c>
      <c r="C12" t="s">
        <v>125</v>
      </c>
    </row>
    <row r="13" spans="1:3" x14ac:dyDescent="0.25">
      <c r="A13">
        <v>12</v>
      </c>
      <c r="B13" t="s">
        <v>17</v>
      </c>
      <c r="C13" t="s">
        <v>126</v>
      </c>
    </row>
    <row r="14" spans="1:3" x14ac:dyDescent="0.25">
      <c r="A14">
        <v>13</v>
      </c>
      <c r="B14" t="s">
        <v>35</v>
      </c>
      <c r="C14" t="s">
        <v>127</v>
      </c>
    </row>
    <row r="15" spans="1:3" x14ac:dyDescent="0.25">
      <c r="A15">
        <v>14</v>
      </c>
      <c r="B15" t="s">
        <v>43</v>
      </c>
      <c r="C15" t="s">
        <v>128</v>
      </c>
    </row>
    <row r="16" spans="1:3" x14ac:dyDescent="0.25">
      <c r="A16">
        <v>15</v>
      </c>
      <c r="B16" t="s">
        <v>57</v>
      </c>
      <c r="C16" t="s">
        <v>129</v>
      </c>
    </row>
    <row r="17" spans="1:3" x14ac:dyDescent="0.25">
      <c r="A17">
        <v>16</v>
      </c>
      <c r="B17" t="s">
        <v>130</v>
      </c>
      <c r="C17" t="s">
        <v>131</v>
      </c>
    </row>
    <row r="18" spans="1:3" x14ac:dyDescent="0.25">
      <c r="A18">
        <v>17</v>
      </c>
      <c r="B18" t="s">
        <v>62</v>
      </c>
      <c r="C18" t="s">
        <v>132</v>
      </c>
    </row>
    <row r="19" spans="1:3" x14ac:dyDescent="0.25">
      <c r="A19">
        <v>18</v>
      </c>
      <c r="B19" t="s">
        <v>44</v>
      </c>
      <c r="C19" t="s">
        <v>133</v>
      </c>
    </row>
    <row r="20" spans="1:3" x14ac:dyDescent="0.25">
      <c r="A20">
        <v>19</v>
      </c>
      <c r="B20" t="s">
        <v>40</v>
      </c>
      <c r="C20" t="s">
        <v>134</v>
      </c>
    </row>
    <row r="21" spans="1:3" x14ac:dyDescent="0.25">
      <c r="A21">
        <v>20</v>
      </c>
      <c r="B21" t="s">
        <v>71</v>
      </c>
      <c r="C21" t="s">
        <v>135</v>
      </c>
    </row>
    <row r="22" spans="1:3" x14ac:dyDescent="0.25">
      <c r="A22">
        <v>21</v>
      </c>
      <c r="B22" t="s">
        <v>73</v>
      </c>
      <c r="C22" t="s">
        <v>136</v>
      </c>
    </row>
    <row r="23" spans="1:3" x14ac:dyDescent="0.25">
      <c r="A23">
        <v>22</v>
      </c>
      <c r="B23" t="s">
        <v>74</v>
      </c>
      <c r="C23" t="s">
        <v>137</v>
      </c>
    </row>
    <row r="24" spans="1:3" x14ac:dyDescent="0.25">
      <c r="A24">
        <v>23</v>
      </c>
      <c r="B24" t="s">
        <v>52</v>
      </c>
      <c r="C24" t="s">
        <v>138</v>
      </c>
    </row>
    <row r="25" spans="1:3" x14ac:dyDescent="0.25">
      <c r="A25">
        <v>24</v>
      </c>
      <c r="B25" t="s">
        <v>20</v>
      </c>
      <c r="C25" t="s">
        <v>139</v>
      </c>
    </row>
    <row r="26" spans="1:3" x14ac:dyDescent="0.25">
      <c r="A26">
        <v>25</v>
      </c>
      <c r="B26" t="s">
        <v>55</v>
      </c>
      <c r="C26" t="s">
        <v>140</v>
      </c>
    </row>
    <row r="27" spans="1:3" x14ac:dyDescent="0.25">
      <c r="A27">
        <v>26</v>
      </c>
      <c r="B27" t="s">
        <v>46</v>
      </c>
      <c r="C27" t="s">
        <v>141</v>
      </c>
    </row>
    <row r="28" spans="1:3" x14ac:dyDescent="0.25">
      <c r="A28">
        <v>27</v>
      </c>
      <c r="B28" t="s">
        <v>45</v>
      </c>
      <c r="C28" t="s">
        <v>142</v>
      </c>
    </row>
    <row r="29" spans="1:3" x14ac:dyDescent="0.25">
      <c r="A29">
        <v>28</v>
      </c>
      <c r="B29" t="s">
        <v>16</v>
      </c>
      <c r="C29" t="s">
        <v>143</v>
      </c>
    </row>
    <row r="30" spans="1:3" x14ac:dyDescent="0.25">
      <c r="A30">
        <v>29</v>
      </c>
      <c r="B30" t="s">
        <v>39</v>
      </c>
      <c r="C30" t="s">
        <v>144</v>
      </c>
    </row>
    <row r="31" spans="1:3" x14ac:dyDescent="0.25">
      <c r="A31">
        <v>30</v>
      </c>
      <c r="B31" t="s">
        <v>33</v>
      </c>
      <c r="C31" t="s">
        <v>145</v>
      </c>
    </row>
    <row r="32" spans="1:3" x14ac:dyDescent="0.25">
      <c r="A32">
        <v>31</v>
      </c>
      <c r="B32" t="s">
        <v>18</v>
      </c>
      <c r="C32" t="s">
        <v>146</v>
      </c>
    </row>
    <row r="33" spans="1:3" x14ac:dyDescent="0.25">
      <c r="A33">
        <v>32</v>
      </c>
      <c r="B33" t="s">
        <v>54</v>
      </c>
      <c r="C33" t="s">
        <v>147</v>
      </c>
    </row>
    <row r="34" spans="1:3" x14ac:dyDescent="0.25">
      <c r="A34">
        <v>33</v>
      </c>
      <c r="B34" t="s">
        <v>76</v>
      </c>
      <c r="C34" t="s">
        <v>148</v>
      </c>
    </row>
    <row r="35" spans="1:3" x14ac:dyDescent="0.25">
      <c r="A35">
        <v>34</v>
      </c>
      <c r="B35" t="s">
        <v>56</v>
      </c>
      <c r="C35" t="s">
        <v>149</v>
      </c>
    </row>
    <row r="36" spans="1:3" x14ac:dyDescent="0.25">
      <c r="A36">
        <v>35</v>
      </c>
      <c r="B36" t="s">
        <v>59</v>
      </c>
      <c r="C36" t="s">
        <v>150</v>
      </c>
    </row>
    <row r="37" spans="1:3" x14ac:dyDescent="0.25">
      <c r="A37">
        <v>36</v>
      </c>
      <c r="B37" t="s">
        <v>58</v>
      </c>
      <c r="C37" t="s">
        <v>151</v>
      </c>
    </row>
    <row r="38" spans="1:3" x14ac:dyDescent="0.25">
      <c r="A38">
        <v>37</v>
      </c>
      <c r="B38" t="s">
        <v>49</v>
      </c>
      <c r="C38" t="s">
        <v>152</v>
      </c>
    </row>
    <row r="39" spans="1:3" x14ac:dyDescent="0.25">
      <c r="A39">
        <v>38</v>
      </c>
      <c r="B39" t="s">
        <v>38</v>
      </c>
      <c r="C39" t="s">
        <v>153</v>
      </c>
    </row>
    <row r="40" spans="1:3" x14ac:dyDescent="0.25">
      <c r="A40">
        <v>39</v>
      </c>
      <c r="B40" t="s">
        <v>61</v>
      </c>
      <c r="C40" t="s">
        <v>154</v>
      </c>
    </row>
    <row r="41" spans="1:3" x14ac:dyDescent="0.25">
      <c r="A41">
        <v>40</v>
      </c>
      <c r="B41" t="s">
        <v>34</v>
      </c>
      <c r="C41" t="s">
        <v>155</v>
      </c>
    </row>
    <row r="42" spans="1:3" x14ac:dyDescent="0.25">
      <c r="A42">
        <v>41</v>
      </c>
      <c r="B42" t="s">
        <v>41</v>
      </c>
      <c r="C42" t="s">
        <v>156</v>
      </c>
    </row>
    <row r="43" spans="1:3" x14ac:dyDescent="0.25">
      <c r="A43">
        <v>42</v>
      </c>
      <c r="B43" t="s">
        <v>53</v>
      </c>
      <c r="C43" t="s">
        <v>157</v>
      </c>
    </row>
    <row r="44" spans="1:3" x14ac:dyDescent="0.25">
      <c r="A44">
        <v>43</v>
      </c>
      <c r="B44" t="s">
        <v>32</v>
      </c>
      <c r="C44" t="s">
        <v>158</v>
      </c>
    </row>
    <row r="45" spans="1:3" x14ac:dyDescent="0.25">
      <c r="A45">
        <v>44</v>
      </c>
      <c r="B45" t="s">
        <v>31</v>
      </c>
      <c r="C45" t="s">
        <v>159</v>
      </c>
    </row>
    <row r="46" spans="1:3" x14ac:dyDescent="0.25">
      <c r="A46">
        <v>45</v>
      </c>
      <c r="B46" t="s">
        <v>22</v>
      </c>
      <c r="C46" t="s">
        <v>160</v>
      </c>
    </row>
    <row r="47" spans="1:3" x14ac:dyDescent="0.25">
      <c r="A47">
        <v>46</v>
      </c>
      <c r="B47" t="s">
        <v>37</v>
      </c>
      <c r="C47" t="s">
        <v>161</v>
      </c>
    </row>
    <row r="48" spans="1:3" x14ac:dyDescent="0.25">
      <c r="A48">
        <v>47</v>
      </c>
      <c r="B48" t="s">
        <v>14</v>
      </c>
      <c r="C48" t="s">
        <v>162</v>
      </c>
    </row>
    <row r="49" spans="1:3" x14ac:dyDescent="0.25">
      <c r="A49">
        <v>48</v>
      </c>
      <c r="B49" t="s">
        <v>2</v>
      </c>
      <c r="C49" t="s">
        <v>163</v>
      </c>
    </row>
    <row r="50" spans="1:3" x14ac:dyDescent="0.25">
      <c r="A50">
        <v>49</v>
      </c>
      <c r="B50" t="s">
        <v>8</v>
      </c>
      <c r="C50" t="s">
        <v>164</v>
      </c>
    </row>
    <row r="51" spans="1:3" x14ac:dyDescent="0.25">
      <c r="A51">
        <v>50</v>
      </c>
      <c r="B51" t="s">
        <v>10</v>
      </c>
      <c r="C51" t="s">
        <v>165</v>
      </c>
    </row>
    <row r="52" spans="1:3" x14ac:dyDescent="0.25">
      <c r="A52">
        <v>51</v>
      </c>
      <c r="B52" t="s">
        <v>9</v>
      </c>
      <c r="C52" t="s">
        <v>166</v>
      </c>
    </row>
    <row r="53" spans="1:3" x14ac:dyDescent="0.25">
      <c r="A53">
        <v>52</v>
      </c>
      <c r="B53" t="s">
        <v>23</v>
      </c>
      <c r="C53" t="s">
        <v>167</v>
      </c>
    </row>
    <row r="54" spans="1:3" x14ac:dyDescent="0.25">
      <c r="A54">
        <v>53</v>
      </c>
      <c r="B54" t="s">
        <v>168</v>
      </c>
      <c r="C54" t="s">
        <v>169</v>
      </c>
    </row>
    <row r="55" spans="1:3" x14ac:dyDescent="0.25">
      <c r="A55">
        <v>54</v>
      </c>
      <c r="B55" t="s">
        <v>26</v>
      </c>
      <c r="C55" t="s">
        <v>170</v>
      </c>
    </row>
    <row r="56" spans="1:3" x14ac:dyDescent="0.25">
      <c r="A56">
        <v>55</v>
      </c>
      <c r="B56" t="s">
        <v>171</v>
      </c>
      <c r="C56" t="s">
        <v>172</v>
      </c>
    </row>
    <row r="57" spans="1:3" x14ac:dyDescent="0.25">
      <c r="A57">
        <v>56</v>
      </c>
      <c r="B57" t="s">
        <v>11</v>
      </c>
      <c r="C57" t="s">
        <v>173</v>
      </c>
    </row>
    <row r="58" spans="1:3" x14ac:dyDescent="0.25">
      <c r="A58">
        <v>57</v>
      </c>
      <c r="B58" t="s">
        <v>3</v>
      </c>
      <c r="C58" t="s">
        <v>174</v>
      </c>
    </row>
    <row r="59" spans="1:3" x14ac:dyDescent="0.25">
      <c r="A59">
        <v>58</v>
      </c>
      <c r="B59" t="s">
        <v>12</v>
      </c>
      <c r="C59" t="s">
        <v>175</v>
      </c>
    </row>
    <row r="60" spans="1:3" x14ac:dyDescent="0.25">
      <c r="A60">
        <v>59</v>
      </c>
      <c r="B60" t="s">
        <v>6</v>
      </c>
      <c r="C60" t="s">
        <v>176</v>
      </c>
    </row>
    <row r="61" spans="1:3" x14ac:dyDescent="0.25">
      <c r="A61">
        <v>60</v>
      </c>
      <c r="B61" t="s">
        <v>25</v>
      </c>
      <c r="C61" t="s">
        <v>177</v>
      </c>
    </row>
    <row r="62" spans="1:3" x14ac:dyDescent="0.25">
      <c r="A62">
        <v>61</v>
      </c>
      <c r="B62" t="s">
        <v>178</v>
      </c>
      <c r="C62" t="s">
        <v>179</v>
      </c>
    </row>
    <row r="63" spans="1:3" x14ac:dyDescent="0.25">
      <c r="A63">
        <v>62</v>
      </c>
      <c r="B63" t="s">
        <v>7</v>
      </c>
      <c r="C63" t="s">
        <v>180</v>
      </c>
    </row>
    <row r="64" spans="1:3" x14ac:dyDescent="0.25">
      <c r="A64">
        <v>63</v>
      </c>
      <c r="B64" t="s">
        <v>5</v>
      </c>
      <c r="C64" t="s">
        <v>181</v>
      </c>
    </row>
    <row r="65" spans="1:3" x14ac:dyDescent="0.25">
      <c r="A65">
        <v>64</v>
      </c>
      <c r="B65" t="s">
        <v>28</v>
      </c>
      <c r="C65" t="s">
        <v>182</v>
      </c>
    </row>
    <row r="66" spans="1:3" x14ac:dyDescent="0.25">
      <c r="A66">
        <v>65</v>
      </c>
      <c r="B66" t="s">
        <v>183</v>
      </c>
      <c r="C66" t="s">
        <v>184</v>
      </c>
    </row>
    <row r="67" spans="1:3" x14ac:dyDescent="0.25">
      <c r="A67">
        <v>66</v>
      </c>
      <c r="B67" t="s">
        <v>21</v>
      </c>
      <c r="C67" t="s">
        <v>185</v>
      </c>
    </row>
    <row r="68" spans="1:3" x14ac:dyDescent="0.25">
      <c r="A68">
        <v>67</v>
      </c>
      <c r="B68" t="s">
        <v>29</v>
      </c>
      <c r="C68" t="s">
        <v>186</v>
      </c>
    </row>
    <row r="69" spans="1:3" x14ac:dyDescent="0.25">
      <c r="A69">
        <v>68</v>
      </c>
      <c r="B69" t="s">
        <v>19</v>
      </c>
      <c r="C69" t="s">
        <v>187</v>
      </c>
    </row>
    <row r="70" spans="1:3" x14ac:dyDescent="0.25">
      <c r="A70">
        <v>69</v>
      </c>
      <c r="B70" t="s">
        <v>15</v>
      </c>
      <c r="C70" t="s">
        <v>188</v>
      </c>
    </row>
    <row r="71" spans="1:3" x14ac:dyDescent="0.25">
      <c r="A71">
        <v>70</v>
      </c>
      <c r="B71" t="s">
        <v>13</v>
      </c>
      <c r="C71" t="s">
        <v>189</v>
      </c>
    </row>
    <row r="72" spans="1:3" x14ac:dyDescent="0.25">
      <c r="A72">
        <v>71</v>
      </c>
      <c r="B72" t="s">
        <v>42</v>
      </c>
      <c r="C72" t="s">
        <v>190</v>
      </c>
    </row>
    <row r="73" spans="1:3" x14ac:dyDescent="0.25">
      <c r="A73">
        <v>72</v>
      </c>
      <c r="B73" t="s">
        <v>77</v>
      </c>
      <c r="C73" t="s">
        <v>191</v>
      </c>
    </row>
    <row r="74" spans="1:3" x14ac:dyDescent="0.25">
      <c r="A74">
        <v>73</v>
      </c>
      <c r="B74" t="s">
        <v>67</v>
      </c>
      <c r="C74" t="s">
        <v>192</v>
      </c>
    </row>
    <row r="75" spans="1:3" x14ac:dyDescent="0.25">
      <c r="A75">
        <v>74</v>
      </c>
      <c r="B75" t="s">
        <v>66</v>
      </c>
      <c r="C75" t="s">
        <v>193</v>
      </c>
    </row>
    <row r="76" spans="1:3" x14ac:dyDescent="0.25">
      <c r="A76">
        <v>75</v>
      </c>
      <c r="B76" t="s">
        <v>63</v>
      </c>
      <c r="C76" t="s">
        <v>194</v>
      </c>
    </row>
    <row r="77" spans="1:3" x14ac:dyDescent="0.25">
      <c r="A77">
        <v>76</v>
      </c>
      <c r="B77" t="s">
        <v>70</v>
      </c>
      <c r="C77" t="s">
        <v>195</v>
      </c>
    </row>
    <row r="78" spans="1:3" x14ac:dyDescent="0.25">
      <c r="A78">
        <v>77</v>
      </c>
      <c r="B78" t="s">
        <v>68</v>
      </c>
      <c r="C78" t="s">
        <v>196</v>
      </c>
    </row>
    <row r="79" spans="1:3" x14ac:dyDescent="0.25">
      <c r="A79">
        <v>78</v>
      </c>
      <c r="B79" t="s">
        <v>81</v>
      </c>
      <c r="C79" t="s">
        <v>197</v>
      </c>
    </row>
    <row r="80" spans="1:3" x14ac:dyDescent="0.25">
      <c r="A80">
        <v>79</v>
      </c>
      <c r="B80" t="s">
        <v>69</v>
      </c>
      <c r="C80" t="s">
        <v>198</v>
      </c>
    </row>
    <row r="81" spans="1:3" x14ac:dyDescent="0.25">
      <c r="A81">
        <v>80</v>
      </c>
      <c r="B81" t="s">
        <v>80</v>
      </c>
      <c r="C81" t="s">
        <v>199</v>
      </c>
    </row>
    <row r="82" spans="1:3" x14ac:dyDescent="0.25">
      <c r="A82">
        <v>81</v>
      </c>
      <c r="B82" t="s">
        <v>50</v>
      </c>
      <c r="C82" t="s">
        <v>200</v>
      </c>
    </row>
    <row r="83" spans="1:3" x14ac:dyDescent="0.25">
      <c r="A83">
        <v>82</v>
      </c>
      <c r="B83" t="s">
        <v>79</v>
      </c>
      <c r="C83" t="s">
        <v>201</v>
      </c>
    </row>
    <row r="84" spans="1:3" x14ac:dyDescent="0.25">
      <c r="A84">
        <v>83</v>
      </c>
      <c r="B84" t="s">
        <v>64</v>
      </c>
      <c r="C84" t="s">
        <v>202</v>
      </c>
    </row>
    <row r="85" spans="1:3" x14ac:dyDescent="0.25">
      <c r="A85">
        <v>84</v>
      </c>
      <c r="B85" t="s">
        <v>95</v>
      </c>
      <c r="C85" t="s">
        <v>203</v>
      </c>
    </row>
    <row r="86" spans="1:3" x14ac:dyDescent="0.25">
      <c r="A86">
        <v>85</v>
      </c>
      <c r="B86" t="s">
        <v>65</v>
      </c>
      <c r="C86" t="s">
        <v>204</v>
      </c>
    </row>
    <row r="87" spans="1:3" x14ac:dyDescent="0.25">
      <c r="A87">
        <v>86</v>
      </c>
      <c r="B87" t="s">
        <v>84</v>
      </c>
      <c r="C87" t="s">
        <v>205</v>
      </c>
    </row>
    <row r="88" spans="1:3" x14ac:dyDescent="0.25">
      <c r="A88">
        <v>87</v>
      </c>
      <c r="B88" t="s">
        <v>72</v>
      </c>
      <c r="C88" t="s">
        <v>206</v>
      </c>
    </row>
    <row r="89" spans="1:3" x14ac:dyDescent="0.25">
      <c r="A89">
        <v>88</v>
      </c>
      <c r="B89" t="s">
        <v>78</v>
      </c>
      <c r="C89" t="s">
        <v>207</v>
      </c>
    </row>
    <row r="90" spans="1:3" x14ac:dyDescent="0.25">
      <c r="A90">
        <v>89</v>
      </c>
      <c r="B90" t="s">
        <v>83</v>
      </c>
      <c r="C90" t="s">
        <v>208</v>
      </c>
    </row>
    <row r="91" spans="1:3" x14ac:dyDescent="0.25">
      <c r="A91">
        <v>90</v>
      </c>
      <c r="B91" t="s">
        <v>82</v>
      </c>
      <c r="C91" t="s">
        <v>209</v>
      </c>
    </row>
    <row r="92" spans="1:3" x14ac:dyDescent="0.25">
      <c r="A92">
        <v>91</v>
      </c>
      <c r="B92" t="s">
        <v>75</v>
      </c>
      <c r="C92" t="s">
        <v>210</v>
      </c>
    </row>
    <row r="93" spans="1:3" x14ac:dyDescent="0.25">
      <c r="A93">
        <v>92</v>
      </c>
      <c r="B93" t="s">
        <v>92</v>
      </c>
      <c r="C93" t="s">
        <v>211</v>
      </c>
    </row>
    <row r="94" spans="1:3" x14ac:dyDescent="0.25">
      <c r="A94">
        <v>93</v>
      </c>
      <c r="B94" t="s">
        <v>94</v>
      </c>
      <c r="C94" t="s">
        <v>212</v>
      </c>
    </row>
    <row r="95" spans="1:3" x14ac:dyDescent="0.25">
      <c r="A95">
        <v>94</v>
      </c>
      <c r="B95" t="s">
        <v>89</v>
      </c>
      <c r="C95" t="s">
        <v>213</v>
      </c>
    </row>
    <row r="96" spans="1:3" x14ac:dyDescent="0.25">
      <c r="A96">
        <v>95</v>
      </c>
      <c r="B96" t="s">
        <v>93</v>
      </c>
      <c r="C96" t="s">
        <v>214</v>
      </c>
    </row>
    <row r="97" spans="1:3" x14ac:dyDescent="0.25">
      <c r="A97">
        <v>96</v>
      </c>
      <c r="B97" t="s">
        <v>90</v>
      </c>
      <c r="C97" t="s">
        <v>215</v>
      </c>
    </row>
    <row r="98" spans="1:3" x14ac:dyDescent="0.25">
      <c r="A98">
        <v>97</v>
      </c>
      <c r="B98" t="s">
        <v>85</v>
      </c>
      <c r="C98" t="s">
        <v>216</v>
      </c>
    </row>
    <row r="99" spans="1:3" x14ac:dyDescent="0.25">
      <c r="A99">
        <v>98</v>
      </c>
      <c r="B99" t="s">
        <v>86</v>
      </c>
      <c r="C99" t="s">
        <v>217</v>
      </c>
    </row>
    <row r="100" spans="1:3" x14ac:dyDescent="0.25">
      <c r="A100">
        <v>99</v>
      </c>
      <c r="B100" t="s">
        <v>88</v>
      </c>
      <c r="C100" t="s">
        <v>218</v>
      </c>
    </row>
    <row r="101" spans="1:3" x14ac:dyDescent="0.25">
      <c r="A101">
        <v>100</v>
      </c>
      <c r="B101" t="s">
        <v>87</v>
      </c>
      <c r="C101" t="s">
        <v>219</v>
      </c>
    </row>
    <row r="102" spans="1:3" x14ac:dyDescent="0.25">
      <c r="A102">
        <v>101</v>
      </c>
      <c r="B102" t="s">
        <v>96</v>
      </c>
      <c r="C102" t="s">
        <v>220</v>
      </c>
    </row>
    <row r="103" spans="1:3" x14ac:dyDescent="0.25">
      <c r="A103">
        <v>102</v>
      </c>
      <c r="B103" t="s">
        <v>91</v>
      </c>
      <c r="C10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working</vt:lpstr>
      <vt:lpstr>Sheet3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Omair Ali</dc:creator>
  <cp:lastModifiedBy>IT User Software</cp:lastModifiedBy>
  <dcterms:created xsi:type="dcterms:W3CDTF">2025-01-07T11:54:57Z</dcterms:created>
  <dcterms:modified xsi:type="dcterms:W3CDTF">2025-01-08T12:31:23Z</dcterms:modified>
</cp:coreProperties>
</file>