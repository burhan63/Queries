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remium\Premium\Omair ALi\09-May-2025\"/>
    </mc:Choice>
  </mc:AlternateContent>
  <xr:revisionPtr revIDLastSave="0" documentId="8_{8FDF2A3F-CF9D-4F75-856C-BC1411C1796A}" xr6:coauthVersionLast="47" xr6:coauthVersionMax="47" xr10:uidLastSave="{00000000-0000-0000-0000-000000000000}"/>
  <bookViews>
    <workbookView xWindow="-120" yWindow="-120" windowWidth="20730" windowHeight="11040" firstSheet="1" activeTab="1" xr2:uid="{EFFDE1C9-7A0A-4C12-9CD0-92A4B42331D3}"/>
  </bookViews>
  <sheets>
    <sheet name="3034" sheetId="1" state="hidden" r:id="rId1"/>
    <sheet name="TOTAL" sheetId="3" r:id="rId2"/>
    <sheet name="working" sheetId="4" r:id="rId3"/>
    <sheet name="Sheet3" sheetId="6" r:id="rId4"/>
    <sheet name="policy" sheetId="5" r:id="rId5"/>
    <sheet name="3035" sheetId="2" state="hidden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" i="4" l="1"/>
  <c r="H4" i="4"/>
  <c r="H5" i="4"/>
  <c r="H6" i="4"/>
  <c r="H7" i="4"/>
  <c r="H8" i="4"/>
  <c r="H9" i="4"/>
  <c r="H10" i="4"/>
  <c r="H11" i="4"/>
  <c r="H12" i="4"/>
  <c r="H13" i="4"/>
  <c r="H14" i="4"/>
  <c r="H15" i="4"/>
  <c r="H16" i="4"/>
  <c r="H17" i="4"/>
  <c r="H18" i="4"/>
  <c r="H19" i="4"/>
  <c r="H20" i="4"/>
  <c r="H21" i="4"/>
  <c r="H22" i="4"/>
  <c r="H23" i="4"/>
  <c r="H24" i="4"/>
  <c r="H25" i="4"/>
  <c r="H26" i="4"/>
  <c r="H27" i="4"/>
  <c r="H28" i="4"/>
  <c r="H29" i="4"/>
  <c r="H30" i="4"/>
  <c r="H31" i="4"/>
  <c r="H32" i="4"/>
  <c r="H33" i="4"/>
  <c r="H34" i="4"/>
  <c r="H35" i="4"/>
  <c r="H36" i="4"/>
  <c r="H37" i="4"/>
  <c r="H38" i="4"/>
  <c r="H39" i="4"/>
  <c r="H40" i="4"/>
  <c r="H41" i="4"/>
  <c r="H42" i="4"/>
  <c r="H43" i="4"/>
  <c r="H44" i="4"/>
  <c r="H45" i="4"/>
  <c r="H46" i="4"/>
  <c r="H47" i="4"/>
  <c r="H48" i="4"/>
  <c r="H49" i="4"/>
  <c r="H50" i="4"/>
  <c r="H51" i="4"/>
  <c r="H52" i="4"/>
  <c r="H53" i="4"/>
  <c r="H54" i="4"/>
  <c r="H55" i="4"/>
  <c r="H56" i="4"/>
  <c r="H57" i="4"/>
  <c r="H58" i="4"/>
  <c r="H59" i="4"/>
  <c r="H60" i="4"/>
  <c r="H61" i="4"/>
  <c r="H62" i="4"/>
  <c r="H63" i="4"/>
  <c r="H64" i="4"/>
  <c r="H65" i="4"/>
  <c r="H66" i="4"/>
  <c r="H67" i="4"/>
  <c r="H68" i="4"/>
  <c r="H69" i="4"/>
  <c r="H70" i="4"/>
  <c r="H71" i="4"/>
  <c r="H72" i="4"/>
  <c r="H73" i="4"/>
  <c r="H74" i="4"/>
  <c r="H75" i="4"/>
  <c r="H76" i="4"/>
  <c r="H77" i="4"/>
  <c r="H78" i="4"/>
  <c r="H79" i="4"/>
  <c r="H80" i="4"/>
  <c r="H81" i="4"/>
  <c r="H82" i="4"/>
  <c r="H83" i="4"/>
  <c r="H84" i="4"/>
  <c r="H85" i="4"/>
  <c r="H86" i="4"/>
  <c r="H87" i="4"/>
  <c r="H88" i="4"/>
  <c r="H89" i="4"/>
  <c r="H90" i="4"/>
  <c r="H91" i="4"/>
  <c r="H92" i="4"/>
  <c r="H93" i="4"/>
  <c r="H94" i="4"/>
  <c r="H95" i="4"/>
  <c r="H96" i="4"/>
  <c r="H97" i="4"/>
  <c r="H98" i="4"/>
  <c r="H99" i="4"/>
  <c r="H100" i="4"/>
  <c r="H101" i="4"/>
  <c r="H102" i="4"/>
  <c r="H103" i="4"/>
  <c r="H104" i="4"/>
  <c r="H105" i="4"/>
  <c r="H106" i="4"/>
  <c r="H107" i="4"/>
  <c r="H108" i="4"/>
  <c r="H109" i="4"/>
  <c r="H110" i="4"/>
  <c r="H111" i="4"/>
  <c r="H112" i="4"/>
  <c r="H113" i="4"/>
  <c r="H114" i="4"/>
  <c r="H115" i="4"/>
  <c r="H116" i="4"/>
  <c r="H117" i="4"/>
  <c r="H118" i="4"/>
  <c r="H119" i="4"/>
  <c r="H120" i="4"/>
  <c r="H121" i="4"/>
  <c r="H122" i="4"/>
  <c r="H123" i="4"/>
  <c r="H124" i="4"/>
  <c r="H125" i="4"/>
  <c r="H126" i="4"/>
  <c r="H127" i="4"/>
  <c r="H128" i="4"/>
  <c r="H129" i="4"/>
  <c r="H130" i="4"/>
  <c r="H131" i="4"/>
  <c r="H132" i="4"/>
  <c r="H133" i="4"/>
  <c r="H134" i="4"/>
  <c r="H135" i="4"/>
  <c r="H136" i="4"/>
  <c r="H137" i="4"/>
  <c r="H138" i="4"/>
  <c r="H139" i="4"/>
  <c r="H140" i="4"/>
  <c r="H141" i="4"/>
  <c r="H142" i="4"/>
  <c r="H143" i="4"/>
  <c r="H144" i="4"/>
  <c r="H145" i="4"/>
  <c r="H146" i="4"/>
  <c r="H147" i="4"/>
  <c r="H148" i="4"/>
  <c r="H149" i="4"/>
  <c r="H150" i="4"/>
  <c r="H151" i="4"/>
  <c r="H152" i="4"/>
  <c r="H153" i="4"/>
  <c r="H154" i="4"/>
  <c r="H155" i="4"/>
  <c r="H156" i="4"/>
  <c r="H157" i="4"/>
  <c r="H158" i="4"/>
  <c r="H159" i="4"/>
  <c r="H160" i="4"/>
  <c r="H161" i="4"/>
  <c r="H162" i="4"/>
  <c r="H163" i="4"/>
  <c r="H164" i="4"/>
  <c r="H165" i="4"/>
  <c r="H166" i="4"/>
  <c r="H167" i="4"/>
  <c r="H168" i="4"/>
  <c r="H169" i="4"/>
  <c r="H170" i="4"/>
  <c r="H171" i="4"/>
  <c r="H172" i="4"/>
  <c r="H173" i="4"/>
  <c r="H174" i="4"/>
  <c r="H175" i="4"/>
  <c r="H176" i="4"/>
  <c r="H177" i="4"/>
  <c r="H178" i="4"/>
  <c r="H179" i="4"/>
  <c r="H180" i="4"/>
  <c r="H181" i="4"/>
  <c r="H182" i="4"/>
  <c r="H183" i="4"/>
  <c r="H184" i="4"/>
  <c r="H185" i="4"/>
  <c r="H186" i="4"/>
  <c r="H187" i="4"/>
  <c r="H188" i="4"/>
  <c r="H189" i="4"/>
  <c r="H190" i="4"/>
  <c r="H191" i="4"/>
  <c r="H192" i="4"/>
  <c r="H193" i="4"/>
  <c r="H194" i="4"/>
  <c r="H195" i="4"/>
  <c r="H196" i="4"/>
  <c r="H197" i="4"/>
  <c r="H198" i="4"/>
  <c r="H199" i="4"/>
  <c r="H200" i="4"/>
  <c r="H201" i="4"/>
  <c r="H202" i="4"/>
  <c r="H203" i="4"/>
  <c r="H204" i="4"/>
  <c r="H205" i="4"/>
  <c r="H206" i="4"/>
  <c r="H207" i="4"/>
  <c r="H208" i="4"/>
  <c r="H209" i="4"/>
  <c r="H210" i="4"/>
  <c r="H211" i="4"/>
  <c r="H212" i="4"/>
  <c r="H213" i="4"/>
  <c r="H214" i="4"/>
  <c r="H215" i="4"/>
  <c r="H216" i="4"/>
  <c r="H217" i="4"/>
  <c r="H218" i="4"/>
  <c r="H219" i="4"/>
  <c r="H220" i="4"/>
  <c r="H221" i="4"/>
  <c r="H222" i="4"/>
  <c r="H223" i="4"/>
  <c r="H224" i="4"/>
  <c r="H225" i="4"/>
  <c r="H226" i="4"/>
  <c r="H227" i="4"/>
  <c r="H228" i="4"/>
  <c r="H229" i="4"/>
  <c r="H230" i="4"/>
  <c r="H231" i="4"/>
  <c r="H232" i="4"/>
  <c r="H233" i="4"/>
  <c r="H234" i="4"/>
  <c r="H235" i="4"/>
  <c r="H236" i="4"/>
  <c r="H237" i="4"/>
  <c r="H238" i="4"/>
  <c r="H239" i="4"/>
  <c r="H240" i="4"/>
  <c r="H241" i="4"/>
  <c r="H242" i="4"/>
  <c r="H243" i="4"/>
  <c r="H244" i="4"/>
  <c r="H245" i="4"/>
  <c r="H246" i="4"/>
  <c r="H247" i="4"/>
  <c r="H248" i="4"/>
  <c r="H249" i="4"/>
  <c r="H250" i="4"/>
  <c r="H251" i="4"/>
  <c r="H252" i="4"/>
  <c r="H253" i="4"/>
  <c r="H254" i="4"/>
  <c r="H255" i="4"/>
  <c r="H256" i="4"/>
  <c r="H257" i="4"/>
  <c r="H258" i="4"/>
  <c r="H259" i="4"/>
  <c r="H260" i="4"/>
  <c r="H261" i="4"/>
  <c r="H262" i="4"/>
  <c r="H263" i="4"/>
  <c r="H264" i="4"/>
  <c r="H265" i="4"/>
  <c r="H266" i="4"/>
  <c r="H267" i="4"/>
  <c r="H268" i="4"/>
  <c r="H269" i="4"/>
  <c r="H270" i="4"/>
  <c r="H271" i="4"/>
  <c r="H272" i="4"/>
  <c r="H273" i="4"/>
  <c r="H274" i="4"/>
  <c r="H275" i="4"/>
  <c r="H276" i="4"/>
  <c r="H277" i="4"/>
  <c r="H278" i="4"/>
  <c r="H279" i="4"/>
  <c r="H280" i="4"/>
  <c r="H281" i="4"/>
  <c r="H282" i="4"/>
  <c r="H283" i="4"/>
  <c r="H284" i="4"/>
  <c r="H285" i="4"/>
  <c r="H286" i="4"/>
  <c r="H287" i="4"/>
  <c r="H288" i="4"/>
  <c r="H289" i="4"/>
  <c r="H290" i="4"/>
  <c r="H291" i="4"/>
  <c r="H292" i="4"/>
  <c r="H293" i="4"/>
  <c r="H294" i="4"/>
  <c r="H295" i="4"/>
  <c r="H296" i="4"/>
  <c r="H297" i="4"/>
  <c r="H298" i="4"/>
  <c r="H299" i="4"/>
  <c r="H300" i="4"/>
  <c r="H301" i="4"/>
  <c r="H302" i="4"/>
  <c r="H303" i="4"/>
  <c r="H304" i="4"/>
  <c r="H305" i="4"/>
  <c r="H306" i="4"/>
  <c r="H307" i="4"/>
  <c r="H308" i="4"/>
  <c r="H309" i="4"/>
  <c r="H310" i="4"/>
  <c r="H311" i="4"/>
  <c r="H312" i="4"/>
  <c r="H313" i="4"/>
  <c r="H314" i="4"/>
  <c r="H315" i="4"/>
  <c r="H316" i="4"/>
  <c r="H317" i="4"/>
  <c r="G3" i="4"/>
  <c r="G4" i="4"/>
  <c r="G5" i="4"/>
  <c r="G6" i="4"/>
  <c r="G7" i="4"/>
  <c r="G8" i="4"/>
  <c r="G9" i="4"/>
  <c r="G10" i="4"/>
  <c r="G11" i="4"/>
  <c r="G12" i="4"/>
  <c r="G13" i="4"/>
  <c r="G14" i="4"/>
  <c r="G15" i="4"/>
  <c r="G16" i="4"/>
  <c r="G17" i="4"/>
  <c r="G18" i="4"/>
  <c r="G19" i="4"/>
  <c r="G20" i="4"/>
  <c r="G21" i="4"/>
  <c r="G22" i="4"/>
  <c r="G23" i="4"/>
  <c r="G24" i="4"/>
  <c r="G25" i="4"/>
  <c r="G26" i="4"/>
  <c r="G27" i="4"/>
  <c r="G28" i="4"/>
  <c r="G29" i="4"/>
  <c r="G30" i="4"/>
  <c r="G31" i="4"/>
  <c r="G32" i="4"/>
  <c r="G33" i="4"/>
  <c r="G34" i="4"/>
  <c r="G35" i="4"/>
  <c r="G36" i="4"/>
  <c r="G37" i="4"/>
  <c r="G38" i="4"/>
  <c r="G39" i="4"/>
  <c r="G40" i="4"/>
  <c r="G41" i="4"/>
  <c r="G42" i="4"/>
  <c r="G43" i="4"/>
  <c r="G44" i="4"/>
  <c r="G45" i="4"/>
  <c r="G46" i="4"/>
  <c r="G47" i="4"/>
  <c r="G48" i="4"/>
  <c r="G49" i="4"/>
  <c r="G50" i="4"/>
  <c r="G51" i="4"/>
  <c r="G52" i="4"/>
  <c r="G53" i="4"/>
  <c r="G54" i="4"/>
  <c r="G55" i="4"/>
  <c r="G56" i="4"/>
  <c r="G57" i="4"/>
  <c r="G58" i="4"/>
  <c r="G59" i="4"/>
  <c r="G60" i="4"/>
  <c r="G61" i="4"/>
  <c r="G62" i="4"/>
  <c r="G63" i="4"/>
  <c r="G64" i="4"/>
  <c r="G65" i="4"/>
  <c r="G66" i="4"/>
  <c r="G67" i="4"/>
  <c r="G68" i="4"/>
  <c r="G69" i="4"/>
  <c r="G70" i="4"/>
  <c r="G71" i="4"/>
  <c r="G72" i="4"/>
  <c r="G73" i="4"/>
  <c r="G74" i="4"/>
  <c r="G75" i="4"/>
  <c r="G76" i="4"/>
  <c r="G77" i="4"/>
  <c r="G78" i="4"/>
  <c r="G79" i="4"/>
  <c r="G80" i="4"/>
  <c r="G81" i="4"/>
  <c r="G82" i="4"/>
  <c r="G83" i="4"/>
  <c r="G84" i="4"/>
  <c r="G85" i="4"/>
  <c r="G86" i="4"/>
  <c r="G87" i="4"/>
  <c r="G88" i="4"/>
  <c r="G89" i="4"/>
  <c r="G90" i="4"/>
  <c r="G91" i="4"/>
  <c r="G92" i="4"/>
  <c r="G93" i="4"/>
  <c r="G94" i="4"/>
  <c r="G95" i="4"/>
  <c r="G96" i="4"/>
  <c r="G97" i="4"/>
  <c r="G98" i="4"/>
  <c r="G99" i="4"/>
  <c r="G100" i="4"/>
  <c r="G101" i="4"/>
  <c r="G102" i="4"/>
  <c r="G103" i="4"/>
  <c r="G104" i="4"/>
  <c r="G105" i="4"/>
  <c r="G106" i="4"/>
  <c r="G107" i="4"/>
  <c r="G108" i="4"/>
  <c r="G109" i="4"/>
  <c r="G110" i="4"/>
  <c r="G111" i="4"/>
  <c r="G112" i="4"/>
  <c r="G113" i="4"/>
  <c r="G114" i="4"/>
  <c r="G115" i="4"/>
  <c r="G116" i="4"/>
  <c r="G117" i="4"/>
  <c r="G118" i="4"/>
  <c r="G119" i="4"/>
  <c r="G120" i="4"/>
  <c r="G121" i="4"/>
  <c r="G122" i="4"/>
  <c r="G123" i="4"/>
  <c r="G124" i="4"/>
  <c r="G125" i="4"/>
  <c r="G126" i="4"/>
  <c r="G127" i="4"/>
  <c r="G128" i="4"/>
  <c r="G129" i="4"/>
  <c r="G130" i="4"/>
  <c r="G131" i="4"/>
  <c r="G132" i="4"/>
  <c r="G133" i="4"/>
  <c r="G134" i="4"/>
  <c r="G135" i="4"/>
  <c r="G136" i="4"/>
  <c r="G137" i="4"/>
  <c r="G138" i="4"/>
  <c r="G139" i="4"/>
  <c r="G140" i="4"/>
  <c r="G141" i="4"/>
  <c r="G142" i="4"/>
  <c r="G143" i="4"/>
  <c r="G144" i="4"/>
  <c r="G145" i="4"/>
  <c r="G146" i="4"/>
  <c r="G147" i="4"/>
  <c r="G148" i="4"/>
  <c r="G149" i="4"/>
  <c r="G150" i="4"/>
  <c r="G151" i="4"/>
  <c r="G152" i="4"/>
  <c r="G153" i="4"/>
  <c r="G154" i="4"/>
  <c r="G155" i="4"/>
  <c r="G156" i="4"/>
  <c r="G157" i="4"/>
  <c r="G158" i="4"/>
  <c r="G159" i="4"/>
  <c r="G160" i="4"/>
  <c r="G161" i="4"/>
  <c r="G162" i="4"/>
  <c r="G163" i="4"/>
  <c r="G164" i="4"/>
  <c r="G165" i="4"/>
  <c r="G166" i="4"/>
  <c r="G167" i="4"/>
  <c r="G168" i="4"/>
  <c r="G169" i="4"/>
  <c r="G170" i="4"/>
  <c r="G171" i="4"/>
  <c r="G172" i="4"/>
  <c r="G173" i="4"/>
  <c r="G174" i="4"/>
  <c r="G175" i="4"/>
  <c r="G176" i="4"/>
  <c r="G177" i="4"/>
  <c r="G178" i="4"/>
  <c r="G179" i="4"/>
  <c r="G180" i="4"/>
  <c r="G181" i="4"/>
  <c r="G182" i="4"/>
  <c r="G183" i="4"/>
  <c r="G184" i="4"/>
  <c r="G185" i="4"/>
  <c r="G186" i="4"/>
  <c r="G187" i="4"/>
  <c r="G188" i="4"/>
  <c r="G189" i="4"/>
  <c r="G190" i="4"/>
  <c r="G191" i="4"/>
  <c r="G192" i="4"/>
  <c r="G193" i="4"/>
  <c r="G194" i="4"/>
  <c r="G195" i="4"/>
  <c r="G196" i="4"/>
  <c r="G197" i="4"/>
  <c r="G198" i="4"/>
  <c r="G199" i="4"/>
  <c r="G200" i="4"/>
  <c r="G201" i="4"/>
  <c r="G202" i="4"/>
  <c r="G203" i="4"/>
  <c r="G204" i="4"/>
  <c r="G205" i="4"/>
  <c r="G206" i="4"/>
  <c r="G207" i="4"/>
  <c r="G208" i="4"/>
  <c r="G209" i="4"/>
  <c r="G210" i="4"/>
  <c r="G211" i="4"/>
  <c r="G212" i="4"/>
  <c r="G213" i="4"/>
  <c r="G214" i="4"/>
  <c r="G215" i="4"/>
  <c r="G216" i="4"/>
  <c r="G217" i="4"/>
  <c r="G218" i="4"/>
  <c r="G219" i="4"/>
  <c r="G220" i="4"/>
  <c r="G221" i="4"/>
  <c r="G222" i="4"/>
  <c r="G223" i="4"/>
  <c r="G224" i="4"/>
  <c r="G225" i="4"/>
  <c r="G226" i="4"/>
  <c r="G227" i="4"/>
  <c r="G228" i="4"/>
  <c r="G229" i="4"/>
  <c r="G230" i="4"/>
  <c r="G231" i="4"/>
  <c r="G232" i="4"/>
  <c r="G233" i="4"/>
  <c r="G234" i="4"/>
  <c r="G235" i="4"/>
  <c r="G236" i="4"/>
  <c r="G237" i="4"/>
  <c r="G238" i="4"/>
  <c r="G239" i="4"/>
  <c r="G240" i="4"/>
  <c r="G241" i="4"/>
  <c r="G242" i="4"/>
  <c r="G243" i="4"/>
  <c r="G244" i="4"/>
  <c r="G245" i="4"/>
  <c r="G246" i="4"/>
  <c r="G247" i="4"/>
  <c r="G248" i="4"/>
  <c r="G249" i="4"/>
  <c r="G250" i="4"/>
  <c r="G251" i="4"/>
  <c r="G252" i="4"/>
  <c r="G253" i="4"/>
  <c r="G254" i="4"/>
  <c r="G255" i="4"/>
  <c r="G256" i="4"/>
  <c r="G257" i="4"/>
  <c r="G258" i="4"/>
  <c r="G259" i="4"/>
  <c r="G260" i="4"/>
  <c r="G261" i="4"/>
  <c r="G262" i="4"/>
  <c r="G263" i="4"/>
  <c r="G264" i="4"/>
  <c r="G265" i="4"/>
  <c r="G266" i="4"/>
  <c r="G267" i="4"/>
  <c r="G268" i="4"/>
  <c r="G269" i="4"/>
  <c r="G270" i="4"/>
  <c r="G271" i="4"/>
  <c r="G272" i="4"/>
  <c r="G273" i="4"/>
  <c r="G274" i="4"/>
  <c r="G275" i="4"/>
  <c r="G276" i="4"/>
  <c r="G277" i="4"/>
  <c r="G278" i="4"/>
  <c r="G279" i="4"/>
  <c r="G280" i="4"/>
  <c r="G281" i="4"/>
  <c r="G282" i="4"/>
  <c r="G283" i="4"/>
  <c r="G284" i="4"/>
  <c r="G285" i="4"/>
  <c r="G286" i="4"/>
  <c r="G287" i="4"/>
  <c r="G288" i="4"/>
  <c r="G289" i="4"/>
  <c r="G290" i="4"/>
  <c r="G291" i="4"/>
  <c r="G292" i="4"/>
  <c r="G293" i="4"/>
  <c r="G294" i="4"/>
  <c r="G295" i="4"/>
  <c r="G296" i="4"/>
  <c r="G297" i="4"/>
  <c r="G298" i="4"/>
  <c r="G299" i="4"/>
  <c r="G300" i="4"/>
  <c r="G301" i="4"/>
  <c r="G302" i="4"/>
  <c r="G303" i="4"/>
  <c r="G304" i="4"/>
  <c r="G305" i="4"/>
  <c r="G306" i="4"/>
  <c r="G307" i="4"/>
  <c r="G308" i="4"/>
  <c r="G309" i="4"/>
  <c r="G310" i="4"/>
  <c r="G311" i="4"/>
  <c r="G312" i="4"/>
  <c r="G313" i="4"/>
  <c r="G314" i="4"/>
  <c r="G315" i="4"/>
  <c r="G316" i="4"/>
  <c r="G317" i="4"/>
  <c r="G2" i="4"/>
  <c r="F3" i="4"/>
  <c r="F4" i="4"/>
  <c r="F5" i="4"/>
  <c r="F6" i="4"/>
  <c r="F7" i="4"/>
  <c r="F8" i="4"/>
  <c r="F9" i="4"/>
  <c r="F10" i="4"/>
  <c r="F11" i="4"/>
  <c r="F12" i="4"/>
  <c r="F13" i="4"/>
  <c r="F14" i="4"/>
  <c r="F15" i="4"/>
  <c r="F16" i="4"/>
  <c r="F17" i="4"/>
  <c r="F18" i="4"/>
  <c r="F19" i="4"/>
  <c r="F20" i="4"/>
  <c r="F21" i="4"/>
  <c r="F22" i="4"/>
  <c r="F23" i="4"/>
  <c r="F24" i="4"/>
  <c r="F25" i="4"/>
  <c r="F26" i="4"/>
  <c r="F27" i="4"/>
  <c r="F28" i="4"/>
  <c r="F29" i="4"/>
  <c r="F30" i="4"/>
  <c r="F31" i="4"/>
  <c r="F32" i="4"/>
  <c r="F33" i="4"/>
  <c r="F34" i="4"/>
  <c r="F35" i="4"/>
  <c r="F36" i="4"/>
  <c r="F37" i="4"/>
  <c r="F38" i="4"/>
  <c r="F39" i="4"/>
  <c r="F40" i="4"/>
  <c r="F41" i="4"/>
  <c r="F42" i="4"/>
  <c r="F43" i="4"/>
  <c r="F44" i="4"/>
  <c r="F45" i="4"/>
  <c r="F46" i="4"/>
  <c r="F47" i="4"/>
  <c r="F48" i="4"/>
  <c r="F49" i="4"/>
  <c r="F50" i="4"/>
  <c r="F51" i="4"/>
  <c r="F52" i="4"/>
  <c r="F53" i="4"/>
  <c r="F54" i="4"/>
  <c r="F55" i="4"/>
  <c r="F56" i="4"/>
  <c r="F57" i="4"/>
  <c r="F58" i="4"/>
  <c r="F59" i="4"/>
  <c r="F60" i="4"/>
  <c r="F61" i="4"/>
  <c r="F62" i="4"/>
  <c r="F63" i="4"/>
  <c r="F64" i="4"/>
  <c r="F65" i="4"/>
  <c r="F66" i="4"/>
  <c r="F67" i="4"/>
  <c r="F68" i="4"/>
  <c r="F69" i="4"/>
  <c r="F70" i="4"/>
  <c r="F71" i="4"/>
  <c r="F72" i="4"/>
  <c r="F73" i="4"/>
  <c r="F74" i="4"/>
  <c r="F75" i="4"/>
  <c r="F76" i="4"/>
  <c r="F77" i="4"/>
  <c r="F78" i="4"/>
  <c r="F79" i="4"/>
  <c r="F80" i="4"/>
  <c r="F81" i="4"/>
  <c r="F82" i="4"/>
  <c r="F83" i="4"/>
  <c r="F84" i="4"/>
  <c r="F85" i="4"/>
  <c r="F86" i="4"/>
  <c r="F87" i="4"/>
  <c r="F88" i="4"/>
  <c r="F89" i="4"/>
  <c r="F90" i="4"/>
  <c r="F91" i="4"/>
  <c r="F92" i="4"/>
  <c r="F93" i="4"/>
  <c r="F94" i="4"/>
  <c r="F95" i="4"/>
  <c r="F96" i="4"/>
  <c r="F97" i="4"/>
  <c r="F98" i="4"/>
  <c r="F99" i="4"/>
  <c r="F100" i="4"/>
  <c r="F101" i="4"/>
  <c r="F102" i="4"/>
  <c r="F103" i="4"/>
  <c r="F104" i="4"/>
  <c r="F105" i="4"/>
  <c r="F106" i="4"/>
  <c r="F107" i="4"/>
  <c r="F108" i="4"/>
  <c r="F109" i="4"/>
  <c r="F110" i="4"/>
  <c r="F111" i="4"/>
  <c r="F112" i="4"/>
  <c r="F113" i="4"/>
  <c r="F114" i="4"/>
  <c r="F115" i="4"/>
  <c r="F116" i="4"/>
  <c r="F117" i="4"/>
  <c r="F118" i="4"/>
  <c r="F119" i="4"/>
  <c r="F120" i="4"/>
  <c r="F121" i="4"/>
  <c r="F122" i="4"/>
  <c r="F123" i="4"/>
  <c r="F124" i="4"/>
  <c r="F125" i="4"/>
  <c r="F126" i="4"/>
  <c r="F127" i="4"/>
  <c r="F128" i="4"/>
  <c r="F129" i="4"/>
  <c r="F130" i="4"/>
  <c r="F131" i="4"/>
  <c r="F132" i="4"/>
  <c r="F133" i="4"/>
  <c r="F134" i="4"/>
  <c r="F135" i="4"/>
  <c r="F136" i="4"/>
  <c r="F137" i="4"/>
  <c r="F138" i="4"/>
  <c r="F139" i="4"/>
  <c r="F140" i="4"/>
  <c r="F141" i="4"/>
  <c r="F142" i="4"/>
  <c r="F143" i="4"/>
  <c r="F144" i="4"/>
  <c r="F145" i="4"/>
  <c r="F146" i="4"/>
  <c r="F147" i="4"/>
  <c r="F148" i="4"/>
  <c r="F149" i="4"/>
  <c r="F150" i="4"/>
  <c r="F151" i="4"/>
  <c r="F152" i="4"/>
  <c r="F153" i="4"/>
  <c r="F154" i="4"/>
  <c r="F155" i="4"/>
  <c r="F156" i="4"/>
  <c r="F157" i="4"/>
  <c r="F158" i="4"/>
  <c r="F159" i="4"/>
  <c r="F160" i="4"/>
  <c r="F161" i="4"/>
  <c r="F162" i="4"/>
  <c r="F163" i="4"/>
  <c r="F164" i="4"/>
  <c r="F165" i="4"/>
  <c r="F166" i="4"/>
  <c r="F167" i="4"/>
  <c r="F168" i="4"/>
  <c r="F169" i="4"/>
  <c r="F170" i="4"/>
  <c r="F171" i="4"/>
  <c r="F172" i="4"/>
  <c r="F173" i="4"/>
  <c r="F174" i="4"/>
  <c r="F175" i="4"/>
  <c r="F176" i="4"/>
  <c r="F177" i="4"/>
  <c r="F178" i="4"/>
  <c r="F179" i="4"/>
  <c r="F180" i="4"/>
  <c r="F181" i="4"/>
  <c r="F182" i="4"/>
  <c r="F183" i="4"/>
  <c r="F184" i="4"/>
  <c r="F185" i="4"/>
  <c r="F186" i="4"/>
  <c r="F187" i="4"/>
  <c r="F188" i="4"/>
  <c r="F189" i="4"/>
  <c r="F190" i="4"/>
  <c r="F191" i="4"/>
  <c r="F192" i="4"/>
  <c r="F193" i="4"/>
  <c r="F194" i="4"/>
  <c r="F195" i="4"/>
  <c r="F196" i="4"/>
  <c r="F197" i="4"/>
  <c r="F198" i="4"/>
  <c r="F199" i="4"/>
  <c r="F200" i="4"/>
  <c r="F201" i="4"/>
  <c r="F202" i="4"/>
  <c r="F203" i="4"/>
  <c r="F204" i="4"/>
  <c r="F205" i="4"/>
  <c r="F206" i="4"/>
  <c r="F207" i="4"/>
  <c r="F208" i="4"/>
  <c r="F209" i="4"/>
  <c r="F210" i="4"/>
  <c r="F211" i="4"/>
  <c r="F212" i="4"/>
  <c r="F213" i="4"/>
  <c r="F214" i="4"/>
  <c r="F215" i="4"/>
  <c r="F216" i="4"/>
  <c r="F217" i="4"/>
  <c r="F218" i="4"/>
  <c r="F219" i="4"/>
  <c r="F220" i="4"/>
  <c r="F221" i="4"/>
  <c r="F222" i="4"/>
  <c r="F223" i="4"/>
  <c r="F224" i="4"/>
  <c r="F225" i="4"/>
  <c r="F226" i="4"/>
  <c r="F227" i="4"/>
  <c r="F228" i="4"/>
  <c r="F229" i="4"/>
  <c r="F230" i="4"/>
  <c r="F231" i="4"/>
  <c r="F232" i="4"/>
  <c r="F233" i="4"/>
  <c r="F234" i="4"/>
  <c r="F235" i="4"/>
  <c r="F236" i="4"/>
  <c r="F237" i="4"/>
  <c r="F238" i="4"/>
  <c r="F239" i="4"/>
  <c r="F240" i="4"/>
  <c r="F241" i="4"/>
  <c r="F242" i="4"/>
  <c r="F243" i="4"/>
  <c r="F244" i="4"/>
  <c r="F245" i="4"/>
  <c r="F246" i="4"/>
  <c r="F247" i="4"/>
  <c r="F248" i="4"/>
  <c r="F249" i="4"/>
  <c r="F250" i="4"/>
  <c r="F251" i="4"/>
  <c r="F252" i="4"/>
  <c r="F253" i="4"/>
  <c r="F254" i="4"/>
  <c r="F255" i="4"/>
  <c r="F256" i="4"/>
  <c r="F257" i="4"/>
  <c r="F258" i="4"/>
  <c r="F259" i="4"/>
  <c r="F260" i="4"/>
  <c r="F261" i="4"/>
  <c r="F262" i="4"/>
  <c r="F263" i="4"/>
  <c r="F264" i="4"/>
  <c r="F265" i="4"/>
  <c r="F266" i="4"/>
  <c r="F267" i="4"/>
  <c r="F268" i="4"/>
  <c r="F269" i="4"/>
  <c r="F270" i="4"/>
  <c r="F271" i="4"/>
  <c r="F272" i="4"/>
  <c r="F273" i="4"/>
  <c r="F274" i="4"/>
  <c r="F275" i="4"/>
  <c r="F276" i="4"/>
  <c r="F277" i="4"/>
  <c r="F278" i="4"/>
  <c r="F279" i="4"/>
  <c r="F280" i="4"/>
  <c r="F281" i="4"/>
  <c r="F282" i="4"/>
  <c r="F283" i="4"/>
  <c r="F284" i="4"/>
  <c r="F285" i="4"/>
  <c r="F286" i="4"/>
  <c r="F287" i="4"/>
  <c r="F288" i="4"/>
  <c r="F289" i="4"/>
  <c r="F290" i="4"/>
  <c r="F291" i="4"/>
  <c r="F292" i="4"/>
  <c r="F293" i="4"/>
  <c r="F294" i="4"/>
  <c r="F295" i="4"/>
  <c r="F296" i="4"/>
  <c r="F297" i="4"/>
  <c r="F298" i="4"/>
  <c r="F299" i="4"/>
  <c r="F300" i="4"/>
  <c r="F301" i="4"/>
  <c r="F302" i="4"/>
  <c r="F303" i="4"/>
  <c r="F304" i="4"/>
  <c r="F305" i="4"/>
  <c r="F306" i="4"/>
  <c r="F307" i="4"/>
  <c r="F308" i="4"/>
  <c r="F309" i="4"/>
  <c r="F310" i="4"/>
  <c r="F311" i="4"/>
  <c r="F312" i="4"/>
  <c r="F313" i="4"/>
  <c r="F314" i="4"/>
  <c r="F315" i="4"/>
  <c r="F316" i="4"/>
  <c r="F317" i="4"/>
  <c r="D3" i="4"/>
  <c r="D4" i="4"/>
  <c r="D5" i="4"/>
  <c r="D6" i="4"/>
  <c r="D7" i="4"/>
  <c r="D8" i="4"/>
  <c r="D9" i="4"/>
  <c r="D10" i="4"/>
  <c r="D11" i="4"/>
  <c r="D12" i="4"/>
  <c r="D13" i="4"/>
  <c r="D14" i="4"/>
  <c r="D15" i="4"/>
  <c r="D16" i="4"/>
  <c r="D17" i="4"/>
  <c r="D18" i="4"/>
  <c r="D19" i="4"/>
  <c r="D20" i="4"/>
  <c r="D21" i="4"/>
  <c r="D22" i="4"/>
  <c r="D23" i="4"/>
  <c r="D24" i="4"/>
  <c r="D25" i="4"/>
  <c r="D26" i="4"/>
  <c r="D27" i="4"/>
  <c r="D28" i="4"/>
  <c r="D29" i="4"/>
  <c r="D30" i="4"/>
  <c r="D31" i="4"/>
  <c r="D32" i="4"/>
  <c r="D33" i="4"/>
  <c r="D34" i="4"/>
  <c r="D35" i="4"/>
  <c r="D36" i="4"/>
  <c r="D37" i="4"/>
  <c r="D38" i="4"/>
  <c r="D39" i="4"/>
  <c r="D40" i="4"/>
  <c r="D41" i="4"/>
  <c r="D42" i="4"/>
  <c r="D43" i="4"/>
  <c r="D44" i="4"/>
  <c r="D45" i="4"/>
  <c r="D46" i="4"/>
  <c r="D47" i="4"/>
  <c r="D48" i="4"/>
  <c r="D49" i="4"/>
  <c r="D50" i="4"/>
  <c r="D51" i="4"/>
  <c r="D52" i="4"/>
  <c r="D53" i="4"/>
  <c r="D54" i="4"/>
  <c r="D55" i="4"/>
  <c r="D56" i="4"/>
  <c r="D57" i="4"/>
  <c r="D58" i="4"/>
  <c r="D59" i="4"/>
  <c r="D60" i="4"/>
  <c r="D61" i="4"/>
  <c r="D62" i="4"/>
  <c r="D63" i="4"/>
  <c r="D64" i="4"/>
  <c r="D65" i="4"/>
  <c r="D66" i="4"/>
  <c r="D67" i="4"/>
  <c r="D68" i="4"/>
  <c r="D69" i="4"/>
  <c r="D70" i="4"/>
  <c r="D71" i="4"/>
  <c r="D72" i="4"/>
  <c r="D73" i="4"/>
  <c r="D74" i="4"/>
  <c r="D75" i="4"/>
  <c r="D76" i="4"/>
  <c r="D77" i="4"/>
  <c r="D78" i="4"/>
  <c r="D79" i="4"/>
  <c r="D80" i="4"/>
  <c r="D81" i="4"/>
  <c r="D82" i="4"/>
  <c r="D83" i="4"/>
  <c r="D84" i="4"/>
  <c r="D85" i="4"/>
  <c r="D86" i="4"/>
  <c r="D87" i="4"/>
  <c r="D88" i="4"/>
  <c r="D89" i="4"/>
  <c r="D90" i="4"/>
  <c r="D91" i="4"/>
  <c r="D92" i="4"/>
  <c r="D93" i="4"/>
  <c r="D94" i="4"/>
  <c r="D95" i="4"/>
  <c r="D96" i="4"/>
  <c r="D97" i="4"/>
  <c r="D98" i="4"/>
  <c r="D99" i="4"/>
  <c r="D100" i="4"/>
  <c r="D101" i="4"/>
  <c r="D102" i="4"/>
  <c r="D103" i="4"/>
  <c r="D104" i="4"/>
  <c r="D105" i="4"/>
  <c r="D106" i="4"/>
  <c r="D107" i="4"/>
  <c r="D108" i="4"/>
  <c r="D109" i="4"/>
  <c r="D110" i="4"/>
  <c r="D111" i="4"/>
  <c r="D112" i="4"/>
  <c r="D113" i="4"/>
  <c r="D114" i="4"/>
  <c r="D115" i="4"/>
  <c r="D116" i="4"/>
  <c r="D117" i="4"/>
  <c r="D118" i="4"/>
  <c r="D119" i="4"/>
  <c r="D120" i="4"/>
  <c r="D121" i="4"/>
  <c r="D122" i="4"/>
  <c r="D123" i="4"/>
  <c r="D124" i="4"/>
  <c r="D125" i="4"/>
  <c r="D126" i="4"/>
  <c r="D127" i="4"/>
  <c r="D128" i="4"/>
  <c r="D129" i="4"/>
  <c r="D130" i="4"/>
  <c r="D131" i="4"/>
  <c r="D132" i="4"/>
  <c r="D133" i="4"/>
  <c r="D134" i="4"/>
  <c r="D135" i="4"/>
  <c r="D136" i="4"/>
  <c r="D137" i="4"/>
  <c r="D138" i="4"/>
  <c r="D139" i="4"/>
  <c r="D140" i="4"/>
  <c r="D141" i="4"/>
  <c r="D142" i="4"/>
  <c r="D143" i="4"/>
  <c r="D144" i="4"/>
  <c r="D145" i="4"/>
  <c r="D146" i="4"/>
  <c r="D147" i="4"/>
  <c r="D148" i="4"/>
  <c r="D149" i="4"/>
  <c r="D150" i="4"/>
  <c r="D151" i="4"/>
  <c r="D152" i="4"/>
  <c r="D153" i="4"/>
  <c r="D154" i="4"/>
  <c r="D155" i="4"/>
  <c r="D156" i="4"/>
  <c r="D157" i="4"/>
  <c r="D158" i="4"/>
  <c r="D159" i="4"/>
  <c r="D160" i="4"/>
  <c r="D161" i="4"/>
  <c r="D162" i="4"/>
  <c r="D163" i="4"/>
  <c r="D164" i="4"/>
  <c r="D165" i="4"/>
  <c r="D166" i="4"/>
  <c r="D167" i="4"/>
  <c r="D168" i="4"/>
  <c r="D169" i="4"/>
  <c r="D170" i="4"/>
  <c r="D171" i="4"/>
  <c r="D172" i="4"/>
  <c r="D173" i="4"/>
  <c r="D174" i="4"/>
  <c r="D175" i="4"/>
  <c r="D176" i="4"/>
  <c r="D177" i="4"/>
  <c r="D178" i="4"/>
  <c r="D179" i="4"/>
  <c r="D180" i="4"/>
  <c r="D181" i="4"/>
  <c r="D182" i="4"/>
  <c r="D183" i="4"/>
  <c r="D184" i="4"/>
  <c r="D185" i="4"/>
  <c r="D186" i="4"/>
  <c r="D187" i="4"/>
  <c r="D188" i="4"/>
  <c r="D189" i="4"/>
  <c r="D190" i="4"/>
  <c r="D191" i="4"/>
  <c r="D192" i="4"/>
  <c r="D193" i="4"/>
  <c r="D194" i="4"/>
  <c r="D195" i="4"/>
  <c r="D196" i="4"/>
  <c r="D197" i="4"/>
  <c r="D198" i="4"/>
  <c r="D199" i="4"/>
  <c r="D200" i="4"/>
  <c r="D201" i="4"/>
  <c r="D202" i="4"/>
  <c r="D203" i="4"/>
  <c r="D204" i="4"/>
  <c r="D205" i="4"/>
  <c r="D206" i="4"/>
  <c r="D207" i="4"/>
  <c r="D208" i="4"/>
  <c r="D209" i="4"/>
  <c r="D210" i="4"/>
  <c r="D211" i="4"/>
  <c r="D212" i="4"/>
  <c r="D213" i="4"/>
  <c r="D214" i="4"/>
  <c r="D215" i="4"/>
  <c r="D216" i="4"/>
  <c r="D217" i="4"/>
  <c r="D218" i="4"/>
  <c r="D219" i="4"/>
  <c r="D220" i="4"/>
  <c r="D221" i="4"/>
  <c r="D222" i="4"/>
  <c r="D223" i="4"/>
  <c r="D224" i="4"/>
  <c r="D225" i="4"/>
  <c r="D226" i="4"/>
  <c r="D227" i="4"/>
  <c r="D228" i="4"/>
  <c r="D229" i="4"/>
  <c r="D230" i="4"/>
  <c r="D231" i="4"/>
  <c r="D232" i="4"/>
  <c r="D233" i="4"/>
  <c r="D234" i="4"/>
  <c r="D235" i="4"/>
  <c r="D236" i="4"/>
  <c r="D237" i="4"/>
  <c r="D238" i="4"/>
  <c r="D239" i="4"/>
  <c r="D240" i="4"/>
  <c r="D241" i="4"/>
  <c r="D242" i="4"/>
  <c r="D243" i="4"/>
  <c r="D244" i="4"/>
  <c r="D245" i="4"/>
  <c r="D246" i="4"/>
  <c r="D247" i="4"/>
  <c r="D248" i="4"/>
  <c r="D249" i="4"/>
  <c r="D250" i="4"/>
  <c r="D251" i="4"/>
  <c r="D252" i="4"/>
  <c r="D253" i="4"/>
  <c r="D254" i="4"/>
  <c r="D255" i="4"/>
  <c r="D256" i="4"/>
  <c r="D257" i="4"/>
  <c r="D258" i="4"/>
  <c r="D259" i="4"/>
  <c r="D260" i="4"/>
  <c r="D261" i="4"/>
  <c r="D262" i="4"/>
  <c r="D263" i="4"/>
  <c r="D264" i="4"/>
  <c r="D265" i="4"/>
  <c r="D266" i="4"/>
  <c r="D267" i="4"/>
  <c r="D268" i="4"/>
  <c r="D269" i="4"/>
  <c r="D270" i="4"/>
  <c r="D271" i="4"/>
  <c r="D272" i="4"/>
  <c r="D273" i="4"/>
  <c r="D274" i="4"/>
  <c r="D275" i="4"/>
  <c r="D276" i="4"/>
  <c r="D277" i="4"/>
  <c r="D278" i="4"/>
  <c r="D279" i="4"/>
  <c r="D280" i="4"/>
  <c r="D281" i="4"/>
  <c r="D282" i="4"/>
  <c r="D283" i="4"/>
  <c r="D284" i="4"/>
  <c r="D285" i="4"/>
  <c r="D286" i="4"/>
  <c r="D287" i="4"/>
  <c r="D288" i="4"/>
  <c r="D289" i="4"/>
  <c r="D290" i="4"/>
  <c r="D291" i="4"/>
  <c r="D292" i="4"/>
  <c r="D293" i="4"/>
  <c r="D294" i="4"/>
  <c r="D295" i="4"/>
  <c r="D296" i="4"/>
  <c r="D297" i="4"/>
  <c r="D298" i="4"/>
  <c r="D299" i="4"/>
  <c r="D300" i="4"/>
  <c r="D301" i="4"/>
  <c r="D302" i="4"/>
  <c r="D303" i="4"/>
  <c r="D304" i="4"/>
  <c r="D305" i="4"/>
  <c r="D306" i="4"/>
  <c r="D307" i="4"/>
  <c r="D308" i="4"/>
  <c r="D309" i="4"/>
  <c r="D310" i="4"/>
  <c r="D311" i="4"/>
  <c r="D312" i="4"/>
  <c r="D313" i="4"/>
  <c r="D314" i="4"/>
  <c r="D315" i="4"/>
  <c r="D316" i="4"/>
  <c r="D317" i="4"/>
  <c r="B3" i="4"/>
  <c r="B4" i="4"/>
  <c r="B5" i="4"/>
  <c r="B6" i="4"/>
  <c r="B7" i="4"/>
  <c r="B8" i="4"/>
  <c r="B9" i="4"/>
  <c r="B10" i="4"/>
  <c r="B11" i="4"/>
  <c r="B12" i="4"/>
  <c r="B13" i="4"/>
  <c r="B14" i="4"/>
  <c r="B15" i="4"/>
  <c r="B16" i="4"/>
  <c r="B17" i="4"/>
  <c r="B18" i="4"/>
  <c r="B19" i="4"/>
  <c r="B20" i="4"/>
  <c r="B21" i="4"/>
  <c r="B22" i="4"/>
  <c r="B23" i="4"/>
  <c r="B24" i="4"/>
  <c r="B25" i="4"/>
  <c r="B26" i="4"/>
  <c r="B27" i="4"/>
  <c r="B28" i="4"/>
  <c r="B29" i="4"/>
  <c r="B30" i="4"/>
  <c r="B31" i="4"/>
  <c r="B32" i="4"/>
  <c r="B33" i="4"/>
  <c r="B34" i="4"/>
  <c r="B35" i="4"/>
  <c r="B36" i="4"/>
  <c r="B37" i="4"/>
  <c r="B38" i="4"/>
  <c r="B39" i="4"/>
  <c r="B40" i="4"/>
  <c r="B41" i="4"/>
  <c r="B42" i="4"/>
  <c r="B43" i="4"/>
  <c r="B44" i="4"/>
  <c r="B45" i="4"/>
  <c r="B46" i="4"/>
  <c r="B47" i="4"/>
  <c r="B48" i="4"/>
  <c r="B49" i="4"/>
  <c r="B50" i="4"/>
  <c r="B51" i="4"/>
  <c r="B52" i="4"/>
  <c r="B53" i="4"/>
  <c r="B54" i="4"/>
  <c r="B55" i="4"/>
  <c r="B56" i="4"/>
  <c r="B57" i="4"/>
  <c r="B58" i="4"/>
  <c r="B59" i="4"/>
  <c r="B60" i="4"/>
  <c r="B61" i="4"/>
  <c r="B62" i="4"/>
  <c r="B63" i="4"/>
  <c r="B64" i="4"/>
  <c r="B65" i="4"/>
  <c r="B66" i="4"/>
  <c r="B67" i="4"/>
  <c r="B68" i="4"/>
  <c r="B69" i="4"/>
  <c r="B70" i="4"/>
  <c r="B71" i="4"/>
  <c r="B72" i="4"/>
  <c r="B73" i="4"/>
  <c r="B74" i="4"/>
  <c r="B75" i="4"/>
  <c r="B76" i="4"/>
  <c r="B77" i="4"/>
  <c r="B78" i="4"/>
  <c r="B79" i="4"/>
  <c r="B80" i="4"/>
  <c r="B81" i="4"/>
  <c r="B82" i="4"/>
  <c r="B83" i="4"/>
  <c r="B84" i="4"/>
  <c r="B85" i="4"/>
  <c r="B86" i="4"/>
  <c r="B87" i="4"/>
  <c r="B88" i="4"/>
  <c r="B89" i="4"/>
  <c r="B90" i="4"/>
  <c r="B91" i="4"/>
  <c r="B92" i="4"/>
  <c r="B93" i="4"/>
  <c r="B94" i="4"/>
  <c r="B95" i="4"/>
  <c r="B96" i="4"/>
  <c r="B97" i="4"/>
  <c r="B98" i="4"/>
  <c r="B99" i="4"/>
  <c r="B100" i="4"/>
  <c r="B101" i="4"/>
  <c r="B102" i="4"/>
  <c r="B103" i="4"/>
  <c r="B104" i="4"/>
  <c r="B105" i="4"/>
  <c r="B106" i="4"/>
  <c r="B107" i="4"/>
  <c r="B108" i="4"/>
  <c r="B109" i="4"/>
  <c r="B110" i="4"/>
  <c r="B111" i="4"/>
  <c r="B112" i="4"/>
  <c r="B113" i="4"/>
  <c r="B114" i="4"/>
  <c r="B115" i="4"/>
  <c r="B116" i="4"/>
  <c r="B117" i="4"/>
  <c r="B118" i="4"/>
  <c r="B119" i="4"/>
  <c r="B120" i="4"/>
  <c r="B121" i="4"/>
  <c r="B122" i="4"/>
  <c r="B123" i="4"/>
  <c r="B124" i="4"/>
  <c r="B125" i="4"/>
  <c r="B126" i="4"/>
  <c r="B127" i="4"/>
  <c r="B128" i="4"/>
  <c r="B129" i="4"/>
  <c r="B130" i="4"/>
  <c r="B131" i="4"/>
  <c r="B132" i="4"/>
  <c r="B133" i="4"/>
  <c r="B134" i="4"/>
  <c r="B135" i="4"/>
  <c r="B136" i="4"/>
  <c r="B137" i="4"/>
  <c r="B138" i="4"/>
  <c r="B139" i="4"/>
  <c r="B140" i="4"/>
  <c r="B141" i="4"/>
  <c r="B142" i="4"/>
  <c r="B143" i="4"/>
  <c r="B144" i="4"/>
  <c r="B145" i="4"/>
  <c r="B146" i="4"/>
  <c r="B147" i="4"/>
  <c r="B148" i="4"/>
  <c r="B149" i="4"/>
  <c r="B150" i="4"/>
  <c r="B151" i="4"/>
  <c r="B152" i="4"/>
  <c r="B153" i="4"/>
  <c r="B154" i="4"/>
  <c r="B155" i="4"/>
  <c r="B156" i="4"/>
  <c r="B157" i="4"/>
  <c r="B158" i="4"/>
  <c r="B159" i="4"/>
  <c r="B160" i="4"/>
  <c r="B161" i="4"/>
  <c r="B162" i="4"/>
  <c r="B163" i="4"/>
  <c r="B164" i="4"/>
  <c r="B165" i="4"/>
  <c r="B166" i="4"/>
  <c r="B167" i="4"/>
  <c r="B168" i="4"/>
  <c r="B169" i="4"/>
  <c r="B170" i="4"/>
  <c r="B171" i="4"/>
  <c r="B172" i="4"/>
  <c r="B173" i="4"/>
  <c r="B174" i="4"/>
  <c r="B175" i="4"/>
  <c r="B176" i="4"/>
  <c r="B177" i="4"/>
  <c r="B178" i="4"/>
  <c r="B179" i="4"/>
  <c r="B180" i="4"/>
  <c r="B181" i="4"/>
  <c r="B182" i="4"/>
  <c r="B183" i="4"/>
  <c r="B184" i="4"/>
  <c r="B185" i="4"/>
  <c r="B186" i="4"/>
  <c r="B187" i="4"/>
  <c r="B188" i="4"/>
  <c r="B189" i="4"/>
  <c r="B190" i="4"/>
  <c r="B191" i="4"/>
  <c r="B192" i="4"/>
  <c r="B193" i="4"/>
  <c r="B194" i="4"/>
  <c r="B195" i="4"/>
  <c r="B196" i="4"/>
  <c r="B197" i="4"/>
  <c r="B198" i="4"/>
  <c r="B199" i="4"/>
  <c r="B200" i="4"/>
  <c r="B201" i="4"/>
  <c r="B202" i="4"/>
  <c r="B203" i="4"/>
  <c r="B204" i="4"/>
  <c r="B205" i="4"/>
  <c r="B206" i="4"/>
  <c r="B207" i="4"/>
  <c r="B208" i="4"/>
  <c r="B209" i="4"/>
  <c r="B210" i="4"/>
  <c r="B211" i="4"/>
  <c r="B212" i="4"/>
  <c r="B213" i="4"/>
  <c r="B214" i="4"/>
  <c r="B215" i="4"/>
  <c r="B216" i="4"/>
  <c r="B217" i="4"/>
  <c r="B218" i="4"/>
  <c r="B219" i="4"/>
  <c r="B220" i="4"/>
  <c r="B221" i="4"/>
  <c r="B222" i="4"/>
  <c r="B223" i="4"/>
  <c r="B224" i="4"/>
  <c r="B225" i="4"/>
  <c r="B226" i="4"/>
  <c r="B227" i="4"/>
  <c r="B228" i="4"/>
  <c r="B229" i="4"/>
  <c r="B230" i="4"/>
  <c r="B231" i="4"/>
  <c r="B232" i="4"/>
  <c r="B233" i="4"/>
  <c r="B234" i="4"/>
  <c r="B235" i="4"/>
  <c r="B236" i="4"/>
  <c r="B237" i="4"/>
  <c r="B238" i="4"/>
  <c r="B239" i="4"/>
  <c r="B240" i="4"/>
  <c r="B241" i="4"/>
  <c r="B242" i="4"/>
  <c r="B243" i="4"/>
  <c r="B244" i="4"/>
  <c r="B245" i="4"/>
  <c r="B246" i="4"/>
  <c r="B247" i="4"/>
  <c r="B248" i="4"/>
  <c r="B249" i="4"/>
  <c r="B250" i="4"/>
  <c r="B251" i="4"/>
  <c r="B252" i="4"/>
  <c r="B253" i="4"/>
  <c r="B254" i="4"/>
  <c r="B255" i="4"/>
  <c r="B256" i="4"/>
  <c r="B257" i="4"/>
  <c r="B258" i="4"/>
  <c r="B259" i="4"/>
  <c r="B260" i="4"/>
  <c r="B261" i="4"/>
  <c r="B262" i="4"/>
  <c r="B263" i="4"/>
  <c r="B264" i="4"/>
  <c r="B265" i="4"/>
  <c r="B266" i="4"/>
  <c r="B267" i="4"/>
  <c r="B268" i="4"/>
  <c r="B269" i="4"/>
  <c r="B270" i="4"/>
  <c r="B271" i="4"/>
  <c r="B272" i="4"/>
  <c r="B273" i="4"/>
  <c r="B274" i="4"/>
  <c r="B275" i="4"/>
  <c r="B276" i="4"/>
  <c r="B277" i="4"/>
  <c r="B278" i="4"/>
  <c r="B279" i="4"/>
  <c r="B280" i="4"/>
  <c r="B281" i="4"/>
  <c r="B282" i="4"/>
  <c r="B283" i="4"/>
  <c r="B284" i="4"/>
  <c r="B285" i="4"/>
  <c r="B286" i="4"/>
  <c r="B287" i="4"/>
  <c r="B288" i="4"/>
  <c r="B289" i="4"/>
  <c r="B290" i="4"/>
  <c r="B291" i="4"/>
  <c r="B292" i="4"/>
  <c r="B293" i="4"/>
  <c r="B294" i="4"/>
  <c r="B295" i="4"/>
  <c r="B296" i="4"/>
  <c r="B297" i="4"/>
  <c r="B298" i="4"/>
  <c r="B299" i="4"/>
  <c r="B300" i="4"/>
  <c r="B301" i="4"/>
  <c r="B302" i="4"/>
  <c r="B303" i="4"/>
  <c r="B304" i="4"/>
  <c r="B305" i="4"/>
  <c r="B306" i="4"/>
  <c r="B307" i="4"/>
  <c r="B308" i="4"/>
  <c r="B309" i="4"/>
  <c r="B310" i="4"/>
  <c r="B311" i="4"/>
  <c r="B312" i="4"/>
  <c r="B313" i="4"/>
  <c r="B314" i="4"/>
  <c r="B315" i="4"/>
  <c r="B316" i="4"/>
  <c r="B317" i="4"/>
  <c r="B2" i="4"/>
  <c r="F2" i="4"/>
  <c r="D2" i="4"/>
  <c r="E2" i="6"/>
  <c r="E3" i="6"/>
  <c r="E4" i="6"/>
  <c r="E5" i="6"/>
  <c r="E6" i="6"/>
  <c r="E7" i="6"/>
  <c r="E8" i="6"/>
  <c r="E9" i="6"/>
  <c r="E10" i="6"/>
  <c r="E11" i="6"/>
  <c r="E12" i="6"/>
  <c r="E13" i="6"/>
  <c r="E14" i="6"/>
  <c r="E15" i="6"/>
  <c r="E16" i="6"/>
  <c r="E17" i="6"/>
  <c r="E18" i="6"/>
  <c r="E19" i="6"/>
  <c r="E20" i="6"/>
  <c r="E21" i="6"/>
  <c r="E22" i="6"/>
  <c r="E23" i="6"/>
  <c r="E24" i="6"/>
  <c r="E25" i="6"/>
  <c r="E26" i="6"/>
  <c r="E27" i="6"/>
  <c r="E28" i="6"/>
  <c r="E29" i="6"/>
  <c r="E30" i="6"/>
  <c r="E31" i="6"/>
  <c r="E32" i="6"/>
  <c r="E33" i="6"/>
  <c r="E34" i="6"/>
  <c r="E35" i="6"/>
  <c r="E36" i="6"/>
  <c r="E37" i="6"/>
  <c r="E38" i="6"/>
  <c r="E39" i="6"/>
  <c r="E40" i="6"/>
  <c r="E41" i="6"/>
  <c r="E42" i="6"/>
  <c r="E43" i="6"/>
  <c r="E44" i="6"/>
  <c r="E45" i="6"/>
  <c r="E46" i="6"/>
  <c r="E47" i="6"/>
  <c r="E48" i="6"/>
  <c r="E49" i="6"/>
  <c r="E50" i="6"/>
  <c r="E51" i="6"/>
  <c r="E52" i="6"/>
  <c r="E53" i="6"/>
  <c r="E54" i="6"/>
  <c r="E55" i="6"/>
  <c r="E56" i="6"/>
  <c r="E57" i="6"/>
  <c r="E58" i="6"/>
  <c r="E59" i="6"/>
  <c r="E60" i="6"/>
  <c r="E61" i="6"/>
  <c r="E62" i="6"/>
  <c r="E63" i="6"/>
  <c r="E64" i="6"/>
  <c r="E65" i="6"/>
  <c r="E66" i="6"/>
  <c r="E67" i="6"/>
  <c r="E68" i="6"/>
  <c r="E69" i="6"/>
  <c r="E70" i="6"/>
  <c r="E71" i="6"/>
  <c r="E72" i="6"/>
  <c r="E73" i="6"/>
  <c r="E74" i="6"/>
  <c r="E75" i="6"/>
  <c r="E76" i="6"/>
  <c r="E77" i="6"/>
  <c r="E78" i="6"/>
  <c r="E79" i="6"/>
  <c r="E80" i="6"/>
  <c r="E81" i="6"/>
  <c r="E82" i="6"/>
  <c r="E83" i="6"/>
  <c r="E84" i="6"/>
  <c r="E85" i="6"/>
  <c r="E86" i="6"/>
  <c r="E87" i="6"/>
  <c r="E88" i="6"/>
  <c r="E89" i="6"/>
  <c r="E90" i="6"/>
  <c r="E91" i="6"/>
  <c r="E92" i="6"/>
  <c r="E93" i="6"/>
  <c r="E94" i="6"/>
  <c r="E95" i="6"/>
  <c r="E96" i="6"/>
  <c r="E97" i="6"/>
  <c r="E98" i="6"/>
  <c r="E99" i="6"/>
  <c r="E100" i="6"/>
  <c r="E101" i="6"/>
  <c r="E102" i="6"/>
  <c r="E103" i="6"/>
  <c r="E104" i="6"/>
  <c r="E105" i="6"/>
  <c r="E106" i="6"/>
  <c r="E107" i="6"/>
  <c r="E108" i="6"/>
  <c r="E109" i="6"/>
  <c r="E110" i="6"/>
  <c r="E111" i="6"/>
  <c r="E112" i="6"/>
  <c r="E113" i="6"/>
  <c r="E114" i="6"/>
  <c r="E115" i="6"/>
  <c r="E116" i="6"/>
  <c r="E117" i="6"/>
  <c r="E118" i="6"/>
  <c r="E119" i="6"/>
  <c r="E120" i="6"/>
  <c r="E121" i="6"/>
  <c r="E122" i="6"/>
  <c r="E123" i="6"/>
  <c r="E124" i="6"/>
  <c r="E125" i="6"/>
  <c r="E126" i="6"/>
  <c r="E127" i="6"/>
  <c r="E128" i="6"/>
  <c r="E129" i="6"/>
  <c r="E130" i="6"/>
  <c r="E131" i="6"/>
  <c r="E132" i="6"/>
  <c r="E133" i="6"/>
  <c r="E134" i="6"/>
  <c r="E135" i="6"/>
  <c r="E136" i="6"/>
  <c r="E137" i="6"/>
  <c r="E138" i="6"/>
  <c r="E139" i="6"/>
  <c r="E140" i="6"/>
  <c r="E141" i="6"/>
  <c r="E142" i="6"/>
  <c r="E143" i="6"/>
  <c r="E144" i="6"/>
  <c r="E145" i="6"/>
  <c r="E146" i="6"/>
  <c r="E147" i="6"/>
  <c r="E148" i="6"/>
  <c r="E149" i="6"/>
  <c r="E150" i="6"/>
  <c r="E151" i="6"/>
  <c r="E152" i="6"/>
  <c r="E153" i="6"/>
  <c r="E154" i="6"/>
  <c r="E155" i="6"/>
  <c r="E156" i="6"/>
  <c r="E157" i="6"/>
  <c r="E158" i="6"/>
  <c r="E159" i="6"/>
  <c r="E160" i="6"/>
  <c r="E161" i="6"/>
  <c r="E162" i="6"/>
  <c r="E163" i="6"/>
  <c r="E164" i="6"/>
  <c r="E165" i="6"/>
  <c r="E166" i="6"/>
  <c r="E167" i="6"/>
  <c r="E168" i="6"/>
  <c r="E169" i="6"/>
  <c r="E170" i="6"/>
  <c r="E171" i="6"/>
  <c r="E172" i="6"/>
  <c r="E173" i="6"/>
  <c r="E174" i="6"/>
  <c r="E175" i="6"/>
  <c r="E176" i="6"/>
  <c r="E177" i="6"/>
  <c r="E178" i="6"/>
  <c r="E179" i="6"/>
  <c r="E180" i="6"/>
  <c r="E181" i="6"/>
  <c r="E182" i="6"/>
  <c r="E183" i="6"/>
  <c r="E184" i="6"/>
  <c r="E185" i="6"/>
  <c r="E186" i="6"/>
  <c r="E187" i="6"/>
  <c r="E188" i="6"/>
  <c r="E189" i="6"/>
  <c r="E190" i="6"/>
  <c r="E191" i="6"/>
  <c r="E192" i="6"/>
  <c r="E193" i="6"/>
  <c r="E194" i="6"/>
  <c r="E195" i="6"/>
  <c r="E196" i="6"/>
  <c r="E197" i="6"/>
  <c r="E198" i="6"/>
  <c r="E199" i="6"/>
  <c r="E200" i="6"/>
  <c r="E201" i="6"/>
  <c r="E202" i="6"/>
  <c r="E203" i="6"/>
  <c r="E204" i="6"/>
  <c r="E205" i="6"/>
  <c r="E206" i="6"/>
  <c r="E207" i="6"/>
  <c r="E208" i="6"/>
  <c r="E209" i="6"/>
  <c r="E210" i="6"/>
  <c r="E211" i="6"/>
  <c r="E212" i="6"/>
  <c r="E213" i="6"/>
  <c r="E214" i="6"/>
  <c r="E215" i="6"/>
  <c r="E216" i="6"/>
  <c r="E217" i="6"/>
  <c r="E218" i="6"/>
  <c r="E219" i="6"/>
  <c r="E220" i="6"/>
  <c r="E221" i="6"/>
  <c r="E222" i="6"/>
  <c r="E223" i="6"/>
  <c r="E224" i="6"/>
  <c r="E225" i="6"/>
  <c r="E226" i="6"/>
  <c r="E227" i="6"/>
  <c r="E228" i="6"/>
  <c r="E229" i="6"/>
  <c r="E230" i="6"/>
  <c r="E231" i="6"/>
  <c r="E232" i="6"/>
  <c r="E233" i="6"/>
  <c r="E234" i="6"/>
  <c r="E235" i="6"/>
  <c r="E236" i="6"/>
  <c r="E237" i="6"/>
  <c r="E238" i="6"/>
  <c r="E239" i="6"/>
  <c r="E240" i="6"/>
  <c r="E241" i="6"/>
  <c r="E242" i="6"/>
  <c r="E243" i="6"/>
  <c r="E244" i="6"/>
  <c r="E245" i="6"/>
  <c r="E246" i="6"/>
  <c r="E247" i="6"/>
  <c r="E248" i="6"/>
  <c r="E249" i="6"/>
  <c r="E250" i="6"/>
  <c r="E251" i="6"/>
  <c r="E252" i="6"/>
  <c r="E253" i="6"/>
  <c r="E254" i="6"/>
  <c r="E255" i="6"/>
  <c r="E256" i="6"/>
  <c r="E257" i="6"/>
  <c r="E258" i="6"/>
  <c r="E259" i="6"/>
  <c r="E260" i="6"/>
  <c r="E261" i="6"/>
  <c r="E262" i="6"/>
  <c r="E263" i="6"/>
  <c r="E264" i="6"/>
  <c r="E265" i="6"/>
  <c r="E266" i="6"/>
  <c r="E267" i="6"/>
  <c r="E268" i="6"/>
  <c r="E269" i="6"/>
  <c r="E270" i="6"/>
  <c r="E271" i="6"/>
  <c r="E272" i="6"/>
  <c r="E273" i="6"/>
  <c r="E274" i="6"/>
  <c r="E275" i="6"/>
  <c r="E276" i="6"/>
  <c r="E277" i="6"/>
  <c r="E278" i="6"/>
  <c r="E279" i="6"/>
  <c r="E280" i="6"/>
  <c r="E281" i="6"/>
  <c r="E282" i="6"/>
  <c r="E283" i="6"/>
  <c r="E284" i="6"/>
  <c r="E285" i="6"/>
  <c r="E286" i="6"/>
  <c r="E287" i="6"/>
  <c r="E288" i="6"/>
  <c r="E289" i="6"/>
  <c r="E290" i="6"/>
  <c r="E291" i="6"/>
  <c r="E292" i="6"/>
  <c r="E293" i="6"/>
  <c r="E294" i="6"/>
  <c r="E295" i="6"/>
  <c r="E296" i="6"/>
  <c r="E297" i="6"/>
  <c r="E298" i="6"/>
  <c r="E299" i="6"/>
  <c r="E300" i="6"/>
  <c r="E301" i="6"/>
  <c r="E302" i="6"/>
  <c r="E303" i="6"/>
  <c r="E304" i="6"/>
  <c r="E305" i="6"/>
  <c r="E306" i="6"/>
  <c r="E307" i="6"/>
  <c r="E308" i="6"/>
  <c r="E309" i="6"/>
  <c r="E310" i="6"/>
  <c r="E311" i="6"/>
  <c r="E312" i="6"/>
  <c r="E313" i="6"/>
  <c r="E314" i="6"/>
  <c r="E315" i="6"/>
  <c r="E316" i="6"/>
  <c r="E1" i="6"/>
  <c r="H2" i="4" l="1"/>
  <c r="B318" i="3" l="1"/>
  <c r="E318" i="1"/>
  <c r="I5" i="1"/>
  <c r="I7" i="1" s="1"/>
  <c r="D143" i="2"/>
</calcChain>
</file>

<file path=xl/sharedStrings.xml><?xml version="1.0" encoding="utf-8"?>
<sst xmlns="http://schemas.openxmlformats.org/spreadsheetml/2006/main" count="3466" uniqueCount="666">
  <si>
    <t>S. NO.</t>
  </si>
  <si>
    <t>POLICY NUMBER</t>
  </si>
  <si>
    <t>ENDORSEMENT NUMBER</t>
  </si>
  <si>
    <t>OUTSTANDNG CONTRIBUTION</t>
  </si>
  <si>
    <t>KHI/HO/D/HLGRP HEALTH/P/3034/01/2024</t>
  </si>
  <si>
    <t>KHI/HO/D/HLGRP HEALTH/E/23929/02/2024</t>
  </si>
  <si>
    <t>KHI/HO/D/HLGRP HEALTH/E/23933/02/2024</t>
  </si>
  <si>
    <t>KHI/HO/D/HLGRP HEALTH/E/23997/02/2024</t>
  </si>
  <si>
    <t>KHI/HO/D/HLGRP HEALTH/E/24045/02/2024</t>
  </si>
  <si>
    <t>KHI/HO/D/HLGRP HEALTH/E/24084/02/2024</t>
  </si>
  <si>
    <t>KHI/HO/D/HLGRP HEALTH/E/24097/02/2024</t>
  </si>
  <si>
    <t>KHI/HO/D/HLGRP HEALTH/E/24116/02/2024</t>
  </si>
  <si>
    <t>KHI/HO/D/HLGRP HEALTH/E/24212/02/2024</t>
  </si>
  <si>
    <t>KHI/HO/D/HLGRP HEALTH/E/24272/02/2024</t>
  </si>
  <si>
    <t>KHI/HO/D/HLGRP HEALTH/E/24339/03/2024</t>
  </si>
  <si>
    <t>KHI/HO/D/HLGRP HEALTH/E/24353/03/2024</t>
  </si>
  <si>
    <t>KHI/HO/D/HLGRP HEALTH/E/24397/03/2024</t>
  </si>
  <si>
    <t>KHI/HO/D/HLGRP HEALTH/E/24436/03/2024</t>
  </si>
  <si>
    <t>KHI/HO/D/HLGRP HEALTH/E/24460/03/2024</t>
  </si>
  <si>
    <t>KHI/HO/D/HLGRP HEALTH/E/24578/03/2024</t>
  </si>
  <si>
    <t>KHI/HO/D/HLGRP HEALTH/E/24614/03/2024</t>
  </si>
  <si>
    <t>KHI/HO/D/HLGRP HEALTH/E/24634/03/2024</t>
  </si>
  <si>
    <t>KHI/HO/D/HLGRP HEALTH/E/24681/04/2024</t>
  </si>
  <si>
    <t>KHI/HO/D/HLGRP HEALTH/E/24684/04/2024</t>
  </si>
  <si>
    <t>KHI/HO/D/HLGRP HEALTH/E/24715/04/2024</t>
  </si>
  <si>
    <t>KHI/HO/D/HLGRP HEALTH/E/24753/04/2024</t>
  </si>
  <si>
    <t>KHI/HO/D/HLGRP HEALTH/E/24770/04/2024</t>
  </si>
  <si>
    <t>KHI/HO/D/HLGRP HEALTH/E/24782/04/2024</t>
  </si>
  <si>
    <t>KHI/HO/D/HLGRP HEALTH/E/24837/04/2024</t>
  </si>
  <si>
    <t>KHI/HO/D/HLGRP HEALTH/E/24887/04/2024</t>
  </si>
  <si>
    <t>KHI/HO/D/HLGRP HEALTH/E/24961/04/2024</t>
  </si>
  <si>
    <t>KHI/HO/D/HLGRP HEALTH/E/25023/04/2024</t>
  </si>
  <si>
    <t>KHI/HO/D/HLGRP HEALTH/E/25039/04/2024</t>
  </si>
  <si>
    <t>KHI/HO/D/HLGRP HEALTH/E/25057/04/2024</t>
  </si>
  <si>
    <t>KHI/HO/D/HLGRP HEALTH/E/25072/04/2024</t>
  </si>
  <si>
    <t>KHI/HO/D/HLGRP HEALTH/E/25126/05/2024</t>
  </si>
  <si>
    <t>KHI/HO/D/HLGRP HEALTH/E/25175/05/2024</t>
  </si>
  <si>
    <t>KHI/HO/D/HLGRP HEALTH/E/25190/05/2024</t>
  </si>
  <si>
    <t>KHI/HO/D/HLGRP HEALTH/E/25227/05/2024</t>
  </si>
  <si>
    <t>KHI/HO/D/HLGRP HEALTH/E/25352/05/2024</t>
  </si>
  <si>
    <t>KHI/HO/D/HLGRP HEALTH/E/25414/05/2024</t>
  </si>
  <si>
    <t>KHI/HO/D/HLGRP HEALTH/E/25474/05/2024</t>
  </si>
  <si>
    <t>KHI/HO/D/HLGRP HEALTH/E/25505/05/2024</t>
  </si>
  <si>
    <t>KHI/HO/D/HLGRP HEALTH/E/25512/05/2024</t>
  </si>
  <si>
    <t>KHI/HO/D/HLGRP HEALTH/E/25553/05/2024</t>
  </si>
  <si>
    <t>KHI/HO/D/HLGRP HEALTH/E/25576/06/2024</t>
  </si>
  <si>
    <t>KHI/HO/D/HLGRP HEALTH/E/25629/06/2024</t>
  </si>
  <si>
    <t>KHI/HO/D/HLGRP HEALTH/E/25671/06/2024</t>
  </si>
  <si>
    <t>KHI/HO/D/HLGRP HEALTH/E/25693/06/2024</t>
  </si>
  <si>
    <t>KHI/HO/D/HLGRP HEALTH/E/25729/06/2024</t>
  </si>
  <si>
    <t>KHI/HO/D/HLGRP HEALTH/E/25776/06/2024</t>
  </si>
  <si>
    <t>KHI/HO/D/HLGRP HEALTH/E/25808/06/2024</t>
  </si>
  <si>
    <t>KHI/HO/D/HLGRP HEALTH/E/25846/06/2024</t>
  </si>
  <si>
    <t>KHI/HO/D/HLGRP HEALTH/E/25874/06/2024</t>
  </si>
  <si>
    <t>KHI/HO/D/HLGRP HEALTH/E/25887/06/2024</t>
  </si>
  <si>
    <t>KHI/HO/D/HLGRP HEALTH/E/25938/06/2024</t>
  </si>
  <si>
    <t>KHI/HO/D/HLGRP HEALTH/E/25984/07/2024</t>
  </si>
  <si>
    <t>KHI/HO/D/HLGRP HEALTH/E/26022/07/2024</t>
  </si>
  <si>
    <t>KHI/HO/D/HLGRP HEALTH/E/26047/07/2024</t>
  </si>
  <si>
    <t>KHI/HO/D/HLGRP HEALTH/E/26079/07/2024</t>
  </si>
  <si>
    <t>KHI/HO/D/HLGRP HEALTH/E/26128/07/2024</t>
  </si>
  <si>
    <t>KHI/HO/D/HLGRP HEALTH/E/26156/07/2024</t>
  </si>
  <si>
    <t>KHI/HO/D/HLGRP HEALTH/E/26195/07/2024</t>
  </si>
  <si>
    <t>KHI/HO/D/HLGRP HEALTH/E/26225/07/2024</t>
  </si>
  <si>
    <t>KHI/HO/D/HLGRP HEALTH/E/26266/07/2024</t>
  </si>
  <si>
    <t>KHI/HO/D/HLGRP HEALTH/E/26310/07/2024</t>
  </si>
  <si>
    <t>KHI/HO/D/HLGRP HEALTH/E/26354/07/2024</t>
  </si>
  <si>
    <t>KHI/HO/D/HLGRP HEALTH/E/26392/08/2024</t>
  </si>
  <si>
    <t>KHI/HO/D/HLGRP HEALTH/E/26419/08/2024</t>
  </si>
  <si>
    <t>KHI/HO/D/HLGRP HEALTH/E/26479/08/2024</t>
  </si>
  <si>
    <t>KHI/HO/D/HLGRP HEALTH/E/26514/08/2024</t>
  </si>
  <si>
    <t>KHI/HO/D/HLGRP HEALTH/E/26539/08/2024</t>
  </si>
  <si>
    <t>KHI/HO/D/HLGRP HEALTH/E/26563/08/2024</t>
  </si>
  <si>
    <t>KHI/HO/D/HLGRP HEALTH/E/26619/08/2024</t>
  </si>
  <si>
    <t>KHI/HO/D/HLGRP HEALTH/E/26644/08/2024</t>
  </si>
  <si>
    <t>KHI/HO/D/HLGRP HEALTH/E/26674/08/2024</t>
  </si>
  <si>
    <t>KHI/HO/D/HLGRP HEALTH/E/26690/08/2024</t>
  </si>
  <si>
    <t>KHI/HO/D/HLGRP HEALTH/E/26750/08/2024</t>
  </si>
  <si>
    <t>KHI/HO/D/HLGRP HEALTH/E/26761/08/2024</t>
  </si>
  <si>
    <t>KHI/HO/D/HLGRP HEALTH/E/26799/08/2024</t>
  </si>
  <si>
    <t>KHI/HO/D/HLGRP HEALTH/E/26855/08/2024</t>
  </si>
  <si>
    <t>KHI/HO/D/HLGRP HEALTH/E/26874/08/2024</t>
  </si>
  <si>
    <t>KHI/HO/D/HLGRP HEALTH/E/26922/08/2024</t>
  </si>
  <si>
    <t>KHI/HO/D/HLGRP HEALTH/E/26930/09/2024</t>
  </si>
  <si>
    <t>KHI/HO/D/HLGRP HEALTH/E/26976/09/2024</t>
  </si>
  <si>
    <t>KHI/HO/D/HLGRP HEALTH/E/27015/09/2024</t>
  </si>
  <si>
    <t>KHI/HO/D/HLGRP HEALTH/E/27034/09/2024</t>
  </si>
  <si>
    <t>KHI/HO/D/HLGRP HEALTH/E/27076/09/2024</t>
  </si>
  <si>
    <t>KHI/HO/D/HLGRP HEALTH/E/27142/09/2024</t>
  </si>
  <si>
    <t>KHI/HO/D/HLGRP HEALTH/E/27172/09/2024</t>
  </si>
  <si>
    <t>KHI/HO/D/HLGRP HEALTH/E/27176/09/2024</t>
  </si>
  <si>
    <t>KHI/HO/D/HLGRP HEALTH/E/27218/09/2024</t>
  </si>
  <si>
    <t>KHI/HO/D/HLGRP HEALTH/E/27253/09/2024</t>
  </si>
  <si>
    <t>KHI/HO/D/HLGRP HEALTH/E/27256/09/2024</t>
  </si>
  <si>
    <t>KHI/HO/D/HLGRP HEALTH/E/27268/09/2024</t>
  </si>
  <si>
    <t>KHI/HO/D/HLGRP HEALTH/E/27315/09/2024</t>
  </si>
  <si>
    <t>KHI/HO/D/HLGRP HEALTH/E/27331/09/2024</t>
  </si>
  <si>
    <t>KHI/HO/D/HLGRP HEALTH/E/27388/09/2024</t>
  </si>
  <si>
    <t>KHI/HO/D/HLGRP HEALTH/E/27425/09/2024</t>
  </si>
  <si>
    <t>KHI/HO/D/HLGRP HEALTH/E/27456/09/2024</t>
  </si>
  <si>
    <t>KHI/HO/D/HLGRP HEALTH/E/27485/09/2024</t>
  </si>
  <si>
    <t>KHI/HO/D/HLGRP HEALTH/E/27507/09/2024</t>
  </si>
  <si>
    <t>KHI/HO/D/HLGRP HEALTH/E/27508/09/2024</t>
  </si>
  <si>
    <t>KHI/HO/D/HLGRP HEALTH/E/27522/09/2024</t>
  </si>
  <si>
    <t>KHI/HO/D/HLGRP HEALTH/E/27551/09/2024</t>
  </si>
  <si>
    <t>KHI/HO/D/HLGRP HEALTH/E/27614/10/2024</t>
  </si>
  <si>
    <t>KHI/HO/D/HLGRP HEALTH/E/27617/10/2024</t>
  </si>
  <si>
    <t>KHI/HO/D/HLGRP HEALTH/E/27705/10/2024</t>
  </si>
  <si>
    <t>KHI/HO/D/HLGRP HEALTH/E/27737/10/2024</t>
  </si>
  <si>
    <t>KHI/HO/D/HLGRP HEALTH/E/27761/10/2024</t>
  </si>
  <si>
    <t>KHI/HO/D/HLGRP HEALTH/E/27810/10/2024</t>
  </si>
  <si>
    <t>KHI/HO/D/HLGRP HEALTH/E/27827/10/2024</t>
  </si>
  <si>
    <t>KHI/HO/D/HLGRP HEALTH/E/27845/10/2024</t>
  </si>
  <si>
    <t>KHI/HO/D/HLGRP HEALTH/E/27873/10/2024</t>
  </si>
  <si>
    <t>KHI/HO/D/HLGRP HEALTH/E/27875/10/2024</t>
  </si>
  <si>
    <t>KHI/HO/D/HLGRP HEALTH/E/27924/10/2024</t>
  </si>
  <si>
    <t>KHI/HO/D/HLGRP HEALTH/E/27982/10/2024</t>
  </si>
  <si>
    <t>KHI/HO/D/HLGRP HEALTH/E/28016/10/2024</t>
  </si>
  <si>
    <t>KHI/HO/D/HLGRP HEALTH/E/28019/10/2024</t>
  </si>
  <si>
    <t>KHI/HO/D/HLGRP HEALTH/E/28036/10/2024</t>
  </si>
  <si>
    <t>KHI/HO/D/HLGRP HEALTH/E/28042/10/2024</t>
  </si>
  <si>
    <t>KHI/HO/D/HLGRP HEALTH/E/28050/10/2024</t>
  </si>
  <si>
    <t>KHI/HO/D/HLGRP HEALTH/E/28091/10/2024</t>
  </si>
  <si>
    <t>KHI/HO/D/HLGRP HEALTH/E/28144/10/2024</t>
  </si>
  <si>
    <t>KHI/HO/D/HLGRP HEALTH/E/28163/10/2024</t>
  </si>
  <si>
    <t>KHI/HO/D/HLGRP HEALTH/E/28185/10/2024</t>
  </si>
  <si>
    <t>KHI/HO/D/HLGRP HEALTH/E/28216/10/2024</t>
  </si>
  <si>
    <t>KHI/HO/D/HLGRP HEALTH/E/28251/10/2024</t>
  </si>
  <si>
    <t>KHI/HO/D/HLGRP HEALTH/E/28287/11/2024</t>
  </si>
  <si>
    <t>KHI/HO/D/HLGRP HEALTH/E/28318/11/2024</t>
  </si>
  <si>
    <t>KHI/HO/D/HLGRP HEALTH/E/28352/11/2024</t>
  </si>
  <si>
    <t>KHI/HO/D/HLGRP HEALTH/E/28395/11/2024</t>
  </si>
  <si>
    <t>KHI/HO/D/HLGRP HEALTH/E/28418/11/2024</t>
  </si>
  <si>
    <t>KHI/HO/D/HLGRP HEALTH/E/28442/11/2024</t>
  </si>
  <si>
    <t>KHI/HO/D/HLGRP HEALTH/E/28454/11/2024</t>
  </si>
  <si>
    <t>KHI/HO/D/HLGRP HEALTH/E/28471/11/2024</t>
  </si>
  <si>
    <t>KHI/HO/D/HLGRP HEALTH/E/28478/11/2024</t>
  </si>
  <si>
    <t>KHI/HO/D/HLGRP HEALTH/E/28487/11/2024</t>
  </si>
  <si>
    <t>KHI/HO/D/HLGRP HEALTH/E/28519/11/2024</t>
  </si>
  <si>
    <t>KHI/HO/D/HLGRP HEALTH/E/28546/11/2024</t>
  </si>
  <si>
    <t>KHI/HO/D/HLGRP HEALTH/E/28568/11/2024</t>
  </si>
  <si>
    <t>KHI/HO/D/HLGRP HEALTH/E/28570/11/2024</t>
  </si>
  <si>
    <t>KHI/HO/D/HLGRP HEALTH/E/28607/11/2024</t>
  </si>
  <si>
    <t>KHI/HO/D/HLGRP HEALTH/E/28609/11/2024</t>
  </si>
  <si>
    <t>KHI/HO/D/HLGRP HEALTH/E/28611/11/2024</t>
  </si>
  <si>
    <t>KHI/HO/D/HLGRP HEALTH/E/28648/11/2024</t>
  </si>
  <si>
    <t>KHI/HO/D/HLGRP HEALTH/E/28690/11/2024</t>
  </si>
  <si>
    <t>KHI/HO/D/HLGRP HEALTH/E/28703/11/2024</t>
  </si>
  <si>
    <t>KHI/HO/D/HLGRP HEALTH/E/28727/11/2024</t>
  </si>
  <si>
    <t>KHI/HO/D/HLGRP HEALTH/E/28733/11/2024</t>
  </si>
  <si>
    <t>KHI/HO/D/HLGRP HEALTH/E/28758/11/2024</t>
  </si>
  <si>
    <t>KHI/HO/D/HLGRP HEALTH/E/28778/11/2024</t>
  </si>
  <si>
    <t>KHI/HO/D/HLGRP HEALTH/E/28794/11/2024</t>
  </si>
  <si>
    <t>KHI/HO/D/HLGRP HEALTH/E/28807/11/2024</t>
  </si>
  <si>
    <t>KHI/HO/D/HLGRP HEALTH/E/28818/11/2024</t>
  </si>
  <si>
    <t>KHI/HO/D/HLGRP HEALTH/E/28834/11/2024</t>
  </si>
  <si>
    <t>KHI/HO/D/HLGRP HEALTH/E/28840/11/2024</t>
  </si>
  <si>
    <t>KHI/HO/D/HLGRP HEALTH/E/28869/11/2024</t>
  </si>
  <si>
    <t>KHI/HO/D/HLGRP HEALTH/E/28895/12/2024</t>
  </si>
  <si>
    <t>KHI/HO/D/HLGRP HEALTH/E/28915/12/2024</t>
  </si>
  <si>
    <t>KHI/HO/D/HLGRP HEALTH/E/28969/12/2024</t>
  </si>
  <si>
    <t>KHI/HO/D/HLGRP HEALTH/E/28990/12/2024</t>
  </si>
  <si>
    <t>KHI/HO/D/HLGRP HEALTH/E/29013/12/2024</t>
  </si>
  <si>
    <t>KHI/HO/D/HLGRP HEALTH/E/29054/12/2024</t>
  </si>
  <si>
    <t>KHI/HO/D/HLGRP HEALTH/E/29074/12/2024</t>
  </si>
  <si>
    <t>KHI/HO/D/HLGRP HEALTH/E/29087/12/2024</t>
  </si>
  <si>
    <t>KHI/HO/D/HLGRP HEALTH/E/29103/12/2024</t>
  </si>
  <si>
    <t>KHI/HO/D/HLGRP HEALTH/E/29182/12/2024</t>
  </si>
  <si>
    <t>KHI/HO/D/HLGRP HEALTH/E/29214/12/2024</t>
  </si>
  <si>
    <t>KHI/HO/D/HLGRP HEALTH/E/29245/12/2024</t>
  </si>
  <si>
    <t>KHI/HO/D/HLGRP HEALTH/E/29261/12/2024</t>
  </si>
  <si>
    <t>KHI/HO/D/HLGRP HEALTH/E/29280/12/2024</t>
  </si>
  <si>
    <t>KHI/HO/D/HLGRP HEALTH/E/29315/12/2024</t>
  </si>
  <si>
    <t>KHI/HO/D/HLGRP HEALTH/E/29320/12/2024</t>
  </si>
  <si>
    <t>KHI/HO/D/HLGRP HEALTH/E/29356/12/2024</t>
  </si>
  <si>
    <t>KHI/HO/D/HLGRP HEALTH/E/29388/12/2024</t>
  </si>
  <si>
    <t>KHI/HO/D/HLGRP HEALTH/E/29396/12/2024</t>
  </si>
  <si>
    <t>KHI/HO/D/HLGRP HEALTH/E/29413/12/2024</t>
  </si>
  <si>
    <t>KHI/HO/D/HLGRP HEALTH/E/29414/12/2024</t>
  </si>
  <si>
    <t>KHI/HO/D/HLGRP HEALTH/E/29426/12/2024</t>
  </si>
  <si>
    <t>KHI/HO/D/HLGRP HEALTH/P/3035/01/2024</t>
  </si>
  <si>
    <t>KHI/HO/D/HLGRP HEALTH/E/23932/02/2024</t>
  </si>
  <si>
    <t>KHI/HO/D/HLGRP HEALTH/E/23934/02/2024</t>
  </si>
  <si>
    <t>KHI/HO/D/HLGRP HEALTH/E/23998/02/2024</t>
  </si>
  <si>
    <t>KHI/HO/D/HLGRP HEALTH/E/24046/02/2024</t>
  </si>
  <si>
    <t>KHI/HO/D/HLGRP HEALTH/E/24085/02/2024</t>
  </si>
  <si>
    <t>KHI/HO/D/HLGRP HEALTH/E/24117/02/2024</t>
  </si>
  <si>
    <t>KHI/HO/D/HLGRP HEALTH/E/24213/02/2024</t>
  </si>
  <si>
    <t>KHI/HO/D/HLGRP HEALTH/E/24273/02/2024</t>
  </si>
  <si>
    <t>KHI/HO/D/HLGRP HEALTH/E/24281/03/2024</t>
  </si>
  <si>
    <t>KHI/HO/D/HLGRP HEALTH/E/24340/03/2024</t>
  </si>
  <si>
    <t>KHI/HO/D/HLGRP HEALTH/E/24398/03/2024</t>
  </si>
  <si>
    <t>KHI/HO/D/HLGRP HEALTH/E/24437/03/2024</t>
  </si>
  <si>
    <t>KHI/HO/D/HLGRP HEALTH/E/24453/03/2024</t>
  </si>
  <si>
    <t>KHI/HO/D/HLGRP HEALTH/E/24579/03/2024</t>
  </si>
  <si>
    <t>KHI/HO/D/HLGRP HEALTH/E/24595/03/2024</t>
  </si>
  <si>
    <t>KHI/HO/D/HLGRP HEALTH/E/24615/03/2024</t>
  </si>
  <si>
    <t>KHI/HO/D/HLGRP HEALTH/E/24650/03/2024</t>
  </si>
  <si>
    <t>KHI/HO/D/HLGRP HEALTH/E/24682/04/2024</t>
  </si>
  <si>
    <t>KHI/HO/D/HLGRP HEALTH/E/24716/04/2024</t>
  </si>
  <si>
    <t>KHI/HO/D/HLGRP HEALTH/E/24754/04/2024</t>
  </si>
  <si>
    <t>KHI/HO/D/HLGRP HEALTH/E/24771/04/2024</t>
  </si>
  <si>
    <t>KHI/HO/D/HLGRP HEALTH/E/24838/04/2024</t>
  </si>
  <si>
    <t>KHI/HO/D/HLGRP HEALTH/E/24890/04/2024</t>
  </si>
  <si>
    <t>KHI/HO/D/HLGRP HEALTH/E/24960/04/2024</t>
  </si>
  <si>
    <t>KHI/HO/D/HLGRP HEALTH/E/25024/04/2024</t>
  </si>
  <si>
    <t>KHI/HO/D/HLGRP HEALTH/E/25040/04/2024</t>
  </si>
  <si>
    <t>KHI/HO/D/HLGRP HEALTH/E/25058/04/2024</t>
  </si>
  <si>
    <t>KHI/HO/D/HLGRP HEALTH/E/25076/04/2024</t>
  </si>
  <si>
    <t>KHI/HO/D/HLGRP HEALTH/E/25127/05/2024</t>
  </si>
  <si>
    <t>KHI/HO/D/HLGRP HEALTH/E/25179/05/2024</t>
  </si>
  <si>
    <t>KHI/HO/D/HLGRP HEALTH/E/25228/05/2024</t>
  </si>
  <si>
    <t>KHI/HO/D/HLGRP HEALTH/E/25353/05/2024</t>
  </si>
  <si>
    <t>KHI/HO/D/HLGRP HEALTH/E/25415/05/2024</t>
  </si>
  <si>
    <t>KHI/HO/D/HLGRP HEALTH/E/25506/05/2024</t>
  </si>
  <si>
    <t>KHI/HO/D/HLGRP HEALTH/E/25513/05/2024</t>
  </si>
  <si>
    <t>KHI/HO/D/HLGRP HEALTH/E/25554/05/2024</t>
  </si>
  <si>
    <t>KHI/HO/D/HLGRP HEALTH/E/25577/06/2024</t>
  </si>
  <si>
    <t>KHI/HO/D/HLGRP HEALTH/E/25630/06/2024</t>
  </si>
  <si>
    <t>KHI/HO/D/HLGRP HEALTH/E/25639/06/2024</t>
  </si>
  <si>
    <t>KHI/HO/D/HLGRP HEALTH/E/25672/06/2024</t>
  </si>
  <si>
    <t>KHI/HO/D/HLGRP HEALTH/E/25694/06/2024</t>
  </si>
  <si>
    <t>KHI/HO/D/HLGRP HEALTH/E/25730/06/2024</t>
  </si>
  <si>
    <t>KHI/HO/D/HLGRP HEALTH/E/25777/06/2024</t>
  </si>
  <si>
    <t>KHI/HO/D/HLGRP HEALTH/E/25809/06/2024</t>
  </si>
  <si>
    <t>KHI/HO/D/HLGRP HEALTH/E/25847/06/2024</t>
  </si>
  <si>
    <t>KHI/HO/D/HLGRP HEALTH/E/25888/06/2024</t>
  </si>
  <si>
    <t>KHI/HO/D/HLGRP HEALTH/E/25939/06/2024</t>
  </si>
  <si>
    <t>KHI/HO/D/HLGRP HEALTH/E/25985/07/2024</t>
  </si>
  <si>
    <t>KHI/HO/D/HLGRP HEALTH/E/26023/07/2024</t>
  </si>
  <si>
    <t>KHI/HO/D/HLGRP HEALTH/E/26048/07/2024</t>
  </si>
  <si>
    <t>KHI/HO/D/HLGRP HEALTH/E/26080/07/2024</t>
  </si>
  <si>
    <t>KHI/HO/D/HLGRP HEALTH/E/26129/07/2024</t>
  </si>
  <si>
    <t>KHI/HO/D/HLGRP HEALTH/E/26157/07/2024</t>
  </si>
  <si>
    <t>KHI/HO/D/HLGRP HEALTH/E/26196/07/2024</t>
  </si>
  <si>
    <t>KHI/HO/D/HLGRP HEALTH/E/26226/07/2024</t>
  </si>
  <si>
    <t>KHI/HO/D/HLGRP HEALTH/E/26267/07/2024</t>
  </si>
  <si>
    <t>KHI/HO/D/HLGRP HEALTH/E/26311/07/2024</t>
  </si>
  <si>
    <t>KHI/HO/D/HLGRP HEALTH/E/26355/07/2024</t>
  </si>
  <si>
    <t>KHI/HO/D/HLGRP HEALTH/E/26393/08/2024</t>
  </si>
  <si>
    <t>KHI/HO/D/HLGRP HEALTH/E/26420/08/2024</t>
  </si>
  <si>
    <t>KHI/HO/D/HLGRP HEALTH/E/26480/08/2024</t>
  </si>
  <si>
    <t>KHI/HO/D/HLGRP HEALTH/E/26531/08/2024</t>
  </si>
  <si>
    <t>KHI/HO/D/HLGRP HEALTH/E/26543/08/2024</t>
  </si>
  <si>
    <t>KHI/HO/D/HLGRP HEALTH/E/26564/08/2024</t>
  </si>
  <si>
    <t>KHI/HO/D/HLGRP HEALTH/E/26620/08/2024</t>
  </si>
  <si>
    <t>KHI/HO/D/HLGRP HEALTH/E/26645/08/2024</t>
  </si>
  <si>
    <t>KHI/HO/D/HLGRP HEALTH/E/26675/08/2024</t>
  </si>
  <si>
    <t>KHI/HO/D/HLGRP HEALTH/E/26691/08/2024</t>
  </si>
  <si>
    <t>KHI/HO/D/HLGRP HEALTH/E/26751/08/2024</t>
  </si>
  <si>
    <t>KHI/HO/D/HLGRP HEALTH/E/26762/08/2024</t>
  </si>
  <si>
    <t>KHI/HO/D/HLGRP HEALTH/E/26813/08/2024</t>
  </si>
  <si>
    <t>KHI/HO/D/HLGRP HEALTH/E/26858/08/2024</t>
  </si>
  <si>
    <t>KHI/HO/D/HLGRP HEALTH/E/26880/08/2024</t>
  </si>
  <si>
    <t>KHI/HO/D/HLGRP HEALTH/E/26923/08/2024</t>
  </si>
  <si>
    <t>KHI/HO/D/HLGRP HEALTH/E/26949/09/2024</t>
  </si>
  <si>
    <t>KHI/HO/D/HLGRP HEALTH/E/26977/09/2024</t>
  </si>
  <si>
    <t>KHI/HO/D/HLGRP HEALTH/E/27016/09/2024</t>
  </si>
  <si>
    <t>KHI/HO/D/HLGRP HEALTH/E/27030/09/2024</t>
  </si>
  <si>
    <t>KHI/HO/D/HLGRP HEALTH/E/27077/09/2024</t>
  </si>
  <si>
    <t>KHI/HO/D/HLGRP HEALTH/E/27144/09/2024</t>
  </si>
  <si>
    <t>KHI/HO/D/HLGRP HEALTH/E/27177/09/2024</t>
  </si>
  <si>
    <t>KHI/HO/D/HLGRP HEALTH/E/27219/09/2024</t>
  </si>
  <si>
    <t>KHI/HO/D/HLGRP HEALTH/E/27254/09/2024</t>
  </si>
  <si>
    <t>KHI/HO/D/HLGRP HEALTH/E/27270/09/2024</t>
  </si>
  <si>
    <t>KHI/HO/D/HLGRP HEALTH/E/27297/09/2024</t>
  </si>
  <si>
    <t>KHI/HO/D/HLGRP HEALTH/E/27316/09/2024</t>
  </si>
  <si>
    <t>KHI/HO/D/HLGRP HEALTH/E/27341/09/2024</t>
  </si>
  <si>
    <t>KHI/HO/D/HLGRP HEALTH/E/27389/09/2024</t>
  </si>
  <si>
    <t>KHI/HO/D/HLGRP HEALTH/E/27426/09/2024</t>
  </si>
  <si>
    <t>KHI/HO/D/HLGRP HEALTH/E/27457/09/2024</t>
  </si>
  <si>
    <t>KHI/HO/D/HLGRP HEALTH/E/27486/09/2024</t>
  </si>
  <si>
    <t>KHI/HO/D/HLGRP HEALTH/E/27561/09/2024</t>
  </si>
  <si>
    <t>KHI/HO/D/HLGRP HEALTH/E/27615/10/2024</t>
  </si>
  <si>
    <t>KHI/HO/D/HLGRP HEALTH/E/27648/10/2024</t>
  </si>
  <si>
    <t>KHI/HO/D/HLGRP HEALTH/E/27656/10/2024</t>
  </si>
  <si>
    <t>KHI/HO/D/HLGRP HEALTH/E/27706/10/2024</t>
  </si>
  <si>
    <t>KHI/HO/D/HLGRP HEALTH/E/27811/10/2024</t>
  </si>
  <si>
    <t>KHI/HO/D/HLGRP HEALTH/E/27829/10/2024</t>
  </si>
  <si>
    <t>KHI/HO/D/HLGRP HEALTH/E/27846/10/2024</t>
  </si>
  <si>
    <t>KHI/HO/D/HLGRP HEALTH/E/27874/10/2024</t>
  </si>
  <si>
    <t>KHI/HO/D/HLGRP HEALTH/E/27983/10/2024</t>
  </si>
  <si>
    <t>KHI/HO/D/HLGRP HEALTH/E/28092/10/2024</t>
  </si>
  <si>
    <t>KHI/HO/D/HLGRP HEALTH/E/28164/10/2024</t>
  </si>
  <si>
    <t>KHI/HO/D/HLGRP HEALTH/E/28217/10/2024</t>
  </si>
  <si>
    <t>KHI/HO/D/HLGRP HEALTH/E/28288/11/2024</t>
  </si>
  <si>
    <t>KHI/HO/D/HLGRP HEALTH/E/28324/11/2024</t>
  </si>
  <si>
    <t>KHI/HO/D/HLGRP HEALTH/E/28396/11/2024</t>
  </si>
  <si>
    <t>KHI/HO/D/HLGRP HEALTH/E/28464/11/2024</t>
  </si>
  <si>
    <t>KHI/HO/D/HLGRP HEALTH/E/28472/11/2024</t>
  </si>
  <si>
    <t>KHI/HO/D/HLGRP HEALTH/E/28520/11/2024</t>
  </si>
  <si>
    <t>KHI/HO/D/HLGRP HEALTH/E/28608/11/2024</t>
  </si>
  <si>
    <t>KHI/HO/D/HLGRP HEALTH/E/28616/11/2024</t>
  </si>
  <si>
    <t>KHI/HO/D/HLGRP HEALTH/E/28649/11/2024</t>
  </si>
  <si>
    <t>KHI/HO/D/HLGRP HEALTH/E/28692/11/2024</t>
  </si>
  <si>
    <t>KHI/HO/D/HLGRP HEALTH/E/28712/11/2024</t>
  </si>
  <si>
    <t>KHI/HO/D/HLGRP HEALTH/E/28728/11/2024</t>
  </si>
  <si>
    <t>KHI/HO/D/HLGRP HEALTH/E/28734/11/2024</t>
  </si>
  <si>
    <t>KHI/HO/D/HLGRP HEALTH/E/28759/11/2024</t>
  </si>
  <si>
    <t>KHI/HO/D/HLGRP HEALTH/E/28795/11/2024</t>
  </si>
  <si>
    <t>KHI/HO/D/HLGRP HEALTH/E/28808/11/2024</t>
  </si>
  <si>
    <t>KHI/HO/D/HLGRP HEALTH/E/28819/11/2024</t>
  </si>
  <si>
    <t>KHI/HO/D/HLGRP HEALTH/E/28822/11/2024</t>
  </si>
  <si>
    <t>KHI/HO/D/HLGRP HEALTH/E/28841/11/2024</t>
  </si>
  <si>
    <t>KHI/HO/D/HLGRP HEALTH/E/28904/12/2024</t>
  </si>
  <si>
    <t>KHI/HO/D/HLGRP HEALTH/E/28970/12/2024</t>
  </si>
  <si>
    <t>KHI/HO/D/HLGRP HEALTH/E/29014/12/2024</t>
  </si>
  <si>
    <t>KHI/HO/D/HLGRP HEALTH/E/29075/12/2024</t>
  </si>
  <si>
    <t>KHI/HO/D/HLGRP HEALTH/E/29120/12/2024</t>
  </si>
  <si>
    <t>KHI/HO/D/HLGRP HEALTH/E/29183/12/2024</t>
  </si>
  <si>
    <t>KHI/HO/D/HLGRP HEALTH/E/29215/12/2024</t>
  </si>
  <si>
    <t>KHI/HO/D/HLGRP HEALTH/E/29224/12/2024</t>
  </si>
  <si>
    <t>KHI/HO/D/HLGRP HEALTH/E/29246/12/2024</t>
  </si>
  <si>
    <t>KHI/HO/D/HLGRP HEALTH/E/29299/12/2024</t>
  </si>
  <si>
    <t>KHI/HO/D/HLGRP HEALTH/E/29316/12/2024</t>
  </si>
  <si>
    <t>KHI/HO/D/HLGRP HEALTH/E/29357/12/2024</t>
  </si>
  <si>
    <t>KHI/HO/D/HLGRP HEALTH/E/29389/12/2024</t>
  </si>
  <si>
    <t>KHI/HO/D/HLGRP HEALTH/E/29401/12/2024</t>
  </si>
  <si>
    <t>KHI/HO/D/HLGRP HEALTH/E/29415/12/2024</t>
  </si>
  <si>
    <t>KHI/HO/D/HLGRP HEALTH/E/29427/12/2024</t>
  </si>
  <si>
    <t>KHI/HO/D/HLGRP HEALTH/E/29447/12/2024</t>
  </si>
  <si>
    <t>KHI/HO/D/HLGRP HEALTH/E/30745/05/2025</t>
  </si>
  <si>
    <t>3035 - OS</t>
  </si>
  <si>
    <t>3034 - OS</t>
  </si>
  <si>
    <t>TOTAL - OS</t>
  </si>
  <si>
    <t>Less: Claims</t>
  </si>
  <si>
    <t>Received Contributions:</t>
  </si>
  <si>
    <t>SUMMARY:</t>
  </si>
  <si>
    <t>OS</t>
  </si>
  <si>
    <t>NAME</t>
  </si>
  <si>
    <t>Al Baraka Bank Ltd</t>
  </si>
  <si>
    <t>-02-2024</t>
  </si>
  <si>
    <t>-03-2024</t>
  </si>
  <si>
    <t>-04-2024</t>
  </si>
  <si>
    <t>-05-2024</t>
  </si>
  <si>
    <t>-06-2024</t>
  </si>
  <si>
    <t>-07-2024</t>
  </si>
  <si>
    <t>-08-2024</t>
  </si>
  <si>
    <t>-09-2024</t>
  </si>
  <si>
    <t>-10-2024</t>
  </si>
  <si>
    <t>-11-2024</t>
  </si>
  <si>
    <t>-12-2024</t>
  </si>
  <si>
    <t>-05-2025</t>
  </si>
  <si>
    <t xml:space="preserve">   </t>
  </si>
  <si>
    <t>FUNC_ASSORTED_STRING(IA.ASSORTED_CODE)</t>
  </si>
  <si>
    <t>ASSORTED_CODE</t>
  </si>
  <si>
    <t>050000716622</t>
  </si>
  <si>
    <t>050000726232</t>
  </si>
  <si>
    <t>050000729658</t>
  </si>
  <si>
    <t>050000712450</t>
  </si>
  <si>
    <t>050000716623</t>
  </si>
  <si>
    <t>050000718023</t>
  </si>
  <si>
    <t>050000714894</t>
  </si>
  <si>
    <t>050000711006</t>
  </si>
  <si>
    <t>050000714893</t>
  </si>
  <si>
    <t>050000729075</t>
  </si>
  <si>
    <t>050000726188</t>
  </si>
  <si>
    <t>050000729271</t>
  </si>
  <si>
    <t>050000729273</t>
  </si>
  <si>
    <t>050000726592</t>
  </si>
  <si>
    <t>050000728768</t>
  </si>
  <si>
    <t>050000728266</t>
  </si>
  <si>
    <t>050000733221</t>
  </si>
  <si>
    <t>050000724822</t>
  </si>
  <si>
    <t>050000712449</t>
  </si>
  <si>
    <t>050000724832</t>
  </si>
  <si>
    <t>050000710512</t>
  </si>
  <si>
    <t>050000711007</t>
  </si>
  <si>
    <t>050000718025</t>
  </si>
  <si>
    <t>050000739581</t>
  </si>
  <si>
    <t>050000719870</t>
  </si>
  <si>
    <t>050000740043</t>
  </si>
  <si>
    <t>050000724471</t>
  </si>
  <si>
    <t>050000739337</t>
  </si>
  <si>
    <t>050000729077</t>
  </si>
  <si>
    <t>050000719709</t>
  </si>
  <si>
    <t>050000739580</t>
  </si>
  <si>
    <t>050000723874</t>
  </si>
  <si>
    <t>050000738301</t>
  </si>
  <si>
    <t>050000730188</t>
  </si>
  <si>
    <t>050000730204</t>
  </si>
  <si>
    <t>050000738472</t>
  </si>
  <si>
    <t>050000729121</t>
  </si>
  <si>
    <t>050000729176</t>
  </si>
  <si>
    <t>050000738474</t>
  </si>
  <si>
    <t>050000723873</t>
  </si>
  <si>
    <t>050000726187</t>
  </si>
  <si>
    <t>050000735393</t>
  </si>
  <si>
    <t>050000728267</t>
  </si>
  <si>
    <t>050000710500</t>
  </si>
  <si>
    <t>050000733503</t>
  </si>
  <si>
    <t>050000718335</t>
  </si>
  <si>
    <t>050000745741</t>
  </si>
  <si>
    <t>050000743162</t>
  </si>
  <si>
    <t>050000745739</t>
  </si>
  <si>
    <t>050000729656</t>
  </si>
  <si>
    <t>050000718336</t>
  </si>
  <si>
    <t>050000739335</t>
  </si>
  <si>
    <t>050000738270</t>
  </si>
  <si>
    <t>050000735394</t>
  </si>
  <si>
    <t>050000716936</t>
  </si>
  <si>
    <t>050000733897</t>
  </si>
  <si>
    <t>050000740462</t>
  </si>
  <si>
    <t>050000739284</t>
  </si>
  <si>
    <t>050000740688</t>
  </si>
  <si>
    <t>050000729270</t>
  </si>
  <si>
    <t>050000739283</t>
  </si>
  <si>
    <t>050000740690</t>
  </si>
  <si>
    <t>050000761646</t>
  </si>
  <si>
    <t>050000719710</t>
  </si>
  <si>
    <t>050000781474</t>
  </si>
  <si>
    <t>050000781830</t>
  </si>
  <si>
    <t>050000778116</t>
  </si>
  <si>
    <t>050000778115</t>
  </si>
  <si>
    <t>050000799949</t>
  </si>
  <si>
    <t>050000800201</t>
  </si>
  <si>
    <t>050000798340</t>
  </si>
  <si>
    <t>050000779109</t>
  </si>
  <si>
    <t>050000789484</t>
  </si>
  <si>
    <t>050000815705</t>
  </si>
  <si>
    <t>050000793166</t>
  </si>
  <si>
    <t>050000780189</t>
  </si>
  <si>
    <t>050000815839</t>
  </si>
  <si>
    <t>050000791620</t>
  </si>
  <si>
    <t>050000781345</t>
  </si>
  <si>
    <t>050000809490</t>
  </si>
  <si>
    <t>050000779110</t>
  </si>
  <si>
    <t>050000781479</t>
  </si>
  <si>
    <t>050000813578</t>
  </si>
  <si>
    <t>050000786212</t>
  </si>
  <si>
    <t>050000778903</t>
  </si>
  <si>
    <t>050000780524</t>
  </si>
  <si>
    <t>050000787052</t>
  </si>
  <si>
    <t>050000782120</t>
  </si>
  <si>
    <t>050000795550</t>
  </si>
  <si>
    <t>050000797216</t>
  </si>
  <si>
    <t>050000780188</t>
  </si>
  <si>
    <t>050000800020</t>
  </si>
  <si>
    <t>050000789483</t>
  </si>
  <si>
    <t>050000789889</t>
  </si>
  <si>
    <t>050000791722</t>
  </si>
  <si>
    <t>050000798154</t>
  </si>
  <si>
    <t>050000811584</t>
  </si>
  <si>
    <t>050000800199</t>
  </si>
  <si>
    <t>050000814287</t>
  </si>
  <si>
    <t>050000787828</t>
  </si>
  <si>
    <t>050000798971</t>
  </si>
  <si>
    <t>050000817543</t>
  </si>
  <si>
    <t>050000800635</t>
  </si>
  <si>
    <t>050000800636</t>
  </si>
  <si>
    <t>050000798153</t>
  </si>
  <si>
    <t>050000778741</t>
  </si>
  <si>
    <t>050000817898</t>
  </si>
  <si>
    <t>050000815224</t>
  </si>
  <si>
    <t>050000816293</t>
  </si>
  <si>
    <t>050000786484</t>
  </si>
  <si>
    <t>050000786485</t>
  </si>
  <si>
    <t>050000789600</t>
  </si>
  <si>
    <t>050000788837</t>
  </si>
  <si>
    <t>050000813141</t>
  </si>
  <si>
    <t>050000777904</t>
  </si>
  <si>
    <t>050000791721</t>
  </si>
  <si>
    <t>050000791850</t>
  </si>
  <si>
    <t>050000811583</t>
  </si>
  <si>
    <t>050000785767</t>
  </si>
  <si>
    <t>050000791152</t>
  </si>
  <si>
    <t>050000789945</t>
  </si>
  <si>
    <t>050000814288</t>
  </si>
  <si>
    <t>050000755318</t>
  </si>
  <si>
    <t>050000768073</t>
  </si>
  <si>
    <t>050000770722</t>
  </si>
  <si>
    <t>050000761006</t>
  </si>
  <si>
    <t>050000748865</t>
  </si>
  <si>
    <t>050000762013</t>
  </si>
  <si>
    <t>050000758927</t>
  </si>
  <si>
    <t>050000759580</t>
  </si>
  <si>
    <t>050000748924</t>
  </si>
  <si>
    <t>050000771132</t>
  </si>
  <si>
    <t>050000756659</t>
  </si>
  <si>
    <t>050000751827</t>
  </si>
  <si>
    <t>050000771919</t>
  </si>
  <si>
    <t>050000759760</t>
  </si>
  <si>
    <t>050000769635</t>
  </si>
  <si>
    <t>050000766840</t>
  </si>
  <si>
    <t>050000760425</t>
  </si>
  <si>
    <t>050000751053</t>
  </si>
  <si>
    <t>050000769463</t>
  </si>
  <si>
    <t>050000753233</t>
  </si>
  <si>
    <t>050000756736</t>
  </si>
  <si>
    <t>050000755342</t>
  </si>
  <si>
    <t>050000759754</t>
  </si>
  <si>
    <t>050000766842</t>
  </si>
  <si>
    <t>050000741359</t>
  </si>
  <si>
    <t>050000747833</t>
  </si>
  <si>
    <t>050000759582</t>
  </si>
  <si>
    <t>050000747503</t>
  </si>
  <si>
    <t>050000760535</t>
  </si>
  <si>
    <t>050000750287</t>
  </si>
  <si>
    <t>050000755324</t>
  </si>
  <si>
    <t>050000751052</t>
  </si>
  <si>
    <t>050000760534</t>
  </si>
  <si>
    <t>050000777693</t>
  </si>
  <si>
    <t>050000777659</t>
  </si>
  <si>
    <t>050000756657</t>
  </si>
  <si>
    <t>050000751071</t>
  </si>
  <si>
    <t>050000753625</t>
  </si>
  <si>
    <t>050000769634</t>
  </si>
  <si>
    <t>050000759998</t>
  </si>
  <si>
    <t>050000771913</t>
  </si>
  <si>
    <t>050000776945</t>
  </si>
  <si>
    <t>050000773602</t>
  </si>
  <si>
    <t>050000773603</t>
  </si>
  <si>
    <t>050000765655</t>
  </si>
  <si>
    <t>050000761649</t>
  </si>
  <si>
    <t>050000758929</t>
  </si>
  <si>
    <t>050000770518</t>
  </si>
  <si>
    <t>050000756734</t>
  </si>
  <si>
    <t>050000751070</t>
  </si>
  <si>
    <t>050000775541</t>
  </si>
  <si>
    <t>050000775546</t>
  </si>
  <si>
    <t>050000751830</t>
  </si>
  <si>
    <t>050000776904</t>
  </si>
  <si>
    <t>050000761007</t>
  </si>
  <si>
    <t>050000813593</t>
  </si>
  <si>
    <t>050000787049</t>
  </si>
  <si>
    <t>050000787997</t>
  </si>
  <si>
    <t>050000813082</t>
  </si>
  <si>
    <t>050000787525</t>
  </si>
  <si>
    <t>050000761158</t>
  </si>
  <si>
    <t>050000761160</t>
  </si>
  <si>
    <t>050000765657</t>
  </si>
  <si>
    <t>050000782121</t>
  </si>
  <si>
    <t>050000799947</t>
  </si>
  <si>
    <t>050000813090</t>
  </si>
  <si>
    <t>050000771131</t>
  </si>
  <si>
    <t>050000760001</t>
  </si>
  <si>
    <t>050000787996</t>
  </si>
  <si>
    <t>050000789488</t>
  </si>
  <si>
    <t>050000786558</t>
  </si>
  <si>
    <t>050000786590</t>
  </si>
  <si>
    <t>050000787527</t>
  </si>
  <si>
    <t>050000778740</t>
  </si>
  <si>
    <t>050000781961</t>
  </si>
  <si>
    <t>050000785841</t>
  </si>
  <si>
    <t>050000778901</t>
  </si>
  <si>
    <t>050000789502</t>
  </si>
  <si>
    <t>050000789504</t>
  </si>
  <si>
    <t>050000789887</t>
  </si>
  <si>
    <t>050000791621</t>
  </si>
  <si>
    <t>050000793180</t>
  </si>
  <si>
    <t>050000795546</t>
  </si>
  <si>
    <t>050000817542</t>
  </si>
  <si>
    <t>050000795547</t>
  </si>
  <si>
    <t>050000816000</t>
  </si>
  <si>
    <t>050000791151</t>
  </si>
  <si>
    <t>050000777826</t>
  </si>
  <si>
    <t>050000780523</t>
  </si>
  <si>
    <t>050000800016</t>
  </si>
  <si>
    <t>050000781300</t>
  </si>
  <si>
    <t>050000786197</t>
  </si>
  <si>
    <t>050000815701</t>
  </si>
  <si>
    <t>050000800637</t>
  </si>
  <si>
    <t>050000817883</t>
  </si>
  <si>
    <t>050000821084</t>
  </si>
  <si>
    <t>050000815999</t>
  </si>
  <si>
    <t>050000795602</t>
  </si>
  <si>
    <t>050000790024</t>
  </si>
  <si>
    <t>050000788835</t>
  </si>
  <si>
    <t>050000791849</t>
  </si>
  <si>
    <t>050000792311</t>
  </si>
  <si>
    <t>050000792313</t>
  </si>
  <si>
    <t>050000792351</t>
  </si>
  <si>
    <t>050000768394</t>
  </si>
  <si>
    <t>050000741352</t>
  </si>
  <si>
    <t>050000770520</t>
  </si>
  <si>
    <t>050000770725</t>
  </si>
  <si>
    <t>050000769462</t>
  </si>
  <si>
    <t>050000762012</t>
  </si>
  <si>
    <t>050000823027</t>
  </si>
  <si>
    <t>050000823147</t>
  </si>
  <si>
    <t>050000825114</t>
  </si>
  <si>
    <t>050000824323</t>
  </si>
  <si>
    <t>050000824451</t>
  </si>
  <si>
    <t>050000827187</t>
  </si>
  <si>
    <t>050000824941</t>
  </si>
  <si>
    <t>050000830639</t>
  </si>
  <si>
    <t>050000831303</t>
  </si>
  <si>
    <t>050000822734</t>
  </si>
  <si>
    <t>050000835803</t>
  </si>
  <si>
    <t>050000834840</t>
  </si>
  <si>
    <t>050000836647</t>
  </si>
  <si>
    <t>050000826679</t>
  </si>
  <si>
    <t>050000835386</t>
  </si>
  <si>
    <t>050000832688</t>
  </si>
  <si>
    <t>050000825194</t>
  </si>
  <si>
    <t>050000836453</t>
  </si>
  <si>
    <t>050000834833</t>
  </si>
  <si>
    <t>050000831304</t>
  </si>
  <si>
    <t>050000832985</t>
  </si>
  <si>
    <t>050000821706</t>
  </si>
  <si>
    <t>050000830638</t>
  </si>
  <si>
    <t>050000824324</t>
  </si>
  <si>
    <t>050000824655</t>
  </si>
  <si>
    <t>050000826795</t>
  </si>
  <si>
    <t>050000825115</t>
  </si>
  <si>
    <t>050000824796</t>
  </si>
  <si>
    <t>050000835749</t>
  </si>
  <si>
    <t>050000823146</t>
  </si>
  <si>
    <t>050000823191</t>
  </si>
  <si>
    <t>050000823407</t>
  </si>
  <si>
    <t>050000832157</t>
  </si>
  <si>
    <t>050000824974</t>
  </si>
  <si>
    <t>050000836661</t>
  </si>
  <si>
    <t>050000835748</t>
  </si>
  <si>
    <t>050000824661</t>
  </si>
  <si>
    <t>050000832689</t>
  </si>
  <si>
    <t>050000824846</t>
  </si>
  <si>
    <t>050000823056</t>
  </si>
  <si>
    <t>050000825183</t>
  </si>
  <si>
    <t>050000825195</t>
  </si>
  <si>
    <t>050000836058</t>
  </si>
  <si>
    <t>050000836093</t>
  </si>
  <si>
    <t>050000836451</t>
  </si>
  <si>
    <t>050000837402</t>
  </si>
  <si>
    <t>050000822563</t>
  </si>
  <si>
    <t>050000823026</t>
  </si>
  <si>
    <t>050000836666</t>
  </si>
  <si>
    <t>050000836853</t>
  </si>
  <si>
    <t>050000836905</t>
  </si>
  <si>
    <t>050000835387</t>
  </si>
  <si>
    <t>050000835430</t>
  </si>
  <si>
    <t>050000824322</t>
  </si>
  <si>
    <t>050000821697</t>
  </si>
  <si>
    <t>050000836013</t>
  </si>
  <si>
    <t>050000830801</t>
  </si>
  <si>
    <t>050000825025</t>
  </si>
  <si>
    <t>050000825184</t>
  </si>
  <si>
    <t>050000835968</t>
  </si>
  <si>
    <t>050000837738</t>
  </si>
  <si>
    <t>050000822807</t>
  </si>
  <si>
    <t>050000825790</t>
  </si>
  <si>
    <t>050000825791</t>
  </si>
  <si>
    <t>050000823035</t>
  </si>
  <si>
    <t>050000836648</t>
  </si>
  <si>
    <t>050000824975</t>
  </si>
  <si>
    <t>050000837403</t>
  </si>
  <si>
    <t>050000836059</t>
  </si>
  <si>
    <t>050000824806</t>
  </si>
  <si>
    <t>050000825253</t>
  </si>
  <si>
    <t>050000825764</t>
  </si>
  <si>
    <t>050000824446</t>
  </si>
  <si>
    <t>050000833590</t>
  </si>
  <si>
    <t>050000824875</t>
  </si>
  <si>
    <t>050000824896</t>
  </si>
  <si>
    <t>050000824897</t>
  </si>
  <si>
    <t>050000833094</t>
  </si>
  <si>
    <t>050000822949</t>
  </si>
  <si>
    <t>050000823405</t>
  </si>
  <si>
    <t>050000824940</t>
  </si>
  <si>
    <t>050000836906</t>
  </si>
  <si>
    <t>050000826785</t>
  </si>
  <si>
    <t>050000884187</t>
  </si>
  <si>
    <t>POLICY NO.</t>
  </si>
  <si>
    <t>Assorted_code</t>
  </si>
  <si>
    <t>Premium</t>
  </si>
  <si>
    <t>07May250079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</si>
</sst>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.00_);_(* \(#,##0.00\);_(* &quot;-&quot;??_);_(@_)"/>
    <numFmt numFmtId="165" formatCode="_(* #,##0_);_(* \(#,##0\);_(* &quot;-&quot;??_);_(@_)"/>
  </numFmts>
  <fonts count="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9"/>
      <name val="Trade Gothic Next"/>
      <family val="2"/>
    </font>
    <font>
      <sz val="9"/>
      <color theme="1"/>
      <name val="Trade Gothic Next"/>
      <family val="2"/>
    </font>
    <font>
      <b/>
      <sz val="9"/>
      <name val="Trade Gothic Next"/>
      <family val="2"/>
    </font>
    <font>
      <b/>
      <sz val="9"/>
      <color theme="1"/>
      <name val="Segoe UI"/>
      <family val="2"/>
      <charset val="1"/>
    </font>
    <font>
      <sz val="11"/>
      <color theme="1"/>
      <name val="Aptos"/>
      <family val="2"/>
    </font>
    <font>
      <sz val="9"/>
      <color theme="1"/>
      <name val="Segoe UI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29">
    <xf numFmtId="0" fontId="0" fillId="0" borderId="0" xfId="0"/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vertical="center"/>
    </xf>
    <xf numFmtId="165" fontId="4" fillId="0" borderId="0" xfId="1" applyNumberFormat="1" applyFont="1" applyAlignment="1">
      <alignment vertical="center"/>
    </xf>
    <xf numFmtId="0" fontId="3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165" fontId="2" fillId="0" borderId="0" xfId="0" applyNumberFormat="1" applyFont="1"/>
    <xf numFmtId="0" fontId="5" fillId="2" borderId="1" xfId="0" applyFont="1" applyFill="1" applyBorder="1" applyAlignment="1">
      <alignment horizontal="center" vertical="center"/>
    </xf>
    <xf numFmtId="0" fontId="2" fillId="0" borderId="0" xfId="0" applyFont="1"/>
    <xf numFmtId="165" fontId="0" fillId="0" borderId="0" xfId="1" applyNumberFormat="1" applyFont="1"/>
    <xf numFmtId="165" fontId="2" fillId="0" borderId="0" xfId="1" applyNumberFormat="1" applyFont="1"/>
    <xf numFmtId="0" fontId="0" fillId="0" borderId="2" xfId="0" applyBorder="1"/>
    <xf numFmtId="165" fontId="2" fillId="0" borderId="2" xfId="1" applyNumberFormat="1" applyFont="1" applyBorder="1"/>
    <xf numFmtId="164" fontId="3" fillId="2" borderId="1" xfId="1" applyFont="1" applyFill="1" applyBorder="1" applyAlignment="1">
      <alignment horizontal="center" vertical="center"/>
    </xf>
    <xf numFmtId="164" fontId="4" fillId="0" borderId="0" xfId="1" applyFont="1" applyAlignment="1">
      <alignment vertical="center"/>
    </xf>
    <xf numFmtId="164" fontId="2" fillId="0" borderId="0" xfId="1" applyFont="1"/>
    <xf numFmtId="164" fontId="0" fillId="0" borderId="0" xfId="1" applyFont="1"/>
    <xf numFmtId="0" fontId="4" fillId="0" borderId="1" xfId="0" applyFont="1" applyBorder="1" applyAlignment="1">
      <alignment vertical="center"/>
    </xf>
    <xf numFmtId="164" fontId="4" fillId="0" borderId="1" xfId="1" applyFont="1" applyBorder="1" applyAlignment="1">
      <alignment vertical="center"/>
    </xf>
    <xf numFmtId="0" fontId="2" fillId="0" borderId="0" xfId="0" applyFont="1" applyAlignment="1">
      <alignment horizontal="left"/>
    </xf>
    <xf numFmtId="0" fontId="6" fillId="0" borderId="0" xfId="0" applyFont="1"/>
    <xf numFmtId="0" fontId="2" fillId="0" borderId="1" xfId="0" applyFont="1" applyBorder="1" applyAlignment="1">
      <alignment horizontal="center"/>
    </xf>
    <xf numFmtId="0" fontId="2" fillId="0" borderId="1" xfId="0" applyFont="1" applyBorder="1"/>
    <xf numFmtId="0" fontId="7" fillId="0" borderId="0" xfId="0" applyFont="1"/>
    <xf numFmtId="0" fontId="0" fillId="0" borderId="0" xfId="0" applyAlignment="1">
      <alignment vertical="top"/>
    </xf>
    <xf numFmtId="165" fontId="8" fillId="0" borderId="0" xfId="1" applyNumberFormat="1" applyFont="1" applyAlignment="1">
      <alignment vertical="top"/>
    </xf>
    <xf numFmtId="0" fontId="0" fillId="3" borderId="0" xfId="0" applyFill="1" applyAlignment="1">
      <alignment vertical="top" wrapText="1"/>
    </xf>
    <xf numFmtId="0" fontId="0" fillId="3" borderId="0" xfId="0" applyFill="1" applyAlignment="1">
      <alignment horizontal="left" vertical="top" wrapText="1"/>
    </xf>
    <xf numFmtId="0" fontId="0" fillId="3" borderId="0" xfId="0" applyFill="1" applyAlignment="1">
      <alignment wrapText="1"/>
    </xf>
  </cellXfs>
  <cellStyles count="2">
    <cellStyle name="Comma" xfId="1" builtinId="3"/>
    <cellStyle name="Normal" xfId="0" builtinId="0"/>
  </cellStyles>
  <dxfs count="10"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F64AE8-9F03-40DE-9477-03B263B664D4}">
  <dimension ref="A1:I318"/>
  <sheetViews>
    <sheetView workbookViewId="0">
      <selection activeCell="I318" sqref="A1:I318"/>
    </sheetView>
  </sheetViews>
  <sheetFormatPr defaultRowHeight="15" x14ac:dyDescent="0.25"/>
  <cols>
    <col min="1" max="1" width="5.5703125" bestFit="1" customWidth="1"/>
    <col min="2" max="2" width="33.7109375" bestFit="1" customWidth="1"/>
    <col min="3" max="3" width="34.7109375" bestFit="1" customWidth="1"/>
    <col min="4" max="4" width="14.85546875" bestFit="1" customWidth="1"/>
    <col min="5" max="5" width="13.140625" style="16" bestFit="1" customWidth="1"/>
    <col min="8" max="8" width="20.28515625" bestFit="1" customWidth="1"/>
    <col min="9" max="9" width="10.42578125" bestFit="1" customWidth="1"/>
  </cols>
  <sheetData>
    <row r="1" spans="1:9" x14ac:dyDescent="0.25">
      <c r="A1" s="4" t="s">
        <v>0</v>
      </c>
      <c r="B1" s="4" t="s">
        <v>1</v>
      </c>
      <c r="C1" s="4" t="s">
        <v>2</v>
      </c>
      <c r="D1" s="4" t="s">
        <v>329</v>
      </c>
      <c r="E1" s="13" t="s">
        <v>328</v>
      </c>
    </row>
    <row r="2" spans="1:9" x14ac:dyDescent="0.25">
      <c r="A2" s="1">
        <v>1</v>
      </c>
      <c r="B2" s="2" t="s">
        <v>4</v>
      </c>
      <c r="C2" s="5" t="s">
        <v>5</v>
      </c>
      <c r="D2" s="1" t="s">
        <v>330</v>
      </c>
      <c r="E2" s="14">
        <v>-107679</v>
      </c>
      <c r="H2" s="19" t="s">
        <v>327</v>
      </c>
      <c r="I2" s="19"/>
    </row>
    <row r="3" spans="1:9" x14ac:dyDescent="0.25">
      <c r="A3" s="1">
        <v>2</v>
      </c>
      <c r="B3" s="2" t="s">
        <v>4</v>
      </c>
      <c r="C3" s="5" t="s">
        <v>6</v>
      </c>
      <c r="D3" s="1" t="s">
        <v>330</v>
      </c>
      <c r="E3" s="14">
        <v>1498951</v>
      </c>
      <c r="H3" t="s">
        <v>323</v>
      </c>
      <c r="I3" s="9">
        <v>3651317</v>
      </c>
    </row>
    <row r="4" spans="1:9" x14ac:dyDescent="0.25">
      <c r="A4" s="1">
        <v>3</v>
      </c>
      <c r="B4" s="2" t="s">
        <v>4</v>
      </c>
      <c r="C4" s="5" t="s">
        <v>7</v>
      </c>
      <c r="D4" s="1" t="s">
        <v>330</v>
      </c>
      <c r="E4" s="14">
        <v>-77138</v>
      </c>
      <c r="H4" t="s">
        <v>322</v>
      </c>
      <c r="I4" s="9">
        <v>2161232</v>
      </c>
    </row>
    <row r="5" spans="1:9" x14ac:dyDescent="0.25">
      <c r="A5" s="1">
        <v>4</v>
      </c>
      <c r="B5" s="2" t="s">
        <v>4</v>
      </c>
      <c r="C5" s="5" t="s">
        <v>8</v>
      </c>
      <c r="D5" s="1" t="s">
        <v>330</v>
      </c>
      <c r="E5" s="14">
        <v>-106930</v>
      </c>
      <c r="H5" t="s">
        <v>324</v>
      </c>
      <c r="I5" s="10">
        <f>SUM(I3:I4)</f>
        <v>5812549</v>
      </c>
    </row>
    <row r="6" spans="1:9" x14ac:dyDescent="0.25">
      <c r="A6" s="1">
        <v>5</v>
      </c>
      <c r="B6" s="2" t="s">
        <v>4</v>
      </c>
      <c r="C6" s="5" t="s">
        <v>9</v>
      </c>
      <c r="D6" s="1" t="s">
        <v>330</v>
      </c>
      <c r="E6" s="14">
        <v>-3388</v>
      </c>
      <c r="H6" t="s">
        <v>325</v>
      </c>
      <c r="I6" s="9">
        <v>-115465</v>
      </c>
    </row>
    <row r="7" spans="1:9" x14ac:dyDescent="0.25">
      <c r="A7" s="1">
        <v>6</v>
      </c>
      <c r="B7" s="2" t="s">
        <v>4</v>
      </c>
      <c r="C7" s="5" t="s">
        <v>10</v>
      </c>
      <c r="D7" s="1" t="s">
        <v>330</v>
      </c>
      <c r="E7" s="14">
        <v>5332</v>
      </c>
      <c r="H7" s="11" t="s">
        <v>326</v>
      </c>
      <c r="I7" s="12">
        <f>+SUM(I5:I6)</f>
        <v>5697084</v>
      </c>
    </row>
    <row r="8" spans="1:9" x14ac:dyDescent="0.25">
      <c r="A8" s="1">
        <v>7</v>
      </c>
      <c r="B8" s="2" t="s">
        <v>4</v>
      </c>
      <c r="C8" s="5" t="s">
        <v>11</v>
      </c>
      <c r="D8" s="1" t="s">
        <v>330</v>
      </c>
      <c r="E8" s="14">
        <v>-109703</v>
      </c>
    </row>
    <row r="9" spans="1:9" x14ac:dyDescent="0.25">
      <c r="A9" s="1">
        <v>8</v>
      </c>
      <c r="B9" s="2" t="s">
        <v>4</v>
      </c>
      <c r="C9" s="5" t="s">
        <v>12</v>
      </c>
      <c r="D9" s="1" t="s">
        <v>330</v>
      </c>
      <c r="E9" s="14">
        <v>-74726</v>
      </c>
    </row>
    <row r="10" spans="1:9" x14ac:dyDescent="0.25">
      <c r="A10" s="1">
        <v>9</v>
      </c>
      <c r="B10" s="2" t="s">
        <v>4</v>
      </c>
      <c r="C10" s="5" t="s">
        <v>13</v>
      </c>
      <c r="D10" s="1" t="s">
        <v>330</v>
      </c>
      <c r="E10" s="14">
        <v>-72809</v>
      </c>
    </row>
    <row r="11" spans="1:9" x14ac:dyDescent="0.25">
      <c r="A11" s="1">
        <v>10</v>
      </c>
      <c r="B11" s="2" t="s">
        <v>4</v>
      </c>
      <c r="C11" s="5" t="s">
        <v>14</v>
      </c>
      <c r="D11" s="1" t="s">
        <v>330</v>
      </c>
      <c r="E11" s="14">
        <v>209758</v>
      </c>
    </row>
    <row r="12" spans="1:9" x14ac:dyDescent="0.25">
      <c r="A12" s="1">
        <v>11</v>
      </c>
      <c r="B12" s="2" t="s">
        <v>4</v>
      </c>
      <c r="C12" s="5" t="s">
        <v>15</v>
      </c>
      <c r="D12" s="1" t="s">
        <v>330</v>
      </c>
      <c r="E12" s="14">
        <v>139240</v>
      </c>
    </row>
    <row r="13" spans="1:9" x14ac:dyDescent="0.25">
      <c r="A13" s="1">
        <v>12</v>
      </c>
      <c r="B13" s="2" t="s">
        <v>4</v>
      </c>
      <c r="C13" s="5" t="s">
        <v>16</v>
      </c>
      <c r="D13" s="1" t="s">
        <v>330</v>
      </c>
      <c r="E13" s="14">
        <v>738204</v>
      </c>
    </row>
    <row r="14" spans="1:9" x14ac:dyDescent="0.25">
      <c r="A14" s="1">
        <v>13</v>
      </c>
      <c r="B14" s="2" t="s">
        <v>4</v>
      </c>
      <c r="C14" s="5" t="s">
        <v>17</v>
      </c>
      <c r="D14" s="1" t="s">
        <v>330</v>
      </c>
      <c r="E14" s="14">
        <v>-31702</v>
      </c>
    </row>
    <row r="15" spans="1:9" x14ac:dyDescent="0.25">
      <c r="A15" s="1">
        <v>14</v>
      </c>
      <c r="B15" s="2" t="s">
        <v>4</v>
      </c>
      <c r="C15" s="5" t="s">
        <v>18</v>
      </c>
      <c r="D15" s="1" t="s">
        <v>330</v>
      </c>
      <c r="E15" s="14">
        <v>-57825</v>
      </c>
    </row>
    <row r="16" spans="1:9" x14ac:dyDescent="0.25">
      <c r="A16" s="1">
        <v>15</v>
      </c>
      <c r="B16" s="2" t="s">
        <v>4</v>
      </c>
      <c r="C16" s="5" t="s">
        <v>19</v>
      </c>
      <c r="D16" s="1" t="s">
        <v>330</v>
      </c>
      <c r="E16" s="14">
        <v>29702</v>
      </c>
    </row>
    <row r="17" spans="1:5" x14ac:dyDescent="0.25">
      <c r="A17" s="1">
        <v>16</v>
      </c>
      <c r="B17" s="2" t="s">
        <v>4</v>
      </c>
      <c r="C17" s="5" t="s">
        <v>20</v>
      </c>
      <c r="D17" s="1" t="s">
        <v>330</v>
      </c>
      <c r="E17" s="14">
        <v>-18572</v>
      </c>
    </row>
    <row r="18" spans="1:5" x14ac:dyDescent="0.25">
      <c r="A18" s="1">
        <v>17</v>
      </c>
      <c r="B18" s="2" t="s">
        <v>4</v>
      </c>
      <c r="C18" s="5" t="s">
        <v>21</v>
      </c>
      <c r="D18" s="1" t="s">
        <v>330</v>
      </c>
      <c r="E18" s="14">
        <v>101042</v>
      </c>
    </row>
    <row r="19" spans="1:5" x14ac:dyDescent="0.25">
      <c r="A19" s="1">
        <v>18</v>
      </c>
      <c r="B19" s="2" t="s">
        <v>4</v>
      </c>
      <c r="C19" s="5" t="s">
        <v>22</v>
      </c>
      <c r="D19" s="1" t="s">
        <v>330</v>
      </c>
      <c r="E19" s="14">
        <v>-87420</v>
      </c>
    </row>
    <row r="20" spans="1:5" x14ac:dyDescent="0.25">
      <c r="A20" s="1">
        <v>19</v>
      </c>
      <c r="B20" s="2" t="s">
        <v>4</v>
      </c>
      <c r="C20" s="5" t="s">
        <v>23</v>
      </c>
      <c r="D20" s="1" t="s">
        <v>330</v>
      </c>
      <c r="E20" s="14">
        <v>-36712</v>
      </c>
    </row>
    <row r="21" spans="1:5" x14ac:dyDescent="0.25">
      <c r="A21" s="1">
        <v>20</v>
      </c>
      <c r="B21" s="2" t="s">
        <v>4</v>
      </c>
      <c r="C21" s="5" t="s">
        <v>24</v>
      </c>
      <c r="D21" s="1" t="s">
        <v>330</v>
      </c>
      <c r="E21" s="14">
        <v>383873</v>
      </c>
    </row>
    <row r="22" spans="1:5" x14ac:dyDescent="0.25">
      <c r="A22" s="1">
        <v>21</v>
      </c>
      <c r="B22" s="2" t="s">
        <v>4</v>
      </c>
      <c r="C22" s="5" t="s">
        <v>25</v>
      </c>
      <c r="D22" s="1" t="s">
        <v>330</v>
      </c>
      <c r="E22" s="14">
        <v>24946</v>
      </c>
    </row>
    <row r="23" spans="1:5" x14ac:dyDescent="0.25">
      <c r="A23" s="1">
        <v>22</v>
      </c>
      <c r="B23" s="2" t="s">
        <v>4</v>
      </c>
      <c r="C23" s="5" t="s">
        <v>26</v>
      </c>
      <c r="D23" s="1" t="s">
        <v>330</v>
      </c>
      <c r="E23" s="14">
        <v>-24407</v>
      </c>
    </row>
    <row r="24" spans="1:5" x14ac:dyDescent="0.25">
      <c r="A24" s="1">
        <v>23</v>
      </c>
      <c r="B24" s="2" t="s">
        <v>4</v>
      </c>
      <c r="C24" s="5" t="s">
        <v>27</v>
      </c>
      <c r="D24" s="1" t="s">
        <v>330</v>
      </c>
      <c r="E24" s="14">
        <v>20</v>
      </c>
    </row>
    <row r="25" spans="1:5" x14ac:dyDescent="0.25">
      <c r="A25" s="1">
        <v>24</v>
      </c>
      <c r="B25" s="2" t="s">
        <v>4</v>
      </c>
      <c r="C25" s="5" t="s">
        <v>28</v>
      </c>
      <c r="D25" s="1" t="s">
        <v>330</v>
      </c>
      <c r="E25" s="14">
        <v>-7186</v>
      </c>
    </row>
    <row r="26" spans="1:5" x14ac:dyDescent="0.25">
      <c r="A26" s="1">
        <v>25</v>
      </c>
      <c r="B26" s="2" t="s">
        <v>4</v>
      </c>
      <c r="C26" s="5" t="s">
        <v>29</v>
      </c>
      <c r="D26" s="1" t="s">
        <v>330</v>
      </c>
      <c r="E26" s="14">
        <v>-44705</v>
      </c>
    </row>
    <row r="27" spans="1:5" x14ac:dyDescent="0.25">
      <c r="A27" s="1">
        <v>26</v>
      </c>
      <c r="B27" s="2" t="s">
        <v>4</v>
      </c>
      <c r="C27" s="5" t="s">
        <v>30</v>
      </c>
      <c r="D27" s="1" t="s">
        <v>330</v>
      </c>
      <c r="E27" s="14">
        <v>-22626</v>
      </c>
    </row>
    <row r="28" spans="1:5" x14ac:dyDescent="0.25">
      <c r="A28" s="1">
        <v>27</v>
      </c>
      <c r="B28" s="2" t="s">
        <v>4</v>
      </c>
      <c r="C28" s="5" t="s">
        <v>31</v>
      </c>
      <c r="D28" s="1" t="s">
        <v>330</v>
      </c>
      <c r="E28" s="14">
        <v>-29755</v>
      </c>
    </row>
    <row r="29" spans="1:5" x14ac:dyDescent="0.25">
      <c r="A29" s="1">
        <v>28</v>
      </c>
      <c r="B29" s="2" t="s">
        <v>4</v>
      </c>
      <c r="C29" s="5" t="s">
        <v>32</v>
      </c>
      <c r="D29" s="1" t="s">
        <v>330</v>
      </c>
      <c r="E29" s="14">
        <v>-30327</v>
      </c>
    </row>
    <row r="30" spans="1:5" x14ac:dyDescent="0.25">
      <c r="A30" s="1">
        <v>29</v>
      </c>
      <c r="B30" s="2" t="s">
        <v>4</v>
      </c>
      <c r="C30" s="5" t="s">
        <v>33</v>
      </c>
      <c r="D30" s="1" t="s">
        <v>330</v>
      </c>
      <c r="E30" s="14">
        <v>-51898</v>
      </c>
    </row>
    <row r="31" spans="1:5" x14ac:dyDescent="0.25">
      <c r="A31" s="1">
        <v>30</v>
      </c>
      <c r="B31" s="2" t="s">
        <v>4</v>
      </c>
      <c r="C31" s="5" t="s">
        <v>34</v>
      </c>
      <c r="D31" s="1" t="s">
        <v>330</v>
      </c>
      <c r="E31" s="14">
        <v>-109771</v>
      </c>
    </row>
    <row r="32" spans="1:5" x14ac:dyDescent="0.25">
      <c r="A32" s="1">
        <v>31</v>
      </c>
      <c r="B32" s="2" t="s">
        <v>4</v>
      </c>
      <c r="C32" s="5" t="s">
        <v>35</v>
      </c>
      <c r="D32" s="1" t="s">
        <v>330</v>
      </c>
      <c r="E32" s="14">
        <v>-51832</v>
      </c>
    </row>
    <row r="33" spans="1:5" x14ac:dyDescent="0.25">
      <c r="A33" s="1">
        <v>32</v>
      </c>
      <c r="B33" s="2" t="s">
        <v>4</v>
      </c>
      <c r="C33" s="5" t="s">
        <v>36</v>
      </c>
      <c r="D33" s="1" t="s">
        <v>330</v>
      </c>
      <c r="E33" s="14">
        <v>324777</v>
      </c>
    </row>
    <row r="34" spans="1:5" x14ac:dyDescent="0.25">
      <c r="A34" s="1">
        <v>33</v>
      </c>
      <c r="B34" s="2" t="s">
        <v>4</v>
      </c>
      <c r="C34" s="5" t="s">
        <v>37</v>
      </c>
      <c r="D34" s="1" t="s">
        <v>330</v>
      </c>
      <c r="E34" s="14">
        <v>15535</v>
      </c>
    </row>
    <row r="35" spans="1:5" x14ac:dyDescent="0.25">
      <c r="A35" s="1">
        <v>34</v>
      </c>
      <c r="B35" s="2" t="s">
        <v>4</v>
      </c>
      <c r="C35" s="5" t="s">
        <v>38</v>
      </c>
      <c r="D35" s="1" t="s">
        <v>330</v>
      </c>
      <c r="E35" s="14">
        <v>-26467</v>
      </c>
    </row>
    <row r="36" spans="1:5" x14ac:dyDescent="0.25">
      <c r="A36" s="1">
        <v>35</v>
      </c>
      <c r="B36" s="2" t="s">
        <v>4</v>
      </c>
      <c r="C36" s="5" t="s">
        <v>39</v>
      </c>
      <c r="D36" s="1" t="s">
        <v>330</v>
      </c>
      <c r="E36" s="14">
        <v>145500</v>
      </c>
    </row>
    <row r="37" spans="1:5" x14ac:dyDescent="0.25">
      <c r="A37" s="1">
        <v>36</v>
      </c>
      <c r="B37" s="2" t="s">
        <v>4</v>
      </c>
      <c r="C37" s="5" t="s">
        <v>40</v>
      </c>
      <c r="D37" s="1" t="s">
        <v>330</v>
      </c>
      <c r="E37" s="14">
        <v>-61808</v>
      </c>
    </row>
    <row r="38" spans="1:5" x14ac:dyDescent="0.25">
      <c r="A38" s="1">
        <v>37</v>
      </c>
      <c r="B38" s="2" t="s">
        <v>4</v>
      </c>
      <c r="C38" s="5" t="s">
        <v>41</v>
      </c>
      <c r="D38" s="1" t="s">
        <v>330</v>
      </c>
      <c r="E38" s="14">
        <v>-2343</v>
      </c>
    </row>
    <row r="39" spans="1:5" x14ac:dyDescent="0.25">
      <c r="A39" s="1">
        <v>38</v>
      </c>
      <c r="B39" s="2" t="s">
        <v>4</v>
      </c>
      <c r="C39" s="5" t="s">
        <v>42</v>
      </c>
      <c r="D39" s="1" t="s">
        <v>330</v>
      </c>
      <c r="E39" s="14">
        <v>-1796</v>
      </c>
    </row>
    <row r="40" spans="1:5" x14ac:dyDescent="0.25">
      <c r="A40" s="1">
        <v>39</v>
      </c>
      <c r="B40" s="2" t="s">
        <v>4</v>
      </c>
      <c r="C40" s="5" t="s">
        <v>43</v>
      </c>
      <c r="D40" s="1" t="s">
        <v>330</v>
      </c>
      <c r="E40" s="14">
        <v>-144545</v>
      </c>
    </row>
    <row r="41" spans="1:5" x14ac:dyDescent="0.25">
      <c r="A41" s="1">
        <v>40</v>
      </c>
      <c r="B41" s="2" t="s">
        <v>4</v>
      </c>
      <c r="C41" s="5" t="s">
        <v>44</v>
      </c>
      <c r="D41" s="1" t="s">
        <v>330</v>
      </c>
      <c r="E41" s="14">
        <v>689549</v>
      </c>
    </row>
    <row r="42" spans="1:5" x14ac:dyDescent="0.25">
      <c r="A42" s="1">
        <v>41</v>
      </c>
      <c r="B42" s="2" t="s">
        <v>4</v>
      </c>
      <c r="C42" s="5" t="s">
        <v>45</v>
      </c>
      <c r="D42" s="1" t="s">
        <v>330</v>
      </c>
      <c r="E42" s="14">
        <v>-47948</v>
      </c>
    </row>
    <row r="43" spans="1:5" x14ac:dyDescent="0.25">
      <c r="A43" s="1">
        <v>42</v>
      </c>
      <c r="B43" s="2" t="s">
        <v>4</v>
      </c>
      <c r="C43" s="5" t="s">
        <v>46</v>
      </c>
      <c r="D43" s="1" t="s">
        <v>330</v>
      </c>
      <c r="E43" s="14">
        <v>-58251</v>
      </c>
    </row>
    <row r="44" spans="1:5" x14ac:dyDescent="0.25">
      <c r="A44" s="1">
        <v>43</v>
      </c>
      <c r="B44" s="2" t="s">
        <v>4</v>
      </c>
      <c r="C44" s="5" t="s">
        <v>47</v>
      </c>
      <c r="D44" s="1" t="s">
        <v>330</v>
      </c>
      <c r="E44" s="14">
        <v>-72104</v>
      </c>
    </row>
    <row r="45" spans="1:5" x14ac:dyDescent="0.25">
      <c r="A45" s="1">
        <v>44</v>
      </c>
      <c r="B45" s="2" t="s">
        <v>4</v>
      </c>
      <c r="C45" s="5" t="s">
        <v>48</v>
      </c>
      <c r="D45" s="1" t="s">
        <v>330</v>
      </c>
      <c r="E45" s="14">
        <v>-50359</v>
      </c>
    </row>
    <row r="46" spans="1:5" x14ac:dyDescent="0.25">
      <c r="A46" s="1">
        <v>45</v>
      </c>
      <c r="B46" s="2" t="s">
        <v>4</v>
      </c>
      <c r="C46" s="5" t="s">
        <v>49</v>
      </c>
      <c r="D46" s="1" t="s">
        <v>330</v>
      </c>
      <c r="E46" s="14">
        <v>-20289</v>
      </c>
    </row>
    <row r="47" spans="1:5" x14ac:dyDescent="0.25">
      <c r="A47" s="1">
        <v>46</v>
      </c>
      <c r="B47" s="2" t="s">
        <v>4</v>
      </c>
      <c r="C47" s="5" t="s">
        <v>50</v>
      </c>
      <c r="D47" s="1" t="s">
        <v>330</v>
      </c>
      <c r="E47" s="14">
        <v>-82345</v>
      </c>
    </row>
    <row r="48" spans="1:5" x14ac:dyDescent="0.25">
      <c r="A48" s="1">
        <v>47</v>
      </c>
      <c r="B48" s="2" t="s">
        <v>4</v>
      </c>
      <c r="C48" s="5" t="s">
        <v>51</v>
      </c>
      <c r="D48" s="1" t="s">
        <v>330</v>
      </c>
      <c r="E48" s="14">
        <v>-37439</v>
      </c>
    </row>
    <row r="49" spans="1:5" x14ac:dyDescent="0.25">
      <c r="A49" s="1">
        <v>48</v>
      </c>
      <c r="B49" s="2" t="s">
        <v>4</v>
      </c>
      <c r="C49" s="5" t="s">
        <v>52</v>
      </c>
      <c r="D49" s="1" t="s">
        <v>330</v>
      </c>
      <c r="E49" s="14">
        <v>-62555</v>
      </c>
    </row>
    <row r="50" spans="1:5" x14ac:dyDescent="0.25">
      <c r="A50" s="1">
        <v>49</v>
      </c>
      <c r="B50" s="2" t="s">
        <v>4</v>
      </c>
      <c r="C50" s="5" t="s">
        <v>53</v>
      </c>
      <c r="D50" s="1" t="s">
        <v>330</v>
      </c>
      <c r="E50" s="14">
        <v>39201</v>
      </c>
    </row>
    <row r="51" spans="1:5" x14ac:dyDescent="0.25">
      <c r="A51" s="1">
        <v>50</v>
      </c>
      <c r="B51" s="2" t="s">
        <v>4</v>
      </c>
      <c r="C51" s="5" t="s">
        <v>54</v>
      </c>
      <c r="D51" s="1" t="s">
        <v>330</v>
      </c>
      <c r="E51" s="14">
        <v>-207044</v>
      </c>
    </row>
    <row r="52" spans="1:5" x14ac:dyDescent="0.25">
      <c r="A52" s="1">
        <v>51</v>
      </c>
      <c r="B52" s="2" t="s">
        <v>4</v>
      </c>
      <c r="C52" s="5" t="s">
        <v>55</v>
      </c>
      <c r="D52" s="1" t="s">
        <v>330</v>
      </c>
      <c r="E52" s="14">
        <v>-18385</v>
      </c>
    </row>
    <row r="53" spans="1:5" x14ac:dyDescent="0.25">
      <c r="A53" s="1">
        <v>52</v>
      </c>
      <c r="B53" s="2" t="s">
        <v>4</v>
      </c>
      <c r="C53" s="5" t="s">
        <v>56</v>
      </c>
      <c r="D53" s="1" t="s">
        <v>330</v>
      </c>
      <c r="E53" s="14">
        <v>520470</v>
      </c>
    </row>
    <row r="54" spans="1:5" x14ac:dyDescent="0.25">
      <c r="A54" s="1">
        <v>53</v>
      </c>
      <c r="B54" s="2" t="s">
        <v>4</v>
      </c>
      <c r="C54" s="5" t="s">
        <v>57</v>
      </c>
      <c r="D54" s="1" t="s">
        <v>330</v>
      </c>
      <c r="E54" s="14">
        <v>-48024</v>
      </c>
    </row>
    <row r="55" spans="1:5" x14ac:dyDescent="0.25">
      <c r="A55" s="1">
        <v>54</v>
      </c>
      <c r="B55" s="2" t="s">
        <v>4</v>
      </c>
      <c r="C55" s="5" t="s">
        <v>58</v>
      </c>
      <c r="D55" s="1" t="s">
        <v>330</v>
      </c>
      <c r="E55" s="14">
        <v>-44938</v>
      </c>
    </row>
    <row r="56" spans="1:5" x14ac:dyDescent="0.25">
      <c r="A56" s="1">
        <v>55</v>
      </c>
      <c r="B56" s="2" t="s">
        <v>4</v>
      </c>
      <c r="C56" s="5" t="s">
        <v>59</v>
      </c>
      <c r="D56" s="1" t="s">
        <v>330</v>
      </c>
      <c r="E56" s="14">
        <v>-24672</v>
      </c>
    </row>
    <row r="57" spans="1:5" x14ac:dyDescent="0.25">
      <c r="A57" s="1">
        <v>56</v>
      </c>
      <c r="B57" s="2" t="s">
        <v>4</v>
      </c>
      <c r="C57" s="5" t="s">
        <v>60</v>
      </c>
      <c r="D57" s="1" t="s">
        <v>330</v>
      </c>
      <c r="E57" s="14">
        <v>-29282</v>
      </c>
    </row>
    <row r="58" spans="1:5" x14ac:dyDescent="0.25">
      <c r="A58" s="1">
        <v>57</v>
      </c>
      <c r="B58" s="2" t="s">
        <v>4</v>
      </c>
      <c r="C58" s="5" t="s">
        <v>61</v>
      </c>
      <c r="D58" s="1" t="s">
        <v>330</v>
      </c>
      <c r="E58" s="14">
        <v>839</v>
      </c>
    </row>
    <row r="59" spans="1:5" x14ac:dyDescent="0.25">
      <c r="A59" s="1">
        <v>58</v>
      </c>
      <c r="B59" s="2" t="s">
        <v>4</v>
      </c>
      <c r="C59" s="5" t="s">
        <v>62</v>
      </c>
      <c r="D59" s="1" t="s">
        <v>330</v>
      </c>
      <c r="E59" s="14">
        <v>-39691</v>
      </c>
    </row>
    <row r="60" spans="1:5" x14ac:dyDescent="0.25">
      <c r="A60" s="1">
        <v>59</v>
      </c>
      <c r="B60" s="2" t="s">
        <v>4</v>
      </c>
      <c r="C60" s="5" t="s">
        <v>63</v>
      </c>
      <c r="D60" s="1" t="s">
        <v>330</v>
      </c>
      <c r="E60" s="14">
        <v>-75884</v>
      </c>
    </row>
    <row r="61" spans="1:5" x14ac:dyDescent="0.25">
      <c r="A61" s="1">
        <v>60</v>
      </c>
      <c r="B61" s="2" t="s">
        <v>4</v>
      </c>
      <c r="C61" s="5" t="s">
        <v>64</v>
      </c>
      <c r="D61" s="1" t="s">
        <v>330</v>
      </c>
      <c r="E61" s="14">
        <v>-3420</v>
      </c>
    </row>
    <row r="62" spans="1:5" x14ac:dyDescent="0.25">
      <c r="A62" s="1">
        <v>61</v>
      </c>
      <c r="B62" s="2" t="s">
        <v>4</v>
      </c>
      <c r="C62" s="5" t="s">
        <v>65</v>
      </c>
      <c r="D62" s="1" t="s">
        <v>330</v>
      </c>
      <c r="E62" s="14">
        <v>-112009</v>
      </c>
    </row>
    <row r="63" spans="1:5" x14ac:dyDescent="0.25">
      <c r="A63" s="1">
        <v>62</v>
      </c>
      <c r="B63" s="2" t="s">
        <v>4</v>
      </c>
      <c r="C63" s="5" t="s">
        <v>66</v>
      </c>
      <c r="D63" s="1" t="s">
        <v>330</v>
      </c>
      <c r="E63" s="14">
        <v>-36198</v>
      </c>
    </row>
    <row r="64" spans="1:5" x14ac:dyDescent="0.25">
      <c r="A64" s="1">
        <v>63</v>
      </c>
      <c r="B64" s="2" t="s">
        <v>4</v>
      </c>
      <c r="C64" s="5" t="s">
        <v>67</v>
      </c>
      <c r="D64" s="1" t="s">
        <v>330</v>
      </c>
      <c r="E64" s="14">
        <v>-2872</v>
      </c>
    </row>
    <row r="65" spans="1:5" x14ac:dyDescent="0.25">
      <c r="A65" s="1">
        <v>64</v>
      </c>
      <c r="B65" s="2" t="s">
        <v>4</v>
      </c>
      <c r="C65" s="5" t="s">
        <v>68</v>
      </c>
      <c r="D65" s="1" t="s">
        <v>330</v>
      </c>
      <c r="E65" s="14">
        <v>781795</v>
      </c>
    </row>
    <row r="66" spans="1:5" x14ac:dyDescent="0.25">
      <c r="A66" s="1">
        <v>65</v>
      </c>
      <c r="B66" s="2" t="s">
        <v>4</v>
      </c>
      <c r="C66" s="5" t="s">
        <v>69</v>
      </c>
      <c r="D66" s="1" t="s">
        <v>330</v>
      </c>
      <c r="E66" s="14">
        <v>-14664</v>
      </c>
    </row>
    <row r="67" spans="1:5" x14ac:dyDescent="0.25">
      <c r="A67" s="1">
        <v>66</v>
      </c>
      <c r="B67" s="2" t="s">
        <v>4</v>
      </c>
      <c r="C67" s="5" t="s">
        <v>70</v>
      </c>
      <c r="D67" s="1" t="s">
        <v>330</v>
      </c>
      <c r="E67" s="14">
        <v>-32747</v>
      </c>
    </row>
    <row r="68" spans="1:5" x14ac:dyDescent="0.25">
      <c r="A68" s="1">
        <v>67</v>
      </c>
      <c r="B68" s="2" t="s">
        <v>4</v>
      </c>
      <c r="C68" s="5" t="s">
        <v>71</v>
      </c>
      <c r="D68" s="1" t="s">
        <v>330</v>
      </c>
      <c r="E68" s="14">
        <v>-42652</v>
      </c>
    </row>
    <row r="69" spans="1:5" x14ac:dyDescent="0.25">
      <c r="A69" s="1">
        <v>68</v>
      </c>
      <c r="B69" s="2" t="s">
        <v>4</v>
      </c>
      <c r="C69" s="5" t="s">
        <v>72</v>
      </c>
      <c r="D69" s="1" t="s">
        <v>330</v>
      </c>
      <c r="E69" s="14">
        <v>-37569</v>
      </c>
    </row>
    <row r="70" spans="1:5" x14ac:dyDescent="0.25">
      <c r="A70" s="1">
        <v>69</v>
      </c>
      <c r="B70" s="2" t="s">
        <v>4</v>
      </c>
      <c r="C70" s="5" t="s">
        <v>73</v>
      </c>
      <c r="D70" s="1" t="s">
        <v>330</v>
      </c>
      <c r="E70" s="14">
        <v>-41784</v>
      </c>
    </row>
    <row r="71" spans="1:5" x14ac:dyDescent="0.25">
      <c r="A71" s="1">
        <v>70</v>
      </c>
      <c r="B71" s="2" t="s">
        <v>4</v>
      </c>
      <c r="C71" s="5" t="s">
        <v>74</v>
      </c>
      <c r="D71" s="1" t="s">
        <v>330</v>
      </c>
      <c r="E71" s="14">
        <v>-35236</v>
      </c>
    </row>
    <row r="72" spans="1:5" x14ac:dyDescent="0.25">
      <c r="A72" s="1">
        <v>71</v>
      </c>
      <c r="B72" s="2" t="s">
        <v>4</v>
      </c>
      <c r="C72" s="5" t="s">
        <v>75</v>
      </c>
      <c r="D72" s="1" t="s">
        <v>330</v>
      </c>
      <c r="E72" s="14">
        <v>-34922</v>
      </c>
    </row>
    <row r="73" spans="1:5" x14ac:dyDescent="0.25">
      <c r="A73" s="1">
        <v>72</v>
      </c>
      <c r="B73" s="2" t="s">
        <v>4</v>
      </c>
      <c r="C73" s="5" t="s">
        <v>76</v>
      </c>
      <c r="D73" s="1" t="s">
        <v>330</v>
      </c>
      <c r="E73" s="14">
        <v>-27909</v>
      </c>
    </row>
    <row r="74" spans="1:5" x14ac:dyDescent="0.25">
      <c r="A74" s="1">
        <v>73</v>
      </c>
      <c r="B74" s="2" t="s">
        <v>4</v>
      </c>
      <c r="C74" s="5" t="s">
        <v>77</v>
      </c>
      <c r="D74" s="1" t="s">
        <v>330</v>
      </c>
      <c r="E74" s="14">
        <v>22938</v>
      </c>
    </row>
    <row r="75" spans="1:5" x14ac:dyDescent="0.25">
      <c r="A75" s="1">
        <v>74</v>
      </c>
      <c r="B75" s="2" t="s">
        <v>4</v>
      </c>
      <c r="C75" s="5" t="s">
        <v>78</v>
      </c>
      <c r="D75" s="1" t="s">
        <v>330</v>
      </c>
      <c r="E75" s="14">
        <v>-25578</v>
      </c>
    </row>
    <row r="76" spans="1:5" x14ac:dyDescent="0.25">
      <c r="A76" s="1">
        <v>75</v>
      </c>
      <c r="B76" s="2" t="s">
        <v>4</v>
      </c>
      <c r="C76" s="5" t="s">
        <v>79</v>
      </c>
      <c r="D76" s="1" t="s">
        <v>330</v>
      </c>
      <c r="E76" s="14">
        <v>-6308</v>
      </c>
    </row>
    <row r="77" spans="1:5" x14ac:dyDescent="0.25">
      <c r="A77" s="1">
        <v>76</v>
      </c>
      <c r="B77" s="2" t="s">
        <v>4</v>
      </c>
      <c r="C77" s="5" t="s">
        <v>80</v>
      </c>
      <c r="D77" s="1" t="s">
        <v>330</v>
      </c>
      <c r="E77" s="14">
        <v>-27918</v>
      </c>
    </row>
    <row r="78" spans="1:5" x14ac:dyDescent="0.25">
      <c r="A78" s="1">
        <v>77</v>
      </c>
      <c r="B78" s="2" t="s">
        <v>4</v>
      </c>
      <c r="C78" s="5" t="s">
        <v>81</v>
      </c>
      <c r="D78" s="1" t="s">
        <v>330</v>
      </c>
      <c r="E78" s="14">
        <v>342196</v>
      </c>
    </row>
    <row r="79" spans="1:5" x14ac:dyDescent="0.25">
      <c r="A79" s="1">
        <v>78</v>
      </c>
      <c r="B79" s="2" t="s">
        <v>4</v>
      </c>
      <c r="C79" s="5" t="s">
        <v>82</v>
      </c>
      <c r="D79" s="1" t="s">
        <v>330</v>
      </c>
      <c r="E79" s="14">
        <v>-57894</v>
      </c>
    </row>
    <row r="80" spans="1:5" x14ac:dyDescent="0.25">
      <c r="A80" s="1">
        <v>79</v>
      </c>
      <c r="B80" s="2" t="s">
        <v>4</v>
      </c>
      <c r="C80" s="5" t="s">
        <v>83</v>
      </c>
      <c r="D80" s="1" t="s">
        <v>330</v>
      </c>
      <c r="E80" s="14">
        <v>3115</v>
      </c>
    </row>
    <row r="81" spans="1:5" x14ac:dyDescent="0.25">
      <c r="A81" s="1">
        <v>80</v>
      </c>
      <c r="B81" s="2" t="s">
        <v>4</v>
      </c>
      <c r="C81" s="5" t="s">
        <v>84</v>
      </c>
      <c r="D81" s="1" t="s">
        <v>330</v>
      </c>
      <c r="E81" s="14">
        <v>-8202</v>
      </c>
    </row>
    <row r="82" spans="1:5" x14ac:dyDescent="0.25">
      <c r="A82" s="1">
        <v>81</v>
      </c>
      <c r="B82" s="2" t="s">
        <v>4</v>
      </c>
      <c r="C82" s="5" t="s">
        <v>85</v>
      </c>
      <c r="D82" s="1" t="s">
        <v>330</v>
      </c>
      <c r="E82" s="14">
        <v>-29922</v>
      </c>
    </row>
    <row r="83" spans="1:5" x14ac:dyDescent="0.25">
      <c r="A83" s="1">
        <v>82</v>
      </c>
      <c r="B83" s="2" t="s">
        <v>4</v>
      </c>
      <c r="C83" s="5" t="s">
        <v>86</v>
      </c>
      <c r="D83" s="1" t="s">
        <v>330</v>
      </c>
      <c r="E83" s="14">
        <v>2674</v>
      </c>
    </row>
    <row r="84" spans="1:5" x14ac:dyDescent="0.25">
      <c r="A84" s="1">
        <v>83</v>
      </c>
      <c r="B84" s="2" t="s">
        <v>4</v>
      </c>
      <c r="C84" s="5" t="s">
        <v>87</v>
      </c>
      <c r="D84" s="1" t="s">
        <v>330</v>
      </c>
      <c r="E84" s="14">
        <v>-43751</v>
      </c>
    </row>
    <row r="85" spans="1:5" x14ac:dyDescent="0.25">
      <c r="A85" s="1">
        <v>84</v>
      </c>
      <c r="B85" s="2" t="s">
        <v>4</v>
      </c>
      <c r="C85" s="5" t="s">
        <v>88</v>
      </c>
      <c r="D85" s="1" t="s">
        <v>330</v>
      </c>
      <c r="E85" s="14">
        <v>-4345</v>
      </c>
    </row>
    <row r="86" spans="1:5" x14ac:dyDescent="0.25">
      <c r="A86" s="1">
        <v>85</v>
      </c>
      <c r="B86" s="2" t="s">
        <v>4</v>
      </c>
      <c r="C86" s="5" t="s">
        <v>89</v>
      </c>
      <c r="D86" s="1" t="s">
        <v>330</v>
      </c>
      <c r="E86" s="14">
        <v>2285</v>
      </c>
    </row>
    <row r="87" spans="1:5" x14ac:dyDescent="0.25">
      <c r="A87" s="1">
        <v>86</v>
      </c>
      <c r="B87" s="2" t="s">
        <v>4</v>
      </c>
      <c r="C87" s="5" t="s">
        <v>90</v>
      </c>
      <c r="D87" s="1" t="s">
        <v>330</v>
      </c>
      <c r="E87" s="14">
        <v>-22125</v>
      </c>
    </row>
    <row r="88" spans="1:5" x14ac:dyDescent="0.25">
      <c r="A88" s="1">
        <v>87</v>
      </c>
      <c r="B88" s="2" t="s">
        <v>4</v>
      </c>
      <c r="C88" s="5" t="s">
        <v>91</v>
      </c>
      <c r="D88" s="1" t="s">
        <v>330</v>
      </c>
      <c r="E88" s="14">
        <v>11068</v>
      </c>
    </row>
    <row r="89" spans="1:5" x14ac:dyDescent="0.25">
      <c r="A89" s="1">
        <v>88</v>
      </c>
      <c r="B89" s="2" t="s">
        <v>4</v>
      </c>
      <c r="C89" s="5" t="s">
        <v>92</v>
      </c>
      <c r="D89" s="1" t="s">
        <v>330</v>
      </c>
      <c r="E89" s="14">
        <v>-17031</v>
      </c>
    </row>
    <row r="90" spans="1:5" x14ac:dyDescent="0.25">
      <c r="A90" s="1">
        <v>89</v>
      </c>
      <c r="B90" s="2" t="s">
        <v>4</v>
      </c>
      <c r="C90" s="5" t="s">
        <v>93</v>
      </c>
      <c r="D90" s="1" t="s">
        <v>330</v>
      </c>
      <c r="E90" s="14">
        <v>2149</v>
      </c>
    </row>
    <row r="91" spans="1:5" x14ac:dyDescent="0.25">
      <c r="A91" s="1">
        <v>90</v>
      </c>
      <c r="B91" s="2" t="s">
        <v>4</v>
      </c>
      <c r="C91" s="5" t="s">
        <v>94</v>
      </c>
      <c r="D91" s="1" t="s">
        <v>330</v>
      </c>
      <c r="E91" s="14">
        <v>-1160</v>
      </c>
    </row>
    <row r="92" spans="1:5" x14ac:dyDescent="0.25">
      <c r="A92" s="1">
        <v>91</v>
      </c>
      <c r="B92" s="2" t="s">
        <v>4</v>
      </c>
      <c r="C92" s="5" t="s">
        <v>95</v>
      </c>
      <c r="D92" s="1" t="s">
        <v>330</v>
      </c>
      <c r="E92" s="14">
        <v>-11949</v>
      </c>
    </row>
    <row r="93" spans="1:5" x14ac:dyDescent="0.25">
      <c r="A93" s="1">
        <v>92</v>
      </c>
      <c r="B93" s="2" t="s">
        <v>4</v>
      </c>
      <c r="C93" s="5" t="s">
        <v>96</v>
      </c>
      <c r="D93" s="1" t="s">
        <v>330</v>
      </c>
      <c r="E93" s="14">
        <v>-1108</v>
      </c>
    </row>
    <row r="94" spans="1:5" x14ac:dyDescent="0.25">
      <c r="A94" s="1">
        <v>93</v>
      </c>
      <c r="B94" s="2" t="s">
        <v>4</v>
      </c>
      <c r="C94" s="5" t="s">
        <v>97</v>
      </c>
      <c r="D94" s="1" t="s">
        <v>330</v>
      </c>
      <c r="E94" s="14">
        <v>-4594</v>
      </c>
    </row>
    <row r="95" spans="1:5" x14ac:dyDescent="0.25">
      <c r="A95" s="1">
        <v>94</v>
      </c>
      <c r="B95" s="2" t="s">
        <v>4</v>
      </c>
      <c r="C95" s="5" t="s">
        <v>98</v>
      </c>
      <c r="D95" s="1" t="s">
        <v>330</v>
      </c>
      <c r="E95" s="14">
        <v>-55650</v>
      </c>
    </row>
    <row r="96" spans="1:5" x14ac:dyDescent="0.25">
      <c r="A96" s="1">
        <v>95</v>
      </c>
      <c r="B96" s="2" t="s">
        <v>4</v>
      </c>
      <c r="C96" s="5" t="s">
        <v>99</v>
      </c>
      <c r="D96" s="1" t="s">
        <v>330</v>
      </c>
      <c r="E96" s="14">
        <v>-30707</v>
      </c>
    </row>
    <row r="97" spans="1:5" x14ac:dyDescent="0.25">
      <c r="A97" s="1">
        <v>96</v>
      </c>
      <c r="B97" s="2" t="s">
        <v>4</v>
      </c>
      <c r="C97" s="5" t="s">
        <v>100</v>
      </c>
      <c r="D97" s="1" t="s">
        <v>330</v>
      </c>
      <c r="E97" s="14">
        <v>-17805</v>
      </c>
    </row>
    <row r="98" spans="1:5" x14ac:dyDescent="0.25">
      <c r="A98" s="1">
        <v>97</v>
      </c>
      <c r="B98" s="2" t="s">
        <v>4</v>
      </c>
      <c r="C98" s="5" t="s">
        <v>101</v>
      </c>
      <c r="D98" s="1" t="s">
        <v>330</v>
      </c>
      <c r="E98" s="14">
        <v>17999</v>
      </c>
    </row>
    <row r="99" spans="1:5" x14ac:dyDescent="0.25">
      <c r="A99" s="1">
        <v>98</v>
      </c>
      <c r="B99" s="2" t="s">
        <v>4</v>
      </c>
      <c r="C99" s="5" t="s">
        <v>102</v>
      </c>
      <c r="D99" s="1" t="s">
        <v>330</v>
      </c>
      <c r="E99" s="14">
        <v>-11777</v>
      </c>
    </row>
    <row r="100" spans="1:5" x14ac:dyDescent="0.25">
      <c r="A100" s="1">
        <v>99</v>
      </c>
      <c r="B100" s="2" t="s">
        <v>4</v>
      </c>
      <c r="C100" s="5" t="s">
        <v>103</v>
      </c>
      <c r="D100" s="1" t="s">
        <v>330</v>
      </c>
      <c r="E100" s="14">
        <v>-11244</v>
      </c>
    </row>
    <row r="101" spans="1:5" x14ac:dyDescent="0.25">
      <c r="A101" s="1">
        <v>100</v>
      </c>
      <c r="B101" s="2" t="s">
        <v>4</v>
      </c>
      <c r="C101" s="5" t="s">
        <v>104</v>
      </c>
      <c r="D101" s="1" t="s">
        <v>330</v>
      </c>
      <c r="E101" s="14">
        <v>-59987</v>
      </c>
    </row>
    <row r="102" spans="1:5" x14ac:dyDescent="0.25">
      <c r="A102" s="1">
        <v>101</v>
      </c>
      <c r="B102" s="2" t="s">
        <v>4</v>
      </c>
      <c r="C102" s="5" t="s">
        <v>105</v>
      </c>
      <c r="D102" s="1" t="s">
        <v>330</v>
      </c>
      <c r="E102" s="14">
        <v>-65769</v>
      </c>
    </row>
    <row r="103" spans="1:5" x14ac:dyDescent="0.25">
      <c r="A103" s="1">
        <v>102</v>
      </c>
      <c r="B103" s="2" t="s">
        <v>4</v>
      </c>
      <c r="C103" s="5" t="s">
        <v>106</v>
      </c>
      <c r="D103" s="1" t="s">
        <v>330</v>
      </c>
      <c r="E103" s="14">
        <v>456715</v>
      </c>
    </row>
    <row r="104" spans="1:5" x14ac:dyDescent="0.25">
      <c r="A104" s="1">
        <v>103</v>
      </c>
      <c r="B104" s="2" t="s">
        <v>4</v>
      </c>
      <c r="C104" s="5" t="s">
        <v>107</v>
      </c>
      <c r="D104" s="1" t="s">
        <v>330</v>
      </c>
      <c r="E104" s="14">
        <v>-33973</v>
      </c>
    </row>
    <row r="105" spans="1:5" x14ac:dyDescent="0.25">
      <c r="A105" s="1">
        <v>104</v>
      </c>
      <c r="B105" s="2" t="s">
        <v>4</v>
      </c>
      <c r="C105" s="5" t="s">
        <v>108</v>
      </c>
      <c r="D105" s="1" t="s">
        <v>330</v>
      </c>
      <c r="E105" s="14">
        <v>9743</v>
      </c>
    </row>
    <row r="106" spans="1:5" x14ac:dyDescent="0.25">
      <c r="A106" s="1">
        <v>105</v>
      </c>
      <c r="B106" s="2" t="s">
        <v>4</v>
      </c>
      <c r="C106" s="5" t="s">
        <v>109</v>
      </c>
      <c r="D106" s="1" t="s">
        <v>330</v>
      </c>
      <c r="E106" s="14">
        <v>4728</v>
      </c>
    </row>
    <row r="107" spans="1:5" x14ac:dyDescent="0.25">
      <c r="A107" s="1">
        <v>106</v>
      </c>
      <c r="B107" s="2" t="s">
        <v>4</v>
      </c>
      <c r="C107" s="5" t="s">
        <v>110</v>
      </c>
      <c r="D107" s="1" t="s">
        <v>330</v>
      </c>
      <c r="E107" s="14">
        <v>-8639</v>
      </c>
    </row>
    <row r="108" spans="1:5" x14ac:dyDescent="0.25">
      <c r="A108" s="1">
        <v>107</v>
      </c>
      <c r="B108" s="2" t="s">
        <v>4</v>
      </c>
      <c r="C108" s="5" t="s">
        <v>111</v>
      </c>
      <c r="D108" s="1" t="s">
        <v>330</v>
      </c>
      <c r="E108" s="14">
        <v>-45089</v>
      </c>
    </row>
    <row r="109" spans="1:5" x14ac:dyDescent="0.25">
      <c r="A109" s="2">
        <v>108</v>
      </c>
      <c r="B109" s="2" t="s">
        <v>4</v>
      </c>
      <c r="C109" s="2" t="s">
        <v>112</v>
      </c>
      <c r="D109" s="1" t="s">
        <v>330</v>
      </c>
      <c r="E109" s="14">
        <v>-866</v>
      </c>
    </row>
    <row r="110" spans="1:5" x14ac:dyDescent="0.25">
      <c r="A110" s="2">
        <v>109</v>
      </c>
      <c r="B110" s="2" t="s">
        <v>4</v>
      </c>
      <c r="C110" s="2" t="s">
        <v>113</v>
      </c>
      <c r="D110" s="1" t="s">
        <v>330</v>
      </c>
      <c r="E110" s="14">
        <v>-30708</v>
      </c>
    </row>
    <row r="111" spans="1:5" x14ac:dyDescent="0.25">
      <c r="A111" s="2">
        <v>110</v>
      </c>
      <c r="B111" s="2" t="s">
        <v>4</v>
      </c>
      <c r="C111" s="2" t="s">
        <v>114</v>
      </c>
      <c r="D111" s="1" t="s">
        <v>330</v>
      </c>
      <c r="E111" s="14">
        <v>1588</v>
      </c>
    </row>
    <row r="112" spans="1:5" x14ac:dyDescent="0.25">
      <c r="A112" s="2">
        <v>111</v>
      </c>
      <c r="B112" s="2" t="s">
        <v>4</v>
      </c>
      <c r="C112" s="2" t="s">
        <v>115</v>
      </c>
      <c r="D112" s="1" t="s">
        <v>330</v>
      </c>
      <c r="E112" s="14">
        <v>2845</v>
      </c>
    </row>
    <row r="113" spans="1:5" x14ac:dyDescent="0.25">
      <c r="A113" s="2">
        <v>112</v>
      </c>
      <c r="B113" s="2" t="s">
        <v>4</v>
      </c>
      <c r="C113" s="2" t="s">
        <v>116</v>
      </c>
      <c r="D113" s="1" t="s">
        <v>330</v>
      </c>
      <c r="E113" s="14">
        <v>-9857</v>
      </c>
    </row>
    <row r="114" spans="1:5" x14ac:dyDescent="0.25">
      <c r="A114" s="2">
        <v>113</v>
      </c>
      <c r="B114" s="2" t="s">
        <v>4</v>
      </c>
      <c r="C114" s="2" t="s">
        <v>117</v>
      </c>
      <c r="D114" s="1" t="s">
        <v>330</v>
      </c>
      <c r="E114" s="14">
        <v>5075</v>
      </c>
    </row>
    <row r="115" spans="1:5" x14ac:dyDescent="0.25">
      <c r="A115" s="2">
        <v>114</v>
      </c>
      <c r="B115" s="2" t="s">
        <v>4</v>
      </c>
      <c r="C115" s="2" t="s">
        <v>118</v>
      </c>
      <c r="D115" s="1" t="s">
        <v>330</v>
      </c>
      <c r="E115" s="14">
        <v>9498</v>
      </c>
    </row>
    <row r="116" spans="1:5" x14ac:dyDescent="0.25">
      <c r="A116" s="2">
        <v>115</v>
      </c>
      <c r="B116" s="2" t="s">
        <v>4</v>
      </c>
      <c r="C116" s="2" t="s">
        <v>119</v>
      </c>
      <c r="D116" s="1" t="s">
        <v>330</v>
      </c>
      <c r="E116" s="14">
        <v>1414</v>
      </c>
    </row>
    <row r="117" spans="1:5" x14ac:dyDescent="0.25">
      <c r="A117" s="2">
        <v>116</v>
      </c>
      <c r="B117" s="2" t="s">
        <v>4</v>
      </c>
      <c r="C117" s="2" t="s">
        <v>120</v>
      </c>
      <c r="D117" s="1" t="s">
        <v>330</v>
      </c>
      <c r="E117" s="14">
        <v>-3481</v>
      </c>
    </row>
    <row r="118" spans="1:5" x14ac:dyDescent="0.25">
      <c r="A118" s="2">
        <v>117</v>
      </c>
      <c r="B118" s="2" t="s">
        <v>4</v>
      </c>
      <c r="C118" s="2" t="s">
        <v>121</v>
      </c>
      <c r="D118" s="1" t="s">
        <v>330</v>
      </c>
      <c r="E118" s="14">
        <v>-760</v>
      </c>
    </row>
    <row r="119" spans="1:5" x14ac:dyDescent="0.25">
      <c r="A119" s="2">
        <v>118</v>
      </c>
      <c r="B119" s="2" t="s">
        <v>4</v>
      </c>
      <c r="C119" s="2" t="s">
        <v>122</v>
      </c>
      <c r="D119" s="1" t="s">
        <v>330</v>
      </c>
      <c r="E119" s="14">
        <v>-12949</v>
      </c>
    </row>
    <row r="120" spans="1:5" x14ac:dyDescent="0.25">
      <c r="A120" s="2">
        <v>119</v>
      </c>
      <c r="B120" s="2" t="s">
        <v>4</v>
      </c>
      <c r="C120" s="2" t="s">
        <v>123</v>
      </c>
      <c r="D120" s="1" t="s">
        <v>330</v>
      </c>
      <c r="E120" s="14">
        <v>-10059</v>
      </c>
    </row>
    <row r="121" spans="1:5" x14ac:dyDescent="0.25">
      <c r="A121" s="2">
        <v>120</v>
      </c>
      <c r="B121" s="2" t="s">
        <v>4</v>
      </c>
      <c r="C121" s="2" t="s">
        <v>124</v>
      </c>
      <c r="D121" s="1" t="s">
        <v>330</v>
      </c>
      <c r="E121" s="14">
        <v>-22075</v>
      </c>
    </row>
    <row r="122" spans="1:5" x14ac:dyDescent="0.25">
      <c r="A122" s="2">
        <v>121</v>
      </c>
      <c r="B122" s="2" t="s">
        <v>4</v>
      </c>
      <c r="C122" s="2" t="s">
        <v>125</v>
      </c>
      <c r="D122" s="1" t="s">
        <v>330</v>
      </c>
      <c r="E122" s="14">
        <v>2362</v>
      </c>
    </row>
    <row r="123" spans="1:5" x14ac:dyDescent="0.25">
      <c r="A123" s="2">
        <v>122</v>
      </c>
      <c r="B123" s="2" t="s">
        <v>4</v>
      </c>
      <c r="C123" s="2" t="s">
        <v>126</v>
      </c>
      <c r="D123" s="1" t="s">
        <v>330</v>
      </c>
      <c r="E123" s="14">
        <v>-12733</v>
      </c>
    </row>
    <row r="124" spans="1:5" x14ac:dyDescent="0.25">
      <c r="A124" s="2">
        <v>123</v>
      </c>
      <c r="B124" s="2" t="s">
        <v>4</v>
      </c>
      <c r="C124" s="2" t="s">
        <v>127</v>
      </c>
      <c r="D124" s="1" t="s">
        <v>330</v>
      </c>
      <c r="E124" s="14">
        <v>349004</v>
      </c>
    </row>
    <row r="125" spans="1:5" x14ac:dyDescent="0.25">
      <c r="A125" s="2">
        <v>124</v>
      </c>
      <c r="B125" s="2" t="s">
        <v>4</v>
      </c>
      <c r="C125" s="2" t="s">
        <v>128</v>
      </c>
      <c r="D125" s="1" t="s">
        <v>330</v>
      </c>
      <c r="E125" s="14">
        <v>-848</v>
      </c>
    </row>
    <row r="126" spans="1:5" x14ac:dyDescent="0.25">
      <c r="A126" s="2">
        <v>125</v>
      </c>
      <c r="B126" s="2" t="s">
        <v>4</v>
      </c>
      <c r="C126" s="2" t="s">
        <v>129</v>
      </c>
      <c r="D126" s="1" t="s">
        <v>330</v>
      </c>
      <c r="E126" s="14">
        <v>-5369</v>
      </c>
    </row>
    <row r="127" spans="1:5" x14ac:dyDescent="0.25">
      <c r="A127" s="2">
        <v>126</v>
      </c>
      <c r="B127" s="2" t="s">
        <v>4</v>
      </c>
      <c r="C127" s="2" t="s">
        <v>130</v>
      </c>
      <c r="D127" s="1" t="s">
        <v>330</v>
      </c>
      <c r="E127" s="14">
        <v>-8074</v>
      </c>
    </row>
    <row r="128" spans="1:5" x14ac:dyDescent="0.25">
      <c r="A128" s="2">
        <v>127</v>
      </c>
      <c r="B128" s="2" t="s">
        <v>4</v>
      </c>
      <c r="C128" s="2" t="s">
        <v>131</v>
      </c>
      <c r="D128" s="1" t="s">
        <v>330</v>
      </c>
      <c r="E128" s="14">
        <v>-6503</v>
      </c>
    </row>
    <row r="129" spans="1:5" x14ac:dyDescent="0.25">
      <c r="A129" s="2">
        <v>128</v>
      </c>
      <c r="B129" s="2" t="s">
        <v>4</v>
      </c>
      <c r="C129" s="2" t="s">
        <v>132</v>
      </c>
      <c r="D129" s="1" t="s">
        <v>330</v>
      </c>
      <c r="E129" s="14">
        <v>-7066</v>
      </c>
    </row>
    <row r="130" spans="1:5" x14ac:dyDescent="0.25">
      <c r="A130" s="2">
        <v>129</v>
      </c>
      <c r="B130" s="2" t="s">
        <v>4</v>
      </c>
      <c r="C130" s="2" t="s">
        <v>133</v>
      </c>
      <c r="D130" s="1" t="s">
        <v>330</v>
      </c>
      <c r="E130" s="14">
        <v>12490</v>
      </c>
    </row>
    <row r="131" spans="1:5" x14ac:dyDescent="0.25">
      <c r="A131" s="2">
        <v>130</v>
      </c>
      <c r="B131" s="2" t="s">
        <v>4</v>
      </c>
      <c r="C131" s="2" t="s">
        <v>134</v>
      </c>
      <c r="D131" s="1" t="s">
        <v>330</v>
      </c>
      <c r="E131" s="14">
        <v>-4845</v>
      </c>
    </row>
    <row r="132" spans="1:5" x14ac:dyDescent="0.25">
      <c r="A132" s="2">
        <v>131</v>
      </c>
      <c r="B132" s="2" t="s">
        <v>4</v>
      </c>
      <c r="C132" s="2" t="s">
        <v>135</v>
      </c>
      <c r="D132" s="1" t="s">
        <v>330</v>
      </c>
      <c r="E132" s="14">
        <v>-6003</v>
      </c>
    </row>
    <row r="133" spans="1:5" x14ac:dyDescent="0.25">
      <c r="A133" s="2">
        <v>132</v>
      </c>
      <c r="B133" s="2" t="s">
        <v>4</v>
      </c>
      <c r="C133" s="2" t="s">
        <v>136</v>
      </c>
      <c r="D133" s="1" t="s">
        <v>330</v>
      </c>
      <c r="E133" s="14">
        <v>-776</v>
      </c>
    </row>
    <row r="134" spans="1:5" x14ac:dyDescent="0.25">
      <c r="A134" s="2">
        <v>133</v>
      </c>
      <c r="B134" s="2" t="s">
        <v>4</v>
      </c>
      <c r="C134" s="2" t="s">
        <v>137</v>
      </c>
      <c r="D134" s="1" t="s">
        <v>330</v>
      </c>
      <c r="E134" s="14">
        <v>9881</v>
      </c>
    </row>
    <row r="135" spans="1:5" x14ac:dyDescent="0.25">
      <c r="A135" s="2">
        <v>134</v>
      </c>
      <c r="B135" s="2" t="s">
        <v>4</v>
      </c>
      <c r="C135" s="2" t="s">
        <v>138</v>
      </c>
      <c r="D135" s="1" t="s">
        <v>330</v>
      </c>
      <c r="E135" s="14">
        <v>2687</v>
      </c>
    </row>
    <row r="136" spans="1:5" x14ac:dyDescent="0.25">
      <c r="A136" s="2">
        <v>135</v>
      </c>
      <c r="B136" s="2" t="s">
        <v>4</v>
      </c>
      <c r="C136" s="2" t="s">
        <v>139</v>
      </c>
      <c r="D136" s="1" t="s">
        <v>330</v>
      </c>
      <c r="E136" s="14">
        <v>3118</v>
      </c>
    </row>
    <row r="137" spans="1:5" x14ac:dyDescent="0.25">
      <c r="A137" s="2">
        <v>136</v>
      </c>
      <c r="B137" s="2" t="s">
        <v>4</v>
      </c>
      <c r="C137" s="2" t="s">
        <v>140</v>
      </c>
      <c r="D137" s="1" t="s">
        <v>330</v>
      </c>
      <c r="E137" s="14">
        <v>-3468</v>
      </c>
    </row>
    <row r="138" spans="1:5" x14ac:dyDescent="0.25">
      <c r="A138" s="2">
        <v>137</v>
      </c>
      <c r="B138" s="2" t="s">
        <v>4</v>
      </c>
      <c r="C138" s="2" t="s">
        <v>141</v>
      </c>
      <c r="D138" s="1" t="s">
        <v>330</v>
      </c>
      <c r="E138" s="14">
        <v>16217</v>
      </c>
    </row>
    <row r="139" spans="1:5" x14ac:dyDescent="0.25">
      <c r="A139" s="2">
        <v>138</v>
      </c>
      <c r="B139" s="2" t="s">
        <v>4</v>
      </c>
      <c r="C139" s="2" t="s">
        <v>142</v>
      </c>
      <c r="D139" s="1" t="s">
        <v>330</v>
      </c>
      <c r="E139" s="14">
        <v>-8053</v>
      </c>
    </row>
    <row r="140" spans="1:5" x14ac:dyDescent="0.25">
      <c r="A140" s="2">
        <v>139</v>
      </c>
      <c r="B140" s="2" t="s">
        <v>4</v>
      </c>
      <c r="C140" s="2" t="s">
        <v>143</v>
      </c>
      <c r="D140" s="1" t="s">
        <v>330</v>
      </c>
      <c r="E140" s="14">
        <v>3649</v>
      </c>
    </row>
    <row r="141" spans="1:5" x14ac:dyDescent="0.25">
      <c r="A141" s="2">
        <v>140</v>
      </c>
      <c r="B141" s="2" t="s">
        <v>4</v>
      </c>
      <c r="C141" s="2" t="s">
        <v>144</v>
      </c>
      <c r="D141" s="1" t="s">
        <v>330</v>
      </c>
      <c r="E141" s="14">
        <v>-4249</v>
      </c>
    </row>
    <row r="142" spans="1:5" x14ac:dyDescent="0.25">
      <c r="A142" s="2">
        <v>141</v>
      </c>
      <c r="B142" s="2" t="s">
        <v>4</v>
      </c>
      <c r="C142" s="2" t="s">
        <v>145</v>
      </c>
      <c r="D142" s="1" t="s">
        <v>330</v>
      </c>
      <c r="E142" s="14">
        <v>-9594</v>
      </c>
    </row>
    <row r="143" spans="1:5" x14ac:dyDescent="0.25">
      <c r="A143" s="2">
        <v>142</v>
      </c>
      <c r="B143" s="2" t="s">
        <v>4</v>
      </c>
      <c r="C143" s="2" t="s">
        <v>146</v>
      </c>
      <c r="D143" s="1" t="s">
        <v>330</v>
      </c>
      <c r="E143" s="14">
        <v>-7476</v>
      </c>
    </row>
    <row r="144" spans="1:5" x14ac:dyDescent="0.25">
      <c r="A144" s="2">
        <v>143</v>
      </c>
      <c r="B144" s="2" t="s">
        <v>4</v>
      </c>
      <c r="C144" s="2" t="s">
        <v>147</v>
      </c>
      <c r="D144" s="1" t="s">
        <v>330</v>
      </c>
      <c r="E144" s="14">
        <v>-5689</v>
      </c>
    </row>
    <row r="145" spans="1:5" x14ac:dyDescent="0.25">
      <c r="A145" s="2">
        <v>144</v>
      </c>
      <c r="B145" s="2" t="s">
        <v>4</v>
      </c>
      <c r="C145" s="2" t="s">
        <v>148</v>
      </c>
      <c r="D145" s="1" t="s">
        <v>330</v>
      </c>
      <c r="E145" s="14">
        <v>-2818</v>
      </c>
    </row>
    <row r="146" spans="1:5" x14ac:dyDescent="0.25">
      <c r="A146" s="2">
        <v>145</v>
      </c>
      <c r="B146" s="2" t="s">
        <v>4</v>
      </c>
      <c r="C146" s="2" t="s">
        <v>149</v>
      </c>
      <c r="D146" s="1" t="s">
        <v>330</v>
      </c>
      <c r="E146" s="14">
        <v>-5787</v>
      </c>
    </row>
    <row r="147" spans="1:5" x14ac:dyDescent="0.25">
      <c r="A147" s="2">
        <v>146</v>
      </c>
      <c r="B147" s="2" t="s">
        <v>4</v>
      </c>
      <c r="C147" s="2" t="s">
        <v>150</v>
      </c>
      <c r="D147" s="1" t="s">
        <v>330</v>
      </c>
      <c r="E147" s="14">
        <v>-5060</v>
      </c>
    </row>
    <row r="148" spans="1:5" x14ac:dyDescent="0.25">
      <c r="A148" s="2">
        <v>147</v>
      </c>
      <c r="B148" s="2" t="s">
        <v>4</v>
      </c>
      <c r="C148" s="2" t="s">
        <v>151</v>
      </c>
      <c r="D148" s="1" t="s">
        <v>330</v>
      </c>
      <c r="E148" s="14">
        <v>2833</v>
      </c>
    </row>
    <row r="149" spans="1:5" x14ac:dyDescent="0.25">
      <c r="A149" s="2">
        <v>148</v>
      </c>
      <c r="B149" s="2" t="s">
        <v>4</v>
      </c>
      <c r="C149" s="2" t="s">
        <v>152</v>
      </c>
      <c r="D149" s="1" t="s">
        <v>330</v>
      </c>
      <c r="E149" s="14">
        <v>-4704</v>
      </c>
    </row>
    <row r="150" spans="1:5" x14ac:dyDescent="0.25">
      <c r="A150" s="2">
        <v>149</v>
      </c>
      <c r="B150" s="2" t="s">
        <v>4</v>
      </c>
      <c r="C150" s="2" t="s">
        <v>153</v>
      </c>
      <c r="D150" s="1" t="s">
        <v>330</v>
      </c>
      <c r="E150" s="14">
        <v>-380</v>
      </c>
    </row>
    <row r="151" spans="1:5" x14ac:dyDescent="0.25">
      <c r="A151" s="2">
        <v>150</v>
      </c>
      <c r="B151" s="2" t="s">
        <v>4</v>
      </c>
      <c r="C151" s="2" t="s">
        <v>154</v>
      </c>
      <c r="D151" s="1" t="s">
        <v>330</v>
      </c>
      <c r="E151" s="14">
        <v>-32247</v>
      </c>
    </row>
    <row r="152" spans="1:5" x14ac:dyDescent="0.25">
      <c r="A152" s="2">
        <v>151</v>
      </c>
      <c r="B152" s="2" t="s">
        <v>4</v>
      </c>
      <c r="C152" s="2" t="s">
        <v>155</v>
      </c>
      <c r="D152" s="1" t="s">
        <v>330</v>
      </c>
      <c r="E152" s="14">
        <v>210532</v>
      </c>
    </row>
    <row r="153" spans="1:5" x14ac:dyDescent="0.25">
      <c r="A153" s="2">
        <v>152</v>
      </c>
      <c r="B153" s="2" t="s">
        <v>4</v>
      </c>
      <c r="C153" s="2" t="s">
        <v>156</v>
      </c>
      <c r="D153" s="1" t="s">
        <v>330</v>
      </c>
      <c r="E153" s="14">
        <v>-8023</v>
      </c>
    </row>
    <row r="154" spans="1:5" x14ac:dyDescent="0.25">
      <c r="A154" s="2">
        <v>153</v>
      </c>
      <c r="B154" s="2" t="s">
        <v>4</v>
      </c>
      <c r="C154" s="2" t="s">
        <v>157</v>
      </c>
      <c r="D154" s="1" t="s">
        <v>330</v>
      </c>
      <c r="E154" s="14">
        <v>-517</v>
      </c>
    </row>
    <row r="155" spans="1:5" x14ac:dyDescent="0.25">
      <c r="A155" s="2">
        <v>154</v>
      </c>
      <c r="B155" s="2" t="s">
        <v>4</v>
      </c>
      <c r="C155" s="2" t="s">
        <v>158</v>
      </c>
      <c r="D155" s="1" t="s">
        <v>330</v>
      </c>
      <c r="E155" s="14">
        <v>-5349</v>
      </c>
    </row>
    <row r="156" spans="1:5" x14ac:dyDescent="0.25">
      <c r="A156" s="2">
        <v>155</v>
      </c>
      <c r="B156" s="2" t="s">
        <v>4</v>
      </c>
      <c r="C156" s="2" t="s">
        <v>159</v>
      </c>
      <c r="D156" s="1" t="s">
        <v>330</v>
      </c>
      <c r="E156" s="14">
        <v>-3927</v>
      </c>
    </row>
    <row r="157" spans="1:5" x14ac:dyDescent="0.25">
      <c r="A157" s="2">
        <v>156</v>
      </c>
      <c r="B157" s="2" t="s">
        <v>4</v>
      </c>
      <c r="C157" s="2" t="s">
        <v>160</v>
      </c>
      <c r="D157" s="1" t="s">
        <v>330</v>
      </c>
      <c r="E157" s="14">
        <v>-3615</v>
      </c>
    </row>
    <row r="158" spans="1:5" x14ac:dyDescent="0.25">
      <c r="A158" s="2">
        <v>157</v>
      </c>
      <c r="B158" s="2" t="s">
        <v>4</v>
      </c>
      <c r="C158" s="2" t="s">
        <v>161</v>
      </c>
      <c r="D158" s="1" t="s">
        <v>330</v>
      </c>
      <c r="E158" s="14">
        <v>-2882</v>
      </c>
    </row>
    <row r="159" spans="1:5" x14ac:dyDescent="0.25">
      <c r="A159" s="2">
        <v>158</v>
      </c>
      <c r="B159" s="2" t="s">
        <v>4</v>
      </c>
      <c r="C159" s="2" t="s">
        <v>162</v>
      </c>
      <c r="D159" s="1" t="s">
        <v>330</v>
      </c>
      <c r="E159" s="14">
        <v>-659</v>
      </c>
    </row>
    <row r="160" spans="1:5" x14ac:dyDescent="0.25">
      <c r="A160" s="2">
        <v>159</v>
      </c>
      <c r="B160" s="2" t="s">
        <v>4</v>
      </c>
      <c r="C160" s="2" t="s">
        <v>163</v>
      </c>
      <c r="D160" s="1" t="s">
        <v>330</v>
      </c>
      <c r="E160" s="14">
        <v>8180</v>
      </c>
    </row>
    <row r="161" spans="1:6" x14ac:dyDescent="0.25">
      <c r="A161" s="2">
        <v>160</v>
      </c>
      <c r="B161" s="2" t="s">
        <v>4</v>
      </c>
      <c r="C161" s="2" t="s">
        <v>164</v>
      </c>
      <c r="D161" s="1" t="s">
        <v>330</v>
      </c>
      <c r="E161" s="14">
        <v>-1672</v>
      </c>
    </row>
    <row r="162" spans="1:6" x14ac:dyDescent="0.25">
      <c r="A162" s="2">
        <v>161</v>
      </c>
      <c r="B162" s="2" t="s">
        <v>4</v>
      </c>
      <c r="C162" s="2" t="s">
        <v>165</v>
      </c>
      <c r="D162" s="1" t="s">
        <v>330</v>
      </c>
      <c r="E162" s="14">
        <v>-2085</v>
      </c>
    </row>
    <row r="163" spans="1:6" x14ac:dyDescent="0.25">
      <c r="A163" s="2">
        <v>162</v>
      </c>
      <c r="B163" s="2" t="s">
        <v>4</v>
      </c>
      <c r="C163" s="2" t="s">
        <v>166</v>
      </c>
      <c r="D163" s="1" t="s">
        <v>330</v>
      </c>
      <c r="E163" s="14">
        <v>-285</v>
      </c>
    </row>
    <row r="164" spans="1:6" x14ac:dyDescent="0.25">
      <c r="A164" s="2">
        <v>163</v>
      </c>
      <c r="B164" s="2" t="s">
        <v>4</v>
      </c>
      <c r="C164" s="2" t="s">
        <v>167</v>
      </c>
      <c r="D164" s="1" t="s">
        <v>330</v>
      </c>
      <c r="E164" s="14">
        <v>-1445</v>
      </c>
    </row>
    <row r="165" spans="1:6" x14ac:dyDescent="0.25">
      <c r="A165" s="2">
        <v>164</v>
      </c>
      <c r="B165" s="2" t="s">
        <v>4</v>
      </c>
      <c r="C165" s="2" t="s">
        <v>168</v>
      </c>
      <c r="D165" s="1" t="s">
        <v>330</v>
      </c>
      <c r="E165" s="14">
        <v>-2950</v>
      </c>
    </row>
    <row r="166" spans="1:6" x14ac:dyDescent="0.25">
      <c r="A166" s="2">
        <v>165</v>
      </c>
      <c r="B166" s="2" t="s">
        <v>4</v>
      </c>
      <c r="C166" s="2" t="s">
        <v>169</v>
      </c>
      <c r="D166" s="1" t="s">
        <v>330</v>
      </c>
      <c r="E166" s="14">
        <v>-314</v>
      </c>
    </row>
    <row r="167" spans="1:6" x14ac:dyDescent="0.25">
      <c r="A167" s="2">
        <v>166</v>
      </c>
      <c r="B167" s="2" t="s">
        <v>4</v>
      </c>
      <c r="C167" s="2" t="s">
        <v>170</v>
      </c>
      <c r="D167" s="1" t="s">
        <v>330</v>
      </c>
      <c r="E167" s="14">
        <v>24805</v>
      </c>
    </row>
    <row r="168" spans="1:6" x14ac:dyDescent="0.25">
      <c r="A168" s="2">
        <v>167</v>
      </c>
      <c r="B168" s="2" t="s">
        <v>4</v>
      </c>
      <c r="C168" s="2" t="s">
        <v>171</v>
      </c>
      <c r="D168" s="1" t="s">
        <v>330</v>
      </c>
      <c r="E168" s="14">
        <v>-126</v>
      </c>
    </row>
    <row r="169" spans="1:6" x14ac:dyDescent="0.25">
      <c r="A169" s="2">
        <v>168</v>
      </c>
      <c r="B169" s="2" t="s">
        <v>4</v>
      </c>
      <c r="C169" s="2" t="s">
        <v>172</v>
      </c>
      <c r="D169" s="1" t="s">
        <v>330</v>
      </c>
      <c r="E169" s="14">
        <v>-8348</v>
      </c>
    </row>
    <row r="170" spans="1:6" x14ac:dyDescent="0.25">
      <c r="A170" s="2">
        <v>169</v>
      </c>
      <c r="B170" s="2" t="s">
        <v>4</v>
      </c>
      <c r="C170" s="2" t="s">
        <v>173</v>
      </c>
      <c r="D170" s="1" t="s">
        <v>330</v>
      </c>
      <c r="E170" s="14">
        <v>-830</v>
      </c>
    </row>
    <row r="171" spans="1:6" x14ac:dyDescent="0.25">
      <c r="A171" s="2">
        <v>170</v>
      </c>
      <c r="B171" s="2" t="s">
        <v>4</v>
      </c>
      <c r="C171" s="2" t="s">
        <v>174</v>
      </c>
      <c r="D171" s="1" t="s">
        <v>330</v>
      </c>
      <c r="E171" s="14">
        <v>-2085</v>
      </c>
    </row>
    <row r="172" spans="1:6" x14ac:dyDescent="0.25">
      <c r="A172" s="2">
        <v>171</v>
      </c>
      <c r="B172" s="2" t="s">
        <v>4</v>
      </c>
      <c r="C172" s="2" t="s">
        <v>175</v>
      </c>
      <c r="D172" s="1" t="s">
        <v>330</v>
      </c>
      <c r="E172" s="14">
        <v>-198</v>
      </c>
    </row>
    <row r="173" spans="1:6" x14ac:dyDescent="0.25">
      <c r="A173" s="2">
        <v>172</v>
      </c>
      <c r="B173" s="2" t="s">
        <v>4</v>
      </c>
      <c r="C173" s="2" t="s">
        <v>176</v>
      </c>
      <c r="D173" s="1" t="s">
        <v>330</v>
      </c>
      <c r="E173" s="14">
        <v>76650</v>
      </c>
    </row>
    <row r="174" spans="1:6" x14ac:dyDescent="0.25">
      <c r="A174" s="2">
        <v>173</v>
      </c>
      <c r="B174" s="2" t="s">
        <v>4</v>
      </c>
      <c r="C174" s="2" t="s">
        <v>177</v>
      </c>
      <c r="D174" s="1" t="s">
        <v>330</v>
      </c>
      <c r="E174" s="14">
        <v>387</v>
      </c>
    </row>
    <row r="175" spans="1:6" x14ac:dyDescent="0.25">
      <c r="A175" s="2">
        <v>174</v>
      </c>
      <c r="B175" s="2" t="s">
        <v>4</v>
      </c>
      <c r="C175" s="2" t="s">
        <v>178</v>
      </c>
      <c r="D175" s="1" t="s">
        <v>330</v>
      </c>
      <c r="E175" s="14">
        <v>-242</v>
      </c>
    </row>
    <row r="176" spans="1:6" x14ac:dyDescent="0.25">
      <c r="A176" s="2">
        <v>175</v>
      </c>
      <c r="B176" s="2" t="s">
        <v>4</v>
      </c>
      <c r="C176" s="2" t="s">
        <v>179</v>
      </c>
      <c r="D176" s="1" t="s">
        <v>330</v>
      </c>
      <c r="E176" s="14">
        <v>-406</v>
      </c>
      <c r="F176">
        <v>3651317</v>
      </c>
    </row>
    <row r="177" spans="1:5" x14ac:dyDescent="0.25">
      <c r="A177" s="1">
        <v>1</v>
      </c>
      <c r="B177" s="2" t="s">
        <v>180</v>
      </c>
      <c r="C177" s="5" t="s">
        <v>181</v>
      </c>
      <c r="D177" s="1" t="s">
        <v>330</v>
      </c>
      <c r="E177" s="14">
        <v>-110356</v>
      </c>
    </row>
    <row r="178" spans="1:5" x14ac:dyDescent="0.25">
      <c r="A178" s="1">
        <v>2</v>
      </c>
      <c r="B178" s="2" t="s">
        <v>180</v>
      </c>
      <c r="C178" s="5" t="s">
        <v>182</v>
      </c>
      <c r="D178" s="1" t="s">
        <v>330</v>
      </c>
      <c r="E178" s="14">
        <v>741377</v>
      </c>
    </row>
    <row r="179" spans="1:5" x14ac:dyDescent="0.25">
      <c r="A179" s="1">
        <v>3</v>
      </c>
      <c r="B179" s="2" t="s">
        <v>180</v>
      </c>
      <c r="C179" s="5" t="s">
        <v>183</v>
      </c>
      <c r="D179" s="1" t="s">
        <v>330</v>
      </c>
      <c r="E179" s="14">
        <v>-59774</v>
      </c>
    </row>
    <row r="180" spans="1:5" x14ac:dyDescent="0.25">
      <c r="A180" s="1">
        <v>4</v>
      </c>
      <c r="B180" s="2" t="s">
        <v>180</v>
      </c>
      <c r="C180" s="5" t="s">
        <v>184</v>
      </c>
      <c r="D180" s="1" t="s">
        <v>330</v>
      </c>
      <c r="E180" s="14">
        <v>-78622</v>
      </c>
    </row>
    <row r="181" spans="1:5" x14ac:dyDescent="0.25">
      <c r="A181" s="1">
        <v>5</v>
      </c>
      <c r="B181" s="2" t="s">
        <v>180</v>
      </c>
      <c r="C181" s="5" t="s">
        <v>185</v>
      </c>
      <c r="D181" s="1" t="s">
        <v>330</v>
      </c>
      <c r="E181" s="14">
        <v>-11896</v>
      </c>
    </row>
    <row r="182" spans="1:5" x14ac:dyDescent="0.25">
      <c r="A182" s="1">
        <v>6</v>
      </c>
      <c r="B182" s="2" t="s">
        <v>180</v>
      </c>
      <c r="C182" s="5" t="s">
        <v>186</v>
      </c>
      <c r="D182" s="1" t="s">
        <v>330</v>
      </c>
      <c r="E182" s="14">
        <v>-70546</v>
      </c>
    </row>
    <row r="183" spans="1:5" x14ac:dyDescent="0.25">
      <c r="A183" s="1">
        <v>7</v>
      </c>
      <c r="B183" s="2" t="s">
        <v>180</v>
      </c>
      <c r="C183" s="5" t="s">
        <v>187</v>
      </c>
      <c r="D183" s="1" t="s">
        <v>330</v>
      </c>
      <c r="E183" s="14">
        <v>-58922</v>
      </c>
    </row>
    <row r="184" spans="1:5" x14ac:dyDescent="0.25">
      <c r="A184" s="1">
        <v>8</v>
      </c>
      <c r="B184" s="2" t="s">
        <v>180</v>
      </c>
      <c r="C184" s="5" t="s">
        <v>188</v>
      </c>
      <c r="D184" s="1" t="s">
        <v>330</v>
      </c>
      <c r="E184" s="14">
        <v>-43279</v>
      </c>
    </row>
    <row r="185" spans="1:5" x14ac:dyDescent="0.25">
      <c r="A185" s="1">
        <v>9</v>
      </c>
      <c r="B185" s="2" t="s">
        <v>180</v>
      </c>
      <c r="C185" s="5" t="s">
        <v>189</v>
      </c>
      <c r="D185" s="1" t="s">
        <v>330</v>
      </c>
      <c r="E185" s="14">
        <v>30966</v>
      </c>
    </row>
    <row r="186" spans="1:5" x14ac:dyDescent="0.25">
      <c r="A186" s="1">
        <v>10</v>
      </c>
      <c r="B186" s="2" t="s">
        <v>180</v>
      </c>
      <c r="C186" s="5" t="s">
        <v>190</v>
      </c>
      <c r="D186" s="1" t="s">
        <v>330</v>
      </c>
      <c r="E186" s="14">
        <v>591289</v>
      </c>
    </row>
    <row r="187" spans="1:5" x14ac:dyDescent="0.25">
      <c r="A187" s="1">
        <v>11</v>
      </c>
      <c r="B187" s="2" t="s">
        <v>180</v>
      </c>
      <c r="C187" s="5" t="s">
        <v>191</v>
      </c>
      <c r="D187" s="1" t="s">
        <v>330</v>
      </c>
      <c r="E187" s="14">
        <v>26977</v>
      </c>
    </row>
    <row r="188" spans="1:5" x14ac:dyDescent="0.25">
      <c r="A188" s="1">
        <v>12</v>
      </c>
      <c r="B188" s="2" t="s">
        <v>180</v>
      </c>
      <c r="C188" s="5" t="s">
        <v>192</v>
      </c>
      <c r="D188" s="1" t="s">
        <v>330</v>
      </c>
      <c r="E188" s="14">
        <v>-55254</v>
      </c>
    </row>
    <row r="189" spans="1:5" x14ac:dyDescent="0.25">
      <c r="A189" s="1">
        <v>13</v>
      </c>
      <c r="B189" s="2" t="s">
        <v>180</v>
      </c>
      <c r="C189" s="5" t="s">
        <v>193</v>
      </c>
      <c r="D189" s="1" t="s">
        <v>330</v>
      </c>
      <c r="E189" s="14">
        <v>46389</v>
      </c>
    </row>
    <row r="190" spans="1:5" x14ac:dyDescent="0.25">
      <c r="A190" s="1">
        <v>14</v>
      </c>
      <c r="B190" s="2" t="s">
        <v>180</v>
      </c>
      <c r="C190" s="5" t="s">
        <v>194</v>
      </c>
      <c r="D190" s="1" t="s">
        <v>330</v>
      </c>
      <c r="E190" s="14">
        <v>-136356</v>
      </c>
    </row>
    <row r="191" spans="1:5" x14ac:dyDescent="0.25">
      <c r="A191" s="1">
        <v>15</v>
      </c>
      <c r="B191" s="2" t="s">
        <v>180</v>
      </c>
      <c r="C191" s="5" t="s">
        <v>195</v>
      </c>
      <c r="D191" s="1" t="s">
        <v>330</v>
      </c>
      <c r="E191" s="14">
        <v>256237</v>
      </c>
    </row>
    <row r="192" spans="1:5" x14ac:dyDescent="0.25">
      <c r="A192" s="1">
        <v>16</v>
      </c>
      <c r="B192" s="2" t="s">
        <v>180</v>
      </c>
      <c r="C192" s="5" t="s">
        <v>196</v>
      </c>
      <c r="D192" s="1" t="s">
        <v>330</v>
      </c>
      <c r="E192" s="14">
        <v>-17630</v>
      </c>
    </row>
    <row r="193" spans="1:5" x14ac:dyDescent="0.25">
      <c r="A193" s="1">
        <v>17</v>
      </c>
      <c r="B193" s="2" t="s">
        <v>180</v>
      </c>
      <c r="C193" s="5" t="s">
        <v>197</v>
      </c>
      <c r="D193" s="1" t="s">
        <v>330</v>
      </c>
      <c r="E193" s="14">
        <v>-22786</v>
      </c>
    </row>
    <row r="194" spans="1:5" x14ac:dyDescent="0.25">
      <c r="A194" s="1">
        <v>18</v>
      </c>
      <c r="B194" s="2" t="s">
        <v>180</v>
      </c>
      <c r="C194" s="5" t="s">
        <v>198</v>
      </c>
      <c r="D194" s="1" t="s">
        <v>330</v>
      </c>
      <c r="E194" s="14">
        <v>-46430</v>
      </c>
    </row>
    <row r="195" spans="1:5" x14ac:dyDescent="0.25">
      <c r="A195" s="1">
        <v>19</v>
      </c>
      <c r="B195" s="2" t="s">
        <v>180</v>
      </c>
      <c r="C195" s="5" t="s">
        <v>199</v>
      </c>
      <c r="D195" s="1" t="s">
        <v>330</v>
      </c>
      <c r="E195" s="14">
        <v>538688</v>
      </c>
    </row>
    <row r="196" spans="1:5" x14ac:dyDescent="0.25">
      <c r="A196" s="1">
        <v>20</v>
      </c>
      <c r="B196" s="2" t="s">
        <v>180</v>
      </c>
      <c r="C196" s="5" t="s">
        <v>200</v>
      </c>
      <c r="D196" s="1" t="s">
        <v>330</v>
      </c>
      <c r="E196" s="14">
        <v>46912</v>
      </c>
    </row>
    <row r="197" spans="1:5" x14ac:dyDescent="0.25">
      <c r="A197" s="1">
        <v>21</v>
      </c>
      <c r="B197" s="2" t="s">
        <v>180</v>
      </c>
      <c r="C197" s="5" t="s">
        <v>201</v>
      </c>
      <c r="D197" s="1" t="s">
        <v>330</v>
      </c>
      <c r="E197" s="14">
        <v>-71815</v>
      </c>
    </row>
    <row r="198" spans="1:5" x14ac:dyDescent="0.25">
      <c r="A198" s="1">
        <v>22</v>
      </c>
      <c r="B198" s="2" t="s">
        <v>180</v>
      </c>
      <c r="C198" s="5" t="s">
        <v>202</v>
      </c>
      <c r="D198" s="1" t="s">
        <v>330</v>
      </c>
      <c r="E198" s="14">
        <v>-82977</v>
      </c>
    </row>
    <row r="199" spans="1:5" x14ac:dyDescent="0.25">
      <c r="A199" s="1">
        <v>23</v>
      </c>
      <c r="B199" s="2" t="s">
        <v>180</v>
      </c>
      <c r="C199" s="5" t="s">
        <v>203</v>
      </c>
      <c r="D199" s="1" t="s">
        <v>330</v>
      </c>
      <c r="E199" s="14">
        <v>-48407</v>
      </c>
    </row>
    <row r="200" spans="1:5" x14ac:dyDescent="0.25">
      <c r="A200" s="1">
        <v>24</v>
      </c>
      <c r="B200" s="2" t="s">
        <v>180</v>
      </c>
      <c r="C200" s="5" t="s">
        <v>204</v>
      </c>
      <c r="D200" s="1" t="s">
        <v>330</v>
      </c>
      <c r="E200" s="14">
        <v>12073</v>
      </c>
    </row>
    <row r="201" spans="1:5" x14ac:dyDescent="0.25">
      <c r="A201" s="1">
        <v>25</v>
      </c>
      <c r="B201" s="2" t="s">
        <v>180</v>
      </c>
      <c r="C201" s="5" t="s">
        <v>205</v>
      </c>
      <c r="D201" s="1" t="s">
        <v>330</v>
      </c>
      <c r="E201" s="14">
        <v>24231</v>
      </c>
    </row>
    <row r="202" spans="1:5" x14ac:dyDescent="0.25">
      <c r="A202" s="1">
        <v>26</v>
      </c>
      <c r="B202" s="2" t="s">
        <v>180</v>
      </c>
      <c r="C202" s="5" t="s">
        <v>206</v>
      </c>
      <c r="D202" s="1" t="s">
        <v>330</v>
      </c>
      <c r="E202" s="14">
        <v>-14971</v>
      </c>
    </row>
    <row r="203" spans="1:5" x14ac:dyDescent="0.25">
      <c r="A203" s="1">
        <v>27</v>
      </c>
      <c r="B203" s="2" t="s">
        <v>180</v>
      </c>
      <c r="C203" s="5" t="s">
        <v>207</v>
      </c>
      <c r="D203" s="1" t="s">
        <v>330</v>
      </c>
      <c r="E203" s="14">
        <v>-46812</v>
      </c>
    </row>
    <row r="204" spans="1:5" x14ac:dyDescent="0.25">
      <c r="A204" s="1">
        <v>28</v>
      </c>
      <c r="B204" s="2" t="s">
        <v>180</v>
      </c>
      <c r="C204" s="5" t="s">
        <v>208</v>
      </c>
      <c r="D204" s="1" t="s">
        <v>330</v>
      </c>
      <c r="E204" s="14">
        <v>-131627</v>
      </c>
    </row>
    <row r="205" spans="1:5" x14ac:dyDescent="0.25">
      <c r="A205" s="1">
        <v>29</v>
      </c>
      <c r="B205" s="2" t="s">
        <v>180</v>
      </c>
      <c r="C205" s="5" t="s">
        <v>209</v>
      </c>
      <c r="D205" s="1" t="s">
        <v>330</v>
      </c>
      <c r="E205" s="14">
        <v>-41451</v>
      </c>
    </row>
    <row r="206" spans="1:5" x14ac:dyDescent="0.25">
      <c r="A206" s="1">
        <v>30</v>
      </c>
      <c r="B206" s="2" t="s">
        <v>180</v>
      </c>
      <c r="C206" s="5" t="s">
        <v>210</v>
      </c>
      <c r="D206" s="1" t="s">
        <v>330</v>
      </c>
      <c r="E206" s="14">
        <v>279114</v>
      </c>
    </row>
    <row r="207" spans="1:5" x14ac:dyDescent="0.25">
      <c r="A207" s="1">
        <v>31</v>
      </c>
      <c r="B207" s="2" t="s">
        <v>180</v>
      </c>
      <c r="C207" s="5" t="s">
        <v>211</v>
      </c>
      <c r="D207" s="1" t="s">
        <v>330</v>
      </c>
      <c r="E207" s="14">
        <v>13776</v>
      </c>
    </row>
    <row r="208" spans="1:5" x14ac:dyDescent="0.25">
      <c r="A208" s="1">
        <v>32</v>
      </c>
      <c r="B208" s="2" t="s">
        <v>180</v>
      </c>
      <c r="C208" s="5" t="s">
        <v>212</v>
      </c>
      <c r="D208" s="1" t="s">
        <v>330</v>
      </c>
      <c r="E208" s="14">
        <v>-28081</v>
      </c>
    </row>
    <row r="209" spans="1:5" x14ac:dyDescent="0.25">
      <c r="A209" s="1">
        <v>33</v>
      </c>
      <c r="B209" s="2" t="s">
        <v>180</v>
      </c>
      <c r="C209" s="5" t="s">
        <v>213</v>
      </c>
      <c r="D209" s="1" t="s">
        <v>330</v>
      </c>
      <c r="E209" s="14">
        <v>-40665</v>
      </c>
    </row>
    <row r="210" spans="1:5" x14ac:dyDescent="0.25">
      <c r="A210" s="1">
        <v>34</v>
      </c>
      <c r="B210" s="2" t="s">
        <v>180</v>
      </c>
      <c r="C210" s="5" t="s">
        <v>214</v>
      </c>
      <c r="D210" s="1" t="s">
        <v>330</v>
      </c>
      <c r="E210" s="14">
        <v>-4644</v>
      </c>
    </row>
    <row r="211" spans="1:5" x14ac:dyDescent="0.25">
      <c r="A211" s="1">
        <v>35</v>
      </c>
      <c r="B211" s="2" t="s">
        <v>180</v>
      </c>
      <c r="C211" s="5" t="s">
        <v>215</v>
      </c>
      <c r="D211" s="1" t="s">
        <v>330</v>
      </c>
      <c r="E211" s="14">
        <v>-22774</v>
      </c>
    </row>
    <row r="212" spans="1:5" x14ac:dyDescent="0.25">
      <c r="A212" s="1">
        <v>36</v>
      </c>
      <c r="B212" s="2" t="s">
        <v>180</v>
      </c>
      <c r="C212" s="5" t="s">
        <v>216</v>
      </c>
      <c r="D212" s="1" t="s">
        <v>330</v>
      </c>
      <c r="E212" s="14">
        <v>-30882</v>
      </c>
    </row>
    <row r="213" spans="1:5" x14ac:dyDescent="0.25">
      <c r="A213" s="1">
        <v>37</v>
      </c>
      <c r="B213" s="2" t="s">
        <v>180</v>
      </c>
      <c r="C213" s="5" t="s">
        <v>217</v>
      </c>
      <c r="D213" s="1" t="s">
        <v>330</v>
      </c>
      <c r="E213" s="14">
        <v>-17981</v>
      </c>
    </row>
    <row r="214" spans="1:5" x14ac:dyDescent="0.25">
      <c r="A214" s="1">
        <v>38</v>
      </c>
      <c r="B214" s="2" t="s">
        <v>180</v>
      </c>
      <c r="C214" s="5" t="s">
        <v>218</v>
      </c>
      <c r="D214" s="1" t="s">
        <v>330</v>
      </c>
      <c r="E214" s="14">
        <v>-21865</v>
      </c>
    </row>
    <row r="215" spans="1:5" x14ac:dyDescent="0.25">
      <c r="A215" s="1">
        <v>39</v>
      </c>
      <c r="B215" s="2" t="s">
        <v>180</v>
      </c>
      <c r="C215" s="5" t="s">
        <v>219</v>
      </c>
      <c r="D215" s="1" t="s">
        <v>330</v>
      </c>
      <c r="E215" s="14">
        <v>634872</v>
      </c>
    </row>
    <row r="216" spans="1:5" x14ac:dyDescent="0.25">
      <c r="A216" s="1">
        <v>40</v>
      </c>
      <c r="B216" s="2" t="s">
        <v>180</v>
      </c>
      <c r="C216" s="5" t="s">
        <v>220</v>
      </c>
      <c r="D216" s="1" t="s">
        <v>330</v>
      </c>
      <c r="E216" s="14">
        <v>-41742</v>
      </c>
    </row>
    <row r="217" spans="1:5" x14ac:dyDescent="0.25">
      <c r="A217" s="1">
        <v>41</v>
      </c>
      <c r="B217" s="2" t="s">
        <v>180</v>
      </c>
      <c r="C217" s="5" t="s">
        <v>221</v>
      </c>
      <c r="D217" s="1" t="s">
        <v>330</v>
      </c>
      <c r="E217" s="14">
        <v>77</v>
      </c>
    </row>
    <row r="218" spans="1:5" x14ac:dyDescent="0.25">
      <c r="A218" s="1">
        <v>42</v>
      </c>
      <c r="B218" s="2" t="s">
        <v>180</v>
      </c>
      <c r="C218" s="5" t="s">
        <v>222</v>
      </c>
      <c r="D218" s="1" t="s">
        <v>330</v>
      </c>
      <c r="E218" s="14">
        <v>-12156</v>
      </c>
    </row>
    <row r="219" spans="1:5" x14ac:dyDescent="0.25">
      <c r="A219" s="1">
        <v>43</v>
      </c>
      <c r="B219" s="2" t="s">
        <v>180</v>
      </c>
      <c r="C219" s="5" t="s">
        <v>223</v>
      </c>
      <c r="D219" s="1" t="s">
        <v>330</v>
      </c>
      <c r="E219" s="14">
        <v>-55290</v>
      </c>
    </row>
    <row r="220" spans="1:5" x14ac:dyDescent="0.25">
      <c r="A220" s="1">
        <v>44</v>
      </c>
      <c r="B220" s="2" t="s">
        <v>180</v>
      </c>
      <c r="C220" s="5" t="s">
        <v>224</v>
      </c>
      <c r="D220" s="1" t="s">
        <v>330</v>
      </c>
      <c r="E220" s="14">
        <v>-48697</v>
      </c>
    </row>
    <row r="221" spans="1:5" x14ac:dyDescent="0.25">
      <c r="A221" s="1">
        <v>45</v>
      </c>
      <c r="B221" s="2" t="s">
        <v>180</v>
      </c>
      <c r="C221" s="5" t="s">
        <v>225</v>
      </c>
      <c r="D221" s="1" t="s">
        <v>330</v>
      </c>
      <c r="E221" s="14">
        <v>-92057</v>
      </c>
    </row>
    <row r="222" spans="1:5" x14ac:dyDescent="0.25">
      <c r="A222" s="1">
        <v>46</v>
      </c>
      <c r="B222" s="2" t="s">
        <v>180</v>
      </c>
      <c r="C222" s="5" t="s">
        <v>226</v>
      </c>
      <c r="D222" s="1" t="s">
        <v>330</v>
      </c>
      <c r="E222" s="14">
        <v>-248570</v>
      </c>
    </row>
    <row r="223" spans="1:5" x14ac:dyDescent="0.25">
      <c r="A223" s="1">
        <v>47</v>
      </c>
      <c r="B223" s="2" t="s">
        <v>180</v>
      </c>
      <c r="C223" s="5" t="s">
        <v>227</v>
      </c>
      <c r="D223" s="1" t="s">
        <v>330</v>
      </c>
      <c r="E223" s="14">
        <v>-46475</v>
      </c>
    </row>
    <row r="224" spans="1:5" x14ac:dyDescent="0.25">
      <c r="A224" s="1">
        <v>48</v>
      </c>
      <c r="B224" s="2" t="s">
        <v>180</v>
      </c>
      <c r="C224" s="5" t="s">
        <v>228</v>
      </c>
      <c r="D224" s="1" t="s">
        <v>330</v>
      </c>
      <c r="E224" s="14">
        <v>477949</v>
      </c>
    </row>
    <row r="225" spans="1:5" x14ac:dyDescent="0.25">
      <c r="A225" s="1">
        <v>49</v>
      </c>
      <c r="B225" s="2" t="s">
        <v>180</v>
      </c>
      <c r="C225" s="5" t="s">
        <v>229</v>
      </c>
      <c r="D225" s="1" t="s">
        <v>330</v>
      </c>
      <c r="E225" s="14">
        <v>161359</v>
      </c>
    </row>
    <row r="226" spans="1:5" x14ac:dyDescent="0.25">
      <c r="A226" s="1">
        <v>50</v>
      </c>
      <c r="B226" s="2" t="s">
        <v>180</v>
      </c>
      <c r="C226" s="5" t="s">
        <v>230</v>
      </c>
      <c r="D226" s="1" t="s">
        <v>330</v>
      </c>
      <c r="E226" s="14">
        <v>-11293</v>
      </c>
    </row>
    <row r="227" spans="1:5" x14ac:dyDescent="0.25">
      <c r="A227" s="1">
        <v>51</v>
      </c>
      <c r="B227" s="2" t="s">
        <v>180</v>
      </c>
      <c r="C227" s="5" t="s">
        <v>231</v>
      </c>
      <c r="D227" s="1" t="s">
        <v>330</v>
      </c>
      <c r="E227" s="14">
        <v>-10599</v>
      </c>
    </row>
    <row r="228" spans="1:5" x14ac:dyDescent="0.25">
      <c r="A228" s="1">
        <v>52</v>
      </c>
      <c r="B228" s="2" t="s">
        <v>180</v>
      </c>
      <c r="C228" s="5" t="s">
        <v>232</v>
      </c>
      <c r="D228" s="1" t="s">
        <v>330</v>
      </c>
      <c r="E228" s="14">
        <v>-25017</v>
      </c>
    </row>
    <row r="229" spans="1:5" x14ac:dyDescent="0.25">
      <c r="A229" s="1">
        <v>53</v>
      </c>
      <c r="B229" s="2" t="s">
        <v>180</v>
      </c>
      <c r="C229" s="5" t="s">
        <v>233</v>
      </c>
      <c r="D229" s="1" t="s">
        <v>330</v>
      </c>
      <c r="E229" s="14">
        <v>23743</v>
      </c>
    </row>
    <row r="230" spans="1:5" x14ac:dyDescent="0.25">
      <c r="A230" s="1">
        <v>54</v>
      </c>
      <c r="B230" s="2" t="s">
        <v>180</v>
      </c>
      <c r="C230" s="5" t="s">
        <v>234</v>
      </c>
      <c r="D230" s="1" t="s">
        <v>330</v>
      </c>
      <c r="E230" s="14">
        <v>-7040</v>
      </c>
    </row>
    <row r="231" spans="1:5" x14ac:dyDescent="0.25">
      <c r="A231" s="1">
        <v>55</v>
      </c>
      <c r="B231" s="2" t="s">
        <v>180</v>
      </c>
      <c r="C231" s="5" t="s">
        <v>235</v>
      </c>
      <c r="D231" s="1" t="s">
        <v>330</v>
      </c>
      <c r="E231" s="14">
        <v>-35359</v>
      </c>
    </row>
    <row r="232" spans="1:5" x14ac:dyDescent="0.25">
      <c r="A232" s="1">
        <v>56</v>
      </c>
      <c r="B232" s="2" t="s">
        <v>180</v>
      </c>
      <c r="C232" s="5" t="s">
        <v>236</v>
      </c>
      <c r="D232" s="1" t="s">
        <v>330</v>
      </c>
      <c r="E232" s="14">
        <v>-16913</v>
      </c>
    </row>
    <row r="233" spans="1:5" x14ac:dyDescent="0.25">
      <c r="A233" s="1">
        <v>57</v>
      </c>
      <c r="B233" s="2" t="s">
        <v>180</v>
      </c>
      <c r="C233" s="5" t="s">
        <v>237</v>
      </c>
      <c r="D233" s="1" t="s">
        <v>330</v>
      </c>
      <c r="E233" s="14">
        <v>-79511</v>
      </c>
    </row>
    <row r="234" spans="1:5" x14ac:dyDescent="0.25">
      <c r="A234" s="1">
        <v>58</v>
      </c>
      <c r="B234" s="2" t="s">
        <v>180</v>
      </c>
      <c r="C234" s="5" t="s">
        <v>238</v>
      </c>
      <c r="D234" s="1" t="s">
        <v>330</v>
      </c>
      <c r="E234" s="14">
        <v>-18905</v>
      </c>
    </row>
    <row r="235" spans="1:5" x14ac:dyDescent="0.25">
      <c r="A235" s="1">
        <v>59</v>
      </c>
      <c r="B235" s="2" t="s">
        <v>180</v>
      </c>
      <c r="C235" s="5" t="s">
        <v>239</v>
      </c>
      <c r="D235" s="1" t="s">
        <v>330</v>
      </c>
      <c r="E235" s="14">
        <v>-35457</v>
      </c>
    </row>
    <row r="236" spans="1:5" x14ac:dyDescent="0.25">
      <c r="A236" s="1">
        <v>60</v>
      </c>
      <c r="B236" s="2" t="s">
        <v>180</v>
      </c>
      <c r="C236" s="5" t="s">
        <v>240</v>
      </c>
      <c r="D236" s="1" t="s">
        <v>330</v>
      </c>
      <c r="E236" s="14">
        <v>730928</v>
      </c>
    </row>
    <row r="237" spans="1:5" x14ac:dyDescent="0.25">
      <c r="A237" s="1">
        <v>61</v>
      </c>
      <c r="B237" s="2" t="s">
        <v>180</v>
      </c>
      <c r="C237" s="5" t="s">
        <v>241</v>
      </c>
      <c r="D237" s="1" t="s">
        <v>330</v>
      </c>
      <c r="E237" s="14">
        <v>-32056</v>
      </c>
    </row>
    <row r="238" spans="1:5" x14ac:dyDescent="0.25">
      <c r="A238" s="1">
        <v>62</v>
      </c>
      <c r="B238" s="2" t="s">
        <v>180</v>
      </c>
      <c r="C238" s="5" t="s">
        <v>242</v>
      </c>
      <c r="D238" s="1" t="s">
        <v>330</v>
      </c>
      <c r="E238" s="14">
        <v>-30221</v>
      </c>
    </row>
    <row r="239" spans="1:5" x14ac:dyDescent="0.25">
      <c r="A239" s="1">
        <v>63</v>
      </c>
      <c r="B239" s="2" t="s">
        <v>180</v>
      </c>
      <c r="C239" s="5" t="s">
        <v>243</v>
      </c>
      <c r="D239" s="1" t="s">
        <v>330</v>
      </c>
      <c r="E239" s="14">
        <v>-23509</v>
      </c>
    </row>
    <row r="240" spans="1:5" x14ac:dyDescent="0.25">
      <c r="A240" s="1">
        <v>64</v>
      </c>
      <c r="B240" s="2" t="s">
        <v>180</v>
      </c>
      <c r="C240" s="5" t="s">
        <v>244</v>
      </c>
      <c r="D240" s="1" t="s">
        <v>330</v>
      </c>
      <c r="E240" s="14">
        <v>-12044</v>
      </c>
    </row>
    <row r="241" spans="1:5" x14ac:dyDescent="0.25">
      <c r="A241" s="1">
        <v>65</v>
      </c>
      <c r="B241" s="2" t="s">
        <v>180</v>
      </c>
      <c r="C241" s="5" t="s">
        <v>245</v>
      </c>
      <c r="D241" s="1" t="s">
        <v>330</v>
      </c>
      <c r="E241" s="14">
        <v>-43245</v>
      </c>
    </row>
    <row r="242" spans="1:5" x14ac:dyDescent="0.25">
      <c r="A242" s="1">
        <v>66</v>
      </c>
      <c r="B242" s="2" t="s">
        <v>180</v>
      </c>
      <c r="C242" s="5" t="s">
        <v>246</v>
      </c>
      <c r="D242" s="1" t="s">
        <v>330</v>
      </c>
      <c r="E242" s="14">
        <v>-16922</v>
      </c>
    </row>
    <row r="243" spans="1:5" x14ac:dyDescent="0.25">
      <c r="A243" s="1">
        <v>67</v>
      </c>
      <c r="B243" s="2" t="s">
        <v>180</v>
      </c>
      <c r="C243" s="5" t="s">
        <v>247</v>
      </c>
      <c r="D243" s="1" t="s">
        <v>330</v>
      </c>
      <c r="E243" s="14">
        <v>-22337</v>
      </c>
    </row>
    <row r="244" spans="1:5" x14ac:dyDescent="0.25">
      <c r="A244" s="1">
        <v>68</v>
      </c>
      <c r="B244" s="2" t="s">
        <v>180</v>
      </c>
      <c r="C244" s="5" t="s">
        <v>248</v>
      </c>
      <c r="D244" s="1" t="s">
        <v>330</v>
      </c>
      <c r="E244" s="14">
        <v>-5641</v>
      </c>
    </row>
    <row r="245" spans="1:5" x14ac:dyDescent="0.25">
      <c r="A245" s="1">
        <v>69</v>
      </c>
      <c r="B245" s="2" t="s">
        <v>180</v>
      </c>
      <c r="C245" s="5" t="s">
        <v>249</v>
      </c>
      <c r="D245" s="1" t="s">
        <v>330</v>
      </c>
      <c r="E245" s="14">
        <v>-4344</v>
      </c>
    </row>
    <row r="246" spans="1:5" x14ac:dyDescent="0.25">
      <c r="A246" s="1">
        <v>70</v>
      </c>
      <c r="B246" s="2" t="s">
        <v>180</v>
      </c>
      <c r="C246" s="5" t="s">
        <v>250</v>
      </c>
      <c r="D246" s="1" t="s">
        <v>330</v>
      </c>
      <c r="E246" s="14">
        <v>-44156</v>
      </c>
    </row>
    <row r="247" spans="1:5" x14ac:dyDescent="0.25">
      <c r="A247" s="1">
        <v>71</v>
      </c>
      <c r="B247" s="2" t="s">
        <v>180</v>
      </c>
      <c r="C247" s="5" t="s">
        <v>251</v>
      </c>
      <c r="D247" s="1" t="s">
        <v>330</v>
      </c>
      <c r="E247" s="14">
        <v>-10591</v>
      </c>
    </row>
    <row r="248" spans="1:5" x14ac:dyDescent="0.25">
      <c r="A248" s="1">
        <v>72</v>
      </c>
      <c r="B248" s="2" t="s">
        <v>180</v>
      </c>
      <c r="C248" s="5" t="s">
        <v>252</v>
      </c>
      <c r="D248" s="1" t="s">
        <v>330</v>
      </c>
      <c r="E248" s="14">
        <v>-29168</v>
      </c>
    </row>
    <row r="249" spans="1:5" x14ac:dyDescent="0.25">
      <c r="A249" s="1">
        <v>73</v>
      </c>
      <c r="B249" s="2" t="s">
        <v>180</v>
      </c>
      <c r="C249" s="5" t="s">
        <v>253</v>
      </c>
      <c r="D249" s="1" t="s">
        <v>330</v>
      </c>
      <c r="E249" s="14">
        <v>201155</v>
      </c>
    </row>
    <row r="250" spans="1:5" x14ac:dyDescent="0.25">
      <c r="A250" s="1">
        <v>74</v>
      </c>
      <c r="B250" s="2" t="s">
        <v>180</v>
      </c>
      <c r="C250" s="5" t="s">
        <v>254</v>
      </c>
      <c r="D250" s="1" t="s">
        <v>330</v>
      </c>
      <c r="E250" s="14">
        <v>-53422</v>
      </c>
    </row>
    <row r="251" spans="1:5" x14ac:dyDescent="0.25">
      <c r="A251" s="1">
        <v>75</v>
      </c>
      <c r="B251" s="2" t="s">
        <v>180</v>
      </c>
      <c r="C251" s="5" t="s">
        <v>255</v>
      </c>
      <c r="D251" s="1" t="s">
        <v>330</v>
      </c>
      <c r="E251" s="14">
        <v>73940</v>
      </c>
    </row>
    <row r="252" spans="1:5" x14ac:dyDescent="0.25">
      <c r="A252" s="1">
        <v>76</v>
      </c>
      <c r="B252" s="2" t="s">
        <v>180</v>
      </c>
      <c r="C252" s="5" t="s">
        <v>256</v>
      </c>
      <c r="D252" s="1" t="s">
        <v>330</v>
      </c>
      <c r="E252" s="14">
        <v>-25409</v>
      </c>
    </row>
    <row r="253" spans="1:5" x14ac:dyDescent="0.25">
      <c r="A253" s="1">
        <v>77</v>
      </c>
      <c r="B253" s="2" t="s">
        <v>180</v>
      </c>
      <c r="C253" s="5" t="s">
        <v>257</v>
      </c>
      <c r="D253" s="1" t="s">
        <v>330</v>
      </c>
      <c r="E253" s="14">
        <v>-19716</v>
      </c>
    </row>
    <row r="254" spans="1:5" x14ac:dyDescent="0.25">
      <c r="A254" s="1">
        <v>78</v>
      </c>
      <c r="B254" s="2" t="s">
        <v>180</v>
      </c>
      <c r="C254" s="5" t="s">
        <v>258</v>
      </c>
      <c r="D254" s="1" t="s">
        <v>330</v>
      </c>
      <c r="E254" s="14">
        <v>63230</v>
      </c>
    </row>
    <row r="255" spans="1:5" x14ac:dyDescent="0.25">
      <c r="A255" s="1">
        <v>79</v>
      </c>
      <c r="B255" s="2" t="s">
        <v>180</v>
      </c>
      <c r="C255" s="5" t="s">
        <v>259</v>
      </c>
      <c r="D255" s="1" t="s">
        <v>330</v>
      </c>
      <c r="E255" s="14">
        <v>-14072</v>
      </c>
    </row>
    <row r="256" spans="1:5" x14ac:dyDescent="0.25">
      <c r="A256" s="1">
        <v>80</v>
      </c>
      <c r="B256" s="2" t="s">
        <v>180</v>
      </c>
      <c r="C256" s="5" t="s">
        <v>260</v>
      </c>
      <c r="D256" s="1" t="s">
        <v>330</v>
      </c>
      <c r="E256" s="14">
        <v>-10631</v>
      </c>
    </row>
    <row r="257" spans="1:5" x14ac:dyDescent="0.25">
      <c r="A257" s="1">
        <v>81</v>
      </c>
      <c r="B257" s="2" t="s">
        <v>180</v>
      </c>
      <c r="C257" s="5" t="s">
        <v>261</v>
      </c>
      <c r="D257" s="1" t="s">
        <v>330</v>
      </c>
      <c r="E257" s="14">
        <v>-6947</v>
      </c>
    </row>
    <row r="258" spans="1:5" x14ac:dyDescent="0.25">
      <c r="A258" s="1">
        <v>82</v>
      </c>
      <c r="B258" s="2" t="s">
        <v>180</v>
      </c>
      <c r="C258" s="5" t="s">
        <v>262</v>
      </c>
      <c r="D258" s="1" t="s">
        <v>330</v>
      </c>
      <c r="E258" s="14">
        <v>24487</v>
      </c>
    </row>
    <row r="259" spans="1:5" x14ac:dyDescent="0.25">
      <c r="A259" s="1">
        <v>83</v>
      </c>
      <c r="B259" s="2" t="s">
        <v>180</v>
      </c>
      <c r="C259" s="5" t="s">
        <v>263</v>
      </c>
      <c r="D259" s="1" t="s">
        <v>330</v>
      </c>
      <c r="E259" s="14">
        <v>-7061</v>
      </c>
    </row>
    <row r="260" spans="1:5" x14ac:dyDescent="0.25">
      <c r="A260" s="1">
        <v>84</v>
      </c>
      <c r="B260" s="2" t="s">
        <v>180</v>
      </c>
      <c r="C260" s="5" t="s">
        <v>264</v>
      </c>
      <c r="D260" s="1" t="s">
        <v>330</v>
      </c>
      <c r="E260" s="14">
        <v>-2332</v>
      </c>
    </row>
    <row r="261" spans="1:5" x14ac:dyDescent="0.25">
      <c r="A261" s="1">
        <v>85</v>
      </c>
      <c r="B261" s="2" t="s">
        <v>180</v>
      </c>
      <c r="C261" s="5" t="s">
        <v>265</v>
      </c>
      <c r="D261" s="1" t="s">
        <v>330</v>
      </c>
      <c r="E261" s="14">
        <v>6291</v>
      </c>
    </row>
    <row r="262" spans="1:5" x14ac:dyDescent="0.25">
      <c r="A262" s="1">
        <v>86</v>
      </c>
      <c r="B262" s="2" t="s">
        <v>180</v>
      </c>
      <c r="C262" s="5" t="s">
        <v>266</v>
      </c>
      <c r="D262" s="1" t="s">
        <v>330</v>
      </c>
      <c r="E262" s="14">
        <v>-6827</v>
      </c>
    </row>
    <row r="263" spans="1:5" x14ac:dyDescent="0.25">
      <c r="A263" s="1">
        <v>87</v>
      </c>
      <c r="B263" s="2" t="s">
        <v>180</v>
      </c>
      <c r="C263" s="5" t="s">
        <v>267</v>
      </c>
      <c r="D263" s="1" t="s">
        <v>330</v>
      </c>
      <c r="E263" s="14">
        <v>-12576</v>
      </c>
    </row>
    <row r="264" spans="1:5" x14ac:dyDescent="0.25">
      <c r="A264" s="1">
        <v>88</v>
      </c>
      <c r="B264" s="2" t="s">
        <v>180</v>
      </c>
      <c r="C264" s="5" t="s">
        <v>268</v>
      </c>
      <c r="D264" s="1" t="s">
        <v>330</v>
      </c>
      <c r="E264" s="14">
        <v>-4278</v>
      </c>
    </row>
    <row r="265" spans="1:5" x14ac:dyDescent="0.25">
      <c r="A265" s="1">
        <v>89</v>
      </c>
      <c r="B265" s="2" t="s">
        <v>180</v>
      </c>
      <c r="C265" s="5" t="s">
        <v>269</v>
      </c>
      <c r="D265" s="1" t="s">
        <v>330</v>
      </c>
      <c r="E265" s="14">
        <v>-31378</v>
      </c>
    </row>
    <row r="266" spans="1:5" x14ac:dyDescent="0.25">
      <c r="A266" s="1">
        <v>90</v>
      </c>
      <c r="B266" s="2" t="s">
        <v>180</v>
      </c>
      <c r="C266" s="5" t="s">
        <v>270</v>
      </c>
      <c r="D266" s="1" t="s">
        <v>330</v>
      </c>
      <c r="E266" s="14">
        <v>-22626</v>
      </c>
    </row>
    <row r="267" spans="1:5" x14ac:dyDescent="0.25">
      <c r="A267" s="1">
        <v>91</v>
      </c>
      <c r="B267" s="2" t="s">
        <v>180</v>
      </c>
      <c r="C267" s="5" t="s">
        <v>271</v>
      </c>
      <c r="D267" s="1" t="s">
        <v>330</v>
      </c>
      <c r="E267" s="14">
        <v>-3632</v>
      </c>
    </row>
    <row r="268" spans="1:5" x14ac:dyDescent="0.25">
      <c r="A268" s="1">
        <v>92</v>
      </c>
      <c r="B268" s="2" t="s">
        <v>180</v>
      </c>
      <c r="C268" s="5" t="s">
        <v>272</v>
      </c>
      <c r="D268" s="1" t="s">
        <v>330</v>
      </c>
      <c r="E268" s="14">
        <v>-61499</v>
      </c>
    </row>
    <row r="269" spans="1:5" x14ac:dyDescent="0.25">
      <c r="A269" s="1">
        <v>93</v>
      </c>
      <c r="B269" s="2" t="s">
        <v>180</v>
      </c>
      <c r="C269" s="5" t="s">
        <v>273</v>
      </c>
      <c r="D269" s="1" t="s">
        <v>330</v>
      </c>
      <c r="E269" s="14">
        <v>-18464</v>
      </c>
    </row>
    <row r="270" spans="1:5" x14ac:dyDescent="0.25">
      <c r="A270" s="1">
        <v>94</v>
      </c>
      <c r="B270" s="2" t="s">
        <v>180</v>
      </c>
      <c r="C270" s="5" t="s">
        <v>274</v>
      </c>
      <c r="D270" s="1" t="s">
        <v>330</v>
      </c>
      <c r="E270" s="14">
        <v>-2544</v>
      </c>
    </row>
    <row r="271" spans="1:5" x14ac:dyDescent="0.25">
      <c r="A271" s="1">
        <v>95</v>
      </c>
      <c r="B271" s="2" t="s">
        <v>180</v>
      </c>
      <c r="C271" s="5" t="s">
        <v>275</v>
      </c>
      <c r="D271" s="1" t="s">
        <v>330</v>
      </c>
      <c r="E271" s="14">
        <v>291727</v>
      </c>
    </row>
    <row r="272" spans="1:5" x14ac:dyDescent="0.25">
      <c r="A272" s="1">
        <v>96</v>
      </c>
      <c r="B272" s="2" t="s">
        <v>180</v>
      </c>
      <c r="C272" s="5" t="s">
        <v>276</v>
      </c>
      <c r="D272" s="1" t="s">
        <v>330</v>
      </c>
      <c r="E272" s="14">
        <v>-15019</v>
      </c>
    </row>
    <row r="273" spans="1:5" x14ac:dyDescent="0.25">
      <c r="A273" s="1">
        <v>97</v>
      </c>
      <c r="B273" s="2" t="s">
        <v>180</v>
      </c>
      <c r="C273" s="5" t="s">
        <v>277</v>
      </c>
      <c r="D273" s="1" t="s">
        <v>330</v>
      </c>
      <c r="E273" s="14">
        <v>-5090</v>
      </c>
    </row>
    <row r="274" spans="1:5" x14ac:dyDescent="0.25">
      <c r="A274" s="1">
        <v>98</v>
      </c>
      <c r="B274" s="2" t="s">
        <v>180</v>
      </c>
      <c r="C274" s="5" t="s">
        <v>278</v>
      </c>
      <c r="D274" s="1" t="s">
        <v>330</v>
      </c>
      <c r="E274" s="14">
        <v>-21672</v>
      </c>
    </row>
    <row r="275" spans="1:5" x14ac:dyDescent="0.25">
      <c r="A275" s="1">
        <v>99</v>
      </c>
      <c r="B275" s="2" t="s">
        <v>180</v>
      </c>
      <c r="C275" s="5" t="s">
        <v>279</v>
      </c>
      <c r="D275" s="1" t="s">
        <v>330</v>
      </c>
      <c r="E275" s="14">
        <v>-5145</v>
      </c>
    </row>
    <row r="276" spans="1:5" x14ac:dyDescent="0.25">
      <c r="A276" s="1">
        <v>100</v>
      </c>
      <c r="B276" s="2" t="s">
        <v>180</v>
      </c>
      <c r="C276" s="5" t="s">
        <v>280</v>
      </c>
      <c r="D276" s="1" t="s">
        <v>330</v>
      </c>
      <c r="E276" s="14">
        <v>-18604</v>
      </c>
    </row>
    <row r="277" spans="1:5" x14ac:dyDescent="0.25">
      <c r="A277" s="1">
        <v>101</v>
      </c>
      <c r="B277" s="2" t="s">
        <v>180</v>
      </c>
      <c r="C277" s="5" t="s">
        <v>281</v>
      </c>
      <c r="D277" s="1" t="s">
        <v>330</v>
      </c>
      <c r="E277" s="14">
        <v>-15732</v>
      </c>
    </row>
    <row r="278" spans="1:5" x14ac:dyDescent="0.25">
      <c r="A278" s="1">
        <v>102</v>
      </c>
      <c r="B278" s="2" t="s">
        <v>180</v>
      </c>
      <c r="C278" s="5" t="s">
        <v>282</v>
      </c>
      <c r="D278" s="1" t="s">
        <v>330</v>
      </c>
      <c r="E278" s="14">
        <v>-8999</v>
      </c>
    </row>
    <row r="279" spans="1:5" x14ac:dyDescent="0.25">
      <c r="A279" s="1">
        <v>103</v>
      </c>
      <c r="B279" s="2" t="s">
        <v>180</v>
      </c>
      <c r="C279" s="5" t="s">
        <v>283</v>
      </c>
      <c r="D279" s="1" t="s">
        <v>330</v>
      </c>
      <c r="E279" s="14">
        <v>-11251</v>
      </c>
    </row>
    <row r="280" spans="1:5" x14ac:dyDescent="0.25">
      <c r="A280" s="1">
        <v>104</v>
      </c>
      <c r="B280" s="2" t="s">
        <v>180</v>
      </c>
      <c r="C280" s="5" t="s">
        <v>284</v>
      </c>
      <c r="D280" s="1" t="s">
        <v>330</v>
      </c>
      <c r="E280" s="14">
        <v>-4834</v>
      </c>
    </row>
    <row r="281" spans="1:5" x14ac:dyDescent="0.25">
      <c r="A281" s="1">
        <v>105</v>
      </c>
      <c r="B281" s="2" t="s">
        <v>180</v>
      </c>
      <c r="C281" s="5" t="s">
        <v>285</v>
      </c>
      <c r="D281" s="1" t="s">
        <v>330</v>
      </c>
      <c r="E281" s="14">
        <v>-22637</v>
      </c>
    </row>
    <row r="282" spans="1:5" x14ac:dyDescent="0.25">
      <c r="A282" s="1">
        <v>106</v>
      </c>
      <c r="B282" s="2" t="s">
        <v>180</v>
      </c>
      <c r="C282" s="5" t="s">
        <v>286</v>
      </c>
      <c r="D282" s="1" t="s">
        <v>330</v>
      </c>
      <c r="E282" s="14">
        <v>-83589</v>
      </c>
    </row>
    <row r="283" spans="1:5" x14ac:dyDescent="0.25">
      <c r="A283" s="1">
        <v>107</v>
      </c>
      <c r="B283" s="2" t="s">
        <v>180</v>
      </c>
      <c r="C283" s="5" t="s">
        <v>287</v>
      </c>
      <c r="D283" s="1" t="s">
        <v>330</v>
      </c>
      <c r="E283" s="14">
        <v>-4072</v>
      </c>
    </row>
    <row r="284" spans="1:5" x14ac:dyDescent="0.25">
      <c r="A284" s="2">
        <v>108</v>
      </c>
      <c r="B284" s="2" t="s">
        <v>180</v>
      </c>
      <c r="C284" s="2" t="s">
        <v>288</v>
      </c>
      <c r="D284" s="1" t="s">
        <v>330</v>
      </c>
      <c r="E284" s="14">
        <v>236413</v>
      </c>
    </row>
    <row r="285" spans="1:5" x14ac:dyDescent="0.25">
      <c r="A285" s="2">
        <v>109</v>
      </c>
      <c r="B285" s="2" t="s">
        <v>180</v>
      </c>
      <c r="C285" s="2" t="s">
        <v>289</v>
      </c>
      <c r="D285" s="1" t="s">
        <v>330</v>
      </c>
      <c r="E285" s="14">
        <v>-6548</v>
      </c>
    </row>
    <row r="286" spans="1:5" x14ac:dyDescent="0.25">
      <c r="A286" s="2">
        <v>110</v>
      </c>
      <c r="B286" s="2" t="s">
        <v>180</v>
      </c>
      <c r="C286" s="2" t="s">
        <v>290</v>
      </c>
      <c r="D286" s="1" t="s">
        <v>330</v>
      </c>
      <c r="E286" s="14">
        <v>-4517</v>
      </c>
    </row>
    <row r="287" spans="1:5" x14ac:dyDescent="0.25">
      <c r="A287" s="2">
        <v>111</v>
      </c>
      <c r="B287" s="2" t="s">
        <v>180</v>
      </c>
      <c r="C287" s="2" t="s">
        <v>291</v>
      </c>
      <c r="D287" s="1" t="s">
        <v>330</v>
      </c>
      <c r="E287" s="14">
        <v>-8671</v>
      </c>
    </row>
    <row r="288" spans="1:5" x14ac:dyDescent="0.25">
      <c r="A288" s="2">
        <v>112</v>
      </c>
      <c r="B288" s="2" t="s">
        <v>180</v>
      </c>
      <c r="C288" s="2" t="s">
        <v>292</v>
      </c>
      <c r="D288" s="1" t="s">
        <v>330</v>
      </c>
      <c r="E288" s="14">
        <v>-933</v>
      </c>
    </row>
    <row r="289" spans="1:5" x14ac:dyDescent="0.25">
      <c r="A289" s="2">
        <v>113</v>
      </c>
      <c r="B289" s="2" t="s">
        <v>180</v>
      </c>
      <c r="C289" s="2" t="s">
        <v>293</v>
      </c>
      <c r="D289" s="1" t="s">
        <v>330</v>
      </c>
      <c r="E289" s="14">
        <v>-9126</v>
      </c>
    </row>
    <row r="290" spans="1:5" x14ac:dyDescent="0.25">
      <c r="A290" s="2">
        <v>114</v>
      </c>
      <c r="B290" s="2" t="s">
        <v>180</v>
      </c>
      <c r="C290" s="2" t="s">
        <v>294</v>
      </c>
      <c r="D290" s="1" t="s">
        <v>330</v>
      </c>
      <c r="E290" s="14">
        <v>-6075</v>
      </c>
    </row>
    <row r="291" spans="1:5" x14ac:dyDescent="0.25">
      <c r="A291" s="2">
        <v>115</v>
      </c>
      <c r="B291" s="2" t="s">
        <v>180</v>
      </c>
      <c r="C291" s="2" t="s">
        <v>295</v>
      </c>
      <c r="D291" s="1" t="s">
        <v>330</v>
      </c>
      <c r="E291" s="14">
        <v>-2572</v>
      </c>
    </row>
    <row r="292" spans="1:5" x14ac:dyDescent="0.25">
      <c r="A292" s="2">
        <v>116</v>
      </c>
      <c r="B292" s="2" t="s">
        <v>180</v>
      </c>
      <c r="C292" s="2" t="s">
        <v>296</v>
      </c>
      <c r="D292" s="1" t="s">
        <v>330</v>
      </c>
      <c r="E292" s="14">
        <v>-2396</v>
      </c>
    </row>
    <row r="293" spans="1:5" x14ac:dyDescent="0.25">
      <c r="A293" s="2">
        <v>117</v>
      </c>
      <c r="B293" s="2" t="s">
        <v>180</v>
      </c>
      <c r="C293" s="2" t="s">
        <v>297</v>
      </c>
      <c r="D293" s="1" t="s">
        <v>330</v>
      </c>
      <c r="E293" s="14">
        <v>-12977</v>
      </c>
    </row>
    <row r="294" spans="1:5" x14ac:dyDescent="0.25">
      <c r="A294" s="2">
        <v>118</v>
      </c>
      <c r="B294" s="2" t="s">
        <v>180</v>
      </c>
      <c r="C294" s="2" t="s">
        <v>298</v>
      </c>
      <c r="D294" s="1" t="s">
        <v>330</v>
      </c>
      <c r="E294" s="14">
        <v>-3905</v>
      </c>
    </row>
    <row r="295" spans="1:5" x14ac:dyDescent="0.25">
      <c r="A295" s="2">
        <v>119</v>
      </c>
      <c r="B295" s="2" t="s">
        <v>180</v>
      </c>
      <c r="C295" s="2" t="s">
        <v>299</v>
      </c>
      <c r="D295" s="1" t="s">
        <v>330</v>
      </c>
      <c r="E295" s="14">
        <v>-3651</v>
      </c>
    </row>
    <row r="296" spans="1:5" x14ac:dyDescent="0.25">
      <c r="A296" s="2">
        <v>120</v>
      </c>
      <c r="B296" s="2" t="s">
        <v>180</v>
      </c>
      <c r="C296" s="2" t="s">
        <v>300</v>
      </c>
      <c r="D296" s="1" t="s">
        <v>330</v>
      </c>
      <c r="E296" s="14">
        <v>-1527</v>
      </c>
    </row>
    <row r="297" spans="1:5" x14ac:dyDescent="0.25">
      <c r="A297" s="2">
        <v>121</v>
      </c>
      <c r="B297" s="2" t="s">
        <v>180</v>
      </c>
      <c r="C297" s="2" t="s">
        <v>301</v>
      </c>
      <c r="D297" s="1" t="s">
        <v>330</v>
      </c>
      <c r="E297" s="14">
        <v>-16414</v>
      </c>
    </row>
    <row r="298" spans="1:5" x14ac:dyDescent="0.25">
      <c r="A298" s="2">
        <v>122</v>
      </c>
      <c r="B298" s="2" t="s">
        <v>180</v>
      </c>
      <c r="C298" s="2" t="s">
        <v>302</v>
      </c>
      <c r="D298" s="1" t="s">
        <v>330</v>
      </c>
      <c r="E298" s="14">
        <v>159353</v>
      </c>
    </row>
    <row r="299" spans="1:5" x14ac:dyDescent="0.25">
      <c r="A299" s="2">
        <v>123</v>
      </c>
      <c r="B299" s="2" t="s">
        <v>180</v>
      </c>
      <c r="C299" s="2" t="s">
        <v>303</v>
      </c>
      <c r="D299" s="1" t="s">
        <v>330</v>
      </c>
      <c r="E299" s="14">
        <v>-721</v>
      </c>
    </row>
    <row r="300" spans="1:5" x14ac:dyDescent="0.25">
      <c r="A300" s="2">
        <v>124</v>
      </c>
      <c r="B300" s="2" t="s">
        <v>180</v>
      </c>
      <c r="C300" s="2" t="s">
        <v>304</v>
      </c>
      <c r="D300" s="1" t="s">
        <v>330</v>
      </c>
      <c r="E300" s="14">
        <v>-1357</v>
      </c>
    </row>
    <row r="301" spans="1:5" x14ac:dyDescent="0.25">
      <c r="A301" s="2">
        <v>125</v>
      </c>
      <c r="B301" s="2" t="s">
        <v>180</v>
      </c>
      <c r="C301" s="2" t="s">
        <v>305</v>
      </c>
      <c r="D301" s="1" t="s">
        <v>330</v>
      </c>
      <c r="E301" s="14">
        <v>-4003</v>
      </c>
    </row>
    <row r="302" spans="1:5" x14ac:dyDescent="0.25">
      <c r="A302" s="2">
        <v>126</v>
      </c>
      <c r="B302" s="2" t="s">
        <v>180</v>
      </c>
      <c r="C302" s="2" t="s">
        <v>306</v>
      </c>
      <c r="D302" s="1" t="s">
        <v>330</v>
      </c>
      <c r="E302" s="14">
        <v>-2108</v>
      </c>
    </row>
    <row r="303" spans="1:5" x14ac:dyDescent="0.25">
      <c r="A303" s="2">
        <v>127</v>
      </c>
      <c r="B303" s="2" t="s">
        <v>180</v>
      </c>
      <c r="C303" s="2" t="s">
        <v>307</v>
      </c>
      <c r="D303" s="1" t="s">
        <v>330</v>
      </c>
      <c r="E303" s="14">
        <v>-976</v>
      </c>
    </row>
    <row r="304" spans="1:5" x14ac:dyDescent="0.25">
      <c r="A304" s="2">
        <v>128</v>
      </c>
      <c r="B304" s="2" t="s">
        <v>180</v>
      </c>
      <c r="C304" s="2" t="s">
        <v>308</v>
      </c>
      <c r="D304" s="1" t="s">
        <v>330</v>
      </c>
      <c r="E304" s="14">
        <v>-2190</v>
      </c>
    </row>
    <row r="305" spans="1:6" x14ac:dyDescent="0.25">
      <c r="A305" s="2">
        <v>129</v>
      </c>
      <c r="B305" s="2" t="s">
        <v>180</v>
      </c>
      <c r="C305" s="2" t="s">
        <v>309</v>
      </c>
      <c r="D305" s="1" t="s">
        <v>330</v>
      </c>
      <c r="E305" s="14">
        <v>-3606</v>
      </c>
    </row>
    <row r="306" spans="1:6" x14ac:dyDescent="0.25">
      <c r="A306" s="2">
        <v>130</v>
      </c>
      <c r="B306" s="2" t="s">
        <v>180</v>
      </c>
      <c r="C306" s="2" t="s">
        <v>310</v>
      </c>
      <c r="D306" s="1" t="s">
        <v>330</v>
      </c>
      <c r="E306" s="14">
        <v>-2144</v>
      </c>
    </row>
    <row r="307" spans="1:6" x14ac:dyDescent="0.25">
      <c r="A307" s="2">
        <v>131</v>
      </c>
      <c r="B307" s="2" t="s">
        <v>180</v>
      </c>
      <c r="C307" s="2" t="s">
        <v>311</v>
      </c>
      <c r="D307" s="1" t="s">
        <v>330</v>
      </c>
      <c r="E307" s="14">
        <v>13785</v>
      </c>
    </row>
    <row r="308" spans="1:6" x14ac:dyDescent="0.25">
      <c r="A308" s="2">
        <v>132</v>
      </c>
      <c r="B308" s="2" t="s">
        <v>180</v>
      </c>
      <c r="C308" s="2" t="s">
        <v>312</v>
      </c>
      <c r="D308" s="1" t="s">
        <v>330</v>
      </c>
      <c r="E308" s="14">
        <v>-1373</v>
      </c>
    </row>
    <row r="309" spans="1:6" x14ac:dyDescent="0.25">
      <c r="A309" s="2">
        <v>133</v>
      </c>
      <c r="B309" s="2" t="s">
        <v>180</v>
      </c>
      <c r="C309" s="2" t="s">
        <v>313</v>
      </c>
      <c r="D309" s="1" t="s">
        <v>330</v>
      </c>
      <c r="E309" s="14">
        <v>-255</v>
      </c>
    </row>
    <row r="310" spans="1:6" x14ac:dyDescent="0.25">
      <c r="A310" s="2">
        <v>134</v>
      </c>
      <c r="B310" s="2" t="s">
        <v>180</v>
      </c>
      <c r="C310" s="2" t="s">
        <v>314</v>
      </c>
      <c r="D310" s="1" t="s">
        <v>330</v>
      </c>
      <c r="E310" s="14">
        <v>-4907</v>
      </c>
    </row>
    <row r="311" spans="1:6" x14ac:dyDescent="0.25">
      <c r="A311" s="2">
        <v>135</v>
      </c>
      <c r="B311" s="2" t="s">
        <v>180</v>
      </c>
      <c r="C311" s="2" t="s">
        <v>315</v>
      </c>
      <c r="D311" s="1" t="s">
        <v>330</v>
      </c>
      <c r="E311" s="14">
        <v>-3985</v>
      </c>
    </row>
    <row r="312" spans="1:6" x14ac:dyDescent="0.25">
      <c r="A312" s="2">
        <v>136</v>
      </c>
      <c r="B312" s="2" t="s">
        <v>180</v>
      </c>
      <c r="C312" s="2" t="s">
        <v>316</v>
      </c>
      <c r="D312" s="1" t="s">
        <v>330</v>
      </c>
      <c r="E312" s="14">
        <v>-644</v>
      </c>
    </row>
    <row r="313" spans="1:6" x14ac:dyDescent="0.25">
      <c r="A313" s="2">
        <v>137</v>
      </c>
      <c r="B313" s="2" t="s">
        <v>180</v>
      </c>
      <c r="C313" s="2" t="s">
        <v>317</v>
      </c>
      <c r="D313" s="1" t="s">
        <v>330</v>
      </c>
      <c r="E313" s="14">
        <v>51552</v>
      </c>
    </row>
    <row r="314" spans="1:6" x14ac:dyDescent="0.25">
      <c r="A314" s="2">
        <v>138</v>
      </c>
      <c r="B314" s="2" t="s">
        <v>180</v>
      </c>
      <c r="C314" s="2" t="s">
        <v>318</v>
      </c>
      <c r="D314" s="1" t="s">
        <v>330</v>
      </c>
      <c r="E314" s="14">
        <v>-83</v>
      </c>
    </row>
    <row r="315" spans="1:6" x14ac:dyDescent="0.25">
      <c r="A315" s="2">
        <v>139</v>
      </c>
      <c r="B315" s="2" t="s">
        <v>180</v>
      </c>
      <c r="C315" s="2" t="s">
        <v>319</v>
      </c>
      <c r="D315" s="1" t="s">
        <v>330</v>
      </c>
      <c r="E315" s="14">
        <v>-543</v>
      </c>
    </row>
    <row r="316" spans="1:6" x14ac:dyDescent="0.25">
      <c r="A316" s="2">
        <v>140</v>
      </c>
      <c r="B316" s="2" t="s">
        <v>180</v>
      </c>
      <c r="C316" s="2" t="s">
        <v>320</v>
      </c>
      <c r="D316" s="1" t="s">
        <v>330</v>
      </c>
      <c r="E316" s="14">
        <v>3375</v>
      </c>
    </row>
    <row r="317" spans="1:6" x14ac:dyDescent="0.25">
      <c r="A317" s="2">
        <v>141</v>
      </c>
      <c r="B317" s="2" t="s">
        <v>180</v>
      </c>
      <c r="C317" s="2" t="s">
        <v>321</v>
      </c>
      <c r="D317" s="1" t="s">
        <v>330</v>
      </c>
      <c r="E317" s="14">
        <v>-596650</v>
      </c>
      <c r="F317">
        <v>2161232</v>
      </c>
    </row>
    <row r="318" spans="1:6" x14ac:dyDescent="0.25">
      <c r="E318" s="15">
        <f>SUM(E2:E317)</f>
        <v>5812549</v>
      </c>
    </row>
  </sheetData>
  <mergeCells count="1">
    <mergeCell ref="H2:I2"/>
  </mergeCells>
  <conditionalFormatting sqref="A2:E317">
    <cfRule type="notContainsBlanks" dxfId="9" priority="1">
      <formula>LEN(TRIM(A2))&gt;0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CB8F41-79EC-41C6-B532-482033864BDA}">
  <dimension ref="A1:B318"/>
  <sheetViews>
    <sheetView tabSelected="1" topLeftCell="A310" workbookViewId="0">
      <selection activeCell="A325" sqref="A325"/>
    </sheetView>
  </sheetViews>
  <sheetFormatPr defaultRowHeight="15" x14ac:dyDescent="0.25"/>
  <cols>
    <col min="1" max="1" width="34.7109375" bestFit="1" customWidth="1"/>
    <col min="2" max="2" width="13.140625" bestFit="1" customWidth="1"/>
  </cols>
  <sheetData>
    <row r="1" spans="1:2" x14ac:dyDescent="0.25">
      <c r="A1" s="4" t="s">
        <v>2</v>
      </c>
      <c r="B1" s="13" t="s">
        <v>328</v>
      </c>
    </row>
    <row r="2" spans="1:2" x14ac:dyDescent="0.25">
      <c r="A2" s="5" t="s">
        <v>5</v>
      </c>
      <c r="B2" s="14">
        <v>-107679</v>
      </c>
    </row>
    <row r="3" spans="1:2" x14ac:dyDescent="0.25">
      <c r="A3" s="5" t="s">
        <v>6</v>
      </c>
      <c r="B3" s="14">
        <v>1498951</v>
      </c>
    </row>
    <row r="4" spans="1:2" x14ac:dyDescent="0.25">
      <c r="A4" s="5" t="s">
        <v>7</v>
      </c>
      <c r="B4" s="14">
        <v>-77138</v>
      </c>
    </row>
    <row r="5" spans="1:2" x14ac:dyDescent="0.25">
      <c r="A5" s="5" t="s">
        <v>8</v>
      </c>
      <c r="B5" s="14">
        <v>-106930</v>
      </c>
    </row>
    <row r="6" spans="1:2" x14ac:dyDescent="0.25">
      <c r="A6" s="5" t="s">
        <v>9</v>
      </c>
      <c r="B6" s="14">
        <v>-3388</v>
      </c>
    </row>
    <row r="7" spans="1:2" x14ac:dyDescent="0.25">
      <c r="A7" s="5" t="s">
        <v>10</v>
      </c>
      <c r="B7" s="14">
        <v>5332</v>
      </c>
    </row>
    <row r="8" spans="1:2" x14ac:dyDescent="0.25">
      <c r="A8" s="5" t="s">
        <v>11</v>
      </c>
      <c r="B8" s="14">
        <v>-109703</v>
      </c>
    </row>
    <row r="9" spans="1:2" x14ac:dyDescent="0.25">
      <c r="A9" s="5" t="s">
        <v>12</v>
      </c>
      <c r="B9" s="14">
        <v>-74726</v>
      </c>
    </row>
    <row r="10" spans="1:2" x14ac:dyDescent="0.25">
      <c r="A10" s="5" t="s">
        <v>13</v>
      </c>
      <c r="B10" s="14">
        <v>-72809</v>
      </c>
    </row>
    <row r="11" spans="1:2" x14ac:dyDescent="0.25">
      <c r="A11" s="5" t="s">
        <v>14</v>
      </c>
      <c r="B11" s="14">
        <v>209758</v>
      </c>
    </row>
    <row r="12" spans="1:2" x14ac:dyDescent="0.25">
      <c r="A12" s="5" t="s">
        <v>15</v>
      </c>
      <c r="B12" s="14">
        <v>139240</v>
      </c>
    </row>
    <row r="13" spans="1:2" x14ac:dyDescent="0.25">
      <c r="A13" s="5" t="s">
        <v>16</v>
      </c>
      <c r="B13" s="14">
        <v>738204</v>
      </c>
    </row>
    <row r="14" spans="1:2" x14ac:dyDescent="0.25">
      <c r="A14" s="5" t="s">
        <v>17</v>
      </c>
      <c r="B14" s="14">
        <v>-31702</v>
      </c>
    </row>
    <row r="15" spans="1:2" x14ac:dyDescent="0.25">
      <c r="A15" s="5" t="s">
        <v>18</v>
      </c>
      <c r="B15" s="14">
        <v>-57825</v>
      </c>
    </row>
    <row r="16" spans="1:2" x14ac:dyDescent="0.25">
      <c r="A16" s="5" t="s">
        <v>19</v>
      </c>
      <c r="B16" s="14">
        <v>29702</v>
      </c>
    </row>
    <row r="17" spans="1:2" x14ac:dyDescent="0.25">
      <c r="A17" s="5" t="s">
        <v>20</v>
      </c>
      <c r="B17" s="14">
        <v>-18572</v>
      </c>
    </row>
    <row r="18" spans="1:2" x14ac:dyDescent="0.25">
      <c r="A18" s="5" t="s">
        <v>21</v>
      </c>
      <c r="B18" s="14">
        <v>101042</v>
      </c>
    </row>
    <row r="19" spans="1:2" x14ac:dyDescent="0.25">
      <c r="A19" s="5" t="s">
        <v>22</v>
      </c>
      <c r="B19" s="14">
        <v>-87420</v>
      </c>
    </row>
    <row r="20" spans="1:2" x14ac:dyDescent="0.25">
      <c r="A20" s="5" t="s">
        <v>23</v>
      </c>
      <c r="B20" s="14">
        <v>-36712</v>
      </c>
    </row>
    <row r="21" spans="1:2" x14ac:dyDescent="0.25">
      <c r="A21" s="5" t="s">
        <v>24</v>
      </c>
      <c r="B21" s="14">
        <v>383873</v>
      </c>
    </row>
    <row r="22" spans="1:2" x14ac:dyDescent="0.25">
      <c r="A22" s="5" t="s">
        <v>25</v>
      </c>
      <c r="B22" s="14">
        <v>24946</v>
      </c>
    </row>
    <row r="23" spans="1:2" x14ac:dyDescent="0.25">
      <c r="A23" s="5" t="s">
        <v>26</v>
      </c>
      <c r="B23" s="14">
        <v>-24407</v>
      </c>
    </row>
    <row r="24" spans="1:2" x14ac:dyDescent="0.25">
      <c r="A24" s="5" t="s">
        <v>27</v>
      </c>
      <c r="B24" s="14">
        <v>20</v>
      </c>
    </row>
    <row r="25" spans="1:2" x14ac:dyDescent="0.25">
      <c r="A25" s="5" t="s">
        <v>28</v>
      </c>
      <c r="B25" s="14">
        <v>-7186</v>
      </c>
    </row>
    <row r="26" spans="1:2" x14ac:dyDescent="0.25">
      <c r="A26" s="5" t="s">
        <v>29</v>
      </c>
      <c r="B26" s="14">
        <v>-44705</v>
      </c>
    </row>
    <row r="27" spans="1:2" x14ac:dyDescent="0.25">
      <c r="A27" s="5" t="s">
        <v>30</v>
      </c>
      <c r="B27" s="14">
        <v>-22626</v>
      </c>
    </row>
    <row r="28" spans="1:2" x14ac:dyDescent="0.25">
      <c r="A28" s="5" t="s">
        <v>31</v>
      </c>
      <c r="B28" s="14">
        <v>-29755</v>
      </c>
    </row>
    <row r="29" spans="1:2" x14ac:dyDescent="0.25">
      <c r="A29" s="5" t="s">
        <v>32</v>
      </c>
      <c r="B29" s="14">
        <v>-30327</v>
      </c>
    </row>
    <row r="30" spans="1:2" x14ac:dyDescent="0.25">
      <c r="A30" s="5" t="s">
        <v>33</v>
      </c>
      <c r="B30" s="14">
        <v>-51898</v>
      </c>
    </row>
    <row r="31" spans="1:2" x14ac:dyDescent="0.25">
      <c r="A31" s="5" t="s">
        <v>34</v>
      </c>
      <c r="B31" s="14">
        <v>-109771</v>
      </c>
    </row>
    <row r="32" spans="1:2" x14ac:dyDescent="0.25">
      <c r="A32" s="5" t="s">
        <v>35</v>
      </c>
      <c r="B32" s="14">
        <v>-51832</v>
      </c>
    </row>
    <row r="33" spans="1:2" x14ac:dyDescent="0.25">
      <c r="A33" s="5" t="s">
        <v>36</v>
      </c>
      <c r="B33" s="14">
        <v>324777</v>
      </c>
    </row>
    <row r="34" spans="1:2" x14ac:dyDescent="0.25">
      <c r="A34" s="5" t="s">
        <v>37</v>
      </c>
      <c r="B34" s="14">
        <v>15535</v>
      </c>
    </row>
    <row r="35" spans="1:2" x14ac:dyDescent="0.25">
      <c r="A35" s="5" t="s">
        <v>38</v>
      </c>
      <c r="B35" s="14">
        <v>-26467</v>
      </c>
    </row>
    <row r="36" spans="1:2" x14ac:dyDescent="0.25">
      <c r="A36" s="5" t="s">
        <v>39</v>
      </c>
      <c r="B36" s="14">
        <v>145500</v>
      </c>
    </row>
    <row r="37" spans="1:2" x14ac:dyDescent="0.25">
      <c r="A37" s="5" t="s">
        <v>40</v>
      </c>
      <c r="B37" s="14">
        <v>-61808</v>
      </c>
    </row>
    <row r="38" spans="1:2" x14ac:dyDescent="0.25">
      <c r="A38" s="5" t="s">
        <v>41</v>
      </c>
      <c r="B38" s="14">
        <v>-2343</v>
      </c>
    </row>
    <row r="39" spans="1:2" x14ac:dyDescent="0.25">
      <c r="A39" s="5" t="s">
        <v>42</v>
      </c>
      <c r="B39" s="14">
        <v>-1796</v>
      </c>
    </row>
    <row r="40" spans="1:2" x14ac:dyDescent="0.25">
      <c r="A40" s="5" t="s">
        <v>43</v>
      </c>
      <c r="B40" s="14">
        <v>-144545</v>
      </c>
    </row>
    <row r="41" spans="1:2" x14ac:dyDescent="0.25">
      <c r="A41" s="5" t="s">
        <v>44</v>
      </c>
      <c r="B41" s="14">
        <v>689549</v>
      </c>
    </row>
    <row r="42" spans="1:2" x14ac:dyDescent="0.25">
      <c r="A42" s="5" t="s">
        <v>45</v>
      </c>
      <c r="B42" s="14">
        <v>-47948</v>
      </c>
    </row>
    <row r="43" spans="1:2" x14ac:dyDescent="0.25">
      <c r="A43" s="5" t="s">
        <v>46</v>
      </c>
      <c r="B43" s="14">
        <v>-58251</v>
      </c>
    </row>
    <row r="44" spans="1:2" x14ac:dyDescent="0.25">
      <c r="A44" s="5" t="s">
        <v>47</v>
      </c>
      <c r="B44" s="14">
        <v>-72104</v>
      </c>
    </row>
    <row r="45" spans="1:2" x14ac:dyDescent="0.25">
      <c r="A45" s="5" t="s">
        <v>48</v>
      </c>
      <c r="B45" s="14">
        <v>-50359</v>
      </c>
    </row>
    <row r="46" spans="1:2" x14ac:dyDescent="0.25">
      <c r="A46" s="5" t="s">
        <v>49</v>
      </c>
      <c r="B46" s="14">
        <v>-20289</v>
      </c>
    </row>
    <row r="47" spans="1:2" x14ac:dyDescent="0.25">
      <c r="A47" s="5" t="s">
        <v>50</v>
      </c>
      <c r="B47" s="14">
        <v>-82345</v>
      </c>
    </row>
    <row r="48" spans="1:2" x14ac:dyDescent="0.25">
      <c r="A48" s="5" t="s">
        <v>51</v>
      </c>
      <c r="B48" s="14">
        <v>-37439</v>
      </c>
    </row>
    <row r="49" spans="1:2" x14ac:dyDescent="0.25">
      <c r="A49" s="5" t="s">
        <v>52</v>
      </c>
      <c r="B49" s="14">
        <v>-62555</v>
      </c>
    </row>
    <row r="50" spans="1:2" x14ac:dyDescent="0.25">
      <c r="A50" s="5" t="s">
        <v>53</v>
      </c>
      <c r="B50" s="14">
        <v>39201</v>
      </c>
    </row>
    <row r="51" spans="1:2" x14ac:dyDescent="0.25">
      <c r="A51" s="5" t="s">
        <v>54</v>
      </c>
      <c r="B51" s="14">
        <v>-207044</v>
      </c>
    </row>
    <row r="52" spans="1:2" x14ac:dyDescent="0.25">
      <c r="A52" s="5" t="s">
        <v>55</v>
      </c>
      <c r="B52" s="14">
        <v>-18385</v>
      </c>
    </row>
    <row r="53" spans="1:2" x14ac:dyDescent="0.25">
      <c r="A53" s="5" t="s">
        <v>56</v>
      </c>
      <c r="B53" s="14">
        <v>520470</v>
      </c>
    </row>
    <row r="54" spans="1:2" x14ac:dyDescent="0.25">
      <c r="A54" s="5" t="s">
        <v>57</v>
      </c>
      <c r="B54" s="14">
        <v>-48024</v>
      </c>
    </row>
    <row r="55" spans="1:2" x14ac:dyDescent="0.25">
      <c r="A55" s="5" t="s">
        <v>58</v>
      </c>
      <c r="B55" s="14">
        <v>-44938</v>
      </c>
    </row>
    <row r="56" spans="1:2" x14ac:dyDescent="0.25">
      <c r="A56" s="5" t="s">
        <v>59</v>
      </c>
      <c r="B56" s="14">
        <v>-24672</v>
      </c>
    </row>
    <row r="57" spans="1:2" x14ac:dyDescent="0.25">
      <c r="A57" s="5" t="s">
        <v>60</v>
      </c>
      <c r="B57" s="14">
        <v>-29282</v>
      </c>
    </row>
    <row r="58" spans="1:2" x14ac:dyDescent="0.25">
      <c r="A58" s="5" t="s">
        <v>61</v>
      </c>
      <c r="B58" s="14">
        <v>839</v>
      </c>
    </row>
    <row r="59" spans="1:2" x14ac:dyDescent="0.25">
      <c r="A59" s="5" t="s">
        <v>62</v>
      </c>
      <c r="B59" s="14">
        <v>-39691</v>
      </c>
    </row>
    <row r="60" spans="1:2" x14ac:dyDescent="0.25">
      <c r="A60" s="5" t="s">
        <v>63</v>
      </c>
      <c r="B60" s="14">
        <v>-75884</v>
      </c>
    </row>
    <row r="61" spans="1:2" x14ac:dyDescent="0.25">
      <c r="A61" s="5" t="s">
        <v>64</v>
      </c>
      <c r="B61" s="14">
        <v>-3420</v>
      </c>
    </row>
    <row r="62" spans="1:2" x14ac:dyDescent="0.25">
      <c r="A62" s="5" t="s">
        <v>65</v>
      </c>
      <c r="B62" s="14">
        <v>-112009</v>
      </c>
    </row>
    <row r="63" spans="1:2" x14ac:dyDescent="0.25">
      <c r="A63" s="5" t="s">
        <v>66</v>
      </c>
      <c r="B63" s="14">
        <v>-36198</v>
      </c>
    </row>
    <row r="64" spans="1:2" x14ac:dyDescent="0.25">
      <c r="A64" s="5" t="s">
        <v>67</v>
      </c>
      <c r="B64" s="14">
        <v>-2872</v>
      </c>
    </row>
    <row r="65" spans="1:2" x14ac:dyDescent="0.25">
      <c r="A65" s="5" t="s">
        <v>68</v>
      </c>
      <c r="B65" s="14">
        <v>781795</v>
      </c>
    </row>
    <row r="66" spans="1:2" x14ac:dyDescent="0.25">
      <c r="A66" s="5" t="s">
        <v>69</v>
      </c>
      <c r="B66" s="14">
        <v>-14664</v>
      </c>
    </row>
    <row r="67" spans="1:2" x14ac:dyDescent="0.25">
      <c r="A67" s="5" t="s">
        <v>70</v>
      </c>
      <c r="B67" s="14">
        <v>-32747</v>
      </c>
    </row>
    <row r="68" spans="1:2" x14ac:dyDescent="0.25">
      <c r="A68" s="5" t="s">
        <v>71</v>
      </c>
      <c r="B68" s="14">
        <v>-42652</v>
      </c>
    </row>
    <row r="69" spans="1:2" x14ac:dyDescent="0.25">
      <c r="A69" s="5" t="s">
        <v>72</v>
      </c>
      <c r="B69" s="14">
        <v>-37569</v>
      </c>
    </row>
    <row r="70" spans="1:2" x14ac:dyDescent="0.25">
      <c r="A70" s="5" t="s">
        <v>73</v>
      </c>
      <c r="B70" s="14">
        <v>-41784</v>
      </c>
    </row>
    <row r="71" spans="1:2" x14ac:dyDescent="0.25">
      <c r="A71" s="5" t="s">
        <v>74</v>
      </c>
      <c r="B71" s="14">
        <v>-35236</v>
      </c>
    </row>
    <row r="72" spans="1:2" x14ac:dyDescent="0.25">
      <c r="A72" s="5" t="s">
        <v>75</v>
      </c>
      <c r="B72" s="14">
        <v>-34922</v>
      </c>
    </row>
    <row r="73" spans="1:2" x14ac:dyDescent="0.25">
      <c r="A73" s="5" t="s">
        <v>76</v>
      </c>
      <c r="B73" s="14">
        <v>-27909</v>
      </c>
    </row>
    <row r="74" spans="1:2" x14ac:dyDescent="0.25">
      <c r="A74" s="5" t="s">
        <v>77</v>
      </c>
      <c r="B74" s="14">
        <v>22938</v>
      </c>
    </row>
    <row r="75" spans="1:2" x14ac:dyDescent="0.25">
      <c r="A75" s="5" t="s">
        <v>78</v>
      </c>
      <c r="B75" s="14">
        <v>-25578</v>
      </c>
    </row>
    <row r="76" spans="1:2" x14ac:dyDescent="0.25">
      <c r="A76" s="5" t="s">
        <v>79</v>
      </c>
      <c r="B76" s="14">
        <v>-6308</v>
      </c>
    </row>
    <row r="77" spans="1:2" x14ac:dyDescent="0.25">
      <c r="A77" s="5" t="s">
        <v>80</v>
      </c>
      <c r="B77" s="14">
        <v>-27918</v>
      </c>
    </row>
    <row r="78" spans="1:2" x14ac:dyDescent="0.25">
      <c r="A78" s="5" t="s">
        <v>81</v>
      </c>
      <c r="B78" s="14">
        <v>342196</v>
      </c>
    </row>
    <row r="79" spans="1:2" x14ac:dyDescent="0.25">
      <c r="A79" s="5" t="s">
        <v>82</v>
      </c>
      <c r="B79" s="14">
        <v>-57894</v>
      </c>
    </row>
    <row r="80" spans="1:2" x14ac:dyDescent="0.25">
      <c r="A80" s="5" t="s">
        <v>83</v>
      </c>
      <c r="B80" s="14">
        <v>3115</v>
      </c>
    </row>
    <row r="81" spans="1:2" x14ac:dyDescent="0.25">
      <c r="A81" s="5" t="s">
        <v>84</v>
      </c>
      <c r="B81" s="14">
        <v>-8202</v>
      </c>
    </row>
    <row r="82" spans="1:2" x14ac:dyDescent="0.25">
      <c r="A82" s="5" t="s">
        <v>85</v>
      </c>
      <c r="B82" s="14">
        <v>-29922</v>
      </c>
    </row>
    <row r="83" spans="1:2" x14ac:dyDescent="0.25">
      <c r="A83" s="5" t="s">
        <v>86</v>
      </c>
      <c r="B83" s="14">
        <v>2674</v>
      </c>
    </row>
    <row r="84" spans="1:2" x14ac:dyDescent="0.25">
      <c r="A84" s="5" t="s">
        <v>87</v>
      </c>
      <c r="B84" s="14">
        <v>-43751</v>
      </c>
    </row>
    <row r="85" spans="1:2" x14ac:dyDescent="0.25">
      <c r="A85" s="5" t="s">
        <v>88</v>
      </c>
      <c r="B85" s="14">
        <v>-4345</v>
      </c>
    </row>
    <row r="86" spans="1:2" x14ac:dyDescent="0.25">
      <c r="A86" s="5" t="s">
        <v>89</v>
      </c>
      <c r="B86" s="14">
        <v>2285</v>
      </c>
    </row>
    <row r="87" spans="1:2" x14ac:dyDescent="0.25">
      <c r="A87" s="5" t="s">
        <v>90</v>
      </c>
      <c r="B87" s="14">
        <v>-22125</v>
      </c>
    </row>
    <row r="88" spans="1:2" x14ac:dyDescent="0.25">
      <c r="A88" s="5" t="s">
        <v>91</v>
      </c>
      <c r="B88" s="14">
        <v>11068</v>
      </c>
    </row>
    <row r="89" spans="1:2" x14ac:dyDescent="0.25">
      <c r="A89" s="5" t="s">
        <v>92</v>
      </c>
      <c r="B89" s="14">
        <v>-17031</v>
      </c>
    </row>
    <row r="90" spans="1:2" x14ac:dyDescent="0.25">
      <c r="A90" s="5" t="s">
        <v>93</v>
      </c>
      <c r="B90" s="14">
        <v>2149</v>
      </c>
    </row>
    <row r="91" spans="1:2" x14ac:dyDescent="0.25">
      <c r="A91" s="5" t="s">
        <v>94</v>
      </c>
      <c r="B91" s="14">
        <v>-1160</v>
      </c>
    </row>
    <row r="92" spans="1:2" x14ac:dyDescent="0.25">
      <c r="A92" s="5" t="s">
        <v>95</v>
      </c>
      <c r="B92" s="14">
        <v>-11949</v>
      </c>
    </row>
    <row r="93" spans="1:2" x14ac:dyDescent="0.25">
      <c r="A93" s="5" t="s">
        <v>96</v>
      </c>
      <c r="B93" s="14">
        <v>-1108</v>
      </c>
    </row>
    <row r="94" spans="1:2" x14ac:dyDescent="0.25">
      <c r="A94" s="5" t="s">
        <v>97</v>
      </c>
      <c r="B94" s="14">
        <v>-4594</v>
      </c>
    </row>
    <row r="95" spans="1:2" x14ac:dyDescent="0.25">
      <c r="A95" s="5" t="s">
        <v>98</v>
      </c>
      <c r="B95" s="14">
        <v>-55650</v>
      </c>
    </row>
    <row r="96" spans="1:2" x14ac:dyDescent="0.25">
      <c r="A96" s="5" t="s">
        <v>99</v>
      </c>
      <c r="B96" s="14">
        <v>-30707</v>
      </c>
    </row>
    <row r="97" spans="1:2" x14ac:dyDescent="0.25">
      <c r="A97" s="5" t="s">
        <v>100</v>
      </c>
      <c r="B97" s="14">
        <v>-17805</v>
      </c>
    </row>
    <row r="98" spans="1:2" x14ac:dyDescent="0.25">
      <c r="A98" s="5" t="s">
        <v>101</v>
      </c>
      <c r="B98" s="14">
        <v>17999</v>
      </c>
    </row>
    <row r="99" spans="1:2" x14ac:dyDescent="0.25">
      <c r="A99" s="5" t="s">
        <v>102</v>
      </c>
      <c r="B99" s="14">
        <v>-11777</v>
      </c>
    </row>
    <row r="100" spans="1:2" x14ac:dyDescent="0.25">
      <c r="A100" s="5" t="s">
        <v>103</v>
      </c>
      <c r="B100" s="14">
        <v>-11244</v>
      </c>
    </row>
    <row r="101" spans="1:2" x14ac:dyDescent="0.25">
      <c r="A101" s="5" t="s">
        <v>104</v>
      </c>
      <c r="B101" s="14">
        <v>-59987</v>
      </c>
    </row>
    <row r="102" spans="1:2" x14ac:dyDescent="0.25">
      <c r="A102" s="5" t="s">
        <v>105</v>
      </c>
      <c r="B102" s="14">
        <v>-65769</v>
      </c>
    </row>
    <row r="103" spans="1:2" x14ac:dyDescent="0.25">
      <c r="A103" s="5" t="s">
        <v>106</v>
      </c>
      <c r="B103" s="14">
        <v>456715</v>
      </c>
    </row>
    <row r="104" spans="1:2" x14ac:dyDescent="0.25">
      <c r="A104" s="5" t="s">
        <v>107</v>
      </c>
      <c r="B104" s="14">
        <v>-33973</v>
      </c>
    </row>
    <row r="105" spans="1:2" x14ac:dyDescent="0.25">
      <c r="A105" s="5" t="s">
        <v>108</v>
      </c>
      <c r="B105" s="14">
        <v>9743</v>
      </c>
    </row>
    <row r="106" spans="1:2" x14ac:dyDescent="0.25">
      <c r="A106" s="5" t="s">
        <v>109</v>
      </c>
      <c r="B106" s="14">
        <v>4728</v>
      </c>
    </row>
    <row r="107" spans="1:2" x14ac:dyDescent="0.25">
      <c r="A107" s="5" t="s">
        <v>110</v>
      </c>
      <c r="B107" s="14">
        <v>-8639</v>
      </c>
    </row>
    <row r="108" spans="1:2" x14ac:dyDescent="0.25">
      <c r="A108" s="5" t="s">
        <v>111</v>
      </c>
      <c r="B108" s="14">
        <v>-45089</v>
      </c>
    </row>
    <row r="109" spans="1:2" x14ac:dyDescent="0.25">
      <c r="A109" s="2" t="s">
        <v>112</v>
      </c>
      <c r="B109" s="14">
        <v>-866</v>
      </c>
    </row>
    <row r="110" spans="1:2" x14ac:dyDescent="0.25">
      <c r="A110" s="2" t="s">
        <v>113</v>
      </c>
      <c r="B110" s="14">
        <v>-30708</v>
      </c>
    </row>
    <row r="111" spans="1:2" x14ac:dyDescent="0.25">
      <c r="A111" s="2" t="s">
        <v>114</v>
      </c>
      <c r="B111" s="14">
        <v>1588</v>
      </c>
    </row>
    <row r="112" spans="1:2" x14ac:dyDescent="0.25">
      <c r="A112" s="2" t="s">
        <v>115</v>
      </c>
      <c r="B112" s="14">
        <v>2845</v>
      </c>
    </row>
    <row r="113" spans="1:2" x14ac:dyDescent="0.25">
      <c r="A113" s="2" t="s">
        <v>116</v>
      </c>
      <c r="B113" s="14">
        <v>-9857</v>
      </c>
    </row>
    <row r="114" spans="1:2" x14ac:dyDescent="0.25">
      <c r="A114" s="2" t="s">
        <v>117</v>
      </c>
      <c r="B114" s="14">
        <v>5075</v>
      </c>
    </row>
    <row r="115" spans="1:2" x14ac:dyDescent="0.25">
      <c r="A115" s="2" t="s">
        <v>118</v>
      </c>
      <c r="B115" s="14">
        <v>9498</v>
      </c>
    </row>
    <row r="116" spans="1:2" x14ac:dyDescent="0.25">
      <c r="A116" s="2" t="s">
        <v>119</v>
      </c>
      <c r="B116" s="14">
        <v>1414</v>
      </c>
    </row>
    <row r="117" spans="1:2" x14ac:dyDescent="0.25">
      <c r="A117" s="2" t="s">
        <v>120</v>
      </c>
      <c r="B117" s="14">
        <v>-3481</v>
      </c>
    </row>
    <row r="118" spans="1:2" x14ac:dyDescent="0.25">
      <c r="A118" s="2" t="s">
        <v>121</v>
      </c>
      <c r="B118" s="14">
        <v>-760</v>
      </c>
    </row>
    <row r="119" spans="1:2" x14ac:dyDescent="0.25">
      <c r="A119" s="2" t="s">
        <v>122</v>
      </c>
      <c r="B119" s="14">
        <v>-12949</v>
      </c>
    </row>
    <row r="120" spans="1:2" x14ac:dyDescent="0.25">
      <c r="A120" s="2" t="s">
        <v>123</v>
      </c>
      <c r="B120" s="14">
        <v>-10059</v>
      </c>
    </row>
    <row r="121" spans="1:2" x14ac:dyDescent="0.25">
      <c r="A121" s="2" t="s">
        <v>124</v>
      </c>
      <c r="B121" s="14">
        <v>-22075</v>
      </c>
    </row>
    <row r="122" spans="1:2" x14ac:dyDescent="0.25">
      <c r="A122" s="2" t="s">
        <v>125</v>
      </c>
      <c r="B122" s="14">
        <v>2362</v>
      </c>
    </row>
    <row r="123" spans="1:2" x14ac:dyDescent="0.25">
      <c r="A123" s="2" t="s">
        <v>126</v>
      </c>
      <c r="B123" s="14">
        <v>-12733</v>
      </c>
    </row>
    <row r="124" spans="1:2" x14ac:dyDescent="0.25">
      <c r="A124" s="2" t="s">
        <v>127</v>
      </c>
      <c r="B124" s="14">
        <v>349004</v>
      </c>
    </row>
    <row r="125" spans="1:2" x14ac:dyDescent="0.25">
      <c r="A125" s="2" t="s">
        <v>128</v>
      </c>
      <c r="B125" s="14">
        <v>-848</v>
      </c>
    </row>
    <row r="126" spans="1:2" x14ac:dyDescent="0.25">
      <c r="A126" s="2" t="s">
        <v>129</v>
      </c>
      <c r="B126" s="14">
        <v>-5369</v>
      </c>
    </row>
    <row r="127" spans="1:2" x14ac:dyDescent="0.25">
      <c r="A127" s="2" t="s">
        <v>130</v>
      </c>
      <c r="B127" s="14">
        <v>-8074</v>
      </c>
    </row>
    <row r="128" spans="1:2" x14ac:dyDescent="0.25">
      <c r="A128" s="2" t="s">
        <v>131</v>
      </c>
      <c r="B128" s="14">
        <v>-6503</v>
      </c>
    </row>
    <row r="129" spans="1:2" x14ac:dyDescent="0.25">
      <c r="A129" s="2" t="s">
        <v>132</v>
      </c>
      <c r="B129" s="14">
        <v>-7066</v>
      </c>
    </row>
    <row r="130" spans="1:2" x14ac:dyDescent="0.25">
      <c r="A130" s="2" t="s">
        <v>133</v>
      </c>
      <c r="B130" s="14">
        <v>12490</v>
      </c>
    </row>
    <row r="131" spans="1:2" x14ac:dyDescent="0.25">
      <c r="A131" s="2" t="s">
        <v>134</v>
      </c>
      <c r="B131" s="14">
        <v>-4845</v>
      </c>
    </row>
    <row r="132" spans="1:2" x14ac:dyDescent="0.25">
      <c r="A132" s="2" t="s">
        <v>135</v>
      </c>
      <c r="B132" s="14">
        <v>-6003</v>
      </c>
    </row>
    <row r="133" spans="1:2" x14ac:dyDescent="0.25">
      <c r="A133" s="2" t="s">
        <v>136</v>
      </c>
      <c r="B133" s="14">
        <v>-776</v>
      </c>
    </row>
    <row r="134" spans="1:2" x14ac:dyDescent="0.25">
      <c r="A134" s="2" t="s">
        <v>137</v>
      </c>
      <c r="B134" s="14">
        <v>9881</v>
      </c>
    </row>
    <row r="135" spans="1:2" x14ac:dyDescent="0.25">
      <c r="A135" s="2" t="s">
        <v>138</v>
      </c>
      <c r="B135" s="14">
        <v>2687</v>
      </c>
    </row>
    <row r="136" spans="1:2" x14ac:dyDescent="0.25">
      <c r="A136" s="2" t="s">
        <v>139</v>
      </c>
      <c r="B136" s="14">
        <v>3118</v>
      </c>
    </row>
    <row r="137" spans="1:2" x14ac:dyDescent="0.25">
      <c r="A137" s="2" t="s">
        <v>140</v>
      </c>
      <c r="B137" s="14">
        <v>-3468</v>
      </c>
    </row>
    <row r="138" spans="1:2" x14ac:dyDescent="0.25">
      <c r="A138" s="2" t="s">
        <v>141</v>
      </c>
      <c r="B138" s="14">
        <v>16217</v>
      </c>
    </row>
    <row r="139" spans="1:2" x14ac:dyDescent="0.25">
      <c r="A139" s="2" t="s">
        <v>142</v>
      </c>
      <c r="B139" s="14">
        <v>-8053</v>
      </c>
    </row>
    <row r="140" spans="1:2" x14ac:dyDescent="0.25">
      <c r="A140" s="2" t="s">
        <v>143</v>
      </c>
      <c r="B140" s="14">
        <v>3649</v>
      </c>
    </row>
    <row r="141" spans="1:2" x14ac:dyDescent="0.25">
      <c r="A141" s="2" t="s">
        <v>144</v>
      </c>
      <c r="B141" s="14">
        <v>-4249</v>
      </c>
    </row>
    <row r="142" spans="1:2" x14ac:dyDescent="0.25">
      <c r="A142" s="2" t="s">
        <v>145</v>
      </c>
      <c r="B142" s="14">
        <v>-9594</v>
      </c>
    </row>
    <row r="143" spans="1:2" x14ac:dyDescent="0.25">
      <c r="A143" s="2" t="s">
        <v>146</v>
      </c>
      <c r="B143" s="14">
        <v>-7476</v>
      </c>
    </row>
    <row r="144" spans="1:2" x14ac:dyDescent="0.25">
      <c r="A144" s="2" t="s">
        <v>147</v>
      </c>
      <c r="B144" s="14">
        <v>-5689</v>
      </c>
    </row>
    <row r="145" spans="1:2" x14ac:dyDescent="0.25">
      <c r="A145" s="2" t="s">
        <v>148</v>
      </c>
      <c r="B145" s="14">
        <v>-2818</v>
      </c>
    </row>
    <row r="146" spans="1:2" x14ac:dyDescent="0.25">
      <c r="A146" s="2" t="s">
        <v>149</v>
      </c>
      <c r="B146" s="14">
        <v>-5787</v>
      </c>
    </row>
    <row r="147" spans="1:2" x14ac:dyDescent="0.25">
      <c r="A147" s="2" t="s">
        <v>150</v>
      </c>
      <c r="B147" s="14">
        <v>-5060</v>
      </c>
    </row>
    <row r="148" spans="1:2" x14ac:dyDescent="0.25">
      <c r="A148" s="2" t="s">
        <v>151</v>
      </c>
      <c r="B148" s="14">
        <v>2833</v>
      </c>
    </row>
    <row r="149" spans="1:2" x14ac:dyDescent="0.25">
      <c r="A149" s="2" t="s">
        <v>152</v>
      </c>
      <c r="B149" s="14">
        <v>-4704</v>
      </c>
    </row>
    <row r="150" spans="1:2" x14ac:dyDescent="0.25">
      <c r="A150" s="2" t="s">
        <v>153</v>
      </c>
      <c r="B150" s="14">
        <v>-380</v>
      </c>
    </row>
    <row r="151" spans="1:2" x14ac:dyDescent="0.25">
      <c r="A151" s="2" t="s">
        <v>154</v>
      </c>
      <c r="B151" s="14">
        <v>-32247</v>
      </c>
    </row>
    <row r="152" spans="1:2" x14ac:dyDescent="0.25">
      <c r="A152" s="2" t="s">
        <v>155</v>
      </c>
      <c r="B152" s="14">
        <v>210532</v>
      </c>
    </row>
    <row r="153" spans="1:2" x14ac:dyDescent="0.25">
      <c r="A153" s="2" t="s">
        <v>156</v>
      </c>
      <c r="B153" s="14">
        <v>-8023</v>
      </c>
    </row>
    <row r="154" spans="1:2" x14ac:dyDescent="0.25">
      <c r="A154" s="2" t="s">
        <v>157</v>
      </c>
      <c r="B154" s="14">
        <v>-517</v>
      </c>
    </row>
    <row r="155" spans="1:2" x14ac:dyDescent="0.25">
      <c r="A155" s="2" t="s">
        <v>158</v>
      </c>
      <c r="B155" s="14">
        <v>-5349</v>
      </c>
    </row>
    <row r="156" spans="1:2" x14ac:dyDescent="0.25">
      <c r="A156" s="2" t="s">
        <v>159</v>
      </c>
      <c r="B156" s="14">
        <v>-3927</v>
      </c>
    </row>
    <row r="157" spans="1:2" x14ac:dyDescent="0.25">
      <c r="A157" s="2" t="s">
        <v>160</v>
      </c>
      <c r="B157" s="14">
        <v>-3615</v>
      </c>
    </row>
    <row r="158" spans="1:2" x14ac:dyDescent="0.25">
      <c r="A158" s="2" t="s">
        <v>161</v>
      </c>
      <c r="B158" s="14">
        <v>-2882</v>
      </c>
    </row>
    <row r="159" spans="1:2" x14ac:dyDescent="0.25">
      <c r="A159" s="2" t="s">
        <v>162</v>
      </c>
      <c r="B159" s="14">
        <v>-659</v>
      </c>
    </row>
    <row r="160" spans="1:2" x14ac:dyDescent="0.25">
      <c r="A160" s="2" t="s">
        <v>163</v>
      </c>
      <c r="B160" s="14">
        <v>8180</v>
      </c>
    </row>
    <row r="161" spans="1:2" x14ac:dyDescent="0.25">
      <c r="A161" s="2" t="s">
        <v>164</v>
      </c>
      <c r="B161" s="14">
        <v>-1672</v>
      </c>
    </row>
    <row r="162" spans="1:2" x14ac:dyDescent="0.25">
      <c r="A162" s="2" t="s">
        <v>165</v>
      </c>
      <c r="B162" s="14">
        <v>-2085</v>
      </c>
    </row>
    <row r="163" spans="1:2" x14ac:dyDescent="0.25">
      <c r="A163" s="2" t="s">
        <v>166</v>
      </c>
      <c r="B163" s="14">
        <v>-285</v>
      </c>
    </row>
    <row r="164" spans="1:2" x14ac:dyDescent="0.25">
      <c r="A164" s="2" t="s">
        <v>167</v>
      </c>
      <c r="B164" s="14">
        <v>-1445</v>
      </c>
    </row>
    <row r="165" spans="1:2" x14ac:dyDescent="0.25">
      <c r="A165" s="2" t="s">
        <v>168</v>
      </c>
      <c r="B165" s="14">
        <v>-2950</v>
      </c>
    </row>
    <row r="166" spans="1:2" x14ac:dyDescent="0.25">
      <c r="A166" s="2" t="s">
        <v>169</v>
      </c>
      <c r="B166" s="14">
        <v>-314</v>
      </c>
    </row>
    <row r="167" spans="1:2" x14ac:dyDescent="0.25">
      <c r="A167" s="2" t="s">
        <v>170</v>
      </c>
      <c r="B167" s="14">
        <v>24805</v>
      </c>
    </row>
    <row r="168" spans="1:2" x14ac:dyDescent="0.25">
      <c r="A168" s="2" t="s">
        <v>171</v>
      </c>
      <c r="B168" s="14">
        <v>-126</v>
      </c>
    </row>
    <row r="169" spans="1:2" x14ac:dyDescent="0.25">
      <c r="A169" s="2" t="s">
        <v>172</v>
      </c>
      <c r="B169" s="14">
        <v>-8348</v>
      </c>
    </row>
    <row r="170" spans="1:2" x14ac:dyDescent="0.25">
      <c r="A170" s="2" t="s">
        <v>173</v>
      </c>
      <c r="B170" s="14">
        <v>-830</v>
      </c>
    </row>
    <row r="171" spans="1:2" x14ac:dyDescent="0.25">
      <c r="A171" s="2" t="s">
        <v>174</v>
      </c>
      <c r="B171" s="14">
        <v>-2085</v>
      </c>
    </row>
    <row r="172" spans="1:2" x14ac:dyDescent="0.25">
      <c r="A172" s="2" t="s">
        <v>175</v>
      </c>
      <c r="B172" s="14">
        <v>-198</v>
      </c>
    </row>
    <row r="173" spans="1:2" x14ac:dyDescent="0.25">
      <c r="A173" s="2" t="s">
        <v>176</v>
      </c>
      <c r="B173" s="14">
        <v>76650</v>
      </c>
    </row>
    <row r="174" spans="1:2" x14ac:dyDescent="0.25">
      <c r="A174" s="2" t="s">
        <v>177</v>
      </c>
      <c r="B174" s="14">
        <v>387</v>
      </c>
    </row>
    <row r="175" spans="1:2" x14ac:dyDescent="0.25">
      <c r="A175" s="2" t="s">
        <v>178</v>
      </c>
      <c r="B175" s="14">
        <v>-242</v>
      </c>
    </row>
    <row r="176" spans="1:2" x14ac:dyDescent="0.25">
      <c r="A176" s="2" t="s">
        <v>179</v>
      </c>
      <c r="B176" s="14">
        <v>-406</v>
      </c>
    </row>
    <row r="177" spans="1:2" x14ac:dyDescent="0.25">
      <c r="A177" s="5" t="s">
        <v>181</v>
      </c>
      <c r="B177" s="14">
        <v>-110356</v>
      </c>
    </row>
    <row r="178" spans="1:2" x14ac:dyDescent="0.25">
      <c r="A178" s="5" t="s">
        <v>182</v>
      </c>
      <c r="B178" s="14">
        <v>741377</v>
      </c>
    </row>
    <row r="179" spans="1:2" x14ac:dyDescent="0.25">
      <c r="A179" s="5" t="s">
        <v>183</v>
      </c>
      <c r="B179" s="14">
        <v>-59774</v>
      </c>
    </row>
    <row r="180" spans="1:2" x14ac:dyDescent="0.25">
      <c r="A180" s="5" t="s">
        <v>184</v>
      </c>
      <c r="B180" s="14">
        <v>-78622</v>
      </c>
    </row>
    <row r="181" spans="1:2" x14ac:dyDescent="0.25">
      <c r="A181" s="5" t="s">
        <v>185</v>
      </c>
      <c r="B181" s="14">
        <v>-11896</v>
      </c>
    </row>
    <row r="182" spans="1:2" x14ac:dyDescent="0.25">
      <c r="A182" s="5" t="s">
        <v>186</v>
      </c>
      <c r="B182" s="14">
        <v>-70546</v>
      </c>
    </row>
    <row r="183" spans="1:2" x14ac:dyDescent="0.25">
      <c r="A183" s="5" t="s">
        <v>187</v>
      </c>
      <c r="B183" s="14">
        <v>-58922</v>
      </c>
    </row>
    <row r="184" spans="1:2" x14ac:dyDescent="0.25">
      <c r="A184" s="5" t="s">
        <v>188</v>
      </c>
      <c r="B184" s="14">
        <v>-43279</v>
      </c>
    </row>
    <row r="185" spans="1:2" x14ac:dyDescent="0.25">
      <c r="A185" s="5" t="s">
        <v>189</v>
      </c>
      <c r="B185" s="14">
        <v>30966</v>
      </c>
    </row>
    <row r="186" spans="1:2" x14ac:dyDescent="0.25">
      <c r="A186" s="5" t="s">
        <v>190</v>
      </c>
      <c r="B186" s="14">
        <v>591289</v>
      </c>
    </row>
    <row r="187" spans="1:2" x14ac:dyDescent="0.25">
      <c r="A187" s="5" t="s">
        <v>191</v>
      </c>
      <c r="B187" s="14">
        <v>26977</v>
      </c>
    </row>
    <row r="188" spans="1:2" x14ac:dyDescent="0.25">
      <c r="A188" s="5" t="s">
        <v>192</v>
      </c>
      <c r="B188" s="14">
        <v>-55254</v>
      </c>
    </row>
    <row r="189" spans="1:2" x14ac:dyDescent="0.25">
      <c r="A189" s="5" t="s">
        <v>193</v>
      </c>
      <c r="B189" s="14">
        <v>46389</v>
      </c>
    </row>
    <row r="190" spans="1:2" x14ac:dyDescent="0.25">
      <c r="A190" s="5" t="s">
        <v>194</v>
      </c>
      <c r="B190" s="14">
        <v>-136356</v>
      </c>
    </row>
    <row r="191" spans="1:2" x14ac:dyDescent="0.25">
      <c r="A191" s="5" t="s">
        <v>195</v>
      </c>
      <c r="B191" s="14">
        <v>256237</v>
      </c>
    </row>
    <row r="192" spans="1:2" x14ac:dyDescent="0.25">
      <c r="A192" s="5" t="s">
        <v>196</v>
      </c>
      <c r="B192" s="14">
        <v>-17630</v>
      </c>
    </row>
    <row r="193" spans="1:2" x14ac:dyDescent="0.25">
      <c r="A193" s="5" t="s">
        <v>197</v>
      </c>
      <c r="B193" s="14">
        <v>-22786</v>
      </c>
    </row>
    <row r="194" spans="1:2" x14ac:dyDescent="0.25">
      <c r="A194" s="5" t="s">
        <v>198</v>
      </c>
      <c r="B194" s="14">
        <v>-46430</v>
      </c>
    </row>
    <row r="195" spans="1:2" x14ac:dyDescent="0.25">
      <c r="A195" s="5" t="s">
        <v>199</v>
      </c>
      <c r="B195" s="14">
        <v>538688</v>
      </c>
    </row>
    <row r="196" spans="1:2" x14ac:dyDescent="0.25">
      <c r="A196" s="5" t="s">
        <v>200</v>
      </c>
      <c r="B196" s="14">
        <v>46912</v>
      </c>
    </row>
    <row r="197" spans="1:2" x14ac:dyDescent="0.25">
      <c r="A197" s="5" t="s">
        <v>201</v>
      </c>
      <c r="B197" s="14">
        <v>-71815</v>
      </c>
    </row>
    <row r="198" spans="1:2" x14ac:dyDescent="0.25">
      <c r="A198" s="5" t="s">
        <v>202</v>
      </c>
      <c r="B198" s="14">
        <v>-82977</v>
      </c>
    </row>
    <row r="199" spans="1:2" x14ac:dyDescent="0.25">
      <c r="A199" s="5" t="s">
        <v>203</v>
      </c>
      <c r="B199" s="14">
        <v>-48407</v>
      </c>
    </row>
    <row r="200" spans="1:2" x14ac:dyDescent="0.25">
      <c r="A200" s="5" t="s">
        <v>204</v>
      </c>
      <c r="B200" s="14">
        <v>12073</v>
      </c>
    </row>
    <row r="201" spans="1:2" x14ac:dyDescent="0.25">
      <c r="A201" s="5" t="s">
        <v>205</v>
      </c>
      <c r="B201" s="14">
        <v>24231</v>
      </c>
    </row>
    <row r="202" spans="1:2" x14ac:dyDescent="0.25">
      <c r="A202" s="5" t="s">
        <v>206</v>
      </c>
      <c r="B202" s="14">
        <v>-14971</v>
      </c>
    </row>
    <row r="203" spans="1:2" x14ac:dyDescent="0.25">
      <c r="A203" s="5" t="s">
        <v>207</v>
      </c>
      <c r="B203" s="14">
        <v>-46812</v>
      </c>
    </row>
    <row r="204" spans="1:2" x14ac:dyDescent="0.25">
      <c r="A204" s="5" t="s">
        <v>208</v>
      </c>
      <c r="B204" s="14">
        <v>-131627</v>
      </c>
    </row>
    <row r="205" spans="1:2" x14ac:dyDescent="0.25">
      <c r="A205" s="5" t="s">
        <v>209</v>
      </c>
      <c r="B205" s="14">
        <v>-41451</v>
      </c>
    </row>
    <row r="206" spans="1:2" x14ac:dyDescent="0.25">
      <c r="A206" s="5" t="s">
        <v>210</v>
      </c>
      <c r="B206" s="14">
        <v>279114</v>
      </c>
    </row>
    <row r="207" spans="1:2" x14ac:dyDescent="0.25">
      <c r="A207" s="5" t="s">
        <v>211</v>
      </c>
      <c r="B207" s="14">
        <v>13776</v>
      </c>
    </row>
    <row r="208" spans="1:2" x14ac:dyDescent="0.25">
      <c r="A208" s="5" t="s">
        <v>212</v>
      </c>
      <c r="B208" s="14">
        <v>-28081</v>
      </c>
    </row>
    <row r="209" spans="1:2" x14ac:dyDescent="0.25">
      <c r="A209" s="5" t="s">
        <v>213</v>
      </c>
      <c r="B209" s="14">
        <v>-40665</v>
      </c>
    </row>
    <row r="210" spans="1:2" x14ac:dyDescent="0.25">
      <c r="A210" s="5" t="s">
        <v>214</v>
      </c>
      <c r="B210" s="14">
        <v>-4644</v>
      </c>
    </row>
    <row r="211" spans="1:2" x14ac:dyDescent="0.25">
      <c r="A211" s="5" t="s">
        <v>215</v>
      </c>
      <c r="B211" s="14">
        <v>-22774</v>
      </c>
    </row>
    <row r="212" spans="1:2" x14ac:dyDescent="0.25">
      <c r="A212" s="5" t="s">
        <v>216</v>
      </c>
      <c r="B212" s="14">
        <v>-30882</v>
      </c>
    </row>
    <row r="213" spans="1:2" x14ac:dyDescent="0.25">
      <c r="A213" s="5" t="s">
        <v>217</v>
      </c>
      <c r="B213" s="14">
        <v>-17981</v>
      </c>
    </row>
    <row r="214" spans="1:2" x14ac:dyDescent="0.25">
      <c r="A214" s="5" t="s">
        <v>218</v>
      </c>
      <c r="B214" s="14">
        <v>-21865</v>
      </c>
    </row>
    <row r="215" spans="1:2" x14ac:dyDescent="0.25">
      <c r="A215" s="5" t="s">
        <v>219</v>
      </c>
      <c r="B215" s="14">
        <v>634872</v>
      </c>
    </row>
    <row r="216" spans="1:2" x14ac:dyDescent="0.25">
      <c r="A216" s="5" t="s">
        <v>220</v>
      </c>
      <c r="B216" s="14">
        <v>-41742</v>
      </c>
    </row>
    <row r="217" spans="1:2" x14ac:dyDescent="0.25">
      <c r="A217" s="5" t="s">
        <v>221</v>
      </c>
      <c r="B217" s="14">
        <v>77</v>
      </c>
    </row>
    <row r="218" spans="1:2" x14ac:dyDescent="0.25">
      <c r="A218" s="5" t="s">
        <v>222</v>
      </c>
      <c r="B218" s="14">
        <v>-12156</v>
      </c>
    </row>
    <row r="219" spans="1:2" x14ac:dyDescent="0.25">
      <c r="A219" s="5" t="s">
        <v>223</v>
      </c>
      <c r="B219" s="14">
        <v>-55290</v>
      </c>
    </row>
    <row r="220" spans="1:2" x14ac:dyDescent="0.25">
      <c r="A220" s="5" t="s">
        <v>224</v>
      </c>
      <c r="B220" s="14">
        <v>-48697</v>
      </c>
    </row>
    <row r="221" spans="1:2" x14ac:dyDescent="0.25">
      <c r="A221" s="5" t="s">
        <v>225</v>
      </c>
      <c r="B221" s="14">
        <v>-92057</v>
      </c>
    </row>
    <row r="222" spans="1:2" x14ac:dyDescent="0.25">
      <c r="A222" s="5" t="s">
        <v>226</v>
      </c>
      <c r="B222" s="14">
        <v>-248570</v>
      </c>
    </row>
    <row r="223" spans="1:2" x14ac:dyDescent="0.25">
      <c r="A223" s="5" t="s">
        <v>227</v>
      </c>
      <c r="B223" s="14">
        <v>-46475</v>
      </c>
    </row>
    <row r="224" spans="1:2" x14ac:dyDescent="0.25">
      <c r="A224" s="5" t="s">
        <v>228</v>
      </c>
      <c r="B224" s="14">
        <v>477949</v>
      </c>
    </row>
    <row r="225" spans="1:2" x14ac:dyDescent="0.25">
      <c r="A225" s="5" t="s">
        <v>229</v>
      </c>
      <c r="B225" s="14">
        <v>161359</v>
      </c>
    </row>
    <row r="226" spans="1:2" x14ac:dyDescent="0.25">
      <c r="A226" s="5" t="s">
        <v>230</v>
      </c>
      <c r="B226" s="14">
        <v>-11293</v>
      </c>
    </row>
    <row r="227" spans="1:2" x14ac:dyDescent="0.25">
      <c r="A227" s="5" t="s">
        <v>231</v>
      </c>
      <c r="B227" s="14">
        <v>-10599</v>
      </c>
    </row>
    <row r="228" spans="1:2" x14ac:dyDescent="0.25">
      <c r="A228" s="5" t="s">
        <v>232</v>
      </c>
      <c r="B228" s="14">
        <v>-25017</v>
      </c>
    </row>
    <row r="229" spans="1:2" x14ac:dyDescent="0.25">
      <c r="A229" s="5" t="s">
        <v>233</v>
      </c>
      <c r="B229" s="14">
        <v>23743</v>
      </c>
    </row>
    <row r="230" spans="1:2" x14ac:dyDescent="0.25">
      <c r="A230" s="5" t="s">
        <v>234</v>
      </c>
      <c r="B230" s="14">
        <v>-7040</v>
      </c>
    </row>
    <row r="231" spans="1:2" x14ac:dyDescent="0.25">
      <c r="A231" s="5" t="s">
        <v>235</v>
      </c>
      <c r="B231" s="14">
        <v>-35359</v>
      </c>
    </row>
    <row r="232" spans="1:2" x14ac:dyDescent="0.25">
      <c r="A232" s="5" t="s">
        <v>236</v>
      </c>
      <c r="B232" s="14">
        <v>-16913</v>
      </c>
    </row>
    <row r="233" spans="1:2" x14ac:dyDescent="0.25">
      <c r="A233" s="5" t="s">
        <v>237</v>
      </c>
      <c r="B233" s="14">
        <v>-79511</v>
      </c>
    </row>
    <row r="234" spans="1:2" x14ac:dyDescent="0.25">
      <c r="A234" s="5" t="s">
        <v>238</v>
      </c>
      <c r="B234" s="14">
        <v>-18905</v>
      </c>
    </row>
    <row r="235" spans="1:2" x14ac:dyDescent="0.25">
      <c r="A235" s="5" t="s">
        <v>239</v>
      </c>
      <c r="B235" s="14">
        <v>-35457</v>
      </c>
    </row>
    <row r="236" spans="1:2" x14ac:dyDescent="0.25">
      <c r="A236" s="5" t="s">
        <v>240</v>
      </c>
      <c r="B236" s="14">
        <v>730928</v>
      </c>
    </row>
    <row r="237" spans="1:2" x14ac:dyDescent="0.25">
      <c r="A237" s="5" t="s">
        <v>241</v>
      </c>
      <c r="B237" s="14">
        <v>-32056</v>
      </c>
    </row>
    <row r="238" spans="1:2" x14ac:dyDescent="0.25">
      <c r="A238" s="5" t="s">
        <v>242</v>
      </c>
      <c r="B238" s="14">
        <v>-30221</v>
      </c>
    </row>
    <row r="239" spans="1:2" x14ac:dyDescent="0.25">
      <c r="A239" s="5" t="s">
        <v>243</v>
      </c>
      <c r="B239" s="14">
        <v>-23509</v>
      </c>
    </row>
    <row r="240" spans="1:2" x14ac:dyDescent="0.25">
      <c r="A240" s="5" t="s">
        <v>244</v>
      </c>
      <c r="B240" s="14">
        <v>-12044</v>
      </c>
    </row>
    <row r="241" spans="1:2" x14ac:dyDescent="0.25">
      <c r="A241" s="5" t="s">
        <v>245</v>
      </c>
      <c r="B241" s="14">
        <v>-43245</v>
      </c>
    </row>
    <row r="242" spans="1:2" x14ac:dyDescent="0.25">
      <c r="A242" s="5" t="s">
        <v>246</v>
      </c>
      <c r="B242" s="14">
        <v>-16922</v>
      </c>
    </row>
    <row r="243" spans="1:2" x14ac:dyDescent="0.25">
      <c r="A243" s="5" t="s">
        <v>247</v>
      </c>
      <c r="B243" s="14">
        <v>-22337</v>
      </c>
    </row>
    <row r="244" spans="1:2" x14ac:dyDescent="0.25">
      <c r="A244" s="5" t="s">
        <v>248</v>
      </c>
      <c r="B244" s="14">
        <v>-5641</v>
      </c>
    </row>
    <row r="245" spans="1:2" x14ac:dyDescent="0.25">
      <c r="A245" s="5" t="s">
        <v>249</v>
      </c>
      <c r="B245" s="14">
        <v>-4344</v>
      </c>
    </row>
    <row r="246" spans="1:2" x14ac:dyDescent="0.25">
      <c r="A246" s="5" t="s">
        <v>250</v>
      </c>
      <c r="B246" s="14">
        <v>-44156</v>
      </c>
    </row>
    <row r="247" spans="1:2" x14ac:dyDescent="0.25">
      <c r="A247" s="5" t="s">
        <v>251</v>
      </c>
      <c r="B247" s="14">
        <v>-10591</v>
      </c>
    </row>
    <row r="248" spans="1:2" x14ac:dyDescent="0.25">
      <c r="A248" s="5" t="s">
        <v>252</v>
      </c>
      <c r="B248" s="14">
        <v>-29168</v>
      </c>
    </row>
    <row r="249" spans="1:2" x14ac:dyDescent="0.25">
      <c r="A249" s="5" t="s">
        <v>253</v>
      </c>
      <c r="B249" s="14">
        <v>201155</v>
      </c>
    </row>
    <row r="250" spans="1:2" x14ac:dyDescent="0.25">
      <c r="A250" s="5" t="s">
        <v>254</v>
      </c>
      <c r="B250" s="14">
        <v>-53422</v>
      </c>
    </row>
    <row r="251" spans="1:2" x14ac:dyDescent="0.25">
      <c r="A251" s="5" t="s">
        <v>255</v>
      </c>
      <c r="B251" s="14">
        <v>73940</v>
      </c>
    </row>
    <row r="252" spans="1:2" x14ac:dyDescent="0.25">
      <c r="A252" s="5" t="s">
        <v>256</v>
      </c>
      <c r="B252" s="14">
        <v>-25409</v>
      </c>
    </row>
    <row r="253" spans="1:2" x14ac:dyDescent="0.25">
      <c r="A253" s="5" t="s">
        <v>257</v>
      </c>
      <c r="B253" s="14">
        <v>-19716</v>
      </c>
    </row>
    <row r="254" spans="1:2" x14ac:dyDescent="0.25">
      <c r="A254" s="5" t="s">
        <v>258</v>
      </c>
      <c r="B254" s="14">
        <v>63230</v>
      </c>
    </row>
    <row r="255" spans="1:2" x14ac:dyDescent="0.25">
      <c r="A255" s="5" t="s">
        <v>259</v>
      </c>
      <c r="B255" s="14">
        <v>-14072</v>
      </c>
    </row>
    <row r="256" spans="1:2" x14ac:dyDescent="0.25">
      <c r="A256" s="5" t="s">
        <v>260</v>
      </c>
      <c r="B256" s="14">
        <v>-10631</v>
      </c>
    </row>
    <row r="257" spans="1:2" x14ac:dyDescent="0.25">
      <c r="A257" s="5" t="s">
        <v>261</v>
      </c>
      <c r="B257" s="14">
        <v>-6947</v>
      </c>
    </row>
    <row r="258" spans="1:2" x14ac:dyDescent="0.25">
      <c r="A258" s="5" t="s">
        <v>262</v>
      </c>
      <c r="B258" s="14">
        <v>24487</v>
      </c>
    </row>
    <row r="259" spans="1:2" x14ac:dyDescent="0.25">
      <c r="A259" s="5" t="s">
        <v>263</v>
      </c>
      <c r="B259" s="14">
        <v>-7061</v>
      </c>
    </row>
    <row r="260" spans="1:2" x14ac:dyDescent="0.25">
      <c r="A260" s="5" t="s">
        <v>264</v>
      </c>
      <c r="B260" s="14">
        <v>-2332</v>
      </c>
    </row>
    <row r="261" spans="1:2" x14ac:dyDescent="0.25">
      <c r="A261" s="5" t="s">
        <v>265</v>
      </c>
      <c r="B261" s="14">
        <v>6291</v>
      </c>
    </row>
    <row r="262" spans="1:2" x14ac:dyDescent="0.25">
      <c r="A262" s="5" t="s">
        <v>266</v>
      </c>
      <c r="B262" s="14">
        <v>-6827</v>
      </c>
    </row>
    <row r="263" spans="1:2" x14ac:dyDescent="0.25">
      <c r="A263" s="5" t="s">
        <v>267</v>
      </c>
      <c r="B263" s="14">
        <v>-12576</v>
      </c>
    </row>
    <row r="264" spans="1:2" x14ac:dyDescent="0.25">
      <c r="A264" s="5" t="s">
        <v>268</v>
      </c>
      <c r="B264" s="14">
        <v>-4278</v>
      </c>
    </row>
    <row r="265" spans="1:2" x14ac:dyDescent="0.25">
      <c r="A265" s="5" t="s">
        <v>269</v>
      </c>
      <c r="B265" s="14">
        <v>-31378</v>
      </c>
    </row>
    <row r="266" spans="1:2" x14ac:dyDescent="0.25">
      <c r="A266" s="5" t="s">
        <v>270</v>
      </c>
      <c r="B266" s="14">
        <v>-22626</v>
      </c>
    </row>
    <row r="267" spans="1:2" x14ac:dyDescent="0.25">
      <c r="A267" s="5" t="s">
        <v>271</v>
      </c>
      <c r="B267" s="14">
        <v>-3632</v>
      </c>
    </row>
    <row r="268" spans="1:2" x14ac:dyDescent="0.25">
      <c r="A268" s="5" t="s">
        <v>272</v>
      </c>
      <c r="B268" s="14">
        <v>-61499</v>
      </c>
    </row>
    <row r="269" spans="1:2" x14ac:dyDescent="0.25">
      <c r="A269" s="5" t="s">
        <v>273</v>
      </c>
      <c r="B269" s="14">
        <v>-18464</v>
      </c>
    </row>
    <row r="270" spans="1:2" x14ac:dyDescent="0.25">
      <c r="A270" s="5" t="s">
        <v>274</v>
      </c>
      <c r="B270" s="14">
        <v>-2544</v>
      </c>
    </row>
    <row r="271" spans="1:2" x14ac:dyDescent="0.25">
      <c r="A271" s="5" t="s">
        <v>275</v>
      </c>
      <c r="B271" s="14">
        <v>291727</v>
      </c>
    </row>
    <row r="272" spans="1:2" x14ac:dyDescent="0.25">
      <c r="A272" s="5" t="s">
        <v>276</v>
      </c>
      <c r="B272" s="14">
        <v>-15019</v>
      </c>
    </row>
    <row r="273" spans="1:2" x14ac:dyDescent="0.25">
      <c r="A273" s="5" t="s">
        <v>277</v>
      </c>
      <c r="B273" s="14">
        <v>-5090</v>
      </c>
    </row>
    <row r="274" spans="1:2" x14ac:dyDescent="0.25">
      <c r="A274" s="5" t="s">
        <v>278</v>
      </c>
      <c r="B274" s="14">
        <v>-21672</v>
      </c>
    </row>
    <row r="275" spans="1:2" x14ac:dyDescent="0.25">
      <c r="A275" s="5" t="s">
        <v>279</v>
      </c>
      <c r="B275" s="14">
        <v>-5145</v>
      </c>
    </row>
    <row r="276" spans="1:2" x14ac:dyDescent="0.25">
      <c r="A276" s="5" t="s">
        <v>280</v>
      </c>
      <c r="B276" s="14">
        <v>-18604</v>
      </c>
    </row>
    <row r="277" spans="1:2" x14ac:dyDescent="0.25">
      <c r="A277" s="5" t="s">
        <v>281</v>
      </c>
      <c r="B277" s="14">
        <v>-15732</v>
      </c>
    </row>
    <row r="278" spans="1:2" x14ac:dyDescent="0.25">
      <c r="A278" s="5" t="s">
        <v>282</v>
      </c>
      <c r="B278" s="14">
        <v>-8999</v>
      </c>
    </row>
    <row r="279" spans="1:2" x14ac:dyDescent="0.25">
      <c r="A279" s="5" t="s">
        <v>283</v>
      </c>
      <c r="B279" s="14">
        <v>-11251</v>
      </c>
    </row>
    <row r="280" spans="1:2" x14ac:dyDescent="0.25">
      <c r="A280" s="5" t="s">
        <v>284</v>
      </c>
      <c r="B280" s="14">
        <v>-4834</v>
      </c>
    </row>
    <row r="281" spans="1:2" x14ac:dyDescent="0.25">
      <c r="A281" s="5" t="s">
        <v>285</v>
      </c>
      <c r="B281" s="14">
        <v>-22637</v>
      </c>
    </row>
    <row r="282" spans="1:2" x14ac:dyDescent="0.25">
      <c r="A282" s="5" t="s">
        <v>286</v>
      </c>
      <c r="B282" s="14">
        <v>-83589</v>
      </c>
    </row>
    <row r="283" spans="1:2" x14ac:dyDescent="0.25">
      <c r="A283" s="5" t="s">
        <v>287</v>
      </c>
      <c r="B283" s="14">
        <v>-4072</v>
      </c>
    </row>
    <row r="284" spans="1:2" x14ac:dyDescent="0.25">
      <c r="A284" s="2" t="s">
        <v>288</v>
      </c>
      <c r="B284" s="14">
        <v>236413</v>
      </c>
    </row>
    <row r="285" spans="1:2" x14ac:dyDescent="0.25">
      <c r="A285" s="2" t="s">
        <v>289</v>
      </c>
      <c r="B285" s="14">
        <v>-6548</v>
      </c>
    </row>
    <row r="286" spans="1:2" x14ac:dyDescent="0.25">
      <c r="A286" s="2" t="s">
        <v>290</v>
      </c>
      <c r="B286" s="14">
        <v>-4517</v>
      </c>
    </row>
    <row r="287" spans="1:2" x14ac:dyDescent="0.25">
      <c r="A287" s="2" t="s">
        <v>291</v>
      </c>
      <c r="B287" s="14">
        <v>-8671</v>
      </c>
    </row>
    <row r="288" spans="1:2" x14ac:dyDescent="0.25">
      <c r="A288" s="2" t="s">
        <v>292</v>
      </c>
      <c r="B288" s="14">
        <v>-933</v>
      </c>
    </row>
    <row r="289" spans="1:2" x14ac:dyDescent="0.25">
      <c r="A289" s="2" t="s">
        <v>293</v>
      </c>
      <c r="B289" s="14">
        <v>-9126</v>
      </c>
    </row>
    <row r="290" spans="1:2" x14ac:dyDescent="0.25">
      <c r="A290" s="2" t="s">
        <v>294</v>
      </c>
      <c r="B290" s="14">
        <v>-6075</v>
      </c>
    </row>
    <row r="291" spans="1:2" x14ac:dyDescent="0.25">
      <c r="A291" s="2" t="s">
        <v>295</v>
      </c>
      <c r="B291" s="14">
        <v>-2572</v>
      </c>
    </row>
    <row r="292" spans="1:2" x14ac:dyDescent="0.25">
      <c r="A292" s="2" t="s">
        <v>296</v>
      </c>
      <c r="B292" s="14">
        <v>-2396</v>
      </c>
    </row>
    <row r="293" spans="1:2" x14ac:dyDescent="0.25">
      <c r="A293" s="2" t="s">
        <v>297</v>
      </c>
      <c r="B293" s="14">
        <v>-12977</v>
      </c>
    </row>
    <row r="294" spans="1:2" x14ac:dyDescent="0.25">
      <c r="A294" s="2" t="s">
        <v>298</v>
      </c>
      <c r="B294" s="14">
        <v>-3905</v>
      </c>
    </row>
    <row r="295" spans="1:2" x14ac:dyDescent="0.25">
      <c r="A295" s="2" t="s">
        <v>299</v>
      </c>
      <c r="B295" s="14">
        <v>-3651</v>
      </c>
    </row>
    <row r="296" spans="1:2" x14ac:dyDescent="0.25">
      <c r="A296" s="2" t="s">
        <v>300</v>
      </c>
      <c r="B296" s="14">
        <v>-1527</v>
      </c>
    </row>
    <row r="297" spans="1:2" x14ac:dyDescent="0.25">
      <c r="A297" s="2" t="s">
        <v>301</v>
      </c>
      <c r="B297" s="14">
        <v>-16414</v>
      </c>
    </row>
    <row r="298" spans="1:2" x14ac:dyDescent="0.25">
      <c r="A298" s="17" t="s">
        <v>302</v>
      </c>
      <c r="B298" s="18">
        <v>43888</v>
      </c>
    </row>
    <row r="299" spans="1:2" x14ac:dyDescent="0.25">
      <c r="A299" s="2" t="s">
        <v>303</v>
      </c>
      <c r="B299" s="14">
        <v>-721</v>
      </c>
    </row>
    <row r="300" spans="1:2" x14ac:dyDescent="0.25">
      <c r="A300" s="2" t="s">
        <v>304</v>
      </c>
      <c r="B300" s="14">
        <v>-1357</v>
      </c>
    </row>
    <row r="301" spans="1:2" x14ac:dyDescent="0.25">
      <c r="A301" s="2" t="s">
        <v>305</v>
      </c>
      <c r="B301" s="14">
        <v>-4003</v>
      </c>
    </row>
    <row r="302" spans="1:2" x14ac:dyDescent="0.25">
      <c r="A302" s="2" t="s">
        <v>306</v>
      </c>
      <c r="B302" s="14">
        <v>-2108</v>
      </c>
    </row>
    <row r="303" spans="1:2" x14ac:dyDescent="0.25">
      <c r="A303" s="2" t="s">
        <v>307</v>
      </c>
      <c r="B303" s="14">
        <v>-976</v>
      </c>
    </row>
    <row r="304" spans="1:2" x14ac:dyDescent="0.25">
      <c r="A304" s="2" t="s">
        <v>308</v>
      </c>
      <c r="B304" s="14">
        <v>-2190</v>
      </c>
    </row>
    <row r="305" spans="1:2" x14ac:dyDescent="0.25">
      <c r="A305" s="2" t="s">
        <v>309</v>
      </c>
      <c r="B305" s="14">
        <v>-3606</v>
      </c>
    </row>
    <row r="306" spans="1:2" x14ac:dyDescent="0.25">
      <c r="A306" s="2" t="s">
        <v>310</v>
      </c>
      <c r="B306" s="14">
        <v>-2144</v>
      </c>
    </row>
    <row r="307" spans="1:2" x14ac:dyDescent="0.25">
      <c r="A307" s="2" t="s">
        <v>311</v>
      </c>
      <c r="B307" s="14">
        <v>13785</v>
      </c>
    </row>
    <row r="308" spans="1:2" x14ac:dyDescent="0.25">
      <c r="A308" s="2" t="s">
        <v>312</v>
      </c>
      <c r="B308" s="14">
        <v>-1373</v>
      </c>
    </row>
    <row r="309" spans="1:2" x14ac:dyDescent="0.25">
      <c r="A309" s="2" t="s">
        <v>313</v>
      </c>
      <c r="B309" s="14">
        <v>-255</v>
      </c>
    </row>
    <row r="310" spans="1:2" x14ac:dyDescent="0.25">
      <c r="A310" s="2" t="s">
        <v>314</v>
      </c>
      <c r="B310" s="14">
        <v>-4907</v>
      </c>
    </row>
    <row r="311" spans="1:2" x14ac:dyDescent="0.25">
      <c r="A311" s="2" t="s">
        <v>315</v>
      </c>
      <c r="B311" s="14">
        <v>-3985</v>
      </c>
    </row>
    <row r="312" spans="1:2" x14ac:dyDescent="0.25">
      <c r="A312" s="2" t="s">
        <v>316</v>
      </c>
      <c r="B312" s="14">
        <v>-644</v>
      </c>
    </row>
    <row r="313" spans="1:2" x14ac:dyDescent="0.25">
      <c r="A313" s="2" t="s">
        <v>317</v>
      </c>
      <c r="B313" s="14">
        <v>51552</v>
      </c>
    </row>
    <row r="314" spans="1:2" x14ac:dyDescent="0.25">
      <c r="A314" s="2" t="s">
        <v>318</v>
      </c>
      <c r="B314" s="14">
        <v>-83</v>
      </c>
    </row>
    <row r="315" spans="1:2" x14ac:dyDescent="0.25">
      <c r="A315" s="2" t="s">
        <v>319</v>
      </c>
      <c r="B315" s="14">
        <v>-543</v>
      </c>
    </row>
    <row r="316" spans="1:2" x14ac:dyDescent="0.25">
      <c r="A316" s="2" t="s">
        <v>320</v>
      </c>
      <c r="B316" s="14">
        <v>3375</v>
      </c>
    </row>
    <row r="317" spans="1:2" x14ac:dyDescent="0.25">
      <c r="A317" s="2" t="s">
        <v>321</v>
      </c>
      <c r="B317" s="14">
        <v>-596650</v>
      </c>
    </row>
    <row r="318" spans="1:2" x14ac:dyDescent="0.25">
      <c r="B318" s="15">
        <f>SUM(B2:B317)</f>
        <v>5697084</v>
      </c>
    </row>
  </sheetData>
  <conditionalFormatting sqref="A2:B317">
    <cfRule type="notContainsBlanks" dxfId="8" priority="3">
      <formula>LEN(TRIM(A2))&gt;0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A7819C-61D0-45A2-9367-B748A18A39D4}">
  <dimension ref="A1:H317"/>
  <sheetViews>
    <sheetView topLeftCell="F1" workbookViewId="0">
      <selection activeCell="H2" sqref="H2:H317"/>
    </sheetView>
  </sheetViews>
  <sheetFormatPr defaultRowHeight="15" x14ac:dyDescent="0.25"/>
  <cols>
    <col min="1" max="1" width="38.7109375" bestFit="1" customWidth="1"/>
    <col min="2" max="3" width="14" bestFit="1" customWidth="1"/>
    <col min="4" max="4" width="9.5703125" bestFit="1" customWidth="1"/>
    <col min="5" max="5" width="13.7109375" bestFit="1" customWidth="1"/>
    <col min="6" max="6" width="97.85546875" customWidth="1"/>
    <col min="7" max="7" width="88.42578125" customWidth="1"/>
    <col min="8" max="8" width="79.7109375" customWidth="1"/>
  </cols>
  <sheetData>
    <row r="1" spans="1:8" x14ac:dyDescent="0.25">
      <c r="A1" s="21" t="s">
        <v>662</v>
      </c>
      <c r="B1" t="s">
        <v>663</v>
      </c>
      <c r="D1" s="22" t="s">
        <v>664</v>
      </c>
      <c r="E1" s="23" t="s">
        <v>665</v>
      </c>
    </row>
    <row r="2" spans="1:8" ht="92.25" customHeight="1" x14ac:dyDescent="0.25">
      <c r="A2" s="5" t="s">
        <v>5</v>
      </c>
      <c r="B2" s="24" t="str">
        <f>VLOOKUP(A2,policy!B:C,2,0)</f>
        <v>050000710500</v>
      </c>
      <c r="C2" s="14">
        <v>-107679</v>
      </c>
      <c r="D2" s="25">
        <f>ROUND(C2,0)</f>
        <v>-107679</v>
      </c>
      <c r="E2" s="23" t="s">
        <v>665</v>
      </c>
      <c r="F2" s="26" t="str">
        <f t="shared" ref="F2:F65" si="0">"insert into ins_premium_det (premium_rcv_code,assorted_code, rec_amount,premium_rcv_detail_code,remaining_amt, payrec, mode_code,coinsurance_code,class_cd,it_remarks) values"</f>
        <v>insert into ins_premium_det (premium_rcv_code,assorted_code, rec_amount,premium_rcv_detail_code,remaining_amt, payrec, mode_code,coinsurance_code,class_cd,it_remarks) values</v>
      </c>
      <c r="G2" s="27" t="str">
        <f>"('"&amp;E2&amp;"','"&amp;B2&amp;"','"&amp;D2&amp;"',(select max(to_number(i.premium_rcv_detail_code))+1
from ins_premium_det i),'"&amp;D2&amp;"','"&amp;D2&amp;"','02', '11000003','00','Request by Mr. Omair Ali 09-May-2025');"</f>
        <v>('07May250079','050000710500','-107679',(select max(to_number(i.premium_rcv_detail_code))+1
from ins_premium_det i),'-107679','-107679','02', '11000003','00','Request by Mr. Omair Ali 09-May-2025');</v>
      </c>
      <c r="H2" s="28" t="str">
        <f>F2&amp;G2</f>
        <v>insert into ins_premium_det (premium_rcv_code,assorted_code, rec_amount,premium_rcv_detail_code,remaining_amt, payrec, mode_code,coinsurance_code,class_cd,it_remarks) values('07May250079','050000710500','-107679',(select max(to_number(i.premium_rcv_detail_code))+1
from ins_premium_det i),'-107679','-107679','02', '11000003','00','Request by Mr. Omair Ali 09-May-2025');</v>
      </c>
    </row>
    <row r="3" spans="1:8" ht="105" x14ac:dyDescent="0.25">
      <c r="A3" s="5" t="s">
        <v>6</v>
      </c>
      <c r="B3" s="24" t="str">
        <f>VLOOKUP(A3,policy!B:C,2,0)</f>
        <v>050000711006</v>
      </c>
      <c r="C3" s="14">
        <v>1498951</v>
      </c>
      <c r="D3" s="25">
        <f t="shared" ref="D3:D66" si="1">ROUND(C3,0)</f>
        <v>1498951</v>
      </c>
      <c r="E3" s="23" t="s">
        <v>665</v>
      </c>
      <c r="F3" s="26" t="str">
        <f t="shared" si="0"/>
        <v>insert into ins_premium_det (premium_rcv_code,assorted_code, rec_amount,premium_rcv_detail_code,remaining_amt, payrec, mode_code,coinsurance_code,class_cd,it_remarks) values</v>
      </c>
      <c r="G3" s="27" t="str">
        <f t="shared" ref="G3:G66" si="2">"('"&amp;E3&amp;"','"&amp;B3&amp;"','"&amp;D3&amp;"',(select max(to_number(i.premium_rcv_detail_code))+1
from ins_premium_det i),'"&amp;D3&amp;"','"&amp;D3&amp;"','02', '11000003','00','Request by Mr. Omair Ali 09-May-2025');"</f>
        <v>('07May250079','050000711006','1498951',(select max(to_number(i.premium_rcv_detail_code))+1
from ins_premium_det i),'1498951','1498951','02', '11000003','00','Request by Mr. Omair Ali 09-May-2025');</v>
      </c>
      <c r="H3" s="28" t="str">
        <f t="shared" ref="H3:H66" si="3">F3&amp;G3</f>
        <v>insert into ins_premium_det (premium_rcv_code,assorted_code, rec_amount,premium_rcv_detail_code,remaining_amt, payrec, mode_code,coinsurance_code,class_cd,it_remarks) values('07May250079','050000711006','1498951',(select max(to_number(i.premium_rcv_detail_code))+1
from ins_premium_det i),'1498951','1498951','02', '11000003','00','Request by Mr. Omair Ali 09-May-2025');</v>
      </c>
    </row>
    <row r="4" spans="1:8" ht="105" x14ac:dyDescent="0.25">
      <c r="A4" s="5" t="s">
        <v>7</v>
      </c>
      <c r="B4" s="24" t="str">
        <f>VLOOKUP(A4,policy!B:C,2,0)</f>
        <v>050000712449</v>
      </c>
      <c r="C4" s="14">
        <v>-77138</v>
      </c>
      <c r="D4" s="25">
        <f t="shared" si="1"/>
        <v>-77138</v>
      </c>
      <c r="E4" s="23" t="s">
        <v>665</v>
      </c>
      <c r="F4" s="26" t="str">
        <f t="shared" si="0"/>
        <v>insert into ins_premium_det (premium_rcv_code,assorted_code, rec_amount,premium_rcv_detail_code,remaining_amt, payrec, mode_code,coinsurance_code,class_cd,it_remarks) values</v>
      </c>
      <c r="G4" s="27" t="str">
        <f t="shared" si="2"/>
        <v>('07May250079','050000712449','-77138',(select max(to_number(i.premium_rcv_detail_code))+1
from ins_premium_det i),'-77138','-77138','02', '11000003','00','Request by Mr. Omair Ali 09-May-2025');</v>
      </c>
      <c r="H4" s="28" t="str">
        <f t="shared" si="3"/>
        <v>insert into ins_premium_det (premium_rcv_code,assorted_code, rec_amount,premium_rcv_detail_code,remaining_amt, payrec, mode_code,coinsurance_code,class_cd,it_remarks) values('07May250079','050000712449','-77138',(select max(to_number(i.premium_rcv_detail_code))+1
from ins_premium_det i),'-77138','-77138','02', '11000003','00','Request by Mr. Omair Ali 09-May-2025');</v>
      </c>
    </row>
    <row r="5" spans="1:8" ht="105" x14ac:dyDescent="0.25">
      <c r="A5" s="5" t="s">
        <v>8</v>
      </c>
      <c r="B5" s="24" t="str">
        <f>VLOOKUP(A5,policy!B:C,2,0)</f>
        <v>050000714893</v>
      </c>
      <c r="C5" s="14">
        <v>-106930</v>
      </c>
      <c r="D5" s="25">
        <f t="shared" si="1"/>
        <v>-106930</v>
      </c>
      <c r="E5" s="23" t="s">
        <v>665</v>
      </c>
      <c r="F5" s="26" t="str">
        <f t="shared" si="0"/>
        <v>insert into ins_premium_det (premium_rcv_code,assorted_code, rec_amount,premium_rcv_detail_code,remaining_amt, payrec, mode_code,coinsurance_code,class_cd,it_remarks) values</v>
      </c>
      <c r="G5" s="27" t="str">
        <f t="shared" si="2"/>
        <v>('07May250079','050000714893','-106930',(select max(to_number(i.premium_rcv_detail_code))+1
from ins_premium_det i),'-106930','-106930','02', '11000003','00','Request by Mr. Omair Ali 09-May-2025');</v>
      </c>
      <c r="H5" s="28" t="str">
        <f t="shared" si="3"/>
        <v>insert into ins_premium_det (premium_rcv_code,assorted_code, rec_amount,premium_rcv_detail_code,remaining_amt, payrec, mode_code,coinsurance_code,class_cd,it_remarks) values('07May250079','050000714893','-106930',(select max(to_number(i.premium_rcv_detail_code))+1
from ins_premium_det i),'-106930','-106930','02', '11000003','00','Request by Mr. Omair Ali 09-May-2025');</v>
      </c>
    </row>
    <row r="6" spans="1:8" ht="105" x14ac:dyDescent="0.25">
      <c r="A6" s="5" t="s">
        <v>9</v>
      </c>
      <c r="B6" s="24" t="str">
        <f>VLOOKUP(A6,policy!B:C,2,0)</f>
        <v>050000716622</v>
      </c>
      <c r="C6" s="14">
        <v>-3388</v>
      </c>
      <c r="D6" s="25">
        <f t="shared" si="1"/>
        <v>-3388</v>
      </c>
      <c r="E6" s="23" t="s">
        <v>665</v>
      </c>
      <c r="F6" s="26" t="str">
        <f t="shared" si="0"/>
        <v>insert into ins_premium_det (premium_rcv_code,assorted_code, rec_amount,premium_rcv_detail_code,remaining_amt, payrec, mode_code,coinsurance_code,class_cd,it_remarks) values</v>
      </c>
      <c r="G6" s="27" t="str">
        <f t="shared" si="2"/>
        <v>('07May250079','050000716622','-3388',(select max(to_number(i.premium_rcv_detail_code))+1
from ins_premium_det i),'-3388','-3388','02', '11000003','00','Request by Mr. Omair Ali 09-May-2025');</v>
      </c>
      <c r="H6" s="28" t="str">
        <f t="shared" si="3"/>
        <v>insert into ins_premium_det (premium_rcv_code,assorted_code, rec_amount,premium_rcv_detail_code,remaining_amt, payrec, mode_code,coinsurance_code,class_cd,it_remarks) values('07May250079','050000716622','-3388',(select max(to_number(i.premium_rcv_detail_code))+1
from ins_premium_det i),'-3388','-3388','02', '11000003','00','Request by Mr. Omair Ali 09-May-2025');</v>
      </c>
    </row>
    <row r="7" spans="1:8" ht="105" x14ac:dyDescent="0.25">
      <c r="A7" s="5" t="s">
        <v>10</v>
      </c>
      <c r="B7" s="24" t="str">
        <f>VLOOKUP(A7,policy!B:C,2,0)</f>
        <v>050000716936</v>
      </c>
      <c r="C7" s="14">
        <v>5332</v>
      </c>
      <c r="D7" s="25">
        <f t="shared" si="1"/>
        <v>5332</v>
      </c>
      <c r="E7" s="23" t="s">
        <v>665</v>
      </c>
      <c r="F7" s="26" t="str">
        <f t="shared" si="0"/>
        <v>insert into ins_premium_det (premium_rcv_code,assorted_code, rec_amount,premium_rcv_detail_code,remaining_amt, payrec, mode_code,coinsurance_code,class_cd,it_remarks) values</v>
      </c>
      <c r="G7" s="27" t="str">
        <f t="shared" si="2"/>
        <v>('07May250079','050000716936','5332',(select max(to_number(i.premium_rcv_detail_code))+1
from ins_premium_det i),'5332','5332','02', '11000003','00','Request by Mr. Omair Ali 09-May-2025');</v>
      </c>
      <c r="H7" s="28" t="str">
        <f t="shared" si="3"/>
        <v>insert into ins_premium_det (premium_rcv_code,assorted_code, rec_amount,premium_rcv_detail_code,remaining_amt, payrec, mode_code,coinsurance_code,class_cd,it_remarks) values('07May250079','050000716936','5332',(select max(to_number(i.premium_rcv_detail_code))+1
from ins_premium_det i),'5332','5332','02', '11000003','00','Request by Mr. Omair Ali 09-May-2025');</v>
      </c>
    </row>
    <row r="8" spans="1:8" ht="105" x14ac:dyDescent="0.25">
      <c r="A8" s="5" t="s">
        <v>11</v>
      </c>
      <c r="B8" s="24" t="str">
        <f>VLOOKUP(A8,policy!B:C,2,0)</f>
        <v>050000718023</v>
      </c>
      <c r="C8" s="14">
        <v>-109703</v>
      </c>
      <c r="D8" s="25">
        <f t="shared" si="1"/>
        <v>-109703</v>
      </c>
      <c r="E8" s="23" t="s">
        <v>665</v>
      </c>
      <c r="F8" s="26" t="str">
        <f t="shared" si="0"/>
        <v>insert into ins_premium_det (premium_rcv_code,assorted_code, rec_amount,premium_rcv_detail_code,remaining_amt, payrec, mode_code,coinsurance_code,class_cd,it_remarks) values</v>
      </c>
      <c r="G8" s="27" t="str">
        <f t="shared" si="2"/>
        <v>('07May250079','050000718023','-109703',(select max(to_number(i.premium_rcv_detail_code))+1
from ins_premium_det i),'-109703','-109703','02', '11000003','00','Request by Mr. Omair Ali 09-May-2025');</v>
      </c>
      <c r="H8" s="28" t="str">
        <f t="shared" si="3"/>
        <v>insert into ins_premium_det (premium_rcv_code,assorted_code, rec_amount,premium_rcv_detail_code,remaining_amt, payrec, mode_code,coinsurance_code,class_cd,it_remarks) values('07May250079','050000718023','-109703',(select max(to_number(i.premium_rcv_detail_code))+1
from ins_premium_det i),'-109703','-109703','02', '11000003','00','Request by Mr. Omair Ali 09-May-2025');</v>
      </c>
    </row>
    <row r="9" spans="1:8" ht="105" x14ac:dyDescent="0.25">
      <c r="A9" s="5" t="s">
        <v>12</v>
      </c>
      <c r="B9" s="24" t="str">
        <f>VLOOKUP(A9,policy!B:C,2,0)</f>
        <v>050000718335</v>
      </c>
      <c r="C9" s="14">
        <v>-74726</v>
      </c>
      <c r="D9" s="25">
        <f t="shared" si="1"/>
        <v>-74726</v>
      </c>
      <c r="E9" s="23" t="s">
        <v>665</v>
      </c>
      <c r="F9" s="26" t="str">
        <f t="shared" si="0"/>
        <v>insert into ins_premium_det (premium_rcv_code,assorted_code, rec_amount,premium_rcv_detail_code,remaining_amt, payrec, mode_code,coinsurance_code,class_cd,it_remarks) values</v>
      </c>
      <c r="G9" s="27" t="str">
        <f t="shared" si="2"/>
        <v>('07May250079','050000718335','-74726',(select max(to_number(i.premium_rcv_detail_code))+1
from ins_premium_det i),'-74726','-74726','02', '11000003','00','Request by Mr. Omair Ali 09-May-2025');</v>
      </c>
      <c r="H9" s="28" t="str">
        <f t="shared" si="3"/>
        <v>insert into ins_premium_det (premium_rcv_code,assorted_code, rec_amount,premium_rcv_detail_code,remaining_amt, payrec, mode_code,coinsurance_code,class_cd,it_remarks) values('07May250079','050000718335','-74726',(select max(to_number(i.premium_rcv_detail_code))+1
from ins_premium_det i),'-74726','-74726','02', '11000003','00','Request by Mr. Omair Ali 09-May-2025');</v>
      </c>
    </row>
    <row r="10" spans="1:8" ht="105" x14ac:dyDescent="0.25">
      <c r="A10" s="5" t="s">
        <v>13</v>
      </c>
      <c r="B10" s="24" t="str">
        <f>VLOOKUP(A10,policy!B:C,2,0)</f>
        <v>050000719709</v>
      </c>
      <c r="C10" s="14">
        <v>-72809</v>
      </c>
      <c r="D10" s="25">
        <f t="shared" si="1"/>
        <v>-72809</v>
      </c>
      <c r="E10" s="23" t="s">
        <v>665</v>
      </c>
      <c r="F10" s="26" t="str">
        <f t="shared" si="0"/>
        <v>insert into ins_premium_det (premium_rcv_code,assorted_code, rec_amount,premium_rcv_detail_code,remaining_amt, payrec, mode_code,coinsurance_code,class_cd,it_remarks) values</v>
      </c>
      <c r="G10" s="27" t="str">
        <f t="shared" si="2"/>
        <v>('07May250079','050000719709','-72809',(select max(to_number(i.premium_rcv_detail_code))+1
from ins_premium_det i),'-72809','-72809','02', '11000003','00','Request by Mr. Omair Ali 09-May-2025');</v>
      </c>
      <c r="H10" s="28" t="str">
        <f t="shared" si="3"/>
        <v>insert into ins_premium_det (premium_rcv_code,assorted_code, rec_amount,premium_rcv_detail_code,remaining_amt, payrec, mode_code,coinsurance_code,class_cd,it_remarks) values('07May250079','050000719709','-72809',(select max(to_number(i.premium_rcv_detail_code))+1
from ins_premium_det i),'-72809','-72809','02', '11000003','00','Request by Mr. Omair Ali 09-May-2025');</v>
      </c>
    </row>
    <row r="11" spans="1:8" ht="105" x14ac:dyDescent="0.25">
      <c r="A11" s="5" t="s">
        <v>14</v>
      </c>
      <c r="B11" s="24" t="str">
        <f>VLOOKUP(A11,policy!B:C,2,0)</f>
        <v>050000723873</v>
      </c>
      <c r="C11" s="14">
        <v>209758</v>
      </c>
      <c r="D11" s="25">
        <f t="shared" si="1"/>
        <v>209758</v>
      </c>
      <c r="E11" s="23" t="s">
        <v>665</v>
      </c>
      <c r="F11" s="26" t="str">
        <f t="shared" si="0"/>
        <v>insert into ins_premium_det (premium_rcv_code,assorted_code, rec_amount,premium_rcv_detail_code,remaining_amt, payrec, mode_code,coinsurance_code,class_cd,it_remarks) values</v>
      </c>
      <c r="G11" s="27" t="str">
        <f t="shared" si="2"/>
        <v>('07May250079','050000723873','209758',(select max(to_number(i.premium_rcv_detail_code))+1
from ins_premium_det i),'209758','209758','02', '11000003','00','Request by Mr. Omair Ali 09-May-2025');</v>
      </c>
      <c r="H11" s="28" t="str">
        <f t="shared" si="3"/>
        <v>insert into ins_premium_det (premium_rcv_code,assorted_code, rec_amount,premium_rcv_detail_code,remaining_amt, payrec, mode_code,coinsurance_code,class_cd,it_remarks) values('07May250079','050000723873','209758',(select max(to_number(i.premium_rcv_detail_code))+1
from ins_premium_det i),'209758','209758','02', '11000003','00','Request by Mr. Omair Ali 09-May-2025');</v>
      </c>
    </row>
    <row r="12" spans="1:8" ht="105" x14ac:dyDescent="0.25">
      <c r="A12" s="5" t="s">
        <v>15</v>
      </c>
      <c r="B12" s="24" t="str">
        <f>VLOOKUP(A12,policy!B:C,2,0)</f>
        <v>050000724471</v>
      </c>
      <c r="C12" s="14">
        <v>139240</v>
      </c>
      <c r="D12" s="25">
        <f t="shared" si="1"/>
        <v>139240</v>
      </c>
      <c r="E12" s="23" t="s">
        <v>665</v>
      </c>
      <c r="F12" s="26" t="str">
        <f t="shared" si="0"/>
        <v>insert into ins_premium_det (premium_rcv_code,assorted_code, rec_amount,premium_rcv_detail_code,remaining_amt, payrec, mode_code,coinsurance_code,class_cd,it_remarks) values</v>
      </c>
      <c r="G12" s="27" t="str">
        <f t="shared" si="2"/>
        <v>('07May250079','050000724471','139240',(select max(to_number(i.premium_rcv_detail_code))+1
from ins_premium_det i),'139240','139240','02', '11000003','00','Request by Mr. Omair Ali 09-May-2025');</v>
      </c>
      <c r="H12" s="28" t="str">
        <f t="shared" si="3"/>
        <v>insert into ins_premium_det (premium_rcv_code,assorted_code, rec_amount,premium_rcv_detail_code,remaining_amt, payrec, mode_code,coinsurance_code,class_cd,it_remarks) values('07May250079','050000724471','139240',(select max(to_number(i.premium_rcv_detail_code))+1
from ins_premium_det i),'139240','139240','02', '11000003','00','Request by Mr. Omair Ali 09-May-2025');</v>
      </c>
    </row>
    <row r="13" spans="1:8" ht="105" x14ac:dyDescent="0.25">
      <c r="A13" s="5" t="s">
        <v>16</v>
      </c>
      <c r="B13" s="24" t="str">
        <f>VLOOKUP(A13,policy!B:C,2,0)</f>
        <v>050000724822</v>
      </c>
      <c r="C13" s="14">
        <v>738204</v>
      </c>
      <c r="D13" s="25">
        <f t="shared" si="1"/>
        <v>738204</v>
      </c>
      <c r="E13" s="23" t="s">
        <v>665</v>
      </c>
      <c r="F13" s="26" t="str">
        <f t="shared" si="0"/>
        <v>insert into ins_premium_det (premium_rcv_code,assorted_code, rec_amount,premium_rcv_detail_code,remaining_amt, payrec, mode_code,coinsurance_code,class_cd,it_remarks) values</v>
      </c>
      <c r="G13" s="27" t="str">
        <f t="shared" si="2"/>
        <v>('07May250079','050000724822','738204',(select max(to_number(i.premium_rcv_detail_code))+1
from ins_premium_det i),'738204','738204','02', '11000003','00','Request by Mr. Omair Ali 09-May-2025');</v>
      </c>
      <c r="H13" s="28" t="str">
        <f t="shared" si="3"/>
        <v>insert into ins_premium_det (premium_rcv_code,assorted_code, rec_amount,premium_rcv_detail_code,remaining_amt, payrec, mode_code,coinsurance_code,class_cd,it_remarks) values('07May250079','050000724822','738204',(select max(to_number(i.premium_rcv_detail_code))+1
from ins_premium_det i),'738204','738204','02', '11000003','00','Request by Mr. Omair Ali 09-May-2025');</v>
      </c>
    </row>
    <row r="14" spans="1:8" ht="105" x14ac:dyDescent="0.25">
      <c r="A14" s="5" t="s">
        <v>17</v>
      </c>
      <c r="B14" s="24" t="str">
        <f>VLOOKUP(A14,policy!B:C,2,0)</f>
        <v>050000726187</v>
      </c>
      <c r="C14" s="14">
        <v>-31702</v>
      </c>
      <c r="D14" s="25">
        <f t="shared" si="1"/>
        <v>-31702</v>
      </c>
      <c r="E14" s="23" t="s">
        <v>665</v>
      </c>
      <c r="F14" s="26" t="str">
        <f t="shared" si="0"/>
        <v>insert into ins_premium_det (premium_rcv_code,assorted_code, rec_amount,premium_rcv_detail_code,remaining_amt, payrec, mode_code,coinsurance_code,class_cd,it_remarks) values</v>
      </c>
      <c r="G14" s="27" t="str">
        <f t="shared" si="2"/>
        <v>('07May250079','050000726187','-31702',(select max(to_number(i.premium_rcv_detail_code))+1
from ins_premium_det i),'-31702','-31702','02', '11000003','00','Request by Mr. Omair Ali 09-May-2025');</v>
      </c>
      <c r="H14" s="28" t="str">
        <f t="shared" si="3"/>
        <v>insert into ins_premium_det (premium_rcv_code,assorted_code, rec_amount,premium_rcv_detail_code,remaining_amt, payrec, mode_code,coinsurance_code,class_cd,it_remarks) values('07May250079','050000726187','-31702',(select max(to_number(i.premium_rcv_detail_code))+1
from ins_premium_det i),'-31702','-31702','02', '11000003','00','Request by Mr. Omair Ali 09-May-2025');</v>
      </c>
    </row>
    <row r="15" spans="1:8" ht="105" x14ac:dyDescent="0.25">
      <c r="A15" s="5" t="s">
        <v>18</v>
      </c>
      <c r="B15" s="24" t="str">
        <f>VLOOKUP(A15,policy!B:C,2,0)</f>
        <v>050000726592</v>
      </c>
      <c r="C15" s="14">
        <v>-57825</v>
      </c>
      <c r="D15" s="25">
        <f t="shared" si="1"/>
        <v>-57825</v>
      </c>
      <c r="E15" s="23" t="s">
        <v>665</v>
      </c>
      <c r="F15" s="26" t="str">
        <f t="shared" si="0"/>
        <v>insert into ins_premium_det (premium_rcv_code,assorted_code, rec_amount,premium_rcv_detail_code,remaining_amt, payrec, mode_code,coinsurance_code,class_cd,it_remarks) values</v>
      </c>
      <c r="G15" s="27" t="str">
        <f t="shared" si="2"/>
        <v>('07May250079','050000726592','-57825',(select max(to_number(i.premium_rcv_detail_code))+1
from ins_premium_det i),'-57825','-57825','02', '11000003','00','Request by Mr. Omair Ali 09-May-2025');</v>
      </c>
      <c r="H15" s="28" t="str">
        <f t="shared" si="3"/>
        <v>insert into ins_premium_det (premium_rcv_code,assorted_code, rec_amount,premium_rcv_detail_code,remaining_amt, payrec, mode_code,coinsurance_code,class_cd,it_remarks) values('07May250079','050000726592','-57825',(select max(to_number(i.premium_rcv_detail_code))+1
from ins_premium_det i),'-57825','-57825','02', '11000003','00','Request by Mr. Omair Ali 09-May-2025');</v>
      </c>
    </row>
    <row r="16" spans="1:8" ht="105" x14ac:dyDescent="0.25">
      <c r="A16" s="5" t="s">
        <v>19</v>
      </c>
      <c r="B16" s="24" t="str">
        <f>VLOOKUP(A16,policy!B:C,2,0)</f>
        <v>050000728266</v>
      </c>
      <c r="C16" s="14">
        <v>29702</v>
      </c>
      <c r="D16" s="25">
        <f t="shared" si="1"/>
        <v>29702</v>
      </c>
      <c r="E16" s="23" t="s">
        <v>665</v>
      </c>
      <c r="F16" s="26" t="str">
        <f t="shared" si="0"/>
        <v>insert into ins_premium_det (premium_rcv_code,assorted_code, rec_amount,premium_rcv_detail_code,remaining_amt, payrec, mode_code,coinsurance_code,class_cd,it_remarks) values</v>
      </c>
      <c r="G16" s="27" t="str">
        <f t="shared" si="2"/>
        <v>('07May250079','050000728266','29702',(select max(to_number(i.premium_rcv_detail_code))+1
from ins_premium_det i),'29702','29702','02', '11000003','00','Request by Mr. Omair Ali 09-May-2025');</v>
      </c>
      <c r="H16" s="28" t="str">
        <f t="shared" si="3"/>
        <v>insert into ins_premium_det (premium_rcv_code,assorted_code, rec_amount,premium_rcv_detail_code,remaining_amt, payrec, mode_code,coinsurance_code,class_cd,it_remarks) values('07May250079','050000728266','29702',(select max(to_number(i.premium_rcv_detail_code))+1
from ins_premium_det i),'29702','29702','02', '11000003','00','Request by Mr. Omair Ali 09-May-2025');</v>
      </c>
    </row>
    <row r="17" spans="1:8" ht="105" x14ac:dyDescent="0.25">
      <c r="A17" s="5" t="s">
        <v>20</v>
      </c>
      <c r="B17" s="24" t="str">
        <f>VLOOKUP(A17,policy!B:C,2,0)</f>
        <v>050000729075</v>
      </c>
      <c r="C17" s="14">
        <v>-18572</v>
      </c>
      <c r="D17" s="25">
        <f t="shared" si="1"/>
        <v>-18572</v>
      </c>
      <c r="E17" s="23" t="s">
        <v>665</v>
      </c>
      <c r="F17" s="26" t="str">
        <f t="shared" si="0"/>
        <v>insert into ins_premium_det (premium_rcv_code,assorted_code, rec_amount,premium_rcv_detail_code,remaining_amt, payrec, mode_code,coinsurance_code,class_cd,it_remarks) values</v>
      </c>
      <c r="G17" s="27" t="str">
        <f t="shared" si="2"/>
        <v>('07May250079','050000729075','-18572',(select max(to_number(i.premium_rcv_detail_code))+1
from ins_premium_det i),'-18572','-18572','02', '11000003','00','Request by Mr. Omair Ali 09-May-2025');</v>
      </c>
      <c r="H17" s="28" t="str">
        <f t="shared" si="3"/>
        <v>insert into ins_premium_det (premium_rcv_code,assorted_code, rec_amount,premium_rcv_detail_code,remaining_amt, payrec, mode_code,coinsurance_code,class_cd,it_remarks) values('07May250079','050000729075','-18572',(select max(to_number(i.premium_rcv_detail_code))+1
from ins_premium_det i),'-18572','-18572','02', '11000003','00','Request by Mr. Omair Ali 09-May-2025');</v>
      </c>
    </row>
    <row r="18" spans="1:8" ht="105" x14ac:dyDescent="0.25">
      <c r="A18" s="5" t="s">
        <v>21</v>
      </c>
      <c r="B18" s="24" t="str">
        <f>VLOOKUP(A18,policy!B:C,2,0)</f>
        <v>050000729121</v>
      </c>
      <c r="C18" s="14">
        <v>101042</v>
      </c>
      <c r="D18" s="25">
        <f t="shared" si="1"/>
        <v>101042</v>
      </c>
      <c r="E18" s="23" t="s">
        <v>665</v>
      </c>
      <c r="F18" s="26" t="str">
        <f t="shared" si="0"/>
        <v>insert into ins_premium_det (premium_rcv_code,assorted_code, rec_amount,premium_rcv_detail_code,remaining_amt, payrec, mode_code,coinsurance_code,class_cd,it_remarks) values</v>
      </c>
      <c r="G18" s="27" t="str">
        <f t="shared" si="2"/>
        <v>('07May250079','050000729121','101042',(select max(to_number(i.premium_rcv_detail_code))+1
from ins_premium_det i),'101042','101042','02', '11000003','00','Request by Mr. Omair Ali 09-May-2025');</v>
      </c>
      <c r="H18" s="28" t="str">
        <f t="shared" si="3"/>
        <v>insert into ins_premium_det (premium_rcv_code,assorted_code, rec_amount,premium_rcv_detail_code,remaining_amt, payrec, mode_code,coinsurance_code,class_cd,it_remarks) values('07May250079','050000729121','101042',(select max(to_number(i.premium_rcv_detail_code))+1
from ins_premium_det i),'101042','101042','02', '11000003','00','Request by Mr. Omair Ali 09-May-2025');</v>
      </c>
    </row>
    <row r="19" spans="1:8" ht="105" x14ac:dyDescent="0.25">
      <c r="A19" s="5" t="s">
        <v>22</v>
      </c>
      <c r="B19" s="24" t="str">
        <f>VLOOKUP(A19,policy!B:C,2,0)</f>
        <v>050000729270</v>
      </c>
      <c r="C19" s="14">
        <v>-87420</v>
      </c>
      <c r="D19" s="25">
        <f t="shared" si="1"/>
        <v>-87420</v>
      </c>
      <c r="E19" s="23" t="s">
        <v>665</v>
      </c>
      <c r="F19" s="26" t="str">
        <f t="shared" si="0"/>
        <v>insert into ins_premium_det (premium_rcv_code,assorted_code, rec_amount,premium_rcv_detail_code,remaining_amt, payrec, mode_code,coinsurance_code,class_cd,it_remarks) values</v>
      </c>
      <c r="G19" s="27" t="str">
        <f t="shared" si="2"/>
        <v>('07May250079','050000729270','-87420',(select max(to_number(i.premium_rcv_detail_code))+1
from ins_premium_det i),'-87420','-87420','02', '11000003','00','Request by Mr. Omair Ali 09-May-2025');</v>
      </c>
      <c r="H19" s="28" t="str">
        <f t="shared" si="3"/>
        <v>insert into ins_premium_det (premium_rcv_code,assorted_code, rec_amount,premium_rcv_detail_code,remaining_amt, payrec, mode_code,coinsurance_code,class_cd,it_remarks) values('07May250079','050000729270','-87420',(select max(to_number(i.premium_rcv_detail_code))+1
from ins_premium_det i),'-87420','-87420','02', '11000003','00','Request by Mr. Omair Ali 09-May-2025');</v>
      </c>
    </row>
    <row r="20" spans="1:8" ht="105" x14ac:dyDescent="0.25">
      <c r="A20" s="5" t="s">
        <v>23</v>
      </c>
      <c r="B20" s="24" t="str">
        <f>VLOOKUP(A20,policy!B:C,2,0)</f>
        <v>050000729273</v>
      </c>
      <c r="C20" s="14">
        <v>-36712</v>
      </c>
      <c r="D20" s="25">
        <f t="shared" si="1"/>
        <v>-36712</v>
      </c>
      <c r="E20" s="23" t="s">
        <v>665</v>
      </c>
      <c r="F20" s="26" t="str">
        <f t="shared" si="0"/>
        <v>insert into ins_premium_det (premium_rcv_code,assorted_code, rec_amount,premium_rcv_detail_code,remaining_amt, payrec, mode_code,coinsurance_code,class_cd,it_remarks) values</v>
      </c>
      <c r="G20" s="27" t="str">
        <f t="shared" si="2"/>
        <v>('07May250079','050000729273','-36712',(select max(to_number(i.premium_rcv_detail_code))+1
from ins_premium_det i),'-36712','-36712','02', '11000003','00','Request by Mr. Omair Ali 09-May-2025');</v>
      </c>
      <c r="H20" s="28" t="str">
        <f t="shared" si="3"/>
        <v>insert into ins_premium_det (premium_rcv_code,assorted_code, rec_amount,premium_rcv_detail_code,remaining_amt, payrec, mode_code,coinsurance_code,class_cd,it_remarks) values('07May250079','050000729273','-36712',(select max(to_number(i.premium_rcv_detail_code))+1
from ins_premium_det i),'-36712','-36712','02', '11000003','00','Request by Mr. Omair Ali 09-May-2025');</v>
      </c>
    </row>
    <row r="21" spans="1:8" ht="105" x14ac:dyDescent="0.25">
      <c r="A21" s="5" t="s">
        <v>24</v>
      </c>
      <c r="B21" s="24" t="str">
        <f>VLOOKUP(A21,policy!B:C,2,0)</f>
        <v>050000729656</v>
      </c>
      <c r="C21" s="14">
        <v>383873</v>
      </c>
      <c r="D21" s="25">
        <f t="shared" si="1"/>
        <v>383873</v>
      </c>
      <c r="E21" s="23" t="s">
        <v>665</v>
      </c>
      <c r="F21" s="26" t="str">
        <f t="shared" si="0"/>
        <v>insert into ins_premium_det (premium_rcv_code,assorted_code, rec_amount,premium_rcv_detail_code,remaining_amt, payrec, mode_code,coinsurance_code,class_cd,it_remarks) values</v>
      </c>
      <c r="G21" s="27" t="str">
        <f t="shared" si="2"/>
        <v>('07May250079','050000729656','383873',(select max(to_number(i.premium_rcv_detail_code))+1
from ins_premium_det i),'383873','383873','02', '11000003','00','Request by Mr. Omair Ali 09-May-2025');</v>
      </c>
      <c r="H21" s="28" t="str">
        <f t="shared" si="3"/>
        <v>insert into ins_premium_det (premium_rcv_code,assorted_code, rec_amount,premium_rcv_detail_code,remaining_amt, payrec, mode_code,coinsurance_code,class_cd,it_remarks) values('07May250079','050000729656','383873',(select max(to_number(i.premium_rcv_detail_code))+1
from ins_premium_det i),'383873','383873','02', '11000003','00','Request by Mr. Omair Ali 09-May-2025');</v>
      </c>
    </row>
    <row r="22" spans="1:8" ht="105" x14ac:dyDescent="0.25">
      <c r="A22" s="5" t="s">
        <v>25</v>
      </c>
      <c r="B22" s="24" t="str">
        <f>VLOOKUP(A22,policy!B:C,2,0)</f>
        <v>050000730188</v>
      </c>
      <c r="C22" s="14">
        <v>24946</v>
      </c>
      <c r="D22" s="25">
        <f t="shared" si="1"/>
        <v>24946</v>
      </c>
      <c r="E22" s="23" t="s">
        <v>665</v>
      </c>
      <c r="F22" s="26" t="str">
        <f t="shared" si="0"/>
        <v>insert into ins_premium_det (premium_rcv_code,assorted_code, rec_amount,premium_rcv_detail_code,remaining_amt, payrec, mode_code,coinsurance_code,class_cd,it_remarks) values</v>
      </c>
      <c r="G22" s="27" t="str">
        <f t="shared" si="2"/>
        <v>('07May250079','050000730188','24946',(select max(to_number(i.premium_rcv_detail_code))+1
from ins_premium_det i),'24946','24946','02', '11000003','00','Request by Mr. Omair Ali 09-May-2025');</v>
      </c>
      <c r="H22" s="28" t="str">
        <f t="shared" si="3"/>
        <v>insert into ins_premium_det (premium_rcv_code,assorted_code, rec_amount,premium_rcv_detail_code,remaining_amt, payrec, mode_code,coinsurance_code,class_cd,it_remarks) values('07May250079','050000730188','24946',(select max(to_number(i.premium_rcv_detail_code))+1
from ins_premium_det i),'24946','24946','02', '11000003','00','Request by Mr. Omair Ali 09-May-2025');</v>
      </c>
    </row>
    <row r="23" spans="1:8" ht="105" x14ac:dyDescent="0.25">
      <c r="A23" s="5" t="s">
        <v>26</v>
      </c>
      <c r="B23" s="24" t="str">
        <f>VLOOKUP(A23,policy!B:C,2,0)</f>
        <v>050000733221</v>
      </c>
      <c r="C23" s="14">
        <v>-24407</v>
      </c>
      <c r="D23" s="25">
        <f t="shared" si="1"/>
        <v>-24407</v>
      </c>
      <c r="E23" s="23" t="s">
        <v>665</v>
      </c>
      <c r="F23" s="26" t="str">
        <f t="shared" si="0"/>
        <v>insert into ins_premium_det (premium_rcv_code,assorted_code, rec_amount,premium_rcv_detail_code,remaining_amt, payrec, mode_code,coinsurance_code,class_cd,it_remarks) values</v>
      </c>
      <c r="G23" s="27" t="str">
        <f t="shared" si="2"/>
        <v>('07May250079','050000733221','-24407',(select max(to_number(i.premium_rcv_detail_code))+1
from ins_premium_det i),'-24407','-24407','02', '11000003','00','Request by Mr. Omair Ali 09-May-2025');</v>
      </c>
      <c r="H23" s="28" t="str">
        <f t="shared" si="3"/>
        <v>insert into ins_premium_det (premium_rcv_code,assorted_code, rec_amount,premium_rcv_detail_code,remaining_amt, payrec, mode_code,coinsurance_code,class_cd,it_remarks) values('07May250079','050000733221','-24407',(select max(to_number(i.premium_rcv_detail_code))+1
from ins_premium_det i),'-24407','-24407','02', '11000003','00','Request by Mr. Omair Ali 09-May-2025');</v>
      </c>
    </row>
    <row r="24" spans="1:8" ht="105" x14ac:dyDescent="0.25">
      <c r="A24" s="5" t="s">
        <v>27</v>
      </c>
      <c r="B24" s="24" t="str">
        <f>VLOOKUP(A24,policy!B:C,2,0)</f>
        <v>050000733897</v>
      </c>
      <c r="C24" s="14">
        <v>20</v>
      </c>
      <c r="D24" s="25">
        <f t="shared" si="1"/>
        <v>20</v>
      </c>
      <c r="E24" s="23" t="s">
        <v>665</v>
      </c>
      <c r="F24" s="26" t="str">
        <f t="shared" si="0"/>
        <v>insert into ins_premium_det (premium_rcv_code,assorted_code, rec_amount,premium_rcv_detail_code,remaining_amt, payrec, mode_code,coinsurance_code,class_cd,it_remarks) values</v>
      </c>
      <c r="G24" s="27" t="str">
        <f t="shared" si="2"/>
        <v>('07May250079','050000733897','20',(select max(to_number(i.premium_rcv_detail_code))+1
from ins_premium_det i),'20','20','02', '11000003','00','Request by Mr. Omair Ali 09-May-2025');</v>
      </c>
      <c r="H24" s="28" t="str">
        <f t="shared" si="3"/>
        <v>insert into ins_premium_det (premium_rcv_code,assorted_code, rec_amount,premium_rcv_detail_code,remaining_amt, payrec, mode_code,coinsurance_code,class_cd,it_remarks) values('07May250079','050000733897','20',(select max(to_number(i.premium_rcv_detail_code))+1
from ins_premium_det i),'20','20','02', '11000003','00','Request by Mr. Omair Ali 09-May-2025');</v>
      </c>
    </row>
    <row r="25" spans="1:8" ht="105" x14ac:dyDescent="0.25">
      <c r="A25" s="5" t="s">
        <v>28</v>
      </c>
      <c r="B25" s="24" t="str">
        <f>VLOOKUP(A25,policy!B:C,2,0)</f>
        <v>050000735393</v>
      </c>
      <c r="C25" s="14">
        <v>-7186</v>
      </c>
      <c r="D25" s="25">
        <f t="shared" si="1"/>
        <v>-7186</v>
      </c>
      <c r="E25" s="23" t="s">
        <v>665</v>
      </c>
      <c r="F25" s="26" t="str">
        <f t="shared" si="0"/>
        <v>insert into ins_premium_det (premium_rcv_code,assorted_code, rec_amount,premium_rcv_detail_code,remaining_amt, payrec, mode_code,coinsurance_code,class_cd,it_remarks) values</v>
      </c>
      <c r="G25" s="27" t="str">
        <f t="shared" si="2"/>
        <v>('07May250079','050000735393','-7186',(select max(to_number(i.premium_rcv_detail_code))+1
from ins_premium_det i),'-7186','-7186','02', '11000003','00','Request by Mr. Omair Ali 09-May-2025');</v>
      </c>
      <c r="H25" s="28" t="str">
        <f t="shared" si="3"/>
        <v>insert into ins_premium_det (premium_rcv_code,assorted_code, rec_amount,premium_rcv_detail_code,remaining_amt, payrec, mode_code,coinsurance_code,class_cd,it_remarks) values('07May250079','050000735393','-7186',(select max(to_number(i.premium_rcv_detail_code))+1
from ins_premium_det i),'-7186','-7186','02', '11000003','00','Request by Mr. Omair Ali 09-May-2025');</v>
      </c>
    </row>
    <row r="26" spans="1:8" ht="105" x14ac:dyDescent="0.25">
      <c r="A26" s="5" t="s">
        <v>29</v>
      </c>
      <c r="B26" s="24" t="str">
        <f>VLOOKUP(A26,policy!B:C,2,0)</f>
        <v>050000738270</v>
      </c>
      <c r="C26" s="14">
        <v>-44705</v>
      </c>
      <c r="D26" s="25">
        <f t="shared" si="1"/>
        <v>-44705</v>
      </c>
      <c r="E26" s="23" t="s">
        <v>665</v>
      </c>
      <c r="F26" s="26" t="str">
        <f t="shared" si="0"/>
        <v>insert into ins_premium_det (premium_rcv_code,assorted_code, rec_amount,premium_rcv_detail_code,remaining_amt, payrec, mode_code,coinsurance_code,class_cd,it_remarks) values</v>
      </c>
      <c r="G26" s="27" t="str">
        <f t="shared" si="2"/>
        <v>('07May250079','050000738270','-44705',(select max(to_number(i.premium_rcv_detail_code))+1
from ins_premium_det i),'-44705','-44705','02', '11000003','00','Request by Mr. Omair Ali 09-May-2025');</v>
      </c>
      <c r="H26" s="28" t="str">
        <f t="shared" si="3"/>
        <v>insert into ins_premium_det (premium_rcv_code,assorted_code, rec_amount,premium_rcv_detail_code,remaining_amt, payrec, mode_code,coinsurance_code,class_cd,it_remarks) values('07May250079','050000738270','-44705',(select max(to_number(i.premium_rcv_detail_code))+1
from ins_premium_det i),'-44705','-44705','02', '11000003','00','Request by Mr. Omair Ali 09-May-2025');</v>
      </c>
    </row>
    <row r="27" spans="1:8" ht="105" x14ac:dyDescent="0.25">
      <c r="A27" s="5" t="s">
        <v>30</v>
      </c>
      <c r="B27" s="24" t="str">
        <f>VLOOKUP(A27,policy!B:C,2,0)</f>
        <v>050000738474</v>
      </c>
      <c r="C27" s="14">
        <v>-22626</v>
      </c>
      <c r="D27" s="25">
        <f t="shared" si="1"/>
        <v>-22626</v>
      </c>
      <c r="E27" s="23" t="s">
        <v>665</v>
      </c>
      <c r="F27" s="26" t="str">
        <f t="shared" si="0"/>
        <v>insert into ins_premium_det (premium_rcv_code,assorted_code, rec_amount,premium_rcv_detail_code,remaining_amt, payrec, mode_code,coinsurance_code,class_cd,it_remarks) values</v>
      </c>
      <c r="G27" s="27" t="str">
        <f t="shared" si="2"/>
        <v>('07May250079','050000738474','-22626',(select max(to_number(i.premium_rcv_detail_code))+1
from ins_premium_det i),'-22626','-22626','02', '11000003','00','Request by Mr. Omair Ali 09-May-2025');</v>
      </c>
      <c r="H27" s="28" t="str">
        <f t="shared" si="3"/>
        <v>insert into ins_premium_det (premium_rcv_code,assorted_code, rec_amount,premium_rcv_detail_code,remaining_amt, payrec, mode_code,coinsurance_code,class_cd,it_remarks) values('07May250079','050000738474','-22626',(select max(to_number(i.premium_rcv_detail_code))+1
from ins_premium_det i),'-22626','-22626','02', '11000003','00','Request by Mr. Omair Ali 09-May-2025');</v>
      </c>
    </row>
    <row r="28" spans="1:8" ht="105" x14ac:dyDescent="0.25">
      <c r="A28" s="5" t="s">
        <v>31</v>
      </c>
      <c r="B28" s="24" t="str">
        <f>VLOOKUP(A28,policy!B:C,2,0)</f>
        <v>050000739283</v>
      </c>
      <c r="C28" s="14">
        <v>-29755</v>
      </c>
      <c r="D28" s="25">
        <f t="shared" si="1"/>
        <v>-29755</v>
      </c>
      <c r="E28" s="23" t="s">
        <v>665</v>
      </c>
      <c r="F28" s="26" t="str">
        <f t="shared" si="0"/>
        <v>insert into ins_premium_det (premium_rcv_code,assorted_code, rec_amount,premium_rcv_detail_code,remaining_amt, payrec, mode_code,coinsurance_code,class_cd,it_remarks) values</v>
      </c>
      <c r="G28" s="27" t="str">
        <f t="shared" si="2"/>
        <v>('07May250079','050000739283','-29755',(select max(to_number(i.premium_rcv_detail_code))+1
from ins_premium_det i),'-29755','-29755','02', '11000003','00','Request by Mr. Omair Ali 09-May-2025');</v>
      </c>
      <c r="H28" s="28" t="str">
        <f t="shared" si="3"/>
        <v>insert into ins_premium_det (premium_rcv_code,assorted_code, rec_amount,premium_rcv_detail_code,remaining_amt, payrec, mode_code,coinsurance_code,class_cd,it_remarks) values('07May250079','050000739283','-29755',(select max(to_number(i.premium_rcv_detail_code))+1
from ins_premium_det i),'-29755','-29755','02', '11000003','00','Request by Mr. Omair Ali 09-May-2025');</v>
      </c>
    </row>
    <row r="29" spans="1:8" ht="105" x14ac:dyDescent="0.25">
      <c r="A29" s="5" t="s">
        <v>32</v>
      </c>
      <c r="B29" s="24" t="str">
        <f>VLOOKUP(A29,policy!B:C,2,0)</f>
        <v>050000739335</v>
      </c>
      <c r="C29" s="14">
        <v>-30327</v>
      </c>
      <c r="D29" s="25">
        <f t="shared" si="1"/>
        <v>-30327</v>
      </c>
      <c r="E29" s="23" t="s">
        <v>665</v>
      </c>
      <c r="F29" s="26" t="str">
        <f t="shared" si="0"/>
        <v>insert into ins_premium_det (premium_rcv_code,assorted_code, rec_amount,premium_rcv_detail_code,remaining_amt, payrec, mode_code,coinsurance_code,class_cd,it_remarks) values</v>
      </c>
      <c r="G29" s="27" t="str">
        <f t="shared" si="2"/>
        <v>('07May250079','050000739335','-30327',(select max(to_number(i.premium_rcv_detail_code))+1
from ins_premium_det i),'-30327','-30327','02', '11000003','00','Request by Mr. Omair Ali 09-May-2025');</v>
      </c>
      <c r="H29" s="28" t="str">
        <f t="shared" si="3"/>
        <v>insert into ins_premium_det (premium_rcv_code,assorted_code, rec_amount,premium_rcv_detail_code,remaining_amt, payrec, mode_code,coinsurance_code,class_cd,it_remarks) values('07May250079','050000739335','-30327',(select max(to_number(i.premium_rcv_detail_code))+1
from ins_premium_det i),'-30327','-30327','02', '11000003','00','Request by Mr. Omair Ali 09-May-2025');</v>
      </c>
    </row>
    <row r="30" spans="1:8" ht="105" x14ac:dyDescent="0.25">
      <c r="A30" s="5" t="s">
        <v>33</v>
      </c>
      <c r="B30" s="24" t="str">
        <f>VLOOKUP(A30,policy!B:C,2,0)</f>
        <v>050000739580</v>
      </c>
      <c r="C30" s="14">
        <v>-51898</v>
      </c>
      <c r="D30" s="25">
        <f t="shared" si="1"/>
        <v>-51898</v>
      </c>
      <c r="E30" s="23" t="s">
        <v>665</v>
      </c>
      <c r="F30" s="26" t="str">
        <f t="shared" si="0"/>
        <v>insert into ins_premium_det (premium_rcv_code,assorted_code, rec_amount,premium_rcv_detail_code,remaining_amt, payrec, mode_code,coinsurance_code,class_cd,it_remarks) values</v>
      </c>
      <c r="G30" s="27" t="str">
        <f t="shared" si="2"/>
        <v>('07May250079','050000739580','-51898',(select max(to_number(i.premium_rcv_detail_code))+1
from ins_premium_det i),'-51898','-51898','02', '11000003','00','Request by Mr. Omair Ali 09-May-2025');</v>
      </c>
      <c r="H30" s="28" t="str">
        <f t="shared" si="3"/>
        <v>insert into ins_premium_det (premium_rcv_code,assorted_code, rec_amount,premium_rcv_detail_code,remaining_amt, payrec, mode_code,coinsurance_code,class_cd,it_remarks) values('07May250079','050000739580','-51898',(select max(to_number(i.premium_rcv_detail_code))+1
from ins_premium_det i),'-51898','-51898','02', '11000003','00','Request by Mr. Omair Ali 09-May-2025');</v>
      </c>
    </row>
    <row r="31" spans="1:8" ht="105" x14ac:dyDescent="0.25">
      <c r="A31" s="5" t="s">
        <v>34</v>
      </c>
      <c r="B31" s="24" t="str">
        <f>VLOOKUP(A31,policy!B:C,2,0)</f>
        <v>050000740043</v>
      </c>
      <c r="C31" s="14">
        <v>-109771</v>
      </c>
      <c r="D31" s="25">
        <f t="shared" si="1"/>
        <v>-109771</v>
      </c>
      <c r="E31" s="23" t="s">
        <v>665</v>
      </c>
      <c r="F31" s="26" t="str">
        <f t="shared" si="0"/>
        <v>insert into ins_premium_det (premium_rcv_code,assorted_code, rec_amount,premium_rcv_detail_code,remaining_amt, payrec, mode_code,coinsurance_code,class_cd,it_remarks) values</v>
      </c>
      <c r="G31" s="27" t="str">
        <f t="shared" si="2"/>
        <v>('07May250079','050000740043','-109771',(select max(to_number(i.premium_rcv_detail_code))+1
from ins_premium_det i),'-109771','-109771','02', '11000003','00','Request by Mr. Omair Ali 09-May-2025');</v>
      </c>
      <c r="H31" s="28" t="str">
        <f t="shared" si="3"/>
        <v>insert into ins_premium_det (premium_rcv_code,assorted_code, rec_amount,premium_rcv_detail_code,remaining_amt, payrec, mode_code,coinsurance_code,class_cd,it_remarks) values('07May250079','050000740043','-109771',(select max(to_number(i.premium_rcv_detail_code))+1
from ins_premium_det i),'-109771','-109771','02', '11000003','00','Request by Mr. Omair Ali 09-May-2025');</v>
      </c>
    </row>
    <row r="32" spans="1:8" ht="105" x14ac:dyDescent="0.25">
      <c r="A32" s="5" t="s">
        <v>35</v>
      </c>
      <c r="B32" s="24" t="str">
        <f>VLOOKUP(A32,policy!B:C,2,0)</f>
        <v>050000740688</v>
      </c>
      <c r="C32" s="14">
        <v>-51832</v>
      </c>
      <c r="D32" s="25">
        <f t="shared" si="1"/>
        <v>-51832</v>
      </c>
      <c r="E32" s="23" t="s">
        <v>665</v>
      </c>
      <c r="F32" s="26" t="str">
        <f t="shared" si="0"/>
        <v>insert into ins_premium_det (premium_rcv_code,assorted_code, rec_amount,premium_rcv_detail_code,remaining_amt, payrec, mode_code,coinsurance_code,class_cd,it_remarks) values</v>
      </c>
      <c r="G32" s="27" t="str">
        <f t="shared" si="2"/>
        <v>('07May250079','050000740688','-51832',(select max(to_number(i.premium_rcv_detail_code))+1
from ins_premium_det i),'-51832','-51832','02', '11000003','00','Request by Mr. Omair Ali 09-May-2025');</v>
      </c>
      <c r="H32" s="28" t="str">
        <f t="shared" si="3"/>
        <v>insert into ins_premium_det (premium_rcv_code,assorted_code, rec_amount,premium_rcv_detail_code,remaining_amt, payrec, mode_code,coinsurance_code,class_cd,it_remarks) values('07May250079','050000740688','-51832',(select max(to_number(i.premium_rcv_detail_code))+1
from ins_premium_det i),'-51832','-51832','02', '11000003','00','Request by Mr. Omair Ali 09-May-2025');</v>
      </c>
    </row>
    <row r="33" spans="1:8" ht="105" x14ac:dyDescent="0.25">
      <c r="A33" s="5" t="s">
        <v>36</v>
      </c>
      <c r="B33" s="24" t="str">
        <f>VLOOKUP(A33,policy!B:C,2,0)</f>
        <v>050000741352</v>
      </c>
      <c r="C33" s="14">
        <v>324777</v>
      </c>
      <c r="D33" s="25">
        <f t="shared" si="1"/>
        <v>324777</v>
      </c>
      <c r="E33" s="23" t="s">
        <v>665</v>
      </c>
      <c r="F33" s="26" t="str">
        <f t="shared" si="0"/>
        <v>insert into ins_premium_det (premium_rcv_code,assorted_code, rec_amount,premium_rcv_detail_code,remaining_amt, payrec, mode_code,coinsurance_code,class_cd,it_remarks) values</v>
      </c>
      <c r="G33" s="27" t="str">
        <f t="shared" si="2"/>
        <v>('07May250079','050000741352','324777',(select max(to_number(i.premium_rcv_detail_code))+1
from ins_premium_det i),'324777','324777','02', '11000003','00','Request by Mr. Omair Ali 09-May-2025');</v>
      </c>
      <c r="H33" s="28" t="str">
        <f t="shared" si="3"/>
        <v>insert into ins_premium_det (premium_rcv_code,assorted_code, rec_amount,premium_rcv_detail_code,remaining_amt, payrec, mode_code,coinsurance_code,class_cd,it_remarks) values('07May250079','050000741352','324777',(select max(to_number(i.premium_rcv_detail_code))+1
from ins_premium_det i),'324777','324777','02', '11000003','00','Request by Mr. Omair Ali 09-May-2025');</v>
      </c>
    </row>
    <row r="34" spans="1:8" ht="105" x14ac:dyDescent="0.25">
      <c r="A34" s="5" t="s">
        <v>37</v>
      </c>
      <c r="B34" s="24" t="str">
        <f>VLOOKUP(A34,policy!B:C,2,0)</f>
        <v>050000743162</v>
      </c>
      <c r="C34" s="14">
        <v>15535</v>
      </c>
      <c r="D34" s="25">
        <f t="shared" si="1"/>
        <v>15535</v>
      </c>
      <c r="E34" s="23" t="s">
        <v>665</v>
      </c>
      <c r="F34" s="26" t="str">
        <f t="shared" si="0"/>
        <v>insert into ins_premium_det (premium_rcv_code,assorted_code, rec_amount,premium_rcv_detail_code,remaining_amt, payrec, mode_code,coinsurance_code,class_cd,it_remarks) values</v>
      </c>
      <c r="G34" s="27" t="str">
        <f t="shared" si="2"/>
        <v>('07May250079','050000743162','15535',(select max(to_number(i.premium_rcv_detail_code))+1
from ins_premium_det i),'15535','15535','02', '11000003','00','Request by Mr. Omair Ali 09-May-2025');</v>
      </c>
      <c r="H34" s="28" t="str">
        <f t="shared" si="3"/>
        <v>insert into ins_premium_det (premium_rcv_code,assorted_code, rec_amount,premium_rcv_detail_code,remaining_amt, payrec, mode_code,coinsurance_code,class_cd,it_remarks) values('07May250079','050000743162','15535',(select max(to_number(i.premium_rcv_detail_code))+1
from ins_premium_det i),'15535','15535','02', '11000003','00','Request by Mr. Omair Ali 09-May-2025');</v>
      </c>
    </row>
    <row r="35" spans="1:8" ht="105" x14ac:dyDescent="0.25">
      <c r="A35" s="5" t="s">
        <v>38</v>
      </c>
      <c r="B35" s="24" t="str">
        <f>VLOOKUP(A35,policy!B:C,2,0)</f>
        <v>050000745739</v>
      </c>
      <c r="C35" s="14">
        <v>-26467</v>
      </c>
      <c r="D35" s="25">
        <f t="shared" si="1"/>
        <v>-26467</v>
      </c>
      <c r="E35" s="23" t="s">
        <v>665</v>
      </c>
      <c r="F35" s="26" t="str">
        <f t="shared" si="0"/>
        <v>insert into ins_premium_det (premium_rcv_code,assorted_code, rec_amount,premium_rcv_detail_code,remaining_amt, payrec, mode_code,coinsurance_code,class_cd,it_remarks) values</v>
      </c>
      <c r="G35" s="27" t="str">
        <f t="shared" si="2"/>
        <v>('07May250079','050000745739','-26467',(select max(to_number(i.premium_rcv_detail_code))+1
from ins_premium_det i),'-26467','-26467','02', '11000003','00','Request by Mr. Omair Ali 09-May-2025');</v>
      </c>
      <c r="H35" s="28" t="str">
        <f t="shared" si="3"/>
        <v>insert into ins_premium_det (premium_rcv_code,assorted_code, rec_amount,premium_rcv_detail_code,remaining_amt, payrec, mode_code,coinsurance_code,class_cd,it_remarks) values('07May250079','050000745739','-26467',(select max(to_number(i.premium_rcv_detail_code))+1
from ins_premium_det i),'-26467','-26467','02', '11000003','00','Request by Mr. Omair Ali 09-May-2025');</v>
      </c>
    </row>
    <row r="36" spans="1:8" ht="105" x14ac:dyDescent="0.25">
      <c r="A36" s="5" t="s">
        <v>39</v>
      </c>
      <c r="B36" s="24" t="str">
        <f>VLOOKUP(A36,policy!B:C,2,0)</f>
        <v>050000747503</v>
      </c>
      <c r="C36" s="14">
        <v>145500</v>
      </c>
      <c r="D36" s="25">
        <f t="shared" si="1"/>
        <v>145500</v>
      </c>
      <c r="E36" s="23" t="s">
        <v>665</v>
      </c>
      <c r="F36" s="26" t="str">
        <f t="shared" si="0"/>
        <v>insert into ins_premium_det (premium_rcv_code,assorted_code, rec_amount,premium_rcv_detail_code,remaining_amt, payrec, mode_code,coinsurance_code,class_cd,it_remarks) values</v>
      </c>
      <c r="G36" s="27" t="str">
        <f t="shared" si="2"/>
        <v>('07May250079','050000747503','145500',(select max(to_number(i.premium_rcv_detail_code))+1
from ins_premium_det i),'145500','145500','02', '11000003','00','Request by Mr. Omair Ali 09-May-2025');</v>
      </c>
      <c r="H36" s="28" t="str">
        <f t="shared" si="3"/>
        <v>insert into ins_premium_det (premium_rcv_code,assorted_code, rec_amount,premium_rcv_detail_code,remaining_amt, payrec, mode_code,coinsurance_code,class_cd,it_remarks) values('07May250079','050000747503','145500',(select max(to_number(i.premium_rcv_detail_code))+1
from ins_premium_det i),'145500','145500','02', '11000003','00','Request by Mr. Omair Ali 09-May-2025');</v>
      </c>
    </row>
    <row r="37" spans="1:8" ht="105" x14ac:dyDescent="0.25">
      <c r="A37" s="5" t="s">
        <v>40</v>
      </c>
      <c r="B37" s="24" t="str">
        <f>VLOOKUP(A37,policy!B:C,2,0)</f>
        <v>050000748865</v>
      </c>
      <c r="C37" s="14">
        <v>-61808</v>
      </c>
      <c r="D37" s="25">
        <f t="shared" si="1"/>
        <v>-61808</v>
      </c>
      <c r="E37" s="23" t="s">
        <v>665</v>
      </c>
      <c r="F37" s="26" t="str">
        <f t="shared" si="0"/>
        <v>insert into ins_premium_det (premium_rcv_code,assorted_code, rec_amount,premium_rcv_detail_code,remaining_amt, payrec, mode_code,coinsurance_code,class_cd,it_remarks) values</v>
      </c>
      <c r="G37" s="27" t="str">
        <f t="shared" si="2"/>
        <v>('07May250079','050000748865','-61808',(select max(to_number(i.premium_rcv_detail_code))+1
from ins_premium_det i),'-61808','-61808','02', '11000003','00','Request by Mr. Omair Ali 09-May-2025');</v>
      </c>
      <c r="H37" s="28" t="str">
        <f t="shared" si="3"/>
        <v>insert into ins_premium_det (premium_rcv_code,assorted_code, rec_amount,premium_rcv_detail_code,remaining_amt, payrec, mode_code,coinsurance_code,class_cd,it_remarks) values('07May250079','050000748865','-61808',(select max(to_number(i.premium_rcv_detail_code))+1
from ins_premium_det i),'-61808','-61808','02', '11000003','00','Request by Mr. Omair Ali 09-May-2025');</v>
      </c>
    </row>
    <row r="38" spans="1:8" ht="105" x14ac:dyDescent="0.25">
      <c r="A38" s="5" t="s">
        <v>41</v>
      </c>
      <c r="B38" s="24" t="str">
        <f>VLOOKUP(A38,policy!B:C,2,0)</f>
        <v>050000750287</v>
      </c>
      <c r="C38" s="14">
        <v>-2343</v>
      </c>
      <c r="D38" s="25">
        <f t="shared" si="1"/>
        <v>-2343</v>
      </c>
      <c r="E38" s="23" t="s">
        <v>665</v>
      </c>
      <c r="F38" s="26" t="str">
        <f t="shared" si="0"/>
        <v>insert into ins_premium_det (premium_rcv_code,assorted_code, rec_amount,premium_rcv_detail_code,remaining_amt, payrec, mode_code,coinsurance_code,class_cd,it_remarks) values</v>
      </c>
      <c r="G38" s="27" t="str">
        <f t="shared" si="2"/>
        <v>('07May250079','050000750287','-2343',(select max(to_number(i.premium_rcv_detail_code))+1
from ins_premium_det i),'-2343','-2343','02', '11000003','00','Request by Mr. Omair Ali 09-May-2025');</v>
      </c>
      <c r="H38" s="28" t="str">
        <f t="shared" si="3"/>
        <v>insert into ins_premium_det (premium_rcv_code,assorted_code, rec_amount,premium_rcv_detail_code,remaining_amt, payrec, mode_code,coinsurance_code,class_cd,it_remarks) values('07May250079','050000750287','-2343',(select max(to_number(i.premium_rcv_detail_code))+1
from ins_premium_det i),'-2343','-2343','02', '11000003','00','Request by Mr. Omair Ali 09-May-2025');</v>
      </c>
    </row>
    <row r="39" spans="1:8" ht="105" x14ac:dyDescent="0.25">
      <c r="A39" s="5" t="s">
        <v>42</v>
      </c>
      <c r="B39" s="24" t="str">
        <f>VLOOKUP(A39,policy!B:C,2,0)</f>
        <v>050000751052</v>
      </c>
      <c r="C39" s="14">
        <v>-1796</v>
      </c>
      <c r="D39" s="25">
        <f t="shared" si="1"/>
        <v>-1796</v>
      </c>
      <c r="E39" s="23" t="s">
        <v>665</v>
      </c>
      <c r="F39" s="26" t="str">
        <f t="shared" si="0"/>
        <v>insert into ins_premium_det (premium_rcv_code,assorted_code, rec_amount,premium_rcv_detail_code,remaining_amt, payrec, mode_code,coinsurance_code,class_cd,it_remarks) values</v>
      </c>
      <c r="G39" s="27" t="str">
        <f t="shared" si="2"/>
        <v>('07May250079','050000751052','-1796',(select max(to_number(i.premium_rcv_detail_code))+1
from ins_premium_det i),'-1796','-1796','02', '11000003','00','Request by Mr. Omair Ali 09-May-2025');</v>
      </c>
      <c r="H39" s="28" t="str">
        <f t="shared" si="3"/>
        <v>insert into ins_premium_det (premium_rcv_code,assorted_code, rec_amount,premium_rcv_detail_code,remaining_amt, payrec, mode_code,coinsurance_code,class_cd,it_remarks) values('07May250079','050000751052','-1796',(select max(to_number(i.premium_rcv_detail_code))+1
from ins_premium_det i),'-1796','-1796','02', '11000003','00','Request by Mr. Omair Ali 09-May-2025');</v>
      </c>
    </row>
    <row r="40" spans="1:8" ht="105" x14ac:dyDescent="0.25">
      <c r="A40" s="5" t="s">
        <v>43</v>
      </c>
      <c r="B40" s="24" t="str">
        <f>VLOOKUP(A40,policy!B:C,2,0)</f>
        <v>050000751070</v>
      </c>
      <c r="C40" s="14">
        <v>-144545</v>
      </c>
      <c r="D40" s="25">
        <f t="shared" si="1"/>
        <v>-144545</v>
      </c>
      <c r="E40" s="23" t="s">
        <v>665</v>
      </c>
      <c r="F40" s="26" t="str">
        <f t="shared" si="0"/>
        <v>insert into ins_premium_det (premium_rcv_code,assorted_code, rec_amount,premium_rcv_detail_code,remaining_amt, payrec, mode_code,coinsurance_code,class_cd,it_remarks) values</v>
      </c>
      <c r="G40" s="27" t="str">
        <f t="shared" si="2"/>
        <v>('07May250079','050000751070','-144545',(select max(to_number(i.premium_rcv_detail_code))+1
from ins_premium_det i),'-144545','-144545','02', '11000003','00','Request by Mr. Omair Ali 09-May-2025');</v>
      </c>
      <c r="H40" s="28" t="str">
        <f t="shared" si="3"/>
        <v>insert into ins_premium_det (premium_rcv_code,assorted_code, rec_amount,premium_rcv_detail_code,remaining_amt, payrec, mode_code,coinsurance_code,class_cd,it_remarks) values('07May250079','050000751070','-144545',(select max(to_number(i.premium_rcv_detail_code))+1
from ins_premium_det i),'-144545','-144545','02', '11000003','00','Request by Mr. Omair Ali 09-May-2025');</v>
      </c>
    </row>
    <row r="41" spans="1:8" ht="105" x14ac:dyDescent="0.25">
      <c r="A41" s="5" t="s">
        <v>44</v>
      </c>
      <c r="B41" s="24" t="str">
        <f>VLOOKUP(A41,policy!B:C,2,0)</f>
        <v>050000751827</v>
      </c>
      <c r="C41" s="14">
        <v>689549</v>
      </c>
      <c r="D41" s="25">
        <f t="shared" si="1"/>
        <v>689549</v>
      </c>
      <c r="E41" s="23" t="s">
        <v>665</v>
      </c>
      <c r="F41" s="26" t="str">
        <f t="shared" si="0"/>
        <v>insert into ins_premium_det (premium_rcv_code,assorted_code, rec_amount,premium_rcv_detail_code,remaining_amt, payrec, mode_code,coinsurance_code,class_cd,it_remarks) values</v>
      </c>
      <c r="G41" s="27" t="str">
        <f t="shared" si="2"/>
        <v>('07May250079','050000751827','689549',(select max(to_number(i.premium_rcv_detail_code))+1
from ins_premium_det i),'689549','689549','02', '11000003','00','Request by Mr. Omair Ali 09-May-2025');</v>
      </c>
      <c r="H41" s="28" t="str">
        <f t="shared" si="3"/>
        <v>insert into ins_premium_det (premium_rcv_code,assorted_code, rec_amount,premium_rcv_detail_code,remaining_amt, payrec, mode_code,coinsurance_code,class_cd,it_remarks) values('07May250079','050000751827','689549',(select max(to_number(i.premium_rcv_detail_code))+1
from ins_premium_det i),'689549','689549','02', '11000003','00','Request by Mr. Omair Ali 09-May-2025');</v>
      </c>
    </row>
    <row r="42" spans="1:8" ht="105" x14ac:dyDescent="0.25">
      <c r="A42" s="5" t="s">
        <v>45</v>
      </c>
      <c r="B42" s="24" t="str">
        <f>VLOOKUP(A42,policy!B:C,2,0)</f>
        <v>050000753233</v>
      </c>
      <c r="C42" s="14">
        <v>-47948</v>
      </c>
      <c r="D42" s="25">
        <f t="shared" si="1"/>
        <v>-47948</v>
      </c>
      <c r="E42" s="23" t="s">
        <v>665</v>
      </c>
      <c r="F42" s="26" t="str">
        <f t="shared" si="0"/>
        <v>insert into ins_premium_det (premium_rcv_code,assorted_code, rec_amount,premium_rcv_detail_code,remaining_amt, payrec, mode_code,coinsurance_code,class_cd,it_remarks) values</v>
      </c>
      <c r="G42" s="27" t="str">
        <f t="shared" si="2"/>
        <v>('07May250079','050000753233','-47948',(select max(to_number(i.premium_rcv_detail_code))+1
from ins_premium_det i),'-47948','-47948','02', '11000003','00','Request by Mr. Omair Ali 09-May-2025');</v>
      </c>
      <c r="H42" s="28" t="str">
        <f t="shared" si="3"/>
        <v>insert into ins_premium_det (premium_rcv_code,assorted_code, rec_amount,premium_rcv_detail_code,remaining_amt, payrec, mode_code,coinsurance_code,class_cd,it_remarks) values('07May250079','050000753233','-47948',(select max(to_number(i.premium_rcv_detail_code))+1
from ins_premium_det i),'-47948','-47948','02', '11000003','00','Request by Mr. Omair Ali 09-May-2025');</v>
      </c>
    </row>
    <row r="43" spans="1:8" ht="105" x14ac:dyDescent="0.25">
      <c r="A43" s="5" t="s">
        <v>46</v>
      </c>
      <c r="B43" s="24" t="str">
        <f>VLOOKUP(A43,policy!B:C,2,0)</f>
        <v>050000755318</v>
      </c>
      <c r="C43" s="14">
        <v>-58251</v>
      </c>
      <c r="D43" s="25">
        <f t="shared" si="1"/>
        <v>-58251</v>
      </c>
      <c r="E43" s="23" t="s">
        <v>665</v>
      </c>
      <c r="F43" s="26" t="str">
        <f t="shared" si="0"/>
        <v>insert into ins_premium_det (premium_rcv_code,assorted_code, rec_amount,premium_rcv_detail_code,remaining_amt, payrec, mode_code,coinsurance_code,class_cd,it_remarks) values</v>
      </c>
      <c r="G43" s="27" t="str">
        <f t="shared" si="2"/>
        <v>('07May250079','050000755318','-58251',(select max(to_number(i.premium_rcv_detail_code))+1
from ins_premium_det i),'-58251','-58251','02', '11000003','00','Request by Mr. Omair Ali 09-May-2025');</v>
      </c>
      <c r="H43" s="28" t="str">
        <f t="shared" si="3"/>
        <v>insert into ins_premium_det (premium_rcv_code,assorted_code, rec_amount,premium_rcv_detail_code,remaining_amt, payrec, mode_code,coinsurance_code,class_cd,it_remarks) values('07May250079','050000755318','-58251',(select max(to_number(i.premium_rcv_detail_code))+1
from ins_premium_det i),'-58251','-58251','02', '11000003','00','Request by Mr. Omair Ali 09-May-2025');</v>
      </c>
    </row>
    <row r="44" spans="1:8" ht="105" x14ac:dyDescent="0.25">
      <c r="A44" s="5" t="s">
        <v>47</v>
      </c>
      <c r="B44" s="24" t="str">
        <f>VLOOKUP(A44,policy!B:C,2,0)</f>
        <v>050000756657</v>
      </c>
      <c r="C44" s="14">
        <v>-72104</v>
      </c>
      <c r="D44" s="25">
        <f t="shared" si="1"/>
        <v>-72104</v>
      </c>
      <c r="E44" s="23" t="s">
        <v>665</v>
      </c>
      <c r="F44" s="26" t="str">
        <f t="shared" si="0"/>
        <v>insert into ins_premium_det (premium_rcv_code,assorted_code, rec_amount,premium_rcv_detail_code,remaining_amt, payrec, mode_code,coinsurance_code,class_cd,it_remarks) values</v>
      </c>
      <c r="G44" s="27" t="str">
        <f t="shared" si="2"/>
        <v>('07May250079','050000756657','-72104',(select max(to_number(i.premium_rcv_detail_code))+1
from ins_premium_det i),'-72104','-72104','02', '11000003','00','Request by Mr. Omair Ali 09-May-2025');</v>
      </c>
      <c r="H44" s="28" t="str">
        <f t="shared" si="3"/>
        <v>insert into ins_premium_det (premium_rcv_code,assorted_code, rec_amount,premium_rcv_detail_code,remaining_amt, payrec, mode_code,coinsurance_code,class_cd,it_remarks) values('07May250079','050000756657','-72104',(select max(to_number(i.premium_rcv_detail_code))+1
from ins_premium_det i),'-72104','-72104','02', '11000003','00','Request by Mr. Omair Ali 09-May-2025');</v>
      </c>
    </row>
    <row r="45" spans="1:8" ht="105" x14ac:dyDescent="0.25">
      <c r="A45" s="5" t="s">
        <v>48</v>
      </c>
      <c r="B45" s="24" t="str">
        <f>VLOOKUP(A45,policy!B:C,2,0)</f>
        <v>050000756734</v>
      </c>
      <c r="C45" s="14">
        <v>-50359</v>
      </c>
      <c r="D45" s="25">
        <f t="shared" si="1"/>
        <v>-50359</v>
      </c>
      <c r="E45" s="23" t="s">
        <v>665</v>
      </c>
      <c r="F45" s="26" t="str">
        <f t="shared" si="0"/>
        <v>insert into ins_premium_det (premium_rcv_code,assorted_code, rec_amount,premium_rcv_detail_code,remaining_amt, payrec, mode_code,coinsurance_code,class_cd,it_remarks) values</v>
      </c>
      <c r="G45" s="27" t="str">
        <f t="shared" si="2"/>
        <v>('07May250079','050000756734','-50359',(select max(to_number(i.premium_rcv_detail_code))+1
from ins_premium_det i),'-50359','-50359','02', '11000003','00','Request by Mr. Omair Ali 09-May-2025');</v>
      </c>
      <c r="H45" s="28" t="str">
        <f t="shared" si="3"/>
        <v>insert into ins_premium_det (premium_rcv_code,assorted_code, rec_amount,premium_rcv_detail_code,remaining_amt, payrec, mode_code,coinsurance_code,class_cd,it_remarks) values('07May250079','050000756734','-50359',(select max(to_number(i.premium_rcv_detail_code))+1
from ins_premium_det i),'-50359','-50359','02', '11000003','00','Request by Mr. Omair Ali 09-May-2025');</v>
      </c>
    </row>
    <row r="46" spans="1:8" ht="105" x14ac:dyDescent="0.25">
      <c r="A46" s="5" t="s">
        <v>49</v>
      </c>
      <c r="B46" s="24" t="str">
        <f>VLOOKUP(A46,policy!B:C,2,0)</f>
        <v>050000758927</v>
      </c>
      <c r="C46" s="14">
        <v>-20289</v>
      </c>
      <c r="D46" s="25">
        <f t="shared" si="1"/>
        <v>-20289</v>
      </c>
      <c r="E46" s="23" t="s">
        <v>665</v>
      </c>
      <c r="F46" s="26" t="str">
        <f t="shared" si="0"/>
        <v>insert into ins_premium_det (premium_rcv_code,assorted_code, rec_amount,premium_rcv_detail_code,remaining_amt, payrec, mode_code,coinsurance_code,class_cd,it_remarks) values</v>
      </c>
      <c r="G46" s="27" t="str">
        <f t="shared" si="2"/>
        <v>('07May250079','050000758927','-20289',(select max(to_number(i.premium_rcv_detail_code))+1
from ins_premium_det i),'-20289','-20289','02', '11000003','00','Request by Mr. Omair Ali 09-May-2025');</v>
      </c>
      <c r="H46" s="28" t="str">
        <f t="shared" si="3"/>
        <v>insert into ins_premium_det (premium_rcv_code,assorted_code, rec_amount,premium_rcv_detail_code,remaining_amt, payrec, mode_code,coinsurance_code,class_cd,it_remarks) values('07May250079','050000758927','-20289',(select max(to_number(i.premium_rcv_detail_code))+1
from ins_premium_det i),'-20289','-20289','02', '11000003','00','Request by Mr. Omair Ali 09-May-2025');</v>
      </c>
    </row>
    <row r="47" spans="1:8" ht="105" x14ac:dyDescent="0.25">
      <c r="A47" s="5" t="s">
        <v>50</v>
      </c>
      <c r="B47" s="24" t="str">
        <f>VLOOKUP(A47,policy!B:C,2,0)</f>
        <v>050000759580</v>
      </c>
      <c r="C47" s="14">
        <v>-82345</v>
      </c>
      <c r="D47" s="25">
        <f t="shared" si="1"/>
        <v>-82345</v>
      </c>
      <c r="E47" s="23" t="s">
        <v>665</v>
      </c>
      <c r="F47" s="26" t="str">
        <f t="shared" si="0"/>
        <v>insert into ins_premium_det (premium_rcv_code,assorted_code, rec_amount,premium_rcv_detail_code,remaining_amt, payrec, mode_code,coinsurance_code,class_cd,it_remarks) values</v>
      </c>
      <c r="G47" s="27" t="str">
        <f t="shared" si="2"/>
        <v>('07May250079','050000759580','-82345',(select max(to_number(i.premium_rcv_detail_code))+1
from ins_premium_det i),'-82345','-82345','02', '11000003','00','Request by Mr. Omair Ali 09-May-2025');</v>
      </c>
      <c r="H47" s="28" t="str">
        <f t="shared" si="3"/>
        <v>insert into ins_premium_det (premium_rcv_code,assorted_code, rec_amount,premium_rcv_detail_code,remaining_amt, payrec, mode_code,coinsurance_code,class_cd,it_remarks) values('07May250079','050000759580','-82345',(select max(to_number(i.premium_rcv_detail_code))+1
from ins_premium_det i),'-82345','-82345','02', '11000003','00','Request by Mr. Omair Ali 09-May-2025');</v>
      </c>
    </row>
    <row r="48" spans="1:8" ht="105" x14ac:dyDescent="0.25">
      <c r="A48" s="5" t="s">
        <v>51</v>
      </c>
      <c r="B48" s="24" t="str">
        <f>VLOOKUP(A48,policy!B:C,2,0)</f>
        <v>050000759754</v>
      </c>
      <c r="C48" s="14">
        <v>-37439</v>
      </c>
      <c r="D48" s="25">
        <f t="shared" si="1"/>
        <v>-37439</v>
      </c>
      <c r="E48" s="23" t="s">
        <v>665</v>
      </c>
      <c r="F48" s="26" t="str">
        <f t="shared" si="0"/>
        <v>insert into ins_premium_det (premium_rcv_code,assorted_code, rec_amount,premium_rcv_detail_code,remaining_amt, payrec, mode_code,coinsurance_code,class_cd,it_remarks) values</v>
      </c>
      <c r="G48" s="27" t="str">
        <f t="shared" si="2"/>
        <v>('07May250079','050000759754','-37439',(select max(to_number(i.premium_rcv_detail_code))+1
from ins_premium_det i),'-37439','-37439','02', '11000003','00','Request by Mr. Omair Ali 09-May-2025');</v>
      </c>
      <c r="H48" s="28" t="str">
        <f t="shared" si="3"/>
        <v>insert into ins_premium_det (premium_rcv_code,assorted_code, rec_amount,premium_rcv_detail_code,remaining_amt, payrec, mode_code,coinsurance_code,class_cd,it_remarks) values('07May250079','050000759754','-37439',(select max(to_number(i.premium_rcv_detail_code))+1
from ins_premium_det i),'-37439','-37439','02', '11000003','00','Request by Mr. Omair Ali 09-May-2025');</v>
      </c>
    </row>
    <row r="49" spans="1:8" ht="105" x14ac:dyDescent="0.25">
      <c r="A49" s="5" t="s">
        <v>52</v>
      </c>
      <c r="B49" s="24" t="str">
        <f>VLOOKUP(A49,policy!B:C,2,0)</f>
        <v>050000759998</v>
      </c>
      <c r="C49" s="14">
        <v>-62555</v>
      </c>
      <c r="D49" s="25">
        <f t="shared" si="1"/>
        <v>-62555</v>
      </c>
      <c r="E49" s="23" t="s">
        <v>665</v>
      </c>
      <c r="F49" s="26" t="str">
        <f t="shared" si="0"/>
        <v>insert into ins_premium_det (premium_rcv_code,assorted_code, rec_amount,premium_rcv_detail_code,remaining_amt, payrec, mode_code,coinsurance_code,class_cd,it_remarks) values</v>
      </c>
      <c r="G49" s="27" t="str">
        <f t="shared" si="2"/>
        <v>('07May250079','050000759998','-62555',(select max(to_number(i.premium_rcv_detail_code))+1
from ins_premium_det i),'-62555','-62555','02', '11000003','00','Request by Mr. Omair Ali 09-May-2025');</v>
      </c>
      <c r="H49" s="28" t="str">
        <f t="shared" si="3"/>
        <v>insert into ins_premium_det (premium_rcv_code,assorted_code, rec_amount,premium_rcv_detail_code,remaining_amt, payrec, mode_code,coinsurance_code,class_cd,it_remarks) values('07May250079','050000759998','-62555',(select max(to_number(i.premium_rcv_detail_code))+1
from ins_premium_det i),'-62555','-62555','02', '11000003','00','Request by Mr. Omair Ali 09-May-2025');</v>
      </c>
    </row>
    <row r="50" spans="1:8" ht="105" x14ac:dyDescent="0.25">
      <c r="A50" s="5" t="s">
        <v>53</v>
      </c>
      <c r="B50" s="24" t="str">
        <f>VLOOKUP(A50,policy!B:C,2,0)</f>
        <v>050000760425</v>
      </c>
      <c r="C50" s="14">
        <v>39201</v>
      </c>
      <c r="D50" s="25">
        <f t="shared" si="1"/>
        <v>39201</v>
      </c>
      <c r="E50" s="23" t="s">
        <v>665</v>
      </c>
      <c r="F50" s="26" t="str">
        <f t="shared" si="0"/>
        <v>insert into ins_premium_det (premium_rcv_code,assorted_code, rec_amount,premium_rcv_detail_code,remaining_amt, payrec, mode_code,coinsurance_code,class_cd,it_remarks) values</v>
      </c>
      <c r="G50" s="27" t="str">
        <f t="shared" si="2"/>
        <v>('07May250079','050000760425','39201',(select max(to_number(i.premium_rcv_detail_code))+1
from ins_premium_det i),'39201','39201','02', '11000003','00','Request by Mr. Omair Ali 09-May-2025');</v>
      </c>
      <c r="H50" s="28" t="str">
        <f t="shared" si="3"/>
        <v>insert into ins_premium_det (premium_rcv_code,assorted_code, rec_amount,premium_rcv_detail_code,remaining_amt, payrec, mode_code,coinsurance_code,class_cd,it_remarks) values('07May250079','050000760425','39201',(select max(to_number(i.premium_rcv_detail_code))+1
from ins_premium_det i),'39201','39201','02', '11000003','00','Request by Mr. Omair Ali 09-May-2025');</v>
      </c>
    </row>
    <row r="51" spans="1:8" ht="105" x14ac:dyDescent="0.25">
      <c r="A51" s="5" t="s">
        <v>54</v>
      </c>
      <c r="B51" s="24" t="str">
        <f>VLOOKUP(A51,policy!B:C,2,0)</f>
        <v>050000760534</v>
      </c>
      <c r="C51" s="14">
        <v>-207044</v>
      </c>
      <c r="D51" s="25">
        <f t="shared" si="1"/>
        <v>-207044</v>
      </c>
      <c r="E51" s="23" t="s">
        <v>665</v>
      </c>
      <c r="F51" s="26" t="str">
        <f t="shared" si="0"/>
        <v>insert into ins_premium_det (premium_rcv_code,assorted_code, rec_amount,premium_rcv_detail_code,remaining_amt, payrec, mode_code,coinsurance_code,class_cd,it_remarks) values</v>
      </c>
      <c r="G51" s="27" t="str">
        <f t="shared" si="2"/>
        <v>('07May250079','050000760534','-207044',(select max(to_number(i.premium_rcv_detail_code))+1
from ins_premium_det i),'-207044','-207044','02', '11000003','00','Request by Mr. Omair Ali 09-May-2025');</v>
      </c>
      <c r="H51" s="28" t="str">
        <f t="shared" si="3"/>
        <v>insert into ins_premium_det (premium_rcv_code,assorted_code, rec_amount,premium_rcv_detail_code,remaining_amt, payrec, mode_code,coinsurance_code,class_cd,it_remarks) values('07May250079','050000760534','-207044',(select max(to_number(i.premium_rcv_detail_code))+1
from ins_premium_det i),'-207044','-207044','02', '11000003','00','Request by Mr. Omair Ali 09-May-2025');</v>
      </c>
    </row>
    <row r="52" spans="1:8" ht="105" x14ac:dyDescent="0.25">
      <c r="A52" s="5" t="s">
        <v>55</v>
      </c>
      <c r="B52" s="24" t="str">
        <f>VLOOKUP(A52,policy!B:C,2,0)</f>
        <v>050000761006</v>
      </c>
      <c r="C52" s="14">
        <v>-18385</v>
      </c>
      <c r="D52" s="25">
        <f t="shared" si="1"/>
        <v>-18385</v>
      </c>
      <c r="E52" s="23" t="s">
        <v>665</v>
      </c>
      <c r="F52" s="26" t="str">
        <f t="shared" si="0"/>
        <v>insert into ins_premium_det (premium_rcv_code,assorted_code, rec_amount,premium_rcv_detail_code,remaining_amt, payrec, mode_code,coinsurance_code,class_cd,it_remarks) values</v>
      </c>
      <c r="G52" s="27" t="str">
        <f t="shared" si="2"/>
        <v>('07May250079','050000761006','-18385',(select max(to_number(i.premium_rcv_detail_code))+1
from ins_premium_det i),'-18385','-18385','02', '11000003','00','Request by Mr. Omair Ali 09-May-2025');</v>
      </c>
      <c r="H52" s="28" t="str">
        <f t="shared" si="3"/>
        <v>insert into ins_premium_det (premium_rcv_code,assorted_code, rec_amount,premium_rcv_detail_code,remaining_amt, payrec, mode_code,coinsurance_code,class_cd,it_remarks) values('07May250079','050000761006','-18385',(select max(to_number(i.premium_rcv_detail_code))+1
from ins_premium_det i),'-18385','-18385','02', '11000003','00','Request by Mr. Omair Ali 09-May-2025');</v>
      </c>
    </row>
    <row r="53" spans="1:8" ht="105" x14ac:dyDescent="0.25">
      <c r="A53" s="5" t="s">
        <v>56</v>
      </c>
      <c r="B53" s="24" t="str">
        <f>VLOOKUP(A53,policy!B:C,2,0)</f>
        <v>050000761158</v>
      </c>
      <c r="C53" s="14">
        <v>520470</v>
      </c>
      <c r="D53" s="25">
        <f t="shared" si="1"/>
        <v>520470</v>
      </c>
      <c r="E53" s="23" t="s">
        <v>665</v>
      </c>
      <c r="F53" s="26" t="str">
        <f t="shared" si="0"/>
        <v>insert into ins_premium_det (premium_rcv_code,assorted_code, rec_amount,premium_rcv_detail_code,remaining_amt, payrec, mode_code,coinsurance_code,class_cd,it_remarks) values</v>
      </c>
      <c r="G53" s="27" t="str">
        <f t="shared" si="2"/>
        <v>('07May250079','050000761158','520470',(select max(to_number(i.premium_rcv_detail_code))+1
from ins_premium_det i),'520470','520470','02', '11000003','00','Request by Mr. Omair Ali 09-May-2025');</v>
      </c>
      <c r="H53" s="28" t="str">
        <f t="shared" si="3"/>
        <v>insert into ins_premium_det (premium_rcv_code,assorted_code, rec_amount,premium_rcv_detail_code,remaining_amt, payrec, mode_code,coinsurance_code,class_cd,it_remarks) values('07May250079','050000761158','520470',(select max(to_number(i.premium_rcv_detail_code))+1
from ins_premium_det i),'520470','520470','02', '11000003','00','Request by Mr. Omair Ali 09-May-2025');</v>
      </c>
    </row>
    <row r="54" spans="1:8" ht="105" x14ac:dyDescent="0.25">
      <c r="A54" s="5" t="s">
        <v>57</v>
      </c>
      <c r="B54" s="24" t="str">
        <f>VLOOKUP(A54,policy!B:C,2,0)</f>
        <v>050000761646</v>
      </c>
      <c r="C54" s="14">
        <v>-48024</v>
      </c>
      <c r="D54" s="25">
        <f t="shared" si="1"/>
        <v>-48024</v>
      </c>
      <c r="E54" s="23" t="s">
        <v>665</v>
      </c>
      <c r="F54" s="26" t="str">
        <f t="shared" si="0"/>
        <v>insert into ins_premium_det (premium_rcv_code,assorted_code, rec_amount,premium_rcv_detail_code,remaining_amt, payrec, mode_code,coinsurance_code,class_cd,it_remarks) values</v>
      </c>
      <c r="G54" s="27" t="str">
        <f t="shared" si="2"/>
        <v>('07May250079','050000761646','-48024',(select max(to_number(i.premium_rcv_detail_code))+1
from ins_premium_det i),'-48024','-48024','02', '11000003','00','Request by Mr. Omair Ali 09-May-2025');</v>
      </c>
      <c r="H54" s="28" t="str">
        <f t="shared" si="3"/>
        <v>insert into ins_premium_det (premium_rcv_code,assorted_code, rec_amount,premium_rcv_detail_code,remaining_amt, payrec, mode_code,coinsurance_code,class_cd,it_remarks) values('07May250079','050000761646','-48024',(select max(to_number(i.premium_rcv_detail_code))+1
from ins_premium_det i),'-48024','-48024','02', '11000003','00','Request by Mr. Omair Ali 09-May-2025');</v>
      </c>
    </row>
    <row r="55" spans="1:8" ht="105" x14ac:dyDescent="0.25">
      <c r="A55" s="5" t="s">
        <v>58</v>
      </c>
      <c r="B55" s="24" t="str">
        <f>VLOOKUP(A55,policy!B:C,2,0)</f>
        <v>050000762012</v>
      </c>
      <c r="C55" s="14">
        <v>-44938</v>
      </c>
      <c r="D55" s="25">
        <f t="shared" si="1"/>
        <v>-44938</v>
      </c>
      <c r="E55" s="23" t="s">
        <v>665</v>
      </c>
      <c r="F55" s="26" t="str">
        <f t="shared" si="0"/>
        <v>insert into ins_premium_det (premium_rcv_code,assorted_code, rec_amount,premium_rcv_detail_code,remaining_amt, payrec, mode_code,coinsurance_code,class_cd,it_remarks) values</v>
      </c>
      <c r="G55" s="27" t="str">
        <f t="shared" si="2"/>
        <v>('07May250079','050000762012','-44938',(select max(to_number(i.premium_rcv_detail_code))+1
from ins_premium_det i),'-44938','-44938','02', '11000003','00','Request by Mr. Omair Ali 09-May-2025');</v>
      </c>
      <c r="H55" s="28" t="str">
        <f t="shared" si="3"/>
        <v>insert into ins_premium_det (premium_rcv_code,assorted_code, rec_amount,premium_rcv_detail_code,remaining_amt, payrec, mode_code,coinsurance_code,class_cd,it_remarks) values('07May250079','050000762012','-44938',(select max(to_number(i.premium_rcv_detail_code))+1
from ins_premium_det i),'-44938','-44938','02', '11000003','00','Request by Mr. Omair Ali 09-May-2025');</v>
      </c>
    </row>
    <row r="56" spans="1:8" ht="105" x14ac:dyDescent="0.25">
      <c r="A56" s="5" t="s">
        <v>59</v>
      </c>
      <c r="B56" s="24" t="str">
        <f>VLOOKUP(A56,policy!B:C,2,0)</f>
        <v>050000765655</v>
      </c>
      <c r="C56" s="14">
        <v>-24672</v>
      </c>
      <c r="D56" s="25">
        <f t="shared" si="1"/>
        <v>-24672</v>
      </c>
      <c r="E56" s="23" t="s">
        <v>665</v>
      </c>
      <c r="F56" s="26" t="str">
        <f t="shared" si="0"/>
        <v>insert into ins_premium_det (premium_rcv_code,assorted_code, rec_amount,premium_rcv_detail_code,remaining_amt, payrec, mode_code,coinsurance_code,class_cd,it_remarks) values</v>
      </c>
      <c r="G56" s="27" t="str">
        <f t="shared" si="2"/>
        <v>('07May250079','050000765655','-24672',(select max(to_number(i.premium_rcv_detail_code))+1
from ins_premium_det i),'-24672','-24672','02', '11000003','00','Request by Mr. Omair Ali 09-May-2025');</v>
      </c>
      <c r="H56" s="28" t="str">
        <f t="shared" si="3"/>
        <v>insert into ins_premium_det (premium_rcv_code,assorted_code, rec_amount,premium_rcv_detail_code,remaining_amt, payrec, mode_code,coinsurance_code,class_cd,it_remarks) values('07May250079','050000765655','-24672',(select max(to_number(i.premium_rcv_detail_code))+1
from ins_premium_det i),'-24672','-24672','02', '11000003','00','Request by Mr. Omair Ali 09-May-2025');</v>
      </c>
    </row>
    <row r="57" spans="1:8" ht="105" x14ac:dyDescent="0.25">
      <c r="A57" s="5" t="s">
        <v>60</v>
      </c>
      <c r="B57" s="24" t="str">
        <f>VLOOKUP(A57,policy!B:C,2,0)</f>
        <v>050000766840</v>
      </c>
      <c r="C57" s="14">
        <v>-29282</v>
      </c>
      <c r="D57" s="25">
        <f t="shared" si="1"/>
        <v>-29282</v>
      </c>
      <c r="E57" s="23" t="s">
        <v>665</v>
      </c>
      <c r="F57" s="26" t="str">
        <f t="shared" si="0"/>
        <v>insert into ins_premium_det (premium_rcv_code,assorted_code, rec_amount,premium_rcv_detail_code,remaining_amt, payrec, mode_code,coinsurance_code,class_cd,it_remarks) values</v>
      </c>
      <c r="G57" s="27" t="str">
        <f t="shared" si="2"/>
        <v>('07May250079','050000766840','-29282',(select max(to_number(i.premium_rcv_detail_code))+1
from ins_premium_det i),'-29282','-29282','02', '11000003','00','Request by Mr. Omair Ali 09-May-2025');</v>
      </c>
      <c r="H57" s="28" t="str">
        <f t="shared" si="3"/>
        <v>insert into ins_premium_det (premium_rcv_code,assorted_code, rec_amount,premium_rcv_detail_code,remaining_amt, payrec, mode_code,coinsurance_code,class_cd,it_remarks) values('07May250079','050000766840','-29282',(select max(to_number(i.premium_rcv_detail_code))+1
from ins_premium_det i),'-29282','-29282','02', '11000003','00','Request by Mr. Omair Ali 09-May-2025');</v>
      </c>
    </row>
    <row r="58" spans="1:8" ht="105" x14ac:dyDescent="0.25">
      <c r="A58" s="5" t="s">
        <v>61</v>
      </c>
      <c r="B58" s="24" t="str">
        <f>VLOOKUP(A58,policy!B:C,2,0)</f>
        <v>050000768073</v>
      </c>
      <c r="C58" s="14">
        <v>839</v>
      </c>
      <c r="D58" s="25">
        <f t="shared" si="1"/>
        <v>839</v>
      </c>
      <c r="E58" s="23" t="s">
        <v>665</v>
      </c>
      <c r="F58" s="26" t="str">
        <f t="shared" si="0"/>
        <v>insert into ins_premium_det (premium_rcv_code,assorted_code, rec_amount,premium_rcv_detail_code,remaining_amt, payrec, mode_code,coinsurance_code,class_cd,it_remarks) values</v>
      </c>
      <c r="G58" s="27" t="str">
        <f t="shared" si="2"/>
        <v>('07May250079','050000768073','839',(select max(to_number(i.premium_rcv_detail_code))+1
from ins_premium_det i),'839','839','02', '11000003','00','Request by Mr. Omair Ali 09-May-2025');</v>
      </c>
      <c r="H58" s="28" t="str">
        <f t="shared" si="3"/>
        <v>insert into ins_premium_det (premium_rcv_code,assorted_code, rec_amount,premium_rcv_detail_code,remaining_amt, payrec, mode_code,coinsurance_code,class_cd,it_remarks) values('07May250079','050000768073','839',(select max(to_number(i.premium_rcv_detail_code))+1
from ins_premium_det i),'839','839','02', '11000003','00','Request by Mr. Omair Ali 09-May-2025');</v>
      </c>
    </row>
    <row r="59" spans="1:8" ht="105" x14ac:dyDescent="0.25">
      <c r="A59" s="5" t="s">
        <v>62</v>
      </c>
      <c r="B59" s="24" t="str">
        <f>VLOOKUP(A59,policy!B:C,2,0)</f>
        <v>050000769462</v>
      </c>
      <c r="C59" s="14">
        <v>-39691</v>
      </c>
      <c r="D59" s="25">
        <f t="shared" si="1"/>
        <v>-39691</v>
      </c>
      <c r="E59" s="23" t="s">
        <v>665</v>
      </c>
      <c r="F59" s="26" t="str">
        <f t="shared" si="0"/>
        <v>insert into ins_premium_det (premium_rcv_code,assorted_code, rec_amount,premium_rcv_detail_code,remaining_amt, payrec, mode_code,coinsurance_code,class_cd,it_remarks) values</v>
      </c>
      <c r="G59" s="27" t="str">
        <f t="shared" si="2"/>
        <v>('07May250079','050000769462','-39691',(select max(to_number(i.premium_rcv_detail_code))+1
from ins_premium_det i),'-39691','-39691','02', '11000003','00','Request by Mr. Omair Ali 09-May-2025');</v>
      </c>
      <c r="H59" s="28" t="str">
        <f t="shared" si="3"/>
        <v>insert into ins_premium_det (premium_rcv_code,assorted_code, rec_amount,premium_rcv_detail_code,remaining_amt, payrec, mode_code,coinsurance_code,class_cd,it_remarks) values('07May250079','050000769462','-39691',(select max(to_number(i.premium_rcv_detail_code))+1
from ins_premium_det i),'-39691','-39691','02', '11000003','00','Request by Mr. Omair Ali 09-May-2025');</v>
      </c>
    </row>
    <row r="60" spans="1:8" ht="105" x14ac:dyDescent="0.25">
      <c r="A60" s="5" t="s">
        <v>63</v>
      </c>
      <c r="B60" s="24" t="str">
        <f>VLOOKUP(A60,policy!B:C,2,0)</f>
        <v>050000769634</v>
      </c>
      <c r="C60" s="14">
        <v>-75884</v>
      </c>
      <c r="D60" s="25">
        <f t="shared" si="1"/>
        <v>-75884</v>
      </c>
      <c r="E60" s="23" t="s">
        <v>665</v>
      </c>
      <c r="F60" s="26" t="str">
        <f t="shared" si="0"/>
        <v>insert into ins_premium_det (premium_rcv_code,assorted_code, rec_amount,premium_rcv_detail_code,remaining_amt, payrec, mode_code,coinsurance_code,class_cd,it_remarks) values</v>
      </c>
      <c r="G60" s="27" t="str">
        <f t="shared" si="2"/>
        <v>('07May250079','050000769634','-75884',(select max(to_number(i.premium_rcv_detail_code))+1
from ins_premium_det i),'-75884','-75884','02', '11000003','00','Request by Mr. Omair Ali 09-May-2025');</v>
      </c>
      <c r="H60" s="28" t="str">
        <f t="shared" si="3"/>
        <v>insert into ins_premium_det (premium_rcv_code,assorted_code, rec_amount,premium_rcv_detail_code,remaining_amt, payrec, mode_code,coinsurance_code,class_cd,it_remarks) values('07May250079','050000769634','-75884',(select max(to_number(i.premium_rcv_detail_code))+1
from ins_premium_det i),'-75884','-75884','02', '11000003','00','Request by Mr. Omair Ali 09-May-2025');</v>
      </c>
    </row>
    <row r="61" spans="1:8" ht="105" x14ac:dyDescent="0.25">
      <c r="A61" s="5" t="s">
        <v>64</v>
      </c>
      <c r="B61" s="24" t="str">
        <f>VLOOKUP(A61,policy!B:C,2,0)</f>
        <v>050000770518</v>
      </c>
      <c r="C61" s="14">
        <v>-3420</v>
      </c>
      <c r="D61" s="25">
        <f t="shared" si="1"/>
        <v>-3420</v>
      </c>
      <c r="E61" s="23" t="s">
        <v>665</v>
      </c>
      <c r="F61" s="26" t="str">
        <f t="shared" si="0"/>
        <v>insert into ins_premium_det (premium_rcv_code,assorted_code, rec_amount,premium_rcv_detail_code,remaining_amt, payrec, mode_code,coinsurance_code,class_cd,it_remarks) values</v>
      </c>
      <c r="G61" s="27" t="str">
        <f t="shared" si="2"/>
        <v>('07May250079','050000770518','-3420',(select max(to_number(i.premium_rcv_detail_code))+1
from ins_premium_det i),'-3420','-3420','02', '11000003','00','Request by Mr. Omair Ali 09-May-2025');</v>
      </c>
      <c r="H61" s="28" t="str">
        <f t="shared" si="3"/>
        <v>insert into ins_premium_det (premium_rcv_code,assorted_code, rec_amount,premium_rcv_detail_code,remaining_amt, payrec, mode_code,coinsurance_code,class_cd,it_remarks) values('07May250079','050000770518','-3420',(select max(to_number(i.premium_rcv_detail_code))+1
from ins_premium_det i),'-3420','-3420','02', '11000003','00','Request by Mr. Omair Ali 09-May-2025');</v>
      </c>
    </row>
    <row r="62" spans="1:8" ht="105" x14ac:dyDescent="0.25">
      <c r="A62" s="5" t="s">
        <v>65</v>
      </c>
      <c r="B62" s="24" t="str">
        <f>VLOOKUP(A62,policy!B:C,2,0)</f>
        <v>050000770722</v>
      </c>
      <c r="C62" s="14">
        <v>-112009</v>
      </c>
      <c r="D62" s="25">
        <f t="shared" si="1"/>
        <v>-112009</v>
      </c>
      <c r="E62" s="23" t="s">
        <v>665</v>
      </c>
      <c r="F62" s="26" t="str">
        <f t="shared" si="0"/>
        <v>insert into ins_premium_det (premium_rcv_code,assorted_code, rec_amount,premium_rcv_detail_code,remaining_amt, payrec, mode_code,coinsurance_code,class_cd,it_remarks) values</v>
      </c>
      <c r="G62" s="27" t="str">
        <f t="shared" si="2"/>
        <v>('07May250079','050000770722','-112009',(select max(to_number(i.premium_rcv_detail_code))+1
from ins_premium_det i),'-112009','-112009','02', '11000003','00','Request by Mr. Omair Ali 09-May-2025');</v>
      </c>
      <c r="H62" s="28" t="str">
        <f t="shared" si="3"/>
        <v>insert into ins_premium_det (premium_rcv_code,assorted_code, rec_amount,premium_rcv_detail_code,remaining_amt, payrec, mode_code,coinsurance_code,class_cd,it_remarks) values('07May250079','050000770722','-112009',(select max(to_number(i.premium_rcv_detail_code))+1
from ins_premium_det i),'-112009','-112009','02', '11000003','00','Request by Mr. Omair Ali 09-May-2025');</v>
      </c>
    </row>
    <row r="63" spans="1:8" ht="105" x14ac:dyDescent="0.25">
      <c r="A63" s="5" t="s">
        <v>66</v>
      </c>
      <c r="B63" s="24" t="str">
        <f>VLOOKUP(A63,policy!B:C,2,0)</f>
        <v>050000771131</v>
      </c>
      <c r="C63" s="14">
        <v>-36198</v>
      </c>
      <c r="D63" s="25">
        <f t="shared" si="1"/>
        <v>-36198</v>
      </c>
      <c r="E63" s="23" t="s">
        <v>665</v>
      </c>
      <c r="F63" s="26" t="str">
        <f t="shared" si="0"/>
        <v>insert into ins_premium_det (premium_rcv_code,assorted_code, rec_amount,premium_rcv_detail_code,remaining_amt, payrec, mode_code,coinsurance_code,class_cd,it_remarks) values</v>
      </c>
      <c r="G63" s="27" t="str">
        <f t="shared" si="2"/>
        <v>('07May250079','050000771131','-36198',(select max(to_number(i.premium_rcv_detail_code))+1
from ins_premium_det i),'-36198','-36198','02', '11000003','00','Request by Mr. Omair Ali 09-May-2025');</v>
      </c>
      <c r="H63" s="28" t="str">
        <f t="shared" si="3"/>
        <v>insert into ins_premium_det (premium_rcv_code,assorted_code, rec_amount,premium_rcv_detail_code,remaining_amt, payrec, mode_code,coinsurance_code,class_cd,it_remarks) values('07May250079','050000771131','-36198',(select max(to_number(i.premium_rcv_detail_code))+1
from ins_premium_det i),'-36198','-36198','02', '11000003','00','Request by Mr. Omair Ali 09-May-2025');</v>
      </c>
    </row>
    <row r="64" spans="1:8" ht="105" x14ac:dyDescent="0.25">
      <c r="A64" s="5" t="s">
        <v>67</v>
      </c>
      <c r="B64" s="24" t="str">
        <f>VLOOKUP(A64,policy!B:C,2,0)</f>
        <v>050000771913</v>
      </c>
      <c r="C64" s="14">
        <v>-2872</v>
      </c>
      <c r="D64" s="25">
        <f t="shared" si="1"/>
        <v>-2872</v>
      </c>
      <c r="E64" s="23" t="s">
        <v>665</v>
      </c>
      <c r="F64" s="26" t="str">
        <f t="shared" si="0"/>
        <v>insert into ins_premium_det (premium_rcv_code,assorted_code, rec_amount,premium_rcv_detail_code,remaining_amt, payrec, mode_code,coinsurance_code,class_cd,it_remarks) values</v>
      </c>
      <c r="G64" s="27" t="str">
        <f t="shared" si="2"/>
        <v>('07May250079','050000771913','-2872',(select max(to_number(i.premium_rcv_detail_code))+1
from ins_premium_det i),'-2872','-2872','02', '11000003','00','Request by Mr. Omair Ali 09-May-2025');</v>
      </c>
      <c r="H64" s="28" t="str">
        <f t="shared" si="3"/>
        <v>insert into ins_premium_det (premium_rcv_code,assorted_code, rec_amount,premium_rcv_detail_code,remaining_amt, payrec, mode_code,coinsurance_code,class_cd,it_remarks) values('07May250079','050000771913','-2872',(select max(to_number(i.premium_rcv_detail_code))+1
from ins_premium_det i),'-2872','-2872','02', '11000003','00','Request by Mr. Omair Ali 09-May-2025');</v>
      </c>
    </row>
    <row r="65" spans="1:8" ht="105" x14ac:dyDescent="0.25">
      <c r="A65" s="5" t="s">
        <v>68</v>
      </c>
      <c r="B65" s="24" t="str">
        <f>VLOOKUP(A65,policy!B:C,2,0)</f>
        <v>050000773602</v>
      </c>
      <c r="C65" s="14">
        <v>781795</v>
      </c>
      <c r="D65" s="25">
        <f t="shared" si="1"/>
        <v>781795</v>
      </c>
      <c r="E65" s="23" t="s">
        <v>665</v>
      </c>
      <c r="F65" s="26" t="str">
        <f t="shared" si="0"/>
        <v>insert into ins_premium_det (premium_rcv_code,assorted_code, rec_amount,premium_rcv_detail_code,remaining_amt, payrec, mode_code,coinsurance_code,class_cd,it_remarks) values</v>
      </c>
      <c r="G65" s="27" t="str">
        <f t="shared" si="2"/>
        <v>('07May250079','050000773602','781795',(select max(to_number(i.premium_rcv_detail_code))+1
from ins_premium_det i),'781795','781795','02', '11000003','00','Request by Mr. Omair Ali 09-May-2025');</v>
      </c>
      <c r="H65" s="28" t="str">
        <f t="shared" si="3"/>
        <v>insert into ins_premium_det (premium_rcv_code,assorted_code, rec_amount,premium_rcv_detail_code,remaining_amt, payrec, mode_code,coinsurance_code,class_cd,it_remarks) values('07May250079','050000773602','781795',(select max(to_number(i.premium_rcv_detail_code))+1
from ins_premium_det i),'781795','781795','02', '11000003','00','Request by Mr. Omair Ali 09-May-2025');</v>
      </c>
    </row>
    <row r="66" spans="1:8" ht="105" x14ac:dyDescent="0.25">
      <c r="A66" s="5" t="s">
        <v>69</v>
      </c>
      <c r="B66" s="24" t="str">
        <f>VLOOKUP(A66,policy!B:C,2,0)</f>
        <v>050000775541</v>
      </c>
      <c r="C66" s="14">
        <v>-14664</v>
      </c>
      <c r="D66" s="25">
        <f t="shared" si="1"/>
        <v>-14664</v>
      </c>
      <c r="E66" s="23" t="s">
        <v>665</v>
      </c>
      <c r="F66" s="26" t="str">
        <f t="shared" ref="F66:F129" si="4">"insert into ins_premium_det (premium_rcv_code,assorted_code, rec_amount,premium_rcv_detail_code,remaining_amt, payrec, mode_code,coinsurance_code,class_cd,it_remarks) values"</f>
        <v>insert into ins_premium_det (premium_rcv_code,assorted_code, rec_amount,premium_rcv_detail_code,remaining_amt, payrec, mode_code,coinsurance_code,class_cd,it_remarks) values</v>
      </c>
      <c r="G66" s="27" t="str">
        <f t="shared" si="2"/>
        <v>('07May250079','050000775541','-14664',(select max(to_number(i.premium_rcv_detail_code))+1
from ins_premium_det i),'-14664','-14664','02', '11000003','00','Request by Mr. Omair Ali 09-May-2025');</v>
      </c>
      <c r="H66" s="28" t="str">
        <f t="shared" si="3"/>
        <v>insert into ins_premium_det (premium_rcv_code,assorted_code, rec_amount,premium_rcv_detail_code,remaining_amt, payrec, mode_code,coinsurance_code,class_cd,it_remarks) values('07May250079','050000775541','-14664',(select max(to_number(i.premium_rcv_detail_code))+1
from ins_premium_det i),'-14664','-14664','02', '11000003','00','Request by Mr. Omair Ali 09-May-2025');</v>
      </c>
    </row>
    <row r="67" spans="1:8" ht="105" x14ac:dyDescent="0.25">
      <c r="A67" s="5" t="s">
        <v>70</v>
      </c>
      <c r="B67" s="24" t="str">
        <f>VLOOKUP(A67,policy!B:C,2,0)</f>
        <v>050000776904</v>
      </c>
      <c r="C67" s="14">
        <v>-32747</v>
      </c>
      <c r="D67" s="25">
        <f t="shared" ref="D67:D130" si="5">ROUND(C67,0)</f>
        <v>-32747</v>
      </c>
      <c r="E67" s="23" t="s">
        <v>665</v>
      </c>
      <c r="F67" s="26" t="str">
        <f t="shared" si="4"/>
        <v>insert into ins_premium_det (premium_rcv_code,assorted_code, rec_amount,premium_rcv_detail_code,remaining_amt, payrec, mode_code,coinsurance_code,class_cd,it_remarks) values</v>
      </c>
      <c r="G67" s="27" t="str">
        <f t="shared" ref="G67:G130" si="6">"('"&amp;E67&amp;"','"&amp;B67&amp;"','"&amp;D67&amp;"',(select max(to_number(i.premium_rcv_detail_code))+1
from ins_premium_det i),'"&amp;D67&amp;"','"&amp;D67&amp;"','02', '11000003','00','Request by Mr. Omair Ali 09-May-2025');"</f>
        <v>('07May250079','050000776904','-32747',(select max(to_number(i.premium_rcv_detail_code))+1
from ins_premium_det i),'-32747','-32747','02', '11000003','00','Request by Mr. Omair Ali 09-May-2025');</v>
      </c>
      <c r="H67" s="28" t="str">
        <f t="shared" ref="H67:H130" si="7">F67&amp;G67</f>
        <v>insert into ins_premium_det (premium_rcv_code,assorted_code, rec_amount,premium_rcv_detail_code,remaining_amt, payrec, mode_code,coinsurance_code,class_cd,it_remarks) values('07May250079','050000776904','-32747',(select max(to_number(i.premium_rcv_detail_code))+1
from ins_premium_det i),'-32747','-32747','02', '11000003','00','Request by Mr. Omair Ali 09-May-2025');</v>
      </c>
    </row>
    <row r="68" spans="1:8" ht="105" x14ac:dyDescent="0.25">
      <c r="A68" s="5" t="s">
        <v>71</v>
      </c>
      <c r="B68" s="24" t="str">
        <f>VLOOKUP(A68,policy!B:C,2,0)</f>
        <v>050000777659</v>
      </c>
      <c r="C68" s="14">
        <v>-42652</v>
      </c>
      <c r="D68" s="25">
        <f t="shared" si="5"/>
        <v>-42652</v>
      </c>
      <c r="E68" s="23" t="s">
        <v>665</v>
      </c>
      <c r="F68" s="26" t="str">
        <f t="shared" si="4"/>
        <v>insert into ins_premium_det (premium_rcv_code,assorted_code, rec_amount,premium_rcv_detail_code,remaining_amt, payrec, mode_code,coinsurance_code,class_cd,it_remarks) values</v>
      </c>
      <c r="G68" s="27" t="str">
        <f t="shared" si="6"/>
        <v>('07May250079','050000777659','-42652',(select max(to_number(i.premium_rcv_detail_code))+1
from ins_premium_det i),'-42652','-42652','02', '11000003','00','Request by Mr. Omair Ali 09-May-2025');</v>
      </c>
      <c r="H68" s="28" t="str">
        <f t="shared" si="7"/>
        <v>insert into ins_premium_det (premium_rcv_code,assorted_code, rec_amount,premium_rcv_detail_code,remaining_amt, payrec, mode_code,coinsurance_code,class_cd,it_remarks) values('07May250079','050000777659','-42652',(select max(to_number(i.premium_rcv_detail_code))+1
from ins_premium_det i),'-42652','-42652','02', '11000003','00','Request by Mr. Omair Ali 09-May-2025');</v>
      </c>
    </row>
    <row r="69" spans="1:8" ht="105" x14ac:dyDescent="0.25">
      <c r="A69" s="5" t="s">
        <v>72</v>
      </c>
      <c r="B69" s="24" t="str">
        <f>VLOOKUP(A69,policy!B:C,2,0)</f>
        <v>050000777826</v>
      </c>
      <c r="C69" s="14">
        <v>-37569</v>
      </c>
      <c r="D69" s="25">
        <f t="shared" si="5"/>
        <v>-37569</v>
      </c>
      <c r="E69" s="23" t="s">
        <v>665</v>
      </c>
      <c r="F69" s="26" t="str">
        <f t="shared" si="4"/>
        <v>insert into ins_premium_det (premium_rcv_code,assorted_code, rec_amount,premium_rcv_detail_code,remaining_amt, payrec, mode_code,coinsurance_code,class_cd,it_remarks) values</v>
      </c>
      <c r="G69" s="27" t="str">
        <f t="shared" si="6"/>
        <v>('07May250079','050000777826','-37569',(select max(to_number(i.premium_rcv_detail_code))+1
from ins_premium_det i),'-37569','-37569','02', '11000003','00','Request by Mr. Omair Ali 09-May-2025');</v>
      </c>
      <c r="H69" s="28" t="str">
        <f t="shared" si="7"/>
        <v>insert into ins_premium_det (premium_rcv_code,assorted_code, rec_amount,premium_rcv_detail_code,remaining_amt, payrec, mode_code,coinsurance_code,class_cd,it_remarks) values('07May250079','050000777826','-37569',(select max(to_number(i.premium_rcv_detail_code))+1
from ins_premium_det i),'-37569','-37569','02', '11000003','00','Request by Mr. Omair Ali 09-May-2025');</v>
      </c>
    </row>
    <row r="70" spans="1:8" ht="105" x14ac:dyDescent="0.25">
      <c r="A70" s="5" t="s">
        <v>73</v>
      </c>
      <c r="B70" s="24" t="str">
        <f>VLOOKUP(A70,policy!B:C,2,0)</f>
        <v>050000778115</v>
      </c>
      <c r="C70" s="14">
        <v>-41784</v>
      </c>
      <c r="D70" s="25">
        <f t="shared" si="5"/>
        <v>-41784</v>
      </c>
      <c r="E70" s="23" t="s">
        <v>665</v>
      </c>
      <c r="F70" s="26" t="str">
        <f t="shared" si="4"/>
        <v>insert into ins_premium_det (premium_rcv_code,assorted_code, rec_amount,premium_rcv_detail_code,remaining_amt, payrec, mode_code,coinsurance_code,class_cd,it_remarks) values</v>
      </c>
      <c r="G70" s="27" t="str">
        <f t="shared" si="6"/>
        <v>('07May250079','050000778115','-41784',(select max(to_number(i.premium_rcv_detail_code))+1
from ins_premium_det i),'-41784','-41784','02', '11000003','00','Request by Mr. Omair Ali 09-May-2025');</v>
      </c>
      <c r="H70" s="28" t="str">
        <f t="shared" si="7"/>
        <v>insert into ins_premium_det (premium_rcv_code,assorted_code, rec_amount,premium_rcv_detail_code,remaining_amt, payrec, mode_code,coinsurance_code,class_cd,it_remarks) values('07May250079','050000778115','-41784',(select max(to_number(i.premium_rcv_detail_code))+1
from ins_premium_det i),'-41784','-41784','02', '11000003','00','Request by Mr. Omair Ali 09-May-2025');</v>
      </c>
    </row>
    <row r="71" spans="1:8" ht="105" x14ac:dyDescent="0.25">
      <c r="A71" s="5" t="s">
        <v>74</v>
      </c>
      <c r="B71" s="24" t="str">
        <f>VLOOKUP(A71,policy!B:C,2,0)</f>
        <v>050000778740</v>
      </c>
      <c r="C71" s="14">
        <v>-35236</v>
      </c>
      <c r="D71" s="25">
        <f t="shared" si="5"/>
        <v>-35236</v>
      </c>
      <c r="E71" s="23" t="s">
        <v>665</v>
      </c>
      <c r="F71" s="26" t="str">
        <f t="shared" si="4"/>
        <v>insert into ins_premium_det (premium_rcv_code,assorted_code, rec_amount,premium_rcv_detail_code,remaining_amt, payrec, mode_code,coinsurance_code,class_cd,it_remarks) values</v>
      </c>
      <c r="G71" s="27" t="str">
        <f t="shared" si="6"/>
        <v>('07May250079','050000778740','-35236',(select max(to_number(i.premium_rcv_detail_code))+1
from ins_premium_det i),'-35236','-35236','02', '11000003','00','Request by Mr. Omair Ali 09-May-2025');</v>
      </c>
      <c r="H71" s="28" t="str">
        <f t="shared" si="7"/>
        <v>insert into ins_premium_det (premium_rcv_code,assorted_code, rec_amount,premium_rcv_detail_code,remaining_amt, payrec, mode_code,coinsurance_code,class_cd,it_remarks) values('07May250079','050000778740','-35236',(select max(to_number(i.premium_rcv_detail_code))+1
from ins_premium_det i),'-35236','-35236','02', '11000003','00','Request by Mr. Omair Ali 09-May-2025');</v>
      </c>
    </row>
    <row r="72" spans="1:8" ht="105" x14ac:dyDescent="0.25">
      <c r="A72" s="5" t="s">
        <v>75</v>
      </c>
      <c r="B72" s="24" t="str">
        <f>VLOOKUP(A72,policy!B:C,2,0)</f>
        <v>050000778901</v>
      </c>
      <c r="C72" s="14">
        <v>-34922</v>
      </c>
      <c r="D72" s="25">
        <f t="shared" si="5"/>
        <v>-34922</v>
      </c>
      <c r="E72" s="23" t="s">
        <v>665</v>
      </c>
      <c r="F72" s="26" t="str">
        <f t="shared" si="4"/>
        <v>insert into ins_premium_det (premium_rcv_code,assorted_code, rec_amount,premium_rcv_detail_code,remaining_amt, payrec, mode_code,coinsurance_code,class_cd,it_remarks) values</v>
      </c>
      <c r="G72" s="27" t="str">
        <f t="shared" si="6"/>
        <v>('07May250079','050000778901','-34922',(select max(to_number(i.premium_rcv_detail_code))+1
from ins_premium_det i),'-34922','-34922','02', '11000003','00','Request by Mr. Omair Ali 09-May-2025');</v>
      </c>
      <c r="H72" s="28" t="str">
        <f t="shared" si="7"/>
        <v>insert into ins_premium_det (premium_rcv_code,assorted_code, rec_amount,premium_rcv_detail_code,remaining_amt, payrec, mode_code,coinsurance_code,class_cd,it_remarks) values('07May250079','050000778901','-34922',(select max(to_number(i.premium_rcv_detail_code))+1
from ins_premium_det i),'-34922','-34922','02', '11000003','00','Request by Mr. Omair Ali 09-May-2025');</v>
      </c>
    </row>
    <row r="73" spans="1:8" ht="105" x14ac:dyDescent="0.25">
      <c r="A73" s="5" t="s">
        <v>76</v>
      </c>
      <c r="B73" s="24" t="str">
        <f>VLOOKUP(A73,policy!B:C,2,0)</f>
        <v>050000779109</v>
      </c>
      <c r="C73" s="14">
        <v>-27909</v>
      </c>
      <c r="D73" s="25">
        <f t="shared" si="5"/>
        <v>-27909</v>
      </c>
      <c r="E73" s="23" t="s">
        <v>665</v>
      </c>
      <c r="F73" s="26" t="str">
        <f t="shared" si="4"/>
        <v>insert into ins_premium_det (premium_rcv_code,assorted_code, rec_amount,premium_rcv_detail_code,remaining_amt, payrec, mode_code,coinsurance_code,class_cd,it_remarks) values</v>
      </c>
      <c r="G73" s="27" t="str">
        <f t="shared" si="6"/>
        <v>('07May250079','050000779109','-27909',(select max(to_number(i.premium_rcv_detail_code))+1
from ins_premium_det i),'-27909','-27909','02', '11000003','00','Request by Mr. Omair Ali 09-May-2025');</v>
      </c>
      <c r="H73" s="28" t="str">
        <f t="shared" si="7"/>
        <v>insert into ins_premium_det (premium_rcv_code,assorted_code, rec_amount,premium_rcv_detail_code,remaining_amt, payrec, mode_code,coinsurance_code,class_cd,it_remarks) values('07May250079','050000779109','-27909',(select max(to_number(i.premium_rcv_detail_code))+1
from ins_premium_det i),'-27909','-27909','02', '11000003','00','Request by Mr. Omair Ali 09-May-2025');</v>
      </c>
    </row>
    <row r="74" spans="1:8" ht="105" x14ac:dyDescent="0.25">
      <c r="A74" s="5" t="s">
        <v>77</v>
      </c>
      <c r="B74" s="24" t="str">
        <f>VLOOKUP(A74,policy!B:C,2,0)</f>
        <v>050000780188</v>
      </c>
      <c r="C74" s="14">
        <v>22938</v>
      </c>
      <c r="D74" s="25">
        <f t="shared" si="5"/>
        <v>22938</v>
      </c>
      <c r="E74" s="23" t="s">
        <v>665</v>
      </c>
      <c r="F74" s="26" t="str">
        <f t="shared" si="4"/>
        <v>insert into ins_premium_det (premium_rcv_code,assorted_code, rec_amount,premium_rcv_detail_code,remaining_amt, payrec, mode_code,coinsurance_code,class_cd,it_remarks) values</v>
      </c>
      <c r="G74" s="27" t="str">
        <f t="shared" si="6"/>
        <v>('07May250079','050000780188','22938',(select max(to_number(i.premium_rcv_detail_code))+1
from ins_premium_det i),'22938','22938','02', '11000003','00','Request by Mr. Omair Ali 09-May-2025');</v>
      </c>
      <c r="H74" s="28" t="str">
        <f t="shared" si="7"/>
        <v>insert into ins_premium_det (premium_rcv_code,assorted_code, rec_amount,premium_rcv_detail_code,remaining_amt, payrec, mode_code,coinsurance_code,class_cd,it_remarks) values('07May250079','050000780188','22938',(select max(to_number(i.premium_rcv_detail_code))+1
from ins_premium_det i),'22938','22938','02', '11000003','00','Request by Mr. Omair Ali 09-May-2025');</v>
      </c>
    </row>
    <row r="75" spans="1:8" ht="105" x14ac:dyDescent="0.25">
      <c r="A75" s="5" t="s">
        <v>78</v>
      </c>
      <c r="B75" s="24" t="str">
        <f>VLOOKUP(A75,policy!B:C,2,0)</f>
        <v>050000780523</v>
      </c>
      <c r="C75" s="14">
        <v>-25578</v>
      </c>
      <c r="D75" s="25">
        <f t="shared" si="5"/>
        <v>-25578</v>
      </c>
      <c r="E75" s="23" t="s">
        <v>665</v>
      </c>
      <c r="F75" s="26" t="str">
        <f t="shared" si="4"/>
        <v>insert into ins_premium_det (premium_rcv_code,assorted_code, rec_amount,premium_rcv_detail_code,remaining_amt, payrec, mode_code,coinsurance_code,class_cd,it_remarks) values</v>
      </c>
      <c r="G75" s="27" t="str">
        <f t="shared" si="6"/>
        <v>('07May250079','050000780523','-25578',(select max(to_number(i.premium_rcv_detail_code))+1
from ins_premium_det i),'-25578','-25578','02', '11000003','00','Request by Mr. Omair Ali 09-May-2025');</v>
      </c>
      <c r="H75" s="28" t="str">
        <f t="shared" si="7"/>
        <v>insert into ins_premium_det (premium_rcv_code,assorted_code, rec_amount,premium_rcv_detail_code,remaining_amt, payrec, mode_code,coinsurance_code,class_cd,it_remarks) values('07May250079','050000780523','-25578',(select max(to_number(i.premium_rcv_detail_code))+1
from ins_premium_det i),'-25578','-25578','02', '11000003','00','Request by Mr. Omair Ali 09-May-2025');</v>
      </c>
    </row>
    <row r="76" spans="1:8" ht="105" x14ac:dyDescent="0.25">
      <c r="A76" s="5" t="s">
        <v>79</v>
      </c>
      <c r="B76" s="24" t="str">
        <f>VLOOKUP(A76,policy!B:C,2,0)</f>
        <v>050000781300</v>
      </c>
      <c r="C76" s="14">
        <v>-6308</v>
      </c>
      <c r="D76" s="25">
        <f t="shared" si="5"/>
        <v>-6308</v>
      </c>
      <c r="E76" s="23" t="s">
        <v>665</v>
      </c>
      <c r="F76" s="26" t="str">
        <f t="shared" si="4"/>
        <v>insert into ins_premium_det (premium_rcv_code,assorted_code, rec_amount,premium_rcv_detail_code,remaining_amt, payrec, mode_code,coinsurance_code,class_cd,it_remarks) values</v>
      </c>
      <c r="G76" s="27" t="str">
        <f t="shared" si="6"/>
        <v>('07May250079','050000781300','-6308',(select max(to_number(i.premium_rcv_detail_code))+1
from ins_premium_det i),'-6308','-6308','02', '11000003','00','Request by Mr. Omair Ali 09-May-2025');</v>
      </c>
      <c r="H76" s="28" t="str">
        <f t="shared" si="7"/>
        <v>insert into ins_premium_det (premium_rcv_code,assorted_code, rec_amount,premium_rcv_detail_code,remaining_amt, payrec, mode_code,coinsurance_code,class_cd,it_remarks) values('07May250079','050000781300','-6308',(select max(to_number(i.premium_rcv_detail_code))+1
from ins_premium_det i),'-6308','-6308','02', '11000003','00','Request by Mr. Omair Ali 09-May-2025');</v>
      </c>
    </row>
    <row r="77" spans="1:8" ht="105" x14ac:dyDescent="0.25">
      <c r="A77" s="5" t="s">
        <v>80</v>
      </c>
      <c r="B77" s="24" t="str">
        <f>VLOOKUP(A77,policy!B:C,2,0)</f>
        <v>050000781474</v>
      </c>
      <c r="C77" s="14">
        <v>-27918</v>
      </c>
      <c r="D77" s="25">
        <f t="shared" si="5"/>
        <v>-27918</v>
      </c>
      <c r="E77" s="23" t="s">
        <v>665</v>
      </c>
      <c r="F77" s="26" t="str">
        <f t="shared" si="4"/>
        <v>insert into ins_premium_det (premium_rcv_code,assorted_code, rec_amount,premium_rcv_detail_code,remaining_amt, payrec, mode_code,coinsurance_code,class_cd,it_remarks) values</v>
      </c>
      <c r="G77" s="27" t="str">
        <f t="shared" si="6"/>
        <v>('07May250079','050000781474','-27918',(select max(to_number(i.premium_rcv_detail_code))+1
from ins_premium_det i),'-27918','-27918','02', '11000003','00','Request by Mr. Omair Ali 09-May-2025');</v>
      </c>
      <c r="H77" s="28" t="str">
        <f t="shared" si="7"/>
        <v>insert into ins_premium_det (premium_rcv_code,assorted_code, rec_amount,premium_rcv_detail_code,remaining_amt, payrec, mode_code,coinsurance_code,class_cd,it_remarks) values('07May250079','050000781474','-27918',(select max(to_number(i.premium_rcv_detail_code))+1
from ins_premium_det i),'-27918','-27918','02', '11000003','00','Request by Mr. Omair Ali 09-May-2025');</v>
      </c>
    </row>
    <row r="78" spans="1:8" ht="105" x14ac:dyDescent="0.25">
      <c r="A78" s="5" t="s">
        <v>81</v>
      </c>
      <c r="B78" s="24" t="str">
        <f>VLOOKUP(A78,policy!B:C,2,0)</f>
        <v>050000781830</v>
      </c>
      <c r="C78" s="14">
        <v>342196</v>
      </c>
      <c r="D78" s="25">
        <f t="shared" si="5"/>
        <v>342196</v>
      </c>
      <c r="E78" s="23" t="s">
        <v>665</v>
      </c>
      <c r="F78" s="26" t="str">
        <f t="shared" si="4"/>
        <v>insert into ins_premium_det (premium_rcv_code,assorted_code, rec_amount,premium_rcv_detail_code,remaining_amt, payrec, mode_code,coinsurance_code,class_cd,it_remarks) values</v>
      </c>
      <c r="G78" s="27" t="str">
        <f t="shared" si="6"/>
        <v>('07May250079','050000781830','342196',(select max(to_number(i.premium_rcv_detail_code))+1
from ins_premium_det i),'342196','342196','02', '11000003','00','Request by Mr. Omair Ali 09-May-2025');</v>
      </c>
      <c r="H78" s="28" t="str">
        <f t="shared" si="7"/>
        <v>insert into ins_premium_det (premium_rcv_code,assorted_code, rec_amount,premium_rcv_detail_code,remaining_amt, payrec, mode_code,coinsurance_code,class_cd,it_remarks) values('07May250079','050000781830','342196',(select max(to_number(i.premium_rcv_detail_code))+1
from ins_premium_det i),'342196','342196','02', '11000003','00','Request by Mr. Omair Ali 09-May-2025');</v>
      </c>
    </row>
    <row r="79" spans="1:8" ht="105" x14ac:dyDescent="0.25">
      <c r="A79" s="5" t="s">
        <v>82</v>
      </c>
      <c r="B79" s="24" t="str">
        <f>VLOOKUP(A79,policy!B:C,2,0)</f>
        <v>050000782120</v>
      </c>
      <c r="C79" s="14">
        <v>-57894</v>
      </c>
      <c r="D79" s="25">
        <f t="shared" si="5"/>
        <v>-57894</v>
      </c>
      <c r="E79" s="23" t="s">
        <v>665</v>
      </c>
      <c r="F79" s="26" t="str">
        <f t="shared" si="4"/>
        <v>insert into ins_premium_det (premium_rcv_code,assorted_code, rec_amount,premium_rcv_detail_code,remaining_amt, payrec, mode_code,coinsurance_code,class_cd,it_remarks) values</v>
      </c>
      <c r="G79" s="27" t="str">
        <f t="shared" si="6"/>
        <v>('07May250079','050000782120','-57894',(select max(to_number(i.premium_rcv_detail_code))+1
from ins_premium_det i),'-57894','-57894','02', '11000003','00','Request by Mr. Omair Ali 09-May-2025');</v>
      </c>
      <c r="H79" s="28" t="str">
        <f t="shared" si="7"/>
        <v>insert into ins_premium_det (premium_rcv_code,assorted_code, rec_amount,premium_rcv_detail_code,remaining_amt, payrec, mode_code,coinsurance_code,class_cd,it_remarks) values('07May250079','050000782120','-57894',(select max(to_number(i.premium_rcv_detail_code))+1
from ins_premium_det i),'-57894','-57894','02', '11000003','00','Request by Mr. Omair Ali 09-May-2025');</v>
      </c>
    </row>
    <row r="80" spans="1:8" ht="105" x14ac:dyDescent="0.25">
      <c r="A80" s="5" t="s">
        <v>83</v>
      </c>
      <c r="B80" s="24" t="str">
        <f>VLOOKUP(A80,policy!B:C,2,0)</f>
        <v>050000785767</v>
      </c>
      <c r="C80" s="14">
        <v>3115</v>
      </c>
      <c r="D80" s="25">
        <f t="shared" si="5"/>
        <v>3115</v>
      </c>
      <c r="E80" s="23" t="s">
        <v>665</v>
      </c>
      <c r="F80" s="26" t="str">
        <f t="shared" si="4"/>
        <v>insert into ins_premium_det (premium_rcv_code,assorted_code, rec_amount,premium_rcv_detail_code,remaining_amt, payrec, mode_code,coinsurance_code,class_cd,it_remarks) values</v>
      </c>
      <c r="G80" s="27" t="str">
        <f t="shared" si="6"/>
        <v>('07May250079','050000785767','3115',(select max(to_number(i.premium_rcv_detail_code))+1
from ins_premium_det i),'3115','3115','02', '11000003','00','Request by Mr. Omair Ali 09-May-2025');</v>
      </c>
      <c r="H80" s="28" t="str">
        <f t="shared" si="7"/>
        <v>insert into ins_premium_det (premium_rcv_code,assorted_code, rec_amount,premium_rcv_detail_code,remaining_amt, payrec, mode_code,coinsurance_code,class_cd,it_remarks) values('07May250079','050000785767','3115',(select max(to_number(i.premium_rcv_detail_code))+1
from ins_premium_det i),'3115','3115','02', '11000003','00','Request by Mr. Omair Ali 09-May-2025');</v>
      </c>
    </row>
    <row r="81" spans="1:8" ht="105" x14ac:dyDescent="0.25">
      <c r="A81" s="5" t="s">
        <v>84</v>
      </c>
      <c r="B81" s="24" t="str">
        <f>VLOOKUP(A81,policy!B:C,2,0)</f>
        <v>050000786197</v>
      </c>
      <c r="C81" s="14">
        <v>-8202</v>
      </c>
      <c r="D81" s="25">
        <f t="shared" si="5"/>
        <v>-8202</v>
      </c>
      <c r="E81" s="23" t="s">
        <v>665</v>
      </c>
      <c r="F81" s="26" t="str">
        <f t="shared" si="4"/>
        <v>insert into ins_premium_det (premium_rcv_code,assorted_code, rec_amount,premium_rcv_detail_code,remaining_amt, payrec, mode_code,coinsurance_code,class_cd,it_remarks) values</v>
      </c>
      <c r="G81" s="27" t="str">
        <f t="shared" si="6"/>
        <v>('07May250079','050000786197','-8202',(select max(to_number(i.premium_rcv_detail_code))+1
from ins_premium_det i),'-8202','-8202','02', '11000003','00','Request by Mr. Omair Ali 09-May-2025');</v>
      </c>
      <c r="H81" s="28" t="str">
        <f t="shared" si="7"/>
        <v>insert into ins_premium_det (premium_rcv_code,assorted_code, rec_amount,premium_rcv_detail_code,remaining_amt, payrec, mode_code,coinsurance_code,class_cd,it_remarks) values('07May250079','050000786197','-8202',(select max(to_number(i.premium_rcv_detail_code))+1
from ins_premium_det i),'-8202','-8202','02', '11000003','00','Request by Mr. Omair Ali 09-May-2025');</v>
      </c>
    </row>
    <row r="82" spans="1:8" ht="105" x14ac:dyDescent="0.25">
      <c r="A82" s="5" t="s">
        <v>85</v>
      </c>
      <c r="B82" s="24" t="str">
        <f>VLOOKUP(A82,policy!B:C,2,0)</f>
        <v>050000786484</v>
      </c>
      <c r="C82" s="14">
        <v>-29922</v>
      </c>
      <c r="D82" s="25">
        <f t="shared" si="5"/>
        <v>-29922</v>
      </c>
      <c r="E82" s="23" t="s">
        <v>665</v>
      </c>
      <c r="F82" s="26" t="str">
        <f t="shared" si="4"/>
        <v>insert into ins_premium_det (premium_rcv_code,assorted_code, rec_amount,premium_rcv_detail_code,remaining_amt, payrec, mode_code,coinsurance_code,class_cd,it_remarks) values</v>
      </c>
      <c r="G82" s="27" t="str">
        <f t="shared" si="6"/>
        <v>('07May250079','050000786484','-29922',(select max(to_number(i.premium_rcv_detail_code))+1
from ins_premium_det i),'-29922','-29922','02', '11000003','00','Request by Mr. Omair Ali 09-May-2025');</v>
      </c>
      <c r="H82" s="28" t="str">
        <f t="shared" si="7"/>
        <v>insert into ins_premium_det (premium_rcv_code,assorted_code, rec_amount,premium_rcv_detail_code,remaining_amt, payrec, mode_code,coinsurance_code,class_cd,it_remarks) values('07May250079','050000786484','-29922',(select max(to_number(i.premium_rcv_detail_code))+1
from ins_premium_det i),'-29922','-29922','02', '11000003','00','Request by Mr. Omair Ali 09-May-2025');</v>
      </c>
    </row>
    <row r="83" spans="1:8" ht="105" x14ac:dyDescent="0.25">
      <c r="A83" s="5" t="s">
        <v>86</v>
      </c>
      <c r="B83" s="24" t="str">
        <f>VLOOKUP(A83,policy!B:C,2,0)</f>
        <v>050000786590</v>
      </c>
      <c r="C83" s="14">
        <v>2674</v>
      </c>
      <c r="D83" s="25">
        <f t="shared" si="5"/>
        <v>2674</v>
      </c>
      <c r="E83" s="23" t="s">
        <v>665</v>
      </c>
      <c r="F83" s="26" t="str">
        <f t="shared" si="4"/>
        <v>insert into ins_premium_det (premium_rcv_code,assorted_code, rec_amount,premium_rcv_detail_code,remaining_amt, payrec, mode_code,coinsurance_code,class_cd,it_remarks) values</v>
      </c>
      <c r="G83" s="27" t="str">
        <f t="shared" si="6"/>
        <v>('07May250079','050000786590','2674',(select max(to_number(i.premium_rcv_detail_code))+1
from ins_premium_det i),'2674','2674','02', '11000003','00','Request by Mr. Omair Ali 09-May-2025');</v>
      </c>
      <c r="H83" s="28" t="str">
        <f t="shared" si="7"/>
        <v>insert into ins_premium_det (premium_rcv_code,assorted_code, rec_amount,premium_rcv_detail_code,remaining_amt, payrec, mode_code,coinsurance_code,class_cd,it_remarks) values('07May250079','050000786590','2674',(select max(to_number(i.premium_rcv_detail_code))+1
from ins_premium_det i),'2674','2674','02', '11000003','00','Request by Mr. Omair Ali 09-May-2025');</v>
      </c>
    </row>
    <row r="84" spans="1:8" ht="105" x14ac:dyDescent="0.25">
      <c r="A84" s="5" t="s">
        <v>87</v>
      </c>
      <c r="B84" s="24" t="str">
        <f>VLOOKUP(A84,policy!B:C,2,0)</f>
        <v>050000787049</v>
      </c>
      <c r="C84" s="14">
        <v>-43751</v>
      </c>
      <c r="D84" s="25">
        <f t="shared" si="5"/>
        <v>-43751</v>
      </c>
      <c r="E84" s="23" t="s">
        <v>665</v>
      </c>
      <c r="F84" s="26" t="str">
        <f t="shared" si="4"/>
        <v>insert into ins_premium_det (premium_rcv_code,assorted_code, rec_amount,premium_rcv_detail_code,remaining_amt, payrec, mode_code,coinsurance_code,class_cd,it_remarks) values</v>
      </c>
      <c r="G84" s="27" t="str">
        <f t="shared" si="6"/>
        <v>('07May250079','050000787049','-43751',(select max(to_number(i.premium_rcv_detail_code))+1
from ins_premium_det i),'-43751','-43751','02', '11000003','00','Request by Mr. Omair Ali 09-May-2025');</v>
      </c>
      <c r="H84" s="28" t="str">
        <f t="shared" si="7"/>
        <v>insert into ins_premium_det (premium_rcv_code,assorted_code, rec_amount,premium_rcv_detail_code,remaining_amt, payrec, mode_code,coinsurance_code,class_cd,it_remarks) values('07May250079','050000787049','-43751',(select max(to_number(i.premium_rcv_detail_code))+1
from ins_premium_det i),'-43751','-43751','02', '11000003','00','Request by Mr. Omair Ali 09-May-2025');</v>
      </c>
    </row>
    <row r="85" spans="1:8" ht="105" x14ac:dyDescent="0.25">
      <c r="A85" s="5" t="s">
        <v>88</v>
      </c>
      <c r="B85" s="24" t="str">
        <f>VLOOKUP(A85,policy!B:C,2,0)</f>
        <v>050000787525</v>
      </c>
      <c r="C85" s="14">
        <v>-4345</v>
      </c>
      <c r="D85" s="25">
        <f t="shared" si="5"/>
        <v>-4345</v>
      </c>
      <c r="E85" s="23" t="s">
        <v>665</v>
      </c>
      <c r="F85" s="26" t="str">
        <f t="shared" si="4"/>
        <v>insert into ins_premium_det (premium_rcv_code,assorted_code, rec_amount,premium_rcv_detail_code,remaining_amt, payrec, mode_code,coinsurance_code,class_cd,it_remarks) values</v>
      </c>
      <c r="G85" s="27" t="str">
        <f t="shared" si="6"/>
        <v>('07May250079','050000787525','-4345',(select max(to_number(i.premium_rcv_detail_code))+1
from ins_premium_det i),'-4345','-4345','02', '11000003','00','Request by Mr. Omair Ali 09-May-2025');</v>
      </c>
      <c r="H85" s="28" t="str">
        <f t="shared" si="7"/>
        <v>insert into ins_premium_det (premium_rcv_code,assorted_code, rec_amount,premium_rcv_detail_code,remaining_amt, payrec, mode_code,coinsurance_code,class_cd,it_remarks) values('07May250079','050000787525','-4345',(select max(to_number(i.premium_rcv_detail_code))+1
from ins_premium_det i),'-4345','-4345','02', '11000003','00','Request by Mr. Omair Ali 09-May-2025');</v>
      </c>
    </row>
    <row r="86" spans="1:8" ht="105" x14ac:dyDescent="0.25">
      <c r="A86" s="5" t="s">
        <v>89</v>
      </c>
      <c r="B86" s="24" t="str">
        <f>VLOOKUP(A86,policy!B:C,2,0)</f>
        <v>050000787828</v>
      </c>
      <c r="C86" s="14">
        <v>2285</v>
      </c>
      <c r="D86" s="25">
        <f t="shared" si="5"/>
        <v>2285</v>
      </c>
      <c r="E86" s="23" t="s">
        <v>665</v>
      </c>
      <c r="F86" s="26" t="str">
        <f t="shared" si="4"/>
        <v>insert into ins_premium_det (premium_rcv_code,assorted_code, rec_amount,premium_rcv_detail_code,remaining_amt, payrec, mode_code,coinsurance_code,class_cd,it_remarks) values</v>
      </c>
      <c r="G86" s="27" t="str">
        <f t="shared" si="6"/>
        <v>('07May250079','050000787828','2285',(select max(to_number(i.premium_rcv_detail_code))+1
from ins_premium_det i),'2285','2285','02', '11000003','00','Request by Mr. Omair Ali 09-May-2025');</v>
      </c>
      <c r="H86" s="28" t="str">
        <f t="shared" si="7"/>
        <v>insert into ins_premium_det (premium_rcv_code,assorted_code, rec_amount,premium_rcv_detail_code,remaining_amt, payrec, mode_code,coinsurance_code,class_cd,it_remarks) values('07May250079','050000787828','2285',(select max(to_number(i.premium_rcv_detail_code))+1
from ins_premium_det i),'2285','2285','02', '11000003','00','Request by Mr. Omair Ali 09-May-2025');</v>
      </c>
    </row>
    <row r="87" spans="1:8" ht="105" x14ac:dyDescent="0.25">
      <c r="A87" s="5" t="s">
        <v>90</v>
      </c>
      <c r="B87" s="24" t="str">
        <f>VLOOKUP(A87,policy!B:C,2,0)</f>
        <v>050000787996</v>
      </c>
      <c r="C87" s="14">
        <v>-22125</v>
      </c>
      <c r="D87" s="25">
        <f t="shared" si="5"/>
        <v>-22125</v>
      </c>
      <c r="E87" s="23" t="s">
        <v>665</v>
      </c>
      <c r="F87" s="26" t="str">
        <f t="shared" si="4"/>
        <v>insert into ins_premium_det (premium_rcv_code,assorted_code, rec_amount,premium_rcv_detail_code,remaining_amt, payrec, mode_code,coinsurance_code,class_cd,it_remarks) values</v>
      </c>
      <c r="G87" s="27" t="str">
        <f t="shared" si="6"/>
        <v>('07May250079','050000787996','-22125',(select max(to_number(i.premium_rcv_detail_code))+1
from ins_premium_det i),'-22125','-22125','02', '11000003','00','Request by Mr. Omair Ali 09-May-2025');</v>
      </c>
      <c r="H87" s="28" t="str">
        <f t="shared" si="7"/>
        <v>insert into ins_premium_det (premium_rcv_code,assorted_code, rec_amount,premium_rcv_detail_code,remaining_amt, payrec, mode_code,coinsurance_code,class_cd,it_remarks) values('07May250079','050000787996','-22125',(select max(to_number(i.premium_rcv_detail_code))+1
from ins_premium_det i),'-22125','-22125','02', '11000003','00','Request by Mr. Omair Ali 09-May-2025');</v>
      </c>
    </row>
    <row r="88" spans="1:8" ht="105" x14ac:dyDescent="0.25">
      <c r="A88" s="5" t="s">
        <v>91</v>
      </c>
      <c r="B88" s="24" t="str">
        <f>VLOOKUP(A88,policy!B:C,2,0)</f>
        <v>050000788835</v>
      </c>
      <c r="C88" s="14">
        <v>11068</v>
      </c>
      <c r="D88" s="25">
        <f t="shared" si="5"/>
        <v>11068</v>
      </c>
      <c r="E88" s="23" t="s">
        <v>665</v>
      </c>
      <c r="F88" s="26" t="str">
        <f t="shared" si="4"/>
        <v>insert into ins_premium_det (premium_rcv_code,assorted_code, rec_amount,premium_rcv_detail_code,remaining_amt, payrec, mode_code,coinsurance_code,class_cd,it_remarks) values</v>
      </c>
      <c r="G88" s="27" t="str">
        <f t="shared" si="6"/>
        <v>('07May250079','050000788835','11068',(select max(to_number(i.premium_rcv_detail_code))+1
from ins_premium_det i),'11068','11068','02', '11000003','00','Request by Mr. Omair Ali 09-May-2025');</v>
      </c>
      <c r="H88" s="28" t="str">
        <f t="shared" si="7"/>
        <v>insert into ins_premium_det (premium_rcv_code,assorted_code, rec_amount,premium_rcv_detail_code,remaining_amt, payrec, mode_code,coinsurance_code,class_cd,it_remarks) values('07May250079','050000788835','11068',(select max(to_number(i.premium_rcv_detail_code))+1
from ins_premium_det i),'11068','11068','02', '11000003','00','Request by Mr. Omair Ali 09-May-2025');</v>
      </c>
    </row>
    <row r="89" spans="1:8" ht="105" x14ac:dyDescent="0.25">
      <c r="A89" s="5" t="s">
        <v>92</v>
      </c>
      <c r="B89" s="24" t="str">
        <f>VLOOKUP(A89,policy!B:C,2,0)</f>
        <v>050000789483</v>
      </c>
      <c r="C89" s="14">
        <v>-17031</v>
      </c>
      <c r="D89" s="25">
        <f t="shared" si="5"/>
        <v>-17031</v>
      </c>
      <c r="E89" s="23" t="s">
        <v>665</v>
      </c>
      <c r="F89" s="26" t="str">
        <f t="shared" si="4"/>
        <v>insert into ins_premium_det (premium_rcv_code,assorted_code, rec_amount,premium_rcv_detail_code,remaining_amt, payrec, mode_code,coinsurance_code,class_cd,it_remarks) values</v>
      </c>
      <c r="G89" s="27" t="str">
        <f t="shared" si="6"/>
        <v>('07May250079','050000789483','-17031',(select max(to_number(i.premium_rcv_detail_code))+1
from ins_premium_det i),'-17031','-17031','02', '11000003','00','Request by Mr. Omair Ali 09-May-2025');</v>
      </c>
      <c r="H89" s="28" t="str">
        <f t="shared" si="7"/>
        <v>insert into ins_premium_det (premium_rcv_code,assorted_code, rec_amount,premium_rcv_detail_code,remaining_amt, payrec, mode_code,coinsurance_code,class_cd,it_remarks) values('07May250079','050000789483','-17031',(select max(to_number(i.premium_rcv_detail_code))+1
from ins_premium_det i),'-17031','-17031','02', '11000003','00','Request by Mr. Omair Ali 09-May-2025');</v>
      </c>
    </row>
    <row r="90" spans="1:8" ht="105" x14ac:dyDescent="0.25">
      <c r="A90" s="5" t="s">
        <v>93</v>
      </c>
      <c r="B90" s="24" t="str">
        <f>VLOOKUP(A90,policy!B:C,2,0)</f>
        <v>050000789488</v>
      </c>
      <c r="C90" s="14">
        <v>2149</v>
      </c>
      <c r="D90" s="25">
        <f t="shared" si="5"/>
        <v>2149</v>
      </c>
      <c r="E90" s="23" t="s">
        <v>665</v>
      </c>
      <c r="F90" s="26" t="str">
        <f t="shared" si="4"/>
        <v>insert into ins_premium_det (premium_rcv_code,assorted_code, rec_amount,premium_rcv_detail_code,remaining_amt, payrec, mode_code,coinsurance_code,class_cd,it_remarks) values</v>
      </c>
      <c r="G90" s="27" t="str">
        <f t="shared" si="6"/>
        <v>('07May250079','050000789488','2149',(select max(to_number(i.premium_rcv_detail_code))+1
from ins_premium_det i),'2149','2149','02', '11000003','00','Request by Mr. Omair Ali 09-May-2025');</v>
      </c>
      <c r="H90" s="28" t="str">
        <f t="shared" si="7"/>
        <v>insert into ins_premium_det (premium_rcv_code,assorted_code, rec_amount,premium_rcv_detail_code,remaining_amt, payrec, mode_code,coinsurance_code,class_cd,it_remarks) values('07May250079','050000789488','2149',(select max(to_number(i.premium_rcv_detail_code))+1
from ins_premium_det i),'2149','2149','02', '11000003','00','Request by Mr. Omair Ali 09-May-2025');</v>
      </c>
    </row>
    <row r="91" spans="1:8" ht="105" x14ac:dyDescent="0.25">
      <c r="A91" s="5" t="s">
        <v>94</v>
      </c>
      <c r="B91" s="24" t="str">
        <f>VLOOKUP(A91,policy!B:C,2,0)</f>
        <v>050000789502</v>
      </c>
      <c r="C91" s="14">
        <v>-1160</v>
      </c>
      <c r="D91" s="25">
        <f t="shared" si="5"/>
        <v>-1160</v>
      </c>
      <c r="E91" s="23" t="s">
        <v>665</v>
      </c>
      <c r="F91" s="26" t="str">
        <f t="shared" si="4"/>
        <v>insert into ins_premium_det (premium_rcv_code,assorted_code, rec_amount,premium_rcv_detail_code,remaining_amt, payrec, mode_code,coinsurance_code,class_cd,it_remarks) values</v>
      </c>
      <c r="G91" s="27" t="str">
        <f t="shared" si="6"/>
        <v>('07May250079','050000789502','-1160',(select max(to_number(i.premium_rcv_detail_code))+1
from ins_premium_det i),'-1160','-1160','02', '11000003','00','Request by Mr. Omair Ali 09-May-2025');</v>
      </c>
      <c r="H91" s="28" t="str">
        <f t="shared" si="7"/>
        <v>insert into ins_premium_det (premium_rcv_code,assorted_code, rec_amount,premium_rcv_detail_code,remaining_amt, payrec, mode_code,coinsurance_code,class_cd,it_remarks) values('07May250079','050000789502','-1160',(select max(to_number(i.premium_rcv_detail_code))+1
from ins_premium_det i),'-1160','-1160','02', '11000003','00','Request by Mr. Omair Ali 09-May-2025');</v>
      </c>
    </row>
    <row r="92" spans="1:8" ht="105" x14ac:dyDescent="0.25">
      <c r="A92" s="5" t="s">
        <v>95</v>
      </c>
      <c r="B92" s="24" t="str">
        <f>VLOOKUP(A92,policy!B:C,2,0)</f>
        <v>050000789887</v>
      </c>
      <c r="C92" s="14">
        <v>-11949</v>
      </c>
      <c r="D92" s="25">
        <f t="shared" si="5"/>
        <v>-11949</v>
      </c>
      <c r="E92" s="23" t="s">
        <v>665</v>
      </c>
      <c r="F92" s="26" t="str">
        <f t="shared" si="4"/>
        <v>insert into ins_premium_det (premium_rcv_code,assorted_code, rec_amount,premium_rcv_detail_code,remaining_amt, payrec, mode_code,coinsurance_code,class_cd,it_remarks) values</v>
      </c>
      <c r="G92" s="27" t="str">
        <f t="shared" si="6"/>
        <v>('07May250079','050000789887','-11949',(select max(to_number(i.premium_rcv_detail_code))+1
from ins_premium_det i),'-11949','-11949','02', '11000003','00','Request by Mr. Omair Ali 09-May-2025');</v>
      </c>
      <c r="H92" s="28" t="str">
        <f t="shared" si="7"/>
        <v>insert into ins_premium_det (premium_rcv_code,assorted_code, rec_amount,premium_rcv_detail_code,remaining_amt, payrec, mode_code,coinsurance_code,class_cd,it_remarks) values('07May250079','050000789887','-11949',(select max(to_number(i.premium_rcv_detail_code))+1
from ins_premium_det i),'-11949','-11949','02', '11000003','00','Request by Mr. Omair Ali 09-May-2025');</v>
      </c>
    </row>
    <row r="93" spans="1:8" ht="105" x14ac:dyDescent="0.25">
      <c r="A93" s="5" t="s">
        <v>96</v>
      </c>
      <c r="B93" s="24" t="str">
        <f>VLOOKUP(A93,policy!B:C,2,0)</f>
        <v>050000789945</v>
      </c>
      <c r="C93" s="14">
        <v>-1108</v>
      </c>
      <c r="D93" s="25">
        <f t="shared" si="5"/>
        <v>-1108</v>
      </c>
      <c r="E93" s="23" t="s">
        <v>665</v>
      </c>
      <c r="F93" s="26" t="str">
        <f t="shared" si="4"/>
        <v>insert into ins_premium_det (premium_rcv_code,assorted_code, rec_amount,premium_rcv_detail_code,remaining_amt, payrec, mode_code,coinsurance_code,class_cd,it_remarks) values</v>
      </c>
      <c r="G93" s="27" t="str">
        <f t="shared" si="6"/>
        <v>('07May250079','050000789945','-1108',(select max(to_number(i.premium_rcv_detail_code))+1
from ins_premium_det i),'-1108','-1108','02', '11000003','00','Request by Mr. Omair Ali 09-May-2025');</v>
      </c>
      <c r="H93" s="28" t="str">
        <f t="shared" si="7"/>
        <v>insert into ins_premium_det (premium_rcv_code,assorted_code, rec_amount,premium_rcv_detail_code,remaining_amt, payrec, mode_code,coinsurance_code,class_cd,it_remarks) values('07May250079','050000789945','-1108',(select max(to_number(i.premium_rcv_detail_code))+1
from ins_premium_det i),'-1108','-1108','02', '11000003','00','Request by Mr. Omair Ali 09-May-2025');</v>
      </c>
    </row>
    <row r="94" spans="1:8" ht="105" x14ac:dyDescent="0.25">
      <c r="A94" s="5" t="s">
        <v>97</v>
      </c>
      <c r="B94" s="24" t="str">
        <f>VLOOKUP(A94,policy!B:C,2,0)</f>
        <v>050000791151</v>
      </c>
      <c r="C94" s="14">
        <v>-4594</v>
      </c>
      <c r="D94" s="25">
        <f t="shared" si="5"/>
        <v>-4594</v>
      </c>
      <c r="E94" s="23" t="s">
        <v>665</v>
      </c>
      <c r="F94" s="26" t="str">
        <f t="shared" si="4"/>
        <v>insert into ins_premium_det (premium_rcv_code,assorted_code, rec_amount,premium_rcv_detail_code,remaining_amt, payrec, mode_code,coinsurance_code,class_cd,it_remarks) values</v>
      </c>
      <c r="G94" s="27" t="str">
        <f t="shared" si="6"/>
        <v>('07May250079','050000791151','-4594',(select max(to_number(i.premium_rcv_detail_code))+1
from ins_premium_det i),'-4594','-4594','02', '11000003','00','Request by Mr. Omair Ali 09-May-2025');</v>
      </c>
      <c r="H94" s="28" t="str">
        <f t="shared" si="7"/>
        <v>insert into ins_premium_det (premium_rcv_code,assorted_code, rec_amount,premium_rcv_detail_code,remaining_amt, payrec, mode_code,coinsurance_code,class_cd,it_remarks) values('07May250079','050000791151','-4594',(select max(to_number(i.premium_rcv_detail_code))+1
from ins_premium_det i),'-4594','-4594','02', '11000003','00','Request by Mr. Omair Ali 09-May-2025');</v>
      </c>
    </row>
    <row r="95" spans="1:8" ht="105" x14ac:dyDescent="0.25">
      <c r="A95" s="5" t="s">
        <v>98</v>
      </c>
      <c r="B95" s="24" t="str">
        <f>VLOOKUP(A95,policy!B:C,2,0)</f>
        <v>050000791620</v>
      </c>
      <c r="C95" s="14">
        <v>-55650</v>
      </c>
      <c r="D95" s="25">
        <f t="shared" si="5"/>
        <v>-55650</v>
      </c>
      <c r="E95" s="23" t="s">
        <v>665</v>
      </c>
      <c r="F95" s="26" t="str">
        <f t="shared" si="4"/>
        <v>insert into ins_premium_det (premium_rcv_code,assorted_code, rec_amount,premium_rcv_detail_code,remaining_amt, payrec, mode_code,coinsurance_code,class_cd,it_remarks) values</v>
      </c>
      <c r="G95" s="27" t="str">
        <f t="shared" si="6"/>
        <v>('07May250079','050000791620','-55650',(select max(to_number(i.premium_rcv_detail_code))+1
from ins_premium_det i),'-55650','-55650','02', '11000003','00','Request by Mr. Omair Ali 09-May-2025');</v>
      </c>
      <c r="H95" s="28" t="str">
        <f t="shared" si="7"/>
        <v>insert into ins_premium_det (premium_rcv_code,assorted_code, rec_amount,premium_rcv_detail_code,remaining_amt, payrec, mode_code,coinsurance_code,class_cd,it_remarks) values('07May250079','050000791620','-55650',(select max(to_number(i.premium_rcv_detail_code))+1
from ins_premium_det i),'-55650','-55650','02', '11000003','00','Request by Mr. Omair Ali 09-May-2025');</v>
      </c>
    </row>
    <row r="96" spans="1:8" ht="105" x14ac:dyDescent="0.25">
      <c r="A96" s="5" t="s">
        <v>99</v>
      </c>
      <c r="B96" s="24" t="str">
        <f>VLOOKUP(A96,policy!B:C,2,0)</f>
        <v>050000791721</v>
      </c>
      <c r="C96" s="14">
        <v>-30707</v>
      </c>
      <c r="D96" s="25">
        <f t="shared" si="5"/>
        <v>-30707</v>
      </c>
      <c r="E96" s="23" t="s">
        <v>665</v>
      </c>
      <c r="F96" s="26" t="str">
        <f t="shared" si="4"/>
        <v>insert into ins_premium_det (premium_rcv_code,assorted_code, rec_amount,premium_rcv_detail_code,remaining_amt, payrec, mode_code,coinsurance_code,class_cd,it_remarks) values</v>
      </c>
      <c r="G96" s="27" t="str">
        <f t="shared" si="6"/>
        <v>('07May250079','050000791721','-30707',(select max(to_number(i.premium_rcv_detail_code))+1
from ins_premium_det i),'-30707','-30707','02', '11000003','00','Request by Mr. Omair Ali 09-May-2025');</v>
      </c>
      <c r="H96" s="28" t="str">
        <f t="shared" si="7"/>
        <v>insert into ins_premium_det (premium_rcv_code,assorted_code, rec_amount,premium_rcv_detail_code,remaining_amt, payrec, mode_code,coinsurance_code,class_cd,it_remarks) values('07May250079','050000791721','-30707',(select max(to_number(i.premium_rcv_detail_code))+1
from ins_premium_det i),'-30707','-30707','02', '11000003','00','Request by Mr. Omair Ali 09-May-2025');</v>
      </c>
    </row>
    <row r="97" spans="1:8" ht="105" x14ac:dyDescent="0.25">
      <c r="A97" s="5" t="s">
        <v>100</v>
      </c>
      <c r="B97" s="24" t="str">
        <f>VLOOKUP(A97,policy!B:C,2,0)</f>
        <v>050000791849</v>
      </c>
      <c r="C97" s="14">
        <v>-17805</v>
      </c>
      <c r="D97" s="25">
        <f t="shared" si="5"/>
        <v>-17805</v>
      </c>
      <c r="E97" s="23" t="s">
        <v>665</v>
      </c>
      <c r="F97" s="26" t="str">
        <f t="shared" si="4"/>
        <v>insert into ins_premium_det (premium_rcv_code,assorted_code, rec_amount,premium_rcv_detail_code,remaining_amt, payrec, mode_code,coinsurance_code,class_cd,it_remarks) values</v>
      </c>
      <c r="G97" s="27" t="str">
        <f t="shared" si="6"/>
        <v>('07May250079','050000791849','-17805',(select max(to_number(i.premium_rcv_detail_code))+1
from ins_premium_det i),'-17805','-17805','02', '11000003','00','Request by Mr. Omair Ali 09-May-2025');</v>
      </c>
      <c r="H97" s="28" t="str">
        <f t="shared" si="7"/>
        <v>insert into ins_premium_det (premium_rcv_code,assorted_code, rec_amount,premium_rcv_detail_code,remaining_amt, payrec, mode_code,coinsurance_code,class_cd,it_remarks) values('07May250079','050000791849','-17805',(select max(to_number(i.premium_rcv_detail_code))+1
from ins_premium_det i),'-17805','-17805','02', '11000003','00','Request by Mr. Omair Ali 09-May-2025');</v>
      </c>
    </row>
    <row r="98" spans="1:8" ht="105" x14ac:dyDescent="0.25">
      <c r="A98" s="5" t="s">
        <v>101</v>
      </c>
      <c r="B98" s="24" t="str">
        <f>VLOOKUP(A98,policy!B:C,2,0)</f>
        <v>050000792311</v>
      </c>
      <c r="C98" s="14">
        <v>17999</v>
      </c>
      <c r="D98" s="25">
        <f t="shared" si="5"/>
        <v>17999</v>
      </c>
      <c r="E98" s="23" t="s">
        <v>665</v>
      </c>
      <c r="F98" s="26" t="str">
        <f t="shared" si="4"/>
        <v>insert into ins_premium_det (premium_rcv_code,assorted_code, rec_amount,premium_rcv_detail_code,remaining_amt, payrec, mode_code,coinsurance_code,class_cd,it_remarks) values</v>
      </c>
      <c r="G98" s="27" t="str">
        <f t="shared" si="6"/>
        <v>('07May250079','050000792311','17999',(select max(to_number(i.premium_rcv_detail_code))+1
from ins_premium_det i),'17999','17999','02', '11000003','00','Request by Mr. Omair Ali 09-May-2025');</v>
      </c>
      <c r="H98" s="28" t="str">
        <f t="shared" si="7"/>
        <v>insert into ins_premium_det (premium_rcv_code,assorted_code, rec_amount,premium_rcv_detail_code,remaining_amt, payrec, mode_code,coinsurance_code,class_cd,it_remarks) values('07May250079','050000792311','17999',(select max(to_number(i.premium_rcv_detail_code))+1
from ins_premium_det i),'17999','17999','02', '11000003','00','Request by Mr. Omair Ali 09-May-2025');</v>
      </c>
    </row>
    <row r="99" spans="1:8" ht="105" x14ac:dyDescent="0.25">
      <c r="A99" s="5" t="s">
        <v>102</v>
      </c>
      <c r="B99" s="24" t="str">
        <f>VLOOKUP(A99,policy!B:C,2,0)</f>
        <v>050000792313</v>
      </c>
      <c r="C99" s="14">
        <v>-11777</v>
      </c>
      <c r="D99" s="25">
        <f t="shared" si="5"/>
        <v>-11777</v>
      </c>
      <c r="E99" s="23" t="s">
        <v>665</v>
      </c>
      <c r="F99" s="26" t="str">
        <f t="shared" si="4"/>
        <v>insert into ins_premium_det (premium_rcv_code,assorted_code, rec_amount,premium_rcv_detail_code,remaining_amt, payrec, mode_code,coinsurance_code,class_cd,it_remarks) values</v>
      </c>
      <c r="G99" s="27" t="str">
        <f t="shared" si="6"/>
        <v>('07May250079','050000792313','-11777',(select max(to_number(i.premium_rcv_detail_code))+1
from ins_premium_det i),'-11777','-11777','02', '11000003','00','Request by Mr. Omair Ali 09-May-2025');</v>
      </c>
      <c r="H99" s="28" t="str">
        <f t="shared" si="7"/>
        <v>insert into ins_premium_det (premium_rcv_code,assorted_code, rec_amount,premium_rcv_detail_code,remaining_amt, payrec, mode_code,coinsurance_code,class_cd,it_remarks) values('07May250079','050000792313','-11777',(select max(to_number(i.premium_rcv_detail_code))+1
from ins_premium_det i),'-11777','-11777','02', '11000003','00','Request by Mr. Omair Ali 09-May-2025');</v>
      </c>
    </row>
    <row r="100" spans="1:8" ht="105" x14ac:dyDescent="0.25">
      <c r="A100" s="5" t="s">
        <v>103</v>
      </c>
      <c r="B100" s="24" t="str">
        <f>VLOOKUP(A100,policy!B:C,2,0)</f>
        <v>050000792351</v>
      </c>
      <c r="C100" s="14">
        <v>-11244</v>
      </c>
      <c r="D100" s="25">
        <f t="shared" si="5"/>
        <v>-11244</v>
      </c>
      <c r="E100" s="23" t="s">
        <v>665</v>
      </c>
      <c r="F100" s="26" t="str">
        <f t="shared" si="4"/>
        <v>insert into ins_premium_det (premium_rcv_code,assorted_code, rec_amount,premium_rcv_detail_code,remaining_amt, payrec, mode_code,coinsurance_code,class_cd,it_remarks) values</v>
      </c>
      <c r="G100" s="27" t="str">
        <f t="shared" si="6"/>
        <v>('07May250079','050000792351','-11244',(select max(to_number(i.premium_rcv_detail_code))+1
from ins_premium_det i),'-11244','-11244','02', '11000003','00','Request by Mr. Omair Ali 09-May-2025');</v>
      </c>
      <c r="H100" s="28" t="str">
        <f t="shared" si="7"/>
        <v>insert into ins_premium_det (premium_rcv_code,assorted_code, rec_amount,premium_rcv_detail_code,remaining_amt, payrec, mode_code,coinsurance_code,class_cd,it_remarks) values('07May250079','050000792351','-11244',(select max(to_number(i.premium_rcv_detail_code))+1
from ins_premium_det i),'-11244','-11244','02', '11000003','00','Request by Mr. Omair Ali 09-May-2025');</v>
      </c>
    </row>
    <row r="101" spans="1:8" ht="105" x14ac:dyDescent="0.25">
      <c r="A101" s="5" t="s">
        <v>104</v>
      </c>
      <c r="B101" s="24" t="str">
        <f>VLOOKUP(A101,policy!B:C,2,0)</f>
        <v>050000793166</v>
      </c>
      <c r="C101" s="14">
        <v>-59987</v>
      </c>
      <c r="D101" s="25">
        <f t="shared" si="5"/>
        <v>-59987</v>
      </c>
      <c r="E101" s="23" t="s">
        <v>665</v>
      </c>
      <c r="F101" s="26" t="str">
        <f t="shared" si="4"/>
        <v>insert into ins_premium_det (premium_rcv_code,assorted_code, rec_amount,premium_rcv_detail_code,remaining_amt, payrec, mode_code,coinsurance_code,class_cd,it_remarks) values</v>
      </c>
      <c r="G101" s="27" t="str">
        <f t="shared" si="6"/>
        <v>('07May250079','050000793166','-59987',(select max(to_number(i.premium_rcv_detail_code))+1
from ins_premium_det i),'-59987','-59987','02', '11000003','00','Request by Mr. Omair Ali 09-May-2025');</v>
      </c>
      <c r="H101" s="28" t="str">
        <f t="shared" si="7"/>
        <v>insert into ins_premium_det (premium_rcv_code,assorted_code, rec_amount,premium_rcv_detail_code,remaining_amt, payrec, mode_code,coinsurance_code,class_cd,it_remarks) values('07May250079','050000793166','-59987',(select max(to_number(i.premium_rcv_detail_code))+1
from ins_premium_det i),'-59987','-59987','02', '11000003','00','Request by Mr. Omair Ali 09-May-2025');</v>
      </c>
    </row>
    <row r="102" spans="1:8" ht="105" x14ac:dyDescent="0.25">
      <c r="A102" s="5" t="s">
        <v>105</v>
      </c>
      <c r="B102" s="24" t="str">
        <f>VLOOKUP(A102,policy!B:C,2,0)</f>
        <v>050000795546</v>
      </c>
      <c r="C102" s="14">
        <v>-65769</v>
      </c>
      <c r="D102" s="25">
        <f t="shared" si="5"/>
        <v>-65769</v>
      </c>
      <c r="E102" s="23" t="s">
        <v>665</v>
      </c>
      <c r="F102" s="26" t="str">
        <f t="shared" si="4"/>
        <v>insert into ins_premium_det (premium_rcv_code,assorted_code, rec_amount,premium_rcv_detail_code,remaining_amt, payrec, mode_code,coinsurance_code,class_cd,it_remarks) values</v>
      </c>
      <c r="G102" s="27" t="str">
        <f t="shared" si="6"/>
        <v>('07May250079','050000795546','-65769',(select max(to_number(i.premium_rcv_detail_code))+1
from ins_premium_det i),'-65769','-65769','02', '11000003','00','Request by Mr. Omair Ali 09-May-2025');</v>
      </c>
      <c r="H102" s="28" t="str">
        <f t="shared" si="7"/>
        <v>insert into ins_premium_det (premium_rcv_code,assorted_code, rec_amount,premium_rcv_detail_code,remaining_amt, payrec, mode_code,coinsurance_code,class_cd,it_remarks) values('07May250079','050000795546','-65769',(select max(to_number(i.premium_rcv_detail_code))+1
from ins_premium_det i),'-65769','-65769','02', '11000003','00','Request by Mr. Omair Ali 09-May-2025');</v>
      </c>
    </row>
    <row r="103" spans="1:8" ht="105" x14ac:dyDescent="0.25">
      <c r="A103" s="5" t="s">
        <v>106</v>
      </c>
      <c r="B103" s="24" t="str">
        <f>VLOOKUP(A103,policy!B:C,2,0)</f>
        <v>050000795550</v>
      </c>
      <c r="C103" s="14">
        <v>456715</v>
      </c>
      <c r="D103" s="25">
        <f t="shared" si="5"/>
        <v>456715</v>
      </c>
      <c r="E103" s="23" t="s">
        <v>665</v>
      </c>
      <c r="F103" s="26" t="str">
        <f t="shared" si="4"/>
        <v>insert into ins_premium_det (premium_rcv_code,assorted_code, rec_amount,premium_rcv_detail_code,remaining_amt, payrec, mode_code,coinsurance_code,class_cd,it_remarks) values</v>
      </c>
      <c r="G103" s="27" t="str">
        <f t="shared" si="6"/>
        <v>('07May250079','050000795550','456715',(select max(to_number(i.premium_rcv_detail_code))+1
from ins_premium_det i),'456715','456715','02', '11000003','00','Request by Mr. Omair Ali 09-May-2025');</v>
      </c>
      <c r="H103" s="28" t="str">
        <f t="shared" si="7"/>
        <v>insert into ins_premium_det (premium_rcv_code,assorted_code, rec_amount,premium_rcv_detail_code,remaining_amt, payrec, mode_code,coinsurance_code,class_cd,it_remarks) values('07May250079','050000795550','456715',(select max(to_number(i.premium_rcv_detail_code))+1
from ins_premium_det i),'456715','456715','02', '11000003','00','Request by Mr. Omair Ali 09-May-2025');</v>
      </c>
    </row>
    <row r="104" spans="1:8" ht="105" x14ac:dyDescent="0.25">
      <c r="A104" s="5" t="s">
        <v>107</v>
      </c>
      <c r="B104" s="24" t="str">
        <f>VLOOKUP(A104,policy!B:C,2,0)</f>
        <v>050000798153</v>
      </c>
      <c r="C104" s="14">
        <v>-33973</v>
      </c>
      <c r="D104" s="25">
        <f t="shared" si="5"/>
        <v>-33973</v>
      </c>
      <c r="E104" s="23" t="s">
        <v>665</v>
      </c>
      <c r="F104" s="26" t="str">
        <f t="shared" si="4"/>
        <v>insert into ins_premium_det (premium_rcv_code,assorted_code, rec_amount,premium_rcv_detail_code,remaining_amt, payrec, mode_code,coinsurance_code,class_cd,it_remarks) values</v>
      </c>
      <c r="G104" s="27" t="str">
        <f t="shared" si="6"/>
        <v>('07May250079','050000798153','-33973',(select max(to_number(i.premium_rcv_detail_code))+1
from ins_premium_det i),'-33973','-33973','02', '11000003','00','Request by Mr. Omair Ali 09-May-2025');</v>
      </c>
      <c r="H104" s="28" t="str">
        <f t="shared" si="7"/>
        <v>insert into ins_premium_det (premium_rcv_code,assorted_code, rec_amount,premium_rcv_detail_code,remaining_amt, payrec, mode_code,coinsurance_code,class_cd,it_remarks) values('07May250079','050000798153','-33973',(select max(to_number(i.premium_rcv_detail_code))+1
from ins_premium_det i),'-33973','-33973','02', '11000003','00','Request by Mr. Omair Ali 09-May-2025');</v>
      </c>
    </row>
    <row r="105" spans="1:8" ht="105" x14ac:dyDescent="0.25">
      <c r="A105" s="5" t="s">
        <v>108</v>
      </c>
      <c r="B105" s="24" t="str">
        <f>VLOOKUP(A105,policy!B:C,2,0)</f>
        <v>050000798340</v>
      </c>
      <c r="C105" s="14">
        <v>9743</v>
      </c>
      <c r="D105" s="25">
        <f t="shared" si="5"/>
        <v>9743</v>
      </c>
      <c r="E105" s="23" t="s">
        <v>665</v>
      </c>
      <c r="F105" s="26" t="str">
        <f t="shared" si="4"/>
        <v>insert into ins_premium_det (premium_rcv_code,assorted_code, rec_amount,premium_rcv_detail_code,remaining_amt, payrec, mode_code,coinsurance_code,class_cd,it_remarks) values</v>
      </c>
      <c r="G105" s="27" t="str">
        <f t="shared" si="6"/>
        <v>('07May250079','050000798340','9743',(select max(to_number(i.premium_rcv_detail_code))+1
from ins_premium_det i),'9743','9743','02', '11000003','00','Request by Mr. Omair Ali 09-May-2025');</v>
      </c>
      <c r="H105" s="28" t="str">
        <f t="shared" si="7"/>
        <v>insert into ins_premium_det (premium_rcv_code,assorted_code, rec_amount,premium_rcv_detail_code,remaining_amt, payrec, mode_code,coinsurance_code,class_cd,it_remarks) values('07May250079','050000798340','9743',(select max(to_number(i.premium_rcv_detail_code))+1
from ins_premium_det i),'9743','9743','02', '11000003','00','Request by Mr. Omair Ali 09-May-2025');</v>
      </c>
    </row>
    <row r="106" spans="1:8" ht="105" x14ac:dyDescent="0.25">
      <c r="A106" s="5" t="s">
        <v>109</v>
      </c>
      <c r="B106" s="24" t="str">
        <f>VLOOKUP(A106,policy!B:C,2,0)</f>
        <v>050000798971</v>
      </c>
      <c r="C106" s="14">
        <v>4728</v>
      </c>
      <c r="D106" s="25">
        <f t="shared" si="5"/>
        <v>4728</v>
      </c>
      <c r="E106" s="23" t="s">
        <v>665</v>
      </c>
      <c r="F106" s="26" t="str">
        <f t="shared" si="4"/>
        <v>insert into ins_premium_det (premium_rcv_code,assorted_code, rec_amount,premium_rcv_detail_code,remaining_amt, payrec, mode_code,coinsurance_code,class_cd,it_remarks) values</v>
      </c>
      <c r="G106" s="27" t="str">
        <f t="shared" si="6"/>
        <v>('07May250079','050000798971','4728',(select max(to_number(i.premium_rcv_detail_code))+1
from ins_premium_det i),'4728','4728','02', '11000003','00','Request by Mr. Omair Ali 09-May-2025');</v>
      </c>
      <c r="H106" s="28" t="str">
        <f t="shared" si="7"/>
        <v>insert into ins_premium_det (premium_rcv_code,assorted_code, rec_amount,premium_rcv_detail_code,remaining_amt, payrec, mode_code,coinsurance_code,class_cd,it_remarks) values('07May250079','050000798971','4728',(select max(to_number(i.premium_rcv_detail_code))+1
from ins_premium_det i),'4728','4728','02', '11000003','00','Request by Mr. Omair Ali 09-May-2025');</v>
      </c>
    </row>
    <row r="107" spans="1:8" ht="105" x14ac:dyDescent="0.25">
      <c r="A107" s="5" t="s">
        <v>110</v>
      </c>
      <c r="B107" s="24" t="str">
        <f>VLOOKUP(A107,policy!B:C,2,0)</f>
        <v>050000799947</v>
      </c>
      <c r="C107" s="14">
        <v>-8639</v>
      </c>
      <c r="D107" s="25">
        <f t="shared" si="5"/>
        <v>-8639</v>
      </c>
      <c r="E107" s="23" t="s">
        <v>665</v>
      </c>
      <c r="F107" s="26" t="str">
        <f t="shared" si="4"/>
        <v>insert into ins_premium_det (premium_rcv_code,assorted_code, rec_amount,premium_rcv_detail_code,remaining_amt, payrec, mode_code,coinsurance_code,class_cd,it_remarks) values</v>
      </c>
      <c r="G107" s="27" t="str">
        <f t="shared" si="6"/>
        <v>('07May250079','050000799947','-8639',(select max(to_number(i.premium_rcv_detail_code))+1
from ins_premium_det i),'-8639','-8639','02', '11000003','00','Request by Mr. Omair Ali 09-May-2025');</v>
      </c>
      <c r="H107" s="28" t="str">
        <f t="shared" si="7"/>
        <v>insert into ins_premium_det (premium_rcv_code,assorted_code, rec_amount,premium_rcv_detail_code,remaining_amt, payrec, mode_code,coinsurance_code,class_cd,it_remarks) values('07May250079','050000799947','-8639',(select max(to_number(i.premium_rcv_detail_code))+1
from ins_premium_det i),'-8639','-8639','02', '11000003','00','Request by Mr. Omair Ali 09-May-2025');</v>
      </c>
    </row>
    <row r="108" spans="1:8" ht="105" x14ac:dyDescent="0.25">
      <c r="A108" s="5" t="s">
        <v>111</v>
      </c>
      <c r="B108" s="24" t="str">
        <f>VLOOKUP(A108,policy!B:C,2,0)</f>
        <v>050000800016</v>
      </c>
      <c r="C108" s="14">
        <v>-45089</v>
      </c>
      <c r="D108" s="25">
        <f t="shared" si="5"/>
        <v>-45089</v>
      </c>
      <c r="E108" s="23" t="s">
        <v>665</v>
      </c>
      <c r="F108" s="26" t="str">
        <f t="shared" si="4"/>
        <v>insert into ins_premium_det (premium_rcv_code,assorted_code, rec_amount,premium_rcv_detail_code,remaining_amt, payrec, mode_code,coinsurance_code,class_cd,it_remarks) values</v>
      </c>
      <c r="G108" s="27" t="str">
        <f t="shared" si="6"/>
        <v>('07May250079','050000800016','-45089',(select max(to_number(i.premium_rcv_detail_code))+1
from ins_premium_det i),'-45089','-45089','02', '11000003','00','Request by Mr. Omair Ali 09-May-2025');</v>
      </c>
      <c r="H108" s="28" t="str">
        <f t="shared" si="7"/>
        <v>insert into ins_premium_det (premium_rcv_code,assorted_code, rec_amount,premium_rcv_detail_code,remaining_amt, payrec, mode_code,coinsurance_code,class_cd,it_remarks) values('07May250079','050000800016','-45089',(select max(to_number(i.premium_rcv_detail_code))+1
from ins_premium_det i),'-45089','-45089','02', '11000003','00','Request by Mr. Omair Ali 09-May-2025');</v>
      </c>
    </row>
    <row r="109" spans="1:8" ht="105" x14ac:dyDescent="0.25">
      <c r="A109" s="2" t="s">
        <v>112</v>
      </c>
      <c r="B109" s="24" t="str">
        <f>VLOOKUP(A109,policy!B:C,2,0)</f>
        <v>050000800199</v>
      </c>
      <c r="C109" s="14">
        <v>-866</v>
      </c>
      <c r="D109" s="25">
        <f t="shared" si="5"/>
        <v>-866</v>
      </c>
      <c r="E109" s="23" t="s">
        <v>665</v>
      </c>
      <c r="F109" s="26" t="str">
        <f t="shared" si="4"/>
        <v>insert into ins_premium_det (premium_rcv_code,assorted_code, rec_amount,premium_rcv_detail_code,remaining_amt, payrec, mode_code,coinsurance_code,class_cd,it_remarks) values</v>
      </c>
      <c r="G109" s="27" t="str">
        <f t="shared" si="6"/>
        <v>('07May250079','050000800199','-866',(select max(to_number(i.premium_rcv_detail_code))+1
from ins_premium_det i),'-866','-866','02', '11000003','00','Request by Mr. Omair Ali 09-May-2025');</v>
      </c>
      <c r="H109" s="28" t="str">
        <f t="shared" si="7"/>
        <v>insert into ins_premium_det (premium_rcv_code,assorted_code, rec_amount,premium_rcv_detail_code,remaining_amt, payrec, mode_code,coinsurance_code,class_cd,it_remarks) values('07May250079','050000800199','-866',(select max(to_number(i.premium_rcv_detail_code))+1
from ins_premium_det i),'-866','-866','02', '11000003','00','Request by Mr. Omair Ali 09-May-2025');</v>
      </c>
    </row>
    <row r="110" spans="1:8" ht="105" x14ac:dyDescent="0.25">
      <c r="A110" s="2" t="s">
        <v>113</v>
      </c>
      <c r="B110" s="24" t="str">
        <f>VLOOKUP(A110,policy!B:C,2,0)</f>
        <v>050000800635</v>
      </c>
      <c r="C110" s="14">
        <v>-30708</v>
      </c>
      <c r="D110" s="25">
        <f t="shared" si="5"/>
        <v>-30708</v>
      </c>
      <c r="E110" s="23" t="s">
        <v>665</v>
      </c>
      <c r="F110" s="26" t="str">
        <f t="shared" si="4"/>
        <v>insert into ins_premium_det (premium_rcv_code,assorted_code, rec_amount,premium_rcv_detail_code,remaining_amt, payrec, mode_code,coinsurance_code,class_cd,it_remarks) values</v>
      </c>
      <c r="G110" s="27" t="str">
        <f t="shared" si="6"/>
        <v>('07May250079','050000800635','-30708',(select max(to_number(i.premium_rcv_detail_code))+1
from ins_premium_det i),'-30708','-30708','02', '11000003','00','Request by Mr. Omair Ali 09-May-2025');</v>
      </c>
      <c r="H110" s="28" t="str">
        <f t="shared" si="7"/>
        <v>insert into ins_premium_det (premium_rcv_code,assorted_code, rec_amount,premium_rcv_detail_code,remaining_amt, payrec, mode_code,coinsurance_code,class_cd,it_remarks) values('07May250079','050000800635','-30708',(select max(to_number(i.premium_rcv_detail_code))+1
from ins_premium_det i),'-30708','-30708','02', '11000003','00','Request by Mr. Omair Ali 09-May-2025');</v>
      </c>
    </row>
    <row r="111" spans="1:8" ht="105" x14ac:dyDescent="0.25">
      <c r="A111" s="2" t="s">
        <v>114</v>
      </c>
      <c r="B111" s="24" t="str">
        <f>VLOOKUP(A111,policy!B:C,2,0)</f>
        <v>050000800637</v>
      </c>
      <c r="C111" s="14">
        <v>1588</v>
      </c>
      <c r="D111" s="25">
        <f t="shared" si="5"/>
        <v>1588</v>
      </c>
      <c r="E111" s="23" t="s">
        <v>665</v>
      </c>
      <c r="F111" s="26" t="str">
        <f t="shared" si="4"/>
        <v>insert into ins_premium_det (premium_rcv_code,assorted_code, rec_amount,premium_rcv_detail_code,remaining_amt, payrec, mode_code,coinsurance_code,class_cd,it_remarks) values</v>
      </c>
      <c r="G111" s="27" t="str">
        <f t="shared" si="6"/>
        <v>('07May250079','050000800637','1588',(select max(to_number(i.premium_rcv_detail_code))+1
from ins_premium_det i),'1588','1588','02', '11000003','00','Request by Mr. Omair Ali 09-May-2025');</v>
      </c>
      <c r="H111" s="28" t="str">
        <f t="shared" si="7"/>
        <v>insert into ins_premium_det (premium_rcv_code,assorted_code, rec_amount,premium_rcv_detail_code,remaining_amt, payrec, mode_code,coinsurance_code,class_cd,it_remarks) values('07May250079','050000800637','1588',(select max(to_number(i.premium_rcv_detail_code))+1
from ins_premium_det i),'1588','1588','02', '11000003','00','Request by Mr. Omair Ali 09-May-2025');</v>
      </c>
    </row>
    <row r="112" spans="1:8" ht="105" x14ac:dyDescent="0.25">
      <c r="A112" s="2" t="s">
        <v>115</v>
      </c>
      <c r="B112" s="24" t="str">
        <f>VLOOKUP(A112,policy!B:C,2,0)</f>
        <v>050000809490</v>
      </c>
      <c r="C112" s="14">
        <v>2845</v>
      </c>
      <c r="D112" s="25">
        <f t="shared" si="5"/>
        <v>2845</v>
      </c>
      <c r="E112" s="23" t="s">
        <v>665</v>
      </c>
      <c r="F112" s="26" t="str">
        <f t="shared" si="4"/>
        <v>insert into ins_premium_det (premium_rcv_code,assorted_code, rec_amount,premium_rcv_detail_code,remaining_amt, payrec, mode_code,coinsurance_code,class_cd,it_remarks) values</v>
      </c>
      <c r="G112" s="27" t="str">
        <f t="shared" si="6"/>
        <v>('07May250079','050000809490','2845',(select max(to_number(i.premium_rcv_detail_code))+1
from ins_premium_det i),'2845','2845','02', '11000003','00','Request by Mr. Omair Ali 09-May-2025');</v>
      </c>
      <c r="H112" s="28" t="str">
        <f t="shared" si="7"/>
        <v>insert into ins_premium_det (premium_rcv_code,assorted_code, rec_amount,premium_rcv_detail_code,remaining_amt, payrec, mode_code,coinsurance_code,class_cd,it_remarks) values('07May250079','050000809490','2845',(select max(to_number(i.premium_rcv_detail_code))+1
from ins_premium_det i),'2845','2845','02', '11000003','00','Request by Mr. Omair Ali 09-May-2025');</v>
      </c>
    </row>
    <row r="113" spans="1:8" ht="105" x14ac:dyDescent="0.25">
      <c r="A113" s="2" t="s">
        <v>116</v>
      </c>
      <c r="B113" s="24" t="str">
        <f>VLOOKUP(A113,policy!B:C,2,0)</f>
        <v>050000811583</v>
      </c>
      <c r="C113" s="14">
        <v>-9857</v>
      </c>
      <c r="D113" s="25">
        <f t="shared" si="5"/>
        <v>-9857</v>
      </c>
      <c r="E113" s="23" t="s">
        <v>665</v>
      </c>
      <c r="F113" s="26" t="str">
        <f t="shared" si="4"/>
        <v>insert into ins_premium_det (premium_rcv_code,assorted_code, rec_amount,premium_rcv_detail_code,remaining_amt, payrec, mode_code,coinsurance_code,class_cd,it_remarks) values</v>
      </c>
      <c r="G113" s="27" t="str">
        <f t="shared" si="6"/>
        <v>('07May250079','050000811583','-9857',(select max(to_number(i.premium_rcv_detail_code))+1
from ins_premium_det i),'-9857','-9857','02', '11000003','00','Request by Mr. Omair Ali 09-May-2025');</v>
      </c>
      <c r="H113" s="28" t="str">
        <f t="shared" si="7"/>
        <v>insert into ins_premium_det (premium_rcv_code,assorted_code, rec_amount,premium_rcv_detail_code,remaining_amt, payrec, mode_code,coinsurance_code,class_cd,it_remarks) values('07May250079','050000811583','-9857',(select max(to_number(i.premium_rcv_detail_code))+1
from ins_premium_det i),'-9857','-9857','02', '11000003','00','Request by Mr. Omair Ali 09-May-2025');</v>
      </c>
    </row>
    <row r="114" spans="1:8" ht="105" x14ac:dyDescent="0.25">
      <c r="A114" s="2" t="s">
        <v>117</v>
      </c>
      <c r="B114" s="24" t="str">
        <f>VLOOKUP(A114,policy!B:C,2,0)</f>
        <v>050000813082</v>
      </c>
      <c r="C114" s="14">
        <v>5075</v>
      </c>
      <c r="D114" s="25">
        <f t="shared" si="5"/>
        <v>5075</v>
      </c>
      <c r="E114" s="23" t="s">
        <v>665</v>
      </c>
      <c r="F114" s="26" t="str">
        <f t="shared" si="4"/>
        <v>insert into ins_premium_det (premium_rcv_code,assorted_code, rec_amount,premium_rcv_detail_code,remaining_amt, payrec, mode_code,coinsurance_code,class_cd,it_remarks) values</v>
      </c>
      <c r="G114" s="27" t="str">
        <f t="shared" si="6"/>
        <v>('07May250079','050000813082','5075',(select max(to_number(i.premium_rcv_detail_code))+1
from ins_premium_det i),'5075','5075','02', '11000003','00','Request by Mr. Omair Ali 09-May-2025');</v>
      </c>
      <c r="H114" s="28" t="str">
        <f t="shared" si="7"/>
        <v>insert into ins_premium_det (premium_rcv_code,assorted_code, rec_amount,premium_rcv_detail_code,remaining_amt, payrec, mode_code,coinsurance_code,class_cd,it_remarks) values('07May250079','050000813082','5075',(select max(to_number(i.premium_rcv_detail_code))+1
from ins_premium_det i),'5075','5075','02', '11000003','00','Request by Mr. Omair Ali 09-May-2025');</v>
      </c>
    </row>
    <row r="115" spans="1:8" ht="105" x14ac:dyDescent="0.25">
      <c r="A115" s="2" t="s">
        <v>118</v>
      </c>
      <c r="B115" s="24" t="str">
        <f>VLOOKUP(A115,policy!B:C,2,0)</f>
        <v>050000813090</v>
      </c>
      <c r="C115" s="14">
        <v>9498</v>
      </c>
      <c r="D115" s="25">
        <f t="shared" si="5"/>
        <v>9498</v>
      </c>
      <c r="E115" s="23" t="s">
        <v>665</v>
      </c>
      <c r="F115" s="26" t="str">
        <f t="shared" si="4"/>
        <v>insert into ins_premium_det (premium_rcv_code,assorted_code, rec_amount,premium_rcv_detail_code,remaining_amt, payrec, mode_code,coinsurance_code,class_cd,it_remarks) values</v>
      </c>
      <c r="G115" s="27" t="str">
        <f t="shared" si="6"/>
        <v>('07May250079','050000813090','9498',(select max(to_number(i.premium_rcv_detail_code))+1
from ins_premium_det i),'9498','9498','02', '11000003','00','Request by Mr. Omair Ali 09-May-2025');</v>
      </c>
      <c r="H115" s="28" t="str">
        <f t="shared" si="7"/>
        <v>insert into ins_premium_det (premium_rcv_code,assorted_code, rec_amount,premium_rcv_detail_code,remaining_amt, payrec, mode_code,coinsurance_code,class_cd,it_remarks) values('07May250079','050000813090','9498',(select max(to_number(i.premium_rcv_detail_code))+1
from ins_premium_det i),'9498','9498','02', '11000003','00','Request by Mr. Omair Ali 09-May-2025');</v>
      </c>
    </row>
    <row r="116" spans="1:8" ht="105" x14ac:dyDescent="0.25">
      <c r="A116" s="2" t="s">
        <v>119</v>
      </c>
      <c r="B116" s="24" t="str">
        <f>VLOOKUP(A116,policy!B:C,2,0)</f>
        <v>050000813141</v>
      </c>
      <c r="C116" s="14">
        <v>1414</v>
      </c>
      <c r="D116" s="25">
        <f t="shared" si="5"/>
        <v>1414</v>
      </c>
      <c r="E116" s="23" t="s">
        <v>665</v>
      </c>
      <c r="F116" s="26" t="str">
        <f t="shared" si="4"/>
        <v>insert into ins_premium_det (premium_rcv_code,assorted_code, rec_amount,premium_rcv_detail_code,remaining_amt, payrec, mode_code,coinsurance_code,class_cd,it_remarks) values</v>
      </c>
      <c r="G116" s="27" t="str">
        <f t="shared" si="6"/>
        <v>('07May250079','050000813141','1414',(select max(to_number(i.premium_rcv_detail_code))+1
from ins_premium_det i),'1414','1414','02', '11000003','00','Request by Mr. Omair Ali 09-May-2025');</v>
      </c>
      <c r="H116" s="28" t="str">
        <f t="shared" si="7"/>
        <v>insert into ins_premium_det (premium_rcv_code,assorted_code, rec_amount,premium_rcv_detail_code,remaining_amt, payrec, mode_code,coinsurance_code,class_cd,it_remarks) values('07May250079','050000813141','1414',(select max(to_number(i.premium_rcv_detail_code))+1
from ins_premium_det i),'1414','1414','02', '11000003','00','Request by Mr. Omair Ali 09-May-2025');</v>
      </c>
    </row>
    <row r="117" spans="1:8" ht="105" x14ac:dyDescent="0.25">
      <c r="A117" s="2" t="s">
        <v>120</v>
      </c>
      <c r="B117" s="24" t="str">
        <f>VLOOKUP(A117,policy!B:C,2,0)</f>
        <v>050000813578</v>
      </c>
      <c r="C117" s="14">
        <v>-3481</v>
      </c>
      <c r="D117" s="25">
        <f t="shared" si="5"/>
        <v>-3481</v>
      </c>
      <c r="E117" s="23" t="s">
        <v>665</v>
      </c>
      <c r="F117" s="26" t="str">
        <f t="shared" si="4"/>
        <v>insert into ins_premium_det (premium_rcv_code,assorted_code, rec_amount,premium_rcv_detail_code,remaining_amt, payrec, mode_code,coinsurance_code,class_cd,it_remarks) values</v>
      </c>
      <c r="G117" s="27" t="str">
        <f t="shared" si="6"/>
        <v>('07May250079','050000813578','-3481',(select max(to_number(i.premium_rcv_detail_code))+1
from ins_premium_det i),'-3481','-3481','02', '11000003','00','Request by Mr. Omair Ali 09-May-2025');</v>
      </c>
      <c r="H117" s="28" t="str">
        <f t="shared" si="7"/>
        <v>insert into ins_premium_det (premium_rcv_code,assorted_code, rec_amount,premium_rcv_detail_code,remaining_amt, payrec, mode_code,coinsurance_code,class_cd,it_remarks) values('07May250079','050000813578','-3481',(select max(to_number(i.premium_rcv_detail_code))+1
from ins_premium_det i),'-3481','-3481','02', '11000003','00','Request by Mr. Omair Ali 09-May-2025');</v>
      </c>
    </row>
    <row r="118" spans="1:8" ht="105" x14ac:dyDescent="0.25">
      <c r="A118" s="2" t="s">
        <v>121</v>
      </c>
      <c r="B118" s="24" t="str">
        <f>VLOOKUP(A118,policy!B:C,2,0)</f>
        <v>050000813593</v>
      </c>
      <c r="C118" s="14">
        <v>-760</v>
      </c>
      <c r="D118" s="25">
        <f t="shared" si="5"/>
        <v>-760</v>
      </c>
      <c r="E118" s="23" t="s">
        <v>665</v>
      </c>
      <c r="F118" s="26" t="str">
        <f t="shared" si="4"/>
        <v>insert into ins_premium_det (premium_rcv_code,assorted_code, rec_amount,premium_rcv_detail_code,remaining_amt, payrec, mode_code,coinsurance_code,class_cd,it_remarks) values</v>
      </c>
      <c r="G118" s="27" t="str">
        <f t="shared" si="6"/>
        <v>('07May250079','050000813593','-760',(select max(to_number(i.premium_rcv_detail_code))+1
from ins_premium_det i),'-760','-760','02', '11000003','00','Request by Mr. Omair Ali 09-May-2025');</v>
      </c>
      <c r="H118" s="28" t="str">
        <f t="shared" si="7"/>
        <v>insert into ins_premium_det (premium_rcv_code,assorted_code, rec_amount,premium_rcv_detail_code,remaining_amt, payrec, mode_code,coinsurance_code,class_cd,it_remarks) values('07May250079','050000813593','-760',(select max(to_number(i.premium_rcv_detail_code))+1
from ins_premium_det i),'-760','-760','02', '11000003','00','Request by Mr. Omair Ali 09-May-2025');</v>
      </c>
    </row>
    <row r="119" spans="1:8" ht="105" x14ac:dyDescent="0.25">
      <c r="A119" s="2" t="s">
        <v>122</v>
      </c>
      <c r="B119" s="24" t="str">
        <f>VLOOKUP(A119,policy!B:C,2,0)</f>
        <v>050000814287</v>
      </c>
      <c r="C119" s="14">
        <v>-12949</v>
      </c>
      <c r="D119" s="25">
        <f t="shared" si="5"/>
        <v>-12949</v>
      </c>
      <c r="E119" s="23" t="s">
        <v>665</v>
      </c>
      <c r="F119" s="26" t="str">
        <f t="shared" si="4"/>
        <v>insert into ins_premium_det (premium_rcv_code,assorted_code, rec_amount,premium_rcv_detail_code,remaining_amt, payrec, mode_code,coinsurance_code,class_cd,it_remarks) values</v>
      </c>
      <c r="G119" s="27" t="str">
        <f t="shared" si="6"/>
        <v>('07May250079','050000814287','-12949',(select max(to_number(i.premium_rcv_detail_code))+1
from ins_premium_det i),'-12949','-12949','02', '11000003','00','Request by Mr. Omair Ali 09-May-2025');</v>
      </c>
      <c r="H119" s="28" t="str">
        <f t="shared" si="7"/>
        <v>insert into ins_premium_det (premium_rcv_code,assorted_code, rec_amount,premium_rcv_detail_code,remaining_amt, payrec, mode_code,coinsurance_code,class_cd,it_remarks) values('07May250079','050000814287','-12949',(select max(to_number(i.premium_rcv_detail_code))+1
from ins_premium_det i),'-12949','-12949','02', '11000003','00','Request by Mr. Omair Ali 09-May-2025');</v>
      </c>
    </row>
    <row r="120" spans="1:8" ht="105" x14ac:dyDescent="0.25">
      <c r="A120" s="2" t="s">
        <v>123</v>
      </c>
      <c r="B120" s="24" t="str">
        <f>VLOOKUP(A120,policy!B:C,2,0)</f>
        <v>050000815224</v>
      </c>
      <c r="C120" s="14">
        <v>-10059</v>
      </c>
      <c r="D120" s="25">
        <f t="shared" si="5"/>
        <v>-10059</v>
      </c>
      <c r="E120" s="23" t="s">
        <v>665</v>
      </c>
      <c r="F120" s="26" t="str">
        <f t="shared" si="4"/>
        <v>insert into ins_premium_det (premium_rcv_code,assorted_code, rec_amount,premium_rcv_detail_code,remaining_amt, payrec, mode_code,coinsurance_code,class_cd,it_remarks) values</v>
      </c>
      <c r="G120" s="27" t="str">
        <f t="shared" si="6"/>
        <v>('07May250079','050000815224','-10059',(select max(to_number(i.premium_rcv_detail_code))+1
from ins_premium_det i),'-10059','-10059','02', '11000003','00','Request by Mr. Omair Ali 09-May-2025');</v>
      </c>
      <c r="H120" s="28" t="str">
        <f t="shared" si="7"/>
        <v>insert into ins_premium_det (premium_rcv_code,assorted_code, rec_amount,premium_rcv_detail_code,remaining_amt, payrec, mode_code,coinsurance_code,class_cd,it_remarks) values('07May250079','050000815224','-10059',(select max(to_number(i.premium_rcv_detail_code))+1
from ins_premium_det i),'-10059','-10059','02', '11000003','00','Request by Mr. Omair Ali 09-May-2025');</v>
      </c>
    </row>
    <row r="121" spans="1:8" ht="105" x14ac:dyDescent="0.25">
      <c r="A121" s="2" t="s">
        <v>124</v>
      </c>
      <c r="B121" s="24" t="str">
        <f>VLOOKUP(A121,policy!B:C,2,0)</f>
        <v>050000815701</v>
      </c>
      <c r="C121" s="14">
        <v>-22075</v>
      </c>
      <c r="D121" s="25">
        <f t="shared" si="5"/>
        <v>-22075</v>
      </c>
      <c r="E121" s="23" t="s">
        <v>665</v>
      </c>
      <c r="F121" s="26" t="str">
        <f t="shared" si="4"/>
        <v>insert into ins_premium_det (premium_rcv_code,assorted_code, rec_amount,premium_rcv_detail_code,remaining_amt, payrec, mode_code,coinsurance_code,class_cd,it_remarks) values</v>
      </c>
      <c r="G121" s="27" t="str">
        <f t="shared" si="6"/>
        <v>('07May250079','050000815701','-22075',(select max(to_number(i.premium_rcv_detail_code))+1
from ins_premium_det i),'-22075','-22075','02', '11000003','00','Request by Mr. Omair Ali 09-May-2025');</v>
      </c>
      <c r="H121" s="28" t="str">
        <f t="shared" si="7"/>
        <v>insert into ins_premium_det (premium_rcv_code,assorted_code, rec_amount,premium_rcv_detail_code,remaining_amt, payrec, mode_code,coinsurance_code,class_cd,it_remarks) values('07May250079','050000815701','-22075',(select max(to_number(i.premium_rcv_detail_code))+1
from ins_premium_det i),'-22075','-22075','02', '11000003','00','Request by Mr. Omair Ali 09-May-2025');</v>
      </c>
    </row>
    <row r="122" spans="1:8" ht="105" x14ac:dyDescent="0.25">
      <c r="A122" s="2" t="s">
        <v>125</v>
      </c>
      <c r="B122" s="24" t="str">
        <f>VLOOKUP(A122,policy!B:C,2,0)</f>
        <v>050000815839</v>
      </c>
      <c r="C122" s="14">
        <v>2362</v>
      </c>
      <c r="D122" s="25">
        <f t="shared" si="5"/>
        <v>2362</v>
      </c>
      <c r="E122" s="23" t="s">
        <v>665</v>
      </c>
      <c r="F122" s="26" t="str">
        <f t="shared" si="4"/>
        <v>insert into ins_premium_det (premium_rcv_code,assorted_code, rec_amount,premium_rcv_detail_code,remaining_amt, payrec, mode_code,coinsurance_code,class_cd,it_remarks) values</v>
      </c>
      <c r="G122" s="27" t="str">
        <f t="shared" si="6"/>
        <v>('07May250079','050000815839','2362',(select max(to_number(i.premium_rcv_detail_code))+1
from ins_premium_det i),'2362','2362','02', '11000003','00','Request by Mr. Omair Ali 09-May-2025');</v>
      </c>
      <c r="H122" s="28" t="str">
        <f t="shared" si="7"/>
        <v>insert into ins_premium_det (premium_rcv_code,assorted_code, rec_amount,premium_rcv_detail_code,remaining_amt, payrec, mode_code,coinsurance_code,class_cd,it_remarks) values('07May250079','050000815839','2362',(select max(to_number(i.premium_rcv_detail_code))+1
from ins_premium_det i),'2362','2362','02', '11000003','00','Request by Mr. Omair Ali 09-May-2025');</v>
      </c>
    </row>
    <row r="123" spans="1:8" ht="105" x14ac:dyDescent="0.25">
      <c r="A123" s="2" t="s">
        <v>126</v>
      </c>
      <c r="B123" s="24" t="str">
        <f>VLOOKUP(A123,policy!B:C,2,0)</f>
        <v>050000815999</v>
      </c>
      <c r="C123" s="14">
        <v>-12733</v>
      </c>
      <c r="D123" s="25">
        <f t="shared" si="5"/>
        <v>-12733</v>
      </c>
      <c r="E123" s="23" t="s">
        <v>665</v>
      </c>
      <c r="F123" s="26" t="str">
        <f t="shared" si="4"/>
        <v>insert into ins_premium_det (premium_rcv_code,assorted_code, rec_amount,premium_rcv_detail_code,remaining_amt, payrec, mode_code,coinsurance_code,class_cd,it_remarks) values</v>
      </c>
      <c r="G123" s="27" t="str">
        <f t="shared" si="6"/>
        <v>('07May250079','050000815999','-12733',(select max(to_number(i.premium_rcv_detail_code))+1
from ins_premium_det i),'-12733','-12733','02', '11000003','00','Request by Mr. Omair Ali 09-May-2025');</v>
      </c>
      <c r="H123" s="28" t="str">
        <f t="shared" si="7"/>
        <v>insert into ins_premium_det (premium_rcv_code,assorted_code, rec_amount,premium_rcv_detail_code,remaining_amt, payrec, mode_code,coinsurance_code,class_cd,it_remarks) values('07May250079','050000815999','-12733',(select max(to_number(i.premium_rcv_detail_code))+1
from ins_premium_det i),'-12733','-12733','02', '11000003','00','Request by Mr. Omair Ali 09-May-2025');</v>
      </c>
    </row>
    <row r="124" spans="1:8" ht="105" x14ac:dyDescent="0.25">
      <c r="A124" s="2" t="s">
        <v>127</v>
      </c>
      <c r="B124" s="24" t="str">
        <f>VLOOKUP(A124,policy!B:C,2,0)</f>
        <v>050000816293</v>
      </c>
      <c r="C124" s="14">
        <v>349004</v>
      </c>
      <c r="D124" s="25">
        <f t="shared" si="5"/>
        <v>349004</v>
      </c>
      <c r="E124" s="23" t="s">
        <v>665</v>
      </c>
      <c r="F124" s="26" t="str">
        <f t="shared" si="4"/>
        <v>insert into ins_premium_det (premium_rcv_code,assorted_code, rec_amount,premium_rcv_detail_code,remaining_amt, payrec, mode_code,coinsurance_code,class_cd,it_remarks) values</v>
      </c>
      <c r="G124" s="27" t="str">
        <f t="shared" si="6"/>
        <v>('07May250079','050000816293','349004',(select max(to_number(i.premium_rcv_detail_code))+1
from ins_premium_det i),'349004','349004','02', '11000003','00','Request by Mr. Omair Ali 09-May-2025');</v>
      </c>
      <c r="H124" s="28" t="str">
        <f t="shared" si="7"/>
        <v>insert into ins_premium_det (premium_rcv_code,assorted_code, rec_amount,premium_rcv_detail_code,remaining_amt, payrec, mode_code,coinsurance_code,class_cd,it_remarks) values('07May250079','050000816293','349004',(select max(to_number(i.premium_rcv_detail_code))+1
from ins_premium_det i),'349004','349004','02', '11000003','00','Request by Mr. Omair Ali 09-May-2025');</v>
      </c>
    </row>
    <row r="125" spans="1:8" ht="105" x14ac:dyDescent="0.25">
      <c r="A125" s="2" t="s">
        <v>128</v>
      </c>
      <c r="B125" s="24" t="str">
        <f>VLOOKUP(A125,policy!B:C,2,0)</f>
        <v>050000817542</v>
      </c>
      <c r="C125" s="14">
        <v>-848</v>
      </c>
      <c r="D125" s="25">
        <f t="shared" si="5"/>
        <v>-848</v>
      </c>
      <c r="E125" s="23" t="s">
        <v>665</v>
      </c>
      <c r="F125" s="26" t="str">
        <f t="shared" si="4"/>
        <v>insert into ins_premium_det (premium_rcv_code,assorted_code, rec_amount,premium_rcv_detail_code,remaining_amt, payrec, mode_code,coinsurance_code,class_cd,it_remarks) values</v>
      </c>
      <c r="G125" s="27" t="str">
        <f t="shared" si="6"/>
        <v>('07May250079','050000817542','-848',(select max(to_number(i.premium_rcv_detail_code))+1
from ins_premium_det i),'-848','-848','02', '11000003','00','Request by Mr. Omair Ali 09-May-2025');</v>
      </c>
      <c r="H125" s="28" t="str">
        <f t="shared" si="7"/>
        <v>insert into ins_premium_det (premium_rcv_code,assorted_code, rec_amount,premium_rcv_detail_code,remaining_amt, payrec, mode_code,coinsurance_code,class_cd,it_remarks) values('07May250079','050000817542','-848',(select max(to_number(i.premium_rcv_detail_code))+1
from ins_premium_det i),'-848','-848','02', '11000003','00','Request by Mr. Omair Ali 09-May-2025');</v>
      </c>
    </row>
    <row r="126" spans="1:8" ht="105" x14ac:dyDescent="0.25">
      <c r="A126" s="2" t="s">
        <v>129</v>
      </c>
      <c r="B126" s="24" t="str">
        <f>VLOOKUP(A126,policy!B:C,2,0)</f>
        <v>050000817883</v>
      </c>
      <c r="C126" s="14">
        <v>-5369</v>
      </c>
      <c r="D126" s="25">
        <f t="shared" si="5"/>
        <v>-5369</v>
      </c>
      <c r="E126" s="23" t="s">
        <v>665</v>
      </c>
      <c r="F126" s="26" t="str">
        <f t="shared" si="4"/>
        <v>insert into ins_premium_det (premium_rcv_code,assorted_code, rec_amount,premium_rcv_detail_code,remaining_amt, payrec, mode_code,coinsurance_code,class_cd,it_remarks) values</v>
      </c>
      <c r="G126" s="27" t="str">
        <f t="shared" si="6"/>
        <v>('07May250079','050000817883','-5369',(select max(to_number(i.premium_rcv_detail_code))+1
from ins_premium_det i),'-5369','-5369','02', '11000003','00','Request by Mr. Omair Ali 09-May-2025');</v>
      </c>
      <c r="H126" s="28" t="str">
        <f t="shared" si="7"/>
        <v>insert into ins_premium_det (premium_rcv_code,assorted_code, rec_amount,premium_rcv_detail_code,remaining_amt, payrec, mode_code,coinsurance_code,class_cd,it_remarks) values('07May250079','050000817883','-5369',(select max(to_number(i.premium_rcv_detail_code))+1
from ins_premium_det i),'-5369','-5369','02', '11000003','00','Request by Mr. Omair Ali 09-May-2025');</v>
      </c>
    </row>
    <row r="127" spans="1:8" ht="105" x14ac:dyDescent="0.25">
      <c r="A127" s="2" t="s">
        <v>130</v>
      </c>
      <c r="B127" s="24" t="str">
        <f>VLOOKUP(A127,policy!B:C,2,0)</f>
        <v>050000821084</v>
      </c>
      <c r="C127" s="14">
        <v>-8074</v>
      </c>
      <c r="D127" s="25">
        <f t="shared" si="5"/>
        <v>-8074</v>
      </c>
      <c r="E127" s="23" t="s">
        <v>665</v>
      </c>
      <c r="F127" s="26" t="str">
        <f t="shared" si="4"/>
        <v>insert into ins_premium_det (premium_rcv_code,assorted_code, rec_amount,premium_rcv_detail_code,remaining_amt, payrec, mode_code,coinsurance_code,class_cd,it_remarks) values</v>
      </c>
      <c r="G127" s="27" t="str">
        <f t="shared" si="6"/>
        <v>('07May250079','050000821084','-8074',(select max(to_number(i.premium_rcv_detail_code))+1
from ins_premium_det i),'-8074','-8074','02', '11000003','00','Request by Mr. Omair Ali 09-May-2025');</v>
      </c>
      <c r="H127" s="28" t="str">
        <f t="shared" si="7"/>
        <v>insert into ins_premium_det (premium_rcv_code,assorted_code, rec_amount,premium_rcv_detail_code,remaining_amt, payrec, mode_code,coinsurance_code,class_cd,it_remarks) values('07May250079','050000821084','-8074',(select max(to_number(i.premium_rcv_detail_code))+1
from ins_premium_det i),'-8074','-8074','02', '11000003','00','Request by Mr. Omair Ali 09-May-2025');</v>
      </c>
    </row>
    <row r="128" spans="1:8" ht="105" x14ac:dyDescent="0.25">
      <c r="A128" s="2" t="s">
        <v>131</v>
      </c>
      <c r="B128" s="24" t="str">
        <f>VLOOKUP(A128,policy!B:C,2,0)</f>
        <v>050000821697</v>
      </c>
      <c r="C128" s="14">
        <v>-6503</v>
      </c>
      <c r="D128" s="25">
        <f t="shared" si="5"/>
        <v>-6503</v>
      </c>
      <c r="E128" s="23" t="s">
        <v>665</v>
      </c>
      <c r="F128" s="26" t="str">
        <f t="shared" si="4"/>
        <v>insert into ins_premium_det (premium_rcv_code,assorted_code, rec_amount,premium_rcv_detail_code,remaining_amt, payrec, mode_code,coinsurance_code,class_cd,it_remarks) values</v>
      </c>
      <c r="G128" s="27" t="str">
        <f t="shared" si="6"/>
        <v>('07May250079','050000821697','-6503',(select max(to_number(i.premium_rcv_detail_code))+1
from ins_premium_det i),'-6503','-6503','02', '11000003','00','Request by Mr. Omair Ali 09-May-2025');</v>
      </c>
      <c r="H128" s="28" t="str">
        <f t="shared" si="7"/>
        <v>insert into ins_premium_det (premium_rcv_code,assorted_code, rec_amount,premium_rcv_detail_code,remaining_amt, payrec, mode_code,coinsurance_code,class_cd,it_remarks) values('07May250079','050000821697','-6503',(select max(to_number(i.premium_rcv_detail_code))+1
from ins_premium_det i),'-6503','-6503','02', '11000003','00','Request by Mr. Omair Ali 09-May-2025');</v>
      </c>
    </row>
    <row r="129" spans="1:8" ht="105" x14ac:dyDescent="0.25">
      <c r="A129" s="2" t="s">
        <v>132</v>
      </c>
      <c r="B129" s="24" t="str">
        <f>VLOOKUP(A129,policy!B:C,2,0)</f>
        <v>050000822563</v>
      </c>
      <c r="C129" s="14">
        <v>-7066</v>
      </c>
      <c r="D129" s="25">
        <f t="shared" si="5"/>
        <v>-7066</v>
      </c>
      <c r="E129" s="23" t="s">
        <v>665</v>
      </c>
      <c r="F129" s="26" t="str">
        <f t="shared" si="4"/>
        <v>insert into ins_premium_det (premium_rcv_code,assorted_code, rec_amount,premium_rcv_detail_code,remaining_amt, payrec, mode_code,coinsurance_code,class_cd,it_remarks) values</v>
      </c>
      <c r="G129" s="27" t="str">
        <f t="shared" si="6"/>
        <v>('07May250079','050000822563','-7066',(select max(to_number(i.premium_rcv_detail_code))+1
from ins_premium_det i),'-7066','-7066','02', '11000003','00','Request by Mr. Omair Ali 09-May-2025');</v>
      </c>
      <c r="H129" s="28" t="str">
        <f t="shared" si="7"/>
        <v>insert into ins_premium_det (premium_rcv_code,assorted_code, rec_amount,premium_rcv_detail_code,remaining_amt, payrec, mode_code,coinsurance_code,class_cd,it_remarks) values('07May250079','050000822563','-7066',(select max(to_number(i.premium_rcv_detail_code))+1
from ins_premium_det i),'-7066','-7066','02', '11000003','00','Request by Mr. Omair Ali 09-May-2025');</v>
      </c>
    </row>
    <row r="130" spans="1:8" ht="105" x14ac:dyDescent="0.25">
      <c r="A130" s="2" t="s">
        <v>133</v>
      </c>
      <c r="B130" s="24" t="str">
        <f>VLOOKUP(A130,policy!B:C,2,0)</f>
        <v>050000822734</v>
      </c>
      <c r="C130" s="14">
        <v>12490</v>
      </c>
      <c r="D130" s="25">
        <f t="shared" si="5"/>
        <v>12490</v>
      </c>
      <c r="E130" s="23" t="s">
        <v>665</v>
      </c>
      <c r="F130" s="26" t="str">
        <f t="shared" ref="F130:F193" si="8">"insert into ins_premium_det (premium_rcv_code,assorted_code, rec_amount,premium_rcv_detail_code,remaining_amt, payrec, mode_code,coinsurance_code,class_cd,it_remarks) values"</f>
        <v>insert into ins_premium_det (premium_rcv_code,assorted_code, rec_amount,premium_rcv_detail_code,remaining_amt, payrec, mode_code,coinsurance_code,class_cd,it_remarks) values</v>
      </c>
      <c r="G130" s="27" t="str">
        <f t="shared" si="6"/>
        <v>('07May250079','050000822734','12490',(select max(to_number(i.premium_rcv_detail_code))+1
from ins_premium_det i),'12490','12490','02', '11000003','00','Request by Mr. Omair Ali 09-May-2025');</v>
      </c>
      <c r="H130" s="28" t="str">
        <f t="shared" si="7"/>
        <v>insert into ins_premium_det (premium_rcv_code,assorted_code, rec_amount,premium_rcv_detail_code,remaining_amt, payrec, mode_code,coinsurance_code,class_cd,it_remarks) values('07May250079','050000822734','12490',(select max(to_number(i.premium_rcv_detail_code))+1
from ins_premium_det i),'12490','12490','02', '11000003','00','Request by Mr. Omair Ali 09-May-2025');</v>
      </c>
    </row>
    <row r="131" spans="1:8" ht="105" x14ac:dyDescent="0.25">
      <c r="A131" s="2" t="s">
        <v>134</v>
      </c>
      <c r="B131" s="24" t="str">
        <f>VLOOKUP(A131,policy!B:C,2,0)</f>
        <v>050000822807</v>
      </c>
      <c r="C131" s="14">
        <v>-4845</v>
      </c>
      <c r="D131" s="25">
        <f t="shared" ref="D131:D194" si="9">ROUND(C131,0)</f>
        <v>-4845</v>
      </c>
      <c r="E131" s="23" t="s">
        <v>665</v>
      </c>
      <c r="F131" s="26" t="str">
        <f t="shared" si="8"/>
        <v>insert into ins_premium_det (premium_rcv_code,assorted_code, rec_amount,premium_rcv_detail_code,remaining_amt, payrec, mode_code,coinsurance_code,class_cd,it_remarks) values</v>
      </c>
      <c r="G131" s="27" t="str">
        <f t="shared" ref="G131:G194" si="10">"('"&amp;E131&amp;"','"&amp;B131&amp;"','"&amp;D131&amp;"',(select max(to_number(i.premium_rcv_detail_code))+1
from ins_premium_det i),'"&amp;D131&amp;"','"&amp;D131&amp;"','02', '11000003','00','Request by Mr. Omair Ali 09-May-2025');"</f>
        <v>('07May250079','050000822807','-4845',(select max(to_number(i.premium_rcv_detail_code))+1
from ins_premium_det i),'-4845','-4845','02', '11000003','00','Request by Mr. Omair Ali 09-May-2025');</v>
      </c>
      <c r="H131" s="28" t="str">
        <f t="shared" ref="H131:H194" si="11">F131&amp;G131</f>
        <v>insert into ins_premium_det (premium_rcv_code,assorted_code, rec_amount,premium_rcv_detail_code,remaining_amt, payrec, mode_code,coinsurance_code,class_cd,it_remarks) values('07May250079','050000822807','-4845',(select max(to_number(i.premium_rcv_detail_code))+1
from ins_premium_det i),'-4845','-4845','02', '11000003','00','Request by Mr. Omair Ali 09-May-2025');</v>
      </c>
    </row>
    <row r="132" spans="1:8" ht="105" x14ac:dyDescent="0.25">
      <c r="A132" s="2" t="s">
        <v>135</v>
      </c>
      <c r="B132" s="24" t="str">
        <f>VLOOKUP(A132,policy!B:C,2,0)</f>
        <v>050000823026</v>
      </c>
      <c r="C132" s="14">
        <v>-6003</v>
      </c>
      <c r="D132" s="25">
        <f t="shared" si="9"/>
        <v>-6003</v>
      </c>
      <c r="E132" s="23" t="s">
        <v>665</v>
      </c>
      <c r="F132" s="26" t="str">
        <f t="shared" si="8"/>
        <v>insert into ins_premium_det (premium_rcv_code,assorted_code, rec_amount,premium_rcv_detail_code,remaining_amt, payrec, mode_code,coinsurance_code,class_cd,it_remarks) values</v>
      </c>
      <c r="G132" s="27" t="str">
        <f t="shared" si="10"/>
        <v>('07May250079','050000823026','-6003',(select max(to_number(i.premium_rcv_detail_code))+1
from ins_premium_det i),'-6003','-6003','02', '11000003','00','Request by Mr. Omair Ali 09-May-2025');</v>
      </c>
      <c r="H132" s="28" t="str">
        <f t="shared" si="11"/>
        <v>insert into ins_premium_det (premium_rcv_code,assorted_code, rec_amount,premium_rcv_detail_code,remaining_amt, payrec, mode_code,coinsurance_code,class_cd,it_remarks) values('07May250079','050000823026','-6003',(select max(to_number(i.premium_rcv_detail_code))+1
from ins_premium_det i),'-6003','-6003','02', '11000003','00','Request by Mr. Omair Ali 09-May-2025');</v>
      </c>
    </row>
    <row r="133" spans="1:8" ht="105" x14ac:dyDescent="0.25">
      <c r="A133" s="2" t="s">
        <v>136</v>
      </c>
      <c r="B133" s="24" t="str">
        <f>VLOOKUP(A133,policy!B:C,2,0)</f>
        <v>050000823035</v>
      </c>
      <c r="C133" s="14">
        <v>-776</v>
      </c>
      <c r="D133" s="25">
        <f t="shared" si="9"/>
        <v>-776</v>
      </c>
      <c r="E133" s="23" t="s">
        <v>665</v>
      </c>
      <c r="F133" s="26" t="str">
        <f t="shared" si="8"/>
        <v>insert into ins_premium_det (premium_rcv_code,assorted_code, rec_amount,premium_rcv_detail_code,remaining_amt, payrec, mode_code,coinsurance_code,class_cd,it_remarks) values</v>
      </c>
      <c r="G133" s="27" t="str">
        <f t="shared" si="10"/>
        <v>('07May250079','050000823035','-776',(select max(to_number(i.premium_rcv_detail_code))+1
from ins_premium_det i),'-776','-776','02', '11000003','00','Request by Mr. Omair Ali 09-May-2025');</v>
      </c>
      <c r="H133" s="28" t="str">
        <f t="shared" si="11"/>
        <v>insert into ins_premium_det (premium_rcv_code,assorted_code, rec_amount,premium_rcv_detail_code,remaining_amt, payrec, mode_code,coinsurance_code,class_cd,it_remarks) values('07May250079','050000823035','-776',(select max(to_number(i.premium_rcv_detail_code))+1
from ins_premium_det i),'-776','-776','02', '11000003','00','Request by Mr. Omair Ali 09-May-2025');</v>
      </c>
    </row>
    <row r="134" spans="1:8" ht="105" x14ac:dyDescent="0.25">
      <c r="A134" s="2" t="s">
        <v>137</v>
      </c>
      <c r="B134" s="24" t="str">
        <f>VLOOKUP(A134,policy!B:C,2,0)</f>
        <v>050000823056</v>
      </c>
      <c r="C134" s="14">
        <v>9881</v>
      </c>
      <c r="D134" s="25">
        <f t="shared" si="9"/>
        <v>9881</v>
      </c>
      <c r="E134" s="23" t="s">
        <v>665</v>
      </c>
      <c r="F134" s="26" t="str">
        <f t="shared" si="8"/>
        <v>insert into ins_premium_det (premium_rcv_code,assorted_code, rec_amount,premium_rcv_detail_code,remaining_amt, payrec, mode_code,coinsurance_code,class_cd,it_remarks) values</v>
      </c>
      <c r="G134" s="27" t="str">
        <f t="shared" si="10"/>
        <v>('07May250079','050000823056','9881',(select max(to_number(i.premium_rcv_detail_code))+1
from ins_premium_det i),'9881','9881','02', '11000003','00','Request by Mr. Omair Ali 09-May-2025');</v>
      </c>
      <c r="H134" s="28" t="str">
        <f t="shared" si="11"/>
        <v>insert into ins_premium_det (premium_rcv_code,assorted_code, rec_amount,premium_rcv_detail_code,remaining_amt, payrec, mode_code,coinsurance_code,class_cd,it_remarks) values('07May250079','050000823056','9881',(select max(to_number(i.premium_rcv_detail_code))+1
from ins_premium_det i),'9881','9881','02', '11000003','00','Request by Mr. Omair Ali 09-May-2025');</v>
      </c>
    </row>
    <row r="135" spans="1:8" ht="105" x14ac:dyDescent="0.25">
      <c r="A135" s="2" t="s">
        <v>138</v>
      </c>
      <c r="B135" s="24" t="str">
        <f>VLOOKUP(A135,policy!B:C,2,0)</f>
        <v>050000823146</v>
      </c>
      <c r="C135" s="14">
        <v>2687</v>
      </c>
      <c r="D135" s="25">
        <f t="shared" si="9"/>
        <v>2687</v>
      </c>
      <c r="E135" s="23" t="s">
        <v>665</v>
      </c>
      <c r="F135" s="26" t="str">
        <f t="shared" si="8"/>
        <v>insert into ins_premium_det (premium_rcv_code,assorted_code, rec_amount,premium_rcv_detail_code,remaining_amt, payrec, mode_code,coinsurance_code,class_cd,it_remarks) values</v>
      </c>
      <c r="G135" s="27" t="str">
        <f t="shared" si="10"/>
        <v>('07May250079','050000823146','2687',(select max(to_number(i.premium_rcv_detail_code))+1
from ins_premium_det i),'2687','2687','02', '11000003','00','Request by Mr. Omair Ali 09-May-2025');</v>
      </c>
      <c r="H135" s="28" t="str">
        <f t="shared" si="11"/>
        <v>insert into ins_premium_det (premium_rcv_code,assorted_code, rec_amount,premium_rcv_detail_code,remaining_amt, payrec, mode_code,coinsurance_code,class_cd,it_remarks) values('07May250079','050000823146','2687',(select max(to_number(i.premium_rcv_detail_code))+1
from ins_premium_det i),'2687','2687','02', '11000003','00','Request by Mr. Omair Ali 09-May-2025');</v>
      </c>
    </row>
    <row r="136" spans="1:8" ht="105" x14ac:dyDescent="0.25">
      <c r="A136" s="2" t="s">
        <v>139</v>
      </c>
      <c r="B136" s="24" t="str">
        <f>VLOOKUP(A136,policy!B:C,2,0)</f>
        <v>050000823191</v>
      </c>
      <c r="C136" s="14">
        <v>3118</v>
      </c>
      <c r="D136" s="25">
        <f t="shared" si="9"/>
        <v>3118</v>
      </c>
      <c r="E136" s="23" t="s">
        <v>665</v>
      </c>
      <c r="F136" s="26" t="str">
        <f t="shared" si="8"/>
        <v>insert into ins_premium_det (premium_rcv_code,assorted_code, rec_amount,premium_rcv_detail_code,remaining_amt, payrec, mode_code,coinsurance_code,class_cd,it_remarks) values</v>
      </c>
      <c r="G136" s="27" t="str">
        <f t="shared" si="10"/>
        <v>('07May250079','050000823191','3118',(select max(to_number(i.premium_rcv_detail_code))+1
from ins_premium_det i),'3118','3118','02', '11000003','00','Request by Mr. Omair Ali 09-May-2025');</v>
      </c>
      <c r="H136" s="28" t="str">
        <f t="shared" si="11"/>
        <v>insert into ins_premium_det (premium_rcv_code,assorted_code, rec_amount,premium_rcv_detail_code,remaining_amt, payrec, mode_code,coinsurance_code,class_cd,it_remarks) values('07May250079','050000823191','3118',(select max(to_number(i.premium_rcv_detail_code))+1
from ins_premium_det i),'3118','3118','02', '11000003','00','Request by Mr. Omair Ali 09-May-2025');</v>
      </c>
    </row>
    <row r="137" spans="1:8" ht="105" x14ac:dyDescent="0.25">
      <c r="A137" s="2" t="s">
        <v>140</v>
      </c>
      <c r="B137" s="24" t="str">
        <f>VLOOKUP(A137,policy!B:C,2,0)</f>
        <v>050000823405</v>
      </c>
      <c r="C137" s="14">
        <v>-3468</v>
      </c>
      <c r="D137" s="25">
        <f t="shared" si="9"/>
        <v>-3468</v>
      </c>
      <c r="E137" s="23" t="s">
        <v>665</v>
      </c>
      <c r="F137" s="26" t="str">
        <f t="shared" si="8"/>
        <v>insert into ins_premium_det (premium_rcv_code,assorted_code, rec_amount,premium_rcv_detail_code,remaining_amt, payrec, mode_code,coinsurance_code,class_cd,it_remarks) values</v>
      </c>
      <c r="G137" s="27" t="str">
        <f t="shared" si="10"/>
        <v>('07May250079','050000823405','-3468',(select max(to_number(i.premium_rcv_detail_code))+1
from ins_premium_det i),'-3468','-3468','02', '11000003','00','Request by Mr. Omair Ali 09-May-2025');</v>
      </c>
      <c r="H137" s="28" t="str">
        <f t="shared" si="11"/>
        <v>insert into ins_premium_det (premium_rcv_code,assorted_code, rec_amount,premium_rcv_detail_code,remaining_amt, payrec, mode_code,coinsurance_code,class_cd,it_remarks) values('07May250079','050000823405','-3468',(select max(to_number(i.premium_rcv_detail_code))+1
from ins_premium_det i),'-3468','-3468','02', '11000003','00','Request by Mr. Omair Ali 09-May-2025');</v>
      </c>
    </row>
    <row r="138" spans="1:8" ht="105" x14ac:dyDescent="0.25">
      <c r="A138" s="2" t="s">
        <v>141</v>
      </c>
      <c r="B138" s="24" t="str">
        <f>VLOOKUP(A138,policy!B:C,2,0)</f>
        <v>050000823407</v>
      </c>
      <c r="C138" s="14">
        <v>16217</v>
      </c>
      <c r="D138" s="25">
        <f t="shared" si="9"/>
        <v>16217</v>
      </c>
      <c r="E138" s="23" t="s">
        <v>665</v>
      </c>
      <c r="F138" s="26" t="str">
        <f t="shared" si="8"/>
        <v>insert into ins_premium_det (premium_rcv_code,assorted_code, rec_amount,premium_rcv_detail_code,remaining_amt, payrec, mode_code,coinsurance_code,class_cd,it_remarks) values</v>
      </c>
      <c r="G138" s="27" t="str">
        <f t="shared" si="10"/>
        <v>('07May250079','050000823407','16217',(select max(to_number(i.premium_rcv_detail_code))+1
from ins_premium_det i),'16217','16217','02', '11000003','00','Request by Mr. Omair Ali 09-May-2025');</v>
      </c>
      <c r="H138" s="28" t="str">
        <f t="shared" si="11"/>
        <v>insert into ins_premium_det (premium_rcv_code,assorted_code, rec_amount,premium_rcv_detail_code,remaining_amt, payrec, mode_code,coinsurance_code,class_cd,it_remarks) values('07May250079','050000823407','16217',(select max(to_number(i.premium_rcv_detail_code))+1
from ins_premium_det i),'16217','16217','02', '11000003','00','Request by Mr. Omair Ali 09-May-2025');</v>
      </c>
    </row>
    <row r="139" spans="1:8" ht="105" x14ac:dyDescent="0.25">
      <c r="A139" s="2" t="s">
        <v>142</v>
      </c>
      <c r="B139" s="24" t="str">
        <f>VLOOKUP(A139,policy!B:C,2,0)</f>
        <v>050000824322</v>
      </c>
      <c r="C139" s="14">
        <v>-8053</v>
      </c>
      <c r="D139" s="25">
        <f t="shared" si="9"/>
        <v>-8053</v>
      </c>
      <c r="E139" s="23" t="s">
        <v>665</v>
      </c>
      <c r="F139" s="26" t="str">
        <f t="shared" si="8"/>
        <v>insert into ins_premium_det (premium_rcv_code,assorted_code, rec_amount,premium_rcv_detail_code,remaining_amt, payrec, mode_code,coinsurance_code,class_cd,it_remarks) values</v>
      </c>
      <c r="G139" s="27" t="str">
        <f t="shared" si="10"/>
        <v>('07May250079','050000824322','-8053',(select max(to_number(i.premium_rcv_detail_code))+1
from ins_premium_det i),'-8053','-8053','02', '11000003','00','Request by Mr. Omair Ali 09-May-2025');</v>
      </c>
      <c r="H139" s="28" t="str">
        <f t="shared" si="11"/>
        <v>insert into ins_premium_det (premium_rcv_code,assorted_code, rec_amount,premium_rcv_detail_code,remaining_amt, payrec, mode_code,coinsurance_code,class_cd,it_remarks) values('07May250079','050000824322','-8053',(select max(to_number(i.premium_rcv_detail_code))+1
from ins_premium_det i),'-8053','-8053','02', '11000003','00','Request by Mr. Omair Ali 09-May-2025');</v>
      </c>
    </row>
    <row r="140" spans="1:8" ht="105" x14ac:dyDescent="0.25">
      <c r="A140" s="2" t="s">
        <v>143</v>
      </c>
      <c r="B140" s="24" t="str">
        <f>VLOOKUP(A140,policy!B:C,2,0)</f>
        <v>050000824324</v>
      </c>
      <c r="C140" s="14">
        <v>3649</v>
      </c>
      <c r="D140" s="25">
        <f t="shared" si="9"/>
        <v>3649</v>
      </c>
      <c r="E140" s="23" t="s">
        <v>665</v>
      </c>
      <c r="F140" s="26" t="str">
        <f t="shared" si="8"/>
        <v>insert into ins_premium_det (premium_rcv_code,assorted_code, rec_amount,premium_rcv_detail_code,remaining_amt, payrec, mode_code,coinsurance_code,class_cd,it_remarks) values</v>
      </c>
      <c r="G140" s="27" t="str">
        <f t="shared" si="10"/>
        <v>('07May250079','050000824324','3649',(select max(to_number(i.premium_rcv_detail_code))+1
from ins_premium_det i),'3649','3649','02', '11000003','00','Request by Mr. Omair Ali 09-May-2025');</v>
      </c>
      <c r="H140" s="28" t="str">
        <f t="shared" si="11"/>
        <v>insert into ins_premium_det (premium_rcv_code,assorted_code, rec_amount,premium_rcv_detail_code,remaining_amt, payrec, mode_code,coinsurance_code,class_cd,it_remarks) values('07May250079','050000824324','3649',(select max(to_number(i.premium_rcv_detail_code))+1
from ins_premium_det i),'3649','3649','02', '11000003','00','Request by Mr. Omair Ali 09-May-2025');</v>
      </c>
    </row>
    <row r="141" spans="1:8" ht="105" x14ac:dyDescent="0.25">
      <c r="A141" s="2" t="s">
        <v>144</v>
      </c>
      <c r="B141" s="24" t="str">
        <f>VLOOKUP(A141,policy!B:C,2,0)</f>
        <v>050000824446</v>
      </c>
      <c r="C141" s="14">
        <v>-4249</v>
      </c>
      <c r="D141" s="25">
        <f t="shared" si="9"/>
        <v>-4249</v>
      </c>
      <c r="E141" s="23" t="s">
        <v>665</v>
      </c>
      <c r="F141" s="26" t="str">
        <f t="shared" si="8"/>
        <v>insert into ins_premium_det (premium_rcv_code,assorted_code, rec_amount,premium_rcv_detail_code,remaining_amt, payrec, mode_code,coinsurance_code,class_cd,it_remarks) values</v>
      </c>
      <c r="G141" s="27" t="str">
        <f t="shared" si="10"/>
        <v>('07May250079','050000824446','-4249',(select max(to_number(i.premium_rcv_detail_code))+1
from ins_premium_det i),'-4249','-4249','02', '11000003','00','Request by Mr. Omair Ali 09-May-2025');</v>
      </c>
      <c r="H141" s="28" t="str">
        <f t="shared" si="11"/>
        <v>insert into ins_premium_det (premium_rcv_code,assorted_code, rec_amount,premium_rcv_detail_code,remaining_amt, payrec, mode_code,coinsurance_code,class_cd,it_remarks) values('07May250079','050000824446','-4249',(select max(to_number(i.premium_rcv_detail_code))+1
from ins_premium_det i),'-4249','-4249','02', '11000003','00','Request by Mr. Omair Ali 09-May-2025');</v>
      </c>
    </row>
    <row r="142" spans="1:8" ht="105" x14ac:dyDescent="0.25">
      <c r="A142" s="2" t="s">
        <v>145</v>
      </c>
      <c r="B142" s="24" t="str">
        <f>VLOOKUP(A142,policy!B:C,2,0)</f>
        <v>050000824655</v>
      </c>
      <c r="C142" s="14">
        <v>-9594</v>
      </c>
      <c r="D142" s="25">
        <f t="shared" si="9"/>
        <v>-9594</v>
      </c>
      <c r="E142" s="23" t="s">
        <v>665</v>
      </c>
      <c r="F142" s="26" t="str">
        <f t="shared" si="8"/>
        <v>insert into ins_premium_det (premium_rcv_code,assorted_code, rec_amount,premium_rcv_detail_code,remaining_amt, payrec, mode_code,coinsurance_code,class_cd,it_remarks) values</v>
      </c>
      <c r="G142" s="27" t="str">
        <f t="shared" si="10"/>
        <v>('07May250079','050000824655','-9594',(select max(to_number(i.premium_rcv_detail_code))+1
from ins_premium_det i),'-9594','-9594','02', '11000003','00','Request by Mr. Omair Ali 09-May-2025');</v>
      </c>
      <c r="H142" s="28" t="str">
        <f t="shared" si="11"/>
        <v>insert into ins_premium_det (premium_rcv_code,assorted_code, rec_amount,premium_rcv_detail_code,remaining_amt, payrec, mode_code,coinsurance_code,class_cd,it_remarks) values('07May250079','050000824655','-9594',(select max(to_number(i.premium_rcv_detail_code))+1
from ins_premium_det i),'-9594','-9594','02', '11000003','00','Request by Mr. Omair Ali 09-May-2025');</v>
      </c>
    </row>
    <row r="143" spans="1:8" ht="105" x14ac:dyDescent="0.25">
      <c r="A143" s="2" t="s">
        <v>146</v>
      </c>
      <c r="B143" s="24" t="str">
        <f>VLOOKUP(A143,policy!B:C,2,0)</f>
        <v>050000824796</v>
      </c>
      <c r="C143" s="14">
        <v>-7476</v>
      </c>
      <c r="D143" s="25">
        <f t="shared" si="9"/>
        <v>-7476</v>
      </c>
      <c r="E143" s="23" t="s">
        <v>665</v>
      </c>
      <c r="F143" s="26" t="str">
        <f t="shared" si="8"/>
        <v>insert into ins_premium_det (premium_rcv_code,assorted_code, rec_amount,premium_rcv_detail_code,remaining_amt, payrec, mode_code,coinsurance_code,class_cd,it_remarks) values</v>
      </c>
      <c r="G143" s="27" t="str">
        <f t="shared" si="10"/>
        <v>('07May250079','050000824796','-7476',(select max(to_number(i.premium_rcv_detail_code))+1
from ins_premium_det i),'-7476','-7476','02', '11000003','00','Request by Mr. Omair Ali 09-May-2025');</v>
      </c>
      <c r="H143" s="28" t="str">
        <f t="shared" si="11"/>
        <v>insert into ins_premium_det (premium_rcv_code,assorted_code, rec_amount,premium_rcv_detail_code,remaining_amt, payrec, mode_code,coinsurance_code,class_cd,it_remarks) values('07May250079','050000824796','-7476',(select max(to_number(i.premium_rcv_detail_code))+1
from ins_premium_det i),'-7476','-7476','02', '11000003','00','Request by Mr. Omair Ali 09-May-2025');</v>
      </c>
    </row>
    <row r="144" spans="1:8" ht="105" x14ac:dyDescent="0.25">
      <c r="A144" s="2" t="s">
        <v>147</v>
      </c>
      <c r="B144" s="24" t="str">
        <f>VLOOKUP(A144,policy!B:C,2,0)</f>
        <v>050000824846</v>
      </c>
      <c r="C144" s="14">
        <v>-5689</v>
      </c>
      <c r="D144" s="25">
        <f t="shared" si="9"/>
        <v>-5689</v>
      </c>
      <c r="E144" s="23" t="s">
        <v>665</v>
      </c>
      <c r="F144" s="26" t="str">
        <f t="shared" si="8"/>
        <v>insert into ins_premium_det (premium_rcv_code,assorted_code, rec_amount,premium_rcv_detail_code,remaining_amt, payrec, mode_code,coinsurance_code,class_cd,it_remarks) values</v>
      </c>
      <c r="G144" s="27" t="str">
        <f t="shared" si="10"/>
        <v>('07May250079','050000824846','-5689',(select max(to_number(i.premium_rcv_detail_code))+1
from ins_premium_det i),'-5689','-5689','02', '11000003','00','Request by Mr. Omair Ali 09-May-2025');</v>
      </c>
      <c r="H144" s="28" t="str">
        <f t="shared" si="11"/>
        <v>insert into ins_premium_det (premium_rcv_code,assorted_code, rec_amount,premium_rcv_detail_code,remaining_amt, payrec, mode_code,coinsurance_code,class_cd,it_remarks) values('07May250079','050000824846','-5689',(select max(to_number(i.premium_rcv_detail_code))+1
from ins_premium_det i),'-5689','-5689','02', '11000003','00','Request by Mr. Omair Ali 09-May-2025');</v>
      </c>
    </row>
    <row r="145" spans="1:8" ht="105" x14ac:dyDescent="0.25">
      <c r="A145" s="2" t="s">
        <v>148</v>
      </c>
      <c r="B145" s="24" t="str">
        <f>VLOOKUP(A145,policy!B:C,2,0)</f>
        <v>050000824896</v>
      </c>
      <c r="C145" s="14">
        <v>-2818</v>
      </c>
      <c r="D145" s="25">
        <f t="shared" si="9"/>
        <v>-2818</v>
      </c>
      <c r="E145" s="23" t="s">
        <v>665</v>
      </c>
      <c r="F145" s="26" t="str">
        <f t="shared" si="8"/>
        <v>insert into ins_premium_det (premium_rcv_code,assorted_code, rec_amount,premium_rcv_detail_code,remaining_amt, payrec, mode_code,coinsurance_code,class_cd,it_remarks) values</v>
      </c>
      <c r="G145" s="27" t="str">
        <f t="shared" si="10"/>
        <v>('07May250079','050000824896','-2818',(select max(to_number(i.premium_rcv_detail_code))+1
from ins_premium_det i),'-2818','-2818','02', '11000003','00','Request by Mr. Omair Ali 09-May-2025');</v>
      </c>
      <c r="H145" s="28" t="str">
        <f t="shared" si="11"/>
        <v>insert into ins_premium_det (premium_rcv_code,assorted_code, rec_amount,premium_rcv_detail_code,remaining_amt, payrec, mode_code,coinsurance_code,class_cd,it_remarks) values('07May250079','050000824896','-2818',(select max(to_number(i.premium_rcv_detail_code))+1
from ins_premium_det i),'-2818','-2818','02', '11000003','00','Request by Mr. Omair Ali 09-May-2025');</v>
      </c>
    </row>
    <row r="146" spans="1:8" ht="105" x14ac:dyDescent="0.25">
      <c r="A146" s="2" t="s">
        <v>149</v>
      </c>
      <c r="B146" s="24" t="str">
        <f>VLOOKUP(A146,policy!B:C,2,0)</f>
        <v>050000824940</v>
      </c>
      <c r="C146" s="14">
        <v>-5787</v>
      </c>
      <c r="D146" s="25">
        <f t="shared" si="9"/>
        <v>-5787</v>
      </c>
      <c r="E146" s="23" t="s">
        <v>665</v>
      </c>
      <c r="F146" s="26" t="str">
        <f t="shared" si="8"/>
        <v>insert into ins_premium_det (premium_rcv_code,assorted_code, rec_amount,premium_rcv_detail_code,remaining_amt, payrec, mode_code,coinsurance_code,class_cd,it_remarks) values</v>
      </c>
      <c r="G146" s="27" t="str">
        <f t="shared" si="10"/>
        <v>('07May250079','050000824940','-5787',(select max(to_number(i.premium_rcv_detail_code))+1
from ins_premium_det i),'-5787','-5787','02', '11000003','00','Request by Mr. Omair Ali 09-May-2025');</v>
      </c>
      <c r="H146" s="28" t="str">
        <f t="shared" si="11"/>
        <v>insert into ins_premium_det (premium_rcv_code,assorted_code, rec_amount,premium_rcv_detail_code,remaining_amt, payrec, mode_code,coinsurance_code,class_cd,it_remarks) values('07May250079','050000824940','-5787',(select max(to_number(i.premium_rcv_detail_code))+1
from ins_premium_det i),'-5787','-5787','02', '11000003','00','Request by Mr. Omair Ali 09-May-2025');</v>
      </c>
    </row>
    <row r="147" spans="1:8" ht="105" x14ac:dyDescent="0.25">
      <c r="A147" s="2" t="s">
        <v>150</v>
      </c>
      <c r="B147" s="24" t="str">
        <f>VLOOKUP(A147,policy!B:C,2,0)</f>
        <v>050000824974</v>
      </c>
      <c r="C147" s="14">
        <v>-5060</v>
      </c>
      <c r="D147" s="25">
        <f t="shared" si="9"/>
        <v>-5060</v>
      </c>
      <c r="E147" s="23" t="s">
        <v>665</v>
      </c>
      <c r="F147" s="26" t="str">
        <f t="shared" si="8"/>
        <v>insert into ins_premium_det (premium_rcv_code,assorted_code, rec_amount,premium_rcv_detail_code,remaining_amt, payrec, mode_code,coinsurance_code,class_cd,it_remarks) values</v>
      </c>
      <c r="G147" s="27" t="str">
        <f t="shared" si="10"/>
        <v>('07May250079','050000824974','-5060',(select max(to_number(i.premium_rcv_detail_code))+1
from ins_premium_det i),'-5060','-5060','02', '11000003','00','Request by Mr. Omair Ali 09-May-2025');</v>
      </c>
      <c r="H147" s="28" t="str">
        <f t="shared" si="11"/>
        <v>insert into ins_premium_det (premium_rcv_code,assorted_code, rec_amount,premium_rcv_detail_code,remaining_amt, payrec, mode_code,coinsurance_code,class_cd,it_remarks) values('07May250079','050000824974','-5060',(select max(to_number(i.premium_rcv_detail_code))+1
from ins_premium_det i),'-5060','-5060','02', '11000003','00','Request by Mr. Omair Ali 09-May-2025');</v>
      </c>
    </row>
    <row r="148" spans="1:8" ht="105" x14ac:dyDescent="0.25">
      <c r="A148" s="2" t="s">
        <v>151</v>
      </c>
      <c r="B148" s="24" t="str">
        <f>VLOOKUP(A148,policy!B:C,2,0)</f>
        <v>050000825025</v>
      </c>
      <c r="C148" s="14">
        <v>2833</v>
      </c>
      <c r="D148" s="25">
        <f t="shared" si="9"/>
        <v>2833</v>
      </c>
      <c r="E148" s="23" t="s">
        <v>665</v>
      </c>
      <c r="F148" s="26" t="str">
        <f t="shared" si="8"/>
        <v>insert into ins_premium_det (premium_rcv_code,assorted_code, rec_amount,premium_rcv_detail_code,remaining_amt, payrec, mode_code,coinsurance_code,class_cd,it_remarks) values</v>
      </c>
      <c r="G148" s="27" t="str">
        <f t="shared" si="10"/>
        <v>('07May250079','050000825025','2833',(select max(to_number(i.premium_rcv_detail_code))+1
from ins_premium_det i),'2833','2833','02', '11000003','00','Request by Mr. Omair Ali 09-May-2025');</v>
      </c>
      <c r="H148" s="28" t="str">
        <f t="shared" si="11"/>
        <v>insert into ins_premium_det (premium_rcv_code,assorted_code, rec_amount,premium_rcv_detail_code,remaining_amt, payrec, mode_code,coinsurance_code,class_cd,it_remarks) values('07May250079','050000825025','2833',(select max(to_number(i.premium_rcv_detail_code))+1
from ins_premium_det i),'2833','2833','02', '11000003','00','Request by Mr. Omair Ali 09-May-2025');</v>
      </c>
    </row>
    <row r="149" spans="1:8" ht="105" x14ac:dyDescent="0.25">
      <c r="A149" s="2" t="s">
        <v>152</v>
      </c>
      <c r="B149" s="24" t="str">
        <f>VLOOKUP(A149,policy!B:C,2,0)</f>
        <v>050000825114</v>
      </c>
      <c r="C149" s="14">
        <v>-4704</v>
      </c>
      <c r="D149" s="25">
        <f t="shared" si="9"/>
        <v>-4704</v>
      </c>
      <c r="E149" s="23" t="s">
        <v>665</v>
      </c>
      <c r="F149" s="26" t="str">
        <f t="shared" si="8"/>
        <v>insert into ins_premium_det (premium_rcv_code,assorted_code, rec_amount,premium_rcv_detail_code,remaining_amt, payrec, mode_code,coinsurance_code,class_cd,it_remarks) values</v>
      </c>
      <c r="G149" s="27" t="str">
        <f t="shared" si="10"/>
        <v>('07May250079','050000825114','-4704',(select max(to_number(i.premium_rcv_detail_code))+1
from ins_premium_det i),'-4704','-4704','02', '11000003','00','Request by Mr. Omair Ali 09-May-2025');</v>
      </c>
      <c r="H149" s="28" t="str">
        <f t="shared" si="11"/>
        <v>insert into ins_premium_det (premium_rcv_code,assorted_code, rec_amount,premium_rcv_detail_code,remaining_amt, payrec, mode_code,coinsurance_code,class_cd,it_remarks) values('07May250079','050000825114','-4704',(select max(to_number(i.premium_rcv_detail_code))+1
from ins_premium_det i),'-4704','-4704','02', '11000003','00','Request by Mr. Omair Ali 09-May-2025');</v>
      </c>
    </row>
    <row r="150" spans="1:8" ht="105" x14ac:dyDescent="0.25">
      <c r="A150" s="2" t="s">
        <v>153</v>
      </c>
      <c r="B150" s="24" t="str">
        <f>VLOOKUP(A150,policy!B:C,2,0)</f>
        <v>050000825183</v>
      </c>
      <c r="C150" s="14">
        <v>-380</v>
      </c>
      <c r="D150" s="25">
        <f t="shared" si="9"/>
        <v>-380</v>
      </c>
      <c r="E150" s="23" t="s">
        <v>665</v>
      </c>
      <c r="F150" s="26" t="str">
        <f t="shared" si="8"/>
        <v>insert into ins_premium_det (premium_rcv_code,assorted_code, rec_amount,premium_rcv_detail_code,remaining_amt, payrec, mode_code,coinsurance_code,class_cd,it_remarks) values</v>
      </c>
      <c r="G150" s="27" t="str">
        <f t="shared" si="10"/>
        <v>('07May250079','050000825183','-380',(select max(to_number(i.premium_rcv_detail_code))+1
from ins_premium_det i),'-380','-380','02', '11000003','00','Request by Mr. Omair Ali 09-May-2025');</v>
      </c>
      <c r="H150" s="28" t="str">
        <f t="shared" si="11"/>
        <v>insert into ins_premium_det (premium_rcv_code,assorted_code, rec_amount,premium_rcv_detail_code,remaining_amt, payrec, mode_code,coinsurance_code,class_cd,it_remarks) values('07May250079','050000825183','-380',(select max(to_number(i.premium_rcv_detail_code))+1
from ins_premium_det i),'-380','-380','02', '11000003','00','Request by Mr. Omair Ali 09-May-2025');</v>
      </c>
    </row>
    <row r="151" spans="1:8" ht="105" x14ac:dyDescent="0.25">
      <c r="A151" s="2" t="s">
        <v>154</v>
      </c>
      <c r="B151" s="24" t="str">
        <f>VLOOKUP(A151,policy!B:C,2,0)</f>
        <v>050000825194</v>
      </c>
      <c r="C151" s="14">
        <v>-32247</v>
      </c>
      <c r="D151" s="25">
        <f t="shared" si="9"/>
        <v>-32247</v>
      </c>
      <c r="E151" s="23" t="s">
        <v>665</v>
      </c>
      <c r="F151" s="26" t="str">
        <f t="shared" si="8"/>
        <v>insert into ins_premium_det (premium_rcv_code,assorted_code, rec_amount,premium_rcv_detail_code,remaining_amt, payrec, mode_code,coinsurance_code,class_cd,it_remarks) values</v>
      </c>
      <c r="G151" s="27" t="str">
        <f t="shared" si="10"/>
        <v>('07May250079','050000825194','-32247',(select max(to_number(i.premium_rcv_detail_code))+1
from ins_premium_det i),'-32247','-32247','02', '11000003','00','Request by Mr. Omair Ali 09-May-2025');</v>
      </c>
      <c r="H151" s="28" t="str">
        <f t="shared" si="11"/>
        <v>insert into ins_premium_det (premium_rcv_code,assorted_code, rec_amount,premium_rcv_detail_code,remaining_amt, payrec, mode_code,coinsurance_code,class_cd,it_remarks) values('07May250079','050000825194','-32247',(select max(to_number(i.premium_rcv_detail_code))+1
from ins_premium_det i),'-32247','-32247','02', '11000003','00','Request by Mr. Omair Ali 09-May-2025');</v>
      </c>
    </row>
    <row r="152" spans="1:8" ht="105" x14ac:dyDescent="0.25">
      <c r="A152" s="2" t="s">
        <v>155</v>
      </c>
      <c r="B152" s="24" t="str">
        <f>VLOOKUP(A152,policy!B:C,2,0)</f>
        <v>050000825764</v>
      </c>
      <c r="C152" s="14">
        <v>210532</v>
      </c>
      <c r="D152" s="25">
        <f t="shared" si="9"/>
        <v>210532</v>
      </c>
      <c r="E152" s="23" t="s">
        <v>665</v>
      </c>
      <c r="F152" s="26" t="str">
        <f t="shared" si="8"/>
        <v>insert into ins_premium_det (premium_rcv_code,assorted_code, rec_amount,premium_rcv_detail_code,remaining_amt, payrec, mode_code,coinsurance_code,class_cd,it_remarks) values</v>
      </c>
      <c r="G152" s="27" t="str">
        <f t="shared" si="10"/>
        <v>('07May250079','050000825764','210532',(select max(to_number(i.premium_rcv_detail_code))+1
from ins_premium_det i),'210532','210532','02', '11000003','00','Request by Mr. Omair Ali 09-May-2025');</v>
      </c>
      <c r="H152" s="28" t="str">
        <f t="shared" si="11"/>
        <v>insert into ins_premium_det (premium_rcv_code,assorted_code, rec_amount,premium_rcv_detail_code,remaining_amt, payrec, mode_code,coinsurance_code,class_cd,it_remarks) values('07May250079','050000825764','210532',(select max(to_number(i.premium_rcv_detail_code))+1
from ins_premium_det i),'210532','210532','02', '11000003','00','Request by Mr. Omair Ali 09-May-2025');</v>
      </c>
    </row>
    <row r="153" spans="1:8" ht="105" x14ac:dyDescent="0.25">
      <c r="A153" s="2" t="s">
        <v>156</v>
      </c>
      <c r="B153" s="24" t="str">
        <f>VLOOKUP(A153,policy!B:C,2,0)</f>
        <v>050000825790</v>
      </c>
      <c r="C153" s="14">
        <v>-8023</v>
      </c>
      <c r="D153" s="25">
        <f t="shared" si="9"/>
        <v>-8023</v>
      </c>
      <c r="E153" s="23" t="s">
        <v>665</v>
      </c>
      <c r="F153" s="26" t="str">
        <f t="shared" si="8"/>
        <v>insert into ins_premium_det (premium_rcv_code,assorted_code, rec_amount,premium_rcv_detail_code,remaining_amt, payrec, mode_code,coinsurance_code,class_cd,it_remarks) values</v>
      </c>
      <c r="G153" s="27" t="str">
        <f t="shared" si="10"/>
        <v>('07May250079','050000825790','-8023',(select max(to_number(i.premium_rcv_detail_code))+1
from ins_premium_det i),'-8023','-8023','02', '11000003','00','Request by Mr. Omair Ali 09-May-2025');</v>
      </c>
      <c r="H153" s="28" t="str">
        <f t="shared" si="11"/>
        <v>insert into ins_premium_det (premium_rcv_code,assorted_code, rec_amount,premium_rcv_detail_code,remaining_amt, payrec, mode_code,coinsurance_code,class_cd,it_remarks) values('07May250079','050000825790','-8023',(select max(to_number(i.premium_rcv_detail_code))+1
from ins_premium_det i),'-8023','-8023','02', '11000003','00','Request by Mr. Omair Ali 09-May-2025');</v>
      </c>
    </row>
    <row r="154" spans="1:8" ht="105" x14ac:dyDescent="0.25">
      <c r="A154" s="2" t="s">
        <v>157</v>
      </c>
      <c r="B154" s="24" t="str">
        <f>VLOOKUP(A154,policy!B:C,2,0)</f>
        <v>050000826679</v>
      </c>
      <c r="C154" s="14">
        <v>-517</v>
      </c>
      <c r="D154" s="25">
        <f t="shared" si="9"/>
        <v>-517</v>
      </c>
      <c r="E154" s="23" t="s">
        <v>665</v>
      </c>
      <c r="F154" s="26" t="str">
        <f t="shared" si="8"/>
        <v>insert into ins_premium_det (premium_rcv_code,assorted_code, rec_amount,premium_rcv_detail_code,remaining_amt, payrec, mode_code,coinsurance_code,class_cd,it_remarks) values</v>
      </c>
      <c r="G154" s="27" t="str">
        <f t="shared" si="10"/>
        <v>('07May250079','050000826679','-517',(select max(to_number(i.premium_rcv_detail_code))+1
from ins_premium_det i),'-517','-517','02', '11000003','00','Request by Mr. Omair Ali 09-May-2025');</v>
      </c>
      <c r="H154" s="28" t="str">
        <f t="shared" si="11"/>
        <v>insert into ins_premium_det (premium_rcv_code,assorted_code, rec_amount,premium_rcv_detail_code,remaining_amt, payrec, mode_code,coinsurance_code,class_cd,it_remarks) values('07May250079','050000826679','-517',(select max(to_number(i.premium_rcv_detail_code))+1
from ins_premium_det i),'-517','-517','02', '11000003','00','Request by Mr. Omair Ali 09-May-2025');</v>
      </c>
    </row>
    <row r="155" spans="1:8" ht="105" x14ac:dyDescent="0.25">
      <c r="A155" s="2" t="s">
        <v>158</v>
      </c>
      <c r="B155" s="24" t="str">
        <f>VLOOKUP(A155,policy!B:C,2,0)</f>
        <v>050000826785</v>
      </c>
      <c r="C155" s="14">
        <v>-5349</v>
      </c>
      <c r="D155" s="25">
        <f t="shared" si="9"/>
        <v>-5349</v>
      </c>
      <c r="E155" s="23" t="s">
        <v>665</v>
      </c>
      <c r="F155" s="26" t="str">
        <f t="shared" si="8"/>
        <v>insert into ins_premium_det (premium_rcv_code,assorted_code, rec_amount,premium_rcv_detail_code,remaining_amt, payrec, mode_code,coinsurance_code,class_cd,it_remarks) values</v>
      </c>
      <c r="G155" s="27" t="str">
        <f t="shared" si="10"/>
        <v>('07May250079','050000826785','-5349',(select max(to_number(i.premium_rcv_detail_code))+1
from ins_premium_det i),'-5349','-5349','02', '11000003','00','Request by Mr. Omair Ali 09-May-2025');</v>
      </c>
      <c r="H155" s="28" t="str">
        <f t="shared" si="11"/>
        <v>insert into ins_premium_det (premium_rcv_code,assorted_code, rec_amount,premium_rcv_detail_code,remaining_amt, payrec, mode_code,coinsurance_code,class_cd,it_remarks) values('07May250079','050000826785','-5349',(select max(to_number(i.premium_rcv_detail_code))+1
from ins_premium_det i),'-5349','-5349','02', '11000003','00','Request by Mr. Omair Ali 09-May-2025');</v>
      </c>
    </row>
    <row r="156" spans="1:8" ht="105" x14ac:dyDescent="0.25">
      <c r="A156" s="2" t="s">
        <v>159</v>
      </c>
      <c r="B156" s="24" t="str">
        <f>VLOOKUP(A156,policy!B:C,2,0)</f>
        <v>050000827187</v>
      </c>
      <c r="C156" s="14">
        <v>-3927</v>
      </c>
      <c r="D156" s="25">
        <f t="shared" si="9"/>
        <v>-3927</v>
      </c>
      <c r="E156" s="23" t="s">
        <v>665</v>
      </c>
      <c r="F156" s="26" t="str">
        <f t="shared" si="8"/>
        <v>insert into ins_premium_det (premium_rcv_code,assorted_code, rec_amount,premium_rcv_detail_code,remaining_amt, payrec, mode_code,coinsurance_code,class_cd,it_remarks) values</v>
      </c>
      <c r="G156" s="27" t="str">
        <f t="shared" si="10"/>
        <v>('07May250079','050000827187','-3927',(select max(to_number(i.premium_rcv_detail_code))+1
from ins_premium_det i),'-3927','-3927','02', '11000003','00','Request by Mr. Omair Ali 09-May-2025');</v>
      </c>
      <c r="H156" s="28" t="str">
        <f t="shared" si="11"/>
        <v>insert into ins_premium_det (premium_rcv_code,assorted_code, rec_amount,premium_rcv_detail_code,remaining_amt, payrec, mode_code,coinsurance_code,class_cd,it_remarks) values('07May250079','050000827187','-3927',(select max(to_number(i.premium_rcv_detail_code))+1
from ins_premium_det i),'-3927','-3927','02', '11000003','00','Request by Mr. Omair Ali 09-May-2025');</v>
      </c>
    </row>
    <row r="157" spans="1:8" ht="105" x14ac:dyDescent="0.25">
      <c r="A157" s="2" t="s">
        <v>160</v>
      </c>
      <c r="B157" s="24" t="str">
        <f>VLOOKUP(A157,policy!B:C,2,0)</f>
        <v>050000830638</v>
      </c>
      <c r="C157" s="14">
        <v>-3615</v>
      </c>
      <c r="D157" s="25">
        <f t="shared" si="9"/>
        <v>-3615</v>
      </c>
      <c r="E157" s="23" t="s">
        <v>665</v>
      </c>
      <c r="F157" s="26" t="str">
        <f t="shared" si="8"/>
        <v>insert into ins_premium_det (premium_rcv_code,assorted_code, rec_amount,premium_rcv_detail_code,remaining_amt, payrec, mode_code,coinsurance_code,class_cd,it_remarks) values</v>
      </c>
      <c r="G157" s="27" t="str">
        <f t="shared" si="10"/>
        <v>('07May250079','050000830638','-3615',(select max(to_number(i.premium_rcv_detail_code))+1
from ins_premium_det i),'-3615','-3615','02', '11000003','00','Request by Mr. Omair Ali 09-May-2025');</v>
      </c>
      <c r="H157" s="28" t="str">
        <f t="shared" si="11"/>
        <v>insert into ins_premium_det (premium_rcv_code,assorted_code, rec_amount,premium_rcv_detail_code,remaining_amt, payrec, mode_code,coinsurance_code,class_cd,it_remarks) values('07May250079','050000830638','-3615',(select max(to_number(i.premium_rcv_detail_code))+1
from ins_premium_det i),'-3615','-3615','02', '11000003','00','Request by Mr. Omair Ali 09-May-2025');</v>
      </c>
    </row>
    <row r="158" spans="1:8" ht="105" x14ac:dyDescent="0.25">
      <c r="A158" s="2" t="s">
        <v>161</v>
      </c>
      <c r="B158" s="24" t="str">
        <f>VLOOKUP(A158,policy!B:C,2,0)</f>
        <v>050000830801</v>
      </c>
      <c r="C158" s="14">
        <v>-2882</v>
      </c>
      <c r="D158" s="25">
        <f t="shared" si="9"/>
        <v>-2882</v>
      </c>
      <c r="E158" s="23" t="s">
        <v>665</v>
      </c>
      <c r="F158" s="26" t="str">
        <f t="shared" si="8"/>
        <v>insert into ins_premium_det (premium_rcv_code,assorted_code, rec_amount,premium_rcv_detail_code,remaining_amt, payrec, mode_code,coinsurance_code,class_cd,it_remarks) values</v>
      </c>
      <c r="G158" s="27" t="str">
        <f t="shared" si="10"/>
        <v>('07May250079','050000830801','-2882',(select max(to_number(i.premium_rcv_detail_code))+1
from ins_premium_det i),'-2882','-2882','02', '11000003','00','Request by Mr. Omair Ali 09-May-2025');</v>
      </c>
      <c r="H158" s="28" t="str">
        <f t="shared" si="11"/>
        <v>insert into ins_premium_det (premium_rcv_code,assorted_code, rec_amount,premium_rcv_detail_code,remaining_amt, payrec, mode_code,coinsurance_code,class_cd,it_remarks) values('07May250079','050000830801','-2882',(select max(to_number(i.premium_rcv_detail_code))+1
from ins_premium_det i),'-2882','-2882','02', '11000003','00','Request by Mr. Omair Ali 09-May-2025');</v>
      </c>
    </row>
    <row r="159" spans="1:8" ht="105" x14ac:dyDescent="0.25">
      <c r="A159" s="2" t="s">
        <v>162</v>
      </c>
      <c r="B159" s="24" t="str">
        <f>VLOOKUP(A159,policy!B:C,2,0)</f>
        <v>050000831303</v>
      </c>
      <c r="C159" s="14">
        <v>-659</v>
      </c>
      <c r="D159" s="25">
        <f t="shared" si="9"/>
        <v>-659</v>
      </c>
      <c r="E159" s="23" t="s">
        <v>665</v>
      </c>
      <c r="F159" s="26" t="str">
        <f t="shared" si="8"/>
        <v>insert into ins_premium_det (premium_rcv_code,assorted_code, rec_amount,premium_rcv_detail_code,remaining_amt, payrec, mode_code,coinsurance_code,class_cd,it_remarks) values</v>
      </c>
      <c r="G159" s="27" t="str">
        <f t="shared" si="10"/>
        <v>('07May250079','050000831303','-659',(select max(to_number(i.premium_rcv_detail_code))+1
from ins_premium_det i),'-659','-659','02', '11000003','00','Request by Mr. Omair Ali 09-May-2025');</v>
      </c>
      <c r="H159" s="28" t="str">
        <f t="shared" si="11"/>
        <v>insert into ins_premium_det (premium_rcv_code,assorted_code, rec_amount,premium_rcv_detail_code,remaining_amt, payrec, mode_code,coinsurance_code,class_cd,it_remarks) values('07May250079','050000831303','-659',(select max(to_number(i.premium_rcv_detail_code))+1
from ins_premium_det i),'-659','-659','02', '11000003','00','Request by Mr. Omair Ali 09-May-2025');</v>
      </c>
    </row>
    <row r="160" spans="1:8" ht="105" x14ac:dyDescent="0.25">
      <c r="A160" s="2" t="s">
        <v>163</v>
      </c>
      <c r="B160" s="24" t="str">
        <f>VLOOKUP(A160,policy!B:C,2,0)</f>
        <v>050000832157</v>
      </c>
      <c r="C160" s="14">
        <v>8180</v>
      </c>
      <c r="D160" s="25">
        <f t="shared" si="9"/>
        <v>8180</v>
      </c>
      <c r="E160" s="23" t="s">
        <v>665</v>
      </c>
      <c r="F160" s="26" t="str">
        <f t="shared" si="8"/>
        <v>insert into ins_premium_det (premium_rcv_code,assorted_code, rec_amount,premium_rcv_detail_code,remaining_amt, payrec, mode_code,coinsurance_code,class_cd,it_remarks) values</v>
      </c>
      <c r="G160" s="27" t="str">
        <f t="shared" si="10"/>
        <v>('07May250079','050000832157','8180',(select max(to_number(i.premium_rcv_detail_code))+1
from ins_premium_det i),'8180','8180','02', '11000003','00','Request by Mr. Omair Ali 09-May-2025');</v>
      </c>
      <c r="H160" s="28" t="str">
        <f t="shared" si="11"/>
        <v>insert into ins_premium_det (premium_rcv_code,assorted_code, rec_amount,premium_rcv_detail_code,remaining_amt, payrec, mode_code,coinsurance_code,class_cd,it_remarks) values('07May250079','050000832157','8180',(select max(to_number(i.premium_rcv_detail_code))+1
from ins_premium_det i),'8180','8180','02', '11000003','00','Request by Mr. Omair Ali 09-May-2025');</v>
      </c>
    </row>
    <row r="161" spans="1:8" ht="105" x14ac:dyDescent="0.25">
      <c r="A161" s="2" t="s">
        <v>164</v>
      </c>
      <c r="B161" s="24" t="str">
        <f>VLOOKUP(A161,policy!B:C,2,0)</f>
        <v>050000832688</v>
      </c>
      <c r="C161" s="14">
        <v>-1672</v>
      </c>
      <c r="D161" s="25">
        <f t="shared" si="9"/>
        <v>-1672</v>
      </c>
      <c r="E161" s="23" t="s">
        <v>665</v>
      </c>
      <c r="F161" s="26" t="str">
        <f t="shared" si="8"/>
        <v>insert into ins_premium_det (premium_rcv_code,assorted_code, rec_amount,premium_rcv_detail_code,remaining_amt, payrec, mode_code,coinsurance_code,class_cd,it_remarks) values</v>
      </c>
      <c r="G161" s="27" t="str">
        <f t="shared" si="10"/>
        <v>('07May250079','050000832688','-1672',(select max(to_number(i.premium_rcv_detail_code))+1
from ins_premium_det i),'-1672','-1672','02', '11000003','00','Request by Mr. Omair Ali 09-May-2025');</v>
      </c>
      <c r="H161" s="28" t="str">
        <f t="shared" si="11"/>
        <v>insert into ins_premium_det (premium_rcv_code,assorted_code, rec_amount,premium_rcv_detail_code,remaining_amt, payrec, mode_code,coinsurance_code,class_cd,it_remarks) values('07May250079','050000832688','-1672',(select max(to_number(i.premium_rcv_detail_code))+1
from ins_premium_det i),'-1672','-1672','02', '11000003','00','Request by Mr. Omair Ali 09-May-2025');</v>
      </c>
    </row>
    <row r="162" spans="1:8" ht="105" x14ac:dyDescent="0.25">
      <c r="A162" s="2" t="s">
        <v>165</v>
      </c>
      <c r="B162" s="24" t="str">
        <f>VLOOKUP(A162,policy!B:C,2,0)</f>
        <v>050000832985</v>
      </c>
      <c r="C162" s="14">
        <v>-2085</v>
      </c>
      <c r="D162" s="25">
        <f t="shared" si="9"/>
        <v>-2085</v>
      </c>
      <c r="E162" s="23" t="s">
        <v>665</v>
      </c>
      <c r="F162" s="26" t="str">
        <f t="shared" si="8"/>
        <v>insert into ins_premium_det (premium_rcv_code,assorted_code, rec_amount,premium_rcv_detail_code,remaining_amt, payrec, mode_code,coinsurance_code,class_cd,it_remarks) values</v>
      </c>
      <c r="G162" s="27" t="str">
        <f t="shared" si="10"/>
        <v>('07May250079','050000832985','-2085',(select max(to_number(i.premium_rcv_detail_code))+1
from ins_premium_det i),'-2085','-2085','02', '11000003','00','Request by Mr. Omair Ali 09-May-2025');</v>
      </c>
      <c r="H162" s="28" t="str">
        <f t="shared" si="11"/>
        <v>insert into ins_premium_det (premium_rcv_code,assorted_code, rec_amount,premium_rcv_detail_code,remaining_amt, payrec, mode_code,coinsurance_code,class_cd,it_remarks) values('07May250079','050000832985','-2085',(select max(to_number(i.premium_rcv_detail_code))+1
from ins_premium_det i),'-2085','-2085','02', '11000003','00','Request by Mr. Omair Ali 09-May-2025');</v>
      </c>
    </row>
    <row r="163" spans="1:8" ht="105" x14ac:dyDescent="0.25">
      <c r="A163" s="2" t="s">
        <v>166</v>
      </c>
      <c r="B163" s="24" t="str">
        <f>VLOOKUP(A163,policy!B:C,2,0)</f>
        <v>050000833094</v>
      </c>
      <c r="C163" s="14">
        <v>-285</v>
      </c>
      <c r="D163" s="25">
        <f t="shared" si="9"/>
        <v>-285</v>
      </c>
      <c r="E163" s="23" t="s">
        <v>665</v>
      </c>
      <c r="F163" s="26" t="str">
        <f t="shared" si="8"/>
        <v>insert into ins_premium_det (premium_rcv_code,assorted_code, rec_amount,premium_rcv_detail_code,remaining_amt, payrec, mode_code,coinsurance_code,class_cd,it_remarks) values</v>
      </c>
      <c r="G163" s="27" t="str">
        <f t="shared" si="10"/>
        <v>('07May250079','050000833094','-285',(select max(to_number(i.premium_rcv_detail_code))+1
from ins_premium_det i),'-285','-285','02', '11000003','00','Request by Mr. Omair Ali 09-May-2025');</v>
      </c>
      <c r="H163" s="28" t="str">
        <f t="shared" si="11"/>
        <v>insert into ins_premium_det (premium_rcv_code,assorted_code, rec_amount,premium_rcv_detail_code,remaining_amt, payrec, mode_code,coinsurance_code,class_cd,it_remarks) values('07May250079','050000833094','-285',(select max(to_number(i.premium_rcv_detail_code))+1
from ins_premium_det i),'-285','-285','02', '11000003','00','Request by Mr. Omair Ali 09-May-2025');</v>
      </c>
    </row>
    <row r="164" spans="1:8" ht="105" x14ac:dyDescent="0.25">
      <c r="A164" s="2" t="s">
        <v>167</v>
      </c>
      <c r="B164" s="24" t="str">
        <f>VLOOKUP(A164,policy!B:C,2,0)</f>
        <v>050000834833</v>
      </c>
      <c r="C164" s="14">
        <v>-1445</v>
      </c>
      <c r="D164" s="25">
        <f t="shared" si="9"/>
        <v>-1445</v>
      </c>
      <c r="E164" s="23" t="s">
        <v>665</v>
      </c>
      <c r="F164" s="26" t="str">
        <f t="shared" si="8"/>
        <v>insert into ins_premium_det (premium_rcv_code,assorted_code, rec_amount,premium_rcv_detail_code,remaining_amt, payrec, mode_code,coinsurance_code,class_cd,it_remarks) values</v>
      </c>
      <c r="G164" s="27" t="str">
        <f t="shared" si="10"/>
        <v>('07May250079','050000834833','-1445',(select max(to_number(i.premium_rcv_detail_code))+1
from ins_premium_det i),'-1445','-1445','02', '11000003','00','Request by Mr. Omair Ali 09-May-2025');</v>
      </c>
      <c r="H164" s="28" t="str">
        <f t="shared" si="11"/>
        <v>insert into ins_premium_det (premium_rcv_code,assorted_code, rec_amount,premium_rcv_detail_code,remaining_amt, payrec, mode_code,coinsurance_code,class_cd,it_remarks) values('07May250079','050000834833','-1445',(select max(to_number(i.premium_rcv_detail_code))+1
from ins_premium_det i),'-1445','-1445','02', '11000003','00','Request by Mr. Omair Ali 09-May-2025');</v>
      </c>
    </row>
    <row r="165" spans="1:8" ht="105" x14ac:dyDescent="0.25">
      <c r="A165" s="2" t="s">
        <v>168</v>
      </c>
      <c r="B165" s="24" t="str">
        <f>VLOOKUP(A165,policy!B:C,2,0)</f>
        <v>050000835386</v>
      </c>
      <c r="C165" s="14">
        <v>-2950</v>
      </c>
      <c r="D165" s="25">
        <f t="shared" si="9"/>
        <v>-2950</v>
      </c>
      <c r="E165" s="23" t="s">
        <v>665</v>
      </c>
      <c r="F165" s="26" t="str">
        <f t="shared" si="8"/>
        <v>insert into ins_premium_det (premium_rcv_code,assorted_code, rec_amount,premium_rcv_detail_code,remaining_amt, payrec, mode_code,coinsurance_code,class_cd,it_remarks) values</v>
      </c>
      <c r="G165" s="27" t="str">
        <f t="shared" si="10"/>
        <v>('07May250079','050000835386','-2950',(select max(to_number(i.premium_rcv_detail_code))+1
from ins_premium_det i),'-2950','-2950','02', '11000003','00','Request by Mr. Omair Ali 09-May-2025');</v>
      </c>
      <c r="H165" s="28" t="str">
        <f t="shared" si="11"/>
        <v>insert into ins_premium_det (premium_rcv_code,assorted_code, rec_amount,premium_rcv_detail_code,remaining_amt, payrec, mode_code,coinsurance_code,class_cd,it_remarks) values('07May250079','050000835386','-2950',(select max(to_number(i.premium_rcv_detail_code))+1
from ins_premium_det i),'-2950','-2950','02', '11000003','00','Request by Mr. Omair Ali 09-May-2025');</v>
      </c>
    </row>
    <row r="166" spans="1:8" ht="105" x14ac:dyDescent="0.25">
      <c r="A166" s="2" t="s">
        <v>169</v>
      </c>
      <c r="B166" s="24" t="str">
        <f>VLOOKUP(A166,policy!B:C,2,0)</f>
        <v>050000835748</v>
      </c>
      <c r="C166" s="14">
        <v>-314</v>
      </c>
      <c r="D166" s="25">
        <f t="shared" si="9"/>
        <v>-314</v>
      </c>
      <c r="E166" s="23" t="s">
        <v>665</v>
      </c>
      <c r="F166" s="26" t="str">
        <f t="shared" si="8"/>
        <v>insert into ins_premium_det (premium_rcv_code,assorted_code, rec_amount,premium_rcv_detail_code,remaining_amt, payrec, mode_code,coinsurance_code,class_cd,it_remarks) values</v>
      </c>
      <c r="G166" s="27" t="str">
        <f t="shared" si="10"/>
        <v>('07May250079','050000835748','-314',(select max(to_number(i.premium_rcv_detail_code))+1
from ins_premium_det i),'-314','-314','02', '11000003','00','Request by Mr. Omair Ali 09-May-2025');</v>
      </c>
      <c r="H166" s="28" t="str">
        <f t="shared" si="11"/>
        <v>insert into ins_premium_det (premium_rcv_code,assorted_code, rec_amount,premium_rcv_detail_code,remaining_amt, payrec, mode_code,coinsurance_code,class_cd,it_remarks) values('07May250079','050000835748','-314',(select max(to_number(i.premium_rcv_detail_code))+1
from ins_premium_det i),'-314','-314','02', '11000003','00','Request by Mr. Omair Ali 09-May-2025');</v>
      </c>
    </row>
    <row r="167" spans="1:8" ht="105" x14ac:dyDescent="0.25">
      <c r="A167" s="2" t="s">
        <v>170</v>
      </c>
      <c r="B167" s="24" t="str">
        <f>VLOOKUP(A167,policy!B:C,2,0)</f>
        <v>050000835803</v>
      </c>
      <c r="C167" s="14">
        <v>24805</v>
      </c>
      <c r="D167" s="25">
        <f t="shared" si="9"/>
        <v>24805</v>
      </c>
      <c r="E167" s="23" t="s">
        <v>665</v>
      </c>
      <c r="F167" s="26" t="str">
        <f t="shared" si="8"/>
        <v>insert into ins_premium_det (premium_rcv_code,assorted_code, rec_amount,premium_rcv_detail_code,remaining_amt, payrec, mode_code,coinsurance_code,class_cd,it_remarks) values</v>
      </c>
      <c r="G167" s="27" t="str">
        <f t="shared" si="10"/>
        <v>('07May250079','050000835803','24805',(select max(to_number(i.premium_rcv_detail_code))+1
from ins_premium_det i),'24805','24805','02', '11000003','00','Request by Mr. Omair Ali 09-May-2025');</v>
      </c>
      <c r="H167" s="28" t="str">
        <f t="shared" si="11"/>
        <v>insert into ins_premium_det (premium_rcv_code,assorted_code, rec_amount,premium_rcv_detail_code,remaining_amt, payrec, mode_code,coinsurance_code,class_cd,it_remarks) values('07May250079','050000835803','24805',(select max(to_number(i.premium_rcv_detail_code))+1
from ins_premium_det i),'24805','24805','02', '11000003','00','Request by Mr. Omair Ali 09-May-2025');</v>
      </c>
    </row>
    <row r="168" spans="1:8" ht="105" x14ac:dyDescent="0.25">
      <c r="A168" s="2" t="s">
        <v>171</v>
      </c>
      <c r="B168" s="24" t="str">
        <f>VLOOKUP(A168,policy!B:C,2,0)</f>
        <v>050000835968</v>
      </c>
      <c r="C168" s="14">
        <v>-126</v>
      </c>
      <c r="D168" s="25">
        <f t="shared" si="9"/>
        <v>-126</v>
      </c>
      <c r="E168" s="23" t="s">
        <v>665</v>
      </c>
      <c r="F168" s="26" t="str">
        <f t="shared" si="8"/>
        <v>insert into ins_premium_det (premium_rcv_code,assorted_code, rec_amount,premium_rcv_detail_code,remaining_amt, payrec, mode_code,coinsurance_code,class_cd,it_remarks) values</v>
      </c>
      <c r="G168" s="27" t="str">
        <f t="shared" si="10"/>
        <v>('07May250079','050000835968','-126',(select max(to_number(i.premium_rcv_detail_code))+1
from ins_premium_det i),'-126','-126','02', '11000003','00','Request by Mr. Omair Ali 09-May-2025');</v>
      </c>
      <c r="H168" s="28" t="str">
        <f t="shared" si="11"/>
        <v>insert into ins_premium_det (premium_rcv_code,assorted_code, rec_amount,premium_rcv_detail_code,remaining_amt, payrec, mode_code,coinsurance_code,class_cd,it_remarks) values('07May250079','050000835968','-126',(select max(to_number(i.premium_rcv_detail_code))+1
from ins_premium_det i),'-126','-126','02', '11000003','00','Request by Mr. Omair Ali 09-May-2025');</v>
      </c>
    </row>
    <row r="169" spans="1:8" ht="105" x14ac:dyDescent="0.25">
      <c r="A169" s="2" t="s">
        <v>172</v>
      </c>
      <c r="B169" s="24" t="str">
        <f>VLOOKUP(A169,policy!B:C,2,0)</f>
        <v>050000836058</v>
      </c>
      <c r="C169" s="14">
        <v>-8348</v>
      </c>
      <c r="D169" s="25">
        <f t="shared" si="9"/>
        <v>-8348</v>
      </c>
      <c r="E169" s="23" t="s">
        <v>665</v>
      </c>
      <c r="F169" s="26" t="str">
        <f t="shared" si="8"/>
        <v>insert into ins_premium_det (premium_rcv_code,assorted_code, rec_amount,premium_rcv_detail_code,remaining_amt, payrec, mode_code,coinsurance_code,class_cd,it_remarks) values</v>
      </c>
      <c r="G169" s="27" t="str">
        <f t="shared" si="10"/>
        <v>('07May250079','050000836058','-8348',(select max(to_number(i.premium_rcv_detail_code))+1
from ins_premium_det i),'-8348','-8348','02', '11000003','00','Request by Mr. Omair Ali 09-May-2025');</v>
      </c>
      <c r="H169" s="28" t="str">
        <f t="shared" si="11"/>
        <v>insert into ins_premium_det (premium_rcv_code,assorted_code, rec_amount,premium_rcv_detail_code,remaining_amt, payrec, mode_code,coinsurance_code,class_cd,it_remarks) values('07May250079','050000836058','-8348',(select max(to_number(i.premium_rcv_detail_code))+1
from ins_premium_det i),'-8348','-8348','02', '11000003','00','Request by Mr. Omair Ali 09-May-2025');</v>
      </c>
    </row>
    <row r="170" spans="1:8" ht="105" x14ac:dyDescent="0.25">
      <c r="A170" s="2" t="s">
        <v>173</v>
      </c>
      <c r="B170" s="24" t="str">
        <f>VLOOKUP(A170,policy!B:C,2,0)</f>
        <v>050000836093</v>
      </c>
      <c r="C170" s="14">
        <v>-830</v>
      </c>
      <c r="D170" s="25">
        <f t="shared" si="9"/>
        <v>-830</v>
      </c>
      <c r="E170" s="23" t="s">
        <v>665</v>
      </c>
      <c r="F170" s="26" t="str">
        <f t="shared" si="8"/>
        <v>insert into ins_premium_det (premium_rcv_code,assorted_code, rec_amount,premium_rcv_detail_code,remaining_amt, payrec, mode_code,coinsurance_code,class_cd,it_remarks) values</v>
      </c>
      <c r="G170" s="27" t="str">
        <f t="shared" si="10"/>
        <v>('07May250079','050000836093','-830',(select max(to_number(i.premium_rcv_detail_code))+1
from ins_premium_det i),'-830','-830','02', '11000003','00','Request by Mr. Omair Ali 09-May-2025');</v>
      </c>
      <c r="H170" s="28" t="str">
        <f t="shared" si="11"/>
        <v>insert into ins_premium_det (premium_rcv_code,assorted_code, rec_amount,premium_rcv_detail_code,remaining_amt, payrec, mode_code,coinsurance_code,class_cd,it_remarks) values('07May250079','050000836093','-830',(select max(to_number(i.premium_rcv_detail_code))+1
from ins_premium_det i),'-830','-830','02', '11000003','00','Request by Mr. Omair Ali 09-May-2025');</v>
      </c>
    </row>
    <row r="171" spans="1:8" ht="105" x14ac:dyDescent="0.25">
      <c r="A171" s="2" t="s">
        <v>174</v>
      </c>
      <c r="B171" s="24" t="str">
        <f>VLOOKUP(A171,policy!B:C,2,0)</f>
        <v>050000836451</v>
      </c>
      <c r="C171" s="14">
        <v>-2085</v>
      </c>
      <c r="D171" s="25">
        <f t="shared" si="9"/>
        <v>-2085</v>
      </c>
      <c r="E171" s="23" t="s">
        <v>665</v>
      </c>
      <c r="F171" s="26" t="str">
        <f t="shared" si="8"/>
        <v>insert into ins_premium_det (premium_rcv_code,assorted_code, rec_amount,premium_rcv_detail_code,remaining_amt, payrec, mode_code,coinsurance_code,class_cd,it_remarks) values</v>
      </c>
      <c r="G171" s="27" t="str">
        <f t="shared" si="10"/>
        <v>('07May250079','050000836451','-2085',(select max(to_number(i.premium_rcv_detail_code))+1
from ins_premium_det i),'-2085','-2085','02', '11000003','00','Request by Mr. Omair Ali 09-May-2025');</v>
      </c>
      <c r="H171" s="28" t="str">
        <f t="shared" si="11"/>
        <v>insert into ins_premium_det (premium_rcv_code,assorted_code, rec_amount,premium_rcv_detail_code,remaining_amt, payrec, mode_code,coinsurance_code,class_cd,it_remarks) values('07May250079','050000836451','-2085',(select max(to_number(i.premium_rcv_detail_code))+1
from ins_premium_det i),'-2085','-2085','02', '11000003','00','Request by Mr. Omair Ali 09-May-2025');</v>
      </c>
    </row>
    <row r="172" spans="1:8" ht="105" x14ac:dyDescent="0.25">
      <c r="A172" s="2" t="s">
        <v>175</v>
      </c>
      <c r="B172" s="24" t="str">
        <f>VLOOKUP(A172,policy!B:C,2,0)</f>
        <v>050000836647</v>
      </c>
      <c r="C172" s="14">
        <v>-198</v>
      </c>
      <c r="D172" s="25">
        <f t="shared" si="9"/>
        <v>-198</v>
      </c>
      <c r="E172" s="23" t="s">
        <v>665</v>
      </c>
      <c r="F172" s="26" t="str">
        <f t="shared" si="8"/>
        <v>insert into ins_premium_det (premium_rcv_code,assorted_code, rec_amount,premium_rcv_detail_code,remaining_amt, payrec, mode_code,coinsurance_code,class_cd,it_remarks) values</v>
      </c>
      <c r="G172" s="27" t="str">
        <f t="shared" si="10"/>
        <v>('07May250079','050000836647','-198',(select max(to_number(i.premium_rcv_detail_code))+1
from ins_premium_det i),'-198','-198','02', '11000003','00','Request by Mr. Omair Ali 09-May-2025');</v>
      </c>
      <c r="H172" s="28" t="str">
        <f t="shared" si="11"/>
        <v>insert into ins_premium_det (premium_rcv_code,assorted_code, rec_amount,premium_rcv_detail_code,remaining_amt, payrec, mode_code,coinsurance_code,class_cd,it_remarks) values('07May250079','050000836647','-198',(select max(to_number(i.premium_rcv_detail_code))+1
from ins_premium_det i),'-198','-198','02', '11000003','00','Request by Mr. Omair Ali 09-May-2025');</v>
      </c>
    </row>
    <row r="173" spans="1:8" ht="105" x14ac:dyDescent="0.25">
      <c r="A173" s="2" t="s">
        <v>176</v>
      </c>
      <c r="B173" s="24" t="str">
        <f>VLOOKUP(A173,policy!B:C,2,0)</f>
        <v>050000836661</v>
      </c>
      <c r="C173" s="14">
        <v>76650</v>
      </c>
      <c r="D173" s="25">
        <f t="shared" si="9"/>
        <v>76650</v>
      </c>
      <c r="E173" s="23" t="s">
        <v>665</v>
      </c>
      <c r="F173" s="26" t="str">
        <f t="shared" si="8"/>
        <v>insert into ins_premium_det (premium_rcv_code,assorted_code, rec_amount,premium_rcv_detail_code,remaining_amt, payrec, mode_code,coinsurance_code,class_cd,it_remarks) values</v>
      </c>
      <c r="G173" s="27" t="str">
        <f t="shared" si="10"/>
        <v>('07May250079','050000836661','76650',(select max(to_number(i.premium_rcv_detail_code))+1
from ins_premium_det i),'76650','76650','02', '11000003','00','Request by Mr. Omair Ali 09-May-2025');</v>
      </c>
      <c r="H173" s="28" t="str">
        <f t="shared" si="11"/>
        <v>insert into ins_premium_det (premium_rcv_code,assorted_code, rec_amount,premium_rcv_detail_code,remaining_amt, payrec, mode_code,coinsurance_code,class_cd,it_remarks) values('07May250079','050000836661','76650',(select max(to_number(i.premium_rcv_detail_code))+1
from ins_premium_det i),'76650','76650','02', '11000003','00','Request by Mr. Omair Ali 09-May-2025');</v>
      </c>
    </row>
    <row r="174" spans="1:8" ht="105" x14ac:dyDescent="0.25">
      <c r="A174" s="2" t="s">
        <v>177</v>
      </c>
      <c r="B174" s="24" t="str">
        <f>VLOOKUP(A174,policy!B:C,2,0)</f>
        <v>050000836853</v>
      </c>
      <c r="C174" s="14">
        <v>387</v>
      </c>
      <c r="D174" s="25">
        <f t="shared" si="9"/>
        <v>387</v>
      </c>
      <c r="E174" s="23" t="s">
        <v>665</v>
      </c>
      <c r="F174" s="26" t="str">
        <f t="shared" si="8"/>
        <v>insert into ins_premium_det (premium_rcv_code,assorted_code, rec_amount,premium_rcv_detail_code,remaining_amt, payrec, mode_code,coinsurance_code,class_cd,it_remarks) values</v>
      </c>
      <c r="G174" s="27" t="str">
        <f t="shared" si="10"/>
        <v>('07May250079','050000836853','387',(select max(to_number(i.premium_rcv_detail_code))+1
from ins_premium_det i),'387','387','02', '11000003','00','Request by Mr. Omair Ali 09-May-2025');</v>
      </c>
      <c r="H174" s="28" t="str">
        <f t="shared" si="11"/>
        <v>insert into ins_premium_det (premium_rcv_code,assorted_code, rec_amount,premium_rcv_detail_code,remaining_amt, payrec, mode_code,coinsurance_code,class_cd,it_remarks) values('07May250079','050000836853','387',(select max(to_number(i.premium_rcv_detail_code))+1
from ins_premium_det i),'387','387','02', '11000003','00','Request by Mr. Omair Ali 09-May-2025');</v>
      </c>
    </row>
    <row r="175" spans="1:8" ht="105" x14ac:dyDescent="0.25">
      <c r="A175" s="2" t="s">
        <v>178</v>
      </c>
      <c r="B175" s="24" t="str">
        <f>VLOOKUP(A175,policy!B:C,2,0)</f>
        <v>050000836905</v>
      </c>
      <c r="C175" s="14">
        <v>-242</v>
      </c>
      <c r="D175" s="25">
        <f t="shared" si="9"/>
        <v>-242</v>
      </c>
      <c r="E175" s="23" t="s">
        <v>665</v>
      </c>
      <c r="F175" s="26" t="str">
        <f t="shared" si="8"/>
        <v>insert into ins_premium_det (premium_rcv_code,assorted_code, rec_amount,premium_rcv_detail_code,remaining_amt, payrec, mode_code,coinsurance_code,class_cd,it_remarks) values</v>
      </c>
      <c r="G175" s="27" t="str">
        <f t="shared" si="10"/>
        <v>('07May250079','050000836905','-242',(select max(to_number(i.premium_rcv_detail_code))+1
from ins_premium_det i),'-242','-242','02', '11000003','00','Request by Mr. Omair Ali 09-May-2025');</v>
      </c>
      <c r="H175" s="28" t="str">
        <f t="shared" si="11"/>
        <v>insert into ins_premium_det (premium_rcv_code,assorted_code, rec_amount,premium_rcv_detail_code,remaining_amt, payrec, mode_code,coinsurance_code,class_cd,it_remarks) values('07May250079','050000836905','-242',(select max(to_number(i.premium_rcv_detail_code))+1
from ins_premium_det i),'-242','-242','02', '11000003','00','Request by Mr. Omair Ali 09-May-2025');</v>
      </c>
    </row>
    <row r="176" spans="1:8" ht="105" x14ac:dyDescent="0.25">
      <c r="A176" s="2" t="s">
        <v>179</v>
      </c>
      <c r="B176" s="24" t="str">
        <f>VLOOKUP(A176,policy!B:C,2,0)</f>
        <v>050000837402</v>
      </c>
      <c r="C176" s="14">
        <v>-406</v>
      </c>
      <c r="D176" s="25">
        <f t="shared" si="9"/>
        <v>-406</v>
      </c>
      <c r="E176" s="23" t="s">
        <v>665</v>
      </c>
      <c r="F176" s="26" t="str">
        <f t="shared" si="8"/>
        <v>insert into ins_premium_det (premium_rcv_code,assorted_code, rec_amount,premium_rcv_detail_code,remaining_amt, payrec, mode_code,coinsurance_code,class_cd,it_remarks) values</v>
      </c>
      <c r="G176" s="27" t="str">
        <f t="shared" si="10"/>
        <v>('07May250079','050000837402','-406',(select max(to_number(i.premium_rcv_detail_code))+1
from ins_premium_det i),'-406','-406','02', '11000003','00','Request by Mr. Omair Ali 09-May-2025');</v>
      </c>
      <c r="H176" s="28" t="str">
        <f t="shared" si="11"/>
        <v>insert into ins_premium_det (premium_rcv_code,assorted_code, rec_amount,premium_rcv_detail_code,remaining_amt, payrec, mode_code,coinsurance_code,class_cd,it_remarks) values('07May250079','050000837402','-406',(select max(to_number(i.premium_rcv_detail_code))+1
from ins_premium_det i),'-406','-406','02', '11000003','00','Request by Mr. Omair Ali 09-May-2025');</v>
      </c>
    </row>
    <row r="177" spans="1:8" ht="105" x14ac:dyDescent="0.25">
      <c r="A177" s="5" t="s">
        <v>181</v>
      </c>
      <c r="B177" s="24" t="str">
        <f>VLOOKUP(A177,policy!B:C,2,0)</f>
        <v>050000710512</v>
      </c>
      <c r="C177" s="14">
        <v>-110356</v>
      </c>
      <c r="D177" s="25">
        <f t="shared" si="9"/>
        <v>-110356</v>
      </c>
      <c r="E177" s="23" t="s">
        <v>665</v>
      </c>
      <c r="F177" s="26" t="str">
        <f t="shared" si="8"/>
        <v>insert into ins_premium_det (premium_rcv_code,assorted_code, rec_amount,premium_rcv_detail_code,remaining_amt, payrec, mode_code,coinsurance_code,class_cd,it_remarks) values</v>
      </c>
      <c r="G177" s="27" t="str">
        <f t="shared" si="10"/>
        <v>('07May250079','050000710512','-110356',(select max(to_number(i.premium_rcv_detail_code))+1
from ins_premium_det i),'-110356','-110356','02', '11000003','00','Request by Mr. Omair Ali 09-May-2025');</v>
      </c>
      <c r="H177" s="28" t="str">
        <f t="shared" si="11"/>
        <v>insert into ins_premium_det (premium_rcv_code,assorted_code, rec_amount,premium_rcv_detail_code,remaining_amt, payrec, mode_code,coinsurance_code,class_cd,it_remarks) values('07May250079','050000710512','-110356',(select max(to_number(i.premium_rcv_detail_code))+1
from ins_premium_det i),'-110356','-110356','02', '11000003','00','Request by Mr. Omair Ali 09-May-2025');</v>
      </c>
    </row>
    <row r="178" spans="1:8" ht="105" x14ac:dyDescent="0.25">
      <c r="A178" s="5" t="s">
        <v>182</v>
      </c>
      <c r="B178" s="24" t="str">
        <f>VLOOKUP(A178,policy!B:C,2,0)</f>
        <v>050000711007</v>
      </c>
      <c r="C178" s="14">
        <v>741377</v>
      </c>
      <c r="D178" s="25">
        <f t="shared" si="9"/>
        <v>741377</v>
      </c>
      <c r="E178" s="23" t="s">
        <v>665</v>
      </c>
      <c r="F178" s="26" t="str">
        <f t="shared" si="8"/>
        <v>insert into ins_premium_det (premium_rcv_code,assorted_code, rec_amount,premium_rcv_detail_code,remaining_amt, payrec, mode_code,coinsurance_code,class_cd,it_remarks) values</v>
      </c>
      <c r="G178" s="27" t="str">
        <f t="shared" si="10"/>
        <v>('07May250079','050000711007','741377',(select max(to_number(i.premium_rcv_detail_code))+1
from ins_premium_det i),'741377','741377','02', '11000003','00','Request by Mr. Omair Ali 09-May-2025');</v>
      </c>
      <c r="H178" s="28" t="str">
        <f t="shared" si="11"/>
        <v>insert into ins_premium_det (premium_rcv_code,assorted_code, rec_amount,premium_rcv_detail_code,remaining_amt, payrec, mode_code,coinsurance_code,class_cd,it_remarks) values('07May250079','050000711007','741377',(select max(to_number(i.premium_rcv_detail_code))+1
from ins_premium_det i),'741377','741377','02', '11000003','00','Request by Mr. Omair Ali 09-May-2025');</v>
      </c>
    </row>
    <row r="179" spans="1:8" ht="105" x14ac:dyDescent="0.25">
      <c r="A179" s="5" t="s">
        <v>183</v>
      </c>
      <c r="B179" s="24" t="str">
        <f>VLOOKUP(A179,policy!B:C,2,0)</f>
        <v>050000712450</v>
      </c>
      <c r="C179" s="14">
        <v>-59774</v>
      </c>
      <c r="D179" s="25">
        <f t="shared" si="9"/>
        <v>-59774</v>
      </c>
      <c r="E179" s="23" t="s">
        <v>665</v>
      </c>
      <c r="F179" s="26" t="str">
        <f t="shared" si="8"/>
        <v>insert into ins_premium_det (premium_rcv_code,assorted_code, rec_amount,premium_rcv_detail_code,remaining_amt, payrec, mode_code,coinsurance_code,class_cd,it_remarks) values</v>
      </c>
      <c r="G179" s="27" t="str">
        <f t="shared" si="10"/>
        <v>('07May250079','050000712450','-59774',(select max(to_number(i.premium_rcv_detail_code))+1
from ins_premium_det i),'-59774','-59774','02', '11000003','00','Request by Mr. Omair Ali 09-May-2025');</v>
      </c>
      <c r="H179" s="28" t="str">
        <f t="shared" si="11"/>
        <v>insert into ins_premium_det (premium_rcv_code,assorted_code, rec_amount,premium_rcv_detail_code,remaining_amt, payrec, mode_code,coinsurance_code,class_cd,it_remarks) values('07May250079','050000712450','-59774',(select max(to_number(i.premium_rcv_detail_code))+1
from ins_premium_det i),'-59774','-59774','02', '11000003','00','Request by Mr. Omair Ali 09-May-2025');</v>
      </c>
    </row>
    <row r="180" spans="1:8" ht="105" x14ac:dyDescent="0.25">
      <c r="A180" s="5" t="s">
        <v>184</v>
      </c>
      <c r="B180" s="24" t="str">
        <f>VLOOKUP(A180,policy!B:C,2,0)</f>
        <v>050000714894</v>
      </c>
      <c r="C180" s="14">
        <v>-78622</v>
      </c>
      <c r="D180" s="25">
        <f t="shared" si="9"/>
        <v>-78622</v>
      </c>
      <c r="E180" s="23" t="s">
        <v>665</v>
      </c>
      <c r="F180" s="26" t="str">
        <f t="shared" si="8"/>
        <v>insert into ins_premium_det (premium_rcv_code,assorted_code, rec_amount,premium_rcv_detail_code,remaining_amt, payrec, mode_code,coinsurance_code,class_cd,it_remarks) values</v>
      </c>
      <c r="G180" s="27" t="str">
        <f t="shared" si="10"/>
        <v>('07May250079','050000714894','-78622',(select max(to_number(i.premium_rcv_detail_code))+1
from ins_premium_det i),'-78622','-78622','02', '11000003','00','Request by Mr. Omair Ali 09-May-2025');</v>
      </c>
      <c r="H180" s="28" t="str">
        <f t="shared" si="11"/>
        <v>insert into ins_premium_det (premium_rcv_code,assorted_code, rec_amount,premium_rcv_detail_code,remaining_amt, payrec, mode_code,coinsurance_code,class_cd,it_remarks) values('07May250079','050000714894','-78622',(select max(to_number(i.premium_rcv_detail_code))+1
from ins_premium_det i),'-78622','-78622','02', '11000003','00','Request by Mr. Omair Ali 09-May-2025');</v>
      </c>
    </row>
    <row r="181" spans="1:8" ht="105" x14ac:dyDescent="0.25">
      <c r="A181" s="5" t="s">
        <v>185</v>
      </c>
      <c r="B181" s="24" t="str">
        <f>VLOOKUP(A181,policy!B:C,2,0)</f>
        <v>050000716623</v>
      </c>
      <c r="C181" s="14">
        <v>-11896</v>
      </c>
      <c r="D181" s="25">
        <f t="shared" si="9"/>
        <v>-11896</v>
      </c>
      <c r="E181" s="23" t="s">
        <v>665</v>
      </c>
      <c r="F181" s="26" t="str">
        <f t="shared" si="8"/>
        <v>insert into ins_premium_det (premium_rcv_code,assorted_code, rec_amount,premium_rcv_detail_code,remaining_amt, payrec, mode_code,coinsurance_code,class_cd,it_remarks) values</v>
      </c>
      <c r="G181" s="27" t="str">
        <f t="shared" si="10"/>
        <v>('07May250079','050000716623','-11896',(select max(to_number(i.premium_rcv_detail_code))+1
from ins_premium_det i),'-11896','-11896','02', '11000003','00','Request by Mr. Omair Ali 09-May-2025');</v>
      </c>
      <c r="H181" s="28" t="str">
        <f t="shared" si="11"/>
        <v>insert into ins_premium_det (premium_rcv_code,assorted_code, rec_amount,premium_rcv_detail_code,remaining_amt, payrec, mode_code,coinsurance_code,class_cd,it_remarks) values('07May250079','050000716623','-11896',(select max(to_number(i.premium_rcv_detail_code))+1
from ins_premium_det i),'-11896','-11896','02', '11000003','00','Request by Mr. Omair Ali 09-May-2025');</v>
      </c>
    </row>
    <row r="182" spans="1:8" ht="105" x14ac:dyDescent="0.25">
      <c r="A182" s="5" t="s">
        <v>186</v>
      </c>
      <c r="B182" s="24" t="str">
        <f>VLOOKUP(A182,policy!B:C,2,0)</f>
        <v>050000718025</v>
      </c>
      <c r="C182" s="14">
        <v>-70546</v>
      </c>
      <c r="D182" s="25">
        <f t="shared" si="9"/>
        <v>-70546</v>
      </c>
      <c r="E182" s="23" t="s">
        <v>665</v>
      </c>
      <c r="F182" s="26" t="str">
        <f t="shared" si="8"/>
        <v>insert into ins_premium_det (premium_rcv_code,assorted_code, rec_amount,premium_rcv_detail_code,remaining_amt, payrec, mode_code,coinsurance_code,class_cd,it_remarks) values</v>
      </c>
      <c r="G182" s="27" t="str">
        <f t="shared" si="10"/>
        <v>('07May250079','050000718025','-70546',(select max(to_number(i.premium_rcv_detail_code))+1
from ins_premium_det i),'-70546','-70546','02', '11000003','00','Request by Mr. Omair Ali 09-May-2025');</v>
      </c>
      <c r="H182" s="28" t="str">
        <f t="shared" si="11"/>
        <v>insert into ins_premium_det (premium_rcv_code,assorted_code, rec_amount,premium_rcv_detail_code,remaining_amt, payrec, mode_code,coinsurance_code,class_cd,it_remarks) values('07May250079','050000718025','-70546',(select max(to_number(i.premium_rcv_detail_code))+1
from ins_premium_det i),'-70546','-70546','02', '11000003','00','Request by Mr. Omair Ali 09-May-2025');</v>
      </c>
    </row>
    <row r="183" spans="1:8" ht="105" x14ac:dyDescent="0.25">
      <c r="A183" s="5" t="s">
        <v>187</v>
      </c>
      <c r="B183" s="24" t="str">
        <f>VLOOKUP(A183,policy!B:C,2,0)</f>
        <v>050000718336</v>
      </c>
      <c r="C183" s="14">
        <v>-58922</v>
      </c>
      <c r="D183" s="25">
        <f t="shared" si="9"/>
        <v>-58922</v>
      </c>
      <c r="E183" s="23" t="s">
        <v>665</v>
      </c>
      <c r="F183" s="26" t="str">
        <f t="shared" si="8"/>
        <v>insert into ins_premium_det (premium_rcv_code,assorted_code, rec_amount,premium_rcv_detail_code,remaining_amt, payrec, mode_code,coinsurance_code,class_cd,it_remarks) values</v>
      </c>
      <c r="G183" s="27" t="str">
        <f t="shared" si="10"/>
        <v>('07May250079','050000718336','-58922',(select max(to_number(i.premium_rcv_detail_code))+1
from ins_premium_det i),'-58922','-58922','02', '11000003','00','Request by Mr. Omair Ali 09-May-2025');</v>
      </c>
      <c r="H183" s="28" t="str">
        <f t="shared" si="11"/>
        <v>insert into ins_premium_det (premium_rcv_code,assorted_code, rec_amount,premium_rcv_detail_code,remaining_amt, payrec, mode_code,coinsurance_code,class_cd,it_remarks) values('07May250079','050000718336','-58922',(select max(to_number(i.premium_rcv_detail_code))+1
from ins_premium_det i),'-58922','-58922','02', '11000003','00','Request by Mr. Omair Ali 09-May-2025');</v>
      </c>
    </row>
    <row r="184" spans="1:8" ht="105" x14ac:dyDescent="0.25">
      <c r="A184" s="5" t="s">
        <v>188</v>
      </c>
      <c r="B184" s="24" t="str">
        <f>VLOOKUP(A184,policy!B:C,2,0)</f>
        <v>050000719710</v>
      </c>
      <c r="C184" s="14">
        <v>-43279</v>
      </c>
      <c r="D184" s="25">
        <f t="shared" si="9"/>
        <v>-43279</v>
      </c>
      <c r="E184" s="23" t="s">
        <v>665</v>
      </c>
      <c r="F184" s="26" t="str">
        <f t="shared" si="8"/>
        <v>insert into ins_premium_det (premium_rcv_code,assorted_code, rec_amount,premium_rcv_detail_code,remaining_amt, payrec, mode_code,coinsurance_code,class_cd,it_remarks) values</v>
      </c>
      <c r="G184" s="27" t="str">
        <f t="shared" si="10"/>
        <v>('07May250079','050000719710','-43279',(select max(to_number(i.premium_rcv_detail_code))+1
from ins_premium_det i),'-43279','-43279','02', '11000003','00','Request by Mr. Omair Ali 09-May-2025');</v>
      </c>
      <c r="H184" s="28" t="str">
        <f t="shared" si="11"/>
        <v>insert into ins_premium_det (premium_rcv_code,assorted_code, rec_amount,premium_rcv_detail_code,remaining_amt, payrec, mode_code,coinsurance_code,class_cd,it_remarks) values('07May250079','050000719710','-43279',(select max(to_number(i.premium_rcv_detail_code))+1
from ins_premium_det i),'-43279','-43279','02', '11000003','00','Request by Mr. Omair Ali 09-May-2025');</v>
      </c>
    </row>
    <row r="185" spans="1:8" ht="105" x14ac:dyDescent="0.25">
      <c r="A185" s="5" t="s">
        <v>189</v>
      </c>
      <c r="B185" s="24" t="str">
        <f>VLOOKUP(A185,policy!B:C,2,0)</f>
        <v>050000719870</v>
      </c>
      <c r="C185" s="14">
        <v>30966</v>
      </c>
      <c r="D185" s="25">
        <f t="shared" si="9"/>
        <v>30966</v>
      </c>
      <c r="E185" s="23" t="s">
        <v>665</v>
      </c>
      <c r="F185" s="26" t="str">
        <f t="shared" si="8"/>
        <v>insert into ins_premium_det (premium_rcv_code,assorted_code, rec_amount,premium_rcv_detail_code,remaining_amt, payrec, mode_code,coinsurance_code,class_cd,it_remarks) values</v>
      </c>
      <c r="G185" s="27" t="str">
        <f t="shared" si="10"/>
        <v>('07May250079','050000719870','30966',(select max(to_number(i.premium_rcv_detail_code))+1
from ins_premium_det i),'30966','30966','02', '11000003','00','Request by Mr. Omair Ali 09-May-2025');</v>
      </c>
      <c r="H185" s="28" t="str">
        <f t="shared" si="11"/>
        <v>insert into ins_premium_det (premium_rcv_code,assorted_code, rec_amount,premium_rcv_detail_code,remaining_amt, payrec, mode_code,coinsurance_code,class_cd,it_remarks) values('07May250079','050000719870','30966',(select max(to_number(i.premium_rcv_detail_code))+1
from ins_premium_det i),'30966','30966','02', '11000003','00','Request by Mr. Omair Ali 09-May-2025');</v>
      </c>
    </row>
    <row r="186" spans="1:8" ht="105" x14ac:dyDescent="0.25">
      <c r="A186" s="5" t="s">
        <v>190</v>
      </c>
      <c r="B186" s="24" t="str">
        <f>VLOOKUP(A186,policy!B:C,2,0)</f>
        <v>050000723874</v>
      </c>
      <c r="C186" s="14">
        <v>591289</v>
      </c>
      <c r="D186" s="25">
        <f t="shared" si="9"/>
        <v>591289</v>
      </c>
      <c r="E186" s="23" t="s">
        <v>665</v>
      </c>
      <c r="F186" s="26" t="str">
        <f t="shared" si="8"/>
        <v>insert into ins_premium_det (premium_rcv_code,assorted_code, rec_amount,premium_rcv_detail_code,remaining_amt, payrec, mode_code,coinsurance_code,class_cd,it_remarks) values</v>
      </c>
      <c r="G186" s="27" t="str">
        <f t="shared" si="10"/>
        <v>('07May250079','050000723874','591289',(select max(to_number(i.premium_rcv_detail_code))+1
from ins_premium_det i),'591289','591289','02', '11000003','00','Request by Mr. Omair Ali 09-May-2025');</v>
      </c>
      <c r="H186" s="28" t="str">
        <f t="shared" si="11"/>
        <v>insert into ins_premium_det (premium_rcv_code,assorted_code, rec_amount,premium_rcv_detail_code,remaining_amt, payrec, mode_code,coinsurance_code,class_cd,it_remarks) values('07May250079','050000723874','591289',(select max(to_number(i.premium_rcv_detail_code))+1
from ins_premium_det i),'591289','591289','02', '11000003','00','Request by Mr. Omair Ali 09-May-2025');</v>
      </c>
    </row>
    <row r="187" spans="1:8" ht="105" x14ac:dyDescent="0.25">
      <c r="A187" s="5" t="s">
        <v>191</v>
      </c>
      <c r="B187" s="24" t="str">
        <f>VLOOKUP(A187,policy!B:C,2,0)</f>
        <v>050000724832</v>
      </c>
      <c r="C187" s="14">
        <v>26977</v>
      </c>
      <c r="D187" s="25">
        <f t="shared" si="9"/>
        <v>26977</v>
      </c>
      <c r="E187" s="23" t="s">
        <v>665</v>
      </c>
      <c r="F187" s="26" t="str">
        <f t="shared" si="8"/>
        <v>insert into ins_premium_det (premium_rcv_code,assorted_code, rec_amount,premium_rcv_detail_code,remaining_amt, payrec, mode_code,coinsurance_code,class_cd,it_remarks) values</v>
      </c>
      <c r="G187" s="27" t="str">
        <f t="shared" si="10"/>
        <v>('07May250079','050000724832','26977',(select max(to_number(i.premium_rcv_detail_code))+1
from ins_premium_det i),'26977','26977','02', '11000003','00','Request by Mr. Omair Ali 09-May-2025');</v>
      </c>
      <c r="H187" s="28" t="str">
        <f t="shared" si="11"/>
        <v>insert into ins_premium_det (premium_rcv_code,assorted_code, rec_amount,premium_rcv_detail_code,remaining_amt, payrec, mode_code,coinsurance_code,class_cd,it_remarks) values('07May250079','050000724832','26977',(select max(to_number(i.premium_rcv_detail_code))+1
from ins_premium_det i),'26977','26977','02', '11000003','00','Request by Mr. Omair Ali 09-May-2025');</v>
      </c>
    </row>
    <row r="188" spans="1:8" ht="105" x14ac:dyDescent="0.25">
      <c r="A188" s="5" t="s">
        <v>192</v>
      </c>
      <c r="B188" s="24" t="str">
        <f>VLOOKUP(A188,policy!B:C,2,0)</f>
        <v>050000726188</v>
      </c>
      <c r="C188" s="14">
        <v>-55254</v>
      </c>
      <c r="D188" s="25">
        <f t="shared" si="9"/>
        <v>-55254</v>
      </c>
      <c r="E188" s="23" t="s">
        <v>665</v>
      </c>
      <c r="F188" s="26" t="str">
        <f t="shared" si="8"/>
        <v>insert into ins_premium_det (premium_rcv_code,assorted_code, rec_amount,premium_rcv_detail_code,remaining_amt, payrec, mode_code,coinsurance_code,class_cd,it_remarks) values</v>
      </c>
      <c r="G188" s="27" t="str">
        <f t="shared" si="10"/>
        <v>('07May250079','050000726188','-55254',(select max(to_number(i.premium_rcv_detail_code))+1
from ins_premium_det i),'-55254','-55254','02', '11000003','00','Request by Mr. Omair Ali 09-May-2025');</v>
      </c>
      <c r="H188" s="28" t="str">
        <f t="shared" si="11"/>
        <v>insert into ins_premium_det (premium_rcv_code,assorted_code, rec_amount,premium_rcv_detail_code,remaining_amt, payrec, mode_code,coinsurance_code,class_cd,it_remarks) values('07May250079','050000726188','-55254',(select max(to_number(i.premium_rcv_detail_code))+1
from ins_premium_det i),'-55254','-55254','02', '11000003','00','Request by Mr. Omair Ali 09-May-2025');</v>
      </c>
    </row>
    <row r="189" spans="1:8" ht="105" x14ac:dyDescent="0.25">
      <c r="A189" s="5" t="s">
        <v>193</v>
      </c>
      <c r="B189" s="24" t="str">
        <f>VLOOKUP(A189,policy!B:C,2,0)</f>
        <v>050000726232</v>
      </c>
      <c r="C189" s="14">
        <v>46389</v>
      </c>
      <c r="D189" s="25">
        <f t="shared" si="9"/>
        <v>46389</v>
      </c>
      <c r="E189" s="23" t="s">
        <v>665</v>
      </c>
      <c r="F189" s="26" t="str">
        <f t="shared" si="8"/>
        <v>insert into ins_premium_det (premium_rcv_code,assorted_code, rec_amount,premium_rcv_detail_code,remaining_amt, payrec, mode_code,coinsurance_code,class_cd,it_remarks) values</v>
      </c>
      <c r="G189" s="27" t="str">
        <f t="shared" si="10"/>
        <v>('07May250079','050000726232','46389',(select max(to_number(i.premium_rcv_detail_code))+1
from ins_premium_det i),'46389','46389','02', '11000003','00','Request by Mr. Omair Ali 09-May-2025');</v>
      </c>
      <c r="H189" s="28" t="str">
        <f t="shared" si="11"/>
        <v>insert into ins_premium_det (premium_rcv_code,assorted_code, rec_amount,premium_rcv_detail_code,remaining_amt, payrec, mode_code,coinsurance_code,class_cd,it_remarks) values('07May250079','050000726232','46389',(select max(to_number(i.premium_rcv_detail_code))+1
from ins_premium_det i),'46389','46389','02', '11000003','00','Request by Mr. Omair Ali 09-May-2025');</v>
      </c>
    </row>
    <row r="190" spans="1:8" ht="105" x14ac:dyDescent="0.25">
      <c r="A190" s="5" t="s">
        <v>194</v>
      </c>
      <c r="B190" s="24" t="str">
        <f>VLOOKUP(A190,policy!B:C,2,0)</f>
        <v>050000728267</v>
      </c>
      <c r="C190" s="14">
        <v>-136356</v>
      </c>
      <c r="D190" s="25">
        <f t="shared" si="9"/>
        <v>-136356</v>
      </c>
      <c r="E190" s="23" t="s">
        <v>665</v>
      </c>
      <c r="F190" s="26" t="str">
        <f t="shared" si="8"/>
        <v>insert into ins_premium_det (premium_rcv_code,assorted_code, rec_amount,premium_rcv_detail_code,remaining_amt, payrec, mode_code,coinsurance_code,class_cd,it_remarks) values</v>
      </c>
      <c r="G190" s="27" t="str">
        <f t="shared" si="10"/>
        <v>('07May250079','050000728267','-136356',(select max(to_number(i.premium_rcv_detail_code))+1
from ins_premium_det i),'-136356','-136356','02', '11000003','00','Request by Mr. Omair Ali 09-May-2025');</v>
      </c>
      <c r="H190" s="28" t="str">
        <f t="shared" si="11"/>
        <v>insert into ins_premium_det (premium_rcv_code,assorted_code, rec_amount,premium_rcv_detail_code,remaining_amt, payrec, mode_code,coinsurance_code,class_cd,it_remarks) values('07May250079','050000728267','-136356',(select max(to_number(i.premium_rcv_detail_code))+1
from ins_premium_det i),'-136356','-136356','02', '11000003','00','Request by Mr. Omair Ali 09-May-2025');</v>
      </c>
    </row>
    <row r="191" spans="1:8" ht="105" x14ac:dyDescent="0.25">
      <c r="A191" s="5" t="s">
        <v>195</v>
      </c>
      <c r="B191" s="24" t="str">
        <f>VLOOKUP(A191,policy!B:C,2,0)</f>
        <v>050000728768</v>
      </c>
      <c r="C191" s="14">
        <v>256237</v>
      </c>
      <c r="D191" s="25">
        <f t="shared" si="9"/>
        <v>256237</v>
      </c>
      <c r="E191" s="23" t="s">
        <v>665</v>
      </c>
      <c r="F191" s="26" t="str">
        <f t="shared" si="8"/>
        <v>insert into ins_premium_det (premium_rcv_code,assorted_code, rec_amount,premium_rcv_detail_code,remaining_amt, payrec, mode_code,coinsurance_code,class_cd,it_remarks) values</v>
      </c>
      <c r="G191" s="27" t="str">
        <f t="shared" si="10"/>
        <v>('07May250079','050000728768','256237',(select max(to_number(i.premium_rcv_detail_code))+1
from ins_premium_det i),'256237','256237','02', '11000003','00','Request by Mr. Omair Ali 09-May-2025');</v>
      </c>
      <c r="H191" s="28" t="str">
        <f t="shared" si="11"/>
        <v>insert into ins_premium_det (premium_rcv_code,assorted_code, rec_amount,premium_rcv_detail_code,remaining_amt, payrec, mode_code,coinsurance_code,class_cd,it_remarks) values('07May250079','050000728768','256237',(select max(to_number(i.premium_rcv_detail_code))+1
from ins_premium_det i),'256237','256237','02', '11000003','00','Request by Mr. Omair Ali 09-May-2025');</v>
      </c>
    </row>
    <row r="192" spans="1:8" ht="105" x14ac:dyDescent="0.25">
      <c r="A192" s="5" t="s">
        <v>196</v>
      </c>
      <c r="B192" s="24" t="str">
        <f>VLOOKUP(A192,policy!B:C,2,0)</f>
        <v>050000729077</v>
      </c>
      <c r="C192" s="14">
        <v>-17630</v>
      </c>
      <c r="D192" s="25">
        <f t="shared" si="9"/>
        <v>-17630</v>
      </c>
      <c r="E192" s="23" t="s">
        <v>665</v>
      </c>
      <c r="F192" s="26" t="str">
        <f t="shared" si="8"/>
        <v>insert into ins_premium_det (premium_rcv_code,assorted_code, rec_amount,premium_rcv_detail_code,remaining_amt, payrec, mode_code,coinsurance_code,class_cd,it_remarks) values</v>
      </c>
      <c r="G192" s="27" t="str">
        <f t="shared" si="10"/>
        <v>('07May250079','050000729077','-17630',(select max(to_number(i.premium_rcv_detail_code))+1
from ins_premium_det i),'-17630','-17630','02', '11000003','00','Request by Mr. Omair Ali 09-May-2025');</v>
      </c>
      <c r="H192" s="28" t="str">
        <f t="shared" si="11"/>
        <v>insert into ins_premium_det (premium_rcv_code,assorted_code, rec_amount,premium_rcv_detail_code,remaining_amt, payrec, mode_code,coinsurance_code,class_cd,it_remarks) values('07May250079','050000729077','-17630',(select max(to_number(i.premium_rcv_detail_code))+1
from ins_premium_det i),'-17630','-17630','02', '11000003','00','Request by Mr. Omair Ali 09-May-2025');</v>
      </c>
    </row>
    <row r="193" spans="1:8" ht="105" x14ac:dyDescent="0.25">
      <c r="A193" s="5" t="s">
        <v>197</v>
      </c>
      <c r="B193" s="24" t="str">
        <f>VLOOKUP(A193,policy!B:C,2,0)</f>
        <v>050000729176</v>
      </c>
      <c r="C193" s="14">
        <v>-22786</v>
      </c>
      <c r="D193" s="25">
        <f t="shared" si="9"/>
        <v>-22786</v>
      </c>
      <c r="E193" s="23" t="s">
        <v>665</v>
      </c>
      <c r="F193" s="26" t="str">
        <f t="shared" si="8"/>
        <v>insert into ins_premium_det (premium_rcv_code,assorted_code, rec_amount,premium_rcv_detail_code,remaining_amt, payrec, mode_code,coinsurance_code,class_cd,it_remarks) values</v>
      </c>
      <c r="G193" s="27" t="str">
        <f t="shared" si="10"/>
        <v>('07May250079','050000729176','-22786',(select max(to_number(i.premium_rcv_detail_code))+1
from ins_premium_det i),'-22786','-22786','02', '11000003','00','Request by Mr. Omair Ali 09-May-2025');</v>
      </c>
      <c r="H193" s="28" t="str">
        <f t="shared" si="11"/>
        <v>insert into ins_premium_det (premium_rcv_code,assorted_code, rec_amount,premium_rcv_detail_code,remaining_amt, payrec, mode_code,coinsurance_code,class_cd,it_remarks) values('07May250079','050000729176','-22786',(select max(to_number(i.premium_rcv_detail_code))+1
from ins_premium_det i),'-22786','-22786','02', '11000003','00','Request by Mr. Omair Ali 09-May-2025');</v>
      </c>
    </row>
    <row r="194" spans="1:8" ht="105" x14ac:dyDescent="0.25">
      <c r="A194" s="5" t="s">
        <v>198</v>
      </c>
      <c r="B194" s="24" t="str">
        <f>VLOOKUP(A194,policy!B:C,2,0)</f>
        <v>050000729271</v>
      </c>
      <c r="C194" s="14">
        <v>-46430</v>
      </c>
      <c r="D194" s="25">
        <f t="shared" si="9"/>
        <v>-46430</v>
      </c>
      <c r="E194" s="23" t="s">
        <v>665</v>
      </c>
      <c r="F194" s="26" t="str">
        <f t="shared" ref="F194:F257" si="12">"insert into ins_premium_det (premium_rcv_code,assorted_code, rec_amount,premium_rcv_detail_code,remaining_amt, payrec, mode_code,coinsurance_code,class_cd,it_remarks) values"</f>
        <v>insert into ins_premium_det (premium_rcv_code,assorted_code, rec_amount,premium_rcv_detail_code,remaining_amt, payrec, mode_code,coinsurance_code,class_cd,it_remarks) values</v>
      </c>
      <c r="G194" s="27" t="str">
        <f t="shared" si="10"/>
        <v>('07May250079','050000729271','-46430',(select max(to_number(i.premium_rcv_detail_code))+1
from ins_premium_det i),'-46430','-46430','02', '11000003','00','Request by Mr. Omair Ali 09-May-2025');</v>
      </c>
      <c r="H194" s="28" t="str">
        <f t="shared" si="11"/>
        <v>insert into ins_premium_det (premium_rcv_code,assorted_code, rec_amount,premium_rcv_detail_code,remaining_amt, payrec, mode_code,coinsurance_code,class_cd,it_remarks) values('07May250079','050000729271','-46430',(select max(to_number(i.premium_rcv_detail_code))+1
from ins_premium_det i),'-46430','-46430','02', '11000003','00','Request by Mr. Omair Ali 09-May-2025');</v>
      </c>
    </row>
    <row r="195" spans="1:8" ht="105" x14ac:dyDescent="0.25">
      <c r="A195" s="5" t="s">
        <v>199</v>
      </c>
      <c r="B195" s="24" t="str">
        <f>VLOOKUP(A195,policy!B:C,2,0)</f>
        <v>050000729658</v>
      </c>
      <c r="C195" s="14">
        <v>538688</v>
      </c>
      <c r="D195" s="25">
        <f t="shared" ref="D195:D258" si="13">ROUND(C195,0)</f>
        <v>538688</v>
      </c>
      <c r="E195" s="23" t="s">
        <v>665</v>
      </c>
      <c r="F195" s="26" t="str">
        <f t="shared" si="12"/>
        <v>insert into ins_premium_det (premium_rcv_code,assorted_code, rec_amount,premium_rcv_detail_code,remaining_amt, payrec, mode_code,coinsurance_code,class_cd,it_remarks) values</v>
      </c>
      <c r="G195" s="27" t="str">
        <f t="shared" ref="G195:G258" si="14">"('"&amp;E195&amp;"','"&amp;B195&amp;"','"&amp;D195&amp;"',(select max(to_number(i.premium_rcv_detail_code))+1
from ins_premium_det i),'"&amp;D195&amp;"','"&amp;D195&amp;"','02', '11000003','00','Request by Mr. Omair Ali 09-May-2025');"</f>
        <v>('07May250079','050000729658','538688',(select max(to_number(i.premium_rcv_detail_code))+1
from ins_premium_det i),'538688','538688','02', '11000003','00','Request by Mr. Omair Ali 09-May-2025');</v>
      </c>
      <c r="H195" s="28" t="str">
        <f t="shared" ref="H195:H258" si="15">F195&amp;G195</f>
        <v>insert into ins_premium_det (premium_rcv_code,assorted_code, rec_amount,premium_rcv_detail_code,remaining_amt, payrec, mode_code,coinsurance_code,class_cd,it_remarks) values('07May250079','050000729658','538688',(select max(to_number(i.premium_rcv_detail_code))+1
from ins_premium_det i),'538688','538688','02', '11000003','00','Request by Mr. Omair Ali 09-May-2025');</v>
      </c>
    </row>
    <row r="196" spans="1:8" ht="105" x14ac:dyDescent="0.25">
      <c r="A196" s="5" t="s">
        <v>200</v>
      </c>
      <c r="B196" s="24" t="str">
        <f>VLOOKUP(A196,policy!B:C,2,0)</f>
        <v>050000730204</v>
      </c>
      <c r="C196" s="14">
        <v>46912</v>
      </c>
      <c r="D196" s="25">
        <f t="shared" si="13"/>
        <v>46912</v>
      </c>
      <c r="E196" s="23" t="s">
        <v>665</v>
      </c>
      <c r="F196" s="26" t="str">
        <f t="shared" si="12"/>
        <v>insert into ins_premium_det (premium_rcv_code,assorted_code, rec_amount,premium_rcv_detail_code,remaining_amt, payrec, mode_code,coinsurance_code,class_cd,it_remarks) values</v>
      </c>
      <c r="G196" s="27" t="str">
        <f t="shared" si="14"/>
        <v>('07May250079','050000730204','46912',(select max(to_number(i.premium_rcv_detail_code))+1
from ins_premium_det i),'46912','46912','02', '11000003','00','Request by Mr. Omair Ali 09-May-2025');</v>
      </c>
      <c r="H196" s="28" t="str">
        <f t="shared" si="15"/>
        <v>insert into ins_premium_det (premium_rcv_code,assorted_code, rec_amount,premium_rcv_detail_code,remaining_amt, payrec, mode_code,coinsurance_code,class_cd,it_remarks) values('07May250079','050000730204','46912',(select max(to_number(i.premium_rcv_detail_code))+1
from ins_premium_det i),'46912','46912','02', '11000003','00','Request by Mr. Omair Ali 09-May-2025');</v>
      </c>
    </row>
    <row r="197" spans="1:8" ht="105" x14ac:dyDescent="0.25">
      <c r="A197" s="5" t="s">
        <v>201</v>
      </c>
      <c r="B197" s="24" t="str">
        <f>VLOOKUP(A197,policy!B:C,2,0)</f>
        <v>050000733503</v>
      </c>
      <c r="C197" s="14">
        <v>-71815</v>
      </c>
      <c r="D197" s="25">
        <f t="shared" si="13"/>
        <v>-71815</v>
      </c>
      <c r="E197" s="23" t="s">
        <v>665</v>
      </c>
      <c r="F197" s="26" t="str">
        <f t="shared" si="12"/>
        <v>insert into ins_premium_det (premium_rcv_code,assorted_code, rec_amount,premium_rcv_detail_code,remaining_amt, payrec, mode_code,coinsurance_code,class_cd,it_remarks) values</v>
      </c>
      <c r="G197" s="27" t="str">
        <f t="shared" si="14"/>
        <v>('07May250079','050000733503','-71815',(select max(to_number(i.premium_rcv_detail_code))+1
from ins_premium_det i),'-71815','-71815','02', '11000003','00','Request by Mr. Omair Ali 09-May-2025');</v>
      </c>
      <c r="H197" s="28" t="str">
        <f t="shared" si="15"/>
        <v>insert into ins_premium_det (premium_rcv_code,assorted_code, rec_amount,premium_rcv_detail_code,remaining_amt, payrec, mode_code,coinsurance_code,class_cd,it_remarks) values('07May250079','050000733503','-71815',(select max(to_number(i.premium_rcv_detail_code))+1
from ins_premium_det i),'-71815','-71815','02', '11000003','00','Request by Mr. Omair Ali 09-May-2025');</v>
      </c>
    </row>
    <row r="198" spans="1:8" ht="105" x14ac:dyDescent="0.25">
      <c r="A198" s="5" t="s">
        <v>202</v>
      </c>
      <c r="B198" s="24" t="str">
        <f>VLOOKUP(A198,policy!B:C,2,0)</f>
        <v>050000735394</v>
      </c>
      <c r="C198" s="14">
        <v>-82977</v>
      </c>
      <c r="D198" s="25">
        <f t="shared" si="13"/>
        <v>-82977</v>
      </c>
      <c r="E198" s="23" t="s">
        <v>665</v>
      </c>
      <c r="F198" s="26" t="str">
        <f t="shared" si="12"/>
        <v>insert into ins_premium_det (premium_rcv_code,assorted_code, rec_amount,premium_rcv_detail_code,remaining_amt, payrec, mode_code,coinsurance_code,class_cd,it_remarks) values</v>
      </c>
      <c r="G198" s="27" t="str">
        <f t="shared" si="14"/>
        <v>('07May250079','050000735394','-82977',(select max(to_number(i.premium_rcv_detail_code))+1
from ins_premium_det i),'-82977','-82977','02', '11000003','00','Request by Mr. Omair Ali 09-May-2025');</v>
      </c>
      <c r="H198" s="28" t="str">
        <f t="shared" si="15"/>
        <v>insert into ins_premium_det (premium_rcv_code,assorted_code, rec_amount,premium_rcv_detail_code,remaining_amt, payrec, mode_code,coinsurance_code,class_cd,it_remarks) values('07May250079','050000735394','-82977',(select max(to_number(i.premium_rcv_detail_code))+1
from ins_premium_det i),'-82977','-82977','02', '11000003','00','Request by Mr. Omair Ali 09-May-2025');</v>
      </c>
    </row>
    <row r="199" spans="1:8" ht="105" x14ac:dyDescent="0.25">
      <c r="A199" s="5" t="s">
        <v>203</v>
      </c>
      <c r="B199" s="24" t="str">
        <f>VLOOKUP(A199,policy!B:C,2,0)</f>
        <v>050000738301</v>
      </c>
      <c r="C199" s="14">
        <v>-48407</v>
      </c>
      <c r="D199" s="25">
        <f t="shared" si="13"/>
        <v>-48407</v>
      </c>
      <c r="E199" s="23" t="s">
        <v>665</v>
      </c>
      <c r="F199" s="26" t="str">
        <f t="shared" si="12"/>
        <v>insert into ins_premium_det (premium_rcv_code,assorted_code, rec_amount,premium_rcv_detail_code,remaining_amt, payrec, mode_code,coinsurance_code,class_cd,it_remarks) values</v>
      </c>
      <c r="G199" s="27" t="str">
        <f t="shared" si="14"/>
        <v>('07May250079','050000738301','-48407',(select max(to_number(i.premium_rcv_detail_code))+1
from ins_premium_det i),'-48407','-48407','02', '11000003','00','Request by Mr. Omair Ali 09-May-2025');</v>
      </c>
      <c r="H199" s="28" t="str">
        <f t="shared" si="15"/>
        <v>insert into ins_premium_det (premium_rcv_code,assorted_code, rec_amount,premium_rcv_detail_code,remaining_amt, payrec, mode_code,coinsurance_code,class_cd,it_remarks) values('07May250079','050000738301','-48407',(select max(to_number(i.premium_rcv_detail_code))+1
from ins_premium_det i),'-48407','-48407','02', '11000003','00','Request by Mr. Omair Ali 09-May-2025');</v>
      </c>
    </row>
    <row r="200" spans="1:8" ht="105" x14ac:dyDescent="0.25">
      <c r="A200" s="5" t="s">
        <v>204</v>
      </c>
      <c r="B200" s="24" t="str">
        <f>VLOOKUP(A200,policy!B:C,2,0)</f>
        <v>050000738472</v>
      </c>
      <c r="C200" s="14">
        <v>12073</v>
      </c>
      <c r="D200" s="25">
        <f t="shared" si="13"/>
        <v>12073</v>
      </c>
      <c r="E200" s="23" t="s">
        <v>665</v>
      </c>
      <c r="F200" s="26" t="str">
        <f t="shared" si="12"/>
        <v>insert into ins_premium_det (premium_rcv_code,assorted_code, rec_amount,premium_rcv_detail_code,remaining_amt, payrec, mode_code,coinsurance_code,class_cd,it_remarks) values</v>
      </c>
      <c r="G200" s="27" t="str">
        <f t="shared" si="14"/>
        <v>('07May250079','050000738472','12073',(select max(to_number(i.premium_rcv_detail_code))+1
from ins_premium_det i),'12073','12073','02', '11000003','00','Request by Mr. Omair Ali 09-May-2025');</v>
      </c>
      <c r="H200" s="28" t="str">
        <f t="shared" si="15"/>
        <v>insert into ins_premium_det (premium_rcv_code,assorted_code, rec_amount,premium_rcv_detail_code,remaining_amt, payrec, mode_code,coinsurance_code,class_cd,it_remarks) values('07May250079','050000738472','12073',(select max(to_number(i.premium_rcv_detail_code))+1
from ins_premium_det i),'12073','12073','02', '11000003','00','Request by Mr. Omair Ali 09-May-2025');</v>
      </c>
    </row>
    <row r="201" spans="1:8" ht="105" x14ac:dyDescent="0.25">
      <c r="A201" s="5" t="s">
        <v>205</v>
      </c>
      <c r="B201" s="24" t="str">
        <f>VLOOKUP(A201,policy!B:C,2,0)</f>
        <v>050000739284</v>
      </c>
      <c r="C201" s="14">
        <v>24231</v>
      </c>
      <c r="D201" s="25">
        <f t="shared" si="13"/>
        <v>24231</v>
      </c>
      <c r="E201" s="23" t="s">
        <v>665</v>
      </c>
      <c r="F201" s="26" t="str">
        <f t="shared" si="12"/>
        <v>insert into ins_premium_det (premium_rcv_code,assorted_code, rec_amount,premium_rcv_detail_code,remaining_amt, payrec, mode_code,coinsurance_code,class_cd,it_remarks) values</v>
      </c>
      <c r="G201" s="27" t="str">
        <f t="shared" si="14"/>
        <v>('07May250079','050000739284','24231',(select max(to_number(i.premium_rcv_detail_code))+1
from ins_premium_det i),'24231','24231','02', '11000003','00','Request by Mr. Omair Ali 09-May-2025');</v>
      </c>
      <c r="H201" s="28" t="str">
        <f t="shared" si="15"/>
        <v>insert into ins_premium_det (premium_rcv_code,assorted_code, rec_amount,premium_rcv_detail_code,remaining_amt, payrec, mode_code,coinsurance_code,class_cd,it_remarks) values('07May250079','050000739284','24231',(select max(to_number(i.premium_rcv_detail_code))+1
from ins_premium_det i),'24231','24231','02', '11000003','00','Request by Mr. Omair Ali 09-May-2025');</v>
      </c>
    </row>
    <row r="202" spans="1:8" ht="105" x14ac:dyDescent="0.25">
      <c r="A202" s="5" t="s">
        <v>206</v>
      </c>
      <c r="B202" s="24" t="str">
        <f>VLOOKUP(A202,policy!B:C,2,0)</f>
        <v>050000739337</v>
      </c>
      <c r="C202" s="14">
        <v>-14971</v>
      </c>
      <c r="D202" s="25">
        <f t="shared" si="13"/>
        <v>-14971</v>
      </c>
      <c r="E202" s="23" t="s">
        <v>665</v>
      </c>
      <c r="F202" s="26" t="str">
        <f t="shared" si="12"/>
        <v>insert into ins_premium_det (premium_rcv_code,assorted_code, rec_amount,premium_rcv_detail_code,remaining_amt, payrec, mode_code,coinsurance_code,class_cd,it_remarks) values</v>
      </c>
      <c r="G202" s="27" t="str">
        <f t="shared" si="14"/>
        <v>('07May250079','050000739337','-14971',(select max(to_number(i.premium_rcv_detail_code))+1
from ins_premium_det i),'-14971','-14971','02', '11000003','00','Request by Mr. Omair Ali 09-May-2025');</v>
      </c>
      <c r="H202" s="28" t="str">
        <f t="shared" si="15"/>
        <v>insert into ins_premium_det (premium_rcv_code,assorted_code, rec_amount,premium_rcv_detail_code,remaining_amt, payrec, mode_code,coinsurance_code,class_cd,it_remarks) values('07May250079','050000739337','-14971',(select max(to_number(i.premium_rcv_detail_code))+1
from ins_premium_det i),'-14971','-14971','02', '11000003','00','Request by Mr. Omair Ali 09-May-2025');</v>
      </c>
    </row>
    <row r="203" spans="1:8" ht="105" x14ac:dyDescent="0.25">
      <c r="A203" s="5" t="s">
        <v>207</v>
      </c>
      <c r="B203" s="24" t="str">
        <f>VLOOKUP(A203,policy!B:C,2,0)</f>
        <v>050000739581</v>
      </c>
      <c r="C203" s="14">
        <v>-46812</v>
      </c>
      <c r="D203" s="25">
        <f t="shared" si="13"/>
        <v>-46812</v>
      </c>
      <c r="E203" s="23" t="s">
        <v>665</v>
      </c>
      <c r="F203" s="26" t="str">
        <f t="shared" si="12"/>
        <v>insert into ins_premium_det (premium_rcv_code,assorted_code, rec_amount,premium_rcv_detail_code,remaining_amt, payrec, mode_code,coinsurance_code,class_cd,it_remarks) values</v>
      </c>
      <c r="G203" s="27" t="str">
        <f t="shared" si="14"/>
        <v>('07May250079','050000739581','-46812',(select max(to_number(i.premium_rcv_detail_code))+1
from ins_premium_det i),'-46812','-46812','02', '11000003','00','Request by Mr. Omair Ali 09-May-2025');</v>
      </c>
      <c r="H203" s="28" t="str">
        <f t="shared" si="15"/>
        <v>insert into ins_premium_det (premium_rcv_code,assorted_code, rec_amount,premium_rcv_detail_code,remaining_amt, payrec, mode_code,coinsurance_code,class_cd,it_remarks) values('07May250079','050000739581','-46812',(select max(to_number(i.premium_rcv_detail_code))+1
from ins_premium_det i),'-46812','-46812','02', '11000003','00','Request by Mr. Omair Ali 09-May-2025');</v>
      </c>
    </row>
    <row r="204" spans="1:8" ht="105" x14ac:dyDescent="0.25">
      <c r="A204" s="5" t="s">
        <v>208</v>
      </c>
      <c r="B204" s="24" t="str">
        <f>VLOOKUP(A204,policy!B:C,2,0)</f>
        <v>050000740462</v>
      </c>
      <c r="C204" s="14">
        <v>-131627</v>
      </c>
      <c r="D204" s="25">
        <f t="shared" si="13"/>
        <v>-131627</v>
      </c>
      <c r="E204" s="23" t="s">
        <v>665</v>
      </c>
      <c r="F204" s="26" t="str">
        <f t="shared" si="12"/>
        <v>insert into ins_premium_det (premium_rcv_code,assorted_code, rec_amount,premium_rcv_detail_code,remaining_amt, payrec, mode_code,coinsurance_code,class_cd,it_remarks) values</v>
      </c>
      <c r="G204" s="27" t="str">
        <f t="shared" si="14"/>
        <v>('07May250079','050000740462','-131627',(select max(to_number(i.premium_rcv_detail_code))+1
from ins_premium_det i),'-131627','-131627','02', '11000003','00','Request by Mr. Omair Ali 09-May-2025');</v>
      </c>
      <c r="H204" s="28" t="str">
        <f t="shared" si="15"/>
        <v>insert into ins_premium_det (premium_rcv_code,assorted_code, rec_amount,premium_rcv_detail_code,remaining_amt, payrec, mode_code,coinsurance_code,class_cd,it_remarks) values('07May250079','050000740462','-131627',(select max(to_number(i.premium_rcv_detail_code))+1
from ins_premium_det i),'-131627','-131627','02', '11000003','00','Request by Mr. Omair Ali 09-May-2025');</v>
      </c>
    </row>
    <row r="205" spans="1:8" ht="105" x14ac:dyDescent="0.25">
      <c r="A205" s="5" t="s">
        <v>209</v>
      </c>
      <c r="B205" s="24" t="str">
        <f>VLOOKUP(A205,policy!B:C,2,0)</f>
        <v>050000740690</v>
      </c>
      <c r="C205" s="14">
        <v>-41451</v>
      </c>
      <c r="D205" s="25">
        <f t="shared" si="13"/>
        <v>-41451</v>
      </c>
      <c r="E205" s="23" t="s">
        <v>665</v>
      </c>
      <c r="F205" s="26" t="str">
        <f t="shared" si="12"/>
        <v>insert into ins_premium_det (premium_rcv_code,assorted_code, rec_amount,premium_rcv_detail_code,remaining_amt, payrec, mode_code,coinsurance_code,class_cd,it_remarks) values</v>
      </c>
      <c r="G205" s="27" t="str">
        <f t="shared" si="14"/>
        <v>('07May250079','050000740690','-41451',(select max(to_number(i.premium_rcv_detail_code))+1
from ins_premium_det i),'-41451','-41451','02', '11000003','00','Request by Mr. Omair Ali 09-May-2025');</v>
      </c>
      <c r="H205" s="28" t="str">
        <f t="shared" si="15"/>
        <v>insert into ins_premium_det (premium_rcv_code,assorted_code, rec_amount,premium_rcv_detail_code,remaining_amt, payrec, mode_code,coinsurance_code,class_cd,it_remarks) values('07May250079','050000740690','-41451',(select max(to_number(i.premium_rcv_detail_code))+1
from ins_premium_det i),'-41451','-41451','02', '11000003','00','Request by Mr. Omair Ali 09-May-2025');</v>
      </c>
    </row>
    <row r="206" spans="1:8" ht="105" x14ac:dyDescent="0.25">
      <c r="A206" s="5" t="s">
        <v>210</v>
      </c>
      <c r="B206" s="24" t="str">
        <f>VLOOKUP(A206,policy!B:C,2,0)</f>
        <v>050000741359</v>
      </c>
      <c r="C206" s="14">
        <v>279114</v>
      </c>
      <c r="D206" s="25">
        <f t="shared" si="13"/>
        <v>279114</v>
      </c>
      <c r="E206" s="23" t="s">
        <v>665</v>
      </c>
      <c r="F206" s="26" t="str">
        <f t="shared" si="12"/>
        <v>insert into ins_premium_det (premium_rcv_code,assorted_code, rec_amount,premium_rcv_detail_code,remaining_amt, payrec, mode_code,coinsurance_code,class_cd,it_remarks) values</v>
      </c>
      <c r="G206" s="27" t="str">
        <f t="shared" si="14"/>
        <v>('07May250079','050000741359','279114',(select max(to_number(i.premium_rcv_detail_code))+1
from ins_premium_det i),'279114','279114','02', '11000003','00','Request by Mr. Omair Ali 09-May-2025');</v>
      </c>
      <c r="H206" s="28" t="str">
        <f t="shared" si="15"/>
        <v>insert into ins_premium_det (premium_rcv_code,assorted_code, rec_amount,premium_rcv_detail_code,remaining_amt, payrec, mode_code,coinsurance_code,class_cd,it_remarks) values('07May250079','050000741359','279114',(select max(to_number(i.premium_rcv_detail_code))+1
from ins_premium_det i),'279114','279114','02', '11000003','00','Request by Mr. Omair Ali 09-May-2025');</v>
      </c>
    </row>
    <row r="207" spans="1:8" ht="105" x14ac:dyDescent="0.25">
      <c r="A207" s="5" t="s">
        <v>211</v>
      </c>
      <c r="B207" s="24" t="str">
        <f>VLOOKUP(A207,policy!B:C,2,0)</f>
        <v>050000745741</v>
      </c>
      <c r="C207" s="14">
        <v>13776</v>
      </c>
      <c r="D207" s="25">
        <f t="shared" si="13"/>
        <v>13776</v>
      </c>
      <c r="E207" s="23" t="s">
        <v>665</v>
      </c>
      <c r="F207" s="26" t="str">
        <f t="shared" si="12"/>
        <v>insert into ins_premium_det (premium_rcv_code,assorted_code, rec_amount,premium_rcv_detail_code,remaining_amt, payrec, mode_code,coinsurance_code,class_cd,it_remarks) values</v>
      </c>
      <c r="G207" s="27" t="str">
        <f t="shared" si="14"/>
        <v>('07May250079','050000745741','13776',(select max(to_number(i.premium_rcv_detail_code))+1
from ins_premium_det i),'13776','13776','02', '11000003','00','Request by Mr. Omair Ali 09-May-2025');</v>
      </c>
      <c r="H207" s="28" t="str">
        <f t="shared" si="15"/>
        <v>insert into ins_premium_det (premium_rcv_code,assorted_code, rec_amount,premium_rcv_detail_code,remaining_amt, payrec, mode_code,coinsurance_code,class_cd,it_remarks) values('07May250079','050000745741','13776',(select max(to_number(i.premium_rcv_detail_code))+1
from ins_premium_det i),'13776','13776','02', '11000003','00','Request by Mr. Omair Ali 09-May-2025');</v>
      </c>
    </row>
    <row r="208" spans="1:8" ht="105" x14ac:dyDescent="0.25">
      <c r="A208" s="5" t="s">
        <v>212</v>
      </c>
      <c r="B208" s="24" t="str">
        <f>VLOOKUP(A208,policy!B:C,2,0)</f>
        <v>050000747833</v>
      </c>
      <c r="C208" s="14">
        <v>-28081</v>
      </c>
      <c r="D208" s="25">
        <f t="shared" si="13"/>
        <v>-28081</v>
      </c>
      <c r="E208" s="23" t="s">
        <v>665</v>
      </c>
      <c r="F208" s="26" t="str">
        <f t="shared" si="12"/>
        <v>insert into ins_premium_det (premium_rcv_code,assorted_code, rec_amount,premium_rcv_detail_code,remaining_amt, payrec, mode_code,coinsurance_code,class_cd,it_remarks) values</v>
      </c>
      <c r="G208" s="27" t="str">
        <f t="shared" si="14"/>
        <v>('07May250079','050000747833','-28081',(select max(to_number(i.premium_rcv_detail_code))+1
from ins_premium_det i),'-28081','-28081','02', '11000003','00','Request by Mr. Omair Ali 09-May-2025');</v>
      </c>
      <c r="H208" s="28" t="str">
        <f t="shared" si="15"/>
        <v>insert into ins_premium_det (premium_rcv_code,assorted_code, rec_amount,premium_rcv_detail_code,remaining_amt, payrec, mode_code,coinsurance_code,class_cd,it_remarks) values('07May250079','050000747833','-28081',(select max(to_number(i.premium_rcv_detail_code))+1
from ins_premium_det i),'-28081','-28081','02', '11000003','00','Request by Mr. Omair Ali 09-May-2025');</v>
      </c>
    </row>
    <row r="209" spans="1:8" ht="105" x14ac:dyDescent="0.25">
      <c r="A209" s="5" t="s">
        <v>213</v>
      </c>
      <c r="B209" s="24" t="str">
        <f>VLOOKUP(A209,policy!B:C,2,0)</f>
        <v>050000748924</v>
      </c>
      <c r="C209" s="14">
        <v>-40665</v>
      </c>
      <c r="D209" s="25">
        <f t="shared" si="13"/>
        <v>-40665</v>
      </c>
      <c r="E209" s="23" t="s">
        <v>665</v>
      </c>
      <c r="F209" s="26" t="str">
        <f t="shared" si="12"/>
        <v>insert into ins_premium_det (premium_rcv_code,assorted_code, rec_amount,premium_rcv_detail_code,remaining_amt, payrec, mode_code,coinsurance_code,class_cd,it_remarks) values</v>
      </c>
      <c r="G209" s="27" t="str">
        <f t="shared" si="14"/>
        <v>('07May250079','050000748924','-40665',(select max(to_number(i.premium_rcv_detail_code))+1
from ins_premium_det i),'-40665','-40665','02', '11000003','00','Request by Mr. Omair Ali 09-May-2025');</v>
      </c>
      <c r="H209" s="28" t="str">
        <f t="shared" si="15"/>
        <v>insert into ins_premium_det (premium_rcv_code,assorted_code, rec_amount,premium_rcv_detail_code,remaining_amt, payrec, mode_code,coinsurance_code,class_cd,it_remarks) values('07May250079','050000748924','-40665',(select max(to_number(i.premium_rcv_detail_code))+1
from ins_premium_det i),'-40665','-40665','02', '11000003','00','Request by Mr. Omair Ali 09-May-2025');</v>
      </c>
    </row>
    <row r="210" spans="1:8" ht="105" x14ac:dyDescent="0.25">
      <c r="A210" s="5" t="s">
        <v>214</v>
      </c>
      <c r="B210" s="24" t="str">
        <f>VLOOKUP(A210,policy!B:C,2,0)</f>
        <v>050000751053</v>
      </c>
      <c r="C210" s="14">
        <v>-4644</v>
      </c>
      <c r="D210" s="25">
        <f t="shared" si="13"/>
        <v>-4644</v>
      </c>
      <c r="E210" s="23" t="s">
        <v>665</v>
      </c>
      <c r="F210" s="26" t="str">
        <f t="shared" si="12"/>
        <v>insert into ins_premium_det (premium_rcv_code,assorted_code, rec_amount,premium_rcv_detail_code,remaining_amt, payrec, mode_code,coinsurance_code,class_cd,it_remarks) values</v>
      </c>
      <c r="G210" s="27" t="str">
        <f t="shared" si="14"/>
        <v>('07May250079','050000751053','-4644',(select max(to_number(i.premium_rcv_detail_code))+1
from ins_premium_det i),'-4644','-4644','02', '11000003','00','Request by Mr. Omair Ali 09-May-2025');</v>
      </c>
      <c r="H210" s="28" t="str">
        <f t="shared" si="15"/>
        <v>insert into ins_premium_det (premium_rcv_code,assorted_code, rec_amount,premium_rcv_detail_code,remaining_amt, payrec, mode_code,coinsurance_code,class_cd,it_remarks) values('07May250079','050000751053','-4644',(select max(to_number(i.premium_rcv_detail_code))+1
from ins_premium_det i),'-4644','-4644','02', '11000003','00','Request by Mr. Omair Ali 09-May-2025');</v>
      </c>
    </row>
    <row r="211" spans="1:8" ht="105" x14ac:dyDescent="0.25">
      <c r="A211" s="5" t="s">
        <v>215</v>
      </c>
      <c r="B211" s="24" t="str">
        <f>VLOOKUP(A211,policy!B:C,2,0)</f>
        <v>050000751071</v>
      </c>
      <c r="C211" s="14">
        <v>-22774</v>
      </c>
      <c r="D211" s="25">
        <f t="shared" si="13"/>
        <v>-22774</v>
      </c>
      <c r="E211" s="23" t="s">
        <v>665</v>
      </c>
      <c r="F211" s="26" t="str">
        <f t="shared" si="12"/>
        <v>insert into ins_premium_det (premium_rcv_code,assorted_code, rec_amount,premium_rcv_detail_code,remaining_amt, payrec, mode_code,coinsurance_code,class_cd,it_remarks) values</v>
      </c>
      <c r="G211" s="27" t="str">
        <f t="shared" si="14"/>
        <v>('07May250079','050000751071','-22774',(select max(to_number(i.premium_rcv_detail_code))+1
from ins_premium_det i),'-22774','-22774','02', '11000003','00','Request by Mr. Omair Ali 09-May-2025');</v>
      </c>
      <c r="H211" s="28" t="str">
        <f t="shared" si="15"/>
        <v>insert into ins_premium_det (premium_rcv_code,assorted_code, rec_amount,premium_rcv_detail_code,remaining_amt, payrec, mode_code,coinsurance_code,class_cd,it_remarks) values('07May250079','050000751071','-22774',(select max(to_number(i.premium_rcv_detail_code))+1
from ins_premium_det i),'-22774','-22774','02', '11000003','00','Request by Mr. Omair Ali 09-May-2025');</v>
      </c>
    </row>
    <row r="212" spans="1:8" ht="105" x14ac:dyDescent="0.25">
      <c r="A212" s="5" t="s">
        <v>216</v>
      </c>
      <c r="B212" s="24" t="str">
        <f>VLOOKUP(A212,policy!B:C,2,0)</f>
        <v>050000751830</v>
      </c>
      <c r="C212" s="14">
        <v>-30882</v>
      </c>
      <c r="D212" s="25">
        <f t="shared" si="13"/>
        <v>-30882</v>
      </c>
      <c r="E212" s="23" t="s">
        <v>665</v>
      </c>
      <c r="F212" s="26" t="str">
        <f t="shared" si="12"/>
        <v>insert into ins_premium_det (premium_rcv_code,assorted_code, rec_amount,premium_rcv_detail_code,remaining_amt, payrec, mode_code,coinsurance_code,class_cd,it_remarks) values</v>
      </c>
      <c r="G212" s="27" t="str">
        <f t="shared" si="14"/>
        <v>('07May250079','050000751830','-30882',(select max(to_number(i.premium_rcv_detail_code))+1
from ins_premium_det i),'-30882','-30882','02', '11000003','00','Request by Mr. Omair Ali 09-May-2025');</v>
      </c>
      <c r="H212" s="28" t="str">
        <f t="shared" si="15"/>
        <v>insert into ins_premium_det (premium_rcv_code,assorted_code, rec_amount,premium_rcv_detail_code,remaining_amt, payrec, mode_code,coinsurance_code,class_cd,it_remarks) values('07May250079','050000751830','-30882',(select max(to_number(i.premium_rcv_detail_code))+1
from ins_premium_det i),'-30882','-30882','02', '11000003','00','Request by Mr. Omair Ali 09-May-2025');</v>
      </c>
    </row>
    <row r="213" spans="1:8" ht="105" x14ac:dyDescent="0.25">
      <c r="A213" s="5" t="s">
        <v>217</v>
      </c>
      <c r="B213" s="24" t="str">
        <f>VLOOKUP(A213,policy!B:C,2,0)</f>
        <v>050000753625</v>
      </c>
      <c r="C213" s="14">
        <v>-17981</v>
      </c>
      <c r="D213" s="25">
        <f t="shared" si="13"/>
        <v>-17981</v>
      </c>
      <c r="E213" s="23" t="s">
        <v>665</v>
      </c>
      <c r="F213" s="26" t="str">
        <f t="shared" si="12"/>
        <v>insert into ins_premium_det (premium_rcv_code,assorted_code, rec_amount,premium_rcv_detail_code,remaining_amt, payrec, mode_code,coinsurance_code,class_cd,it_remarks) values</v>
      </c>
      <c r="G213" s="27" t="str">
        <f t="shared" si="14"/>
        <v>('07May250079','050000753625','-17981',(select max(to_number(i.premium_rcv_detail_code))+1
from ins_premium_det i),'-17981','-17981','02', '11000003','00','Request by Mr. Omair Ali 09-May-2025');</v>
      </c>
      <c r="H213" s="28" t="str">
        <f t="shared" si="15"/>
        <v>insert into ins_premium_det (premium_rcv_code,assorted_code, rec_amount,premium_rcv_detail_code,remaining_amt, payrec, mode_code,coinsurance_code,class_cd,it_remarks) values('07May250079','050000753625','-17981',(select max(to_number(i.premium_rcv_detail_code))+1
from ins_premium_det i),'-17981','-17981','02', '11000003','00','Request by Mr. Omair Ali 09-May-2025');</v>
      </c>
    </row>
    <row r="214" spans="1:8" ht="105" x14ac:dyDescent="0.25">
      <c r="A214" s="5" t="s">
        <v>218</v>
      </c>
      <c r="B214" s="24" t="str">
        <f>VLOOKUP(A214,policy!B:C,2,0)</f>
        <v>050000755324</v>
      </c>
      <c r="C214" s="14">
        <v>-21865</v>
      </c>
      <c r="D214" s="25">
        <f t="shared" si="13"/>
        <v>-21865</v>
      </c>
      <c r="E214" s="23" t="s">
        <v>665</v>
      </c>
      <c r="F214" s="26" t="str">
        <f t="shared" si="12"/>
        <v>insert into ins_premium_det (premium_rcv_code,assorted_code, rec_amount,premium_rcv_detail_code,remaining_amt, payrec, mode_code,coinsurance_code,class_cd,it_remarks) values</v>
      </c>
      <c r="G214" s="27" t="str">
        <f t="shared" si="14"/>
        <v>('07May250079','050000755324','-21865',(select max(to_number(i.premium_rcv_detail_code))+1
from ins_premium_det i),'-21865','-21865','02', '11000003','00','Request by Mr. Omair Ali 09-May-2025');</v>
      </c>
      <c r="H214" s="28" t="str">
        <f t="shared" si="15"/>
        <v>insert into ins_premium_det (premium_rcv_code,assorted_code, rec_amount,premium_rcv_detail_code,remaining_amt, payrec, mode_code,coinsurance_code,class_cd,it_remarks) values('07May250079','050000755324','-21865',(select max(to_number(i.premium_rcv_detail_code))+1
from ins_premium_det i),'-21865','-21865','02', '11000003','00','Request by Mr. Omair Ali 09-May-2025');</v>
      </c>
    </row>
    <row r="215" spans="1:8" ht="105" x14ac:dyDescent="0.25">
      <c r="A215" s="5" t="s">
        <v>219</v>
      </c>
      <c r="B215" s="24" t="str">
        <f>VLOOKUP(A215,policy!B:C,2,0)</f>
        <v>050000755342</v>
      </c>
      <c r="C215" s="14">
        <v>634872</v>
      </c>
      <c r="D215" s="25">
        <f t="shared" si="13"/>
        <v>634872</v>
      </c>
      <c r="E215" s="23" t="s">
        <v>665</v>
      </c>
      <c r="F215" s="26" t="str">
        <f t="shared" si="12"/>
        <v>insert into ins_premium_det (premium_rcv_code,assorted_code, rec_amount,premium_rcv_detail_code,remaining_amt, payrec, mode_code,coinsurance_code,class_cd,it_remarks) values</v>
      </c>
      <c r="G215" s="27" t="str">
        <f t="shared" si="14"/>
        <v>('07May250079','050000755342','634872',(select max(to_number(i.premium_rcv_detail_code))+1
from ins_premium_det i),'634872','634872','02', '11000003','00','Request by Mr. Omair Ali 09-May-2025');</v>
      </c>
      <c r="H215" s="28" t="str">
        <f t="shared" si="15"/>
        <v>insert into ins_premium_det (premium_rcv_code,assorted_code, rec_amount,premium_rcv_detail_code,remaining_amt, payrec, mode_code,coinsurance_code,class_cd,it_remarks) values('07May250079','050000755342','634872',(select max(to_number(i.premium_rcv_detail_code))+1
from ins_premium_det i),'634872','634872','02', '11000003','00','Request by Mr. Omair Ali 09-May-2025');</v>
      </c>
    </row>
    <row r="216" spans="1:8" ht="105" x14ac:dyDescent="0.25">
      <c r="A216" s="5" t="s">
        <v>220</v>
      </c>
      <c r="B216" s="24" t="str">
        <f>VLOOKUP(A216,policy!B:C,2,0)</f>
        <v>050000756659</v>
      </c>
      <c r="C216" s="14">
        <v>-41742</v>
      </c>
      <c r="D216" s="25">
        <f t="shared" si="13"/>
        <v>-41742</v>
      </c>
      <c r="E216" s="23" t="s">
        <v>665</v>
      </c>
      <c r="F216" s="26" t="str">
        <f t="shared" si="12"/>
        <v>insert into ins_premium_det (premium_rcv_code,assorted_code, rec_amount,premium_rcv_detail_code,remaining_amt, payrec, mode_code,coinsurance_code,class_cd,it_remarks) values</v>
      </c>
      <c r="G216" s="27" t="str">
        <f t="shared" si="14"/>
        <v>('07May250079','050000756659','-41742',(select max(to_number(i.premium_rcv_detail_code))+1
from ins_premium_det i),'-41742','-41742','02', '11000003','00','Request by Mr. Omair Ali 09-May-2025');</v>
      </c>
      <c r="H216" s="28" t="str">
        <f t="shared" si="15"/>
        <v>insert into ins_premium_det (premium_rcv_code,assorted_code, rec_amount,premium_rcv_detail_code,remaining_amt, payrec, mode_code,coinsurance_code,class_cd,it_remarks) values('07May250079','050000756659','-41742',(select max(to_number(i.premium_rcv_detail_code))+1
from ins_premium_det i),'-41742','-41742','02', '11000003','00','Request by Mr. Omair Ali 09-May-2025');</v>
      </c>
    </row>
    <row r="217" spans="1:8" ht="105" x14ac:dyDescent="0.25">
      <c r="A217" s="5" t="s">
        <v>221</v>
      </c>
      <c r="B217" s="24" t="str">
        <f>VLOOKUP(A217,policy!B:C,2,0)</f>
        <v>050000756736</v>
      </c>
      <c r="C217" s="14">
        <v>77</v>
      </c>
      <c r="D217" s="25">
        <f t="shared" si="13"/>
        <v>77</v>
      </c>
      <c r="E217" s="23" t="s">
        <v>665</v>
      </c>
      <c r="F217" s="26" t="str">
        <f t="shared" si="12"/>
        <v>insert into ins_premium_det (premium_rcv_code,assorted_code, rec_amount,premium_rcv_detail_code,remaining_amt, payrec, mode_code,coinsurance_code,class_cd,it_remarks) values</v>
      </c>
      <c r="G217" s="27" t="str">
        <f t="shared" si="14"/>
        <v>('07May250079','050000756736','77',(select max(to_number(i.premium_rcv_detail_code))+1
from ins_premium_det i),'77','77','02', '11000003','00','Request by Mr. Omair Ali 09-May-2025');</v>
      </c>
      <c r="H217" s="28" t="str">
        <f t="shared" si="15"/>
        <v>insert into ins_premium_det (premium_rcv_code,assorted_code, rec_amount,premium_rcv_detail_code,remaining_amt, payrec, mode_code,coinsurance_code,class_cd,it_remarks) values('07May250079','050000756736','77',(select max(to_number(i.premium_rcv_detail_code))+1
from ins_premium_det i),'77','77','02', '11000003','00','Request by Mr. Omair Ali 09-May-2025');</v>
      </c>
    </row>
    <row r="218" spans="1:8" ht="105" x14ac:dyDescent="0.25">
      <c r="A218" s="5" t="s">
        <v>222</v>
      </c>
      <c r="B218" s="24" t="str">
        <f>VLOOKUP(A218,policy!B:C,2,0)</f>
        <v>050000758929</v>
      </c>
      <c r="C218" s="14">
        <v>-12156</v>
      </c>
      <c r="D218" s="25">
        <f t="shared" si="13"/>
        <v>-12156</v>
      </c>
      <c r="E218" s="23" t="s">
        <v>665</v>
      </c>
      <c r="F218" s="26" t="str">
        <f t="shared" si="12"/>
        <v>insert into ins_premium_det (premium_rcv_code,assorted_code, rec_amount,premium_rcv_detail_code,remaining_amt, payrec, mode_code,coinsurance_code,class_cd,it_remarks) values</v>
      </c>
      <c r="G218" s="27" t="str">
        <f t="shared" si="14"/>
        <v>('07May250079','050000758929','-12156',(select max(to_number(i.premium_rcv_detail_code))+1
from ins_premium_det i),'-12156','-12156','02', '11000003','00','Request by Mr. Omair Ali 09-May-2025');</v>
      </c>
      <c r="H218" s="28" t="str">
        <f t="shared" si="15"/>
        <v>insert into ins_premium_det (premium_rcv_code,assorted_code, rec_amount,premium_rcv_detail_code,remaining_amt, payrec, mode_code,coinsurance_code,class_cd,it_remarks) values('07May250079','050000758929','-12156',(select max(to_number(i.premium_rcv_detail_code))+1
from ins_premium_det i),'-12156','-12156','02', '11000003','00','Request by Mr. Omair Ali 09-May-2025');</v>
      </c>
    </row>
    <row r="219" spans="1:8" ht="105" x14ac:dyDescent="0.25">
      <c r="A219" s="5" t="s">
        <v>223</v>
      </c>
      <c r="B219" s="24" t="str">
        <f>VLOOKUP(A219,policy!B:C,2,0)</f>
        <v>050000759582</v>
      </c>
      <c r="C219" s="14">
        <v>-55290</v>
      </c>
      <c r="D219" s="25">
        <f t="shared" si="13"/>
        <v>-55290</v>
      </c>
      <c r="E219" s="23" t="s">
        <v>665</v>
      </c>
      <c r="F219" s="26" t="str">
        <f t="shared" si="12"/>
        <v>insert into ins_premium_det (premium_rcv_code,assorted_code, rec_amount,premium_rcv_detail_code,remaining_amt, payrec, mode_code,coinsurance_code,class_cd,it_remarks) values</v>
      </c>
      <c r="G219" s="27" t="str">
        <f t="shared" si="14"/>
        <v>('07May250079','050000759582','-55290',(select max(to_number(i.premium_rcv_detail_code))+1
from ins_premium_det i),'-55290','-55290','02', '11000003','00','Request by Mr. Omair Ali 09-May-2025');</v>
      </c>
      <c r="H219" s="28" t="str">
        <f t="shared" si="15"/>
        <v>insert into ins_premium_det (premium_rcv_code,assorted_code, rec_amount,premium_rcv_detail_code,remaining_amt, payrec, mode_code,coinsurance_code,class_cd,it_remarks) values('07May250079','050000759582','-55290',(select max(to_number(i.premium_rcv_detail_code))+1
from ins_premium_det i),'-55290','-55290','02', '11000003','00','Request by Mr. Omair Ali 09-May-2025');</v>
      </c>
    </row>
    <row r="220" spans="1:8" ht="105" x14ac:dyDescent="0.25">
      <c r="A220" s="5" t="s">
        <v>224</v>
      </c>
      <c r="B220" s="24" t="str">
        <f>VLOOKUP(A220,policy!B:C,2,0)</f>
        <v>050000759760</v>
      </c>
      <c r="C220" s="14">
        <v>-48697</v>
      </c>
      <c r="D220" s="25">
        <f t="shared" si="13"/>
        <v>-48697</v>
      </c>
      <c r="E220" s="23" t="s">
        <v>665</v>
      </c>
      <c r="F220" s="26" t="str">
        <f t="shared" si="12"/>
        <v>insert into ins_premium_det (premium_rcv_code,assorted_code, rec_amount,premium_rcv_detail_code,remaining_amt, payrec, mode_code,coinsurance_code,class_cd,it_remarks) values</v>
      </c>
      <c r="G220" s="27" t="str">
        <f t="shared" si="14"/>
        <v>('07May250079','050000759760','-48697',(select max(to_number(i.premium_rcv_detail_code))+1
from ins_premium_det i),'-48697','-48697','02', '11000003','00','Request by Mr. Omair Ali 09-May-2025');</v>
      </c>
      <c r="H220" s="28" t="str">
        <f t="shared" si="15"/>
        <v>insert into ins_premium_det (premium_rcv_code,assorted_code, rec_amount,premium_rcv_detail_code,remaining_amt, payrec, mode_code,coinsurance_code,class_cd,it_remarks) values('07May250079','050000759760','-48697',(select max(to_number(i.premium_rcv_detail_code))+1
from ins_premium_det i),'-48697','-48697','02', '11000003','00','Request by Mr. Omair Ali 09-May-2025');</v>
      </c>
    </row>
    <row r="221" spans="1:8" ht="105" x14ac:dyDescent="0.25">
      <c r="A221" s="5" t="s">
        <v>225</v>
      </c>
      <c r="B221" s="24" t="str">
        <f>VLOOKUP(A221,policy!B:C,2,0)</f>
        <v>050000760001</v>
      </c>
      <c r="C221" s="14">
        <v>-92057</v>
      </c>
      <c r="D221" s="25">
        <f t="shared" si="13"/>
        <v>-92057</v>
      </c>
      <c r="E221" s="23" t="s">
        <v>665</v>
      </c>
      <c r="F221" s="26" t="str">
        <f t="shared" si="12"/>
        <v>insert into ins_premium_det (premium_rcv_code,assorted_code, rec_amount,premium_rcv_detail_code,remaining_amt, payrec, mode_code,coinsurance_code,class_cd,it_remarks) values</v>
      </c>
      <c r="G221" s="27" t="str">
        <f t="shared" si="14"/>
        <v>('07May250079','050000760001','-92057',(select max(to_number(i.premium_rcv_detail_code))+1
from ins_premium_det i),'-92057','-92057','02', '11000003','00','Request by Mr. Omair Ali 09-May-2025');</v>
      </c>
      <c r="H221" s="28" t="str">
        <f t="shared" si="15"/>
        <v>insert into ins_premium_det (premium_rcv_code,assorted_code, rec_amount,premium_rcv_detail_code,remaining_amt, payrec, mode_code,coinsurance_code,class_cd,it_remarks) values('07May250079','050000760001','-92057',(select max(to_number(i.premium_rcv_detail_code))+1
from ins_premium_det i),'-92057','-92057','02', '11000003','00','Request by Mr. Omair Ali 09-May-2025');</v>
      </c>
    </row>
    <row r="222" spans="1:8" ht="105" x14ac:dyDescent="0.25">
      <c r="A222" s="5" t="s">
        <v>226</v>
      </c>
      <c r="B222" s="24" t="str">
        <f>VLOOKUP(A222,policy!B:C,2,0)</f>
        <v>050000760535</v>
      </c>
      <c r="C222" s="14">
        <v>-248570</v>
      </c>
      <c r="D222" s="25">
        <f t="shared" si="13"/>
        <v>-248570</v>
      </c>
      <c r="E222" s="23" t="s">
        <v>665</v>
      </c>
      <c r="F222" s="26" t="str">
        <f t="shared" si="12"/>
        <v>insert into ins_premium_det (premium_rcv_code,assorted_code, rec_amount,premium_rcv_detail_code,remaining_amt, payrec, mode_code,coinsurance_code,class_cd,it_remarks) values</v>
      </c>
      <c r="G222" s="27" t="str">
        <f t="shared" si="14"/>
        <v>('07May250079','050000760535','-248570',(select max(to_number(i.premium_rcv_detail_code))+1
from ins_premium_det i),'-248570','-248570','02', '11000003','00','Request by Mr. Omair Ali 09-May-2025');</v>
      </c>
      <c r="H222" s="28" t="str">
        <f t="shared" si="15"/>
        <v>insert into ins_premium_det (premium_rcv_code,assorted_code, rec_amount,premium_rcv_detail_code,remaining_amt, payrec, mode_code,coinsurance_code,class_cd,it_remarks) values('07May250079','050000760535','-248570',(select max(to_number(i.premium_rcv_detail_code))+1
from ins_premium_det i),'-248570','-248570','02', '11000003','00','Request by Mr. Omair Ali 09-May-2025');</v>
      </c>
    </row>
    <row r="223" spans="1:8" ht="105" x14ac:dyDescent="0.25">
      <c r="A223" s="5" t="s">
        <v>227</v>
      </c>
      <c r="B223" s="24" t="str">
        <f>VLOOKUP(A223,policy!B:C,2,0)</f>
        <v>050000761007</v>
      </c>
      <c r="C223" s="14">
        <v>-46475</v>
      </c>
      <c r="D223" s="25">
        <f t="shared" si="13"/>
        <v>-46475</v>
      </c>
      <c r="E223" s="23" t="s">
        <v>665</v>
      </c>
      <c r="F223" s="26" t="str">
        <f t="shared" si="12"/>
        <v>insert into ins_premium_det (premium_rcv_code,assorted_code, rec_amount,premium_rcv_detail_code,remaining_amt, payrec, mode_code,coinsurance_code,class_cd,it_remarks) values</v>
      </c>
      <c r="G223" s="27" t="str">
        <f t="shared" si="14"/>
        <v>('07May250079','050000761007','-46475',(select max(to_number(i.premium_rcv_detail_code))+1
from ins_premium_det i),'-46475','-46475','02', '11000003','00','Request by Mr. Omair Ali 09-May-2025');</v>
      </c>
      <c r="H223" s="28" t="str">
        <f t="shared" si="15"/>
        <v>insert into ins_premium_det (premium_rcv_code,assorted_code, rec_amount,premium_rcv_detail_code,remaining_amt, payrec, mode_code,coinsurance_code,class_cd,it_remarks) values('07May250079','050000761007','-46475',(select max(to_number(i.premium_rcv_detail_code))+1
from ins_premium_det i),'-46475','-46475','02', '11000003','00','Request by Mr. Omair Ali 09-May-2025');</v>
      </c>
    </row>
    <row r="224" spans="1:8" ht="105" x14ac:dyDescent="0.25">
      <c r="A224" s="5" t="s">
        <v>228</v>
      </c>
      <c r="B224" s="24" t="str">
        <f>VLOOKUP(A224,policy!B:C,2,0)</f>
        <v>050000761160</v>
      </c>
      <c r="C224" s="14">
        <v>477949</v>
      </c>
      <c r="D224" s="25">
        <f t="shared" si="13"/>
        <v>477949</v>
      </c>
      <c r="E224" s="23" t="s">
        <v>665</v>
      </c>
      <c r="F224" s="26" t="str">
        <f t="shared" si="12"/>
        <v>insert into ins_premium_det (premium_rcv_code,assorted_code, rec_amount,premium_rcv_detail_code,remaining_amt, payrec, mode_code,coinsurance_code,class_cd,it_remarks) values</v>
      </c>
      <c r="G224" s="27" t="str">
        <f t="shared" si="14"/>
        <v>('07May250079','050000761160','477949',(select max(to_number(i.premium_rcv_detail_code))+1
from ins_premium_det i),'477949','477949','02', '11000003','00','Request by Mr. Omair Ali 09-May-2025');</v>
      </c>
      <c r="H224" s="28" t="str">
        <f t="shared" si="15"/>
        <v>insert into ins_premium_det (premium_rcv_code,assorted_code, rec_amount,premium_rcv_detail_code,remaining_amt, payrec, mode_code,coinsurance_code,class_cd,it_remarks) values('07May250079','050000761160','477949',(select max(to_number(i.premium_rcv_detail_code))+1
from ins_premium_det i),'477949','477949','02', '11000003','00','Request by Mr. Omair Ali 09-May-2025');</v>
      </c>
    </row>
    <row r="225" spans="1:8" ht="105" x14ac:dyDescent="0.25">
      <c r="A225" s="5" t="s">
        <v>229</v>
      </c>
      <c r="B225" s="24" t="str">
        <f>VLOOKUP(A225,policy!B:C,2,0)</f>
        <v>050000761649</v>
      </c>
      <c r="C225" s="14">
        <v>161359</v>
      </c>
      <c r="D225" s="25">
        <f t="shared" si="13"/>
        <v>161359</v>
      </c>
      <c r="E225" s="23" t="s">
        <v>665</v>
      </c>
      <c r="F225" s="26" t="str">
        <f t="shared" si="12"/>
        <v>insert into ins_premium_det (premium_rcv_code,assorted_code, rec_amount,premium_rcv_detail_code,remaining_amt, payrec, mode_code,coinsurance_code,class_cd,it_remarks) values</v>
      </c>
      <c r="G225" s="27" t="str">
        <f t="shared" si="14"/>
        <v>('07May250079','050000761649','161359',(select max(to_number(i.premium_rcv_detail_code))+1
from ins_premium_det i),'161359','161359','02', '11000003','00','Request by Mr. Omair Ali 09-May-2025');</v>
      </c>
      <c r="H225" s="28" t="str">
        <f t="shared" si="15"/>
        <v>insert into ins_premium_det (premium_rcv_code,assorted_code, rec_amount,premium_rcv_detail_code,remaining_amt, payrec, mode_code,coinsurance_code,class_cd,it_remarks) values('07May250079','050000761649','161359',(select max(to_number(i.premium_rcv_detail_code))+1
from ins_premium_det i),'161359','161359','02', '11000003','00','Request by Mr. Omair Ali 09-May-2025');</v>
      </c>
    </row>
    <row r="226" spans="1:8" ht="105" x14ac:dyDescent="0.25">
      <c r="A226" s="5" t="s">
        <v>230</v>
      </c>
      <c r="B226" s="24" t="str">
        <f>VLOOKUP(A226,policy!B:C,2,0)</f>
        <v>050000762013</v>
      </c>
      <c r="C226" s="14">
        <v>-11293</v>
      </c>
      <c r="D226" s="25">
        <f t="shared" si="13"/>
        <v>-11293</v>
      </c>
      <c r="E226" s="23" t="s">
        <v>665</v>
      </c>
      <c r="F226" s="26" t="str">
        <f t="shared" si="12"/>
        <v>insert into ins_premium_det (premium_rcv_code,assorted_code, rec_amount,premium_rcv_detail_code,remaining_amt, payrec, mode_code,coinsurance_code,class_cd,it_remarks) values</v>
      </c>
      <c r="G226" s="27" t="str">
        <f t="shared" si="14"/>
        <v>('07May250079','050000762013','-11293',(select max(to_number(i.premium_rcv_detail_code))+1
from ins_premium_det i),'-11293','-11293','02', '11000003','00','Request by Mr. Omair Ali 09-May-2025');</v>
      </c>
      <c r="H226" s="28" t="str">
        <f t="shared" si="15"/>
        <v>insert into ins_premium_det (premium_rcv_code,assorted_code, rec_amount,premium_rcv_detail_code,remaining_amt, payrec, mode_code,coinsurance_code,class_cd,it_remarks) values('07May250079','050000762013','-11293',(select max(to_number(i.premium_rcv_detail_code))+1
from ins_premium_det i),'-11293','-11293','02', '11000003','00','Request by Mr. Omair Ali 09-May-2025');</v>
      </c>
    </row>
    <row r="227" spans="1:8" ht="105" x14ac:dyDescent="0.25">
      <c r="A227" s="5" t="s">
        <v>231</v>
      </c>
      <c r="B227" s="24" t="str">
        <f>VLOOKUP(A227,policy!B:C,2,0)</f>
        <v>050000765657</v>
      </c>
      <c r="C227" s="14">
        <v>-10599</v>
      </c>
      <c r="D227" s="25">
        <f t="shared" si="13"/>
        <v>-10599</v>
      </c>
      <c r="E227" s="23" t="s">
        <v>665</v>
      </c>
      <c r="F227" s="26" t="str">
        <f t="shared" si="12"/>
        <v>insert into ins_premium_det (premium_rcv_code,assorted_code, rec_amount,premium_rcv_detail_code,remaining_amt, payrec, mode_code,coinsurance_code,class_cd,it_remarks) values</v>
      </c>
      <c r="G227" s="27" t="str">
        <f t="shared" si="14"/>
        <v>('07May250079','050000765657','-10599',(select max(to_number(i.premium_rcv_detail_code))+1
from ins_premium_det i),'-10599','-10599','02', '11000003','00','Request by Mr. Omair Ali 09-May-2025');</v>
      </c>
      <c r="H227" s="28" t="str">
        <f t="shared" si="15"/>
        <v>insert into ins_premium_det (premium_rcv_code,assorted_code, rec_amount,premium_rcv_detail_code,remaining_amt, payrec, mode_code,coinsurance_code,class_cd,it_remarks) values('07May250079','050000765657','-10599',(select max(to_number(i.premium_rcv_detail_code))+1
from ins_premium_det i),'-10599','-10599','02', '11000003','00','Request by Mr. Omair Ali 09-May-2025');</v>
      </c>
    </row>
    <row r="228" spans="1:8" ht="105" x14ac:dyDescent="0.25">
      <c r="A228" s="5" t="s">
        <v>232</v>
      </c>
      <c r="B228" s="24" t="str">
        <f>VLOOKUP(A228,policy!B:C,2,0)</f>
        <v>050000766842</v>
      </c>
      <c r="C228" s="14">
        <v>-25017</v>
      </c>
      <c r="D228" s="25">
        <f t="shared" si="13"/>
        <v>-25017</v>
      </c>
      <c r="E228" s="23" t="s">
        <v>665</v>
      </c>
      <c r="F228" s="26" t="str">
        <f t="shared" si="12"/>
        <v>insert into ins_premium_det (premium_rcv_code,assorted_code, rec_amount,premium_rcv_detail_code,remaining_amt, payrec, mode_code,coinsurance_code,class_cd,it_remarks) values</v>
      </c>
      <c r="G228" s="27" t="str">
        <f t="shared" si="14"/>
        <v>('07May250079','050000766842','-25017',(select max(to_number(i.premium_rcv_detail_code))+1
from ins_premium_det i),'-25017','-25017','02', '11000003','00','Request by Mr. Omair Ali 09-May-2025');</v>
      </c>
      <c r="H228" s="28" t="str">
        <f t="shared" si="15"/>
        <v>insert into ins_premium_det (premium_rcv_code,assorted_code, rec_amount,premium_rcv_detail_code,remaining_amt, payrec, mode_code,coinsurance_code,class_cd,it_remarks) values('07May250079','050000766842','-25017',(select max(to_number(i.premium_rcv_detail_code))+1
from ins_premium_det i),'-25017','-25017','02', '11000003','00','Request by Mr. Omair Ali 09-May-2025');</v>
      </c>
    </row>
    <row r="229" spans="1:8" ht="105" x14ac:dyDescent="0.25">
      <c r="A229" s="5" t="s">
        <v>233</v>
      </c>
      <c r="B229" s="24" t="str">
        <f>VLOOKUP(A229,policy!B:C,2,0)</f>
        <v>050000768394</v>
      </c>
      <c r="C229" s="14">
        <v>23743</v>
      </c>
      <c r="D229" s="25">
        <f t="shared" si="13"/>
        <v>23743</v>
      </c>
      <c r="E229" s="23" t="s">
        <v>665</v>
      </c>
      <c r="F229" s="26" t="str">
        <f t="shared" si="12"/>
        <v>insert into ins_premium_det (premium_rcv_code,assorted_code, rec_amount,premium_rcv_detail_code,remaining_amt, payrec, mode_code,coinsurance_code,class_cd,it_remarks) values</v>
      </c>
      <c r="G229" s="27" t="str">
        <f t="shared" si="14"/>
        <v>('07May250079','050000768394','23743',(select max(to_number(i.premium_rcv_detail_code))+1
from ins_premium_det i),'23743','23743','02', '11000003','00','Request by Mr. Omair Ali 09-May-2025');</v>
      </c>
      <c r="H229" s="28" t="str">
        <f t="shared" si="15"/>
        <v>insert into ins_premium_det (premium_rcv_code,assorted_code, rec_amount,premium_rcv_detail_code,remaining_amt, payrec, mode_code,coinsurance_code,class_cd,it_remarks) values('07May250079','050000768394','23743',(select max(to_number(i.premium_rcv_detail_code))+1
from ins_premium_det i),'23743','23743','02', '11000003','00','Request by Mr. Omair Ali 09-May-2025');</v>
      </c>
    </row>
    <row r="230" spans="1:8" ht="105" x14ac:dyDescent="0.25">
      <c r="A230" s="5" t="s">
        <v>234</v>
      </c>
      <c r="B230" s="24" t="str">
        <f>VLOOKUP(A230,policy!B:C,2,0)</f>
        <v>050000769463</v>
      </c>
      <c r="C230" s="14">
        <v>-7040</v>
      </c>
      <c r="D230" s="25">
        <f t="shared" si="13"/>
        <v>-7040</v>
      </c>
      <c r="E230" s="23" t="s">
        <v>665</v>
      </c>
      <c r="F230" s="26" t="str">
        <f t="shared" si="12"/>
        <v>insert into ins_premium_det (premium_rcv_code,assorted_code, rec_amount,premium_rcv_detail_code,remaining_amt, payrec, mode_code,coinsurance_code,class_cd,it_remarks) values</v>
      </c>
      <c r="G230" s="27" t="str">
        <f t="shared" si="14"/>
        <v>('07May250079','050000769463','-7040',(select max(to_number(i.premium_rcv_detail_code))+1
from ins_premium_det i),'-7040','-7040','02', '11000003','00','Request by Mr. Omair Ali 09-May-2025');</v>
      </c>
      <c r="H230" s="28" t="str">
        <f t="shared" si="15"/>
        <v>insert into ins_premium_det (premium_rcv_code,assorted_code, rec_amount,premium_rcv_detail_code,remaining_amt, payrec, mode_code,coinsurance_code,class_cd,it_remarks) values('07May250079','050000769463','-7040',(select max(to_number(i.premium_rcv_detail_code))+1
from ins_premium_det i),'-7040','-7040','02', '11000003','00','Request by Mr. Omair Ali 09-May-2025');</v>
      </c>
    </row>
    <row r="231" spans="1:8" ht="105" x14ac:dyDescent="0.25">
      <c r="A231" s="5" t="s">
        <v>235</v>
      </c>
      <c r="B231" s="24" t="str">
        <f>VLOOKUP(A231,policy!B:C,2,0)</f>
        <v>050000769635</v>
      </c>
      <c r="C231" s="14">
        <v>-35359</v>
      </c>
      <c r="D231" s="25">
        <f t="shared" si="13"/>
        <v>-35359</v>
      </c>
      <c r="E231" s="23" t="s">
        <v>665</v>
      </c>
      <c r="F231" s="26" t="str">
        <f t="shared" si="12"/>
        <v>insert into ins_premium_det (premium_rcv_code,assorted_code, rec_amount,premium_rcv_detail_code,remaining_amt, payrec, mode_code,coinsurance_code,class_cd,it_remarks) values</v>
      </c>
      <c r="G231" s="27" t="str">
        <f t="shared" si="14"/>
        <v>('07May250079','050000769635','-35359',(select max(to_number(i.premium_rcv_detail_code))+1
from ins_premium_det i),'-35359','-35359','02', '11000003','00','Request by Mr. Omair Ali 09-May-2025');</v>
      </c>
      <c r="H231" s="28" t="str">
        <f t="shared" si="15"/>
        <v>insert into ins_premium_det (premium_rcv_code,assorted_code, rec_amount,premium_rcv_detail_code,remaining_amt, payrec, mode_code,coinsurance_code,class_cd,it_remarks) values('07May250079','050000769635','-35359',(select max(to_number(i.premium_rcv_detail_code))+1
from ins_premium_det i),'-35359','-35359','02', '11000003','00','Request by Mr. Omair Ali 09-May-2025');</v>
      </c>
    </row>
    <row r="232" spans="1:8" ht="105" x14ac:dyDescent="0.25">
      <c r="A232" s="5" t="s">
        <v>236</v>
      </c>
      <c r="B232" s="24" t="str">
        <f>VLOOKUP(A232,policy!B:C,2,0)</f>
        <v>050000770520</v>
      </c>
      <c r="C232" s="14">
        <v>-16913</v>
      </c>
      <c r="D232" s="25">
        <f t="shared" si="13"/>
        <v>-16913</v>
      </c>
      <c r="E232" s="23" t="s">
        <v>665</v>
      </c>
      <c r="F232" s="26" t="str">
        <f t="shared" si="12"/>
        <v>insert into ins_premium_det (premium_rcv_code,assorted_code, rec_amount,premium_rcv_detail_code,remaining_amt, payrec, mode_code,coinsurance_code,class_cd,it_remarks) values</v>
      </c>
      <c r="G232" s="27" t="str">
        <f t="shared" si="14"/>
        <v>('07May250079','050000770520','-16913',(select max(to_number(i.premium_rcv_detail_code))+1
from ins_premium_det i),'-16913','-16913','02', '11000003','00','Request by Mr. Omair Ali 09-May-2025');</v>
      </c>
      <c r="H232" s="28" t="str">
        <f t="shared" si="15"/>
        <v>insert into ins_premium_det (premium_rcv_code,assorted_code, rec_amount,premium_rcv_detail_code,remaining_amt, payrec, mode_code,coinsurance_code,class_cd,it_remarks) values('07May250079','050000770520','-16913',(select max(to_number(i.premium_rcv_detail_code))+1
from ins_premium_det i),'-16913','-16913','02', '11000003','00','Request by Mr. Omair Ali 09-May-2025');</v>
      </c>
    </row>
    <row r="233" spans="1:8" ht="105" x14ac:dyDescent="0.25">
      <c r="A233" s="5" t="s">
        <v>237</v>
      </c>
      <c r="B233" s="24" t="str">
        <f>VLOOKUP(A233,policy!B:C,2,0)</f>
        <v>050000770725</v>
      </c>
      <c r="C233" s="14">
        <v>-79511</v>
      </c>
      <c r="D233" s="25">
        <f t="shared" si="13"/>
        <v>-79511</v>
      </c>
      <c r="E233" s="23" t="s">
        <v>665</v>
      </c>
      <c r="F233" s="26" t="str">
        <f t="shared" si="12"/>
        <v>insert into ins_premium_det (premium_rcv_code,assorted_code, rec_amount,premium_rcv_detail_code,remaining_amt, payrec, mode_code,coinsurance_code,class_cd,it_remarks) values</v>
      </c>
      <c r="G233" s="27" t="str">
        <f t="shared" si="14"/>
        <v>('07May250079','050000770725','-79511',(select max(to_number(i.premium_rcv_detail_code))+1
from ins_premium_det i),'-79511','-79511','02', '11000003','00','Request by Mr. Omair Ali 09-May-2025');</v>
      </c>
      <c r="H233" s="28" t="str">
        <f t="shared" si="15"/>
        <v>insert into ins_premium_det (premium_rcv_code,assorted_code, rec_amount,premium_rcv_detail_code,remaining_amt, payrec, mode_code,coinsurance_code,class_cd,it_remarks) values('07May250079','050000770725','-79511',(select max(to_number(i.premium_rcv_detail_code))+1
from ins_premium_det i),'-79511','-79511','02', '11000003','00','Request by Mr. Omair Ali 09-May-2025');</v>
      </c>
    </row>
    <row r="234" spans="1:8" ht="105" x14ac:dyDescent="0.25">
      <c r="A234" s="5" t="s">
        <v>238</v>
      </c>
      <c r="B234" s="24" t="str">
        <f>VLOOKUP(A234,policy!B:C,2,0)</f>
        <v>050000771132</v>
      </c>
      <c r="C234" s="14">
        <v>-18905</v>
      </c>
      <c r="D234" s="25">
        <f t="shared" si="13"/>
        <v>-18905</v>
      </c>
      <c r="E234" s="23" t="s">
        <v>665</v>
      </c>
      <c r="F234" s="26" t="str">
        <f t="shared" si="12"/>
        <v>insert into ins_premium_det (premium_rcv_code,assorted_code, rec_amount,premium_rcv_detail_code,remaining_amt, payrec, mode_code,coinsurance_code,class_cd,it_remarks) values</v>
      </c>
      <c r="G234" s="27" t="str">
        <f t="shared" si="14"/>
        <v>('07May250079','050000771132','-18905',(select max(to_number(i.premium_rcv_detail_code))+1
from ins_premium_det i),'-18905','-18905','02', '11000003','00','Request by Mr. Omair Ali 09-May-2025');</v>
      </c>
      <c r="H234" s="28" t="str">
        <f t="shared" si="15"/>
        <v>insert into ins_premium_det (premium_rcv_code,assorted_code, rec_amount,premium_rcv_detail_code,remaining_amt, payrec, mode_code,coinsurance_code,class_cd,it_remarks) values('07May250079','050000771132','-18905',(select max(to_number(i.premium_rcv_detail_code))+1
from ins_premium_det i),'-18905','-18905','02', '11000003','00','Request by Mr. Omair Ali 09-May-2025');</v>
      </c>
    </row>
    <row r="235" spans="1:8" ht="105" x14ac:dyDescent="0.25">
      <c r="A235" s="5" t="s">
        <v>239</v>
      </c>
      <c r="B235" s="24" t="str">
        <f>VLOOKUP(A235,policy!B:C,2,0)</f>
        <v>050000771919</v>
      </c>
      <c r="C235" s="14">
        <v>-35457</v>
      </c>
      <c r="D235" s="25">
        <f t="shared" si="13"/>
        <v>-35457</v>
      </c>
      <c r="E235" s="23" t="s">
        <v>665</v>
      </c>
      <c r="F235" s="26" t="str">
        <f t="shared" si="12"/>
        <v>insert into ins_premium_det (premium_rcv_code,assorted_code, rec_amount,premium_rcv_detail_code,remaining_amt, payrec, mode_code,coinsurance_code,class_cd,it_remarks) values</v>
      </c>
      <c r="G235" s="27" t="str">
        <f t="shared" si="14"/>
        <v>('07May250079','050000771919','-35457',(select max(to_number(i.premium_rcv_detail_code))+1
from ins_premium_det i),'-35457','-35457','02', '11000003','00','Request by Mr. Omair Ali 09-May-2025');</v>
      </c>
      <c r="H235" s="28" t="str">
        <f t="shared" si="15"/>
        <v>insert into ins_premium_det (premium_rcv_code,assorted_code, rec_amount,premium_rcv_detail_code,remaining_amt, payrec, mode_code,coinsurance_code,class_cd,it_remarks) values('07May250079','050000771919','-35457',(select max(to_number(i.premium_rcv_detail_code))+1
from ins_premium_det i),'-35457','-35457','02', '11000003','00','Request by Mr. Omair Ali 09-May-2025');</v>
      </c>
    </row>
    <row r="236" spans="1:8" ht="105" x14ac:dyDescent="0.25">
      <c r="A236" s="5" t="s">
        <v>240</v>
      </c>
      <c r="B236" s="24" t="str">
        <f>VLOOKUP(A236,policy!B:C,2,0)</f>
        <v>050000773603</v>
      </c>
      <c r="C236" s="14">
        <v>730928</v>
      </c>
      <c r="D236" s="25">
        <f t="shared" si="13"/>
        <v>730928</v>
      </c>
      <c r="E236" s="23" t="s">
        <v>665</v>
      </c>
      <c r="F236" s="26" t="str">
        <f t="shared" si="12"/>
        <v>insert into ins_premium_det (premium_rcv_code,assorted_code, rec_amount,premium_rcv_detail_code,remaining_amt, payrec, mode_code,coinsurance_code,class_cd,it_remarks) values</v>
      </c>
      <c r="G236" s="27" t="str">
        <f t="shared" si="14"/>
        <v>('07May250079','050000773603','730928',(select max(to_number(i.premium_rcv_detail_code))+1
from ins_premium_det i),'730928','730928','02', '11000003','00','Request by Mr. Omair Ali 09-May-2025');</v>
      </c>
      <c r="H236" s="28" t="str">
        <f t="shared" si="15"/>
        <v>insert into ins_premium_det (premium_rcv_code,assorted_code, rec_amount,premium_rcv_detail_code,remaining_amt, payrec, mode_code,coinsurance_code,class_cd,it_remarks) values('07May250079','050000773603','730928',(select max(to_number(i.premium_rcv_detail_code))+1
from ins_premium_det i),'730928','730928','02', '11000003','00','Request by Mr. Omair Ali 09-May-2025');</v>
      </c>
    </row>
    <row r="237" spans="1:8" ht="105" x14ac:dyDescent="0.25">
      <c r="A237" s="5" t="s">
        <v>241</v>
      </c>
      <c r="B237" s="24" t="str">
        <f>VLOOKUP(A237,policy!B:C,2,0)</f>
        <v>050000775546</v>
      </c>
      <c r="C237" s="14">
        <v>-32056</v>
      </c>
      <c r="D237" s="25">
        <f t="shared" si="13"/>
        <v>-32056</v>
      </c>
      <c r="E237" s="23" t="s">
        <v>665</v>
      </c>
      <c r="F237" s="26" t="str">
        <f t="shared" si="12"/>
        <v>insert into ins_premium_det (premium_rcv_code,assorted_code, rec_amount,premium_rcv_detail_code,remaining_amt, payrec, mode_code,coinsurance_code,class_cd,it_remarks) values</v>
      </c>
      <c r="G237" s="27" t="str">
        <f t="shared" si="14"/>
        <v>('07May250079','050000775546','-32056',(select max(to_number(i.premium_rcv_detail_code))+1
from ins_premium_det i),'-32056','-32056','02', '11000003','00','Request by Mr. Omair Ali 09-May-2025');</v>
      </c>
      <c r="H237" s="28" t="str">
        <f t="shared" si="15"/>
        <v>insert into ins_premium_det (premium_rcv_code,assorted_code, rec_amount,premium_rcv_detail_code,remaining_amt, payrec, mode_code,coinsurance_code,class_cd,it_remarks) values('07May250079','050000775546','-32056',(select max(to_number(i.premium_rcv_detail_code))+1
from ins_premium_det i),'-32056','-32056','02', '11000003','00','Request by Mr. Omair Ali 09-May-2025');</v>
      </c>
    </row>
    <row r="238" spans="1:8" ht="105" x14ac:dyDescent="0.25">
      <c r="A238" s="5" t="s">
        <v>242</v>
      </c>
      <c r="B238" s="24" t="str">
        <f>VLOOKUP(A238,policy!B:C,2,0)</f>
        <v>050000776945</v>
      </c>
      <c r="C238" s="14">
        <v>-30221</v>
      </c>
      <c r="D238" s="25">
        <f t="shared" si="13"/>
        <v>-30221</v>
      </c>
      <c r="E238" s="23" t="s">
        <v>665</v>
      </c>
      <c r="F238" s="26" t="str">
        <f t="shared" si="12"/>
        <v>insert into ins_premium_det (premium_rcv_code,assorted_code, rec_amount,premium_rcv_detail_code,remaining_amt, payrec, mode_code,coinsurance_code,class_cd,it_remarks) values</v>
      </c>
      <c r="G238" s="27" t="str">
        <f t="shared" si="14"/>
        <v>('07May250079','050000776945','-30221',(select max(to_number(i.premium_rcv_detail_code))+1
from ins_premium_det i),'-30221','-30221','02', '11000003','00','Request by Mr. Omair Ali 09-May-2025');</v>
      </c>
      <c r="H238" s="28" t="str">
        <f t="shared" si="15"/>
        <v>insert into ins_premium_det (premium_rcv_code,assorted_code, rec_amount,premium_rcv_detail_code,remaining_amt, payrec, mode_code,coinsurance_code,class_cd,it_remarks) values('07May250079','050000776945','-30221',(select max(to_number(i.premium_rcv_detail_code))+1
from ins_premium_det i),'-30221','-30221','02', '11000003','00','Request by Mr. Omair Ali 09-May-2025');</v>
      </c>
    </row>
    <row r="239" spans="1:8" ht="105" x14ac:dyDescent="0.25">
      <c r="A239" s="5" t="s">
        <v>243</v>
      </c>
      <c r="B239" s="24" t="str">
        <f>VLOOKUP(A239,policy!B:C,2,0)</f>
        <v>050000777693</v>
      </c>
      <c r="C239" s="14">
        <v>-23509</v>
      </c>
      <c r="D239" s="25">
        <f t="shared" si="13"/>
        <v>-23509</v>
      </c>
      <c r="E239" s="23" t="s">
        <v>665</v>
      </c>
      <c r="F239" s="26" t="str">
        <f t="shared" si="12"/>
        <v>insert into ins_premium_det (premium_rcv_code,assorted_code, rec_amount,premium_rcv_detail_code,remaining_amt, payrec, mode_code,coinsurance_code,class_cd,it_remarks) values</v>
      </c>
      <c r="G239" s="27" t="str">
        <f t="shared" si="14"/>
        <v>('07May250079','050000777693','-23509',(select max(to_number(i.premium_rcv_detail_code))+1
from ins_premium_det i),'-23509','-23509','02', '11000003','00','Request by Mr. Omair Ali 09-May-2025');</v>
      </c>
      <c r="H239" s="28" t="str">
        <f t="shared" si="15"/>
        <v>insert into ins_premium_det (premium_rcv_code,assorted_code, rec_amount,premium_rcv_detail_code,remaining_amt, payrec, mode_code,coinsurance_code,class_cd,it_remarks) values('07May250079','050000777693','-23509',(select max(to_number(i.premium_rcv_detail_code))+1
from ins_premium_det i),'-23509','-23509','02', '11000003','00','Request by Mr. Omair Ali 09-May-2025');</v>
      </c>
    </row>
    <row r="240" spans="1:8" ht="105" x14ac:dyDescent="0.25">
      <c r="A240" s="5" t="s">
        <v>244</v>
      </c>
      <c r="B240" s="24" t="str">
        <f>VLOOKUP(A240,policy!B:C,2,0)</f>
        <v>050000777904</v>
      </c>
      <c r="C240" s="14">
        <v>-12044</v>
      </c>
      <c r="D240" s="25">
        <f t="shared" si="13"/>
        <v>-12044</v>
      </c>
      <c r="E240" s="23" t="s">
        <v>665</v>
      </c>
      <c r="F240" s="26" t="str">
        <f t="shared" si="12"/>
        <v>insert into ins_premium_det (premium_rcv_code,assorted_code, rec_amount,premium_rcv_detail_code,remaining_amt, payrec, mode_code,coinsurance_code,class_cd,it_remarks) values</v>
      </c>
      <c r="G240" s="27" t="str">
        <f t="shared" si="14"/>
        <v>('07May250079','050000777904','-12044',(select max(to_number(i.premium_rcv_detail_code))+1
from ins_premium_det i),'-12044','-12044','02', '11000003','00','Request by Mr. Omair Ali 09-May-2025');</v>
      </c>
      <c r="H240" s="28" t="str">
        <f t="shared" si="15"/>
        <v>insert into ins_premium_det (premium_rcv_code,assorted_code, rec_amount,premium_rcv_detail_code,remaining_amt, payrec, mode_code,coinsurance_code,class_cd,it_remarks) values('07May250079','050000777904','-12044',(select max(to_number(i.premium_rcv_detail_code))+1
from ins_premium_det i),'-12044','-12044','02', '11000003','00','Request by Mr. Omair Ali 09-May-2025');</v>
      </c>
    </row>
    <row r="241" spans="1:8" ht="105" x14ac:dyDescent="0.25">
      <c r="A241" s="5" t="s">
        <v>245</v>
      </c>
      <c r="B241" s="24" t="str">
        <f>VLOOKUP(A241,policy!B:C,2,0)</f>
        <v>050000778116</v>
      </c>
      <c r="C241" s="14">
        <v>-43245</v>
      </c>
      <c r="D241" s="25">
        <f t="shared" si="13"/>
        <v>-43245</v>
      </c>
      <c r="E241" s="23" t="s">
        <v>665</v>
      </c>
      <c r="F241" s="26" t="str">
        <f t="shared" si="12"/>
        <v>insert into ins_premium_det (premium_rcv_code,assorted_code, rec_amount,premium_rcv_detail_code,remaining_amt, payrec, mode_code,coinsurance_code,class_cd,it_remarks) values</v>
      </c>
      <c r="G241" s="27" t="str">
        <f t="shared" si="14"/>
        <v>('07May250079','050000778116','-43245',(select max(to_number(i.premium_rcv_detail_code))+1
from ins_premium_det i),'-43245','-43245','02', '11000003','00','Request by Mr. Omair Ali 09-May-2025');</v>
      </c>
      <c r="H241" s="28" t="str">
        <f t="shared" si="15"/>
        <v>insert into ins_premium_det (premium_rcv_code,assorted_code, rec_amount,premium_rcv_detail_code,remaining_amt, payrec, mode_code,coinsurance_code,class_cd,it_remarks) values('07May250079','050000778116','-43245',(select max(to_number(i.premium_rcv_detail_code))+1
from ins_premium_det i),'-43245','-43245','02', '11000003','00','Request by Mr. Omair Ali 09-May-2025');</v>
      </c>
    </row>
    <row r="242" spans="1:8" ht="105" x14ac:dyDescent="0.25">
      <c r="A242" s="5" t="s">
        <v>246</v>
      </c>
      <c r="B242" s="24" t="str">
        <f>VLOOKUP(A242,policy!B:C,2,0)</f>
        <v>050000778741</v>
      </c>
      <c r="C242" s="14">
        <v>-16922</v>
      </c>
      <c r="D242" s="25">
        <f t="shared" si="13"/>
        <v>-16922</v>
      </c>
      <c r="E242" s="23" t="s">
        <v>665</v>
      </c>
      <c r="F242" s="26" t="str">
        <f t="shared" si="12"/>
        <v>insert into ins_premium_det (premium_rcv_code,assorted_code, rec_amount,premium_rcv_detail_code,remaining_amt, payrec, mode_code,coinsurance_code,class_cd,it_remarks) values</v>
      </c>
      <c r="G242" s="27" t="str">
        <f t="shared" si="14"/>
        <v>('07May250079','050000778741','-16922',(select max(to_number(i.premium_rcv_detail_code))+1
from ins_premium_det i),'-16922','-16922','02', '11000003','00','Request by Mr. Omair Ali 09-May-2025');</v>
      </c>
      <c r="H242" s="28" t="str">
        <f t="shared" si="15"/>
        <v>insert into ins_premium_det (premium_rcv_code,assorted_code, rec_amount,premium_rcv_detail_code,remaining_amt, payrec, mode_code,coinsurance_code,class_cd,it_remarks) values('07May250079','050000778741','-16922',(select max(to_number(i.premium_rcv_detail_code))+1
from ins_premium_det i),'-16922','-16922','02', '11000003','00','Request by Mr. Omair Ali 09-May-2025');</v>
      </c>
    </row>
    <row r="243" spans="1:8" ht="105" x14ac:dyDescent="0.25">
      <c r="A243" s="5" t="s">
        <v>247</v>
      </c>
      <c r="B243" s="24" t="str">
        <f>VLOOKUP(A243,policy!B:C,2,0)</f>
        <v>050000778903</v>
      </c>
      <c r="C243" s="14">
        <v>-22337</v>
      </c>
      <c r="D243" s="25">
        <f t="shared" si="13"/>
        <v>-22337</v>
      </c>
      <c r="E243" s="23" t="s">
        <v>665</v>
      </c>
      <c r="F243" s="26" t="str">
        <f t="shared" si="12"/>
        <v>insert into ins_premium_det (premium_rcv_code,assorted_code, rec_amount,premium_rcv_detail_code,remaining_amt, payrec, mode_code,coinsurance_code,class_cd,it_remarks) values</v>
      </c>
      <c r="G243" s="27" t="str">
        <f t="shared" si="14"/>
        <v>('07May250079','050000778903','-22337',(select max(to_number(i.premium_rcv_detail_code))+1
from ins_premium_det i),'-22337','-22337','02', '11000003','00','Request by Mr. Omair Ali 09-May-2025');</v>
      </c>
      <c r="H243" s="28" t="str">
        <f t="shared" si="15"/>
        <v>insert into ins_premium_det (premium_rcv_code,assorted_code, rec_amount,premium_rcv_detail_code,remaining_amt, payrec, mode_code,coinsurance_code,class_cd,it_remarks) values('07May250079','050000778903','-22337',(select max(to_number(i.premium_rcv_detail_code))+1
from ins_premium_det i),'-22337','-22337','02', '11000003','00','Request by Mr. Omair Ali 09-May-2025');</v>
      </c>
    </row>
    <row r="244" spans="1:8" ht="105" x14ac:dyDescent="0.25">
      <c r="A244" s="5" t="s">
        <v>248</v>
      </c>
      <c r="B244" s="24" t="str">
        <f>VLOOKUP(A244,policy!B:C,2,0)</f>
        <v>050000779110</v>
      </c>
      <c r="C244" s="14">
        <v>-5641</v>
      </c>
      <c r="D244" s="25">
        <f t="shared" si="13"/>
        <v>-5641</v>
      </c>
      <c r="E244" s="23" t="s">
        <v>665</v>
      </c>
      <c r="F244" s="26" t="str">
        <f t="shared" si="12"/>
        <v>insert into ins_premium_det (premium_rcv_code,assorted_code, rec_amount,premium_rcv_detail_code,remaining_amt, payrec, mode_code,coinsurance_code,class_cd,it_remarks) values</v>
      </c>
      <c r="G244" s="27" t="str">
        <f t="shared" si="14"/>
        <v>('07May250079','050000779110','-5641',(select max(to_number(i.premium_rcv_detail_code))+1
from ins_premium_det i),'-5641','-5641','02', '11000003','00','Request by Mr. Omair Ali 09-May-2025');</v>
      </c>
      <c r="H244" s="28" t="str">
        <f t="shared" si="15"/>
        <v>insert into ins_premium_det (premium_rcv_code,assorted_code, rec_amount,premium_rcv_detail_code,remaining_amt, payrec, mode_code,coinsurance_code,class_cd,it_remarks) values('07May250079','050000779110','-5641',(select max(to_number(i.premium_rcv_detail_code))+1
from ins_premium_det i),'-5641','-5641','02', '11000003','00','Request by Mr. Omair Ali 09-May-2025');</v>
      </c>
    </row>
    <row r="245" spans="1:8" ht="105" x14ac:dyDescent="0.25">
      <c r="A245" s="5" t="s">
        <v>249</v>
      </c>
      <c r="B245" s="24" t="str">
        <f>VLOOKUP(A245,policy!B:C,2,0)</f>
        <v>050000780189</v>
      </c>
      <c r="C245" s="14">
        <v>-4344</v>
      </c>
      <c r="D245" s="25">
        <f t="shared" si="13"/>
        <v>-4344</v>
      </c>
      <c r="E245" s="23" t="s">
        <v>665</v>
      </c>
      <c r="F245" s="26" t="str">
        <f t="shared" si="12"/>
        <v>insert into ins_premium_det (premium_rcv_code,assorted_code, rec_amount,premium_rcv_detail_code,remaining_amt, payrec, mode_code,coinsurance_code,class_cd,it_remarks) values</v>
      </c>
      <c r="G245" s="27" t="str">
        <f t="shared" si="14"/>
        <v>('07May250079','050000780189','-4344',(select max(to_number(i.premium_rcv_detail_code))+1
from ins_premium_det i),'-4344','-4344','02', '11000003','00','Request by Mr. Omair Ali 09-May-2025');</v>
      </c>
      <c r="H245" s="28" t="str">
        <f t="shared" si="15"/>
        <v>insert into ins_premium_det (premium_rcv_code,assorted_code, rec_amount,premium_rcv_detail_code,remaining_amt, payrec, mode_code,coinsurance_code,class_cd,it_remarks) values('07May250079','050000780189','-4344',(select max(to_number(i.premium_rcv_detail_code))+1
from ins_premium_det i),'-4344','-4344','02', '11000003','00','Request by Mr. Omair Ali 09-May-2025');</v>
      </c>
    </row>
    <row r="246" spans="1:8" ht="105" x14ac:dyDescent="0.25">
      <c r="A246" s="5" t="s">
        <v>250</v>
      </c>
      <c r="B246" s="24" t="str">
        <f>VLOOKUP(A246,policy!B:C,2,0)</f>
        <v>050000780524</v>
      </c>
      <c r="C246" s="14">
        <v>-44156</v>
      </c>
      <c r="D246" s="25">
        <f t="shared" si="13"/>
        <v>-44156</v>
      </c>
      <c r="E246" s="23" t="s">
        <v>665</v>
      </c>
      <c r="F246" s="26" t="str">
        <f t="shared" si="12"/>
        <v>insert into ins_premium_det (premium_rcv_code,assorted_code, rec_amount,premium_rcv_detail_code,remaining_amt, payrec, mode_code,coinsurance_code,class_cd,it_remarks) values</v>
      </c>
      <c r="G246" s="27" t="str">
        <f t="shared" si="14"/>
        <v>('07May250079','050000780524','-44156',(select max(to_number(i.premium_rcv_detail_code))+1
from ins_premium_det i),'-44156','-44156','02', '11000003','00','Request by Mr. Omair Ali 09-May-2025');</v>
      </c>
      <c r="H246" s="28" t="str">
        <f t="shared" si="15"/>
        <v>insert into ins_premium_det (premium_rcv_code,assorted_code, rec_amount,premium_rcv_detail_code,remaining_amt, payrec, mode_code,coinsurance_code,class_cd,it_remarks) values('07May250079','050000780524','-44156',(select max(to_number(i.premium_rcv_detail_code))+1
from ins_premium_det i),'-44156','-44156','02', '11000003','00','Request by Mr. Omair Ali 09-May-2025');</v>
      </c>
    </row>
    <row r="247" spans="1:8" ht="105" x14ac:dyDescent="0.25">
      <c r="A247" s="5" t="s">
        <v>251</v>
      </c>
      <c r="B247" s="24" t="str">
        <f>VLOOKUP(A247,policy!B:C,2,0)</f>
        <v>050000781345</v>
      </c>
      <c r="C247" s="14">
        <v>-10591</v>
      </c>
      <c r="D247" s="25">
        <f t="shared" si="13"/>
        <v>-10591</v>
      </c>
      <c r="E247" s="23" t="s">
        <v>665</v>
      </c>
      <c r="F247" s="26" t="str">
        <f t="shared" si="12"/>
        <v>insert into ins_premium_det (premium_rcv_code,assorted_code, rec_amount,premium_rcv_detail_code,remaining_amt, payrec, mode_code,coinsurance_code,class_cd,it_remarks) values</v>
      </c>
      <c r="G247" s="27" t="str">
        <f t="shared" si="14"/>
        <v>('07May250079','050000781345','-10591',(select max(to_number(i.premium_rcv_detail_code))+1
from ins_premium_det i),'-10591','-10591','02', '11000003','00','Request by Mr. Omair Ali 09-May-2025');</v>
      </c>
      <c r="H247" s="28" t="str">
        <f t="shared" si="15"/>
        <v>insert into ins_premium_det (premium_rcv_code,assorted_code, rec_amount,premium_rcv_detail_code,remaining_amt, payrec, mode_code,coinsurance_code,class_cd,it_remarks) values('07May250079','050000781345','-10591',(select max(to_number(i.premium_rcv_detail_code))+1
from ins_premium_det i),'-10591','-10591','02', '11000003','00','Request by Mr. Omair Ali 09-May-2025');</v>
      </c>
    </row>
    <row r="248" spans="1:8" ht="105" x14ac:dyDescent="0.25">
      <c r="A248" s="5" t="s">
        <v>252</v>
      </c>
      <c r="B248" s="24" t="str">
        <f>VLOOKUP(A248,policy!B:C,2,0)</f>
        <v>050000781479</v>
      </c>
      <c r="C248" s="14">
        <v>-29168</v>
      </c>
      <c r="D248" s="25">
        <f t="shared" si="13"/>
        <v>-29168</v>
      </c>
      <c r="E248" s="23" t="s">
        <v>665</v>
      </c>
      <c r="F248" s="26" t="str">
        <f t="shared" si="12"/>
        <v>insert into ins_premium_det (premium_rcv_code,assorted_code, rec_amount,premium_rcv_detail_code,remaining_amt, payrec, mode_code,coinsurance_code,class_cd,it_remarks) values</v>
      </c>
      <c r="G248" s="27" t="str">
        <f t="shared" si="14"/>
        <v>('07May250079','050000781479','-29168',(select max(to_number(i.premium_rcv_detail_code))+1
from ins_premium_det i),'-29168','-29168','02', '11000003','00','Request by Mr. Omair Ali 09-May-2025');</v>
      </c>
      <c r="H248" s="28" t="str">
        <f t="shared" si="15"/>
        <v>insert into ins_premium_det (premium_rcv_code,assorted_code, rec_amount,premium_rcv_detail_code,remaining_amt, payrec, mode_code,coinsurance_code,class_cd,it_remarks) values('07May250079','050000781479','-29168',(select max(to_number(i.premium_rcv_detail_code))+1
from ins_premium_det i),'-29168','-29168','02', '11000003','00','Request by Mr. Omair Ali 09-May-2025');</v>
      </c>
    </row>
    <row r="249" spans="1:8" ht="105" x14ac:dyDescent="0.25">
      <c r="A249" s="5" t="s">
        <v>253</v>
      </c>
      <c r="B249" s="24" t="str">
        <f>VLOOKUP(A249,policy!B:C,2,0)</f>
        <v>050000781961</v>
      </c>
      <c r="C249" s="14">
        <v>201155</v>
      </c>
      <c r="D249" s="25">
        <f t="shared" si="13"/>
        <v>201155</v>
      </c>
      <c r="E249" s="23" t="s">
        <v>665</v>
      </c>
      <c r="F249" s="26" t="str">
        <f t="shared" si="12"/>
        <v>insert into ins_premium_det (premium_rcv_code,assorted_code, rec_amount,premium_rcv_detail_code,remaining_amt, payrec, mode_code,coinsurance_code,class_cd,it_remarks) values</v>
      </c>
      <c r="G249" s="27" t="str">
        <f t="shared" si="14"/>
        <v>('07May250079','050000781961','201155',(select max(to_number(i.premium_rcv_detail_code))+1
from ins_premium_det i),'201155','201155','02', '11000003','00','Request by Mr. Omair Ali 09-May-2025');</v>
      </c>
      <c r="H249" s="28" t="str">
        <f t="shared" si="15"/>
        <v>insert into ins_premium_det (premium_rcv_code,assorted_code, rec_amount,premium_rcv_detail_code,remaining_amt, payrec, mode_code,coinsurance_code,class_cd,it_remarks) values('07May250079','050000781961','201155',(select max(to_number(i.premium_rcv_detail_code))+1
from ins_premium_det i),'201155','201155','02', '11000003','00','Request by Mr. Omair Ali 09-May-2025');</v>
      </c>
    </row>
    <row r="250" spans="1:8" ht="105" x14ac:dyDescent="0.25">
      <c r="A250" s="5" t="s">
        <v>254</v>
      </c>
      <c r="B250" s="24" t="str">
        <f>VLOOKUP(A250,policy!B:C,2,0)</f>
        <v>050000782121</v>
      </c>
      <c r="C250" s="14">
        <v>-53422</v>
      </c>
      <c r="D250" s="25">
        <f t="shared" si="13"/>
        <v>-53422</v>
      </c>
      <c r="E250" s="23" t="s">
        <v>665</v>
      </c>
      <c r="F250" s="26" t="str">
        <f t="shared" si="12"/>
        <v>insert into ins_premium_det (premium_rcv_code,assorted_code, rec_amount,premium_rcv_detail_code,remaining_amt, payrec, mode_code,coinsurance_code,class_cd,it_remarks) values</v>
      </c>
      <c r="G250" s="27" t="str">
        <f t="shared" si="14"/>
        <v>('07May250079','050000782121','-53422',(select max(to_number(i.premium_rcv_detail_code))+1
from ins_premium_det i),'-53422','-53422','02', '11000003','00','Request by Mr. Omair Ali 09-May-2025');</v>
      </c>
      <c r="H250" s="28" t="str">
        <f t="shared" si="15"/>
        <v>insert into ins_premium_det (premium_rcv_code,assorted_code, rec_amount,premium_rcv_detail_code,remaining_amt, payrec, mode_code,coinsurance_code,class_cd,it_remarks) values('07May250079','050000782121','-53422',(select max(to_number(i.premium_rcv_detail_code))+1
from ins_premium_det i),'-53422','-53422','02', '11000003','00','Request by Mr. Omair Ali 09-May-2025');</v>
      </c>
    </row>
    <row r="251" spans="1:8" ht="105" x14ac:dyDescent="0.25">
      <c r="A251" s="5" t="s">
        <v>255</v>
      </c>
      <c r="B251" s="24" t="str">
        <f>VLOOKUP(A251,policy!B:C,2,0)</f>
        <v>050000785841</v>
      </c>
      <c r="C251" s="14">
        <v>73940</v>
      </c>
      <c r="D251" s="25">
        <f t="shared" si="13"/>
        <v>73940</v>
      </c>
      <c r="E251" s="23" t="s">
        <v>665</v>
      </c>
      <c r="F251" s="26" t="str">
        <f t="shared" si="12"/>
        <v>insert into ins_premium_det (premium_rcv_code,assorted_code, rec_amount,premium_rcv_detail_code,remaining_amt, payrec, mode_code,coinsurance_code,class_cd,it_remarks) values</v>
      </c>
      <c r="G251" s="27" t="str">
        <f t="shared" si="14"/>
        <v>('07May250079','050000785841','73940',(select max(to_number(i.premium_rcv_detail_code))+1
from ins_premium_det i),'73940','73940','02', '11000003','00','Request by Mr. Omair Ali 09-May-2025');</v>
      </c>
      <c r="H251" s="28" t="str">
        <f t="shared" si="15"/>
        <v>insert into ins_premium_det (premium_rcv_code,assorted_code, rec_amount,premium_rcv_detail_code,remaining_amt, payrec, mode_code,coinsurance_code,class_cd,it_remarks) values('07May250079','050000785841','73940',(select max(to_number(i.premium_rcv_detail_code))+1
from ins_premium_det i),'73940','73940','02', '11000003','00','Request by Mr. Omair Ali 09-May-2025');</v>
      </c>
    </row>
    <row r="252" spans="1:8" ht="105" x14ac:dyDescent="0.25">
      <c r="A252" s="5" t="s">
        <v>256</v>
      </c>
      <c r="B252" s="24" t="str">
        <f>VLOOKUP(A252,policy!B:C,2,0)</f>
        <v>050000786212</v>
      </c>
      <c r="C252" s="14">
        <v>-25409</v>
      </c>
      <c r="D252" s="25">
        <f t="shared" si="13"/>
        <v>-25409</v>
      </c>
      <c r="E252" s="23" t="s">
        <v>665</v>
      </c>
      <c r="F252" s="26" t="str">
        <f t="shared" si="12"/>
        <v>insert into ins_premium_det (premium_rcv_code,assorted_code, rec_amount,premium_rcv_detail_code,remaining_amt, payrec, mode_code,coinsurance_code,class_cd,it_remarks) values</v>
      </c>
      <c r="G252" s="27" t="str">
        <f t="shared" si="14"/>
        <v>('07May250079','050000786212','-25409',(select max(to_number(i.premium_rcv_detail_code))+1
from ins_premium_det i),'-25409','-25409','02', '11000003','00','Request by Mr. Omair Ali 09-May-2025');</v>
      </c>
      <c r="H252" s="28" t="str">
        <f t="shared" si="15"/>
        <v>insert into ins_premium_det (premium_rcv_code,assorted_code, rec_amount,premium_rcv_detail_code,remaining_amt, payrec, mode_code,coinsurance_code,class_cd,it_remarks) values('07May250079','050000786212','-25409',(select max(to_number(i.premium_rcv_detail_code))+1
from ins_premium_det i),'-25409','-25409','02', '11000003','00','Request by Mr. Omair Ali 09-May-2025');</v>
      </c>
    </row>
    <row r="253" spans="1:8" ht="105" x14ac:dyDescent="0.25">
      <c r="A253" s="5" t="s">
        <v>257</v>
      </c>
      <c r="B253" s="24" t="str">
        <f>VLOOKUP(A253,policy!B:C,2,0)</f>
        <v>050000786485</v>
      </c>
      <c r="C253" s="14">
        <v>-19716</v>
      </c>
      <c r="D253" s="25">
        <f t="shared" si="13"/>
        <v>-19716</v>
      </c>
      <c r="E253" s="23" t="s">
        <v>665</v>
      </c>
      <c r="F253" s="26" t="str">
        <f t="shared" si="12"/>
        <v>insert into ins_premium_det (premium_rcv_code,assorted_code, rec_amount,premium_rcv_detail_code,remaining_amt, payrec, mode_code,coinsurance_code,class_cd,it_remarks) values</v>
      </c>
      <c r="G253" s="27" t="str">
        <f t="shared" si="14"/>
        <v>('07May250079','050000786485','-19716',(select max(to_number(i.premium_rcv_detail_code))+1
from ins_premium_det i),'-19716','-19716','02', '11000003','00','Request by Mr. Omair Ali 09-May-2025');</v>
      </c>
      <c r="H253" s="28" t="str">
        <f t="shared" si="15"/>
        <v>insert into ins_premium_det (premium_rcv_code,assorted_code, rec_amount,premium_rcv_detail_code,remaining_amt, payrec, mode_code,coinsurance_code,class_cd,it_remarks) values('07May250079','050000786485','-19716',(select max(to_number(i.premium_rcv_detail_code))+1
from ins_premium_det i),'-19716','-19716','02', '11000003','00','Request by Mr. Omair Ali 09-May-2025');</v>
      </c>
    </row>
    <row r="254" spans="1:8" ht="105" x14ac:dyDescent="0.25">
      <c r="A254" s="5" t="s">
        <v>258</v>
      </c>
      <c r="B254" s="24" t="str">
        <f>VLOOKUP(A254,policy!B:C,2,0)</f>
        <v>050000786558</v>
      </c>
      <c r="C254" s="14">
        <v>63230</v>
      </c>
      <c r="D254" s="25">
        <f t="shared" si="13"/>
        <v>63230</v>
      </c>
      <c r="E254" s="23" t="s">
        <v>665</v>
      </c>
      <c r="F254" s="26" t="str">
        <f t="shared" si="12"/>
        <v>insert into ins_premium_det (premium_rcv_code,assorted_code, rec_amount,premium_rcv_detail_code,remaining_amt, payrec, mode_code,coinsurance_code,class_cd,it_remarks) values</v>
      </c>
      <c r="G254" s="27" t="str">
        <f t="shared" si="14"/>
        <v>('07May250079','050000786558','63230',(select max(to_number(i.premium_rcv_detail_code))+1
from ins_premium_det i),'63230','63230','02', '11000003','00','Request by Mr. Omair Ali 09-May-2025');</v>
      </c>
      <c r="H254" s="28" t="str">
        <f t="shared" si="15"/>
        <v>insert into ins_premium_det (premium_rcv_code,assorted_code, rec_amount,premium_rcv_detail_code,remaining_amt, payrec, mode_code,coinsurance_code,class_cd,it_remarks) values('07May250079','050000786558','63230',(select max(to_number(i.premium_rcv_detail_code))+1
from ins_premium_det i),'63230','63230','02', '11000003','00','Request by Mr. Omair Ali 09-May-2025');</v>
      </c>
    </row>
    <row r="255" spans="1:8" ht="105" x14ac:dyDescent="0.25">
      <c r="A255" s="5" t="s">
        <v>259</v>
      </c>
      <c r="B255" s="24" t="str">
        <f>VLOOKUP(A255,policy!B:C,2,0)</f>
        <v>050000787052</v>
      </c>
      <c r="C255" s="14">
        <v>-14072</v>
      </c>
      <c r="D255" s="25">
        <f t="shared" si="13"/>
        <v>-14072</v>
      </c>
      <c r="E255" s="23" t="s">
        <v>665</v>
      </c>
      <c r="F255" s="26" t="str">
        <f t="shared" si="12"/>
        <v>insert into ins_premium_det (premium_rcv_code,assorted_code, rec_amount,premium_rcv_detail_code,remaining_amt, payrec, mode_code,coinsurance_code,class_cd,it_remarks) values</v>
      </c>
      <c r="G255" s="27" t="str">
        <f t="shared" si="14"/>
        <v>('07May250079','050000787052','-14072',(select max(to_number(i.premium_rcv_detail_code))+1
from ins_premium_det i),'-14072','-14072','02', '11000003','00','Request by Mr. Omair Ali 09-May-2025');</v>
      </c>
      <c r="H255" s="28" t="str">
        <f t="shared" si="15"/>
        <v>insert into ins_premium_det (premium_rcv_code,assorted_code, rec_amount,premium_rcv_detail_code,remaining_amt, payrec, mode_code,coinsurance_code,class_cd,it_remarks) values('07May250079','050000787052','-14072',(select max(to_number(i.premium_rcv_detail_code))+1
from ins_premium_det i),'-14072','-14072','02', '11000003','00','Request by Mr. Omair Ali 09-May-2025');</v>
      </c>
    </row>
    <row r="256" spans="1:8" ht="105" x14ac:dyDescent="0.25">
      <c r="A256" s="5" t="s">
        <v>260</v>
      </c>
      <c r="B256" s="24" t="str">
        <f>VLOOKUP(A256,policy!B:C,2,0)</f>
        <v>050000787527</v>
      </c>
      <c r="C256" s="14">
        <v>-10631</v>
      </c>
      <c r="D256" s="25">
        <f t="shared" si="13"/>
        <v>-10631</v>
      </c>
      <c r="E256" s="23" t="s">
        <v>665</v>
      </c>
      <c r="F256" s="26" t="str">
        <f t="shared" si="12"/>
        <v>insert into ins_premium_det (premium_rcv_code,assorted_code, rec_amount,premium_rcv_detail_code,remaining_amt, payrec, mode_code,coinsurance_code,class_cd,it_remarks) values</v>
      </c>
      <c r="G256" s="27" t="str">
        <f t="shared" si="14"/>
        <v>('07May250079','050000787527','-10631',(select max(to_number(i.premium_rcv_detail_code))+1
from ins_premium_det i),'-10631','-10631','02', '11000003','00','Request by Mr. Omair Ali 09-May-2025');</v>
      </c>
      <c r="H256" s="28" t="str">
        <f t="shared" si="15"/>
        <v>insert into ins_premium_det (premium_rcv_code,assorted_code, rec_amount,premium_rcv_detail_code,remaining_amt, payrec, mode_code,coinsurance_code,class_cd,it_remarks) values('07May250079','050000787527','-10631',(select max(to_number(i.premium_rcv_detail_code))+1
from ins_premium_det i),'-10631','-10631','02', '11000003','00','Request by Mr. Omair Ali 09-May-2025');</v>
      </c>
    </row>
    <row r="257" spans="1:8" ht="105" x14ac:dyDescent="0.25">
      <c r="A257" s="5" t="s">
        <v>261</v>
      </c>
      <c r="B257" s="24" t="str">
        <f>VLOOKUP(A257,policy!B:C,2,0)</f>
        <v>050000787997</v>
      </c>
      <c r="C257" s="14">
        <v>-6947</v>
      </c>
      <c r="D257" s="25">
        <f t="shared" si="13"/>
        <v>-6947</v>
      </c>
      <c r="E257" s="23" t="s">
        <v>665</v>
      </c>
      <c r="F257" s="26" t="str">
        <f t="shared" si="12"/>
        <v>insert into ins_premium_det (premium_rcv_code,assorted_code, rec_amount,premium_rcv_detail_code,remaining_amt, payrec, mode_code,coinsurance_code,class_cd,it_remarks) values</v>
      </c>
      <c r="G257" s="27" t="str">
        <f t="shared" si="14"/>
        <v>('07May250079','050000787997','-6947',(select max(to_number(i.premium_rcv_detail_code))+1
from ins_premium_det i),'-6947','-6947','02', '11000003','00','Request by Mr. Omair Ali 09-May-2025');</v>
      </c>
      <c r="H257" s="28" t="str">
        <f t="shared" si="15"/>
        <v>insert into ins_premium_det (premium_rcv_code,assorted_code, rec_amount,premium_rcv_detail_code,remaining_amt, payrec, mode_code,coinsurance_code,class_cd,it_remarks) values('07May250079','050000787997','-6947',(select max(to_number(i.premium_rcv_detail_code))+1
from ins_premium_det i),'-6947','-6947','02', '11000003','00','Request by Mr. Omair Ali 09-May-2025');</v>
      </c>
    </row>
    <row r="258" spans="1:8" ht="105" x14ac:dyDescent="0.25">
      <c r="A258" s="5" t="s">
        <v>262</v>
      </c>
      <c r="B258" s="24" t="str">
        <f>VLOOKUP(A258,policy!B:C,2,0)</f>
        <v>050000788837</v>
      </c>
      <c r="C258" s="14">
        <v>24487</v>
      </c>
      <c r="D258" s="25">
        <f t="shared" si="13"/>
        <v>24487</v>
      </c>
      <c r="E258" s="23" t="s">
        <v>665</v>
      </c>
      <c r="F258" s="26" t="str">
        <f t="shared" ref="F258:F317" si="16">"insert into ins_premium_det (premium_rcv_code,assorted_code, rec_amount,premium_rcv_detail_code,remaining_amt, payrec, mode_code,coinsurance_code,class_cd,it_remarks) values"</f>
        <v>insert into ins_premium_det (premium_rcv_code,assorted_code, rec_amount,premium_rcv_detail_code,remaining_amt, payrec, mode_code,coinsurance_code,class_cd,it_remarks) values</v>
      </c>
      <c r="G258" s="27" t="str">
        <f t="shared" si="14"/>
        <v>('07May250079','050000788837','24487',(select max(to_number(i.premium_rcv_detail_code))+1
from ins_premium_det i),'24487','24487','02', '11000003','00','Request by Mr. Omair Ali 09-May-2025');</v>
      </c>
      <c r="H258" s="28" t="str">
        <f t="shared" si="15"/>
        <v>insert into ins_premium_det (premium_rcv_code,assorted_code, rec_amount,premium_rcv_detail_code,remaining_amt, payrec, mode_code,coinsurance_code,class_cd,it_remarks) values('07May250079','050000788837','24487',(select max(to_number(i.premium_rcv_detail_code))+1
from ins_premium_det i),'24487','24487','02', '11000003','00','Request by Mr. Omair Ali 09-May-2025');</v>
      </c>
    </row>
    <row r="259" spans="1:8" ht="105" x14ac:dyDescent="0.25">
      <c r="A259" s="5" t="s">
        <v>263</v>
      </c>
      <c r="B259" s="24" t="str">
        <f>VLOOKUP(A259,policy!B:C,2,0)</f>
        <v>050000789484</v>
      </c>
      <c r="C259" s="14">
        <v>-7061</v>
      </c>
      <c r="D259" s="25">
        <f t="shared" ref="D259:D317" si="17">ROUND(C259,0)</f>
        <v>-7061</v>
      </c>
      <c r="E259" s="23" t="s">
        <v>665</v>
      </c>
      <c r="F259" s="26" t="str">
        <f t="shared" si="16"/>
        <v>insert into ins_premium_det (premium_rcv_code,assorted_code, rec_amount,premium_rcv_detail_code,remaining_amt, payrec, mode_code,coinsurance_code,class_cd,it_remarks) values</v>
      </c>
      <c r="G259" s="27" t="str">
        <f t="shared" ref="G259:G317" si="18">"('"&amp;E259&amp;"','"&amp;B259&amp;"','"&amp;D259&amp;"',(select max(to_number(i.premium_rcv_detail_code))+1
from ins_premium_det i),'"&amp;D259&amp;"','"&amp;D259&amp;"','02', '11000003','00','Request by Mr. Omair Ali 09-May-2025');"</f>
        <v>('07May250079','050000789484','-7061',(select max(to_number(i.premium_rcv_detail_code))+1
from ins_premium_det i),'-7061','-7061','02', '11000003','00','Request by Mr. Omair Ali 09-May-2025');</v>
      </c>
      <c r="H259" s="28" t="str">
        <f t="shared" ref="H259:H317" si="19">F259&amp;G259</f>
        <v>insert into ins_premium_det (premium_rcv_code,assorted_code, rec_amount,premium_rcv_detail_code,remaining_amt, payrec, mode_code,coinsurance_code,class_cd,it_remarks) values('07May250079','050000789484','-7061',(select max(to_number(i.premium_rcv_detail_code))+1
from ins_premium_det i),'-7061','-7061','02', '11000003','00','Request by Mr. Omair Ali 09-May-2025');</v>
      </c>
    </row>
    <row r="260" spans="1:8" ht="105" x14ac:dyDescent="0.25">
      <c r="A260" s="5" t="s">
        <v>264</v>
      </c>
      <c r="B260" s="24" t="str">
        <f>VLOOKUP(A260,policy!B:C,2,0)</f>
        <v>050000789504</v>
      </c>
      <c r="C260" s="14">
        <v>-2332</v>
      </c>
      <c r="D260" s="25">
        <f t="shared" si="17"/>
        <v>-2332</v>
      </c>
      <c r="E260" s="23" t="s">
        <v>665</v>
      </c>
      <c r="F260" s="26" t="str">
        <f t="shared" si="16"/>
        <v>insert into ins_premium_det (premium_rcv_code,assorted_code, rec_amount,premium_rcv_detail_code,remaining_amt, payrec, mode_code,coinsurance_code,class_cd,it_remarks) values</v>
      </c>
      <c r="G260" s="27" t="str">
        <f t="shared" si="18"/>
        <v>('07May250079','050000789504','-2332',(select max(to_number(i.premium_rcv_detail_code))+1
from ins_premium_det i),'-2332','-2332','02', '11000003','00','Request by Mr. Omair Ali 09-May-2025');</v>
      </c>
      <c r="H260" s="28" t="str">
        <f t="shared" si="19"/>
        <v>insert into ins_premium_det (premium_rcv_code,assorted_code, rec_amount,premium_rcv_detail_code,remaining_amt, payrec, mode_code,coinsurance_code,class_cd,it_remarks) values('07May250079','050000789504','-2332',(select max(to_number(i.premium_rcv_detail_code))+1
from ins_premium_det i),'-2332','-2332','02', '11000003','00','Request by Mr. Omair Ali 09-May-2025');</v>
      </c>
    </row>
    <row r="261" spans="1:8" ht="105" x14ac:dyDescent="0.25">
      <c r="A261" s="5" t="s">
        <v>265</v>
      </c>
      <c r="B261" s="24" t="str">
        <f>VLOOKUP(A261,policy!B:C,2,0)</f>
        <v>050000789600</v>
      </c>
      <c r="C261" s="14">
        <v>6291</v>
      </c>
      <c r="D261" s="25">
        <f t="shared" si="17"/>
        <v>6291</v>
      </c>
      <c r="E261" s="23" t="s">
        <v>665</v>
      </c>
      <c r="F261" s="26" t="str">
        <f t="shared" si="16"/>
        <v>insert into ins_premium_det (premium_rcv_code,assorted_code, rec_amount,premium_rcv_detail_code,remaining_amt, payrec, mode_code,coinsurance_code,class_cd,it_remarks) values</v>
      </c>
      <c r="G261" s="27" t="str">
        <f t="shared" si="18"/>
        <v>('07May250079','050000789600','6291',(select max(to_number(i.premium_rcv_detail_code))+1
from ins_premium_det i),'6291','6291','02', '11000003','00','Request by Mr. Omair Ali 09-May-2025');</v>
      </c>
      <c r="H261" s="28" t="str">
        <f t="shared" si="19"/>
        <v>insert into ins_premium_det (premium_rcv_code,assorted_code, rec_amount,premium_rcv_detail_code,remaining_amt, payrec, mode_code,coinsurance_code,class_cd,it_remarks) values('07May250079','050000789600','6291',(select max(to_number(i.premium_rcv_detail_code))+1
from ins_premium_det i),'6291','6291','02', '11000003','00','Request by Mr. Omair Ali 09-May-2025');</v>
      </c>
    </row>
    <row r="262" spans="1:8" ht="105" x14ac:dyDescent="0.25">
      <c r="A262" s="5" t="s">
        <v>266</v>
      </c>
      <c r="B262" s="24" t="str">
        <f>VLOOKUP(A262,policy!B:C,2,0)</f>
        <v>050000789889</v>
      </c>
      <c r="C262" s="14">
        <v>-6827</v>
      </c>
      <c r="D262" s="25">
        <f t="shared" si="17"/>
        <v>-6827</v>
      </c>
      <c r="E262" s="23" t="s">
        <v>665</v>
      </c>
      <c r="F262" s="26" t="str">
        <f t="shared" si="16"/>
        <v>insert into ins_premium_det (premium_rcv_code,assorted_code, rec_amount,premium_rcv_detail_code,remaining_amt, payrec, mode_code,coinsurance_code,class_cd,it_remarks) values</v>
      </c>
      <c r="G262" s="27" t="str">
        <f t="shared" si="18"/>
        <v>('07May250079','050000789889','-6827',(select max(to_number(i.premium_rcv_detail_code))+1
from ins_premium_det i),'-6827','-6827','02', '11000003','00','Request by Mr. Omair Ali 09-May-2025');</v>
      </c>
      <c r="H262" s="28" t="str">
        <f t="shared" si="19"/>
        <v>insert into ins_premium_det (premium_rcv_code,assorted_code, rec_amount,premium_rcv_detail_code,remaining_amt, payrec, mode_code,coinsurance_code,class_cd,it_remarks) values('07May250079','050000789889','-6827',(select max(to_number(i.premium_rcv_detail_code))+1
from ins_premium_det i),'-6827','-6827','02', '11000003','00','Request by Mr. Omair Ali 09-May-2025');</v>
      </c>
    </row>
    <row r="263" spans="1:8" ht="105" x14ac:dyDescent="0.25">
      <c r="A263" s="5" t="s">
        <v>267</v>
      </c>
      <c r="B263" s="24" t="str">
        <f>VLOOKUP(A263,policy!B:C,2,0)</f>
        <v>050000790024</v>
      </c>
      <c r="C263" s="14">
        <v>-12576</v>
      </c>
      <c r="D263" s="25">
        <f t="shared" si="17"/>
        <v>-12576</v>
      </c>
      <c r="E263" s="23" t="s">
        <v>665</v>
      </c>
      <c r="F263" s="26" t="str">
        <f t="shared" si="16"/>
        <v>insert into ins_premium_det (premium_rcv_code,assorted_code, rec_amount,premium_rcv_detail_code,remaining_amt, payrec, mode_code,coinsurance_code,class_cd,it_remarks) values</v>
      </c>
      <c r="G263" s="27" t="str">
        <f t="shared" si="18"/>
        <v>('07May250079','050000790024','-12576',(select max(to_number(i.premium_rcv_detail_code))+1
from ins_premium_det i),'-12576','-12576','02', '11000003','00','Request by Mr. Omair Ali 09-May-2025');</v>
      </c>
      <c r="H263" s="28" t="str">
        <f t="shared" si="19"/>
        <v>insert into ins_premium_det (premium_rcv_code,assorted_code, rec_amount,premium_rcv_detail_code,remaining_amt, payrec, mode_code,coinsurance_code,class_cd,it_remarks) values('07May250079','050000790024','-12576',(select max(to_number(i.premium_rcv_detail_code))+1
from ins_premium_det i),'-12576','-12576','02', '11000003','00','Request by Mr. Omair Ali 09-May-2025');</v>
      </c>
    </row>
    <row r="264" spans="1:8" ht="105" x14ac:dyDescent="0.25">
      <c r="A264" s="5" t="s">
        <v>268</v>
      </c>
      <c r="B264" s="24" t="str">
        <f>VLOOKUP(A264,policy!B:C,2,0)</f>
        <v>050000791152</v>
      </c>
      <c r="C264" s="14">
        <v>-4278</v>
      </c>
      <c r="D264" s="25">
        <f t="shared" si="17"/>
        <v>-4278</v>
      </c>
      <c r="E264" s="23" t="s">
        <v>665</v>
      </c>
      <c r="F264" s="26" t="str">
        <f t="shared" si="16"/>
        <v>insert into ins_premium_det (premium_rcv_code,assorted_code, rec_amount,premium_rcv_detail_code,remaining_amt, payrec, mode_code,coinsurance_code,class_cd,it_remarks) values</v>
      </c>
      <c r="G264" s="27" t="str">
        <f t="shared" si="18"/>
        <v>('07May250079','050000791152','-4278',(select max(to_number(i.premium_rcv_detail_code))+1
from ins_premium_det i),'-4278','-4278','02', '11000003','00','Request by Mr. Omair Ali 09-May-2025');</v>
      </c>
      <c r="H264" s="28" t="str">
        <f t="shared" si="19"/>
        <v>insert into ins_premium_det (premium_rcv_code,assorted_code, rec_amount,premium_rcv_detail_code,remaining_amt, payrec, mode_code,coinsurance_code,class_cd,it_remarks) values('07May250079','050000791152','-4278',(select max(to_number(i.premium_rcv_detail_code))+1
from ins_premium_det i),'-4278','-4278','02', '11000003','00','Request by Mr. Omair Ali 09-May-2025');</v>
      </c>
    </row>
    <row r="265" spans="1:8" ht="105" x14ac:dyDescent="0.25">
      <c r="A265" s="5" t="s">
        <v>269</v>
      </c>
      <c r="B265" s="24" t="str">
        <f>VLOOKUP(A265,policy!B:C,2,0)</f>
        <v>050000791621</v>
      </c>
      <c r="C265" s="14">
        <v>-31378</v>
      </c>
      <c r="D265" s="25">
        <f t="shared" si="17"/>
        <v>-31378</v>
      </c>
      <c r="E265" s="23" t="s">
        <v>665</v>
      </c>
      <c r="F265" s="26" t="str">
        <f t="shared" si="16"/>
        <v>insert into ins_premium_det (premium_rcv_code,assorted_code, rec_amount,premium_rcv_detail_code,remaining_amt, payrec, mode_code,coinsurance_code,class_cd,it_remarks) values</v>
      </c>
      <c r="G265" s="27" t="str">
        <f t="shared" si="18"/>
        <v>('07May250079','050000791621','-31378',(select max(to_number(i.premium_rcv_detail_code))+1
from ins_premium_det i),'-31378','-31378','02', '11000003','00','Request by Mr. Omair Ali 09-May-2025');</v>
      </c>
      <c r="H265" s="28" t="str">
        <f t="shared" si="19"/>
        <v>insert into ins_premium_det (premium_rcv_code,assorted_code, rec_amount,premium_rcv_detail_code,remaining_amt, payrec, mode_code,coinsurance_code,class_cd,it_remarks) values('07May250079','050000791621','-31378',(select max(to_number(i.premium_rcv_detail_code))+1
from ins_premium_det i),'-31378','-31378','02', '11000003','00','Request by Mr. Omair Ali 09-May-2025');</v>
      </c>
    </row>
    <row r="266" spans="1:8" ht="105" x14ac:dyDescent="0.25">
      <c r="A266" s="5" t="s">
        <v>270</v>
      </c>
      <c r="B266" s="24" t="str">
        <f>VLOOKUP(A266,policy!B:C,2,0)</f>
        <v>050000791722</v>
      </c>
      <c r="C266" s="14">
        <v>-22626</v>
      </c>
      <c r="D266" s="25">
        <f t="shared" si="17"/>
        <v>-22626</v>
      </c>
      <c r="E266" s="23" t="s">
        <v>665</v>
      </c>
      <c r="F266" s="26" t="str">
        <f t="shared" si="16"/>
        <v>insert into ins_premium_det (premium_rcv_code,assorted_code, rec_amount,premium_rcv_detail_code,remaining_amt, payrec, mode_code,coinsurance_code,class_cd,it_remarks) values</v>
      </c>
      <c r="G266" s="27" t="str">
        <f t="shared" si="18"/>
        <v>('07May250079','050000791722','-22626',(select max(to_number(i.premium_rcv_detail_code))+1
from ins_premium_det i),'-22626','-22626','02', '11000003','00','Request by Mr. Omair Ali 09-May-2025');</v>
      </c>
      <c r="H266" s="28" t="str">
        <f t="shared" si="19"/>
        <v>insert into ins_premium_det (premium_rcv_code,assorted_code, rec_amount,premium_rcv_detail_code,remaining_amt, payrec, mode_code,coinsurance_code,class_cd,it_remarks) values('07May250079','050000791722','-22626',(select max(to_number(i.premium_rcv_detail_code))+1
from ins_premium_det i),'-22626','-22626','02', '11000003','00','Request by Mr. Omair Ali 09-May-2025');</v>
      </c>
    </row>
    <row r="267" spans="1:8" ht="105" x14ac:dyDescent="0.25">
      <c r="A267" s="5" t="s">
        <v>271</v>
      </c>
      <c r="B267" s="24" t="str">
        <f>VLOOKUP(A267,policy!B:C,2,0)</f>
        <v>050000791850</v>
      </c>
      <c r="C267" s="14">
        <v>-3632</v>
      </c>
      <c r="D267" s="25">
        <f t="shared" si="17"/>
        <v>-3632</v>
      </c>
      <c r="E267" s="23" t="s">
        <v>665</v>
      </c>
      <c r="F267" s="26" t="str">
        <f t="shared" si="16"/>
        <v>insert into ins_premium_det (premium_rcv_code,assorted_code, rec_amount,premium_rcv_detail_code,remaining_amt, payrec, mode_code,coinsurance_code,class_cd,it_remarks) values</v>
      </c>
      <c r="G267" s="27" t="str">
        <f t="shared" si="18"/>
        <v>('07May250079','050000791850','-3632',(select max(to_number(i.premium_rcv_detail_code))+1
from ins_premium_det i),'-3632','-3632','02', '11000003','00','Request by Mr. Omair Ali 09-May-2025');</v>
      </c>
      <c r="H267" s="28" t="str">
        <f t="shared" si="19"/>
        <v>insert into ins_premium_det (premium_rcv_code,assorted_code, rec_amount,premium_rcv_detail_code,remaining_amt, payrec, mode_code,coinsurance_code,class_cd,it_remarks) values('07May250079','050000791850','-3632',(select max(to_number(i.premium_rcv_detail_code))+1
from ins_premium_det i),'-3632','-3632','02', '11000003','00','Request by Mr. Omair Ali 09-May-2025');</v>
      </c>
    </row>
    <row r="268" spans="1:8" ht="105" x14ac:dyDescent="0.25">
      <c r="A268" s="5" t="s">
        <v>272</v>
      </c>
      <c r="B268" s="24" t="str">
        <f>VLOOKUP(A268,policy!B:C,2,0)</f>
        <v>050000793180</v>
      </c>
      <c r="C268" s="14">
        <v>-61499</v>
      </c>
      <c r="D268" s="25">
        <f t="shared" si="17"/>
        <v>-61499</v>
      </c>
      <c r="E268" s="23" t="s">
        <v>665</v>
      </c>
      <c r="F268" s="26" t="str">
        <f t="shared" si="16"/>
        <v>insert into ins_premium_det (premium_rcv_code,assorted_code, rec_amount,premium_rcv_detail_code,remaining_amt, payrec, mode_code,coinsurance_code,class_cd,it_remarks) values</v>
      </c>
      <c r="G268" s="27" t="str">
        <f t="shared" si="18"/>
        <v>('07May250079','050000793180','-61499',(select max(to_number(i.premium_rcv_detail_code))+1
from ins_premium_det i),'-61499','-61499','02', '11000003','00','Request by Mr. Omair Ali 09-May-2025');</v>
      </c>
      <c r="H268" s="28" t="str">
        <f t="shared" si="19"/>
        <v>insert into ins_premium_det (premium_rcv_code,assorted_code, rec_amount,premium_rcv_detail_code,remaining_amt, payrec, mode_code,coinsurance_code,class_cd,it_remarks) values('07May250079','050000793180','-61499',(select max(to_number(i.premium_rcv_detail_code))+1
from ins_premium_det i),'-61499','-61499','02', '11000003','00','Request by Mr. Omair Ali 09-May-2025');</v>
      </c>
    </row>
    <row r="269" spans="1:8" ht="105" x14ac:dyDescent="0.25">
      <c r="A269" s="5" t="s">
        <v>273</v>
      </c>
      <c r="B269" s="24" t="str">
        <f>VLOOKUP(A269,policy!B:C,2,0)</f>
        <v>050000795547</v>
      </c>
      <c r="C269" s="14">
        <v>-18464</v>
      </c>
      <c r="D269" s="25">
        <f t="shared" si="17"/>
        <v>-18464</v>
      </c>
      <c r="E269" s="23" t="s">
        <v>665</v>
      </c>
      <c r="F269" s="26" t="str">
        <f t="shared" si="16"/>
        <v>insert into ins_premium_det (premium_rcv_code,assorted_code, rec_amount,premium_rcv_detail_code,remaining_amt, payrec, mode_code,coinsurance_code,class_cd,it_remarks) values</v>
      </c>
      <c r="G269" s="27" t="str">
        <f t="shared" si="18"/>
        <v>('07May250079','050000795547','-18464',(select max(to_number(i.premium_rcv_detail_code))+1
from ins_premium_det i),'-18464','-18464','02', '11000003','00','Request by Mr. Omair Ali 09-May-2025');</v>
      </c>
      <c r="H269" s="28" t="str">
        <f t="shared" si="19"/>
        <v>insert into ins_premium_det (premium_rcv_code,assorted_code, rec_amount,premium_rcv_detail_code,remaining_amt, payrec, mode_code,coinsurance_code,class_cd,it_remarks) values('07May250079','050000795547','-18464',(select max(to_number(i.premium_rcv_detail_code))+1
from ins_premium_det i),'-18464','-18464','02', '11000003','00','Request by Mr. Omair Ali 09-May-2025');</v>
      </c>
    </row>
    <row r="270" spans="1:8" ht="105" x14ac:dyDescent="0.25">
      <c r="A270" s="5" t="s">
        <v>274</v>
      </c>
      <c r="B270" s="24" t="str">
        <f>VLOOKUP(A270,policy!B:C,2,0)</f>
        <v>050000795602</v>
      </c>
      <c r="C270" s="14">
        <v>-2544</v>
      </c>
      <c r="D270" s="25">
        <f t="shared" si="17"/>
        <v>-2544</v>
      </c>
      <c r="E270" s="23" t="s">
        <v>665</v>
      </c>
      <c r="F270" s="26" t="str">
        <f t="shared" si="16"/>
        <v>insert into ins_premium_det (premium_rcv_code,assorted_code, rec_amount,premium_rcv_detail_code,remaining_amt, payrec, mode_code,coinsurance_code,class_cd,it_remarks) values</v>
      </c>
      <c r="G270" s="27" t="str">
        <f t="shared" si="18"/>
        <v>('07May250079','050000795602','-2544',(select max(to_number(i.premium_rcv_detail_code))+1
from ins_premium_det i),'-2544','-2544','02', '11000003','00','Request by Mr. Omair Ali 09-May-2025');</v>
      </c>
      <c r="H270" s="28" t="str">
        <f t="shared" si="19"/>
        <v>insert into ins_premium_det (premium_rcv_code,assorted_code, rec_amount,premium_rcv_detail_code,remaining_amt, payrec, mode_code,coinsurance_code,class_cd,it_remarks) values('07May250079','050000795602','-2544',(select max(to_number(i.premium_rcv_detail_code))+1
from ins_premium_det i),'-2544','-2544','02', '11000003','00','Request by Mr. Omair Ali 09-May-2025');</v>
      </c>
    </row>
    <row r="271" spans="1:8" ht="105" x14ac:dyDescent="0.25">
      <c r="A271" s="5" t="s">
        <v>275</v>
      </c>
      <c r="B271" s="24" t="str">
        <f>VLOOKUP(A271,policy!B:C,2,0)</f>
        <v>050000797216</v>
      </c>
      <c r="C271" s="14">
        <v>291727</v>
      </c>
      <c r="D271" s="25">
        <f t="shared" si="17"/>
        <v>291727</v>
      </c>
      <c r="E271" s="23" t="s">
        <v>665</v>
      </c>
      <c r="F271" s="26" t="str">
        <f t="shared" si="16"/>
        <v>insert into ins_premium_det (premium_rcv_code,assorted_code, rec_amount,premium_rcv_detail_code,remaining_amt, payrec, mode_code,coinsurance_code,class_cd,it_remarks) values</v>
      </c>
      <c r="G271" s="27" t="str">
        <f t="shared" si="18"/>
        <v>('07May250079','050000797216','291727',(select max(to_number(i.premium_rcv_detail_code))+1
from ins_premium_det i),'291727','291727','02', '11000003','00','Request by Mr. Omair Ali 09-May-2025');</v>
      </c>
      <c r="H271" s="28" t="str">
        <f t="shared" si="19"/>
        <v>insert into ins_premium_det (premium_rcv_code,assorted_code, rec_amount,premium_rcv_detail_code,remaining_amt, payrec, mode_code,coinsurance_code,class_cd,it_remarks) values('07May250079','050000797216','291727',(select max(to_number(i.premium_rcv_detail_code))+1
from ins_premium_det i),'291727','291727','02', '11000003','00','Request by Mr. Omair Ali 09-May-2025');</v>
      </c>
    </row>
    <row r="272" spans="1:8" ht="105" x14ac:dyDescent="0.25">
      <c r="A272" s="5" t="s">
        <v>276</v>
      </c>
      <c r="B272" s="24" t="str">
        <f>VLOOKUP(A272,policy!B:C,2,0)</f>
        <v>050000798154</v>
      </c>
      <c r="C272" s="14">
        <v>-15019</v>
      </c>
      <c r="D272" s="25">
        <f t="shared" si="17"/>
        <v>-15019</v>
      </c>
      <c r="E272" s="23" t="s">
        <v>665</v>
      </c>
      <c r="F272" s="26" t="str">
        <f t="shared" si="16"/>
        <v>insert into ins_premium_det (premium_rcv_code,assorted_code, rec_amount,premium_rcv_detail_code,remaining_amt, payrec, mode_code,coinsurance_code,class_cd,it_remarks) values</v>
      </c>
      <c r="G272" s="27" t="str">
        <f t="shared" si="18"/>
        <v>('07May250079','050000798154','-15019',(select max(to_number(i.premium_rcv_detail_code))+1
from ins_premium_det i),'-15019','-15019','02', '11000003','00','Request by Mr. Omair Ali 09-May-2025');</v>
      </c>
      <c r="H272" s="28" t="str">
        <f t="shared" si="19"/>
        <v>insert into ins_premium_det (premium_rcv_code,assorted_code, rec_amount,premium_rcv_detail_code,remaining_amt, payrec, mode_code,coinsurance_code,class_cd,it_remarks) values('07May250079','050000798154','-15019',(select max(to_number(i.premium_rcv_detail_code))+1
from ins_premium_det i),'-15019','-15019','02', '11000003','00','Request by Mr. Omair Ali 09-May-2025');</v>
      </c>
    </row>
    <row r="273" spans="1:8" ht="105" x14ac:dyDescent="0.25">
      <c r="A273" s="5" t="s">
        <v>277</v>
      </c>
      <c r="B273" s="24" t="str">
        <f>VLOOKUP(A273,policy!B:C,2,0)</f>
        <v>050000799949</v>
      </c>
      <c r="C273" s="14">
        <v>-5090</v>
      </c>
      <c r="D273" s="25">
        <f t="shared" si="17"/>
        <v>-5090</v>
      </c>
      <c r="E273" s="23" t="s">
        <v>665</v>
      </c>
      <c r="F273" s="26" t="str">
        <f t="shared" si="16"/>
        <v>insert into ins_premium_det (premium_rcv_code,assorted_code, rec_amount,premium_rcv_detail_code,remaining_amt, payrec, mode_code,coinsurance_code,class_cd,it_remarks) values</v>
      </c>
      <c r="G273" s="27" t="str">
        <f t="shared" si="18"/>
        <v>('07May250079','050000799949','-5090',(select max(to_number(i.premium_rcv_detail_code))+1
from ins_premium_det i),'-5090','-5090','02', '11000003','00','Request by Mr. Omair Ali 09-May-2025');</v>
      </c>
      <c r="H273" s="28" t="str">
        <f t="shared" si="19"/>
        <v>insert into ins_premium_det (premium_rcv_code,assorted_code, rec_amount,premium_rcv_detail_code,remaining_amt, payrec, mode_code,coinsurance_code,class_cd,it_remarks) values('07May250079','050000799949','-5090',(select max(to_number(i.premium_rcv_detail_code))+1
from ins_premium_det i),'-5090','-5090','02', '11000003','00','Request by Mr. Omair Ali 09-May-2025');</v>
      </c>
    </row>
    <row r="274" spans="1:8" ht="105" x14ac:dyDescent="0.25">
      <c r="A274" s="5" t="s">
        <v>278</v>
      </c>
      <c r="B274" s="24" t="str">
        <f>VLOOKUP(A274,policy!B:C,2,0)</f>
        <v>050000800020</v>
      </c>
      <c r="C274" s="14">
        <v>-21672</v>
      </c>
      <c r="D274" s="25">
        <f t="shared" si="17"/>
        <v>-21672</v>
      </c>
      <c r="E274" s="23" t="s">
        <v>665</v>
      </c>
      <c r="F274" s="26" t="str">
        <f t="shared" si="16"/>
        <v>insert into ins_premium_det (premium_rcv_code,assorted_code, rec_amount,premium_rcv_detail_code,remaining_amt, payrec, mode_code,coinsurance_code,class_cd,it_remarks) values</v>
      </c>
      <c r="G274" s="27" t="str">
        <f t="shared" si="18"/>
        <v>('07May250079','050000800020','-21672',(select max(to_number(i.premium_rcv_detail_code))+1
from ins_premium_det i),'-21672','-21672','02', '11000003','00','Request by Mr. Omair Ali 09-May-2025');</v>
      </c>
      <c r="H274" s="28" t="str">
        <f t="shared" si="19"/>
        <v>insert into ins_premium_det (premium_rcv_code,assorted_code, rec_amount,premium_rcv_detail_code,remaining_amt, payrec, mode_code,coinsurance_code,class_cd,it_remarks) values('07May250079','050000800020','-21672',(select max(to_number(i.premium_rcv_detail_code))+1
from ins_premium_det i),'-21672','-21672','02', '11000003','00','Request by Mr. Omair Ali 09-May-2025');</v>
      </c>
    </row>
    <row r="275" spans="1:8" ht="105" x14ac:dyDescent="0.25">
      <c r="A275" s="5" t="s">
        <v>279</v>
      </c>
      <c r="B275" s="24" t="str">
        <f>VLOOKUP(A275,policy!B:C,2,0)</f>
        <v>050000800201</v>
      </c>
      <c r="C275" s="14">
        <v>-5145</v>
      </c>
      <c r="D275" s="25">
        <f t="shared" si="17"/>
        <v>-5145</v>
      </c>
      <c r="E275" s="23" t="s">
        <v>665</v>
      </c>
      <c r="F275" s="26" t="str">
        <f t="shared" si="16"/>
        <v>insert into ins_premium_det (premium_rcv_code,assorted_code, rec_amount,premium_rcv_detail_code,remaining_amt, payrec, mode_code,coinsurance_code,class_cd,it_remarks) values</v>
      </c>
      <c r="G275" s="27" t="str">
        <f t="shared" si="18"/>
        <v>('07May250079','050000800201','-5145',(select max(to_number(i.premium_rcv_detail_code))+1
from ins_premium_det i),'-5145','-5145','02', '11000003','00','Request by Mr. Omair Ali 09-May-2025');</v>
      </c>
      <c r="H275" s="28" t="str">
        <f t="shared" si="19"/>
        <v>insert into ins_premium_det (premium_rcv_code,assorted_code, rec_amount,premium_rcv_detail_code,remaining_amt, payrec, mode_code,coinsurance_code,class_cd,it_remarks) values('07May250079','050000800201','-5145',(select max(to_number(i.premium_rcv_detail_code))+1
from ins_premium_det i),'-5145','-5145','02', '11000003','00','Request by Mr. Omair Ali 09-May-2025');</v>
      </c>
    </row>
    <row r="276" spans="1:8" ht="105" x14ac:dyDescent="0.25">
      <c r="A276" s="5" t="s">
        <v>280</v>
      </c>
      <c r="B276" s="24" t="str">
        <f>VLOOKUP(A276,policy!B:C,2,0)</f>
        <v>050000800636</v>
      </c>
      <c r="C276" s="14">
        <v>-18604</v>
      </c>
      <c r="D276" s="25">
        <f t="shared" si="17"/>
        <v>-18604</v>
      </c>
      <c r="E276" s="23" t="s">
        <v>665</v>
      </c>
      <c r="F276" s="26" t="str">
        <f t="shared" si="16"/>
        <v>insert into ins_premium_det (premium_rcv_code,assorted_code, rec_amount,premium_rcv_detail_code,remaining_amt, payrec, mode_code,coinsurance_code,class_cd,it_remarks) values</v>
      </c>
      <c r="G276" s="27" t="str">
        <f t="shared" si="18"/>
        <v>('07May250079','050000800636','-18604',(select max(to_number(i.premium_rcv_detail_code))+1
from ins_premium_det i),'-18604','-18604','02', '11000003','00','Request by Mr. Omair Ali 09-May-2025');</v>
      </c>
      <c r="H276" s="28" t="str">
        <f t="shared" si="19"/>
        <v>insert into ins_premium_det (premium_rcv_code,assorted_code, rec_amount,premium_rcv_detail_code,remaining_amt, payrec, mode_code,coinsurance_code,class_cd,it_remarks) values('07May250079','050000800636','-18604',(select max(to_number(i.premium_rcv_detail_code))+1
from ins_premium_det i),'-18604','-18604','02', '11000003','00','Request by Mr. Omair Ali 09-May-2025');</v>
      </c>
    </row>
    <row r="277" spans="1:8" ht="105" x14ac:dyDescent="0.25">
      <c r="A277" s="5" t="s">
        <v>281</v>
      </c>
      <c r="B277" s="24" t="str">
        <f>VLOOKUP(A277,policy!B:C,2,0)</f>
        <v>050000811584</v>
      </c>
      <c r="C277" s="14">
        <v>-15732</v>
      </c>
      <c r="D277" s="25">
        <f t="shared" si="17"/>
        <v>-15732</v>
      </c>
      <c r="E277" s="23" t="s">
        <v>665</v>
      </c>
      <c r="F277" s="26" t="str">
        <f t="shared" si="16"/>
        <v>insert into ins_premium_det (premium_rcv_code,assorted_code, rec_amount,premium_rcv_detail_code,remaining_amt, payrec, mode_code,coinsurance_code,class_cd,it_remarks) values</v>
      </c>
      <c r="G277" s="27" t="str">
        <f t="shared" si="18"/>
        <v>('07May250079','050000811584','-15732',(select max(to_number(i.premium_rcv_detail_code))+1
from ins_premium_det i),'-15732','-15732','02', '11000003','00','Request by Mr. Omair Ali 09-May-2025');</v>
      </c>
      <c r="H277" s="28" t="str">
        <f t="shared" si="19"/>
        <v>insert into ins_premium_det (premium_rcv_code,assorted_code, rec_amount,premium_rcv_detail_code,remaining_amt, payrec, mode_code,coinsurance_code,class_cd,it_remarks) values('07May250079','050000811584','-15732',(select max(to_number(i.premium_rcv_detail_code))+1
from ins_premium_det i),'-15732','-15732','02', '11000003','00','Request by Mr. Omair Ali 09-May-2025');</v>
      </c>
    </row>
    <row r="278" spans="1:8" ht="105" x14ac:dyDescent="0.25">
      <c r="A278" s="5" t="s">
        <v>282</v>
      </c>
      <c r="B278" s="24" t="str">
        <f>VLOOKUP(A278,policy!B:C,2,0)</f>
        <v>050000814288</v>
      </c>
      <c r="C278" s="14">
        <v>-8999</v>
      </c>
      <c r="D278" s="25">
        <f t="shared" si="17"/>
        <v>-8999</v>
      </c>
      <c r="E278" s="23" t="s">
        <v>665</v>
      </c>
      <c r="F278" s="26" t="str">
        <f t="shared" si="16"/>
        <v>insert into ins_premium_det (premium_rcv_code,assorted_code, rec_amount,premium_rcv_detail_code,remaining_amt, payrec, mode_code,coinsurance_code,class_cd,it_remarks) values</v>
      </c>
      <c r="G278" s="27" t="str">
        <f t="shared" si="18"/>
        <v>('07May250079','050000814288','-8999',(select max(to_number(i.premium_rcv_detail_code))+1
from ins_premium_det i),'-8999','-8999','02', '11000003','00','Request by Mr. Omair Ali 09-May-2025');</v>
      </c>
      <c r="H278" s="28" t="str">
        <f t="shared" si="19"/>
        <v>insert into ins_premium_det (premium_rcv_code,assorted_code, rec_amount,premium_rcv_detail_code,remaining_amt, payrec, mode_code,coinsurance_code,class_cd,it_remarks) values('07May250079','050000814288','-8999',(select max(to_number(i.premium_rcv_detail_code))+1
from ins_premium_det i),'-8999','-8999','02', '11000003','00','Request by Mr. Omair Ali 09-May-2025');</v>
      </c>
    </row>
    <row r="279" spans="1:8" ht="105" x14ac:dyDescent="0.25">
      <c r="A279" s="5" t="s">
        <v>283</v>
      </c>
      <c r="B279" s="24" t="str">
        <f>VLOOKUP(A279,policy!B:C,2,0)</f>
        <v>050000815705</v>
      </c>
      <c r="C279" s="14">
        <v>-11251</v>
      </c>
      <c r="D279" s="25">
        <f t="shared" si="17"/>
        <v>-11251</v>
      </c>
      <c r="E279" s="23" t="s">
        <v>665</v>
      </c>
      <c r="F279" s="26" t="str">
        <f t="shared" si="16"/>
        <v>insert into ins_premium_det (premium_rcv_code,assorted_code, rec_amount,premium_rcv_detail_code,remaining_amt, payrec, mode_code,coinsurance_code,class_cd,it_remarks) values</v>
      </c>
      <c r="G279" s="27" t="str">
        <f t="shared" si="18"/>
        <v>('07May250079','050000815705','-11251',(select max(to_number(i.premium_rcv_detail_code))+1
from ins_premium_det i),'-11251','-11251','02', '11000003','00','Request by Mr. Omair Ali 09-May-2025');</v>
      </c>
      <c r="H279" s="28" t="str">
        <f t="shared" si="19"/>
        <v>insert into ins_premium_det (premium_rcv_code,assorted_code, rec_amount,premium_rcv_detail_code,remaining_amt, payrec, mode_code,coinsurance_code,class_cd,it_remarks) values('07May250079','050000815705','-11251',(select max(to_number(i.premium_rcv_detail_code))+1
from ins_premium_det i),'-11251','-11251','02', '11000003','00','Request by Mr. Omair Ali 09-May-2025');</v>
      </c>
    </row>
    <row r="280" spans="1:8" ht="105" x14ac:dyDescent="0.25">
      <c r="A280" s="5" t="s">
        <v>284</v>
      </c>
      <c r="B280" s="24" t="str">
        <f>VLOOKUP(A280,policy!B:C,2,0)</f>
        <v>050000816000</v>
      </c>
      <c r="C280" s="14">
        <v>-4834</v>
      </c>
      <c r="D280" s="25">
        <f t="shared" si="17"/>
        <v>-4834</v>
      </c>
      <c r="E280" s="23" t="s">
        <v>665</v>
      </c>
      <c r="F280" s="26" t="str">
        <f t="shared" si="16"/>
        <v>insert into ins_premium_det (premium_rcv_code,assorted_code, rec_amount,premium_rcv_detail_code,remaining_amt, payrec, mode_code,coinsurance_code,class_cd,it_remarks) values</v>
      </c>
      <c r="G280" s="27" t="str">
        <f t="shared" si="18"/>
        <v>('07May250079','050000816000','-4834',(select max(to_number(i.premium_rcv_detail_code))+1
from ins_premium_det i),'-4834','-4834','02', '11000003','00','Request by Mr. Omair Ali 09-May-2025');</v>
      </c>
      <c r="H280" s="28" t="str">
        <f t="shared" si="19"/>
        <v>insert into ins_premium_det (premium_rcv_code,assorted_code, rec_amount,premium_rcv_detail_code,remaining_amt, payrec, mode_code,coinsurance_code,class_cd,it_remarks) values('07May250079','050000816000','-4834',(select max(to_number(i.premium_rcv_detail_code))+1
from ins_premium_det i),'-4834','-4834','02', '11000003','00','Request by Mr. Omair Ali 09-May-2025');</v>
      </c>
    </row>
    <row r="281" spans="1:8" ht="105" x14ac:dyDescent="0.25">
      <c r="A281" s="5" t="s">
        <v>285</v>
      </c>
      <c r="B281" s="24" t="str">
        <f>VLOOKUP(A281,policy!B:C,2,0)</f>
        <v>050000817543</v>
      </c>
      <c r="C281" s="14">
        <v>-22637</v>
      </c>
      <c r="D281" s="25">
        <f t="shared" si="17"/>
        <v>-22637</v>
      </c>
      <c r="E281" s="23" t="s">
        <v>665</v>
      </c>
      <c r="F281" s="26" t="str">
        <f t="shared" si="16"/>
        <v>insert into ins_premium_det (premium_rcv_code,assorted_code, rec_amount,premium_rcv_detail_code,remaining_amt, payrec, mode_code,coinsurance_code,class_cd,it_remarks) values</v>
      </c>
      <c r="G281" s="27" t="str">
        <f t="shared" si="18"/>
        <v>('07May250079','050000817543','-22637',(select max(to_number(i.premium_rcv_detail_code))+1
from ins_premium_det i),'-22637','-22637','02', '11000003','00','Request by Mr. Omair Ali 09-May-2025');</v>
      </c>
      <c r="H281" s="28" t="str">
        <f t="shared" si="19"/>
        <v>insert into ins_premium_det (premium_rcv_code,assorted_code, rec_amount,premium_rcv_detail_code,remaining_amt, payrec, mode_code,coinsurance_code,class_cd,it_remarks) values('07May250079','050000817543','-22637',(select max(to_number(i.premium_rcv_detail_code))+1
from ins_premium_det i),'-22637','-22637','02', '11000003','00','Request by Mr. Omair Ali 09-May-2025');</v>
      </c>
    </row>
    <row r="282" spans="1:8" ht="105" x14ac:dyDescent="0.25">
      <c r="A282" s="5" t="s">
        <v>286</v>
      </c>
      <c r="B282" s="24" t="str">
        <f>VLOOKUP(A282,policy!B:C,2,0)</f>
        <v>050000817898</v>
      </c>
      <c r="C282" s="14">
        <v>-83589</v>
      </c>
      <c r="D282" s="25">
        <f t="shared" si="17"/>
        <v>-83589</v>
      </c>
      <c r="E282" s="23" t="s">
        <v>665</v>
      </c>
      <c r="F282" s="26" t="str">
        <f t="shared" si="16"/>
        <v>insert into ins_premium_det (premium_rcv_code,assorted_code, rec_amount,premium_rcv_detail_code,remaining_amt, payrec, mode_code,coinsurance_code,class_cd,it_remarks) values</v>
      </c>
      <c r="G282" s="27" t="str">
        <f t="shared" si="18"/>
        <v>('07May250079','050000817898','-83589',(select max(to_number(i.premium_rcv_detail_code))+1
from ins_premium_det i),'-83589','-83589','02', '11000003','00','Request by Mr. Omair Ali 09-May-2025');</v>
      </c>
      <c r="H282" s="28" t="str">
        <f t="shared" si="19"/>
        <v>insert into ins_premium_det (premium_rcv_code,assorted_code, rec_amount,premium_rcv_detail_code,remaining_amt, payrec, mode_code,coinsurance_code,class_cd,it_remarks) values('07May250079','050000817898','-83589',(select max(to_number(i.premium_rcv_detail_code))+1
from ins_premium_det i),'-83589','-83589','02', '11000003','00','Request by Mr. Omair Ali 09-May-2025');</v>
      </c>
    </row>
    <row r="283" spans="1:8" ht="105" x14ac:dyDescent="0.25">
      <c r="A283" s="5" t="s">
        <v>287</v>
      </c>
      <c r="B283" s="24" t="str">
        <f>VLOOKUP(A283,policy!B:C,2,0)</f>
        <v>050000821706</v>
      </c>
      <c r="C283" s="14">
        <v>-4072</v>
      </c>
      <c r="D283" s="25">
        <f t="shared" si="17"/>
        <v>-4072</v>
      </c>
      <c r="E283" s="23" t="s">
        <v>665</v>
      </c>
      <c r="F283" s="26" t="str">
        <f t="shared" si="16"/>
        <v>insert into ins_premium_det (premium_rcv_code,assorted_code, rec_amount,premium_rcv_detail_code,remaining_amt, payrec, mode_code,coinsurance_code,class_cd,it_remarks) values</v>
      </c>
      <c r="G283" s="27" t="str">
        <f t="shared" si="18"/>
        <v>('07May250079','050000821706','-4072',(select max(to_number(i.premium_rcv_detail_code))+1
from ins_premium_det i),'-4072','-4072','02', '11000003','00','Request by Mr. Omair Ali 09-May-2025');</v>
      </c>
      <c r="H283" s="28" t="str">
        <f t="shared" si="19"/>
        <v>insert into ins_premium_det (premium_rcv_code,assorted_code, rec_amount,premium_rcv_detail_code,remaining_amt, payrec, mode_code,coinsurance_code,class_cd,it_remarks) values('07May250079','050000821706','-4072',(select max(to_number(i.premium_rcv_detail_code))+1
from ins_premium_det i),'-4072','-4072','02', '11000003','00','Request by Mr. Omair Ali 09-May-2025');</v>
      </c>
    </row>
    <row r="284" spans="1:8" ht="105" x14ac:dyDescent="0.25">
      <c r="A284" s="2" t="s">
        <v>288</v>
      </c>
      <c r="B284" s="24" t="str">
        <f>VLOOKUP(A284,policy!B:C,2,0)</f>
        <v>050000822949</v>
      </c>
      <c r="C284" s="14">
        <v>236413</v>
      </c>
      <c r="D284" s="25">
        <f t="shared" si="17"/>
        <v>236413</v>
      </c>
      <c r="E284" s="23" t="s">
        <v>665</v>
      </c>
      <c r="F284" s="26" t="str">
        <f t="shared" si="16"/>
        <v>insert into ins_premium_det (premium_rcv_code,assorted_code, rec_amount,premium_rcv_detail_code,remaining_amt, payrec, mode_code,coinsurance_code,class_cd,it_remarks) values</v>
      </c>
      <c r="G284" s="27" t="str">
        <f t="shared" si="18"/>
        <v>('07May250079','050000822949','236413',(select max(to_number(i.premium_rcv_detail_code))+1
from ins_premium_det i),'236413','236413','02', '11000003','00','Request by Mr. Omair Ali 09-May-2025');</v>
      </c>
      <c r="H284" s="28" t="str">
        <f t="shared" si="19"/>
        <v>insert into ins_premium_det (premium_rcv_code,assorted_code, rec_amount,premium_rcv_detail_code,remaining_amt, payrec, mode_code,coinsurance_code,class_cd,it_remarks) values('07May250079','050000822949','236413',(select max(to_number(i.premium_rcv_detail_code))+1
from ins_premium_det i),'236413','236413','02', '11000003','00','Request by Mr. Omair Ali 09-May-2025');</v>
      </c>
    </row>
    <row r="285" spans="1:8" ht="105" x14ac:dyDescent="0.25">
      <c r="A285" s="2" t="s">
        <v>289</v>
      </c>
      <c r="B285" s="24" t="str">
        <f>VLOOKUP(A285,policy!B:C,2,0)</f>
        <v>050000823027</v>
      </c>
      <c r="C285" s="14">
        <v>-6548</v>
      </c>
      <c r="D285" s="25">
        <f t="shared" si="17"/>
        <v>-6548</v>
      </c>
      <c r="E285" s="23" t="s">
        <v>665</v>
      </c>
      <c r="F285" s="26" t="str">
        <f t="shared" si="16"/>
        <v>insert into ins_premium_det (premium_rcv_code,assorted_code, rec_amount,premium_rcv_detail_code,remaining_amt, payrec, mode_code,coinsurance_code,class_cd,it_remarks) values</v>
      </c>
      <c r="G285" s="27" t="str">
        <f t="shared" si="18"/>
        <v>('07May250079','050000823027','-6548',(select max(to_number(i.premium_rcv_detail_code))+1
from ins_premium_det i),'-6548','-6548','02', '11000003','00','Request by Mr. Omair Ali 09-May-2025');</v>
      </c>
      <c r="H285" s="28" t="str">
        <f t="shared" si="19"/>
        <v>insert into ins_premium_det (premium_rcv_code,assorted_code, rec_amount,premium_rcv_detail_code,remaining_amt, payrec, mode_code,coinsurance_code,class_cd,it_remarks) values('07May250079','050000823027','-6548',(select max(to_number(i.premium_rcv_detail_code))+1
from ins_premium_det i),'-6548','-6548','02', '11000003','00','Request by Mr. Omair Ali 09-May-2025');</v>
      </c>
    </row>
    <row r="286" spans="1:8" ht="105" x14ac:dyDescent="0.25">
      <c r="A286" s="2" t="s">
        <v>290</v>
      </c>
      <c r="B286" s="24" t="str">
        <f>VLOOKUP(A286,policy!B:C,2,0)</f>
        <v>050000823147</v>
      </c>
      <c r="C286" s="14">
        <v>-4517</v>
      </c>
      <c r="D286" s="25">
        <f t="shared" si="17"/>
        <v>-4517</v>
      </c>
      <c r="E286" s="23" t="s">
        <v>665</v>
      </c>
      <c r="F286" s="26" t="str">
        <f t="shared" si="16"/>
        <v>insert into ins_premium_det (premium_rcv_code,assorted_code, rec_amount,premium_rcv_detail_code,remaining_amt, payrec, mode_code,coinsurance_code,class_cd,it_remarks) values</v>
      </c>
      <c r="G286" s="27" t="str">
        <f t="shared" si="18"/>
        <v>('07May250079','050000823147','-4517',(select max(to_number(i.premium_rcv_detail_code))+1
from ins_premium_det i),'-4517','-4517','02', '11000003','00','Request by Mr. Omair Ali 09-May-2025');</v>
      </c>
      <c r="H286" s="28" t="str">
        <f t="shared" si="19"/>
        <v>insert into ins_premium_det (premium_rcv_code,assorted_code, rec_amount,premium_rcv_detail_code,remaining_amt, payrec, mode_code,coinsurance_code,class_cd,it_remarks) values('07May250079','050000823147','-4517',(select max(to_number(i.premium_rcv_detail_code))+1
from ins_premium_det i),'-4517','-4517','02', '11000003','00','Request by Mr. Omair Ali 09-May-2025');</v>
      </c>
    </row>
    <row r="287" spans="1:8" ht="105" x14ac:dyDescent="0.25">
      <c r="A287" s="2" t="s">
        <v>291</v>
      </c>
      <c r="B287" s="24" t="str">
        <f>VLOOKUP(A287,policy!B:C,2,0)</f>
        <v>050000824323</v>
      </c>
      <c r="C287" s="14">
        <v>-8671</v>
      </c>
      <c r="D287" s="25">
        <f t="shared" si="17"/>
        <v>-8671</v>
      </c>
      <c r="E287" s="23" t="s">
        <v>665</v>
      </c>
      <c r="F287" s="26" t="str">
        <f t="shared" si="16"/>
        <v>insert into ins_premium_det (premium_rcv_code,assorted_code, rec_amount,premium_rcv_detail_code,remaining_amt, payrec, mode_code,coinsurance_code,class_cd,it_remarks) values</v>
      </c>
      <c r="G287" s="27" t="str">
        <f t="shared" si="18"/>
        <v>('07May250079','050000824323','-8671',(select max(to_number(i.premium_rcv_detail_code))+1
from ins_premium_det i),'-8671','-8671','02', '11000003','00','Request by Mr. Omair Ali 09-May-2025');</v>
      </c>
      <c r="H287" s="28" t="str">
        <f t="shared" si="19"/>
        <v>insert into ins_premium_det (premium_rcv_code,assorted_code, rec_amount,premium_rcv_detail_code,remaining_amt, payrec, mode_code,coinsurance_code,class_cd,it_remarks) values('07May250079','050000824323','-8671',(select max(to_number(i.premium_rcv_detail_code))+1
from ins_premium_det i),'-8671','-8671','02', '11000003','00','Request by Mr. Omair Ali 09-May-2025');</v>
      </c>
    </row>
    <row r="288" spans="1:8" ht="105" x14ac:dyDescent="0.25">
      <c r="A288" s="2" t="s">
        <v>292</v>
      </c>
      <c r="B288" s="24" t="str">
        <f>VLOOKUP(A288,policy!B:C,2,0)</f>
        <v>050000824451</v>
      </c>
      <c r="C288" s="14">
        <v>-933</v>
      </c>
      <c r="D288" s="25">
        <f t="shared" si="17"/>
        <v>-933</v>
      </c>
      <c r="E288" s="23" t="s">
        <v>665</v>
      </c>
      <c r="F288" s="26" t="str">
        <f t="shared" si="16"/>
        <v>insert into ins_premium_det (premium_rcv_code,assorted_code, rec_amount,premium_rcv_detail_code,remaining_amt, payrec, mode_code,coinsurance_code,class_cd,it_remarks) values</v>
      </c>
      <c r="G288" s="27" t="str">
        <f t="shared" si="18"/>
        <v>('07May250079','050000824451','-933',(select max(to_number(i.premium_rcv_detail_code))+1
from ins_premium_det i),'-933','-933','02', '11000003','00','Request by Mr. Omair Ali 09-May-2025');</v>
      </c>
      <c r="H288" s="28" t="str">
        <f t="shared" si="19"/>
        <v>insert into ins_premium_det (premium_rcv_code,assorted_code, rec_amount,premium_rcv_detail_code,remaining_amt, payrec, mode_code,coinsurance_code,class_cd,it_remarks) values('07May250079','050000824451','-933',(select max(to_number(i.premium_rcv_detail_code))+1
from ins_premium_det i),'-933','-933','02', '11000003','00','Request by Mr. Omair Ali 09-May-2025');</v>
      </c>
    </row>
    <row r="289" spans="1:8" ht="105" x14ac:dyDescent="0.25">
      <c r="A289" s="2" t="s">
        <v>293</v>
      </c>
      <c r="B289" s="24" t="str">
        <f>VLOOKUP(A289,policy!B:C,2,0)</f>
        <v>050000824661</v>
      </c>
      <c r="C289" s="14">
        <v>-9126</v>
      </c>
      <c r="D289" s="25">
        <f t="shared" si="17"/>
        <v>-9126</v>
      </c>
      <c r="E289" s="23" t="s">
        <v>665</v>
      </c>
      <c r="F289" s="26" t="str">
        <f t="shared" si="16"/>
        <v>insert into ins_premium_det (premium_rcv_code,assorted_code, rec_amount,premium_rcv_detail_code,remaining_amt, payrec, mode_code,coinsurance_code,class_cd,it_remarks) values</v>
      </c>
      <c r="G289" s="27" t="str">
        <f t="shared" si="18"/>
        <v>('07May250079','050000824661','-9126',(select max(to_number(i.premium_rcv_detail_code))+1
from ins_premium_det i),'-9126','-9126','02', '11000003','00','Request by Mr. Omair Ali 09-May-2025');</v>
      </c>
      <c r="H289" s="28" t="str">
        <f t="shared" si="19"/>
        <v>insert into ins_premium_det (premium_rcv_code,assorted_code, rec_amount,premium_rcv_detail_code,remaining_amt, payrec, mode_code,coinsurance_code,class_cd,it_remarks) values('07May250079','050000824661','-9126',(select max(to_number(i.premium_rcv_detail_code))+1
from ins_premium_det i),'-9126','-9126','02', '11000003','00','Request by Mr. Omair Ali 09-May-2025');</v>
      </c>
    </row>
    <row r="290" spans="1:8" ht="105" x14ac:dyDescent="0.25">
      <c r="A290" s="2" t="s">
        <v>294</v>
      </c>
      <c r="B290" s="24" t="str">
        <f>VLOOKUP(A290,policy!B:C,2,0)</f>
        <v>050000824806</v>
      </c>
      <c r="C290" s="14">
        <v>-6075</v>
      </c>
      <c r="D290" s="25">
        <f t="shared" si="17"/>
        <v>-6075</v>
      </c>
      <c r="E290" s="23" t="s">
        <v>665</v>
      </c>
      <c r="F290" s="26" t="str">
        <f t="shared" si="16"/>
        <v>insert into ins_premium_det (premium_rcv_code,assorted_code, rec_amount,premium_rcv_detail_code,remaining_amt, payrec, mode_code,coinsurance_code,class_cd,it_remarks) values</v>
      </c>
      <c r="G290" s="27" t="str">
        <f t="shared" si="18"/>
        <v>('07May250079','050000824806','-6075',(select max(to_number(i.premium_rcv_detail_code))+1
from ins_premium_det i),'-6075','-6075','02', '11000003','00','Request by Mr. Omair Ali 09-May-2025');</v>
      </c>
      <c r="H290" s="28" t="str">
        <f t="shared" si="19"/>
        <v>insert into ins_premium_det (premium_rcv_code,assorted_code, rec_amount,premium_rcv_detail_code,remaining_amt, payrec, mode_code,coinsurance_code,class_cd,it_remarks) values('07May250079','050000824806','-6075',(select max(to_number(i.premium_rcv_detail_code))+1
from ins_premium_det i),'-6075','-6075','02', '11000003','00','Request by Mr. Omair Ali 09-May-2025');</v>
      </c>
    </row>
    <row r="291" spans="1:8" ht="105" x14ac:dyDescent="0.25">
      <c r="A291" s="2" t="s">
        <v>295</v>
      </c>
      <c r="B291" s="24" t="str">
        <f>VLOOKUP(A291,policy!B:C,2,0)</f>
        <v>050000824875</v>
      </c>
      <c r="C291" s="14">
        <v>-2572</v>
      </c>
      <c r="D291" s="25">
        <f t="shared" si="17"/>
        <v>-2572</v>
      </c>
      <c r="E291" s="23" t="s">
        <v>665</v>
      </c>
      <c r="F291" s="26" t="str">
        <f t="shared" si="16"/>
        <v>insert into ins_premium_det (premium_rcv_code,assorted_code, rec_amount,premium_rcv_detail_code,remaining_amt, payrec, mode_code,coinsurance_code,class_cd,it_remarks) values</v>
      </c>
      <c r="G291" s="27" t="str">
        <f t="shared" si="18"/>
        <v>('07May250079','050000824875','-2572',(select max(to_number(i.premium_rcv_detail_code))+1
from ins_premium_det i),'-2572','-2572','02', '11000003','00','Request by Mr. Omair Ali 09-May-2025');</v>
      </c>
      <c r="H291" s="28" t="str">
        <f t="shared" si="19"/>
        <v>insert into ins_premium_det (premium_rcv_code,assorted_code, rec_amount,premium_rcv_detail_code,remaining_amt, payrec, mode_code,coinsurance_code,class_cd,it_remarks) values('07May250079','050000824875','-2572',(select max(to_number(i.premium_rcv_detail_code))+1
from ins_premium_det i),'-2572','-2572','02', '11000003','00','Request by Mr. Omair Ali 09-May-2025');</v>
      </c>
    </row>
    <row r="292" spans="1:8" ht="105" x14ac:dyDescent="0.25">
      <c r="A292" s="2" t="s">
        <v>296</v>
      </c>
      <c r="B292" s="24" t="str">
        <f>VLOOKUP(A292,policy!B:C,2,0)</f>
        <v>050000824897</v>
      </c>
      <c r="C292" s="14">
        <v>-2396</v>
      </c>
      <c r="D292" s="25">
        <f t="shared" si="17"/>
        <v>-2396</v>
      </c>
      <c r="E292" s="23" t="s">
        <v>665</v>
      </c>
      <c r="F292" s="26" t="str">
        <f t="shared" si="16"/>
        <v>insert into ins_premium_det (premium_rcv_code,assorted_code, rec_amount,premium_rcv_detail_code,remaining_amt, payrec, mode_code,coinsurance_code,class_cd,it_remarks) values</v>
      </c>
      <c r="G292" s="27" t="str">
        <f t="shared" si="18"/>
        <v>('07May250079','050000824897','-2396',(select max(to_number(i.premium_rcv_detail_code))+1
from ins_premium_det i),'-2396','-2396','02', '11000003','00','Request by Mr. Omair Ali 09-May-2025');</v>
      </c>
      <c r="H292" s="28" t="str">
        <f t="shared" si="19"/>
        <v>insert into ins_premium_det (premium_rcv_code,assorted_code, rec_amount,premium_rcv_detail_code,remaining_amt, payrec, mode_code,coinsurance_code,class_cd,it_remarks) values('07May250079','050000824897','-2396',(select max(to_number(i.premium_rcv_detail_code))+1
from ins_premium_det i),'-2396','-2396','02', '11000003','00','Request by Mr. Omair Ali 09-May-2025');</v>
      </c>
    </row>
    <row r="293" spans="1:8" ht="105" x14ac:dyDescent="0.25">
      <c r="A293" s="2" t="s">
        <v>297</v>
      </c>
      <c r="B293" s="24" t="str">
        <f>VLOOKUP(A293,policy!B:C,2,0)</f>
        <v>050000824941</v>
      </c>
      <c r="C293" s="14">
        <v>-12977</v>
      </c>
      <c r="D293" s="25">
        <f t="shared" si="17"/>
        <v>-12977</v>
      </c>
      <c r="E293" s="23" t="s">
        <v>665</v>
      </c>
      <c r="F293" s="26" t="str">
        <f t="shared" si="16"/>
        <v>insert into ins_premium_det (premium_rcv_code,assorted_code, rec_amount,premium_rcv_detail_code,remaining_amt, payrec, mode_code,coinsurance_code,class_cd,it_remarks) values</v>
      </c>
      <c r="G293" s="27" t="str">
        <f t="shared" si="18"/>
        <v>('07May250079','050000824941','-12977',(select max(to_number(i.premium_rcv_detail_code))+1
from ins_premium_det i),'-12977','-12977','02', '11000003','00','Request by Mr. Omair Ali 09-May-2025');</v>
      </c>
      <c r="H293" s="28" t="str">
        <f t="shared" si="19"/>
        <v>insert into ins_premium_det (premium_rcv_code,assorted_code, rec_amount,premium_rcv_detail_code,remaining_amt, payrec, mode_code,coinsurance_code,class_cd,it_remarks) values('07May250079','050000824941','-12977',(select max(to_number(i.premium_rcv_detail_code))+1
from ins_premium_det i),'-12977','-12977','02', '11000003','00','Request by Mr. Omair Ali 09-May-2025');</v>
      </c>
    </row>
    <row r="294" spans="1:8" ht="105" x14ac:dyDescent="0.25">
      <c r="A294" s="2" t="s">
        <v>298</v>
      </c>
      <c r="B294" s="24" t="str">
        <f>VLOOKUP(A294,policy!B:C,2,0)</f>
        <v>050000824975</v>
      </c>
      <c r="C294" s="14">
        <v>-3905</v>
      </c>
      <c r="D294" s="25">
        <f t="shared" si="17"/>
        <v>-3905</v>
      </c>
      <c r="E294" s="23" t="s">
        <v>665</v>
      </c>
      <c r="F294" s="26" t="str">
        <f t="shared" si="16"/>
        <v>insert into ins_premium_det (premium_rcv_code,assorted_code, rec_amount,premium_rcv_detail_code,remaining_amt, payrec, mode_code,coinsurance_code,class_cd,it_remarks) values</v>
      </c>
      <c r="G294" s="27" t="str">
        <f t="shared" si="18"/>
        <v>('07May250079','050000824975','-3905',(select max(to_number(i.premium_rcv_detail_code))+1
from ins_premium_det i),'-3905','-3905','02', '11000003','00','Request by Mr. Omair Ali 09-May-2025');</v>
      </c>
      <c r="H294" s="28" t="str">
        <f t="shared" si="19"/>
        <v>insert into ins_premium_det (premium_rcv_code,assorted_code, rec_amount,premium_rcv_detail_code,remaining_amt, payrec, mode_code,coinsurance_code,class_cd,it_remarks) values('07May250079','050000824975','-3905',(select max(to_number(i.premium_rcv_detail_code))+1
from ins_premium_det i),'-3905','-3905','02', '11000003','00','Request by Mr. Omair Ali 09-May-2025');</v>
      </c>
    </row>
    <row r="295" spans="1:8" ht="105" x14ac:dyDescent="0.25">
      <c r="A295" s="2" t="s">
        <v>299</v>
      </c>
      <c r="B295" s="24" t="str">
        <f>VLOOKUP(A295,policy!B:C,2,0)</f>
        <v>050000825115</v>
      </c>
      <c r="C295" s="14">
        <v>-3651</v>
      </c>
      <c r="D295" s="25">
        <f t="shared" si="17"/>
        <v>-3651</v>
      </c>
      <c r="E295" s="23" t="s">
        <v>665</v>
      </c>
      <c r="F295" s="26" t="str">
        <f t="shared" si="16"/>
        <v>insert into ins_premium_det (premium_rcv_code,assorted_code, rec_amount,premium_rcv_detail_code,remaining_amt, payrec, mode_code,coinsurance_code,class_cd,it_remarks) values</v>
      </c>
      <c r="G295" s="27" t="str">
        <f t="shared" si="18"/>
        <v>('07May250079','050000825115','-3651',(select max(to_number(i.premium_rcv_detail_code))+1
from ins_premium_det i),'-3651','-3651','02', '11000003','00','Request by Mr. Omair Ali 09-May-2025');</v>
      </c>
      <c r="H295" s="28" t="str">
        <f t="shared" si="19"/>
        <v>insert into ins_premium_det (premium_rcv_code,assorted_code, rec_amount,premium_rcv_detail_code,remaining_amt, payrec, mode_code,coinsurance_code,class_cd,it_remarks) values('07May250079','050000825115','-3651',(select max(to_number(i.premium_rcv_detail_code))+1
from ins_premium_det i),'-3651','-3651','02', '11000003','00','Request by Mr. Omair Ali 09-May-2025');</v>
      </c>
    </row>
    <row r="296" spans="1:8" ht="105" x14ac:dyDescent="0.25">
      <c r="A296" s="2" t="s">
        <v>300</v>
      </c>
      <c r="B296" s="24" t="str">
        <f>VLOOKUP(A296,policy!B:C,2,0)</f>
        <v>050000825184</v>
      </c>
      <c r="C296" s="14">
        <v>-1527</v>
      </c>
      <c r="D296" s="25">
        <f t="shared" si="17"/>
        <v>-1527</v>
      </c>
      <c r="E296" s="23" t="s">
        <v>665</v>
      </c>
      <c r="F296" s="26" t="str">
        <f t="shared" si="16"/>
        <v>insert into ins_premium_det (premium_rcv_code,assorted_code, rec_amount,premium_rcv_detail_code,remaining_amt, payrec, mode_code,coinsurance_code,class_cd,it_remarks) values</v>
      </c>
      <c r="G296" s="27" t="str">
        <f t="shared" si="18"/>
        <v>('07May250079','050000825184','-1527',(select max(to_number(i.premium_rcv_detail_code))+1
from ins_premium_det i),'-1527','-1527','02', '11000003','00','Request by Mr. Omair Ali 09-May-2025');</v>
      </c>
      <c r="H296" s="28" t="str">
        <f t="shared" si="19"/>
        <v>insert into ins_premium_det (premium_rcv_code,assorted_code, rec_amount,premium_rcv_detail_code,remaining_amt, payrec, mode_code,coinsurance_code,class_cd,it_remarks) values('07May250079','050000825184','-1527',(select max(to_number(i.premium_rcv_detail_code))+1
from ins_premium_det i),'-1527','-1527','02', '11000003','00','Request by Mr. Omair Ali 09-May-2025');</v>
      </c>
    </row>
    <row r="297" spans="1:8" ht="105" x14ac:dyDescent="0.25">
      <c r="A297" s="2" t="s">
        <v>301</v>
      </c>
      <c r="B297" s="24" t="str">
        <f>VLOOKUP(A297,policy!B:C,2,0)</f>
        <v>050000825195</v>
      </c>
      <c r="C297" s="14">
        <v>-16414</v>
      </c>
      <c r="D297" s="25">
        <f t="shared" si="17"/>
        <v>-16414</v>
      </c>
      <c r="E297" s="23" t="s">
        <v>665</v>
      </c>
      <c r="F297" s="26" t="str">
        <f t="shared" si="16"/>
        <v>insert into ins_premium_det (premium_rcv_code,assorted_code, rec_amount,premium_rcv_detail_code,remaining_amt, payrec, mode_code,coinsurance_code,class_cd,it_remarks) values</v>
      </c>
      <c r="G297" s="27" t="str">
        <f t="shared" si="18"/>
        <v>('07May250079','050000825195','-16414',(select max(to_number(i.premium_rcv_detail_code))+1
from ins_premium_det i),'-16414','-16414','02', '11000003','00','Request by Mr. Omair Ali 09-May-2025');</v>
      </c>
      <c r="H297" s="28" t="str">
        <f t="shared" si="19"/>
        <v>insert into ins_premium_det (premium_rcv_code,assorted_code, rec_amount,premium_rcv_detail_code,remaining_amt, payrec, mode_code,coinsurance_code,class_cd,it_remarks) values('07May250079','050000825195','-16414',(select max(to_number(i.premium_rcv_detail_code))+1
from ins_premium_det i),'-16414','-16414','02', '11000003','00','Request by Mr. Omair Ali 09-May-2025');</v>
      </c>
    </row>
    <row r="298" spans="1:8" ht="105" x14ac:dyDescent="0.25">
      <c r="A298" s="17" t="s">
        <v>302</v>
      </c>
      <c r="B298" s="24" t="str">
        <f>VLOOKUP(A298,policy!B:C,2,0)</f>
        <v>050000825253</v>
      </c>
      <c r="C298" s="18">
        <v>43888</v>
      </c>
      <c r="D298" s="25">
        <f t="shared" si="17"/>
        <v>43888</v>
      </c>
      <c r="E298" s="23" t="s">
        <v>665</v>
      </c>
      <c r="F298" s="26" t="str">
        <f t="shared" si="16"/>
        <v>insert into ins_premium_det (premium_rcv_code,assorted_code, rec_amount,premium_rcv_detail_code,remaining_amt, payrec, mode_code,coinsurance_code,class_cd,it_remarks) values</v>
      </c>
      <c r="G298" s="27" t="str">
        <f t="shared" si="18"/>
        <v>('07May250079','050000825253','43888',(select max(to_number(i.premium_rcv_detail_code))+1
from ins_premium_det i),'43888','43888','02', '11000003','00','Request by Mr. Omair Ali 09-May-2025');</v>
      </c>
      <c r="H298" s="28" t="str">
        <f t="shared" si="19"/>
        <v>insert into ins_premium_det (premium_rcv_code,assorted_code, rec_amount,premium_rcv_detail_code,remaining_amt, payrec, mode_code,coinsurance_code,class_cd,it_remarks) values('07May250079','050000825253','43888',(select max(to_number(i.premium_rcv_detail_code))+1
from ins_premium_det i),'43888','43888','02', '11000003','00','Request by Mr. Omair Ali 09-May-2025');</v>
      </c>
    </row>
    <row r="299" spans="1:8" ht="105" x14ac:dyDescent="0.25">
      <c r="A299" s="2" t="s">
        <v>303</v>
      </c>
      <c r="B299" s="24" t="str">
        <f>VLOOKUP(A299,policy!B:C,2,0)</f>
        <v>050000825791</v>
      </c>
      <c r="C299" s="14">
        <v>-721</v>
      </c>
      <c r="D299" s="25">
        <f t="shared" si="17"/>
        <v>-721</v>
      </c>
      <c r="E299" s="23" t="s">
        <v>665</v>
      </c>
      <c r="F299" s="26" t="str">
        <f t="shared" si="16"/>
        <v>insert into ins_premium_det (premium_rcv_code,assorted_code, rec_amount,premium_rcv_detail_code,remaining_amt, payrec, mode_code,coinsurance_code,class_cd,it_remarks) values</v>
      </c>
      <c r="G299" s="27" t="str">
        <f t="shared" si="18"/>
        <v>('07May250079','050000825791','-721',(select max(to_number(i.premium_rcv_detail_code))+1
from ins_premium_det i),'-721','-721','02', '11000003','00','Request by Mr. Omair Ali 09-May-2025');</v>
      </c>
      <c r="H299" s="28" t="str">
        <f t="shared" si="19"/>
        <v>insert into ins_premium_det (premium_rcv_code,assorted_code, rec_amount,premium_rcv_detail_code,remaining_amt, payrec, mode_code,coinsurance_code,class_cd,it_remarks) values('07May250079','050000825791','-721',(select max(to_number(i.premium_rcv_detail_code))+1
from ins_premium_det i),'-721','-721','02', '11000003','00','Request by Mr. Omair Ali 09-May-2025');</v>
      </c>
    </row>
    <row r="300" spans="1:8" ht="105" x14ac:dyDescent="0.25">
      <c r="A300" s="2" t="s">
        <v>304</v>
      </c>
      <c r="B300" s="24" t="str">
        <f>VLOOKUP(A300,policy!B:C,2,0)</f>
        <v>050000826795</v>
      </c>
      <c r="C300" s="14">
        <v>-1357</v>
      </c>
      <c r="D300" s="25">
        <f t="shared" si="17"/>
        <v>-1357</v>
      </c>
      <c r="E300" s="23" t="s">
        <v>665</v>
      </c>
      <c r="F300" s="26" t="str">
        <f t="shared" si="16"/>
        <v>insert into ins_premium_det (premium_rcv_code,assorted_code, rec_amount,premium_rcv_detail_code,remaining_amt, payrec, mode_code,coinsurance_code,class_cd,it_remarks) values</v>
      </c>
      <c r="G300" s="27" t="str">
        <f t="shared" si="18"/>
        <v>('07May250079','050000826795','-1357',(select max(to_number(i.premium_rcv_detail_code))+1
from ins_premium_det i),'-1357','-1357','02', '11000003','00','Request by Mr. Omair Ali 09-May-2025');</v>
      </c>
      <c r="H300" s="28" t="str">
        <f t="shared" si="19"/>
        <v>insert into ins_premium_det (premium_rcv_code,assorted_code, rec_amount,premium_rcv_detail_code,remaining_amt, payrec, mode_code,coinsurance_code,class_cd,it_remarks) values('07May250079','050000826795','-1357',(select max(to_number(i.premium_rcv_detail_code))+1
from ins_premium_det i),'-1357','-1357','02', '11000003','00','Request by Mr. Omair Ali 09-May-2025');</v>
      </c>
    </row>
    <row r="301" spans="1:8" ht="105" x14ac:dyDescent="0.25">
      <c r="A301" s="2" t="s">
        <v>305</v>
      </c>
      <c r="B301" s="24" t="str">
        <f>VLOOKUP(A301,policy!B:C,2,0)</f>
        <v>050000830639</v>
      </c>
      <c r="C301" s="14">
        <v>-4003</v>
      </c>
      <c r="D301" s="25">
        <f t="shared" si="17"/>
        <v>-4003</v>
      </c>
      <c r="E301" s="23" t="s">
        <v>665</v>
      </c>
      <c r="F301" s="26" t="str">
        <f t="shared" si="16"/>
        <v>insert into ins_premium_det (premium_rcv_code,assorted_code, rec_amount,premium_rcv_detail_code,remaining_amt, payrec, mode_code,coinsurance_code,class_cd,it_remarks) values</v>
      </c>
      <c r="G301" s="27" t="str">
        <f t="shared" si="18"/>
        <v>('07May250079','050000830639','-4003',(select max(to_number(i.premium_rcv_detail_code))+1
from ins_premium_det i),'-4003','-4003','02', '11000003','00','Request by Mr. Omair Ali 09-May-2025');</v>
      </c>
      <c r="H301" s="28" t="str">
        <f t="shared" si="19"/>
        <v>insert into ins_premium_det (premium_rcv_code,assorted_code, rec_amount,premium_rcv_detail_code,remaining_amt, payrec, mode_code,coinsurance_code,class_cd,it_remarks) values('07May250079','050000830639','-4003',(select max(to_number(i.premium_rcv_detail_code))+1
from ins_premium_det i),'-4003','-4003','02', '11000003','00','Request by Mr. Omair Ali 09-May-2025');</v>
      </c>
    </row>
    <row r="302" spans="1:8" ht="105" x14ac:dyDescent="0.25">
      <c r="A302" s="2" t="s">
        <v>306</v>
      </c>
      <c r="B302" s="24" t="str">
        <f>VLOOKUP(A302,policy!B:C,2,0)</f>
        <v>050000831304</v>
      </c>
      <c r="C302" s="14">
        <v>-2108</v>
      </c>
      <c r="D302" s="25">
        <f t="shared" si="17"/>
        <v>-2108</v>
      </c>
      <c r="E302" s="23" t="s">
        <v>665</v>
      </c>
      <c r="F302" s="26" t="str">
        <f t="shared" si="16"/>
        <v>insert into ins_premium_det (premium_rcv_code,assorted_code, rec_amount,premium_rcv_detail_code,remaining_amt, payrec, mode_code,coinsurance_code,class_cd,it_remarks) values</v>
      </c>
      <c r="G302" s="27" t="str">
        <f t="shared" si="18"/>
        <v>('07May250079','050000831304','-2108',(select max(to_number(i.premium_rcv_detail_code))+1
from ins_premium_det i),'-2108','-2108','02', '11000003','00','Request by Mr. Omair Ali 09-May-2025');</v>
      </c>
      <c r="H302" s="28" t="str">
        <f t="shared" si="19"/>
        <v>insert into ins_premium_det (premium_rcv_code,assorted_code, rec_amount,premium_rcv_detail_code,remaining_amt, payrec, mode_code,coinsurance_code,class_cd,it_remarks) values('07May250079','050000831304','-2108',(select max(to_number(i.premium_rcv_detail_code))+1
from ins_premium_det i),'-2108','-2108','02', '11000003','00','Request by Mr. Omair Ali 09-May-2025');</v>
      </c>
    </row>
    <row r="303" spans="1:8" ht="105" x14ac:dyDescent="0.25">
      <c r="A303" s="2" t="s">
        <v>307</v>
      </c>
      <c r="B303" s="24" t="str">
        <f>VLOOKUP(A303,policy!B:C,2,0)</f>
        <v>050000832689</v>
      </c>
      <c r="C303" s="14">
        <v>-976</v>
      </c>
      <c r="D303" s="25">
        <f t="shared" si="17"/>
        <v>-976</v>
      </c>
      <c r="E303" s="23" t="s">
        <v>665</v>
      </c>
      <c r="F303" s="26" t="str">
        <f t="shared" si="16"/>
        <v>insert into ins_premium_det (premium_rcv_code,assorted_code, rec_amount,premium_rcv_detail_code,remaining_amt, payrec, mode_code,coinsurance_code,class_cd,it_remarks) values</v>
      </c>
      <c r="G303" s="27" t="str">
        <f t="shared" si="18"/>
        <v>('07May250079','050000832689','-976',(select max(to_number(i.premium_rcv_detail_code))+1
from ins_premium_det i),'-976','-976','02', '11000003','00','Request by Mr. Omair Ali 09-May-2025');</v>
      </c>
      <c r="H303" s="28" t="str">
        <f t="shared" si="19"/>
        <v>insert into ins_premium_det (premium_rcv_code,assorted_code, rec_amount,premium_rcv_detail_code,remaining_amt, payrec, mode_code,coinsurance_code,class_cd,it_remarks) values('07May250079','050000832689','-976',(select max(to_number(i.premium_rcv_detail_code))+1
from ins_premium_det i),'-976','-976','02', '11000003','00','Request by Mr. Omair Ali 09-May-2025');</v>
      </c>
    </row>
    <row r="304" spans="1:8" ht="105" x14ac:dyDescent="0.25">
      <c r="A304" s="2" t="s">
        <v>308</v>
      </c>
      <c r="B304" s="24" t="str">
        <f>VLOOKUP(A304,policy!B:C,2,0)</f>
        <v>050000833590</v>
      </c>
      <c r="C304" s="14">
        <v>-2190</v>
      </c>
      <c r="D304" s="25">
        <f t="shared" si="17"/>
        <v>-2190</v>
      </c>
      <c r="E304" s="23" t="s">
        <v>665</v>
      </c>
      <c r="F304" s="26" t="str">
        <f t="shared" si="16"/>
        <v>insert into ins_premium_det (premium_rcv_code,assorted_code, rec_amount,premium_rcv_detail_code,remaining_amt, payrec, mode_code,coinsurance_code,class_cd,it_remarks) values</v>
      </c>
      <c r="G304" s="27" t="str">
        <f t="shared" si="18"/>
        <v>('07May250079','050000833590','-2190',(select max(to_number(i.premium_rcv_detail_code))+1
from ins_premium_det i),'-2190','-2190','02', '11000003','00','Request by Mr. Omair Ali 09-May-2025');</v>
      </c>
      <c r="H304" s="28" t="str">
        <f t="shared" si="19"/>
        <v>insert into ins_premium_det (premium_rcv_code,assorted_code, rec_amount,premium_rcv_detail_code,remaining_amt, payrec, mode_code,coinsurance_code,class_cd,it_remarks) values('07May250079','050000833590','-2190',(select max(to_number(i.premium_rcv_detail_code))+1
from ins_premium_det i),'-2190','-2190','02', '11000003','00','Request by Mr. Omair Ali 09-May-2025');</v>
      </c>
    </row>
    <row r="305" spans="1:8" ht="105" x14ac:dyDescent="0.25">
      <c r="A305" s="2" t="s">
        <v>309</v>
      </c>
      <c r="B305" s="24" t="str">
        <f>VLOOKUP(A305,policy!B:C,2,0)</f>
        <v>050000834840</v>
      </c>
      <c r="C305" s="14">
        <v>-3606</v>
      </c>
      <c r="D305" s="25">
        <f t="shared" si="17"/>
        <v>-3606</v>
      </c>
      <c r="E305" s="23" t="s">
        <v>665</v>
      </c>
      <c r="F305" s="26" t="str">
        <f t="shared" si="16"/>
        <v>insert into ins_premium_det (premium_rcv_code,assorted_code, rec_amount,premium_rcv_detail_code,remaining_amt, payrec, mode_code,coinsurance_code,class_cd,it_remarks) values</v>
      </c>
      <c r="G305" s="27" t="str">
        <f t="shared" si="18"/>
        <v>('07May250079','050000834840','-3606',(select max(to_number(i.premium_rcv_detail_code))+1
from ins_premium_det i),'-3606','-3606','02', '11000003','00','Request by Mr. Omair Ali 09-May-2025');</v>
      </c>
      <c r="H305" s="28" t="str">
        <f t="shared" si="19"/>
        <v>insert into ins_premium_det (premium_rcv_code,assorted_code, rec_amount,premium_rcv_detail_code,remaining_amt, payrec, mode_code,coinsurance_code,class_cd,it_remarks) values('07May250079','050000834840','-3606',(select max(to_number(i.premium_rcv_detail_code))+1
from ins_premium_det i),'-3606','-3606','02', '11000003','00','Request by Mr. Omair Ali 09-May-2025');</v>
      </c>
    </row>
    <row r="306" spans="1:8" ht="105" x14ac:dyDescent="0.25">
      <c r="A306" s="2" t="s">
        <v>310</v>
      </c>
      <c r="B306" s="24" t="str">
        <f>VLOOKUP(A306,policy!B:C,2,0)</f>
        <v>050000835387</v>
      </c>
      <c r="C306" s="14">
        <v>-2144</v>
      </c>
      <c r="D306" s="25">
        <f t="shared" si="17"/>
        <v>-2144</v>
      </c>
      <c r="E306" s="23" t="s">
        <v>665</v>
      </c>
      <c r="F306" s="26" t="str">
        <f t="shared" si="16"/>
        <v>insert into ins_premium_det (premium_rcv_code,assorted_code, rec_amount,premium_rcv_detail_code,remaining_amt, payrec, mode_code,coinsurance_code,class_cd,it_remarks) values</v>
      </c>
      <c r="G306" s="27" t="str">
        <f t="shared" si="18"/>
        <v>('07May250079','050000835387','-2144',(select max(to_number(i.premium_rcv_detail_code))+1
from ins_premium_det i),'-2144','-2144','02', '11000003','00','Request by Mr. Omair Ali 09-May-2025');</v>
      </c>
      <c r="H306" s="28" t="str">
        <f t="shared" si="19"/>
        <v>insert into ins_premium_det (premium_rcv_code,assorted_code, rec_amount,premium_rcv_detail_code,remaining_amt, payrec, mode_code,coinsurance_code,class_cd,it_remarks) values('07May250079','050000835387','-2144',(select max(to_number(i.premium_rcv_detail_code))+1
from ins_premium_det i),'-2144','-2144','02', '11000003','00','Request by Mr. Omair Ali 09-May-2025');</v>
      </c>
    </row>
    <row r="307" spans="1:8" ht="105" x14ac:dyDescent="0.25">
      <c r="A307" s="2" t="s">
        <v>311</v>
      </c>
      <c r="B307" s="24" t="str">
        <f>VLOOKUP(A307,policy!B:C,2,0)</f>
        <v>050000835430</v>
      </c>
      <c r="C307" s="14">
        <v>13785</v>
      </c>
      <c r="D307" s="25">
        <f t="shared" si="17"/>
        <v>13785</v>
      </c>
      <c r="E307" s="23" t="s">
        <v>665</v>
      </c>
      <c r="F307" s="26" t="str">
        <f t="shared" si="16"/>
        <v>insert into ins_premium_det (premium_rcv_code,assorted_code, rec_amount,premium_rcv_detail_code,remaining_amt, payrec, mode_code,coinsurance_code,class_cd,it_remarks) values</v>
      </c>
      <c r="G307" s="27" t="str">
        <f t="shared" si="18"/>
        <v>('07May250079','050000835430','13785',(select max(to_number(i.premium_rcv_detail_code))+1
from ins_premium_det i),'13785','13785','02', '11000003','00','Request by Mr. Omair Ali 09-May-2025');</v>
      </c>
      <c r="H307" s="28" t="str">
        <f t="shared" si="19"/>
        <v>insert into ins_premium_det (premium_rcv_code,assorted_code, rec_amount,premium_rcv_detail_code,remaining_amt, payrec, mode_code,coinsurance_code,class_cd,it_remarks) values('07May250079','050000835430','13785',(select max(to_number(i.premium_rcv_detail_code))+1
from ins_premium_det i),'13785','13785','02', '11000003','00','Request by Mr. Omair Ali 09-May-2025');</v>
      </c>
    </row>
    <row r="308" spans="1:8" ht="105" x14ac:dyDescent="0.25">
      <c r="A308" s="2" t="s">
        <v>312</v>
      </c>
      <c r="B308" s="24" t="str">
        <f>VLOOKUP(A308,policy!B:C,2,0)</f>
        <v>050000835749</v>
      </c>
      <c r="C308" s="14">
        <v>-1373</v>
      </c>
      <c r="D308" s="25">
        <f t="shared" si="17"/>
        <v>-1373</v>
      </c>
      <c r="E308" s="23" t="s">
        <v>665</v>
      </c>
      <c r="F308" s="26" t="str">
        <f t="shared" si="16"/>
        <v>insert into ins_premium_det (premium_rcv_code,assorted_code, rec_amount,premium_rcv_detail_code,remaining_amt, payrec, mode_code,coinsurance_code,class_cd,it_remarks) values</v>
      </c>
      <c r="G308" s="27" t="str">
        <f t="shared" si="18"/>
        <v>('07May250079','050000835749','-1373',(select max(to_number(i.premium_rcv_detail_code))+1
from ins_premium_det i),'-1373','-1373','02', '11000003','00','Request by Mr. Omair Ali 09-May-2025');</v>
      </c>
      <c r="H308" s="28" t="str">
        <f t="shared" si="19"/>
        <v>insert into ins_premium_det (premium_rcv_code,assorted_code, rec_amount,premium_rcv_detail_code,remaining_amt, payrec, mode_code,coinsurance_code,class_cd,it_remarks) values('07May250079','050000835749','-1373',(select max(to_number(i.premium_rcv_detail_code))+1
from ins_premium_det i),'-1373','-1373','02', '11000003','00','Request by Mr. Omair Ali 09-May-2025');</v>
      </c>
    </row>
    <row r="309" spans="1:8" ht="105" x14ac:dyDescent="0.25">
      <c r="A309" s="2" t="s">
        <v>313</v>
      </c>
      <c r="B309" s="24" t="str">
        <f>VLOOKUP(A309,policy!B:C,2,0)</f>
        <v>050000836013</v>
      </c>
      <c r="C309" s="14">
        <v>-255</v>
      </c>
      <c r="D309" s="25">
        <f t="shared" si="17"/>
        <v>-255</v>
      </c>
      <c r="E309" s="23" t="s">
        <v>665</v>
      </c>
      <c r="F309" s="26" t="str">
        <f t="shared" si="16"/>
        <v>insert into ins_premium_det (premium_rcv_code,assorted_code, rec_amount,premium_rcv_detail_code,remaining_amt, payrec, mode_code,coinsurance_code,class_cd,it_remarks) values</v>
      </c>
      <c r="G309" s="27" t="str">
        <f t="shared" si="18"/>
        <v>('07May250079','050000836013','-255',(select max(to_number(i.premium_rcv_detail_code))+1
from ins_premium_det i),'-255','-255','02', '11000003','00','Request by Mr. Omair Ali 09-May-2025');</v>
      </c>
      <c r="H309" s="28" t="str">
        <f t="shared" si="19"/>
        <v>insert into ins_premium_det (premium_rcv_code,assorted_code, rec_amount,premium_rcv_detail_code,remaining_amt, payrec, mode_code,coinsurance_code,class_cd,it_remarks) values('07May250079','050000836013','-255',(select max(to_number(i.premium_rcv_detail_code))+1
from ins_premium_det i),'-255','-255','02', '11000003','00','Request by Mr. Omair Ali 09-May-2025');</v>
      </c>
    </row>
    <row r="310" spans="1:8" ht="105" x14ac:dyDescent="0.25">
      <c r="A310" s="2" t="s">
        <v>314</v>
      </c>
      <c r="B310" s="24" t="str">
        <f>VLOOKUP(A310,policy!B:C,2,0)</f>
        <v>050000836059</v>
      </c>
      <c r="C310" s="14">
        <v>-4907</v>
      </c>
      <c r="D310" s="25">
        <f t="shared" si="17"/>
        <v>-4907</v>
      </c>
      <c r="E310" s="23" t="s">
        <v>665</v>
      </c>
      <c r="F310" s="26" t="str">
        <f t="shared" si="16"/>
        <v>insert into ins_premium_det (premium_rcv_code,assorted_code, rec_amount,premium_rcv_detail_code,remaining_amt, payrec, mode_code,coinsurance_code,class_cd,it_remarks) values</v>
      </c>
      <c r="G310" s="27" t="str">
        <f t="shared" si="18"/>
        <v>('07May250079','050000836059','-4907',(select max(to_number(i.premium_rcv_detail_code))+1
from ins_premium_det i),'-4907','-4907','02', '11000003','00','Request by Mr. Omair Ali 09-May-2025');</v>
      </c>
      <c r="H310" s="28" t="str">
        <f t="shared" si="19"/>
        <v>insert into ins_premium_det (premium_rcv_code,assorted_code, rec_amount,premium_rcv_detail_code,remaining_amt, payrec, mode_code,coinsurance_code,class_cd,it_remarks) values('07May250079','050000836059','-4907',(select max(to_number(i.premium_rcv_detail_code))+1
from ins_premium_det i),'-4907','-4907','02', '11000003','00','Request by Mr. Omair Ali 09-May-2025');</v>
      </c>
    </row>
    <row r="311" spans="1:8" ht="105" x14ac:dyDescent="0.25">
      <c r="A311" s="2" t="s">
        <v>315</v>
      </c>
      <c r="B311" s="24" t="str">
        <f>VLOOKUP(A311,policy!B:C,2,0)</f>
        <v>050000836453</v>
      </c>
      <c r="C311" s="14">
        <v>-3985</v>
      </c>
      <c r="D311" s="25">
        <f t="shared" si="17"/>
        <v>-3985</v>
      </c>
      <c r="E311" s="23" t="s">
        <v>665</v>
      </c>
      <c r="F311" s="26" t="str">
        <f t="shared" si="16"/>
        <v>insert into ins_premium_det (premium_rcv_code,assorted_code, rec_amount,premium_rcv_detail_code,remaining_amt, payrec, mode_code,coinsurance_code,class_cd,it_remarks) values</v>
      </c>
      <c r="G311" s="27" t="str">
        <f t="shared" si="18"/>
        <v>('07May250079','050000836453','-3985',(select max(to_number(i.premium_rcv_detail_code))+1
from ins_premium_det i),'-3985','-3985','02', '11000003','00','Request by Mr. Omair Ali 09-May-2025');</v>
      </c>
      <c r="H311" s="28" t="str">
        <f t="shared" si="19"/>
        <v>insert into ins_premium_det (premium_rcv_code,assorted_code, rec_amount,premium_rcv_detail_code,remaining_amt, payrec, mode_code,coinsurance_code,class_cd,it_remarks) values('07May250079','050000836453','-3985',(select max(to_number(i.premium_rcv_detail_code))+1
from ins_premium_det i),'-3985','-3985','02', '11000003','00','Request by Mr. Omair Ali 09-May-2025');</v>
      </c>
    </row>
    <row r="312" spans="1:8" ht="105" x14ac:dyDescent="0.25">
      <c r="A312" s="2" t="s">
        <v>316</v>
      </c>
      <c r="B312" s="24" t="str">
        <f>VLOOKUP(A312,policy!B:C,2,0)</f>
        <v>050000836648</v>
      </c>
      <c r="C312" s="14">
        <v>-644</v>
      </c>
      <c r="D312" s="25">
        <f t="shared" si="17"/>
        <v>-644</v>
      </c>
      <c r="E312" s="23" t="s">
        <v>665</v>
      </c>
      <c r="F312" s="26" t="str">
        <f t="shared" si="16"/>
        <v>insert into ins_premium_det (premium_rcv_code,assorted_code, rec_amount,premium_rcv_detail_code,remaining_amt, payrec, mode_code,coinsurance_code,class_cd,it_remarks) values</v>
      </c>
      <c r="G312" s="27" t="str">
        <f t="shared" si="18"/>
        <v>('07May250079','050000836648','-644',(select max(to_number(i.premium_rcv_detail_code))+1
from ins_premium_det i),'-644','-644','02', '11000003','00','Request by Mr. Omair Ali 09-May-2025');</v>
      </c>
      <c r="H312" s="28" t="str">
        <f t="shared" si="19"/>
        <v>insert into ins_premium_det (premium_rcv_code,assorted_code, rec_amount,premium_rcv_detail_code,remaining_amt, payrec, mode_code,coinsurance_code,class_cd,it_remarks) values('07May250079','050000836648','-644',(select max(to_number(i.premium_rcv_detail_code))+1
from ins_premium_det i),'-644','-644','02', '11000003','00','Request by Mr. Omair Ali 09-May-2025');</v>
      </c>
    </row>
    <row r="313" spans="1:8" ht="105" x14ac:dyDescent="0.25">
      <c r="A313" s="2" t="s">
        <v>317</v>
      </c>
      <c r="B313" s="24" t="str">
        <f>VLOOKUP(A313,policy!B:C,2,0)</f>
        <v>050000836666</v>
      </c>
      <c r="C313" s="14">
        <v>51552</v>
      </c>
      <c r="D313" s="25">
        <f t="shared" si="17"/>
        <v>51552</v>
      </c>
      <c r="E313" s="23" t="s">
        <v>665</v>
      </c>
      <c r="F313" s="26" t="str">
        <f t="shared" si="16"/>
        <v>insert into ins_premium_det (premium_rcv_code,assorted_code, rec_amount,premium_rcv_detail_code,remaining_amt, payrec, mode_code,coinsurance_code,class_cd,it_remarks) values</v>
      </c>
      <c r="G313" s="27" t="str">
        <f t="shared" si="18"/>
        <v>('07May250079','050000836666','51552',(select max(to_number(i.premium_rcv_detail_code))+1
from ins_premium_det i),'51552','51552','02', '11000003','00','Request by Mr. Omair Ali 09-May-2025');</v>
      </c>
      <c r="H313" s="28" t="str">
        <f t="shared" si="19"/>
        <v>insert into ins_premium_det (premium_rcv_code,assorted_code, rec_amount,premium_rcv_detail_code,remaining_amt, payrec, mode_code,coinsurance_code,class_cd,it_remarks) values('07May250079','050000836666','51552',(select max(to_number(i.premium_rcv_detail_code))+1
from ins_premium_det i),'51552','51552','02', '11000003','00','Request by Mr. Omair Ali 09-May-2025');</v>
      </c>
    </row>
    <row r="314" spans="1:8" ht="105" x14ac:dyDescent="0.25">
      <c r="A314" s="2" t="s">
        <v>318</v>
      </c>
      <c r="B314" s="24" t="str">
        <f>VLOOKUP(A314,policy!B:C,2,0)</f>
        <v>050000836906</v>
      </c>
      <c r="C314" s="14">
        <v>-83</v>
      </c>
      <c r="D314" s="25">
        <f t="shared" si="17"/>
        <v>-83</v>
      </c>
      <c r="E314" s="23" t="s">
        <v>665</v>
      </c>
      <c r="F314" s="26" t="str">
        <f t="shared" si="16"/>
        <v>insert into ins_premium_det (premium_rcv_code,assorted_code, rec_amount,premium_rcv_detail_code,remaining_amt, payrec, mode_code,coinsurance_code,class_cd,it_remarks) values</v>
      </c>
      <c r="G314" s="27" t="str">
        <f t="shared" si="18"/>
        <v>('07May250079','050000836906','-83',(select max(to_number(i.premium_rcv_detail_code))+1
from ins_premium_det i),'-83','-83','02', '11000003','00','Request by Mr. Omair Ali 09-May-2025');</v>
      </c>
      <c r="H314" s="28" t="str">
        <f t="shared" si="19"/>
        <v>insert into ins_premium_det (premium_rcv_code,assorted_code, rec_amount,premium_rcv_detail_code,remaining_amt, payrec, mode_code,coinsurance_code,class_cd,it_remarks) values('07May250079','050000836906','-83',(select max(to_number(i.premium_rcv_detail_code))+1
from ins_premium_det i),'-83','-83','02', '11000003','00','Request by Mr. Omair Ali 09-May-2025');</v>
      </c>
    </row>
    <row r="315" spans="1:8" ht="105" x14ac:dyDescent="0.25">
      <c r="A315" s="2" t="s">
        <v>319</v>
      </c>
      <c r="B315" s="24" t="str">
        <f>VLOOKUP(A315,policy!B:C,2,0)</f>
        <v>050000837403</v>
      </c>
      <c r="C315" s="14">
        <v>-543</v>
      </c>
      <c r="D315" s="25">
        <f t="shared" si="17"/>
        <v>-543</v>
      </c>
      <c r="E315" s="23" t="s">
        <v>665</v>
      </c>
      <c r="F315" s="26" t="str">
        <f t="shared" si="16"/>
        <v>insert into ins_premium_det (premium_rcv_code,assorted_code, rec_amount,premium_rcv_detail_code,remaining_amt, payrec, mode_code,coinsurance_code,class_cd,it_remarks) values</v>
      </c>
      <c r="G315" s="27" t="str">
        <f t="shared" si="18"/>
        <v>('07May250079','050000837403','-543',(select max(to_number(i.premium_rcv_detail_code))+1
from ins_premium_det i),'-543','-543','02', '11000003','00','Request by Mr. Omair Ali 09-May-2025');</v>
      </c>
      <c r="H315" s="28" t="str">
        <f t="shared" si="19"/>
        <v>insert into ins_premium_det (premium_rcv_code,assorted_code, rec_amount,premium_rcv_detail_code,remaining_amt, payrec, mode_code,coinsurance_code,class_cd,it_remarks) values('07May250079','050000837403','-543',(select max(to_number(i.premium_rcv_detail_code))+1
from ins_premium_det i),'-543','-543','02', '11000003','00','Request by Mr. Omair Ali 09-May-2025');</v>
      </c>
    </row>
    <row r="316" spans="1:8" ht="105" x14ac:dyDescent="0.25">
      <c r="A316" s="2" t="s">
        <v>320</v>
      </c>
      <c r="B316" s="24" t="str">
        <f>VLOOKUP(A316,policy!B:C,2,0)</f>
        <v>050000837738</v>
      </c>
      <c r="C316" s="14">
        <v>3375</v>
      </c>
      <c r="D316" s="25">
        <f t="shared" si="17"/>
        <v>3375</v>
      </c>
      <c r="E316" s="23" t="s">
        <v>665</v>
      </c>
      <c r="F316" s="26" t="str">
        <f t="shared" si="16"/>
        <v>insert into ins_premium_det (premium_rcv_code,assorted_code, rec_amount,premium_rcv_detail_code,remaining_amt, payrec, mode_code,coinsurance_code,class_cd,it_remarks) values</v>
      </c>
      <c r="G316" s="27" t="str">
        <f t="shared" si="18"/>
        <v>('07May250079','050000837738','3375',(select max(to_number(i.premium_rcv_detail_code))+1
from ins_premium_det i),'3375','3375','02', '11000003','00','Request by Mr. Omair Ali 09-May-2025');</v>
      </c>
      <c r="H316" s="28" t="str">
        <f t="shared" si="19"/>
        <v>insert into ins_premium_det (premium_rcv_code,assorted_code, rec_amount,premium_rcv_detail_code,remaining_amt, payrec, mode_code,coinsurance_code,class_cd,it_remarks) values('07May250079','050000837738','3375',(select max(to_number(i.premium_rcv_detail_code))+1
from ins_premium_det i),'3375','3375','02', '11000003','00','Request by Mr. Omair Ali 09-May-2025');</v>
      </c>
    </row>
    <row r="317" spans="1:8" ht="105" x14ac:dyDescent="0.25">
      <c r="A317" s="2" t="s">
        <v>321</v>
      </c>
      <c r="B317" s="24" t="str">
        <f>VLOOKUP(A317,policy!B:C,2,0)</f>
        <v>050000884187</v>
      </c>
      <c r="C317" s="14">
        <v>-596650</v>
      </c>
      <c r="D317" s="25">
        <f t="shared" si="17"/>
        <v>-596650</v>
      </c>
      <c r="E317" s="23" t="s">
        <v>665</v>
      </c>
      <c r="F317" s="26" t="str">
        <f t="shared" si="16"/>
        <v>insert into ins_premium_det (premium_rcv_code,assorted_code, rec_amount,premium_rcv_detail_code,remaining_amt, payrec, mode_code,coinsurance_code,class_cd,it_remarks) values</v>
      </c>
      <c r="G317" s="27" t="str">
        <f t="shared" si="18"/>
        <v>('07May250079','050000884187','-596650',(select max(to_number(i.premium_rcv_detail_code))+1
from ins_premium_det i),'-596650','-596650','02', '11000003','00','Request by Mr. Omair Ali 09-May-2025');</v>
      </c>
      <c r="H317" s="28" t="str">
        <f t="shared" si="19"/>
        <v>insert into ins_premium_det (premium_rcv_code,assorted_code, rec_amount,premium_rcv_detail_code,remaining_amt, payrec, mode_code,coinsurance_code,class_cd,it_remarks) values('07May250079','050000884187','-596650',(select max(to_number(i.premium_rcv_detail_code))+1
from ins_premium_det i),'-596650','-596650','02', '11000003','00','Request by Mr. Omair Ali 09-May-2025');</v>
      </c>
    </row>
  </sheetData>
  <conditionalFormatting sqref="A1">
    <cfRule type="duplicateValues" dxfId="5" priority="3"/>
  </conditionalFormatting>
  <conditionalFormatting sqref="B2:B317">
    <cfRule type="duplicateValues" dxfId="4" priority="4"/>
    <cfRule type="duplicateValues" dxfId="3" priority="5"/>
    <cfRule type="duplicateValues" dxfId="2" priority="6"/>
  </conditionalFormatting>
  <conditionalFormatting sqref="A2:A317">
    <cfRule type="notContainsBlanks" dxfId="1" priority="2">
      <formula>LEN(TRIM(A2))&gt;0</formula>
    </cfRule>
  </conditionalFormatting>
  <conditionalFormatting sqref="C2:C317">
    <cfRule type="notContainsBlanks" dxfId="0" priority="1">
      <formula>LEN(TRIM(C2))&gt;0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649F31-12F9-4C1C-8CC2-D022FA14E7A1}">
  <dimension ref="A1:E316"/>
  <sheetViews>
    <sheetView workbookViewId="0">
      <selection activeCell="H11" sqref="H11"/>
    </sheetView>
  </sheetViews>
  <sheetFormatPr defaultRowHeight="15" x14ac:dyDescent="0.25"/>
  <cols>
    <col min="1" max="1" width="35.7109375" bestFit="1" customWidth="1"/>
  </cols>
  <sheetData>
    <row r="1" spans="1:5" x14ac:dyDescent="0.25">
      <c r="A1" s="5" t="s">
        <v>5</v>
      </c>
      <c r="B1" t="s">
        <v>331</v>
      </c>
      <c r="D1">
        <v>23929</v>
      </c>
      <c r="E1" t="str">
        <f>"ia.assorted_string like '%"&amp;D1&amp;B1&amp;"%' or"</f>
        <v>ia.assorted_string like '%23929-02-2024%' or</v>
      </c>
    </row>
    <row r="2" spans="1:5" x14ac:dyDescent="0.25">
      <c r="A2" s="5" t="s">
        <v>6</v>
      </c>
      <c r="B2" t="s">
        <v>331</v>
      </c>
      <c r="D2">
        <v>23933</v>
      </c>
      <c r="E2" t="str">
        <f t="shared" ref="E2:E65" si="0">"ia.assorted_string like '%"&amp;D2&amp;B2&amp;"%' or"</f>
        <v>ia.assorted_string like '%23933-02-2024%' or</v>
      </c>
    </row>
    <row r="3" spans="1:5" x14ac:dyDescent="0.25">
      <c r="A3" s="5" t="s">
        <v>7</v>
      </c>
      <c r="B3" t="s">
        <v>331</v>
      </c>
      <c r="D3">
        <v>23997</v>
      </c>
      <c r="E3" t="str">
        <f t="shared" si="0"/>
        <v>ia.assorted_string like '%23997-02-2024%' or</v>
      </c>
    </row>
    <row r="4" spans="1:5" x14ac:dyDescent="0.25">
      <c r="A4" s="5" t="s">
        <v>8</v>
      </c>
      <c r="B4" t="s">
        <v>331</v>
      </c>
      <c r="D4">
        <v>24045</v>
      </c>
      <c r="E4" t="str">
        <f t="shared" si="0"/>
        <v>ia.assorted_string like '%24045-02-2024%' or</v>
      </c>
    </row>
    <row r="5" spans="1:5" x14ac:dyDescent="0.25">
      <c r="A5" s="5" t="s">
        <v>9</v>
      </c>
      <c r="B5" t="s">
        <v>331</v>
      </c>
      <c r="D5">
        <v>24084</v>
      </c>
      <c r="E5" t="str">
        <f t="shared" si="0"/>
        <v>ia.assorted_string like '%24084-02-2024%' or</v>
      </c>
    </row>
    <row r="6" spans="1:5" x14ac:dyDescent="0.25">
      <c r="A6" s="5" t="s">
        <v>10</v>
      </c>
      <c r="B6" t="s">
        <v>331</v>
      </c>
      <c r="D6">
        <v>24097</v>
      </c>
      <c r="E6" t="str">
        <f t="shared" si="0"/>
        <v>ia.assorted_string like '%24097-02-2024%' or</v>
      </c>
    </row>
    <row r="7" spans="1:5" x14ac:dyDescent="0.25">
      <c r="A7" s="5" t="s">
        <v>11</v>
      </c>
      <c r="B7" t="s">
        <v>331</v>
      </c>
      <c r="D7">
        <v>24116</v>
      </c>
      <c r="E7" t="str">
        <f t="shared" si="0"/>
        <v>ia.assorted_string like '%24116-02-2024%' or</v>
      </c>
    </row>
    <row r="8" spans="1:5" x14ac:dyDescent="0.25">
      <c r="A8" s="5" t="s">
        <v>12</v>
      </c>
      <c r="B8" t="s">
        <v>331</v>
      </c>
      <c r="D8">
        <v>24212</v>
      </c>
      <c r="E8" t="str">
        <f t="shared" si="0"/>
        <v>ia.assorted_string like '%24212-02-2024%' or</v>
      </c>
    </row>
    <row r="9" spans="1:5" x14ac:dyDescent="0.25">
      <c r="A9" s="5" t="s">
        <v>13</v>
      </c>
      <c r="B9" t="s">
        <v>331</v>
      </c>
      <c r="D9">
        <v>24272</v>
      </c>
      <c r="E9" t="str">
        <f t="shared" si="0"/>
        <v>ia.assorted_string like '%24272-02-2024%' or</v>
      </c>
    </row>
    <row r="10" spans="1:5" x14ac:dyDescent="0.25">
      <c r="A10" s="5" t="s">
        <v>14</v>
      </c>
      <c r="B10" t="s">
        <v>332</v>
      </c>
      <c r="D10">
        <v>24339</v>
      </c>
      <c r="E10" t="str">
        <f t="shared" si="0"/>
        <v>ia.assorted_string like '%24339-03-2024%' or</v>
      </c>
    </row>
    <row r="11" spans="1:5" x14ac:dyDescent="0.25">
      <c r="A11" s="5" t="s">
        <v>15</v>
      </c>
      <c r="B11" t="s">
        <v>332</v>
      </c>
      <c r="D11">
        <v>24353</v>
      </c>
      <c r="E11" t="str">
        <f t="shared" si="0"/>
        <v>ia.assorted_string like '%24353-03-2024%' or</v>
      </c>
    </row>
    <row r="12" spans="1:5" x14ac:dyDescent="0.25">
      <c r="A12" s="5" t="s">
        <v>16</v>
      </c>
      <c r="B12" t="s">
        <v>332</v>
      </c>
      <c r="D12">
        <v>24397</v>
      </c>
      <c r="E12" t="str">
        <f t="shared" si="0"/>
        <v>ia.assorted_string like '%24397-03-2024%' or</v>
      </c>
    </row>
    <row r="13" spans="1:5" x14ac:dyDescent="0.25">
      <c r="A13" s="5" t="s">
        <v>17</v>
      </c>
      <c r="B13" t="s">
        <v>332</v>
      </c>
      <c r="D13">
        <v>24436</v>
      </c>
      <c r="E13" t="str">
        <f t="shared" si="0"/>
        <v>ia.assorted_string like '%24436-03-2024%' or</v>
      </c>
    </row>
    <row r="14" spans="1:5" x14ac:dyDescent="0.25">
      <c r="A14" s="5" t="s">
        <v>18</v>
      </c>
      <c r="B14" t="s">
        <v>332</v>
      </c>
      <c r="D14">
        <v>24460</v>
      </c>
      <c r="E14" t="str">
        <f t="shared" si="0"/>
        <v>ia.assorted_string like '%24460-03-2024%' or</v>
      </c>
    </row>
    <row r="15" spans="1:5" x14ac:dyDescent="0.25">
      <c r="A15" s="5" t="s">
        <v>19</v>
      </c>
      <c r="B15" t="s">
        <v>332</v>
      </c>
      <c r="D15">
        <v>24578</v>
      </c>
      <c r="E15" t="str">
        <f t="shared" si="0"/>
        <v>ia.assorted_string like '%24578-03-2024%' or</v>
      </c>
    </row>
    <row r="16" spans="1:5" x14ac:dyDescent="0.25">
      <c r="A16" s="5" t="s">
        <v>20</v>
      </c>
      <c r="B16" t="s">
        <v>332</v>
      </c>
      <c r="D16">
        <v>24614</v>
      </c>
      <c r="E16" t="str">
        <f t="shared" si="0"/>
        <v>ia.assorted_string like '%24614-03-2024%' or</v>
      </c>
    </row>
    <row r="17" spans="1:5" x14ac:dyDescent="0.25">
      <c r="A17" s="5" t="s">
        <v>21</v>
      </c>
      <c r="B17" t="s">
        <v>332</v>
      </c>
      <c r="D17">
        <v>24634</v>
      </c>
      <c r="E17" t="str">
        <f t="shared" si="0"/>
        <v>ia.assorted_string like '%24634-03-2024%' or</v>
      </c>
    </row>
    <row r="18" spans="1:5" x14ac:dyDescent="0.25">
      <c r="A18" s="5" t="s">
        <v>22</v>
      </c>
      <c r="B18" t="s">
        <v>333</v>
      </c>
      <c r="D18">
        <v>24681</v>
      </c>
      <c r="E18" t="str">
        <f t="shared" si="0"/>
        <v>ia.assorted_string like '%24681-04-2024%' or</v>
      </c>
    </row>
    <row r="19" spans="1:5" x14ac:dyDescent="0.25">
      <c r="A19" s="5" t="s">
        <v>23</v>
      </c>
      <c r="B19" t="s">
        <v>333</v>
      </c>
      <c r="D19">
        <v>24684</v>
      </c>
      <c r="E19" t="str">
        <f t="shared" si="0"/>
        <v>ia.assorted_string like '%24684-04-2024%' or</v>
      </c>
    </row>
    <row r="20" spans="1:5" x14ac:dyDescent="0.25">
      <c r="A20" s="5" t="s">
        <v>24</v>
      </c>
      <c r="B20" t="s">
        <v>333</v>
      </c>
      <c r="D20">
        <v>24715</v>
      </c>
      <c r="E20" t="str">
        <f t="shared" si="0"/>
        <v>ia.assorted_string like '%24715-04-2024%' or</v>
      </c>
    </row>
    <row r="21" spans="1:5" x14ac:dyDescent="0.25">
      <c r="A21" s="5" t="s">
        <v>25</v>
      </c>
      <c r="B21" t="s">
        <v>333</v>
      </c>
      <c r="D21">
        <v>24753</v>
      </c>
      <c r="E21" t="str">
        <f t="shared" si="0"/>
        <v>ia.assorted_string like '%24753-04-2024%' or</v>
      </c>
    </row>
    <row r="22" spans="1:5" x14ac:dyDescent="0.25">
      <c r="A22" s="5" t="s">
        <v>26</v>
      </c>
      <c r="B22" t="s">
        <v>333</v>
      </c>
      <c r="D22">
        <v>24770</v>
      </c>
      <c r="E22" t="str">
        <f t="shared" si="0"/>
        <v>ia.assorted_string like '%24770-04-2024%' or</v>
      </c>
    </row>
    <row r="23" spans="1:5" x14ac:dyDescent="0.25">
      <c r="A23" s="5" t="s">
        <v>27</v>
      </c>
      <c r="B23" t="s">
        <v>333</v>
      </c>
      <c r="D23">
        <v>24782</v>
      </c>
      <c r="E23" t="str">
        <f t="shared" si="0"/>
        <v>ia.assorted_string like '%24782-04-2024%' or</v>
      </c>
    </row>
    <row r="24" spans="1:5" x14ac:dyDescent="0.25">
      <c r="A24" s="5" t="s">
        <v>28</v>
      </c>
      <c r="B24" t="s">
        <v>333</v>
      </c>
      <c r="D24">
        <v>24837</v>
      </c>
      <c r="E24" t="str">
        <f t="shared" si="0"/>
        <v>ia.assorted_string like '%24837-04-2024%' or</v>
      </c>
    </row>
    <row r="25" spans="1:5" x14ac:dyDescent="0.25">
      <c r="A25" s="5" t="s">
        <v>29</v>
      </c>
      <c r="B25" t="s">
        <v>333</v>
      </c>
      <c r="D25">
        <v>24887</v>
      </c>
      <c r="E25" t="str">
        <f t="shared" si="0"/>
        <v>ia.assorted_string like '%24887-04-2024%' or</v>
      </c>
    </row>
    <row r="26" spans="1:5" x14ac:dyDescent="0.25">
      <c r="A26" s="5" t="s">
        <v>30</v>
      </c>
      <c r="B26" t="s">
        <v>333</v>
      </c>
      <c r="D26">
        <v>24961</v>
      </c>
      <c r="E26" t="str">
        <f t="shared" si="0"/>
        <v>ia.assorted_string like '%24961-04-2024%' or</v>
      </c>
    </row>
    <row r="27" spans="1:5" x14ac:dyDescent="0.25">
      <c r="A27" s="5" t="s">
        <v>31</v>
      </c>
      <c r="B27" t="s">
        <v>333</v>
      </c>
      <c r="D27">
        <v>25023</v>
      </c>
      <c r="E27" t="str">
        <f t="shared" si="0"/>
        <v>ia.assorted_string like '%25023-04-2024%' or</v>
      </c>
    </row>
    <row r="28" spans="1:5" x14ac:dyDescent="0.25">
      <c r="A28" s="5" t="s">
        <v>32</v>
      </c>
      <c r="B28" t="s">
        <v>333</v>
      </c>
      <c r="D28">
        <v>25039</v>
      </c>
      <c r="E28" t="str">
        <f t="shared" si="0"/>
        <v>ia.assorted_string like '%25039-04-2024%' or</v>
      </c>
    </row>
    <row r="29" spans="1:5" x14ac:dyDescent="0.25">
      <c r="A29" s="5" t="s">
        <v>33</v>
      </c>
      <c r="B29" t="s">
        <v>333</v>
      </c>
      <c r="D29">
        <v>25057</v>
      </c>
      <c r="E29" t="str">
        <f t="shared" si="0"/>
        <v>ia.assorted_string like '%25057-04-2024%' or</v>
      </c>
    </row>
    <row r="30" spans="1:5" x14ac:dyDescent="0.25">
      <c r="A30" s="5" t="s">
        <v>34</v>
      </c>
      <c r="B30" t="s">
        <v>333</v>
      </c>
      <c r="D30">
        <v>25072</v>
      </c>
      <c r="E30" t="str">
        <f t="shared" si="0"/>
        <v>ia.assorted_string like '%25072-04-2024%' or</v>
      </c>
    </row>
    <row r="31" spans="1:5" x14ac:dyDescent="0.25">
      <c r="A31" s="5" t="s">
        <v>35</v>
      </c>
      <c r="B31" t="s">
        <v>334</v>
      </c>
      <c r="D31">
        <v>25126</v>
      </c>
      <c r="E31" t="str">
        <f t="shared" si="0"/>
        <v>ia.assorted_string like '%25126-05-2024%' or</v>
      </c>
    </row>
    <row r="32" spans="1:5" x14ac:dyDescent="0.25">
      <c r="A32" s="5" t="s">
        <v>36</v>
      </c>
      <c r="B32" t="s">
        <v>334</v>
      </c>
      <c r="D32">
        <v>25175</v>
      </c>
      <c r="E32" t="str">
        <f t="shared" si="0"/>
        <v>ia.assorted_string like '%25175-05-2024%' or</v>
      </c>
    </row>
    <row r="33" spans="1:5" x14ac:dyDescent="0.25">
      <c r="A33" s="5" t="s">
        <v>37</v>
      </c>
      <c r="B33" t="s">
        <v>334</v>
      </c>
      <c r="D33">
        <v>25190</v>
      </c>
      <c r="E33" t="str">
        <f t="shared" si="0"/>
        <v>ia.assorted_string like '%25190-05-2024%' or</v>
      </c>
    </row>
    <row r="34" spans="1:5" x14ac:dyDescent="0.25">
      <c r="A34" s="5" t="s">
        <v>38</v>
      </c>
      <c r="B34" t="s">
        <v>334</v>
      </c>
      <c r="D34">
        <v>25227</v>
      </c>
      <c r="E34" t="str">
        <f t="shared" si="0"/>
        <v>ia.assorted_string like '%25227-05-2024%' or</v>
      </c>
    </row>
    <row r="35" spans="1:5" x14ac:dyDescent="0.25">
      <c r="A35" s="5" t="s">
        <v>39</v>
      </c>
      <c r="B35" t="s">
        <v>334</v>
      </c>
      <c r="D35">
        <v>25352</v>
      </c>
      <c r="E35" t="str">
        <f t="shared" si="0"/>
        <v>ia.assorted_string like '%25352-05-2024%' or</v>
      </c>
    </row>
    <row r="36" spans="1:5" x14ac:dyDescent="0.25">
      <c r="A36" s="5" t="s">
        <v>40</v>
      </c>
      <c r="B36" t="s">
        <v>334</v>
      </c>
      <c r="D36">
        <v>25414</v>
      </c>
      <c r="E36" t="str">
        <f t="shared" si="0"/>
        <v>ia.assorted_string like '%25414-05-2024%' or</v>
      </c>
    </row>
    <row r="37" spans="1:5" x14ac:dyDescent="0.25">
      <c r="A37" s="5" t="s">
        <v>41</v>
      </c>
      <c r="B37" t="s">
        <v>334</v>
      </c>
      <c r="D37">
        <v>25474</v>
      </c>
      <c r="E37" t="str">
        <f t="shared" si="0"/>
        <v>ia.assorted_string like '%25474-05-2024%' or</v>
      </c>
    </row>
    <row r="38" spans="1:5" x14ac:dyDescent="0.25">
      <c r="A38" s="5" t="s">
        <v>42</v>
      </c>
      <c r="B38" t="s">
        <v>334</v>
      </c>
      <c r="D38">
        <v>25505</v>
      </c>
      <c r="E38" t="str">
        <f t="shared" si="0"/>
        <v>ia.assorted_string like '%25505-05-2024%' or</v>
      </c>
    </row>
    <row r="39" spans="1:5" x14ac:dyDescent="0.25">
      <c r="A39" s="5" t="s">
        <v>43</v>
      </c>
      <c r="B39" t="s">
        <v>334</v>
      </c>
      <c r="D39">
        <v>25512</v>
      </c>
      <c r="E39" t="str">
        <f t="shared" si="0"/>
        <v>ia.assorted_string like '%25512-05-2024%' or</v>
      </c>
    </row>
    <row r="40" spans="1:5" x14ac:dyDescent="0.25">
      <c r="A40" s="5" t="s">
        <v>44</v>
      </c>
      <c r="B40" t="s">
        <v>334</v>
      </c>
      <c r="D40">
        <v>25553</v>
      </c>
      <c r="E40" t="str">
        <f t="shared" si="0"/>
        <v>ia.assorted_string like '%25553-05-2024%' or</v>
      </c>
    </row>
    <row r="41" spans="1:5" x14ac:dyDescent="0.25">
      <c r="A41" s="5" t="s">
        <v>45</v>
      </c>
      <c r="B41" t="s">
        <v>335</v>
      </c>
      <c r="D41">
        <v>25576</v>
      </c>
      <c r="E41" t="str">
        <f t="shared" si="0"/>
        <v>ia.assorted_string like '%25576-06-2024%' or</v>
      </c>
    </row>
    <row r="42" spans="1:5" x14ac:dyDescent="0.25">
      <c r="A42" s="5" t="s">
        <v>46</v>
      </c>
      <c r="B42" t="s">
        <v>335</v>
      </c>
      <c r="D42">
        <v>25629</v>
      </c>
      <c r="E42" t="str">
        <f t="shared" si="0"/>
        <v>ia.assorted_string like '%25629-06-2024%' or</v>
      </c>
    </row>
    <row r="43" spans="1:5" x14ac:dyDescent="0.25">
      <c r="A43" s="5" t="s">
        <v>47</v>
      </c>
      <c r="B43" t="s">
        <v>335</v>
      </c>
      <c r="D43">
        <v>25671</v>
      </c>
      <c r="E43" t="str">
        <f t="shared" si="0"/>
        <v>ia.assorted_string like '%25671-06-2024%' or</v>
      </c>
    </row>
    <row r="44" spans="1:5" x14ac:dyDescent="0.25">
      <c r="A44" s="5" t="s">
        <v>48</v>
      </c>
      <c r="B44" t="s">
        <v>335</v>
      </c>
      <c r="D44">
        <v>25693</v>
      </c>
      <c r="E44" t="str">
        <f t="shared" si="0"/>
        <v>ia.assorted_string like '%25693-06-2024%' or</v>
      </c>
    </row>
    <row r="45" spans="1:5" x14ac:dyDescent="0.25">
      <c r="A45" s="5" t="s">
        <v>49</v>
      </c>
      <c r="B45" t="s">
        <v>335</v>
      </c>
      <c r="D45">
        <v>25729</v>
      </c>
      <c r="E45" t="str">
        <f t="shared" si="0"/>
        <v>ia.assorted_string like '%25729-06-2024%' or</v>
      </c>
    </row>
    <row r="46" spans="1:5" x14ac:dyDescent="0.25">
      <c r="A46" s="5" t="s">
        <v>50</v>
      </c>
      <c r="B46" t="s">
        <v>335</v>
      </c>
      <c r="D46">
        <v>25776</v>
      </c>
      <c r="E46" t="str">
        <f t="shared" si="0"/>
        <v>ia.assorted_string like '%25776-06-2024%' or</v>
      </c>
    </row>
    <row r="47" spans="1:5" x14ac:dyDescent="0.25">
      <c r="A47" s="5" t="s">
        <v>51</v>
      </c>
      <c r="B47" t="s">
        <v>335</v>
      </c>
      <c r="D47">
        <v>25808</v>
      </c>
      <c r="E47" t="str">
        <f t="shared" si="0"/>
        <v>ia.assorted_string like '%25808-06-2024%' or</v>
      </c>
    </row>
    <row r="48" spans="1:5" x14ac:dyDescent="0.25">
      <c r="A48" s="5" t="s">
        <v>52</v>
      </c>
      <c r="B48" t="s">
        <v>335</v>
      </c>
      <c r="D48">
        <v>25846</v>
      </c>
      <c r="E48" t="str">
        <f t="shared" si="0"/>
        <v>ia.assorted_string like '%25846-06-2024%' or</v>
      </c>
    </row>
    <row r="49" spans="1:5" x14ac:dyDescent="0.25">
      <c r="A49" s="5" t="s">
        <v>53</v>
      </c>
      <c r="B49" t="s">
        <v>335</v>
      </c>
      <c r="D49">
        <v>25874</v>
      </c>
      <c r="E49" t="str">
        <f t="shared" si="0"/>
        <v>ia.assorted_string like '%25874-06-2024%' or</v>
      </c>
    </row>
    <row r="50" spans="1:5" x14ac:dyDescent="0.25">
      <c r="A50" s="5" t="s">
        <v>54</v>
      </c>
      <c r="B50" t="s">
        <v>335</v>
      </c>
      <c r="D50">
        <v>25887</v>
      </c>
      <c r="E50" t="str">
        <f t="shared" si="0"/>
        <v>ia.assorted_string like '%25887-06-2024%' or</v>
      </c>
    </row>
    <row r="51" spans="1:5" x14ac:dyDescent="0.25">
      <c r="A51" s="5" t="s">
        <v>55</v>
      </c>
      <c r="B51" t="s">
        <v>335</v>
      </c>
      <c r="D51">
        <v>25938</v>
      </c>
      <c r="E51" t="str">
        <f t="shared" si="0"/>
        <v>ia.assorted_string like '%25938-06-2024%' or</v>
      </c>
    </row>
    <row r="52" spans="1:5" x14ac:dyDescent="0.25">
      <c r="A52" s="5" t="s">
        <v>56</v>
      </c>
      <c r="B52" t="s">
        <v>336</v>
      </c>
      <c r="D52">
        <v>25984</v>
      </c>
      <c r="E52" t="str">
        <f t="shared" si="0"/>
        <v>ia.assorted_string like '%25984-07-2024%' or</v>
      </c>
    </row>
    <row r="53" spans="1:5" x14ac:dyDescent="0.25">
      <c r="A53" s="5" t="s">
        <v>57</v>
      </c>
      <c r="B53" t="s">
        <v>336</v>
      </c>
      <c r="D53">
        <v>26022</v>
      </c>
      <c r="E53" t="str">
        <f t="shared" si="0"/>
        <v>ia.assorted_string like '%26022-07-2024%' or</v>
      </c>
    </row>
    <row r="54" spans="1:5" x14ac:dyDescent="0.25">
      <c r="A54" s="5" t="s">
        <v>58</v>
      </c>
      <c r="B54" t="s">
        <v>336</v>
      </c>
      <c r="D54">
        <v>26047</v>
      </c>
      <c r="E54" t="str">
        <f t="shared" si="0"/>
        <v>ia.assorted_string like '%26047-07-2024%' or</v>
      </c>
    </row>
    <row r="55" spans="1:5" x14ac:dyDescent="0.25">
      <c r="A55" s="5" t="s">
        <v>59</v>
      </c>
      <c r="B55" t="s">
        <v>336</v>
      </c>
      <c r="D55">
        <v>26079</v>
      </c>
      <c r="E55" t="str">
        <f t="shared" si="0"/>
        <v>ia.assorted_string like '%26079-07-2024%' or</v>
      </c>
    </row>
    <row r="56" spans="1:5" x14ac:dyDescent="0.25">
      <c r="A56" s="5" t="s">
        <v>60</v>
      </c>
      <c r="B56" t="s">
        <v>336</v>
      </c>
      <c r="D56">
        <v>26128</v>
      </c>
      <c r="E56" t="str">
        <f t="shared" si="0"/>
        <v>ia.assorted_string like '%26128-07-2024%' or</v>
      </c>
    </row>
    <row r="57" spans="1:5" x14ac:dyDescent="0.25">
      <c r="A57" s="5" t="s">
        <v>61</v>
      </c>
      <c r="B57" t="s">
        <v>336</v>
      </c>
      <c r="D57">
        <v>26156</v>
      </c>
      <c r="E57" t="str">
        <f t="shared" si="0"/>
        <v>ia.assorted_string like '%26156-07-2024%' or</v>
      </c>
    </row>
    <row r="58" spans="1:5" x14ac:dyDescent="0.25">
      <c r="A58" s="5" t="s">
        <v>62</v>
      </c>
      <c r="B58" t="s">
        <v>336</v>
      </c>
      <c r="D58">
        <v>26195</v>
      </c>
      <c r="E58" t="str">
        <f t="shared" si="0"/>
        <v>ia.assorted_string like '%26195-07-2024%' or</v>
      </c>
    </row>
    <row r="59" spans="1:5" x14ac:dyDescent="0.25">
      <c r="A59" s="5" t="s">
        <v>63</v>
      </c>
      <c r="B59" t="s">
        <v>336</v>
      </c>
      <c r="D59">
        <v>26225</v>
      </c>
      <c r="E59" t="str">
        <f t="shared" si="0"/>
        <v>ia.assorted_string like '%26225-07-2024%' or</v>
      </c>
    </row>
    <row r="60" spans="1:5" x14ac:dyDescent="0.25">
      <c r="A60" s="5" t="s">
        <v>64</v>
      </c>
      <c r="B60" t="s">
        <v>336</v>
      </c>
      <c r="D60">
        <v>26266</v>
      </c>
      <c r="E60" t="str">
        <f t="shared" si="0"/>
        <v>ia.assorted_string like '%26266-07-2024%' or</v>
      </c>
    </row>
    <row r="61" spans="1:5" x14ac:dyDescent="0.25">
      <c r="A61" s="5" t="s">
        <v>65</v>
      </c>
      <c r="B61" t="s">
        <v>336</v>
      </c>
      <c r="D61">
        <v>26310</v>
      </c>
      <c r="E61" t="str">
        <f t="shared" si="0"/>
        <v>ia.assorted_string like '%26310-07-2024%' or</v>
      </c>
    </row>
    <row r="62" spans="1:5" x14ac:dyDescent="0.25">
      <c r="A62" s="5" t="s">
        <v>66</v>
      </c>
      <c r="B62" t="s">
        <v>336</v>
      </c>
      <c r="D62">
        <v>26354</v>
      </c>
      <c r="E62" t="str">
        <f t="shared" si="0"/>
        <v>ia.assorted_string like '%26354-07-2024%' or</v>
      </c>
    </row>
    <row r="63" spans="1:5" x14ac:dyDescent="0.25">
      <c r="A63" s="5" t="s">
        <v>67</v>
      </c>
      <c r="B63" t="s">
        <v>337</v>
      </c>
      <c r="D63">
        <v>26392</v>
      </c>
      <c r="E63" t="str">
        <f t="shared" si="0"/>
        <v>ia.assorted_string like '%26392-08-2024%' or</v>
      </c>
    </row>
    <row r="64" spans="1:5" x14ac:dyDescent="0.25">
      <c r="A64" s="5" t="s">
        <v>68</v>
      </c>
      <c r="B64" t="s">
        <v>337</v>
      </c>
      <c r="D64">
        <v>26419</v>
      </c>
      <c r="E64" t="str">
        <f t="shared" si="0"/>
        <v>ia.assorted_string like '%26419-08-2024%' or</v>
      </c>
    </row>
    <row r="65" spans="1:5" x14ac:dyDescent="0.25">
      <c r="A65" s="5" t="s">
        <v>69</v>
      </c>
      <c r="B65" t="s">
        <v>337</v>
      </c>
      <c r="D65">
        <v>26479</v>
      </c>
      <c r="E65" t="str">
        <f t="shared" si="0"/>
        <v>ia.assorted_string like '%26479-08-2024%' or</v>
      </c>
    </row>
    <row r="66" spans="1:5" x14ac:dyDescent="0.25">
      <c r="A66" s="5" t="s">
        <v>70</v>
      </c>
      <c r="B66" t="s">
        <v>337</v>
      </c>
      <c r="D66">
        <v>26514</v>
      </c>
      <c r="E66" t="str">
        <f t="shared" ref="E66:E129" si="1">"ia.assorted_string like '%"&amp;D66&amp;B66&amp;"%' or"</f>
        <v>ia.assorted_string like '%26514-08-2024%' or</v>
      </c>
    </row>
    <row r="67" spans="1:5" x14ac:dyDescent="0.25">
      <c r="A67" s="5" t="s">
        <v>71</v>
      </c>
      <c r="B67" t="s">
        <v>337</v>
      </c>
      <c r="D67">
        <v>26539</v>
      </c>
      <c r="E67" t="str">
        <f t="shared" si="1"/>
        <v>ia.assorted_string like '%26539-08-2024%' or</v>
      </c>
    </row>
    <row r="68" spans="1:5" x14ac:dyDescent="0.25">
      <c r="A68" s="5" t="s">
        <v>72</v>
      </c>
      <c r="B68" t="s">
        <v>337</v>
      </c>
      <c r="D68">
        <v>26563</v>
      </c>
      <c r="E68" t="str">
        <f t="shared" si="1"/>
        <v>ia.assorted_string like '%26563-08-2024%' or</v>
      </c>
    </row>
    <row r="69" spans="1:5" x14ac:dyDescent="0.25">
      <c r="A69" s="5" t="s">
        <v>73</v>
      </c>
      <c r="B69" t="s">
        <v>337</v>
      </c>
      <c r="D69">
        <v>26619</v>
      </c>
      <c r="E69" t="str">
        <f t="shared" si="1"/>
        <v>ia.assorted_string like '%26619-08-2024%' or</v>
      </c>
    </row>
    <row r="70" spans="1:5" x14ac:dyDescent="0.25">
      <c r="A70" s="5" t="s">
        <v>74</v>
      </c>
      <c r="B70" t="s">
        <v>337</v>
      </c>
      <c r="D70">
        <v>26644</v>
      </c>
      <c r="E70" t="str">
        <f t="shared" si="1"/>
        <v>ia.assorted_string like '%26644-08-2024%' or</v>
      </c>
    </row>
    <row r="71" spans="1:5" x14ac:dyDescent="0.25">
      <c r="A71" s="5" t="s">
        <v>75</v>
      </c>
      <c r="B71" t="s">
        <v>337</v>
      </c>
      <c r="D71">
        <v>26674</v>
      </c>
      <c r="E71" t="str">
        <f t="shared" si="1"/>
        <v>ia.assorted_string like '%26674-08-2024%' or</v>
      </c>
    </row>
    <row r="72" spans="1:5" x14ac:dyDescent="0.25">
      <c r="A72" s="5" t="s">
        <v>76</v>
      </c>
      <c r="B72" t="s">
        <v>337</v>
      </c>
      <c r="D72">
        <v>26690</v>
      </c>
      <c r="E72" t="str">
        <f t="shared" si="1"/>
        <v>ia.assorted_string like '%26690-08-2024%' or</v>
      </c>
    </row>
    <row r="73" spans="1:5" x14ac:dyDescent="0.25">
      <c r="A73" s="5" t="s">
        <v>77</v>
      </c>
      <c r="B73" t="s">
        <v>337</v>
      </c>
      <c r="D73">
        <v>26750</v>
      </c>
      <c r="E73" t="str">
        <f t="shared" si="1"/>
        <v>ia.assorted_string like '%26750-08-2024%' or</v>
      </c>
    </row>
    <row r="74" spans="1:5" x14ac:dyDescent="0.25">
      <c r="A74" s="5" t="s">
        <v>78</v>
      </c>
      <c r="B74" t="s">
        <v>337</v>
      </c>
      <c r="D74">
        <v>26761</v>
      </c>
      <c r="E74" t="str">
        <f t="shared" si="1"/>
        <v>ia.assorted_string like '%26761-08-2024%' or</v>
      </c>
    </row>
    <row r="75" spans="1:5" x14ac:dyDescent="0.25">
      <c r="A75" s="5" t="s">
        <v>79</v>
      </c>
      <c r="B75" t="s">
        <v>337</v>
      </c>
      <c r="D75">
        <v>26799</v>
      </c>
      <c r="E75" t="str">
        <f t="shared" si="1"/>
        <v>ia.assorted_string like '%26799-08-2024%' or</v>
      </c>
    </row>
    <row r="76" spans="1:5" x14ac:dyDescent="0.25">
      <c r="A76" s="5" t="s">
        <v>80</v>
      </c>
      <c r="B76" t="s">
        <v>337</v>
      </c>
      <c r="D76">
        <v>26855</v>
      </c>
      <c r="E76" t="str">
        <f t="shared" si="1"/>
        <v>ia.assorted_string like '%26855-08-2024%' or</v>
      </c>
    </row>
    <row r="77" spans="1:5" x14ac:dyDescent="0.25">
      <c r="A77" s="5" t="s">
        <v>81</v>
      </c>
      <c r="B77" t="s">
        <v>337</v>
      </c>
      <c r="D77">
        <v>26874</v>
      </c>
      <c r="E77" t="str">
        <f t="shared" si="1"/>
        <v>ia.assorted_string like '%26874-08-2024%' or</v>
      </c>
    </row>
    <row r="78" spans="1:5" x14ac:dyDescent="0.25">
      <c r="A78" s="5" t="s">
        <v>82</v>
      </c>
      <c r="B78" t="s">
        <v>337</v>
      </c>
      <c r="D78">
        <v>26922</v>
      </c>
      <c r="E78" t="str">
        <f t="shared" si="1"/>
        <v>ia.assorted_string like '%26922-08-2024%' or</v>
      </c>
    </row>
    <row r="79" spans="1:5" x14ac:dyDescent="0.25">
      <c r="A79" s="5" t="s">
        <v>83</v>
      </c>
      <c r="B79" t="s">
        <v>338</v>
      </c>
      <c r="D79">
        <v>26930</v>
      </c>
      <c r="E79" t="str">
        <f t="shared" si="1"/>
        <v>ia.assorted_string like '%26930-09-2024%' or</v>
      </c>
    </row>
    <row r="80" spans="1:5" x14ac:dyDescent="0.25">
      <c r="A80" s="5" t="s">
        <v>84</v>
      </c>
      <c r="B80" t="s">
        <v>338</v>
      </c>
      <c r="D80">
        <v>26976</v>
      </c>
      <c r="E80" t="str">
        <f t="shared" si="1"/>
        <v>ia.assorted_string like '%26976-09-2024%' or</v>
      </c>
    </row>
    <row r="81" spans="1:5" x14ac:dyDescent="0.25">
      <c r="A81" s="5" t="s">
        <v>85</v>
      </c>
      <c r="B81" t="s">
        <v>338</v>
      </c>
      <c r="D81">
        <v>27015</v>
      </c>
      <c r="E81" t="str">
        <f t="shared" si="1"/>
        <v>ia.assorted_string like '%27015-09-2024%' or</v>
      </c>
    </row>
    <row r="82" spans="1:5" x14ac:dyDescent="0.25">
      <c r="A82" s="5" t="s">
        <v>86</v>
      </c>
      <c r="B82" t="s">
        <v>338</v>
      </c>
      <c r="D82">
        <v>27034</v>
      </c>
      <c r="E82" t="str">
        <f t="shared" si="1"/>
        <v>ia.assorted_string like '%27034-09-2024%' or</v>
      </c>
    </row>
    <row r="83" spans="1:5" x14ac:dyDescent="0.25">
      <c r="A83" s="5" t="s">
        <v>87</v>
      </c>
      <c r="B83" t="s">
        <v>338</v>
      </c>
      <c r="D83">
        <v>27076</v>
      </c>
      <c r="E83" t="str">
        <f t="shared" si="1"/>
        <v>ia.assorted_string like '%27076-09-2024%' or</v>
      </c>
    </row>
    <row r="84" spans="1:5" x14ac:dyDescent="0.25">
      <c r="A84" s="5" t="s">
        <v>88</v>
      </c>
      <c r="B84" t="s">
        <v>338</v>
      </c>
      <c r="D84">
        <v>27142</v>
      </c>
      <c r="E84" t="str">
        <f t="shared" si="1"/>
        <v>ia.assorted_string like '%27142-09-2024%' or</v>
      </c>
    </row>
    <row r="85" spans="1:5" x14ac:dyDescent="0.25">
      <c r="A85" s="5" t="s">
        <v>89</v>
      </c>
      <c r="B85" t="s">
        <v>338</v>
      </c>
      <c r="D85">
        <v>27172</v>
      </c>
      <c r="E85" t="str">
        <f t="shared" si="1"/>
        <v>ia.assorted_string like '%27172-09-2024%' or</v>
      </c>
    </row>
    <row r="86" spans="1:5" x14ac:dyDescent="0.25">
      <c r="A86" s="5" t="s">
        <v>90</v>
      </c>
      <c r="B86" t="s">
        <v>338</v>
      </c>
      <c r="D86">
        <v>27176</v>
      </c>
      <c r="E86" t="str">
        <f t="shared" si="1"/>
        <v>ia.assorted_string like '%27176-09-2024%' or</v>
      </c>
    </row>
    <row r="87" spans="1:5" x14ac:dyDescent="0.25">
      <c r="A87" s="5" t="s">
        <v>91</v>
      </c>
      <c r="B87" t="s">
        <v>338</v>
      </c>
      <c r="D87">
        <v>27218</v>
      </c>
      <c r="E87" t="str">
        <f t="shared" si="1"/>
        <v>ia.assorted_string like '%27218-09-2024%' or</v>
      </c>
    </row>
    <row r="88" spans="1:5" x14ac:dyDescent="0.25">
      <c r="A88" s="5" t="s">
        <v>92</v>
      </c>
      <c r="B88" t="s">
        <v>338</v>
      </c>
      <c r="D88">
        <v>27253</v>
      </c>
      <c r="E88" t="str">
        <f t="shared" si="1"/>
        <v>ia.assorted_string like '%27253-09-2024%' or</v>
      </c>
    </row>
    <row r="89" spans="1:5" x14ac:dyDescent="0.25">
      <c r="A89" s="5" t="s">
        <v>93</v>
      </c>
      <c r="B89" t="s">
        <v>338</v>
      </c>
      <c r="D89">
        <v>27256</v>
      </c>
      <c r="E89" t="str">
        <f t="shared" si="1"/>
        <v>ia.assorted_string like '%27256-09-2024%' or</v>
      </c>
    </row>
    <row r="90" spans="1:5" x14ac:dyDescent="0.25">
      <c r="A90" s="5" t="s">
        <v>94</v>
      </c>
      <c r="B90" t="s">
        <v>338</v>
      </c>
      <c r="D90">
        <v>27268</v>
      </c>
      <c r="E90" t="str">
        <f t="shared" si="1"/>
        <v>ia.assorted_string like '%27268-09-2024%' or</v>
      </c>
    </row>
    <row r="91" spans="1:5" x14ac:dyDescent="0.25">
      <c r="A91" s="5" t="s">
        <v>95</v>
      </c>
      <c r="B91" t="s">
        <v>338</v>
      </c>
      <c r="D91">
        <v>27315</v>
      </c>
      <c r="E91" t="str">
        <f t="shared" si="1"/>
        <v>ia.assorted_string like '%27315-09-2024%' or</v>
      </c>
    </row>
    <row r="92" spans="1:5" x14ac:dyDescent="0.25">
      <c r="A92" s="5" t="s">
        <v>96</v>
      </c>
      <c r="B92" t="s">
        <v>338</v>
      </c>
      <c r="D92">
        <v>27331</v>
      </c>
      <c r="E92" t="str">
        <f t="shared" si="1"/>
        <v>ia.assorted_string like '%27331-09-2024%' or</v>
      </c>
    </row>
    <row r="93" spans="1:5" x14ac:dyDescent="0.25">
      <c r="A93" s="5" t="s">
        <v>97</v>
      </c>
      <c r="B93" t="s">
        <v>338</v>
      </c>
      <c r="D93">
        <v>27388</v>
      </c>
      <c r="E93" t="str">
        <f t="shared" si="1"/>
        <v>ia.assorted_string like '%27388-09-2024%' or</v>
      </c>
    </row>
    <row r="94" spans="1:5" x14ac:dyDescent="0.25">
      <c r="A94" s="5" t="s">
        <v>98</v>
      </c>
      <c r="B94" t="s">
        <v>338</v>
      </c>
      <c r="D94">
        <v>27425</v>
      </c>
      <c r="E94" t="str">
        <f t="shared" si="1"/>
        <v>ia.assorted_string like '%27425-09-2024%' or</v>
      </c>
    </row>
    <row r="95" spans="1:5" x14ac:dyDescent="0.25">
      <c r="A95" s="5" t="s">
        <v>99</v>
      </c>
      <c r="B95" t="s">
        <v>338</v>
      </c>
      <c r="D95">
        <v>27456</v>
      </c>
      <c r="E95" t="str">
        <f t="shared" si="1"/>
        <v>ia.assorted_string like '%27456-09-2024%' or</v>
      </c>
    </row>
    <row r="96" spans="1:5" x14ac:dyDescent="0.25">
      <c r="A96" s="5" t="s">
        <v>100</v>
      </c>
      <c r="B96" t="s">
        <v>338</v>
      </c>
      <c r="D96">
        <v>27485</v>
      </c>
      <c r="E96" t="str">
        <f t="shared" si="1"/>
        <v>ia.assorted_string like '%27485-09-2024%' or</v>
      </c>
    </row>
    <row r="97" spans="1:5" x14ac:dyDescent="0.25">
      <c r="A97" s="5" t="s">
        <v>101</v>
      </c>
      <c r="B97" t="s">
        <v>338</v>
      </c>
      <c r="D97">
        <v>27507</v>
      </c>
      <c r="E97" t="str">
        <f t="shared" si="1"/>
        <v>ia.assorted_string like '%27507-09-2024%' or</v>
      </c>
    </row>
    <row r="98" spans="1:5" x14ac:dyDescent="0.25">
      <c r="A98" s="5" t="s">
        <v>102</v>
      </c>
      <c r="B98" t="s">
        <v>338</v>
      </c>
      <c r="D98">
        <v>27508</v>
      </c>
      <c r="E98" t="str">
        <f t="shared" si="1"/>
        <v>ia.assorted_string like '%27508-09-2024%' or</v>
      </c>
    </row>
    <row r="99" spans="1:5" x14ac:dyDescent="0.25">
      <c r="A99" s="5" t="s">
        <v>103</v>
      </c>
      <c r="B99" t="s">
        <v>338</v>
      </c>
      <c r="D99">
        <v>27522</v>
      </c>
      <c r="E99" t="str">
        <f t="shared" si="1"/>
        <v>ia.assorted_string like '%27522-09-2024%' or</v>
      </c>
    </row>
    <row r="100" spans="1:5" x14ac:dyDescent="0.25">
      <c r="A100" s="5" t="s">
        <v>104</v>
      </c>
      <c r="B100" t="s">
        <v>338</v>
      </c>
      <c r="D100">
        <v>27551</v>
      </c>
      <c r="E100" t="str">
        <f t="shared" si="1"/>
        <v>ia.assorted_string like '%27551-09-2024%' or</v>
      </c>
    </row>
    <row r="101" spans="1:5" x14ac:dyDescent="0.25">
      <c r="A101" s="5" t="s">
        <v>105</v>
      </c>
      <c r="B101" t="s">
        <v>339</v>
      </c>
      <c r="D101">
        <v>27614</v>
      </c>
      <c r="E101" t="str">
        <f t="shared" si="1"/>
        <v>ia.assorted_string like '%27614-10-2024%' or</v>
      </c>
    </row>
    <row r="102" spans="1:5" x14ac:dyDescent="0.25">
      <c r="A102" s="5" t="s">
        <v>106</v>
      </c>
      <c r="B102" t="s">
        <v>339</v>
      </c>
      <c r="D102">
        <v>27617</v>
      </c>
      <c r="E102" t="str">
        <f t="shared" si="1"/>
        <v>ia.assorted_string like '%27617-10-2024%' or</v>
      </c>
    </row>
    <row r="103" spans="1:5" x14ac:dyDescent="0.25">
      <c r="A103" s="5" t="s">
        <v>107</v>
      </c>
      <c r="B103" t="s">
        <v>339</v>
      </c>
      <c r="D103">
        <v>27705</v>
      </c>
      <c r="E103" t="str">
        <f t="shared" si="1"/>
        <v>ia.assorted_string like '%27705-10-2024%' or</v>
      </c>
    </row>
    <row r="104" spans="1:5" x14ac:dyDescent="0.25">
      <c r="A104" s="5" t="s">
        <v>108</v>
      </c>
      <c r="B104" t="s">
        <v>339</v>
      </c>
      <c r="D104">
        <v>27737</v>
      </c>
      <c r="E104" t="str">
        <f t="shared" si="1"/>
        <v>ia.assorted_string like '%27737-10-2024%' or</v>
      </c>
    </row>
    <row r="105" spans="1:5" x14ac:dyDescent="0.25">
      <c r="A105" s="5" t="s">
        <v>109</v>
      </c>
      <c r="B105" t="s">
        <v>339</v>
      </c>
      <c r="D105">
        <v>27761</v>
      </c>
      <c r="E105" t="str">
        <f t="shared" si="1"/>
        <v>ia.assorted_string like '%27761-10-2024%' or</v>
      </c>
    </row>
    <row r="106" spans="1:5" x14ac:dyDescent="0.25">
      <c r="A106" s="5" t="s">
        <v>110</v>
      </c>
      <c r="B106" t="s">
        <v>339</v>
      </c>
      <c r="D106">
        <v>27810</v>
      </c>
      <c r="E106" t="str">
        <f t="shared" si="1"/>
        <v>ia.assorted_string like '%27810-10-2024%' or</v>
      </c>
    </row>
    <row r="107" spans="1:5" x14ac:dyDescent="0.25">
      <c r="A107" s="5" t="s">
        <v>111</v>
      </c>
      <c r="B107" t="s">
        <v>339</v>
      </c>
      <c r="D107">
        <v>27827</v>
      </c>
      <c r="E107" t="str">
        <f t="shared" si="1"/>
        <v>ia.assorted_string like '%27827-10-2024%' or</v>
      </c>
    </row>
    <row r="108" spans="1:5" x14ac:dyDescent="0.25">
      <c r="A108" s="2" t="s">
        <v>112</v>
      </c>
      <c r="B108" t="s">
        <v>339</v>
      </c>
      <c r="D108">
        <v>27845</v>
      </c>
      <c r="E108" t="str">
        <f t="shared" si="1"/>
        <v>ia.assorted_string like '%27845-10-2024%' or</v>
      </c>
    </row>
    <row r="109" spans="1:5" x14ac:dyDescent="0.25">
      <c r="A109" s="2" t="s">
        <v>113</v>
      </c>
      <c r="B109" t="s">
        <v>339</v>
      </c>
      <c r="D109">
        <v>27873</v>
      </c>
      <c r="E109" t="str">
        <f t="shared" si="1"/>
        <v>ia.assorted_string like '%27873-10-2024%' or</v>
      </c>
    </row>
    <row r="110" spans="1:5" x14ac:dyDescent="0.25">
      <c r="A110" s="2" t="s">
        <v>114</v>
      </c>
      <c r="B110" t="s">
        <v>339</v>
      </c>
      <c r="D110">
        <v>27875</v>
      </c>
      <c r="E110" t="str">
        <f t="shared" si="1"/>
        <v>ia.assorted_string like '%27875-10-2024%' or</v>
      </c>
    </row>
    <row r="111" spans="1:5" x14ac:dyDescent="0.25">
      <c r="A111" s="2" t="s">
        <v>115</v>
      </c>
      <c r="B111" t="s">
        <v>339</v>
      </c>
      <c r="D111">
        <v>27924</v>
      </c>
      <c r="E111" t="str">
        <f t="shared" si="1"/>
        <v>ia.assorted_string like '%27924-10-2024%' or</v>
      </c>
    </row>
    <row r="112" spans="1:5" x14ac:dyDescent="0.25">
      <c r="A112" s="2" t="s">
        <v>116</v>
      </c>
      <c r="B112" t="s">
        <v>339</v>
      </c>
      <c r="D112">
        <v>27982</v>
      </c>
      <c r="E112" t="str">
        <f t="shared" si="1"/>
        <v>ia.assorted_string like '%27982-10-2024%' or</v>
      </c>
    </row>
    <row r="113" spans="1:5" x14ac:dyDescent="0.25">
      <c r="A113" s="2" t="s">
        <v>117</v>
      </c>
      <c r="B113" t="s">
        <v>339</v>
      </c>
      <c r="D113">
        <v>28016</v>
      </c>
      <c r="E113" t="str">
        <f t="shared" si="1"/>
        <v>ia.assorted_string like '%28016-10-2024%' or</v>
      </c>
    </row>
    <row r="114" spans="1:5" x14ac:dyDescent="0.25">
      <c r="A114" s="2" t="s">
        <v>118</v>
      </c>
      <c r="B114" t="s">
        <v>339</v>
      </c>
      <c r="D114">
        <v>28019</v>
      </c>
      <c r="E114" t="str">
        <f t="shared" si="1"/>
        <v>ia.assorted_string like '%28019-10-2024%' or</v>
      </c>
    </row>
    <row r="115" spans="1:5" x14ac:dyDescent="0.25">
      <c r="A115" s="2" t="s">
        <v>119</v>
      </c>
      <c r="B115" t="s">
        <v>339</v>
      </c>
      <c r="D115">
        <v>28036</v>
      </c>
      <c r="E115" t="str">
        <f t="shared" si="1"/>
        <v>ia.assorted_string like '%28036-10-2024%' or</v>
      </c>
    </row>
    <row r="116" spans="1:5" x14ac:dyDescent="0.25">
      <c r="A116" s="2" t="s">
        <v>120</v>
      </c>
      <c r="B116" t="s">
        <v>339</v>
      </c>
      <c r="D116">
        <v>28042</v>
      </c>
      <c r="E116" t="str">
        <f t="shared" si="1"/>
        <v>ia.assorted_string like '%28042-10-2024%' or</v>
      </c>
    </row>
    <row r="117" spans="1:5" x14ac:dyDescent="0.25">
      <c r="A117" s="2" t="s">
        <v>121</v>
      </c>
      <c r="B117" t="s">
        <v>339</v>
      </c>
      <c r="D117">
        <v>28050</v>
      </c>
      <c r="E117" t="str">
        <f t="shared" si="1"/>
        <v>ia.assorted_string like '%28050-10-2024%' or</v>
      </c>
    </row>
    <row r="118" spans="1:5" x14ac:dyDescent="0.25">
      <c r="A118" s="2" t="s">
        <v>122</v>
      </c>
      <c r="B118" t="s">
        <v>339</v>
      </c>
      <c r="D118">
        <v>28091</v>
      </c>
      <c r="E118" t="str">
        <f t="shared" si="1"/>
        <v>ia.assorted_string like '%28091-10-2024%' or</v>
      </c>
    </row>
    <row r="119" spans="1:5" x14ac:dyDescent="0.25">
      <c r="A119" s="2" t="s">
        <v>123</v>
      </c>
      <c r="B119" t="s">
        <v>339</v>
      </c>
      <c r="D119">
        <v>28144</v>
      </c>
      <c r="E119" t="str">
        <f t="shared" si="1"/>
        <v>ia.assorted_string like '%28144-10-2024%' or</v>
      </c>
    </row>
    <row r="120" spans="1:5" x14ac:dyDescent="0.25">
      <c r="A120" s="2" t="s">
        <v>124</v>
      </c>
      <c r="B120" t="s">
        <v>339</v>
      </c>
      <c r="D120">
        <v>28163</v>
      </c>
      <c r="E120" t="str">
        <f t="shared" si="1"/>
        <v>ia.assorted_string like '%28163-10-2024%' or</v>
      </c>
    </row>
    <row r="121" spans="1:5" x14ac:dyDescent="0.25">
      <c r="A121" s="2" t="s">
        <v>125</v>
      </c>
      <c r="B121" t="s">
        <v>339</v>
      </c>
      <c r="D121">
        <v>28185</v>
      </c>
      <c r="E121" t="str">
        <f t="shared" si="1"/>
        <v>ia.assorted_string like '%28185-10-2024%' or</v>
      </c>
    </row>
    <row r="122" spans="1:5" x14ac:dyDescent="0.25">
      <c r="A122" s="2" t="s">
        <v>126</v>
      </c>
      <c r="B122" t="s">
        <v>339</v>
      </c>
      <c r="D122">
        <v>28216</v>
      </c>
      <c r="E122" t="str">
        <f t="shared" si="1"/>
        <v>ia.assorted_string like '%28216-10-2024%' or</v>
      </c>
    </row>
    <row r="123" spans="1:5" x14ac:dyDescent="0.25">
      <c r="A123" s="2" t="s">
        <v>127</v>
      </c>
      <c r="B123" t="s">
        <v>339</v>
      </c>
      <c r="D123">
        <v>28251</v>
      </c>
      <c r="E123" t="str">
        <f t="shared" si="1"/>
        <v>ia.assorted_string like '%28251-10-2024%' or</v>
      </c>
    </row>
    <row r="124" spans="1:5" x14ac:dyDescent="0.25">
      <c r="A124" s="2" t="s">
        <v>128</v>
      </c>
      <c r="B124" t="s">
        <v>340</v>
      </c>
      <c r="D124">
        <v>28287</v>
      </c>
      <c r="E124" t="str">
        <f t="shared" si="1"/>
        <v>ia.assorted_string like '%28287-11-2024%' or</v>
      </c>
    </row>
    <row r="125" spans="1:5" x14ac:dyDescent="0.25">
      <c r="A125" s="2" t="s">
        <v>129</v>
      </c>
      <c r="B125" t="s">
        <v>340</v>
      </c>
      <c r="D125">
        <v>28318</v>
      </c>
      <c r="E125" t="str">
        <f t="shared" si="1"/>
        <v>ia.assorted_string like '%28318-11-2024%' or</v>
      </c>
    </row>
    <row r="126" spans="1:5" x14ac:dyDescent="0.25">
      <c r="A126" s="2" t="s">
        <v>130</v>
      </c>
      <c r="B126" t="s">
        <v>340</v>
      </c>
      <c r="D126">
        <v>28352</v>
      </c>
      <c r="E126" t="str">
        <f t="shared" si="1"/>
        <v>ia.assorted_string like '%28352-11-2024%' or</v>
      </c>
    </row>
    <row r="127" spans="1:5" x14ac:dyDescent="0.25">
      <c r="A127" s="2" t="s">
        <v>131</v>
      </c>
      <c r="B127" t="s">
        <v>340</v>
      </c>
      <c r="D127">
        <v>28395</v>
      </c>
      <c r="E127" t="str">
        <f t="shared" si="1"/>
        <v>ia.assorted_string like '%28395-11-2024%' or</v>
      </c>
    </row>
    <row r="128" spans="1:5" x14ac:dyDescent="0.25">
      <c r="A128" s="2" t="s">
        <v>132</v>
      </c>
      <c r="B128" t="s">
        <v>340</v>
      </c>
      <c r="D128">
        <v>28418</v>
      </c>
      <c r="E128" t="str">
        <f t="shared" si="1"/>
        <v>ia.assorted_string like '%28418-11-2024%' or</v>
      </c>
    </row>
    <row r="129" spans="1:5" x14ac:dyDescent="0.25">
      <c r="A129" s="2" t="s">
        <v>133</v>
      </c>
      <c r="B129" t="s">
        <v>340</v>
      </c>
      <c r="D129">
        <v>28442</v>
      </c>
      <c r="E129" t="str">
        <f t="shared" si="1"/>
        <v>ia.assorted_string like '%28442-11-2024%' or</v>
      </c>
    </row>
    <row r="130" spans="1:5" x14ac:dyDescent="0.25">
      <c r="A130" s="2" t="s">
        <v>134</v>
      </c>
      <c r="B130" t="s">
        <v>340</v>
      </c>
      <c r="D130">
        <v>28454</v>
      </c>
      <c r="E130" t="str">
        <f t="shared" ref="E130:E193" si="2">"ia.assorted_string like '%"&amp;D130&amp;B130&amp;"%' or"</f>
        <v>ia.assorted_string like '%28454-11-2024%' or</v>
      </c>
    </row>
    <row r="131" spans="1:5" x14ac:dyDescent="0.25">
      <c r="A131" s="2" t="s">
        <v>135</v>
      </c>
      <c r="B131" t="s">
        <v>340</v>
      </c>
      <c r="D131">
        <v>28471</v>
      </c>
      <c r="E131" t="str">
        <f t="shared" si="2"/>
        <v>ia.assorted_string like '%28471-11-2024%' or</v>
      </c>
    </row>
    <row r="132" spans="1:5" x14ac:dyDescent="0.25">
      <c r="A132" s="2" t="s">
        <v>136</v>
      </c>
      <c r="B132" t="s">
        <v>340</v>
      </c>
      <c r="D132">
        <v>28478</v>
      </c>
      <c r="E132" t="str">
        <f t="shared" si="2"/>
        <v>ia.assorted_string like '%28478-11-2024%' or</v>
      </c>
    </row>
    <row r="133" spans="1:5" x14ac:dyDescent="0.25">
      <c r="A133" s="2" t="s">
        <v>137</v>
      </c>
      <c r="B133" t="s">
        <v>340</v>
      </c>
      <c r="D133">
        <v>28487</v>
      </c>
      <c r="E133" t="str">
        <f t="shared" si="2"/>
        <v>ia.assorted_string like '%28487-11-2024%' or</v>
      </c>
    </row>
    <row r="134" spans="1:5" x14ac:dyDescent="0.25">
      <c r="A134" s="2" t="s">
        <v>138</v>
      </c>
      <c r="B134" t="s">
        <v>340</v>
      </c>
      <c r="D134">
        <v>28519</v>
      </c>
      <c r="E134" t="str">
        <f t="shared" si="2"/>
        <v>ia.assorted_string like '%28519-11-2024%' or</v>
      </c>
    </row>
    <row r="135" spans="1:5" x14ac:dyDescent="0.25">
      <c r="A135" s="2" t="s">
        <v>139</v>
      </c>
      <c r="B135" t="s">
        <v>340</v>
      </c>
      <c r="D135">
        <v>28546</v>
      </c>
      <c r="E135" t="str">
        <f t="shared" si="2"/>
        <v>ia.assorted_string like '%28546-11-2024%' or</v>
      </c>
    </row>
    <row r="136" spans="1:5" x14ac:dyDescent="0.25">
      <c r="A136" s="2" t="s">
        <v>140</v>
      </c>
      <c r="B136" t="s">
        <v>340</v>
      </c>
      <c r="D136">
        <v>28568</v>
      </c>
      <c r="E136" t="str">
        <f t="shared" si="2"/>
        <v>ia.assorted_string like '%28568-11-2024%' or</v>
      </c>
    </row>
    <row r="137" spans="1:5" x14ac:dyDescent="0.25">
      <c r="A137" s="2" t="s">
        <v>141</v>
      </c>
      <c r="B137" t="s">
        <v>340</v>
      </c>
      <c r="D137">
        <v>28570</v>
      </c>
      <c r="E137" t="str">
        <f t="shared" si="2"/>
        <v>ia.assorted_string like '%28570-11-2024%' or</v>
      </c>
    </row>
    <row r="138" spans="1:5" x14ac:dyDescent="0.25">
      <c r="A138" s="2" t="s">
        <v>142</v>
      </c>
      <c r="B138" t="s">
        <v>340</v>
      </c>
      <c r="D138">
        <v>28607</v>
      </c>
      <c r="E138" t="str">
        <f t="shared" si="2"/>
        <v>ia.assorted_string like '%28607-11-2024%' or</v>
      </c>
    </row>
    <row r="139" spans="1:5" x14ac:dyDescent="0.25">
      <c r="A139" s="2" t="s">
        <v>143</v>
      </c>
      <c r="B139" t="s">
        <v>340</v>
      </c>
      <c r="D139">
        <v>28609</v>
      </c>
      <c r="E139" t="str">
        <f t="shared" si="2"/>
        <v>ia.assorted_string like '%28609-11-2024%' or</v>
      </c>
    </row>
    <row r="140" spans="1:5" x14ac:dyDescent="0.25">
      <c r="A140" s="2" t="s">
        <v>144</v>
      </c>
      <c r="B140" t="s">
        <v>340</v>
      </c>
      <c r="D140">
        <v>28611</v>
      </c>
      <c r="E140" t="str">
        <f t="shared" si="2"/>
        <v>ia.assorted_string like '%28611-11-2024%' or</v>
      </c>
    </row>
    <row r="141" spans="1:5" x14ac:dyDescent="0.25">
      <c r="A141" s="2" t="s">
        <v>145</v>
      </c>
      <c r="B141" t="s">
        <v>340</v>
      </c>
      <c r="D141">
        <v>28648</v>
      </c>
      <c r="E141" t="str">
        <f t="shared" si="2"/>
        <v>ia.assorted_string like '%28648-11-2024%' or</v>
      </c>
    </row>
    <row r="142" spans="1:5" x14ac:dyDescent="0.25">
      <c r="A142" s="2" t="s">
        <v>146</v>
      </c>
      <c r="B142" t="s">
        <v>340</v>
      </c>
      <c r="D142">
        <v>28690</v>
      </c>
      <c r="E142" t="str">
        <f t="shared" si="2"/>
        <v>ia.assorted_string like '%28690-11-2024%' or</v>
      </c>
    </row>
    <row r="143" spans="1:5" x14ac:dyDescent="0.25">
      <c r="A143" s="2" t="s">
        <v>147</v>
      </c>
      <c r="B143" t="s">
        <v>340</v>
      </c>
      <c r="D143">
        <v>28703</v>
      </c>
      <c r="E143" t="str">
        <f t="shared" si="2"/>
        <v>ia.assorted_string like '%28703-11-2024%' or</v>
      </c>
    </row>
    <row r="144" spans="1:5" x14ac:dyDescent="0.25">
      <c r="A144" s="2" t="s">
        <v>148</v>
      </c>
      <c r="B144" t="s">
        <v>340</v>
      </c>
      <c r="D144">
        <v>28727</v>
      </c>
      <c r="E144" t="str">
        <f t="shared" si="2"/>
        <v>ia.assorted_string like '%28727-11-2024%' or</v>
      </c>
    </row>
    <row r="145" spans="1:5" x14ac:dyDescent="0.25">
      <c r="A145" s="2" t="s">
        <v>149</v>
      </c>
      <c r="B145" t="s">
        <v>340</v>
      </c>
      <c r="D145">
        <v>28733</v>
      </c>
      <c r="E145" t="str">
        <f t="shared" si="2"/>
        <v>ia.assorted_string like '%28733-11-2024%' or</v>
      </c>
    </row>
    <row r="146" spans="1:5" x14ac:dyDescent="0.25">
      <c r="A146" s="2" t="s">
        <v>150</v>
      </c>
      <c r="B146" t="s">
        <v>340</v>
      </c>
      <c r="D146">
        <v>28758</v>
      </c>
      <c r="E146" t="str">
        <f t="shared" si="2"/>
        <v>ia.assorted_string like '%28758-11-2024%' or</v>
      </c>
    </row>
    <row r="147" spans="1:5" x14ac:dyDescent="0.25">
      <c r="A147" s="2" t="s">
        <v>151</v>
      </c>
      <c r="B147" t="s">
        <v>340</v>
      </c>
      <c r="D147">
        <v>28778</v>
      </c>
      <c r="E147" t="str">
        <f t="shared" si="2"/>
        <v>ia.assorted_string like '%28778-11-2024%' or</v>
      </c>
    </row>
    <row r="148" spans="1:5" x14ac:dyDescent="0.25">
      <c r="A148" s="2" t="s">
        <v>152</v>
      </c>
      <c r="B148" t="s">
        <v>340</v>
      </c>
      <c r="D148">
        <v>28794</v>
      </c>
      <c r="E148" t="str">
        <f t="shared" si="2"/>
        <v>ia.assorted_string like '%28794-11-2024%' or</v>
      </c>
    </row>
    <row r="149" spans="1:5" x14ac:dyDescent="0.25">
      <c r="A149" s="2" t="s">
        <v>153</v>
      </c>
      <c r="B149" t="s">
        <v>340</v>
      </c>
      <c r="D149">
        <v>28807</v>
      </c>
      <c r="E149" t="str">
        <f t="shared" si="2"/>
        <v>ia.assorted_string like '%28807-11-2024%' or</v>
      </c>
    </row>
    <row r="150" spans="1:5" x14ac:dyDescent="0.25">
      <c r="A150" s="2" t="s">
        <v>154</v>
      </c>
      <c r="B150" t="s">
        <v>340</v>
      </c>
      <c r="D150">
        <v>28818</v>
      </c>
      <c r="E150" t="str">
        <f t="shared" si="2"/>
        <v>ia.assorted_string like '%28818-11-2024%' or</v>
      </c>
    </row>
    <row r="151" spans="1:5" x14ac:dyDescent="0.25">
      <c r="A151" s="2" t="s">
        <v>155</v>
      </c>
      <c r="B151" t="s">
        <v>340</v>
      </c>
      <c r="D151">
        <v>28834</v>
      </c>
      <c r="E151" t="str">
        <f t="shared" si="2"/>
        <v>ia.assorted_string like '%28834-11-2024%' or</v>
      </c>
    </row>
    <row r="152" spans="1:5" x14ac:dyDescent="0.25">
      <c r="A152" s="2" t="s">
        <v>156</v>
      </c>
      <c r="B152" t="s">
        <v>340</v>
      </c>
      <c r="D152">
        <v>28840</v>
      </c>
      <c r="E152" t="str">
        <f t="shared" si="2"/>
        <v>ia.assorted_string like '%28840-11-2024%' or</v>
      </c>
    </row>
    <row r="153" spans="1:5" x14ac:dyDescent="0.25">
      <c r="A153" s="2" t="s">
        <v>157</v>
      </c>
      <c r="B153" t="s">
        <v>340</v>
      </c>
      <c r="D153">
        <v>28869</v>
      </c>
      <c r="E153" t="str">
        <f t="shared" si="2"/>
        <v>ia.assorted_string like '%28869-11-2024%' or</v>
      </c>
    </row>
    <row r="154" spans="1:5" x14ac:dyDescent="0.25">
      <c r="A154" s="2" t="s">
        <v>158</v>
      </c>
      <c r="B154" t="s">
        <v>341</v>
      </c>
      <c r="D154">
        <v>28895</v>
      </c>
      <c r="E154" t="str">
        <f t="shared" si="2"/>
        <v>ia.assorted_string like '%28895-12-2024%' or</v>
      </c>
    </row>
    <row r="155" spans="1:5" x14ac:dyDescent="0.25">
      <c r="A155" s="2" t="s">
        <v>159</v>
      </c>
      <c r="B155" t="s">
        <v>341</v>
      </c>
      <c r="D155">
        <v>28915</v>
      </c>
      <c r="E155" t="str">
        <f t="shared" si="2"/>
        <v>ia.assorted_string like '%28915-12-2024%' or</v>
      </c>
    </row>
    <row r="156" spans="1:5" x14ac:dyDescent="0.25">
      <c r="A156" s="2" t="s">
        <v>160</v>
      </c>
      <c r="B156" t="s">
        <v>341</v>
      </c>
      <c r="D156">
        <v>28969</v>
      </c>
      <c r="E156" t="str">
        <f t="shared" si="2"/>
        <v>ia.assorted_string like '%28969-12-2024%' or</v>
      </c>
    </row>
    <row r="157" spans="1:5" x14ac:dyDescent="0.25">
      <c r="A157" s="2" t="s">
        <v>161</v>
      </c>
      <c r="B157" t="s">
        <v>341</v>
      </c>
      <c r="D157">
        <v>28990</v>
      </c>
      <c r="E157" t="str">
        <f t="shared" si="2"/>
        <v>ia.assorted_string like '%28990-12-2024%' or</v>
      </c>
    </row>
    <row r="158" spans="1:5" x14ac:dyDescent="0.25">
      <c r="A158" s="2" t="s">
        <v>162</v>
      </c>
      <c r="B158" t="s">
        <v>341</v>
      </c>
      <c r="D158">
        <v>29013</v>
      </c>
      <c r="E158" t="str">
        <f t="shared" si="2"/>
        <v>ia.assorted_string like '%29013-12-2024%' or</v>
      </c>
    </row>
    <row r="159" spans="1:5" x14ac:dyDescent="0.25">
      <c r="A159" s="2" t="s">
        <v>163</v>
      </c>
      <c r="B159" t="s">
        <v>341</v>
      </c>
      <c r="D159">
        <v>29054</v>
      </c>
      <c r="E159" t="str">
        <f t="shared" si="2"/>
        <v>ia.assorted_string like '%29054-12-2024%' or</v>
      </c>
    </row>
    <row r="160" spans="1:5" x14ac:dyDescent="0.25">
      <c r="A160" s="2" t="s">
        <v>164</v>
      </c>
      <c r="B160" t="s">
        <v>341</v>
      </c>
      <c r="D160">
        <v>29074</v>
      </c>
      <c r="E160" t="str">
        <f t="shared" si="2"/>
        <v>ia.assorted_string like '%29074-12-2024%' or</v>
      </c>
    </row>
    <row r="161" spans="1:5" x14ac:dyDescent="0.25">
      <c r="A161" s="2" t="s">
        <v>165</v>
      </c>
      <c r="B161" t="s">
        <v>341</v>
      </c>
      <c r="D161">
        <v>29087</v>
      </c>
      <c r="E161" t="str">
        <f t="shared" si="2"/>
        <v>ia.assorted_string like '%29087-12-2024%' or</v>
      </c>
    </row>
    <row r="162" spans="1:5" x14ac:dyDescent="0.25">
      <c r="A162" s="2" t="s">
        <v>166</v>
      </c>
      <c r="B162" t="s">
        <v>341</v>
      </c>
      <c r="D162">
        <v>29103</v>
      </c>
      <c r="E162" t="str">
        <f t="shared" si="2"/>
        <v>ia.assorted_string like '%29103-12-2024%' or</v>
      </c>
    </row>
    <row r="163" spans="1:5" x14ac:dyDescent="0.25">
      <c r="A163" s="2" t="s">
        <v>167</v>
      </c>
      <c r="B163" t="s">
        <v>341</v>
      </c>
      <c r="D163">
        <v>29182</v>
      </c>
      <c r="E163" t="str">
        <f t="shared" si="2"/>
        <v>ia.assorted_string like '%29182-12-2024%' or</v>
      </c>
    </row>
    <row r="164" spans="1:5" x14ac:dyDescent="0.25">
      <c r="A164" s="2" t="s">
        <v>168</v>
      </c>
      <c r="B164" t="s">
        <v>341</v>
      </c>
      <c r="D164">
        <v>29214</v>
      </c>
      <c r="E164" t="str">
        <f t="shared" si="2"/>
        <v>ia.assorted_string like '%29214-12-2024%' or</v>
      </c>
    </row>
    <row r="165" spans="1:5" x14ac:dyDescent="0.25">
      <c r="A165" s="2" t="s">
        <v>169</v>
      </c>
      <c r="B165" t="s">
        <v>341</v>
      </c>
      <c r="D165">
        <v>29245</v>
      </c>
      <c r="E165" t="str">
        <f t="shared" si="2"/>
        <v>ia.assorted_string like '%29245-12-2024%' or</v>
      </c>
    </row>
    <row r="166" spans="1:5" x14ac:dyDescent="0.25">
      <c r="A166" s="2" t="s">
        <v>170</v>
      </c>
      <c r="B166" t="s">
        <v>341</v>
      </c>
      <c r="D166">
        <v>29261</v>
      </c>
      <c r="E166" t="str">
        <f t="shared" si="2"/>
        <v>ia.assorted_string like '%29261-12-2024%' or</v>
      </c>
    </row>
    <row r="167" spans="1:5" x14ac:dyDescent="0.25">
      <c r="A167" s="2" t="s">
        <v>171</v>
      </c>
      <c r="B167" t="s">
        <v>341</v>
      </c>
      <c r="D167">
        <v>29280</v>
      </c>
      <c r="E167" t="str">
        <f t="shared" si="2"/>
        <v>ia.assorted_string like '%29280-12-2024%' or</v>
      </c>
    </row>
    <row r="168" spans="1:5" x14ac:dyDescent="0.25">
      <c r="A168" s="2" t="s">
        <v>172</v>
      </c>
      <c r="B168" t="s">
        <v>341</v>
      </c>
      <c r="D168">
        <v>29315</v>
      </c>
      <c r="E168" t="str">
        <f t="shared" si="2"/>
        <v>ia.assorted_string like '%29315-12-2024%' or</v>
      </c>
    </row>
    <row r="169" spans="1:5" x14ac:dyDescent="0.25">
      <c r="A169" s="2" t="s">
        <v>173</v>
      </c>
      <c r="B169" t="s">
        <v>341</v>
      </c>
      <c r="D169">
        <v>29320</v>
      </c>
      <c r="E169" t="str">
        <f t="shared" si="2"/>
        <v>ia.assorted_string like '%29320-12-2024%' or</v>
      </c>
    </row>
    <row r="170" spans="1:5" x14ac:dyDescent="0.25">
      <c r="A170" s="2" t="s">
        <v>174</v>
      </c>
      <c r="B170" t="s">
        <v>341</v>
      </c>
      <c r="D170">
        <v>29356</v>
      </c>
      <c r="E170" t="str">
        <f t="shared" si="2"/>
        <v>ia.assorted_string like '%29356-12-2024%' or</v>
      </c>
    </row>
    <row r="171" spans="1:5" x14ac:dyDescent="0.25">
      <c r="A171" s="2" t="s">
        <v>175</v>
      </c>
      <c r="B171" t="s">
        <v>341</v>
      </c>
      <c r="D171">
        <v>29388</v>
      </c>
      <c r="E171" t="str">
        <f t="shared" si="2"/>
        <v>ia.assorted_string like '%29388-12-2024%' or</v>
      </c>
    </row>
    <row r="172" spans="1:5" x14ac:dyDescent="0.25">
      <c r="A172" s="2" t="s">
        <v>176</v>
      </c>
      <c r="B172" t="s">
        <v>341</v>
      </c>
      <c r="D172">
        <v>29396</v>
      </c>
      <c r="E172" t="str">
        <f t="shared" si="2"/>
        <v>ia.assorted_string like '%29396-12-2024%' or</v>
      </c>
    </row>
    <row r="173" spans="1:5" x14ac:dyDescent="0.25">
      <c r="A173" s="2" t="s">
        <v>177</v>
      </c>
      <c r="B173" t="s">
        <v>341</v>
      </c>
      <c r="D173">
        <v>29413</v>
      </c>
      <c r="E173" t="str">
        <f t="shared" si="2"/>
        <v>ia.assorted_string like '%29413-12-2024%' or</v>
      </c>
    </row>
    <row r="174" spans="1:5" x14ac:dyDescent="0.25">
      <c r="A174" s="2" t="s">
        <v>178</v>
      </c>
      <c r="B174" t="s">
        <v>341</v>
      </c>
      <c r="D174">
        <v>29414</v>
      </c>
      <c r="E174" t="str">
        <f t="shared" si="2"/>
        <v>ia.assorted_string like '%29414-12-2024%' or</v>
      </c>
    </row>
    <row r="175" spans="1:5" x14ac:dyDescent="0.25">
      <c r="A175" s="2" t="s">
        <v>179</v>
      </c>
      <c r="B175" t="s">
        <v>341</v>
      </c>
      <c r="D175">
        <v>29426</v>
      </c>
      <c r="E175" t="str">
        <f t="shared" si="2"/>
        <v>ia.assorted_string like '%29426-12-2024%' or</v>
      </c>
    </row>
    <row r="176" spans="1:5" x14ac:dyDescent="0.25">
      <c r="A176" s="5" t="s">
        <v>181</v>
      </c>
      <c r="B176" t="s">
        <v>331</v>
      </c>
      <c r="D176">
        <v>23932</v>
      </c>
      <c r="E176" t="str">
        <f t="shared" si="2"/>
        <v>ia.assorted_string like '%23932-02-2024%' or</v>
      </c>
    </row>
    <row r="177" spans="1:5" x14ac:dyDescent="0.25">
      <c r="A177" s="5" t="s">
        <v>182</v>
      </c>
      <c r="B177" t="s">
        <v>331</v>
      </c>
      <c r="D177">
        <v>23934</v>
      </c>
      <c r="E177" t="str">
        <f t="shared" si="2"/>
        <v>ia.assorted_string like '%23934-02-2024%' or</v>
      </c>
    </row>
    <row r="178" spans="1:5" x14ac:dyDescent="0.25">
      <c r="A178" s="5" t="s">
        <v>183</v>
      </c>
      <c r="B178" t="s">
        <v>331</v>
      </c>
      <c r="D178">
        <v>23998</v>
      </c>
      <c r="E178" t="str">
        <f t="shared" si="2"/>
        <v>ia.assorted_string like '%23998-02-2024%' or</v>
      </c>
    </row>
    <row r="179" spans="1:5" x14ac:dyDescent="0.25">
      <c r="A179" s="5" t="s">
        <v>184</v>
      </c>
      <c r="B179" t="s">
        <v>331</v>
      </c>
      <c r="D179">
        <v>24046</v>
      </c>
      <c r="E179" t="str">
        <f t="shared" si="2"/>
        <v>ia.assorted_string like '%24046-02-2024%' or</v>
      </c>
    </row>
    <row r="180" spans="1:5" x14ac:dyDescent="0.25">
      <c r="A180" s="5" t="s">
        <v>185</v>
      </c>
      <c r="B180" t="s">
        <v>331</v>
      </c>
      <c r="D180">
        <v>24085</v>
      </c>
      <c r="E180" t="str">
        <f t="shared" si="2"/>
        <v>ia.assorted_string like '%24085-02-2024%' or</v>
      </c>
    </row>
    <row r="181" spans="1:5" x14ac:dyDescent="0.25">
      <c r="A181" s="5" t="s">
        <v>186</v>
      </c>
      <c r="B181" t="s">
        <v>331</v>
      </c>
      <c r="D181">
        <v>24117</v>
      </c>
      <c r="E181" t="str">
        <f t="shared" si="2"/>
        <v>ia.assorted_string like '%24117-02-2024%' or</v>
      </c>
    </row>
    <row r="182" spans="1:5" x14ac:dyDescent="0.25">
      <c r="A182" s="5" t="s">
        <v>187</v>
      </c>
      <c r="B182" t="s">
        <v>331</v>
      </c>
      <c r="D182">
        <v>24213</v>
      </c>
      <c r="E182" t="str">
        <f t="shared" si="2"/>
        <v>ia.assorted_string like '%24213-02-2024%' or</v>
      </c>
    </row>
    <row r="183" spans="1:5" x14ac:dyDescent="0.25">
      <c r="A183" s="5" t="s">
        <v>188</v>
      </c>
      <c r="B183" t="s">
        <v>331</v>
      </c>
      <c r="D183">
        <v>24273</v>
      </c>
      <c r="E183" t="str">
        <f t="shared" si="2"/>
        <v>ia.assorted_string like '%24273-02-2024%' or</v>
      </c>
    </row>
    <row r="184" spans="1:5" x14ac:dyDescent="0.25">
      <c r="A184" s="5" t="s">
        <v>189</v>
      </c>
      <c r="B184" t="s">
        <v>332</v>
      </c>
      <c r="D184">
        <v>24281</v>
      </c>
      <c r="E184" t="str">
        <f t="shared" si="2"/>
        <v>ia.assorted_string like '%24281-03-2024%' or</v>
      </c>
    </row>
    <row r="185" spans="1:5" x14ac:dyDescent="0.25">
      <c r="A185" s="5" t="s">
        <v>190</v>
      </c>
      <c r="B185" t="s">
        <v>332</v>
      </c>
      <c r="D185">
        <v>24340</v>
      </c>
      <c r="E185" t="str">
        <f t="shared" si="2"/>
        <v>ia.assorted_string like '%24340-03-2024%' or</v>
      </c>
    </row>
    <row r="186" spans="1:5" x14ac:dyDescent="0.25">
      <c r="A186" s="5" t="s">
        <v>191</v>
      </c>
      <c r="B186" t="s">
        <v>332</v>
      </c>
      <c r="D186">
        <v>24398</v>
      </c>
      <c r="E186" t="str">
        <f t="shared" si="2"/>
        <v>ia.assorted_string like '%24398-03-2024%' or</v>
      </c>
    </row>
    <row r="187" spans="1:5" x14ac:dyDescent="0.25">
      <c r="A187" s="5" t="s">
        <v>192</v>
      </c>
      <c r="B187" t="s">
        <v>332</v>
      </c>
      <c r="D187">
        <v>24437</v>
      </c>
      <c r="E187" t="str">
        <f t="shared" si="2"/>
        <v>ia.assorted_string like '%24437-03-2024%' or</v>
      </c>
    </row>
    <row r="188" spans="1:5" x14ac:dyDescent="0.25">
      <c r="A188" s="5" t="s">
        <v>193</v>
      </c>
      <c r="B188" t="s">
        <v>332</v>
      </c>
      <c r="D188">
        <v>24453</v>
      </c>
      <c r="E188" t="str">
        <f t="shared" si="2"/>
        <v>ia.assorted_string like '%24453-03-2024%' or</v>
      </c>
    </row>
    <row r="189" spans="1:5" x14ac:dyDescent="0.25">
      <c r="A189" s="5" t="s">
        <v>194</v>
      </c>
      <c r="B189" t="s">
        <v>332</v>
      </c>
      <c r="D189">
        <v>24579</v>
      </c>
      <c r="E189" t="str">
        <f t="shared" si="2"/>
        <v>ia.assorted_string like '%24579-03-2024%' or</v>
      </c>
    </row>
    <row r="190" spans="1:5" x14ac:dyDescent="0.25">
      <c r="A190" s="5" t="s">
        <v>195</v>
      </c>
      <c r="B190" t="s">
        <v>332</v>
      </c>
      <c r="D190">
        <v>24595</v>
      </c>
      <c r="E190" t="str">
        <f t="shared" si="2"/>
        <v>ia.assorted_string like '%24595-03-2024%' or</v>
      </c>
    </row>
    <row r="191" spans="1:5" x14ac:dyDescent="0.25">
      <c r="A191" s="5" t="s">
        <v>196</v>
      </c>
      <c r="B191" t="s">
        <v>332</v>
      </c>
      <c r="D191">
        <v>24615</v>
      </c>
      <c r="E191" t="str">
        <f t="shared" si="2"/>
        <v>ia.assorted_string like '%24615-03-2024%' or</v>
      </c>
    </row>
    <row r="192" spans="1:5" x14ac:dyDescent="0.25">
      <c r="A192" s="5" t="s">
        <v>197</v>
      </c>
      <c r="B192" t="s">
        <v>332</v>
      </c>
      <c r="D192">
        <v>24650</v>
      </c>
      <c r="E192" t="str">
        <f t="shared" si="2"/>
        <v>ia.assorted_string like '%24650-03-2024%' or</v>
      </c>
    </row>
    <row r="193" spans="1:5" x14ac:dyDescent="0.25">
      <c r="A193" s="5" t="s">
        <v>198</v>
      </c>
      <c r="B193" t="s">
        <v>333</v>
      </c>
      <c r="D193">
        <v>24682</v>
      </c>
      <c r="E193" t="str">
        <f t="shared" si="2"/>
        <v>ia.assorted_string like '%24682-04-2024%' or</v>
      </c>
    </row>
    <row r="194" spans="1:5" x14ac:dyDescent="0.25">
      <c r="A194" s="5" t="s">
        <v>199</v>
      </c>
      <c r="B194" t="s">
        <v>333</v>
      </c>
      <c r="D194">
        <v>24716</v>
      </c>
      <c r="E194" t="str">
        <f t="shared" ref="E194:E257" si="3">"ia.assorted_string like '%"&amp;D194&amp;B194&amp;"%' or"</f>
        <v>ia.assorted_string like '%24716-04-2024%' or</v>
      </c>
    </row>
    <row r="195" spans="1:5" x14ac:dyDescent="0.25">
      <c r="A195" s="5" t="s">
        <v>200</v>
      </c>
      <c r="B195" t="s">
        <v>333</v>
      </c>
      <c r="D195">
        <v>24754</v>
      </c>
      <c r="E195" t="str">
        <f t="shared" si="3"/>
        <v>ia.assorted_string like '%24754-04-2024%' or</v>
      </c>
    </row>
    <row r="196" spans="1:5" x14ac:dyDescent="0.25">
      <c r="A196" s="5" t="s">
        <v>201</v>
      </c>
      <c r="B196" t="s">
        <v>333</v>
      </c>
      <c r="D196">
        <v>24771</v>
      </c>
      <c r="E196" t="str">
        <f t="shared" si="3"/>
        <v>ia.assorted_string like '%24771-04-2024%' or</v>
      </c>
    </row>
    <row r="197" spans="1:5" x14ac:dyDescent="0.25">
      <c r="A197" s="5" t="s">
        <v>202</v>
      </c>
      <c r="B197" t="s">
        <v>333</v>
      </c>
      <c r="D197">
        <v>24838</v>
      </c>
      <c r="E197" t="str">
        <f t="shared" si="3"/>
        <v>ia.assorted_string like '%24838-04-2024%' or</v>
      </c>
    </row>
    <row r="198" spans="1:5" x14ac:dyDescent="0.25">
      <c r="A198" s="5" t="s">
        <v>203</v>
      </c>
      <c r="B198" t="s">
        <v>333</v>
      </c>
      <c r="D198">
        <v>24890</v>
      </c>
      <c r="E198" t="str">
        <f t="shared" si="3"/>
        <v>ia.assorted_string like '%24890-04-2024%' or</v>
      </c>
    </row>
    <row r="199" spans="1:5" x14ac:dyDescent="0.25">
      <c r="A199" s="5" t="s">
        <v>204</v>
      </c>
      <c r="B199" t="s">
        <v>333</v>
      </c>
      <c r="D199">
        <v>24960</v>
      </c>
      <c r="E199" t="str">
        <f t="shared" si="3"/>
        <v>ia.assorted_string like '%24960-04-2024%' or</v>
      </c>
    </row>
    <row r="200" spans="1:5" x14ac:dyDescent="0.25">
      <c r="A200" s="5" t="s">
        <v>205</v>
      </c>
      <c r="B200" t="s">
        <v>333</v>
      </c>
      <c r="D200">
        <v>25024</v>
      </c>
      <c r="E200" t="str">
        <f t="shared" si="3"/>
        <v>ia.assorted_string like '%25024-04-2024%' or</v>
      </c>
    </row>
    <row r="201" spans="1:5" x14ac:dyDescent="0.25">
      <c r="A201" s="5" t="s">
        <v>206</v>
      </c>
      <c r="B201" t="s">
        <v>333</v>
      </c>
      <c r="D201">
        <v>25040</v>
      </c>
      <c r="E201" t="str">
        <f t="shared" si="3"/>
        <v>ia.assorted_string like '%25040-04-2024%' or</v>
      </c>
    </row>
    <row r="202" spans="1:5" x14ac:dyDescent="0.25">
      <c r="A202" s="5" t="s">
        <v>207</v>
      </c>
      <c r="B202" t="s">
        <v>333</v>
      </c>
      <c r="D202">
        <v>25058</v>
      </c>
      <c r="E202" t="str">
        <f t="shared" si="3"/>
        <v>ia.assorted_string like '%25058-04-2024%' or</v>
      </c>
    </row>
    <row r="203" spans="1:5" x14ac:dyDescent="0.25">
      <c r="A203" s="5" t="s">
        <v>208</v>
      </c>
      <c r="B203" t="s">
        <v>333</v>
      </c>
      <c r="D203">
        <v>25076</v>
      </c>
      <c r="E203" t="str">
        <f t="shared" si="3"/>
        <v>ia.assorted_string like '%25076-04-2024%' or</v>
      </c>
    </row>
    <row r="204" spans="1:5" x14ac:dyDescent="0.25">
      <c r="A204" s="5" t="s">
        <v>209</v>
      </c>
      <c r="B204" t="s">
        <v>334</v>
      </c>
      <c r="D204">
        <v>25127</v>
      </c>
      <c r="E204" t="str">
        <f t="shared" si="3"/>
        <v>ia.assorted_string like '%25127-05-2024%' or</v>
      </c>
    </row>
    <row r="205" spans="1:5" x14ac:dyDescent="0.25">
      <c r="A205" s="5" t="s">
        <v>210</v>
      </c>
      <c r="B205" t="s">
        <v>334</v>
      </c>
      <c r="D205">
        <v>25179</v>
      </c>
      <c r="E205" t="str">
        <f t="shared" si="3"/>
        <v>ia.assorted_string like '%25179-05-2024%' or</v>
      </c>
    </row>
    <row r="206" spans="1:5" x14ac:dyDescent="0.25">
      <c r="A206" s="5" t="s">
        <v>211</v>
      </c>
      <c r="B206" t="s">
        <v>334</v>
      </c>
      <c r="D206">
        <v>25228</v>
      </c>
      <c r="E206" t="str">
        <f t="shared" si="3"/>
        <v>ia.assorted_string like '%25228-05-2024%' or</v>
      </c>
    </row>
    <row r="207" spans="1:5" x14ac:dyDescent="0.25">
      <c r="A207" s="5" t="s">
        <v>212</v>
      </c>
      <c r="B207" t="s">
        <v>334</v>
      </c>
      <c r="D207">
        <v>25353</v>
      </c>
      <c r="E207" t="str">
        <f t="shared" si="3"/>
        <v>ia.assorted_string like '%25353-05-2024%' or</v>
      </c>
    </row>
    <row r="208" spans="1:5" x14ac:dyDescent="0.25">
      <c r="A208" s="5" t="s">
        <v>213</v>
      </c>
      <c r="B208" t="s">
        <v>334</v>
      </c>
      <c r="D208">
        <v>25415</v>
      </c>
      <c r="E208" t="str">
        <f t="shared" si="3"/>
        <v>ia.assorted_string like '%25415-05-2024%' or</v>
      </c>
    </row>
    <row r="209" spans="1:5" x14ac:dyDescent="0.25">
      <c r="A209" s="5" t="s">
        <v>214</v>
      </c>
      <c r="B209" t="s">
        <v>334</v>
      </c>
      <c r="D209">
        <v>25506</v>
      </c>
      <c r="E209" t="str">
        <f t="shared" si="3"/>
        <v>ia.assorted_string like '%25506-05-2024%' or</v>
      </c>
    </row>
    <row r="210" spans="1:5" x14ac:dyDescent="0.25">
      <c r="A210" s="5" t="s">
        <v>215</v>
      </c>
      <c r="B210" t="s">
        <v>334</v>
      </c>
      <c r="D210">
        <v>25513</v>
      </c>
      <c r="E210" t="str">
        <f t="shared" si="3"/>
        <v>ia.assorted_string like '%25513-05-2024%' or</v>
      </c>
    </row>
    <row r="211" spans="1:5" x14ac:dyDescent="0.25">
      <c r="A211" s="5" t="s">
        <v>216</v>
      </c>
      <c r="B211" t="s">
        <v>334</v>
      </c>
      <c r="D211">
        <v>25554</v>
      </c>
      <c r="E211" t="str">
        <f t="shared" si="3"/>
        <v>ia.assorted_string like '%25554-05-2024%' or</v>
      </c>
    </row>
    <row r="212" spans="1:5" x14ac:dyDescent="0.25">
      <c r="A212" s="5" t="s">
        <v>217</v>
      </c>
      <c r="B212" t="s">
        <v>335</v>
      </c>
      <c r="D212">
        <v>25577</v>
      </c>
      <c r="E212" t="str">
        <f t="shared" si="3"/>
        <v>ia.assorted_string like '%25577-06-2024%' or</v>
      </c>
    </row>
    <row r="213" spans="1:5" x14ac:dyDescent="0.25">
      <c r="A213" s="5" t="s">
        <v>218</v>
      </c>
      <c r="B213" t="s">
        <v>335</v>
      </c>
      <c r="D213">
        <v>25630</v>
      </c>
      <c r="E213" t="str">
        <f t="shared" si="3"/>
        <v>ia.assorted_string like '%25630-06-2024%' or</v>
      </c>
    </row>
    <row r="214" spans="1:5" x14ac:dyDescent="0.25">
      <c r="A214" s="5" t="s">
        <v>219</v>
      </c>
      <c r="B214" t="s">
        <v>335</v>
      </c>
      <c r="D214">
        <v>25639</v>
      </c>
      <c r="E214" t="str">
        <f t="shared" si="3"/>
        <v>ia.assorted_string like '%25639-06-2024%' or</v>
      </c>
    </row>
    <row r="215" spans="1:5" x14ac:dyDescent="0.25">
      <c r="A215" s="5" t="s">
        <v>220</v>
      </c>
      <c r="B215" t="s">
        <v>335</v>
      </c>
      <c r="D215">
        <v>25672</v>
      </c>
      <c r="E215" t="str">
        <f t="shared" si="3"/>
        <v>ia.assorted_string like '%25672-06-2024%' or</v>
      </c>
    </row>
    <row r="216" spans="1:5" x14ac:dyDescent="0.25">
      <c r="A216" s="5" t="s">
        <v>221</v>
      </c>
      <c r="B216" t="s">
        <v>335</v>
      </c>
      <c r="D216">
        <v>25694</v>
      </c>
      <c r="E216" t="str">
        <f t="shared" si="3"/>
        <v>ia.assorted_string like '%25694-06-2024%' or</v>
      </c>
    </row>
    <row r="217" spans="1:5" x14ac:dyDescent="0.25">
      <c r="A217" s="5" t="s">
        <v>222</v>
      </c>
      <c r="B217" t="s">
        <v>335</v>
      </c>
      <c r="D217">
        <v>25730</v>
      </c>
      <c r="E217" t="str">
        <f t="shared" si="3"/>
        <v>ia.assorted_string like '%25730-06-2024%' or</v>
      </c>
    </row>
    <row r="218" spans="1:5" x14ac:dyDescent="0.25">
      <c r="A218" s="5" t="s">
        <v>223</v>
      </c>
      <c r="B218" t="s">
        <v>335</v>
      </c>
      <c r="D218">
        <v>25777</v>
      </c>
      <c r="E218" t="str">
        <f t="shared" si="3"/>
        <v>ia.assorted_string like '%25777-06-2024%' or</v>
      </c>
    </row>
    <row r="219" spans="1:5" x14ac:dyDescent="0.25">
      <c r="A219" s="5" t="s">
        <v>224</v>
      </c>
      <c r="B219" t="s">
        <v>335</v>
      </c>
      <c r="D219">
        <v>25809</v>
      </c>
      <c r="E219" t="str">
        <f t="shared" si="3"/>
        <v>ia.assorted_string like '%25809-06-2024%' or</v>
      </c>
    </row>
    <row r="220" spans="1:5" x14ac:dyDescent="0.25">
      <c r="A220" s="5" t="s">
        <v>225</v>
      </c>
      <c r="B220" t="s">
        <v>335</v>
      </c>
      <c r="D220">
        <v>25847</v>
      </c>
      <c r="E220" t="str">
        <f t="shared" si="3"/>
        <v>ia.assorted_string like '%25847-06-2024%' or</v>
      </c>
    </row>
    <row r="221" spans="1:5" x14ac:dyDescent="0.25">
      <c r="A221" s="5" t="s">
        <v>226</v>
      </c>
      <c r="B221" t="s">
        <v>335</v>
      </c>
      <c r="D221">
        <v>25888</v>
      </c>
      <c r="E221" t="str">
        <f t="shared" si="3"/>
        <v>ia.assorted_string like '%25888-06-2024%' or</v>
      </c>
    </row>
    <row r="222" spans="1:5" x14ac:dyDescent="0.25">
      <c r="A222" s="5" t="s">
        <v>227</v>
      </c>
      <c r="B222" t="s">
        <v>335</v>
      </c>
      <c r="D222">
        <v>25939</v>
      </c>
      <c r="E222" t="str">
        <f t="shared" si="3"/>
        <v>ia.assorted_string like '%25939-06-2024%' or</v>
      </c>
    </row>
    <row r="223" spans="1:5" x14ac:dyDescent="0.25">
      <c r="A223" s="5" t="s">
        <v>228</v>
      </c>
      <c r="B223" t="s">
        <v>336</v>
      </c>
      <c r="D223">
        <v>25985</v>
      </c>
      <c r="E223" t="str">
        <f t="shared" si="3"/>
        <v>ia.assorted_string like '%25985-07-2024%' or</v>
      </c>
    </row>
    <row r="224" spans="1:5" x14ac:dyDescent="0.25">
      <c r="A224" s="5" t="s">
        <v>229</v>
      </c>
      <c r="B224" t="s">
        <v>336</v>
      </c>
      <c r="D224">
        <v>26023</v>
      </c>
      <c r="E224" t="str">
        <f t="shared" si="3"/>
        <v>ia.assorted_string like '%26023-07-2024%' or</v>
      </c>
    </row>
    <row r="225" spans="1:5" x14ac:dyDescent="0.25">
      <c r="A225" s="5" t="s">
        <v>230</v>
      </c>
      <c r="B225" t="s">
        <v>336</v>
      </c>
      <c r="D225">
        <v>26048</v>
      </c>
      <c r="E225" t="str">
        <f t="shared" si="3"/>
        <v>ia.assorted_string like '%26048-07-2024%' or</v>
      </c>
    </row>
    <row r="226" spans="1:5" x14ac:dyDescent="0.25">
      <c r="A226" s="5" t="s">
        <v>231</v>
      </c>
      <c r="B226" t="s">
        <v>336</v>
      </c>
      <c r="D226">
        <v>26080</v>
      </c>
      <c r="E226" t="str">
        <f t="shared" si="3"/>
        <v>ia.assorted_string like '%26080-07-2024%' or</v>
      </c>
    </row>
    <row r="227" spans="1:5" x14ac:dyDescent="0.25">
      <c r="A227" s="5" t="s">
        <v>232</v>
      </c>
      <c r="B227" t="s">
        <v>336</v>
      </c>
      <c r="D227">
        <v>26129</v>
      </c>
      <c r="E227" t="str">
        <f t="shared" si="3"/>
        <v>ia.assorted_string like '%26129-07-2024%' or</v>
      </c>
    </row>
    <row r="228" spans="1:5" x14ac:dyDescent="0.25">
      <c r="A228" s="5" t="s">
        <v>233</v>
      </c>
      <c r="B228" t="s">
        <v>336</v>
      </c>
      <c r="D228">
        <v>26157</v>
      </c>
      <c r="E228" t="str">
        <f t="shared" si="3"/>
        <v>ia.assorted_string like '%26157-07-2024%' or</v>
      </c>
    </row>
    <row r="229" spans="1:5" x14ac:dyDescent="0.25">
      <c r="A229" s="5" t="s">
        <v>234</v>
      </c>
      <c r="B229" t="s">
        <v>336</v>
      </c>
      <c r="D229">
        <v>26196</v>
      </c>
      <c r="E229" t="str">
        <f t="shared" si="3"/>
        <v>ia.assorted_string like '%26196-07-2024%' or</v>
      </c>
    </row>
    <row r="230" spans="1:5" x14ac:dyDescent="0.25">
      <c r="A230" s="5" t="s">
        <v>235</v>
      </c>
      <c r="B230" t="s">
        <v>336</v>
      </c>
      <c r="D230">
        <v>26226</v>
      </c>
      <c r="E230" t="str">
        <f t="shared" si="3"/>
        <v>ia.assorted_string like '%26226-07-2024%' or</v>
      </c>
    </row>
    <row r="231" spans="1:5" x14ac:dyDescent="0.25">
      <c r="A231" s="5" t="s">
        <v>236</v>
      </c>
      <c r="B231" t="s">
        <v>336</v>
      </c>
      <c r="D231">
        <v>26267</v>
      </c>
      <c r="E231" t="str">
        <f t="shared" si="3"/>
        <v>ia.assorted_string like '%26267-07-2024%' or</v>
      </c>
    </row>
    <row r="232" spans="1:5" x14ac:dyDescent="0.25">
      <c r="A232" s="5" t="s">
        <v>237</v>
      </c>
      <c r="B232" t="s">
        <v>336</v>
      </c>
      <c r="D232">
        <v>26311</v>
      </c>
      <c r="E232" t="str">
        <f t="shared" si="3"/>
        <v>ia.assorted_string like '%26311-07-2024%' or</v>
      </c>
    </row>
    <row r="233" spans="1:5" x14ac:dyDescent="0.25">
      <c r="A233" s="5" t="s">
        <v>238</v>
      </c>
      <c r="B233" t="s">
        <v>336</v>
      </c>
      <c r="D233">
        <v>26355</v>
      </c>
      <c r="E233" t="str">
        <f t="shared" si="3"/>
        <v>ia.assorted_string like '%26355-07-2024%' or</v>
      </c>
    </row>
    <row r="234" spans="1:5" x14ac:dyDescent="0.25">
      <c r="A234" s="5" t="s">
        <v>239</v>
      </c>
      <c r="B234" t="s">
        <v>337</v>
      </c>
      <c r="D234">
        <v>26393</v>
      </c>
      <c r="E234" t="str">
        <f t="shared" si="3"/>
        <v>ia.assorted_string like '%26393-08-2024%' or</v>
      </c>
    </row>
    <row r="235" spans="1:5" x14ac:dyDescent="0.25">
      <c r="A235" s="5" t="s">
        <v>240</v>
      </c>
      <c r="B235" t="s">
        <v>337</v>
      </c>
      <c r="D235">
        <v>26420</v>
      </c>
      <c r="E235" t="str">
        <f t="shared" si="3"/>
        <v>ia.assorted_string like '%26420-08-2024%' or</v>
      </c>
    </row>
    <row r="236" spans="1:5" x14ac:dyDescent="0.25">
      <c r="A236" s="5" t="s">
        <v>241</v>
      </c>
      <c r="B236" t="s">
        <v>337</v>
      </c>
      <c r="D236">
        <v>26480</v>
      </c>
      <c r="E236" t="str">
        <f t="shared" si="3"/>
        <v>ia.assorted_string like '%26480-08-2024%' or</v>
      </c>
    </row>
    <row r="237" spans="1:5" x14ac:dyDescent="0.25">
      <c r="A237" s="5" t="s">
        <v>242</v>
      </c>
      <c r="B237" t="s">
        <v>337</v>
      </c>
      <c r="D237">
        <v>26531</v>
      </c>
      <c r="E237" t="str">
        <f t="shared" si="3"/>
        <v>ia.assorted_string like '%26531-08-2024%' or</v>
      </c>
    </row>
    <row r="238" spans="1:5" x14ac:dyDescent="0.25">
      <c r="A238" s="5" t="s">
        <v>243</v>
      </c>
      <c r="B238" t="s">
        <v>337</v>
      </c>
      <c r="D238">
        <v>26543</v>
      </c>
      <c r="E238" t="str">
        <f t="shared" si="3"/>
        <v>ia.assorted_string like '%26543-08-2024%' or</v>
      </c>
    </row>
    <row r="239" spans="1:5" x14ac:dyDescent="0.25">
      <c r="A239" s="5" t="s">
        <v>244</v>
      </c>
      <c r="B239" t="s">
        <v>337</v>
      </c>
      <c r="D239">
        <v>26564</v>
      </c>
      <c r="E239" t="str">
        <f t="shared" si="3"/>
        <v>ia.assorted_string like '%26564-08-2024%' or</v>
      </c>
    </row>
    <row r="240" spans="1:5" x14ac:dyDescent="0.25">
      <c r="A240" s="5" t="s">
        <v>245</v>
      </c>
      <c r="B240" t="s">
        <v>337</v>
      </c>
      <c r="D240">
        <v>26620</v>
      </c>
      <c r="E240" t="str">
        <f t="shared" si="3"/>
        <v>ia.assorted_string like '%26620-08-2024%' or</v>
      </c>
    </row>
    <row r="241" spans="1:5" x14ac:dyDescent="0.25">
      <c r="A241" s="5" t="s">
        <v>246</v>
      </c>
      <c r="B241" t="s">
        <v>337</v>
      </c>
      <c r="D241">
        <v>26645</v>
      </c>
      <c r="E241" t="str">
        <f t="shared" si="3"/>
        <v>ia.assorted_string like '%26645-08-2024%' or</v>
      </c>
    </row>
    <row r="242" spans="1:5" x14ac:dyDescent="0.25">
      <c r="A242" s="5" t="s">
        <v>247</v>
      </c>
      <c r="B242" t="s">
        <v>337</v>
      </c>
      <c r="D242">
        <v>26675</v>
      </c>
      <c r="E242" t="str">
        <f t="shared" si="3"/>
        <v>ia.assorted_string like '%26675-08-2024%' or</v>
      </c>
    </row>
    <row r="243" spans="1:5" x14ac:dyDescent="0.25">
      <c r="A243" s="5" t="s">
        <v>248</v>
      </c>
      <c r="B243" t="s">
        <v>337</v>
      </c>
      <c r="D243">
        <v>26691</v>
      </c>
      <c r="E243" t="str">
        <f t="shared" si="3"/>
        <v>ia.assorted_string like '%26691-08-2024%' or</v>
      </c>
    </row>
    <row r="244" spans="1:5" x14ac:dyDescent="0.25">
      <c r="A244" s="5" t="s">
        <v>249</v>
      </c>
      <c r="B244" t="s">
        <v>337</v>
      </c>
      <c r="D244">
        <v>26751</v>
      </c>
      <c r="E244" t="str">
        <f t="shared" si="3"/>
        <v>ia.assorted_string like '%26751-08-2024%' or</v>
      </c>
    </row>
    <row r="245" spans="1:5" x14ac:dyDescent="0.25">
      <c r="A245" s="5" t="s">
        <v>250</v>
      </c>
      <c r="B245" t="s">
        <v>337</v>
      </c>
      <c r="D245">
        <v>26762</v>
      </c>
      <c r="E245" t="str">
        <f t="shared" si="3"/>
        <v>ia.assorted_string like '%26762-08-2024%' or</v>
      </c>
    </row>
    <row r="246" spans="1:5" x14ac:dyDescent="0.25">
      <c r="A246" s="5" t="s">
        <v>251</v>
      </c>
      <c r="B246" t="s">
        <v>337</v>
      </c>
      <c r="D246">
        <v>26813</v>
      </c>
      <c r="E246" t="str">
        <f t="shared" si="3"/>
        <v>ia.assorted_string like '%26813-08-2024%' or</v>
      </c>
    </row>
    <row r="247" spans="1:5" x14ac:dyDescent="0.25">
      <c r="A247" s="5" t="s">
        <v>252</v>
      </c>
      <c r="B247" t="s">
        <v>337</v>
      </c>
      <c r="D247">
        <v>26858</v>
      </c>
      <c r="E247" t="str">
        <f t="shared" si="3"/>
        <v>ia.assorted_string like '%26858-08-2024%' or</v>
      </c>
    </row>
    <row r="248" spans="1:5" x14ac:dyDescent="0.25">
      <c r="A248" s="5" t="s">
        <v>253</v>
      </c>
      <c r="B248" t="s">
        <v>337</v>
      </c>
      <c r="D248">
        <v>26880</v>
      </c>
      <c r="E248" t="str">
        <f t="shared" si="3"/>
        <v>ia.assorted_string like '%26880-08-2024%' or</v>
      </c>
    </row>
    <row r="249" spans="1:5" x14ac:dyDescent="0.25">
      <c r="A249" s="5" t="s">
        <v>254</v>
      </c>
      <c r="B249" t="s">
        <v>337</v>
      </c>
      <c r="D249">
        <v>26923</v>
      </c>
      <c r="E249" t="str">
        <f t="shared" si="3"/>
        <v>ia.assorted_string like '%26923-08-2024%' or</v>
      </c>
    </row>
    <row r="250" spans="1:5" x14ac:dyDescent="0.25">
      <c r="A250" s="5" t="s">
        <v>255</v>
      </c>
      <c r="B250" t="s">
        <v>338</v>
      </c>
      <c r="D250">
        <v>26949</v>
      </c>
      <c r="E250" t="str">
        <f t="shared" si="3"/>
        <v>ia.assorted_string like '%26949-09-2024%' or</v>
      </c>
    </row>
    <row r="251" spans="1:5" x14ac:dyDescent="0.25">
      <c r="A251" s="5" t="s">
        <v>256</v>
      </c>
      <c r="B251" t="s">
        <v>338</v>
      </c>
      <c r="D251">
        <v>26977</v>
      </c>
      <c r="E251" t="str">
        <f t="shared" si="3"/>
        <v>ia.assorted_string like '%26977-09-2024%' or</v>
      </c>
    </row>
    <row r="252" spans="1:5" x14ac:dyDescent="0.25">
      <c r="A252" s="5" t="s">
        <v>257</v>
      </c>
      <c r="B252" t="s">
        <v>338</v>
      </c>
      <c r="D252">
        <v>27016</v>
      </c>
      <c r="E252" t="str">
        <f t="shared" si="3"/>
        <v>ia.assorted_string like '%27016-09-2024%' or</v>
      </c>
    </row>
    <row r="253" spans="1:5" x14ac:dyDescent="0.25">
      <c r="A253" s="5" t="s">
        <v>258</v>
      </c>
      <c r="B253" t="s">
        <v>338</v>
      </c>
      <c r="D253">
        <v>27030</v>
      </c>
      <c r="E253" t="str">
        <f t="shared" si="3"/>
        <v>ia.assorted_string like '%27030-09-2024%' or</v>
      </c>
    </row>
    <row r="254" spans="1:5" x14ac:dyDescent="0.25">
      <c r="A254" s="5" t="s">
        <v>259</v>
      </c>
      <c r="B254" t="s">
        <v>338</v>
      </c>
      <c r="D254">
        <v>27077</v>
      </c>
      <c r="E254" t="str">
        <f t="shared" si="3"/>
        <v>ia.assorted_string like '%27077-09-2024%' or</v>
      </c>
    </row>
    <row r="255" spans="1:5" x14ac:dyDescent="0.25">
      <c r="A255" s="5" t="s">
        <v>260</v>
      </c>
      <c r="B255" t="s">
        <v>338</v>
      </c>
      <c r="D255">
        <v>27144</v>
      </c>
      <c r="E255" t="str">
        <f t="shared" si="3"/>
        <v>ia.assorted_string like '%27144-09-2024%' or</v>
      </c>
    </row>
    <row r="256" spans="1:5" x14ac:dyDescent="0.25">
      <c r="A256" s="5" t="s">
        <v>261</v>
      </c>
      <c r="B256" t="s">
        <v>338</v>
      </c>
      <c r="D256">
        <v>27177</v>
      </c>
      <c r="E256" t="str">
        <f t="shared" si="3"/>
        <v>ia.assorted_string like '%27177-09-2024%' or</v>
      </c>
    </row>
    <row r="257" spans="1:5" x14ac:dyDescent="0.25">
      <c r="A257" s="5" t="s">
        <v>262</v>
      </c>
      <c r="B257" t="s">
        <v>338</v>
      </c>
      <c r="D257">
        <v>27219</v>
      </c>
      <c r="E257" t="str">
        <f t="shared" si="3"/>
        <v>ia.assorted_string like '%27219-09-2024%' or</v>
      </c>
    </row>
    <row r="258" spans="1:5" x14ac:dyDescent="0.25">
      <c r="A258" s="5" t="s">
        <v>263</v>
      </c>
      <c r="B258" t="s">
        <v>338</v>
      </c>
      <c r="D258">
        <v>27254</v>
      </c>
      <c r="E258" t="str">
        <f t="shared" ref="E258:E316" si="4">"ia.assorted_string like '%"&amp;D258&amp;B258&amp;"%' or"</f>
        <v>ia.assorted_string like '%27254-09-2024%' or</v>
      </c>
    </row>
    <row r="259" spans="1:5" x14ac:dyDescent="0.25">
      <c r="A259" s="5" t="s">
        <v>264</v>
      </c>
      <c r="B259" t="s">
        <v>338</v>
      </c>
      <c r="D259">
        <v>27270</v>
      </c>
      <c r="E259" t="str">
        <f t="shared" si="4"/>
        <v>ia.assorted_string like '%27270-09-2024%' or</v>
      </c>
    </row>
    <row r="260" spans="1:5" x14ac:dyDescent="0.25">
      <c r="A260" s="5" t="s">
        <v>265</v>
      </c>
      <c r="B260" t="s">
        <v>338</v>
      </c>
      <c r="D260">
        <v>27297</v>
      </c>
      <c r="E260" t="str">
        <f t="shared" si="4"/>
        <v>ia.assorted_string like '%27297-09-2024%' or</v>
      </c>
    </row>
    <row r="261" spans="1:5" x14ac:dyDescent="0.25">
      <c r="A261" s="5" t="s">
        <v>266</v>
      </c>
      <c r="B261" t="s">
        <v>338</v>
      </c>
      <c r="D261">
        <v>27316</v>
      </c>
      <c r="E261" t="str">
        <f t="shared" si="4"/>
        <v>ia.assorted_string like '%27316-09-2024%' or</v>
      </c>
    </row>
    <row r="262" spans="1:5" x14ac:dyDescent="0.25">
      <c r="A262" s="5" t="s">
        <v>267</v>
      </c>
      <c r="B262" t="s">
        <v>338</v>
      </c>
      <c r="D262">
        <v>27341</v>
      </c>
      <c r="E262" t="str">
        <f t="shared" si="4"/>
        <v>ia.assorted_string like '%27341-09-2024%' or</v>
      </c>
    </row>
    <row r="263" spans="1:5" x14ac:dyDescent="0.25">
      <c r="A263" s="5" t="s">
        <v>268</v>
      </c>
      <c r="B263" t="s">
        <v>338</v>
      </c>
      <c r="D263">
        <v>27389</v>
      </c>
      <c r="E263" t="str">
        <f t="shared" si="4"/>
        <v>ia.assorted_string like '%27389-09-2024%' or</v>
      </c>
    </row>
    <row r="264" spans="1:5" x14ac:dyDescent="0.25">
      <c r="A264" s="5" t="s">
        <v>269</v>
      </c>
      <c r="B264" t="s">
        <v>338</v>
      </c>
      <c r="D264">
        <v>27426</v>
      </c>
      <c r="E264" t="str">
        <f t="shared" si="4"/>
        <v>ia.assorted_string like '%27426-09-2024%' or</v>
      </c>
    </row>
    <row r="265" spans="1:5" x14ac:dyDescent="0.25">
      <c r="A265" s="5" t="s">
        <v>270</v>
      </c>
      <c r="B265" t="s">
        <v>338</v>
      </c>
      <c r="D265">
        <v>27457</v>
      </c>
      <c r="E265" t="str">
        <f t="shared" si="4"/>
        <v>ia.assorted_string like '%27457-09-2024%' or</v>
      </c>
    </row>
    <row r="266" spans="1:5" x14ac:dyDescent="0.25">
      <c r="A266" s="5" t="s">
        <v>271</v>
      </c>
      <c r="B266" t="s">
        <v>338</v>
      </c>
      <c r="D266">
        <v>27486</v>
      </c>
      <c r="E266" t="str">
        <f t="shared" si="4"/>
        <v>ia.assorted_string like '%27486-09-2024%' or</v>
      </c>
    </row>
    <row r="267" spans="1:5" x14ac:dyDescent="0.25">
      <c r="A267" s="5" t="s">
        <v>272</v>
      </c>
      <c r="B267" t="s">
        <v>338</v>
      </c>
      <c r="D267">
        <v>27561</v>
      </c>
      <c r="E267" t="str">
        <f t="shared" si="4"/>
        <v>ia.assorted_string like '%27561-09-2024%' or</v>
      </c>
    </row>
    <row r="268" spans="1:5" x14ac:dyDescent="0.25">
      <c r="A268" s="5" t="s">
        <v>273</v>
      </c>
      <c r="B268" t="s">
        <v>339</v>
      </c>
      <c r="D268">
        <v>27615</v>
      </c>
      <c r="E268" t="str">
        <f t="shared" si="4"/>
        <v>ia.assorted_string like '%27615-10-2024%' or</v>
      </c>
    </row>
    <row r="269" spans="1:5" x14ac:dyDescent="0.25">
      <c r="A269" s="5" t="s">
        <v>274</v>
      </c>
      <c r="B269" t="s">
        <v>339</v>
      </c>
      <c r="D269">
        <v>27648</v>
      </c>
      <c r="E269" t="str">
        <f t="shared" si="4"/>
        <v>ia.assorted_string like '%27648-10-2024%' or</v>
      </c>
    </row>
    <row r="270" spans="1:5" x14ac:dyDescent="0.25">
      <c r="A270" s="5" t="s">
        <v>275</v>
      </c>
      <c r="B270" t="s">
        <v>339</v>
      </c>
      <c r="D270">
        <v>27656</v>
      </c>
      <c r="E270" t="str">
        <f t="shared" si="4"/>
        <v>ia.assorted_string like '%27656-10-2024%' or</v>
      </c>
    </row>
    <row r="271" spans="1:5" x14ac:dyDescent="0.25">
      <c r="A271" s="5" t="s">
        <v>276</v>
      </c>
      <c r="B271" t="s">
        <v>339</v>
      </c>
      <c r="D271">
        <v>27706</v>
      </c>
      <c r="E271" t="str">
        <f t="shared" si="4"/>
        <v>ia.assorted_string like '%27706-10-2024%' or</v>
      </c>
    </row>
    <row r="272" spans="1:5" x14ac:dyDescent="0.25">
      <c r="A272" s="5" t="s">
        <v>277</v>
      </c>
      <c r="B272" t="s">
        <v>339</v>
      </c>
      <c r="D272">
        <v>27811</v>
      </c>
      <c r="E272" t="str">
        <f t="shared" si="4"/>
        <v>ia.assorted_string like '%27811-10-2024%' or</v>
      </c>
    </row>
    <row r="273" spans="1:5" x14ac:dyDescent="0.25">
      <c r="A273" s="5" t="s">
        <v>278</v>
      </c>
      <c r="B273" t="s">
        <v>339</v>
      </c>
      <c r="D273">
        <v>27829</v>
      </c>
      <c r="E273" t="str">
        <f t="shared" si="4"/>
        <v>ia.assorted_string like '%27829-10-2024%' or</v>
      </c>
    </row>
    <row r="274" spans="1:5" x14ac:dyDescent="0.25">
      <c r="A274" s="5" t="s">
        <v>279</v>
      </c>
      <c r="B274" t="s">
        <v>339</v>
      </c>
      <c r="D274">
        <v>27846</v>
      </c>
      <c r="E274" t="str">
        <f t="shared" si="4"/>
        <v>ia.assorted_string like '%27846-10-2024%' or</v>
      </c>
    </row>
    <row r="275" spans="1:5" x14ac:dyDescent="0.25">
      <c r="A275" s="5" t="s">
        <v>280</v>
      </c>
      <c r="B275" t="s">
        <v>339</v>
      </c>
      <c r="D275">
        <v>27874</v>
      </c>
      <c r="E275" t="str">
        <f t="shared" si="4"/>
        <v>ia.assorted_string like '%27874-10-2024%' or</v>
      </c>
    </row>
    <row r="276" spans="1:5" x14ac:dyDescent="0.25">
      <c r="A276" s="5" t="s">
        <v>281</v>
      </c>
      <c r="B276" t="s">
        <v>339</v>
      </c>
      <c r="D276">
        <v>27983</v>
      </c>
      <c r="E276" t="str">
        <f t="shared" si="4"/>
        <v>ia.assorted_string like '%27983-10-2024%' or</v>
      </c>
    </row>
    <row r="277" spans="1:5" x14ac:dyDescent="0.25">
      <c r="A277" s="5" t="s">
        <v>282</v>
      </c>
      <c r="B277" t="s">
        <v>339</v>
      </c>
      <c r="D277">
        <v>28092</v>
      </c>
      <c r="E277" t="str">
        <f t="shared" si="4"/>
        <v>ia.assorted_string like '%28092-10-2024%' or</v>
      </c>
    </row>
    <row r="278" spans="1:5" x14ac:dyDescent="0.25">
      <c r="A278" s="5" t="s">
        <v>283</v>
      </c>
      <c r="B278" t="s">
        <v>339</v>
      </c>
      <c r="D278">
        <v>28164</v>
      </c>
      <c r="E278" t="str">
        <f t="shared" si="4"/>
        <v>ia.assorted_string like '%28164-10-2024%' or</v>
      </c>
    </row>
    <row r="279" spans="1:5" x14ac:dyDescent="0.25">
      <c r="A279" s="5" t="s">
        <v>284</v>
      </c>
      <c r="B279" t="s">
        <v>339</v>
      </c>
      <c r="D279">
        <v>28217</v>
      </c>
      <c r="E279" t="str">
        <f t="shared" si="4"/>
        <v>ia.assorted_string like '%28217-10-2024%' or</v>
      </c>
    </row>
    <row r="280" spans="1:5" x14ac:dyDescent="0.25">
      <c r="A280" s="5" t="s">
        <v>285</v>
      </c>
      <c r="B280" t="s">
        <v>340</v>
      </c>
      <c r="D280">
        <v>28288</v>
      </c>
      <c r="E280" t="str">
        <f t="shared" si="4"/>
        <v>ia.assorted_string like '%28288-11-2024%' or</v>
      </c>
    </row>
    <row r="281" spans="1:5" x14ac:dyDescent="0.25">
      <c r="A281" s="5" t="s">
        <v>286</v>
      </c>
      <c r="B281" t="s">
        <v>340</v>
      </c>
      <c r="D281">
        <v>28324</v>
      </c>
      <c r="E281" t="str">
        <f t="shared" si="4"/>
        <v>ia.assorted_string like '%28324-11-2024%' or</v>
      </c>
    </row>
    <row r="282" spans="1:5" x14ac:dyDescent="0.25">
      <c r="A282" s="5" t="s">
        <v>287</v>
      </c>
      <c r="B282" t="s">
        <v>340</v>
      </c>
      <c r="D282">
        <v>28396</v>
      </c>
      <c r="E282" t="str">
        <f t="shared" si="4"/>
        <v>ia.assorted_string like '%28396-11-2024%' or</v>
      </c>
    </row>
    <row r="283" spans="1:5" x14ac:dyDescent="0.25">
      <c r="A283" s="2" t="s">
        <v>288</v>
      </c>
      <c r="B283" t="s">
        <v>340</v>
      </c>
      <c r="D283">
        <v>28464</v>
      </c>
      <c r="E283" t="str">
        <f t="shared" si="4"/>
        <v>ia.assorted_string like '%28464-11-2024%' or</v>
      </c>
    </row>
    <row r="284" spans="1:5" x14ac:dyDescent="0.25">
      <c r="A284" s="2" t="s">
        <v>289</v>
      </c>
      <c r="B284" t="s">
        <v>340</v>
      </c>
      <c r="D284">
        <v>28472</v>
      </c>
      <c r="E284" t="str">
        <f t="shared" si="4"/>
        <v>ia.assorted_string like '%28472-11-2024%' or</v>
      </c>
    </row>
    <row r="285" spans="1:5" x14ac:dyDescent="0.25">
      <c r="A285" s="2" t="s">
        <v>290</v>
      </c>
      <c r="B285" t="s">
        <v>340</v>
      </c>
      <c r="D285">
        <v>28520</v>
      </c>
      <c r="E285" t="str">
        <f t="shared" si="4"/>
        <v>ia.assorted_string like '%28520-11-2024%' or</v>
      </c>
    </row>
    <row r="286" spans="1:5" x14ac:dyDescent="0.25">
      <c r="A286" s="2" t="s">
        <v>291</v>
      </c>
      <c r="B286" t="s">
        <v>340</v>
      </c>
      <c r="D286">
        <v>28608</v>
      </c>
      <c r="E286" t="str">
        <f t="shared" si="4"/>
        <v>ia.assorted_string like '%28608-11-2024%' or</v>
      </c>
    </row>
    <row r="287" spans="1:5" x14ac:dyDescent="0.25">
      <c r="A287" s="2" t="s">
        <v>292</v>
      </c>
      <c r="B287" t="s">
        <v>340</v>
      </c>
      <c r="D287">
        <v>28616</v>
      </c>
      <c r="E287" t="str">
        <f t="shared" si="4"/>
        <v>ia.assorted_string like '%28616-11-2024%' or</v>
      </c>
    </row>
    <row r="288" spans="1:5" x14ac:dyDescent="0.25">
      <c r="A288" s="2" t="s">
        <v>293</v>
      </c>
      <c r="B288" t="s">
        <v>340</v>
      </c>
      <c r="D288">
        <v>28649</v>
      </c>
      <c r="E288" t="str">
        <f t="shared" si="4"/>
        <v>ia.assorted_string like '%28649-11-2024%' or</v>
      </c>
    </row>
    <row r="289" spans="1:5" x14ac:dyDescent="0.25">
      <c r="A289" s="2" t="s">
        <v>294</v>
      </c>
      <c r="B289" t="s">
        <v>340</v>
      </c>
      <c r="D289">
        <v>28692</v>
      </c>
      <c r="E289" t="str">
        <f t="shared" si="4"/>
        <v>ia.assorted_string like '%28692-11-2024%' or</v>
      </c>
    </row>
    <row r="290" spans="1:5" x14ac:dyDescent="0.25">
      <c r="A290" s="2" t="s">
        <v>295</v>
      </c>
      <c r="B290" t="s">
        <v>340</v>
      </c>
      <c r="D290">
        <v>28712</v>
      </c>
      <c r="E290" t="str">
        <f t="shared" si="4"/>
        <v>ia.assorted_string like '%28712-11-2024%' or</v>
      </c>
    </row>
    <row r="291" spans="1:5" x14ac:dyDescent="0.25">
      <c r="A291" s="2" t="s">
        <v>296</v>
      </c>
      <c r="B291" t="s">
        <v>340</v>
      </c>
      <c r="D291">
        <v>28728</v>
      </c>
      <c r="E291" t="str">
        <f t="shared" si="4"/>
        <v>ia.assorted_string like '%28728-11-2024%' or</v>
      </c>
    </row>
    <row r="292" spans="1:5" x14ac:dyDescent="0.25">
      <c r="A292" s="2" t="s">
        <v>297</v>
      </c>
      <c r="B292" t="s">
        <v>340</v>
      </c>
      <c r="D292">
        <v>28734</v>
      </c>
      <c r="E292" t="str">
        <f t="shared" si="4"/>
        <v>ia.assorted_string like '%28734-11-2024%' or</v>
      </c>
    </row>
    <row r="293" spans="1:5" x14ac:dyDescent="0.25">
      <c r="A293" s="2" t="s">
        <v>298</v>
      </c>
      <c r="B293" t="s">
        <v>340</v>
      </c>
      <c r="D293">
        <v>28759</v>
      </c>
      <c r="E293" t="str">
        <f t="shared" si="4"/>
        <v>ia.assorted_string like '%28759-11-2024%' or</v>
      </c>
    </row>
    <row r="294" spans="1:5" x14ac:dyDescent="0.25">
      <c r="A294" s="2" t="s">
        <v>299</v>
      </c>
      <c r="B294" t="s">
        <v>340</v>
      </c>
      <c r="D294">
        <v>28795</v>
      </c>
      <c r="E294" t="str">
        <f t="shared" si="4"/>
        <v>ia.assorted_string like '%28795-11-2024%' or</v>
      </c>
    </row>
    <row r="295" spans="1:5" x14ac:dyDescent="0.25">
      <c r="A295" s="2" t="s">
        <v>300</v>
      </c>
      <c r="B295" t="s">
        <v>340</v>
      </c>
      <c r="D295">
        <v>28808</v>
      </c>
      <c r="E295" t="str">
        <f t="shared" si="4"/>
        <v>ia.assorted_string like '%28808-11-2024%' or</v>
      </c>
    </row>
    <row r="296" spans="1:5" x14ac:dyDescent="0.25">
      <c r="A296" s="2" t="s">
        <v>301</v>
      </c>
      <c r="B296" t="s">
        <v>340</v>
      </c>
      <c r="D296">
        <v>28819</v>
      </c>
      <c r="E296" t="str">
        <f t="shared" si="4"/>
        <v>ia.assorted_string like '%28819-11-2024%' or</v>
      </c>
    </row>
    <row r="297" spans="1:5" x14ac:dyDescent="0.25">
      <c r="A297" s="17" t="s">
        <v>302</v>
      </c>
      <c r="B297" t="s">
        <v>340</v>
      </c>
      <c r="D297">
        <v>28822</v>
      </c>
      <c r="E297" t="str">
        <f t="shared" si="4"/>
        <v>ia.assorted_string like '%28822-11-2024%' or</v>
      </c>
    </row>
    <row r="298" spans="1:5" x14ac:dyDescent="0.25">
      <c r="A298" s="2" t="s">
        <v>303</v>
      </c>
      <c r="B298" t="s">
        <v>340</v>
      </c>
      <c r="D298">
        <v>28841</v>
      </c>
      <c r="E298" t="str">
        <f t="shared" si="4"/>
        <v>ia.assorted_string like '%28841-11-2024%' or</v>
      </c>
    </row>
    <row r="299" spans="1:5" x14ac:dyDescent="0.25">
      <c r="A299" s="2" t="s">
        <v>304</v>
      </c>
      <c r="B299" t="s">
        <v>341</v>
      </c>
      <c r="D299">
        <v>28904</v>
      </c>
      <c r="E299" t="str">
        <f t="shared" si="4"/>
        <v>ia.assorted_string like '%28904-12-2024%' or</v>
      </c>
    </row>
    <row r="300" spans="1:5" x14ac:dyDescent="0.25">
      <c r="A300" s="2" t="s">
        <v>305</v>
      </c>
      <c r="B300" t="s">
        <v>341</v>
      </c>
      <c r="D300">
        <v>28970</v>
      </c>
      <c r="E300" t="str">
        <f t="shared" si="4"/>
        <v>ia.assorted_string like '%28970-12-2024%' or</v>
      </c>
    </row>
    <row r="301" spans="1:5" x14ac:dyDescent="0.25">
      <c r="A301" s="2" t="s">
        <v>306</v>
      </c>
      <c r="B301" t="s">
        <v>341</v>
      </c>
      <c r="D301">
        <v>29014</v>
      </c>
      <c r="E301" t="str">
        <f t="shared" si="4"/>
        <v>ia.assorted_string like '%29014-12-2024%' or</v>
      </c>
    </row>
    <row r="302" spans="1:5" x14ac:dyDescent="0.25">
      <c r="A302" s="2" t="s">
        <v>307</v>
      </c>
      <c r="B302" t="s">
        <v>341</v>
      </c>
      <c r="D302">
        <v>29075</v>
      </c>
      <c r="E302" t="str">
        <f t="shared" si="4"/>
        <v>ia.assorted_string like '%29075-12-2024%' or</v>
      </c>
    </row>
    <row r="303" spans="1:5" x14ac:dyDescent="0.25">
      <c r="A303" s="2" t="s">
        <v>308</v>
      </c>
      <c r="B303" t="s">
        <v>341</v>
      </c>
      <c r="D303">
        <v>29120</v>
      </c>
      <c r="E303" t="str">
        <f t="shared" si="4"/>
        <v>ia.assorted_string like '%29120-12-2024%' or</v>
      </c>
    </row>
    <row r="304" spans="1:5" x14ac:dyDescent="0.25">
      <c r="A304" s="2" t="s">
        <v>309</v>
      </c>
      <c r="B304" t="s">
        <v>341</v>
      </c>
      <c r="D304">
        <v>29183</v>
      </c>
      <c r="E304" t="str">
        <f t="shared" si="4"/>
        <v>ia.assorted_string like '%29183-12-2024%' or</v>
      </c>
    </row>
    <row r="305" spans="1:5" x14ac:dyDescent="0.25">
      <c r="A305" s="2" t="s">
        <v>310</v>
      </c>
      <c r="B305" t="s">
        <v>341</v>
      </c>
      <c r="D305">
        <v>29215</v>
      </c>
      <c r="E305" t="str">
        <f t="shared" si="4"/>
        <v>ia.assorted_string like '%29215-12-2024%' or</v>
      </c>
    </row>
    <row r="306" spans="1:5" x14ac:dyDescent="0.25">
      <c r="A306" s="2" t="s">
        <v>311</v>
      </c>
      <c r="B306" t="s">
        <v>341</v>
      </c>
      <c r="D306">
        <v>29224</v>
      </c>
      <c r="E306" t="str">
        <f t="shared" si="4"/>
        <v>ia.assorted_string like '%29224-12-2024%' or</v>
      </c>
    </row>
    <row r="307" spans="1:5" x14ac:dyDescent="0.25">
      <c r="A307" s="2" t="s">
        <v>312</v>
      </c>
      <c r="B307" t="s">
        <v>341</v>
      </c>
      <c r="D307">
        <v>29246</v>
      </c>
      <c r="E307" t="str">
        <f t="shared" si="4"/>
        <v>ia.assorted_string like '%29246-12-2024%' or</v>
      </c>
    </row>
    <row r="308" spans="1:5" x14ac:dyDescent="0.25">
      <c r="A308" s="2" t="s">
        <v>313</v>
      </c>
      <c r="B308" t="s">
        <v>341</v>
      </c>
      <c r="D308">
        <v>29299</v>
      </c>
      <c r="E308" t="str">
        <f t="shared" si="4"/>
        <v>ia.assorted_string like '%29299-12-2024%' or</v>
      </c>
    </row>
    <row r="309" spans="1:5" x14ac:dyDescent="0.25">
      <c r="A309" s="2" t="s">
        <v>314</v>
      </c>
      <c r="B309" t="s">
        <v>341</v>
      </c>
      <c r="D309">
        <v>29316</v>
      </c>
      <c r="E309" t="str">
        <f t="shared" si="4"/>
        <v>ia.assorted_string like '%29316-12-2024%' or</v>
      </c>
    </row>
    <row r="310" spans="1:5" x14ac:dyDescent="0.25">
      <c r="A310" s="2" t="s">
        <v>315</v>
      </c>
      <c r="B310" t="s">
        <v>341</v>
      </c>
      <c r="D310">
        <v>29357</v>
      </c>
      <c r="E310" t="str">
        <f t="shared" si="4"/>
        <v>ia.assorted_string like '%29357-12-2024%' or</v>
      </c>
    </row>
    <row r="311" spans="1:5" x14ac:dyDescent="0.25">
      <c r="A311" s="2" t="s">
        <v>316</v>
      </c>
      <c r="B311" t="s">
        <v>341</v>
      </c>
      <c r="D311">
        <v>29389</v>
      </c>
      <c r="E311" t="str">
        <f t="shared" si="4"/>
        <v>ia.assorted_string like '%29389-12-2024%' or</v>
      </c>
    </row>
    <row r="312" spans="1:5" x14ac:dyDescent="0.25">
      <c r="A312" s="2" t="s">
        <v>317</v>
      </c>
      <c r="B312" t="s">
        <v>341</v>
      </c>
      <c r="D312">
        <v>29401</v>
      </c>
      <c r="E312" t="str">
        <f t="shared" si="4"/>
        <v>ia.assorted_string like '%29401-12-2024%' or</v>
      </c>
    </row>
    <row r="313" spans="1:5" x14ac:dyDescent="0.25">
      <c r="A313" s="2" t="s">
        <v>318</v>
      </c>
      <c r="B313" t="s">
        <v>341</v>
      </c>
      <c r="D313">
        <v>29415</v>
      </c>
      <c r="E313" t="str">
        <f t="shared" si="4"/>
        <v>ia.assorted_string like '%29415-12-2024%' or</v>
      </c>
    </row>
    <row r="314" spans="1:5" x14ac:dyDescent="0.25">
      <c r="A314" s="2" t="s">
        <v>319</v>
      </c>
      <c r="B314" t="s">
        <v>341</v>
      </c>
      <c r="D314">
        <v>29427</v>
      </c>
      <c r="E314" t="str">
        <f t="shared" si="4"/>
        <v>ia.assorted_string like '%29427-12-2024%' or</v>
      </c>
    </row>
    <row r="315" spans="1:5" x14ac:dyDescent="0.25">
      <c r="A315" s="2" t="s">
        <v>320</v>
      </c>
      <c r="B315" t="s">
        <v>341</v>
      </c>
      <c r="D315">
        <v>29447</v>
      </c>
      <c r="E315" t="str">
        <f t="shared" si="4"/>
        <v>ia.assorted_string like '%29447-12-2024%' or</v>
      </c>
    </row>
    <row r="316" spans="1:5" x14ac:dyDescent="0.25">
      <c r="A316" s="2" t="s">
        <v>321</v>
      </c>
      <c r="B316" t="s">
        <v>342</v>
      </c>
      <c r="D316">
        <v>30745</v>
      </c>
      <c r="E316" t="str">
        <f t="shared" si="4"/>
        <v>ia.assorted_string like '%30745-05-2025%' or</v>
      </c>
    </row>
  </sheetData>
  <conditionalFormatting sqref="A1:A316">
    <cfRule type="notContainsBlanks" dxfId="7" priority="2">
      <formula>LEN(TRIM(A1))&gt;0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84CDC5-2E05-43AE-95B9-D088E8C897FE}">
  <dimension ref="A1:C317"/>
  <sheetViews>
    <sheetView workbookViewId="0">
      <selection activeCell="G7" sqref="G7"/>
    </sheetView>
  </sheetViews>
  <sheetFormatPr defaultColWidth="7.85546875" defaultRowHeight="15" x14ac:dyDescent="0.25"/>
  <cols>
    <col min="1" max="1" width="4" bestFit="1" customWidth="1"/>
    <col min="2" max="2" width="40" bestFit="1" customWidth="1"/>
    <col min="3" max="3" width="15" bestFit="1" customWidth="1"/>
  </cols>
  <sheetData>
    <row r="1" spans="1:3" s="20" customFormat="1" ht="12" x14ac:dyDescent="0.2">
      <c r="A1" s="20" t="s">
        <v>343</v>
      </c>
      <c r="B1" s="20" t="s">
        <v>344</v>
      </c>
      <c r="C1" s="20" t="s">
        <v>345</v>
      </c>
    </row>
    <row r="2" spans="1:3" x14ac:dyDescent="0.25">
      <c r="A2">
        <v>1</v>
      </c>
      <c r="B2" t="s">
        <v>9</v>
      </c>
      <c r="C2" t="s">
        <v>346</v>
      </c>
    </row>
    <row r="3" spans="1:3" x14ac:dyDescent="0.25">
      <c r="A3">
        <v>2</v>
      </c>
      <c r="B3" t="s">
        <v>193</v>
      </c>
      <c r="C3" t="s">
        <v>347</v>
      </c>
    </row>
    <row r="4" spans="1:3" x14ac:dyDescent="0.25">
      <c r="A4">
        <v>3</v>
      </c>
      <c r="B4" t="s">
        <v>199</v>
      </c>
      <c r="C4" t="s">
        <v>348</v>
      </c>
    </row>
    <row r="5" spans="1:3" x14ac:dyDescent="0.25">
      <c r="A5">
        <v>4</v>
      </c>
      <c r="B5" t="s">
        <v>183</v>
      </c>
      <c r="C5" t="s">
        <v>349</v>
      </c>
    </row>
    <row r="6" spans="1:3" x14ac:dyDescent="0.25">
      <c r="A6">
        <v>5</v>
      </c>
      <c r="B6" t="s">
        <v>185</v>
      </c>
      <c r="C6" t="s">
        <v>350</v>
      </c>
    </row>
    <row r="7" spans="1:3" x14ac:dyDescent="0.25">
      <c r="A7">
        <v>6</v>
      </c>
      <c r="B7" t="s">
        <v>11</v>
      </c>
      <c r="C7" t="s">
        <v>351</v>
      </c>
    </row>
    <row r="8" spans="1:3" x14ac:dyDescent="0.25">
      <c r="A8">
        <v>7</v>
      </c>
      <c r="B8" t="s">
        <v>184</v>
      </c>
      <c r="C8" t="s">
        <v>352</v>
      </c>
    </row>
    <row r="9" spans="1:3" x14ac:dyDescent="0.25">
      <c r="A9">
        <v>8</v>
      </c>
      <c r="B9" t="s">
        <v>6</v>
      </c>
      <c r="C9" t="s">
        <v>353</v>
      </c>
    </row>
    <row r="10" spans="1:3" x14ac:dyDescent="0.25">
      <c r="A10">
        <v>9</v>
      </c>
      <c r="B10" t="s">
        <v>8</v>
      </c>
      <c r="C10" t="s">
        <v>354</v>
      </c>
    </row>
    <row r="11" spans="1:3" x14ac:dyDescent="0.25">
      <c r="A11">
        <v>10</v>
      </c>
      <c r="B11" t="s">
        <v>20</v>
      </c>
      <c r="C11" t="s">
        <v>355</v>
      </c>
    </row>
    <row r="12" spans="1:3" x14ac:dyDescent="0.25">
      <c r="A12">
        <v>11</v>
      </c>
      <c r="B12" t="s">
        <v>192</v>
      </c>
      <c r="C12" t="s">
        <v>356</v>
      </c>
    </row>
    <row r="13" spans="1:3" x14ac:dyDescent="0.25">
      <c r="A13">
        <v>12</v>
      </c>
      <c r="B13" t="s">
        <v>198</v>
      </c>
      <c r="C13" t="s">
        <v>357</v>
      </c>
    </row>
    <row r="14" spans="1:3" x14ac:dyDescent="0.25">
      <c r="A14">
        <v>13</v>
      </c>
      <c r="B14" t="s">
        <v>23</v>
      </c>
      <c r="C14" t="s">
        <v>358</v>
      </c>
    </row>
    <row r="15" spans="1:3" x14ac:dyDescent="0.25">
      <c r="A15">
        <v>14</v>
      </c>
      <c r="B15" t="s">
        <v>18</v>
      </c>
      <c r="C15" t="s">
        <v>359</v>
      </c>
    </row>
    <row r="16" spans="1:3" x14ac:dyDescent="0.25">
      <c r="A16">
        <v>15</v>
      </c>
      <c r="B16" t="s">
        <v>195</v>
      </c>
      <c r="C16" t="s">
        <v>360</v>
      </c>
    </row>
    <row r="17" spans="1:3" x14ac:dyDescent="0.25">
      <c r="A17">
        <v>16</v>
      </c>
      <c r="B17" t="s">
        <v>19</v>
      </c>
      <c r="C17" t="s">
        <v>361</v>
      </c>
    </row>
    <row r="18" spans="1:3" x14ac:dyDescent="0.25">
      <c r="A18">
        <v>17</v>
      </c>
      <c r="B18" t="s">
        <v>26</v>
      </c>
      <c r="C18" t="s">
        <v>362</v>
      </c>
    </row>
    <row r="19" spans="1:3" x14ac:dyDescent="0.25">
      <c r="A19">
        <v>18</v>
      </c>
      <c r="B19" t="s">
        <v>16</v>
      </c>
      <c r="C19" t="s">
        <v>363</v>
      </c>
    </row>
    <row r="20" spans="1:3" x14ac:dyDescent="0.25">
      <c r="A20">
        <v>19</v>
      </c>
      <c r="B20" t="s">
        <v>7</v>
      </c>
      <c r="C20" t="s">
        <v>364</v>
      </c>
    </row>
    <row r="21" spans="1:3" x14ac:dyDescent="0.25">
      <c r="A21">
        <v>20</v>
      </c>
      <c r="B21" t="s">
        <v>191</v>
      </c>
      <c r="C21" t="s">
        <v>365</v>
      </c>
    </row>
    <row r="22" spans="1:3" x14ac:dyDescent="0.25">
      <c r="A22">
        <v>21</v>
      </c>
      <c r="B22" t="s">
        <v>181</v>
      </c>
      <c r="C22" t="s">
        <v>366</v>
      </c>
    </row>
    <row r="23" spans="1:3" x14ac:dyDescent="0.25">
      <c r="A23">
        <v>22</v>
      </c>
      <c r="B23" t="s">
        <v>182</v>
      </c>
      <c r="C23" t="s">
        <v>367</v>
      </c>
    </row>
    <row r="24" spans="1:3" x14ac:dyDescent="0.25">
      <c r="A24">
        <v>23</v>
      </c>
      <c r="B24" t="s">
        <v>186</v>
      </c>
      <c r="C24" t="s">
        <v>368</v>
      </c>
    </row>
    <row r="25" spans="1:3" x14ac:dyDescent="0.25">
      <c r="A25">
        <v>24</v>
      </c>
      <c r="B25" t="s">
        <v>207</v>
      </c>
      <c r="C25" t="s">
        <v>369</v>
      </c>
    </row>
    <row r="26" spans="1:3" x14ac:dyDescent="0.25">
      <c r="A26">
        <v>25</v>
      </c>
      <c r="B26" t="s">
        <v>189</v>
      </c>
      <c r="C26" t="s">
        <v>370</v>
      </c>
    </row>
    <row r="27" spans="1:3" x14ac:dyDescent="0.25">
      <c r="A27">
        <v>26</v>
      </c>
      <c r="B27" t="s">
        <v>34</v>
      </c>
      <c r="C27" t="s">
        <v>371</v>
      </c>
    </row>
    <row r="28" spans="1:3" x14ac:dyDescent="0.25">
      <c r="A28">
        <v>27</v>
      </c>
      <c r="B28" t="s">
        <v>15</v>
      </c>
      <c r="C28" t="s">
        <v>372</v>
      </c>
    </row>
    <row r="29" spans="1:3" x14ac:dyDescent="0.25">
      <c r="A29">
        <v>28</v>
      </c>
      <c r="B29" t="s">
        <v>206</v>
      </c>
      <c r="C29" t="s">
        <v>373</v>
      </c>
    </row>
    <row r="30" spans="1:3" x14ac:dyDescent="0.25">
      <c r="A30">
        <v>29</v>
      </c>
      <c r="B30" t="s">
        <v>196</v>
      </c>
      <c r="C30" t="s">
        <v>374</v>
      </c>
    </row>
    <row r="31" spans="1:3" x14ac:dyDescent="0.25">
      <c r="A31">
        <v>30</v>
      </c>
      <c r="B31" t="s">
        <v>13</v>
      </c>
      <c r="C31" t="s">
        <v>375</v>
      </c>
    </row>
    <row r="32" spans="1:3" x14ac:dyDescent="0.25">
      <c r="A32">
        <v>31</v>
      </c>
      <c r="B32" t="s">
        <v>33</v>
      </c>
      <c r="C32" t="s">
        <v>376</v>
      </c>
    </row>
    <row r="33" spans="1:3" x14ac:dyDescent="0.25">
      <c r="A33">
        <v>32</v>
      </c>
      <c r="B33" t="s">
        <v>190</v>
      </c>
      <c r="C33" t="s">
        <v>377</v>
      </c>
    </row>
    <row r="34" spans="1:3" x14ac:dyDescent="0.25">
      <c r="A34">
        <v>33</v>
      </c>
      <c r="B34" t="s">
        <v>203</v>
      </c>
      <c r="C34" t="s">
        <v>378</v>
      </c>
    </row>
    <row r="35" spans="1:3" x14ac:dyDescent="0.25">
      <c r="A35">
        <v>34</v>
      </c>
      <c r="B35" t="s">
        <v>25</v>
      </c>
      <c r="C35" t="s">
        <v>379</v>
      </c>
    </row>
    <row r="36" spans="1:3" x14ac:dyDescent="0.25">
      <c r="A36">
        <v>35</v>
      </c>
      <c r="B36" t="s">
        <v>200</v>
      </c>
      <c r="C36" t="s">
        <v>380</v>
      </c>
    </row>
    <row r="37" spans="1:3" x14ac:dyDescent="0.25">
      <c r="A37">
        <v>36</v>
      </c>
      <c r="B37" t="s">
        <v>204</v>
      </c>
      <c r="C37" t="s">
        <v>381</v>
      </c>
    </row>
    <row r="38" spans="1:3" x14ac:dyDescent="0.25">
      <c r="A38">
        <v>37</v>
      </c>
      <c r="B38" t="s">
        <v>21</v>
      </c>
      <c r="C38" t="s">
        <v>382</v>
      </c>
    </row>
    <row r="39" spans="1:3" x14ac:dyDescent="0.25">
      <c r="A39">
        <v>38</v>
      </c>
      <c r="B39" t="s">
        <v>197</v>
      </c>
      <c r="C39" t="s">
        <v>383</v>
      </c>
    </row>
    <row r="40" spans="1:3" x14ac:dyDescent="0.25">
      <c r="A40">
        <v>39</v>
      </c>
      <c r="B40" t="s">
        <v>30</v>
      </c>
      <c r="C40" t="s">
        <v>384</v>
      </c>
    </row>
    <row r="41" spans="1:3" x14ac:dyDescent="0.25">
      <c r="A41">
        <v>40</v>
      </c>
      <c r="B41" t="s">
        <v>14</v>
      </c>
      <c r="C41" t="s">
        <v>385</v>
      </c>
    </row>
    <row r="42" spans="1:3" x14ac:dyDescent="0.25">
      <c r="A42">
        <v>41</v>
      </c>
      <c r="B42" t="s">
        <v>17</v>
      </c>
      <c r="C42" t="s">
        <v>386</v>
      </c>
    </row>
    <row r="43" spans="1:3" x14ac:dyDescent="0.25">
      <c r="A43">
        <v>42</v>
      </c>
      <c r="B43" t="s">
        <v>28</v>
      </c>
      <c r="C43" t="s">
        <v>387</v>
      </c>
    </row>
    <row r="44" spans="1:3" x14ac:dyDescent="0.25">
      <c r="A44">
        <v>43</v>
      </c>
      <c r="B44" t="s">
        <v>194</v>
      </c>
      <c r="C44" t="s">
        <v>388</v>
      </c>
    </row>
    <row r="45" spans="1:3" x14ac:dyDescent="0.25">
      <c r="A45">
        <v>44</v>
      </c>
      <c r="B45" t="s">
        <v>5</v>
      </c>
      <c r="C45" t="s">
        <v>389</v>
      </c>
    </row>
    <row r="46" spans="1:3" x14ac:dyDescent="0.25">
      <c r="A46">
        <v>45</v>
      </c>
      <c r="B46" t="s">
        <v>201</v>
      </c>
      <c r="C46" t="s">
        <v>390</v>
      </c>
    </row>
    <row r="47" spans="1:3" x14ac:dyDescent="0.25">
      <c r="A47">
        <v>46</v>
      </c>
      <c r="B47" t="s">
        <v>12</v>
      </c>
      <c r="C47" t="s">
        <v>391</v>
      </c>
    </row>
    <row r="48" spans="1:3" x14ac:dyDescent="0.25">
      <c r="A48">
        <v>47</v>
      </c>
      <c r="B48" t="s">
        <v>211</v>
      </c>
      <c r="C48" t="s">
        <v>392</v>
      </c>
    </row>
    <row r="49" spans="1:3" x14ac:dyDescent="0.25">
      <c r="A49">
        <v>48</v>
      </c>
      <c r="B49" t="s">
        <v>37</v>
      </c>
      <c r="C49" t="s">
        <v>393</v>
      </c>
    </row>
    <row r="50" spans="1:3" x14ac:dyDescent="0.25">
      <c r="A50">
        <v>49</v>
      </c>
      <c r="B50" t="s">
        <v>38</v>
      </c>
      <c r="C50" t="s">
        <v>394</v>
      </c>
    </row>
    <row r="51" spans="1:3" x14ac:dyDescent="0.25">
      <c r="A51">
        <v>50</v>
      </c>
      <c r="B51" t="s">
        <v>24</v>
      </c>
      <c r="C51" t="s">
        <v>395</v>
      </c>
    </row>
    <row r="52" spans="1:3" x14ac:dyDescent="0.25">
      <c r="A52">
        <v>51</v>
      </c>
      <c r="B52" t="s">
        <v>187</v>
      </c>
      <c r="C52" t="s">
        <v>396</v>
      </c>
    </row>
    <row r="53" spans="1:3" x14ac:dyDescent="0.25">
      <c r="A53">
        <v>52</v>
      </c>
      <c r="B53" t="s">
        <v>32</v>
      </c>
      <c r="C53" t="s">
        <v>397</v>
      </c>
    </row>
    <row r="54" spans="1:3" x14ac:dyDescent="0.25">
      <c r="A54">
        <v>53</v>
      </c>
      <c r="B54" t="s">
        <v>29</v>
      </c>
      <c r="C54" t="s">
        <v>398</v>
      </c>
    </row>
    <row r="55" spans="1:3" x14ac:dyDescent="0.25">
      <c r="A55">
        <v>54</v>
      </c>
      <c r="B55" t="s">
        <v>202</v>
      </c>
      <c r="C55" t="s">
        <v>399</v>
      </c>
    </row>
    <row r="56" spans="1:3" x14ac:dyDescent="0.25">
      <c r="A56">
        <v>55</v>
      </c>
      <c r="B56" t="s">
        <v>10</v>
      </c>
      <c r="C56" t="s">
        <v>400</v>
      </c>
    </row>
    <row r="57" spans="1:3" x14ac:dyDescent="0.25">
      <c r="A57">
        <v>56</v>
      </c>
      <c r="B57" t="s">
        <v>27</v>
      </c>
      <c r="C57" t="s">
        <v>401</v>
      </c>
    </row>
    <row r="58" spans="1:3" x14ac:dyDescent="0.25">
      <c r="A58">
        <v>57</v>
      </c>
      <c r="B58" t="s">
        <v>208</v>
      </c>
      <c r="C58" t="s">
        <v>402</v>
      </c>
    </row>
    <row r="59" spans="1:3" x14ac:dyDescent="0.25">
      <c r="A59">
        <v>58</v>
      </c>
      <c r="B59" t="s">
        <v>205</v>
      </c>
      <c r="C59" t="s">
        <v>403</v>
      </c>
    </row>
    <row r="60" spans="1:3" x14ac:dyDescent="0.25">
      <c r="A60">
        <v>59</v>
      </c>
      <c r="B60" t="s">
        <v>35</v>
      </c>
      <c r="C60" t="s">
        <v>404</v>
      </c>
    </row>
    <row r="61" spans="1:3" x14ac:dyDescent="0.25">
      <c r="A61">
        <v>60</v>
      </c>
      <c r="B61" t="s">
        <v>22</v>
      </c>
      <c r="C61" t="s">
        <v>405</v>
      </c>
    </row>
    <row r="62" spans="1:3" x14ac:dyDescent="0.25">
      <c r="A62">
        <v>61</v>
      </c>
      <c r="B62" t="s">
        <v>31</v>
      </c>
      <c r="C62" t="s">
        <v>406</v>
      </c>
    </row>
    <row r="63" spans="1:3" x14ac:dyDescent="0.25">
      <c r="A63">
        <v>62</v>
      </c>
      <c r="B63" t="s">
        <v>209</v>
      </c>
      <c r="C63" t="s">
        <v>407</v>
      </c>
    </row>
    <row r="64" spans="1:3" x14ac:dyDescent="0.25">
      <c r="A64">
        <v>63</v>
      </c>
      <c r="B64" t="s">
        <v>57</v>
      </c>
      <c r="C64" t="s">
        <v>408</v>
      </c>
    </row>
    <row r="65" spans="1:3" x14ac:dyDescent="0.25">
      <c r="A65">
        <v>64</v>
      </c>
      <c r="B65" t="s">
        <v>188</v>
      </c>
      <c r="C65" t="s">
        <v>409</v>
      </c>
    </row>
    <row r="66" spans="1:3" x14ac:dyDescent="0.25">
      <c r="A66">
        <v>65</v>
      </c>
      <c r="B66" t="s">
        <v>80</v>
      </c>
      <c r="C66" t="s">
        <v>410</v>
      </c>
    </row>
    <row r="67" spans="1:3" x14ac:dyDescent="0.25">
      <c r="A67">
        <v>66</v>
      </c>
      <c r="B67" t="s">
        <v>81</v>
      </c>
      <c r="C67" t="s">
        <v>411</v>
      </c>
    </row>
    <row r="68" spans="1:3" x14ac:dyDescent="0.25">
      <c r="A68">
        <v>67</v>
      </c>
      <c r="B68" t="s">
        <v>245</v>
      </c>
      <c r="C68" t="s">
        <v>412</v>
      </c>
    </row>
    <row r="69" spans="1:3" x14ac:dyDescent="0.25">
      <c r="A69">
        <v>68</v>
      </c>
      <c r="B69" t="s">
        <v>73</v>
      </c>
      <c r="C69" t="s">
        <v>413</v>
      </c>
    </row>
    <row r="70" spans="1:3" x14ac:dyDescent="0.25">
      <c r="A70">
        <v>69</v>
      </c>
      <c r="B70" t="s">
        <v>277</v>
      </c>
      <c r="C70" t="s">
        <v>414</v>
      </c>
    </row>
    <row r="71" spans="1:3" x14ac:dyDescent="0.25">
      <c r="A71">
        <v>70</v>
      </c>
      <c r="B71" t="s">
        <v>279</v>
      </c>
      <c r="C71" t="s">
        <v>415</v>
      </c>
    </row>
    <row r="72" spans="1:3" x14ac:dyDescent="0.25">
      <c r="A72">
        <v>71</v>
      </c>
      <c r="B72" t="s">
        <v>108</v>
      </c>
      <c r="C72" t="s">
        <v>416</v>
      </c>
    </row>
    <row r="73" spans="1:3" x14ac:dyDescent="0.25">
      <c r="A73">
        <v>72</v>
      </c>
      <c r="B73" t="s">
        <v>76</v>
      </c>
      <c r="C73" t="s">
        <v>417</v>
      </c>
    </row>
    <row r="74" spans="1:3" x14ac:dyDescent="0.25">
      <c r="A74">
        <v>73</v>
      </c>
      <c r="B74" t="s">
        <v>263</v>
      </c>
      <c r="C74" t="s">
        <v>418</v>
      </c>
    </row>
    <row r="75" spans="1:3" x14ac:dyDescent="0.25">
      <c r="A75">
        <v>74</v>
      </c>
      <c r="B75" t="s">
        <v>283</v>
      </c>
      <c r="C75" t="s">
        <v>419</v>
      </c>
    </row>
    <row r="76" spans="1:3" x14ac:dyDescent="0.25">
      <c r="A76">
        <v>75</v>
      </c>
      <c r="B76" t="s">
        <v>104</v>
      </c>
      <c r="C76" t="s">
        <v>420</v>
      </c>
    </row>
    <row r="77" spans="1:3" x14ac:dyDescent="0.25">
      <c r="A77">
        <v>76</v>
      </c>
      <c r="B77" t="s">
        <v>249</v>
      </c>
      <c r="C77" t="s">
        <v>421</v>
      </c>
    </row>
    <row r="78" spans="1:3" x14ac:dyDescent="0.25">
      <c r="A78">
        <v>77</v>
      </c>
      <c r="B78" t="s">
        <v>125</v>
      </c>
      <c r="C78" t="s">
        <v>422</v>
      </c>
    </row>
    <row r="79" spans="1:3" x14ac:dyDescent="0.25">
      <c r="A79">
        <v>78</v>
      </c>
      <c r="B79" t="s">
        <v>98</v>
      </c>
      <c r="C79" t="s">
        <v>423</v>
      </c>
    </row>
    <row r="80" spans="1:3" x14ac:dyDescent="0.25">
      <c r="A80">
        <v>79</v>
      </c>
      <c r="B80" t="s">
        <v>251</v>
      </c>
      <c r="C80" t="s">
        <v>424</v>
      </c>
    </row>
    <row r="81" spans="1:3" x14ac:dyDescent="0.25">
      <c r="A81">
        <v>80</v>
      </c>
      <c r="B81" t="s">
        <v>115</v>
      </c>
      <c r="C81" t="s">
        <v>425</v>
      </c>
    </row>
    <row r="82" spans="1:3" x14ac:dyDescent="0.25">
      <c r="A82">
        <v>81</v>
      </c>
      <c r="B82" t="s">
        <v>248</v>
      </c>
      <c r="C82" t="s">
        <v>426</v>
      </c>
    </row>
    <row r="83" spans="1:3" x14ac:dyDescent="0.25">
      <c r="A83">
        <v>82</v>
      </c>
      <c r="B83" t="s">
        <v>252</v>
      </c>
      <c r="C83" t="s">
        <v>427</v>
      </c>
    </row>
    <row r="84" spans="1:3" x14ac:dyDescent="0.25">
      <c r="A84">
        <v>83</v>
      </c>
      <c r="B84" t="s">
        <v>120</v>
      </c>
      <c r="C84" t="s">
        <v>428</v>
      </c>
    </row>
    <row r="85" spans="1:3" x14ac:dyDescent="0.25">
      <c r="A85">
        <v>84</v>
      </c>
      <c r="B85" t="s">
        <v>256</v>
      </c>
      <c r="C85" t="s">
        <v>429</v>
      </c>
    </row>
    <row r="86" spans="1:3" x14ac:dyDescent="0.25">
      <c r="A86">
        <v>85</v>
      </c>
      <c r="B86" t="s">
        <v>247</v>
      </c>
      <c r="C86" t="s">
        <v>430</v>
      </c>
    </row>
    <row r="87" spans="1:3" x14ac:dyDescent="0.25">
      <c r="A87">
        <v>86</v>
      </c>
      <c r="B87" t="s">
        <v>250</v>
      </c>
      <c r="C87" t="s">
        <v>431</v>
      </c>
    </row>
    <row r="88" spans="1:3" x14ac:dyDescent="0.25">
      <c r="A88">
        <v>87</v>
      </c>
      <c r="B88" t="s">
        <v>259</v>
      </c>
      <c r="C88" t="s">
        <v>432</v>
      </c>
    </row>
    <row r="89" spans="1:3" x14ac:dyDescent="0.25">
      <c r="A89">
        <v>88</v>
      </c>
      <c r="B89" t="s">
        <v>82</v>
      </c>
      <c r="C89" t="s">
        <v>433</v>
      </c>
    </row>
    <row r="90" spans="1:3" x14ac:dyDescent="0.25">
      <c r="A90">
        <v>89</v>
      </c>
      <c r="B90" t="s">
        <v>106</v>
      </c>
      <c r="C90" t="s">
        <v>434</v>
      </c>
    </row>
    <row r="91" spans="1:3" x14ac:dyDescent="0.25">
      <c r="A91">
        <v>90</v>
      </c>
      <c r="B91" t="s">
        <v>275</v>
      </c>
      <c r="C91" t="s">
        <v>435</v>
      </c>
    </row>
    <row r="92" spans="1:3" x14ac:dyDescent="0.25">
      <c r="A92">
        <v>91</v>
      </c>
      <c r="B92" t="s">
        <v>77</v>
      </c>
      <c r="C92" t="s">
        <v>436</v>
      </c>
    </row>
    <row r="93" spans="1:3" x14ac:dyDescent="0.25">
      <c r="A93">
        <v>92</v>
      </c>
      <c r="B93" t="s">
        <v>278</v>
      </c>
      <c r="C93" t="s">
        <v>437</v>
      </c>
    </row>
    <row r="94" spans="1:3" x14ac:dyDescent="0.25">
      <c r="A94">
        <v>93</v>
      </c>
      <c r="B94" t="s">
        <v>92</v>
      </c>
      <c r="C94" t="s">
        <v>438</v>
      </c>
    </row>
    <row r="95" spans="1:3" x14ac:dyDescent="0.25">
      <c r="A95">
        <v>94</v>
      </c>
      <c r="B95" t="s">
        <v>266</v>
      </c>
      <c r="C95" t="s">
        <v>439</v>
      </c>
    </row>
    <row r="96" spans="1:3" x14ac:dyDescent="0.25">
      <c r="A96">
        <v>95</v>
      </c>
      <c r="B96" t="s">
        <v>270</v>
      </c>
      <c r="C96" t="s">
        <v>440</v>
      </c>
    </row>
    <row r="97" spans="1:3" x14ac:dyDescent="0.25">
      <c r="A97">
        <v>96</v>
      </c>
      <c r="B97" t="s">
        <v>276</v>
      </c>
      <c r="C97" t="s">
        <v>441</v>
      </c>
    </row>
    <row r="98" spans="1:3" x14ac:dyDescent="0.25">
      <c r="A98">
        <v>97</v>
      </c>
      <c r="B98" t="s">
        <v>281</v>
      </c>
      <c r="C98" t="s">
        <v>442</v>
      </c>
    </row>
    <row r="99" spans="1:3" x14ac:dyDescent="0.25">
      <c r="A99">
        <v>98</v>
      </c>
      <c r="B99" t="s">
        <v>112</v>
      </c>
      <c r="C99" t="s">
        <v>443</v>
      </c>
    </row>
    <row r="100" spans="1:3" x14ac:dyDescent="0.25">
      <c r="A100">
        <v>99</v>
      </c>
      <c r="B100" t="s">
        <v>122</v>
      </c>
      <c r="C100" t="s">
        <v>444</v>
      </c>
    </row>
    <row r="101" spans="1:3" x14ac:dyDescent="0.25">
      <c r="A101">
        <v>100</v>
      </c>
      <c r="B101" t="s">
        <v>89</v>
      </c>
      <c r="C101" t="s">
        <v>445</v>
      </c>
    </row>
    <row r="102" spans="1:3" x14ac:dyDescent="0.25">
      <c r="A102">
        <v>101</v>
      </c>
      <c r="B102" t="s">
        <v>109</v>
      </c>
      <c r="C102" t="s">
        <v>446</v>
      </c>
    </row>
    <row r="103" spans="1:3" x14ac:dyDescent="0.25">
      <c r="A103">
        <v>102</v>
      </c>
      <c r="B103" t="s">
        <v>285</v>
      </c>
      <c r="C103" t="s">
        <v>447</v>
      </c>
    </row>
    <row r="104" spans="1:3" x14ac:dyDescent="0.25">
      <c r="A104">
        <v>103</v>
      </c>
      <c r="B104" t="s">
        <v>113</v>
      </c>
      <c r="C104" t="s">
        <v>448</v>
      </c>
    </row>
    <row r="105" spans="1:3" x14ac:dyDescent="0.25">
      <c r="A105">
        <v>104</v>
      </c>
      <c r="B105" t="s">
        <v>280</v>
      </c>
      <c r="C105" t="s">
        <v>449</v>
      </c>
    </row>
    <row r="106" spans="1:3" x14ac:dyDescent="0.25">
      <c r="A106">
        <v>105</v>
      </c>
      <c r="B106" t="s">
        <v>107</v>
      </c>
      <c r="C106" t="s">
        <v>450</v>
      </c>
    </row>
    <row r="107" spans="1:3" x14ac:dyDescent="0.25">
      <c r="A107">
        <v>106</v>
      </c>
      <c r="B107" t="s">
        <v>246</v>
      </c>
      <c r="C107" t="s">
        <v>451</v>
      </c>
    </row>
    <row r="108" spans="1:3" x14ac:dyDescent="0.25">
      <c r="A108">
        <v>107</v>
      </c>
      <c r="B108" t="s">
        <v>286</v>
      </c>
      <c r="C108" t="s">
        <v>452</v>
      </c>
    </row>
    <row r="109" spans="1:3" x14ac:dyDescent="0.25">
      <c r="A109">
        <v>108</v>
      </c>
      <c r="B109" t="s">
        <v>123</v>
      </c>
      <c r="C109" t="s">
        <v>453</v>
      </c>
    </row>
    <row r="110" spans="1:3" x14ac:dyDescent="0.25">
      <c r="A110">
        <v>109</v>
      </c>
      <c r="B110" t="s">
        <v>127</v>
      </c>
      <c r="C110" t="s">
        <v>454</v>
      </c>
    </row>
    <row r="111" spans="1:3" x14ac:dyDescent="0.25">
      <c r="A111">
        <v>110</v>
      </c>
      <c r="B111" t="s">
        <v>85</v>
      </c>
      <c r="C111" t="s">
        <v>455</v>
      </c>
    </row>
    <row r="112" spans="1:3" x14ac:dyDescent="0.25">
      <c r="A112">
        <v>111</v>
      </c>
      <c r="B112" t="s">
        <v>257</v>
      </c>
      <c r="C112" t="s">
        <v>456</v>
      </c>
    </row>
    <row r="113" spans="1:3" x14ac:dyDescent="0.25">
      <c r="A113">
        <v>112</v>
      </c>
      <c r="B113" t="s">
        <v>265</v>
      </c>
      <c r="C113" t="s">
        <v>457</v>
      </c>
    </row>
    <row r="114" spans="1:3" x14ac:dyDescent="0.25">
      <c r="A114">
        <v>113</v>
      </c>
      <c r="B114" t="s">
        <v>262</v>
      </c>
      <c r="C114" t="s">
        <v>458</v>
      </c>
    </row>
    <row r="115" spans="1:3" x14ac:dyDescent="0.25">
      <c r="A115">
        <v>114</v>
      </c>
      <c r="B115" t="s">
        <v>119</v>
      </c>
      <c r="C115" t="s">
        <v>459</v>
      </c>
    </row>
    <row r="116" spans="1:3" x14ac:dyDescent="0.25">
      <c r="A116">
        <v>115</v>
      </c>
      <c r="B116" t="s">
        <v>244</v>
      </c>
      <c r="C116" t="s">
        <v>460</v>
      </c>
    </row>
    <row r="117" spans="1:3" x14ac:dyDescent="0.25">
      <c r="A117">
        <v>116</v>
      </c>
      <c r="B117" t="s">
        <v>99</v>
      </c>
      <c r="C117" t="s">
        <v>461</v>
      </c>
    </row>
    <row r="118" spans="1:3" x14ac:dyDescent="0.25">
      <c r="A118">
        <v>117</v>
      </c>
      <c r="B118" t="s">
        <v>271</v>
      </c>
      <c r="C118" t="s">
        <v>462</v>
      </c>
    </row>
    <row r="119" spans="1:3" x14ac:dyDescent="0.25">
      <c r="A119">
        <v>118</v>
      </c>
      <c r="B119" t="s">
        <v>116</v>
      </c>
      <c r="C119" t="s">
        <v>463</v>
      </c>
    </row>
    <row r="120" spans="1:3" x14ac:dyDescent="0.25">
      <c r="A120">
        <v>119</v>
      </c>
      <c r="B120" t="s">
        <v>83</v>
      </c>
      <c r="C120" t="s">
        <v>464</v>
      </c>
    </row>
    <row r="121" spans="1:3" x14ac:dyDescent="0.25">
      <c r="A121">
        <v>120</v>
      </c>
      <c r="B121" t="s">
        <v>268</v>
      </c>
      <c r="C121" t="s">
        <v>465</v>
      </c>
    </row>
    <row r="122" spans="1:3" x14ac:dyDescent="0.25">
      <c r="A122">
        <v>121</v>
      </c>
      <c r="B122" t="s">
        <v>96</v>
      </c>
      <c r="C122" t="s">
        <v>466</v>
      </c>
    </row>
    <row r="123" spans="1:3" x14ac:dyDescent="0.25">
      <c r="A123">
        <v>122</v>
      </c>
      <c r="B123" t="s">
        <v>282</v>
      </c>
      <c r="C123" t="s">
        <v>467</v>
      </c>
    </row>
    <row r="124" spans="1:3" x14ac:dyDescent="0.25">
      <c r="A124">
        <v>123</v>
      </c>
      <c r="B124" t="s">
        <v>46</v>
      </c>
      <c r="C124" t="s">
        <v>468</v>
      </c>
    </row>
    <row r="125" spans="1:3" x14ac:dyDescent="0.25">
      <c r="A125">
        <v>124</v>
      </c>
      <c r="B125" t="s">
        <v>61</v>
      </c>
      <c r="C125" t="s">
        <v>469</v>
      </c>
    </row>
    <row r="126" spans="1:3" x14ac:dyDescent="0.25">
      <c r="A126">
        <v>125</v>
      </c>
      <c r="B126" t="s">
        <v>65</v>
      </c>
      <c r="C126" t="s">
        <v>470</v>
      </c>
    </row>
    <row r="127" spans="1:3" x14ac:dyDescent="0.25">
      <c r="A127">
        <v>126</v>
      </c>
      <c r="B127" t="s">
        <v>55</v>
      </c>
      <c r="C127" t="s">
        <v>471</v>
      </c>
    </row>
    <row r="128" spans="1:3" x14ac:dyDescent="0.25">
      <c r="A128">
        <v>127</v>
      </c>
      <c r="B128" t="s">
        <v>40</v>
      </c>
      <c r="C128" t="s">
        <v>472</v>
      </c>
    </row>
    <row r="129" spans="1:3" x14ac:dyDescent="0.25">
      <c r="A129">
        <v>128</v>
      </c>
      <c r="B129" t="s">
        <v>230</v>
      </c>
      <c r="C129" t="s">
        <v>473</v>
      </c>
    </row>
    <row r="130" spans="1:3" x14ac:dyDescent="0.25">
      <c r="A130">
        <v>129</v>
      </c>
      <c r="B130" t="s">
        <v>49</v>
      </c>
      <c r="C130" t="s">
        <v>474</v>
      </c>
    </row>
    <row r="131" spans="1:3" x14ac:dyDescent="0.25">
      <c r="A131">
        <v>130</v>
      </c>
      <c r="B131" t="s">
        <v>50</v>
      </c>
      <c r="C131" t="s">
        <v>475</v>
      </c>
    </row>
    <row r="132" spans="1:3" x14ac:dyDescent="0.25">
      <c r="A132">
        <v>131</v>
      </c>
      <c r="B132" t="s">
        <v>213</v>
      </c>
      <c r="C132" t="s">
        <v>476</v>
      </c>
    </row>
    <row r="133" spans="1:3" x14ac:dyDescent="0.25">
      <c r="A133">
        <v>132</v>
      </c>
      <c r="B133" t="s">
        <v>238</v>
      </c>
      <c r="C133" t="s">
        <v>477</v>
      </c>
    </row>
    <row r="134" spans="1:3" x14ac:dyDescent="0.25">
      <c r="A134">
        <v>133</v>
      </c>
      <c r="B134" t="s">
        <v>220</v>
      </c>
      <c r="C134" t="s">
        <v>478</v>
      </c>
    </row>
    <row r="135" spans="1:3" x14ac:dyDescent="0.25">
      <c r="A135">
        <v>134</v>
      </c>
      <c r="B135" t="s">
        <v>44</v>
      </c>
      <c r="C135" t="s">
        <v>479</v>
      </c>
    </row>
    <row r="136" spans="1:3" x14ac:dyDescent="0.25">
      <c r="A136">
        <v>135</v>
      </c>
      <c r="B136" t="s">
        <v>239</v>
      </c>
      <c r="C136" t="s">
        <v>480</v>
      </c>
    </row>
    <row r="137" spans="1:3" x14ac:dyDescent="0.25">
      <c r="A137">
        <v>136</v>
      </c>
      <c r="B137" t="s">
        <v>224</v>
      </c>
      <c r="C137" t="s">
        <v>481</v>
      </c>
    </row>
    <row r="138" spans="1:3" x14ac:dyDescent="0.25">
      <c r="A138">
        <v>137</v>
      </c>
      <c r="B138" t="s">
        <v>235</v>
      </c>
      <c r="C138" t="s">
        <v>482</v>
      </c>
    </row>
    <row r="139" spans="1:3" x14ac:dyDescent="0.25">
      <c r="A139">
        <v>138</v>
      </c>
      <c r="B139" t="s">
        <v>60</v>
      </c>
      <c r="C139" t="s">
        <v>483</v>
      </c>
    </row>
    <row r="140" spans="1:3" x14ac:dyDescent="0.25">
      <c r="A140">
        <v>139</v>
      </c>
      <c r="B140" t="s">
        <v>53</v>
      </c>
      <c r="C140" t="s">
        <v>484</v>
      </c>
    </row>
    <row r="141" spans="1:3" x14ac:dyDescent="0.25">
      <c r="A141">
        <v>140</v>
      </c>
      <c r="B141" t="s">
        <v>214</v>
      </c>
      <c r="C141" t="s">
        <v>485</v>
      </c>
    </row>
    <row r="142" spans="1:3" x14ac:dyDescent="0.25">
      <c r="A142">
        <v>141</v>
      </c>
      <c r="B142" t="s">
        <v>234</v>
      </c>
      <c r="C142" t="s">
        <v>486</v>
      </c>
    </row>
    <row r="143" spans="1:3" x14ac:dyDescent="0.25">
      <c r="A143">
        <v>142</v>
      </c>
      <c r="B143" t="s">
        <v>45</v>
      </c>
      <c r="C143" t="s">
        <v>487</v>
      </c>
    </row>
    <row r="144" spans="1:3" x14ac:dyDescent="0.25">
      <c r="A144">
        <v>143</v>
      </c>
      <c r="B144" t="s">
        <v>221</v>
      </c>
      <c r="C144" t="s">
        <v>488</v>
      </c>
    </row>
    <row r="145" spans="1:3" x14ac:dyDescent="0.25">
      <c r="A145">
        <v>144</v>
      </c>
      <c r="B145" t="s">
        <v>219</v>
      </c>
      <c r="C145" t="s">
        <v>489</v>
      </c>
    </row>
    <row r="146" spans="1:3" x14ac:dyDescent="0.25">
      <c r="A146">
        <v>145</v>
      </c>
      <c r="B146" t="s">
        <v>51</v>
      </c>
      <c r="C146" t="s">
        <v>490</v>
      </c>
    </row>
    <row r="147" spans="1:3" x14ac:dyDescent="0.25">
      <c r="A147">
        <v>146</v>
      </c>
      <c r="B147" t="s">
        <v>232</v>
      </c>
      <c r="C147" t="s">
        <v>491</v>
      </c>
    </row>
    <row r="148" spans="1:3" x14ac:dyDescent="0.25">
      <c r="A148">
        <v>147</v>
      </c>
      <c r="B148" t="s">
        <v>210</v>
      </c>
      <c r="C148" t="s">
        <v>492</v>
      </c>
    </row>
    <row r="149" spans="1:3" x14ac:dyDescent="0.25">
      <c r="A149">
        <v>148</v>
      </c>
      <c r="B149" t="s">
        <v>212</v>
      </c>
      <c r="C149" t="s">
        <v>493</v>
      </c>
    </row>
    <row r="150" spans="1:3" x14ac:dyDescent="0.25">
      <c r="A150">
        <v>149</v>
      </c>
      <c r="B150" t="s">
        <v>223</v>
      </c>
      <c r="C150" t="s">
        <v>494</v>
      </c>
    </row>
    <row r="151" spans="1:3" x14ac:dyDescent="0.25">
      <c r="A151">
        <v>150</v>
      </c>
      <c r="B151" t="s">
        <v>39</v>
      </c>
      <c r="C151" t="s">
        <v>495</v>
      </c>
    </row>
    <row r="152" spans="1:3" x14ac:dyDescent="0.25">
      <c r="A152">
        <v>151</v>
      </c>
      <c r="B152" t="s">
        <v>226</v>
      </c>
      <c r="C152" t="s">
        <v>496</v>
      </c>
    </row>
    <row r="153" spans="1:3" x14ac:dyDescent="0.25">
      <c r="A153">
        <v>152</v>
      </c>
      <c r="B153" t="s">
        <v>41</v>
      </c>
      <c r="C153" t="s">
        <v>497</v>
      </c>
    </row>
    <row r="154" spans="1:3" x14ac:dyDescent="0.25">
      <c r="A154">
        <v>153</v>
      </c>
      <c r="B154" t="s">
        <v>218</v>
      </c>
      <c r="C154" t="s">
        <v>498</v>
      </c>
    </row>
    <row r="155" spans="1:3" x14ac:dyDescent="0.25">
      <c r="A155">
        <v>154</v>
      </c>
      <c r="B155" t="s">
        <v>42</v>
      </c>
      <c r="C155" t="s">
        <v>499</v>
      </c>
    </row>
    <row r="156" spans="1:3" x14ac:dyDescent="0.25">
      <c r="A156">
        <v>155</v>
      </c>
      <c r="B156" t="s">
        <v>54</v>
      </c>
      <c r="C156" t="s">
        <v>500</v>
      </c>
    </row>
    <row r="157" spans="1:3" x14ac:dyDescent="0.25">
      <c r="A157">
        <v>156</v>
      </c>
      <c r="B157" t="s">
        <v>243</v>
      </c>
      <c r="C157" t="s">
        <v>501</v>
      </c>
    </row>
    <row r="158" spans="1:3" x14ac:dyDescent="0.25">
      <c r="A158">
        <v>157</v>
      </c>
      <c r="B158" t="s">
        <v>71</v>
      </c>
      <c r="C158" t="s">
        <v>502</v>
      </c>
    </row>
    <row r="159" spans="1:3" x14ac:dyDescent="0.25">
      <c r="A159">
        <v>158</v>
      </c>
      <c r="B159" t="s">
        <v>47</v>
      </c>
      <c r="C159" t="s">
        <v>503</v>
      </c>
    </row>
    <row r="160" spans="1:3" x14ac:dyDescent="0.25">
      <c r="A160">
        <v>159</v>
      </c>
      <c r="B160" t="s">
        <v>215</v>
      </c>
      <c r="C160" t="s">
        <v>504</v>
      </c>
    </row>
    <row r="161" spans="1:3" x14ac:dyDescent="0.25">
      <c r="A161">
        <v>160</v>
      </c>
      <c r="B161" t="s">
        <v>217</v>
      </c>
      <c r="C161" t="s">
        <v>505</v>
      </c>
    </row>
    <row r="162" spans="1:3" x14ac:dyDescent="0.25">
      <c r="A162">
        <v>161</v>
      </c>
      <c r="B162" t="s">
        <v>63</v>
      </c>
      <c r="C162" t="s">
        <v>506</v>
      </c>
    </row>
    <row r="163" spans="1:3" x14ac:dyDescent="0.25">
      <c r="A163">
        <v>162</v>
      </c>
      <c r="B163" t="s">
        <v>52</v>
      </c>
      <c r="C163" t="s">
        <v>507</v>
      </c>
    </row>
    <row r="164" spans="1:3" x14ac:dyDescent="0.25">
      <c r="A164">
        <v>163</v>
      </c>
      <c r="B164" t="s">
        <v>67</v>
      </c>
      <c r="C164" t="s">
        <v>508</v>
      </c>
    </row>
    <row r="165" spans="1:3" x14ac:dyDescent="0.25">
      <c r="A165">
        <v>164</v>
      </c>
      <c r="B165" t="s">
        <v>242</v>
      </c>
      <c r="C165" t="s">
        <v>509</v>
      </c>
    </row>
    <row r="166" spans="1:3" x14ac:dyDescent="0.25">
      <c r="A166">
        <v>165</v>
      </c>
      <c r="B166" t="s">
        <v>68</v>
      </c>
      <c r="C166" t="s">
        <v>510</v>
      </c>
    </row>
    <row r="167" spans="1:3" x14ac:dyDescent="0.25">
      <c r="A167">
        <v>166</v>
      </c>
      <c r="B167" t="s">
        <v>240</v>
      </c>
      <c r="C167" t="s">
        <v>511</v>
      </c>
    </row>
    <row r="168" spans="1:3" x14ac:dyDescent="0.25">
      <c r="A168">
        <v>167</v>
      </c>
      <c r="B168" t="s">
        <v>59</v>
      </c>
      <c r="C168" t="s">
        <v>512</v>
      </c>
    </row>
    <row r="169" spans="1:3" x14ac:dyDescent="0.25">
      <c r="A169">
        <v>168</v>
      </c>
      <c r="B169" t="s">
        <v>229</v>
      </c>
      <c r="C169" t="s">
        <v>513</v>
      </c>
    </row>
    <row r="170" spans="1:3" x14ac:dyDescent="0.25">
      <c r="A170">
        <v>169</v>
      </c>
      <c r="B170" t="s">
        <v>222</v>
      </c>
      <c r="C170" t="s">
        <v>514</v>
      </c>
    </row>
    <row r="171" spans="1:3" x14ac:dyDescent="0.25">
      <c r="A171">
        <v>170</v>
      </c>
      <c r="B171" t="s">
        <v>64</v>
      </c>
      <c r="C171" t="s">
        <v>515</v>
      </c>
    </row>
    <row r="172" spans="1:3" x14ac:dyDescent="0.25">
      <c r="A172">
        <v>171</v>
      </c>
      <c r="B172" t="s">
        <v>48</v>
      </c>
      <c r="C172" t="s">
        <v>516</v>
      </c>
    </row>
    <row r="173" spans="1:3" x14ac:dyDescent="0.25">
      <c r="A173">
        <v>172</v>
      </c>
      <c r="B173" t="s">
        <v>43</v>
      </c>
      <c r="C173" t="s">
        <v>517</v>
      </c>
    </row>
    <row r="174" spans="1:3" x14ac:dyDescent="0.25">
      <c r="A174">
        <v>173</v>
      </c>
      <c r="B174" t="s">
        <v>69</v>
      </c>
      <c r="C174" t="s">
        <v>518</v>
      </c>
    </row>
    <row r="175" spans="1:3" x14ac:dyDescent="0.25">
      <c r="A175">
        <v>174</v>
      </c>
      <c r="B175" t="s">
        <v>241</v>
      </c>
      <c r="C175" t="s">
        <v>519</v>
      </c>
    </row>
    <row r="176" spans="1:3" x14ac:dyDescent="0.25">
      <c r="A176">
        <v>175</v>
      </c>
      <c r="B176" t="s">
        <v>216</v>
      </c>
      <c r="C176" t="s">
        <v>520</v>
      </c>
    </row>
    <row r="177" spans="1:3" x14ac:dyDescent="0.25">
      <c r="A177">
        <v>176</v>
      </c>
      <c r="B177" t="s">
        <v>70</v>
      </c>
      <c r="C177" t="s">
        <v>521</v>
      </c>
    </row>
    <row r="178" spans="1:3" x14ac:dyDescent="0.25">
      <c r="A178">
        <v>177</v>
      </c>
      <c r="B178" t="s">
        <v>227</v>
      </c>
      <c r="C178" t="s">
        <v>522</v>
      </c>
    </row>
    <row r="179" spans="1:3" x14ac:dyDescent="0.25">
      <c r="A179">
        <v>178</v>
      </c>
      <c r="B179" t="s">
        <v>121</v>
      </c>
      <c r="C179" t="s">
        <v>523</v>
      </c>
    </row>
    <row r="180" spans="1:3" x14ac:dyDescent="0.25">
      <c r="A180">
        <v>179</v>
      </c>
      <c r="B180" t="s">
        <v>87</v>
      </c>
      <c r="C180" t="s">
        <v>524</v>
      </c>
    </row>
    <row r="181" spans="1:3" x14ac:dyDescent="0.25">
      <c r="A181">
        <v>180</v>
      </c>
      <c r="B181" t="s">
        <v>261</v>
      </c>
      <c r="C181" t="s">
        <v>525</v>
      </c>
    </row>
    <row r="182" spans="1:3" x14ac:dyDescent="0.25">
      <c r="A182">
        <v>181</v>
      </c>
      <c r="B182" t="s">
        <v>117</v>
      </c>
      <c r="C182" t="s">
        <v>526</v>
      </c>
    </row>
    <row r="183" spans="1:3" x14ac:dyDescent="0.25">
      <c r="A183">
        <v>182</v>
      </c>
      <c r="B183" t="s">
        <v>88</v>
      </c>
      <c r="C183" t="s">
        <v>527</v>
      </c>
    </row>
    <row r="184" spans="1:3" x14ac:dyDescent="0.25">
      <c r="A184">
        <v>183</v>
      </c>
      <c r="B184" t="s">
        <v>56</v>
      </c>
      <c r="C184" t="s">
        <v>528</v>
      </c>
    </row>
    <row r="185" spans="1:3" x14ac:dyDescent="0.25">
      <c r="A185">
        <v>184</v>
      </c>
      <c r="B185" t="s">
        <v>228</v>
      </c>
      <c r="C185" t="s">
        <v>529</v>
      </c>
    </row>
    <row r="186" spans="1:3" x14ac:dyDescent="0.25">
      <c r="A186">
        <v>185</v>
      </c>
      <c r="B186" t="s">
        <v>231</v>
      </c>
      <c r="C186" t="s">
        <v>530</v>
      </c>
    </row>
    <row r="187" spans="1:3" x14ac:dyDescent="0.25">
      <c r="A187">
        <v>186</v>
      </c>
      <c r="B187" t="s">
        <v>254</v>
      </c>
      <c r="C187" t="s">
        <v>531</v>
      </c>
    </row>
    <row r="188" spans="1:3" x14ac:dyDescent="0.25">
      <c r="A188">
        <v>187</v>
      </c>
      <c r="B188" t="s">
        <v>110</v>
      </c>
      <c r="C188" t="s">
        <v>532</v>
      </c>
    </row>
    <row r="189" spans="1:3" x14ac:dyDescent="0.25">
      <c r="A189">
        <v>188</v>
      </c>
      <c r="B189" t="s">
        <v>118</v>
      </c>
      <c r="C189" t="s">
        <v>533</v>
      </c>
    </row>
    <row r="190" spans="1:3" x14ac:dyDescent="0.25">
      <c r="A190">
        <v>189</v>
      </c>
      <c r="B190" t="s">
        <v>66</v>
      </c>
      <c r="C190" t="s">
        <v>534</v>
      </c>
    </row>
    <row r="191" spans="1:3" x14ac:dyDescent="0.25">
      <c r="A191">
        <v>190</v>
      </c>
      <c r="B191" t="s">
        <v>225</v>
      </c>
      <c r="C191" t="s">
        <v>535</v>
      </c>
    </row>
    <row r="192" spans="1:3" x14ac:dyDescent="0.25">
      <c r="A192">
        <v>191</v>
      </c>
      <c r="B192" t="s">
        <v>90</v>
      </c>
      <c r="C192" t="s">
        <v>536</v>
      </c>
    </row>
    <row r="193" spans="1:3" x14ac:dyDescent="0.25">
      <c r="A193">
        <v>192</v>
      </c>
      <c r="B193" t="s">
        <v>93</v>
      </c>
      <c r="C193" t="s">
        <v>537</v>
      </c>
    </row>
    <row r="194" spans="1:3" x14ac:dyDescent="0.25">
      <c r="A194">
        <v>193</v>
      </c>
      <c r="B194" t="s">
        <v>258</v>
      </c>
      <c r="C194" t="s">
        <v>538</v>
      </c>
    </row>
    <row r="195" spans="1:3" x14ac:dyDescent="0.25">
      <c r="A195">
        <v>194</v>
      </c>
      <c r="B195" t="s">
        <v>86</v>
      </c>
      <c r="C195" t="s">
        <v>539</v>
      </c>
    </row>
    <row r="196" spans="1:3" x14ac:dyDescent="0.25">
      <c r="A196">
        <v>195</v>
      </c>
      <c r="B196" t="s">
        <v>260</v>
      </c>
      <c r="C196" t="s">
        <v>540</v>
      </c>
    </row>
    <row r="197" spans="1:3" x14ac:dyDescent="0.25">
      <c r="A197">
        <v>196</v>
      </c>
      <c r="B197" t="s">
        <v>74</v>
      </c>
      <c r="C197" t="s">
        <v>541</v>
      </c>
    </row>
    <row r="198" spans="1:3" x14ac:dyDescent="0.25">
      <c r="A198">
        <v>197</v>
      </c>
      <c r="B198" t="s">
        <v>253</v>
      </c>
      <c r="C198" t="s">
        <v>542</v>
      </c>
    </row>
    <row r="199" spans="1:3" x14ac:dyDescent="0.25">
      <c r="A199">
        <v>198</v>
      </c>
      <c r="B199" t="s">
        <v>255</v>
      </c>
      <c r="C199" t="s">
        <v>543</v>
      </c>
    </row>
    <row r="200" spans="1:3" x14ac:dyDescent="0.25">
      <c r="A200">
        <v>199</v>
      </c>
      <c r="B200" t="s">
        <v>75</v>
      </c>
      <c r="C200" t="s">
        <v>544</v>
      </c>
    </row>
    <row r="201" spans="1:3" x14ac:dyDescent="0.25">
      <c r="A201">
        <v>200</v>
      </c>
      <c r="B201" t="s">
        <v>94</v>
      </c>
      <c r="C201" t="s">
        <v>545</v>
      </c>
    </row>
    <row r="202" spans="1:3" x14ac:dyDescent="0.25">
      <c r="A202">
        <v>201</v>
      </c>
      <c r="B202" t="s">
        <v>264</v>
      </c>
      <c r="C202" t="s">
        <v>546</v>
      </c>
    </row>
    <row r="203" spans="1:3" x14ac:dyDescent="0.25">
      <c r="A203">
        <v>202</v>
      </c>
      <c r="B203" t="s">
        <v>95</v>
      </c>
      <c r="C203" t="s">
        <v>547</v>
      </c>
    </row>
    <row r="204" spans="1:3" x14ac:dyDescent="0.25">
      <c r="A204">
        <v>203</v>
      </c>
      <c r="B204" t="s">
        <v>269</v>
      </c>
      <c r="C204" t="s">
        <v>548</v>
      </c>
    </row>
    <row r="205" spans="1:3" x14ac:dyDescent="0.25">
      <c r="A205">
        <v>204</v>
      </c>
      <c r="B205" t="s">
        <v>272</v>
      </c>
      <c r="C205" t="s">
        <v>549</v>
      </c>
    </row>
    <row r="206" spans="1:3" x14ac:dyDescent="0.25">
      <c r="A206">
        <v>205</v>
      </c>
      <c r="B206" t="s">
        <v>105</v>
      </c>
      <c r="C206" t="s">
        <v>550</v>
      </c>
    </row>
    <row r="207" spans="1:3" x14ac:dyDescent="0.25">
      <c r="A207">
        <v>206</v>
      </c>
      <c r="B207" t="s">
        <v>128</v>
      </c>
      <c r="C207" t="s">
        <v>551</v>
      </c>
    </row>
    <row r="208" spans="1:3" x14ac:dyDescent="0.25">
      <c r="A208">
        <v>207</v>
      </c>
      <c r="B208" t="s">
        <v>273</v>
      </c>
      <c r="C208" t="s">
        <v>552</v>
      </c>
    </row>
    <row r="209" spans="1:3" x14ac:dyDescent="0.25">
      <c r="A209">
        <v>208</v>
      </c>
      <c r="B209" t="s">
        <v>284</v>
      </c>
      <c r="C209" t="s">
        <v>553</v>
      </c>
    </row>
    <row r="210" spans="1:3" x14ac:dyDescent="0.25">
      <c r="A210">
        <v>209</v>
      </c>
      <c r="B210" t="s">
        <v>97</v>
      </c>
      <c r="C210" t="s">
        <v>554</v>
      </c>
    </row>
    <row r="211" spans="1:3" x14ac:dyDescent="0.25">
      <c r="A211">
        <v>210</v>
      </c>
      <c r="B211" t="s">
        <v>72</v>
      </c>
      <c r="C211" t="s">
        <v>555</v>
      </c>
    </row>
    <row r="212" spans="1:3" x14ac:dyDescent="0.25">
      <c r="A212">
        <v>211</v>
      </c>
      <c r="B212" t="s">
        <v>78</v>
      </c>
      <c r="C212" t="s">
        <v>556</v>
      </c>
    </row>
    <row r="213" spans="1:3" x14ac:dyDescent="0.25">
      <c r="A213">
        <v>212</v>
      </c>
      <c r="B213" t="s">
        <v>111</v>
      </c>
      <c r="C213" t="s">
        <v>557</v>
      </c>
    </row>
    <row r="214" spans="1:3" x14ac:dyDescent="0.25">
      <c r="A214">
        <v>213</v>
      </c>
      <c r="B214" t="s">
        <v>79</v>
      </c>
      <c r="C214" t="s">
        <v>558</v>
      </c>
    </row>
    <row r="215" spans="1:3" x14ac:dyDescent="0.25">
      <c r="A215">
        <v>214</v>
      </c>
      <c r="B215" t="s">
        <v>84</v>
      </c>
      <c r="C215" t="s">
        <v>559</v>
      </c>
    </row>
    <row r="216" spans="1:3" x14ac:dyDescent="0.25">
      <c r="A216">
        <v>215</v>
      </c>
      <c r="B216" t="s">
        <v>124</v>
      </c>
      <c r="C216" t="s">
        <v>560</v>
      </c>
    </row>
    <row r="217" spans="1:3" x14ac:dyDescent="0.25">
      <c r="A217">
        <v>216</v>
      </c>
      <c r="B217" t="s">
        <v>114</v>
      </c>
      <c r="C217" t="s">
        <v>561</v>
      </c>
    </row>
    <row r="218" spans="1:3" x14ac:dyDescent="0.25">
      <c r="A218">
        <v>217</v>
      </c>
      <c r="B218" t="s">
        <v>129</v>
      </c>
      <c r="C218" t="s">
        <v>562</v>
      </c>
    </row>
    <row r="219" spans="1:3" x14ac:dyDescent="0.25">
      <c r="A219">
        <v>218</v>
      </c>
      <c r="B219" t="s">
        <v>130</v>
      </c>
      <c r="C219" t="s">
        <v>563</v>
      </c>
    </row>
    <row r="220" spans="1:3" x14ac:dyDescent="0.25">
      <c r="A220">
        <v>219</v>
      </c>
      <c r="B220" t="s">
        <v>126</v>
      </c>
      <c r="C220" t="s">
        <v>564</v>
      </c>
    </row>
    <row r="221" spans="1:3" x14ac:dyDescent="0.25">
      <c r="A221">
        <v>220</v>
      </c>
      <c r="B221" t="s">
        <v>274</v>
      </c>
      <c r="C221" t="s">
        <v>565</v>
      </c>
    </row>
    <row r="222" spans="1:3" x14ac:dyDescent="0.25">
      <c r="A222">
        <v>221</v>
      </c>
      <c r="B222" t="s">
        <v>267</v>
      </c>
      <c r="C222" t="s">
        <v>566</v>
      </c>
    </row>
    <row r="223" spans="1:3" x14ac:dyDescent="0.25">
      <c r="A223">
        <v>222</v>
      </c>
      <c r="B223" t="s">
        <v>91</v>
      </c>
      <c r="C223" t="s">
        <v>567</v>
      </c>
    </row>
    <row r="224" spans="1:3" x14ac:dyDescent="0.25">
      <c r="A224">
        <v>223</v>
      </c>
      <c r="B224" t="s">
        <v>100</v>
      </c>
      <c r="C224" t="s">
        <v>568</v>
      </c>
    </row>
    <row r="225" spans="1:3" x14ac:dyDescent="0.25">
      <c r="A225">
        <v>224</v>
      </c>
      <c r="B225" t="s">
        <v>101</v>
      </c>
      <c r="C225" t="s">
        <v>569</v>
      </c>
    </row>
    <row r="226" spans="1:3" x14ac:dyDescent="0.25">
      <c r="A226">
        <v>225</v>
      </c>
      <c r="B226" t="s">
        <v>102</v>
      </c>
      <c r="C226" t="s">
        <v>570</v>
      </c>
    </row>
    <row r="227" spans="1:3" x14ac:dyDescent="0.25">
      <c r="A227">
        <v>226</v>
      </c>
      <c r="B227" t="s">
        <v>103</v>
      </c>
      <c r="C227" t="s">
        <v>571</v>
      </c>
    </row>
    <row r="228" spans="1:3" x14ac:dyDescent="0.25">
      <c r="A228">
        <v>227</v>
      </c>
      <c r="B228" t="s">
        <v>233</v>
      </c>
      <c r="C228" t="s">
        <v>572</v>
      </c>
    </row>
    <row r="229" spans="1:3" x14ac:dyDescent="0.25">
      <c r="A229">
        <v>228</v>
      </c>
      <c r="B229" t="s">
        <v>36</v>
      </c>
      <c r="C229" t="s">
        <v>573</v>
      </c>
    </row>
    <row r="230" spans="1:3" x14ac:dyDescent="0.25">
      <c r="A230">
        <v>229</v>
      </c>
      <c r="B230" t="s">
        <v>236</v>
      </c>
      <c r="C230" t="s">
        <v>574</v>
      </c>
    </row>
    <row r="231" spans="1:3" x14ac:dyDescent="0.25">
      <c r="A231">
        <v>230</v>
      </c>
      <c r="B231" t="s">
        <v>237</v>
      </c>
      <c r="C231" t="s">
        <v>575</v>
      </c>
    </row>
    <row r="232" spans="1:3" x14ac:dyDescent="0.25">
      <c r="A232">
        <v>231</v>
      </c>
      <c r="B232" t="s">
        <v>62</v>
      </c>
      <c r="C232" t="s">
        <v>576</v>
      </c>
    </row>
    <row r="233" spans="1:3" x14ac:dyDescent="0.25">
      <c r="A233">
        <v>232</v>
      </c>
      <c r="B233" t="s">
        <v>58</v>
      </c>
      <c r="C233" t="s">
        <v>577</v>
      </c>
    </row>
    <row r="234" spans="1:3" x14ac:dyDescent="0.25">
      <c r="A234">
        <v>233</v>
      </c>
      <c r="B234" t="s">
        <v>289</v>
      </c>
      <c r="C234" t="s">
        <v>578</v>
      </c>
    </row>
    <row r="235" spans="1:3" x14ac:dyDescent="0.25">
      <c r="A235">
        <v>234</v>
      </c>
      <c r="B235" t="s">
        <v>290</v>
      </c>
      <c r="C235" t="s">
        <v>579</v>
      </c>
    </row>
    <row r="236" spans="1:3" x14ac:dyDescent="0.25">
      <c r="A236">
        <v>235</v>
      </c>
      <c r="B236" t="s">
        <v>152</v>
      </c>
      <c r="C236" t="s">
        <v>580</v>
      </c>
    </row>
    <row r="237" spans="1:3" x14ac:dyDescent="0.25">
      <c r="A237">
        <v>236</v>
      </c>
      <c r="B237" t="s">
        <v>291</v>
      </c>
      <c r="C237" t="s">
        <v>581</v>
      </c>
    </row>
    <row r="238" spans="1:3" x14ac:dyDescent="0.25">
      <c r="A238">
        <v>237</v>
      </c>
      <c r="B238" t="s">
        <v>292</v>
      </c>
      <c r="C238" t="s">
        <v>582</v>
      </c>
    </row>
    <row r="239" spans="1:3" x14ac:dyDescent="0.25">
      <c r="A239">
        <v>238</v>
      </c>
      <c r="B239" t="s">
        <v>159</v>
      </c>
      <c r="C239" t="s">
        <v>583</v>
      </c>
    </row>
    <row r="240" spans="1:3" x14ac:dyDescent="0.25">
      <c r="A240">
        <v>239</v>
      </c>
      <c r="B240" t="s">
        <v>297</v>
      </c>
      <c r="C240" t="s">
        <v>584</v>
      </c>
    </row>
    <row r="241" spans="1:3" x14ac:dyDescent="0.25">
      <c r="A241">
        <v>240</v>
      </c>
      <c r="B241" t="s">
        <v>305</v>
      </c>
      <c r="C241" t="s">
        <v>585</v>
      </c>
    </row>
    <row r="242" spans="1:3" x14ac:dyDescent="0.25">
      <c r="A242">
        <v>241</v>
      </c>
      <c r="B242" t="s">
        <v>162</v>
      </c>
      <c r="C242" t="s">
        <v>586</v>
      </c>
    </row>
    <row r="243" spans="1:3" x14ac:dyDescent="0.25">
      <c r="A243">
        <v>242</v>
      </c>
      <c r="B243" t="s">
        <v>133</v>
      </c>
      <c r="C243" t="s">
        <v>587</v>
      </c>
    </row>
    <row r="244" spans="1:3" x14ac:dyDescent="0.25">
      <c r="A244">
        <v>243</v>
      </c>
      <c r="B244" t="s">
        <v>170</v>
      </c>
      <c r="C244" t="s">
        <v>588</v>
      </c>
    </row>
    <row r="245" spans="1:3" x14ac:dyDescent="0.25">
      <c r="A245">
        <v>244</v>
      </c>
      <c r="B245" t="s">
        <v>309</v>
      </c>
      <c r="C245" t="s">
        <v>589</v>
      </c>
    </row>
    <row r="246" spans="1:3" x14ac:dyDescent="0.25">
      <c r="A246">
        <v>245</v>
      </c>
      <c r="B246" t="s">
        <v>175</v>
      </c>
      <c r="C246" t="s">
        <v>590</v>
      </c>
    </row>
    <row r="247" spans="1:3" x14ac:dyDescent="0.25">
      <c r="A247">
        <v>246</v>
      </c>
      <c r="B247" t="s">
        <v>157</v>
      </c>
      <c r="C247" t="s">
        <v>591</v>
      </c>
    </row>
    <row r="248" spans="1:3" x14ac:dyDescent="0.25">
      <c r="A248">
        <v>247</v>
      </c>
      <c r="B248" t="s">
        <v>168</v>
      </c>
      <c r="C248" t="s">
        <v>592</v>
      </c>
    </row>
    <row r="249" spans="1:3" x14ac:dyDescent="0.25">
      <c r="A249">
        <v>248</v>
      </c>
      <c r="B249" t="s">
        <v>164</v>
      </c>
      <c r="C249" t="s">
        <v>593</v>
      </c>
    </row>
    <row r="250" spans="1:3" x14ac:dyDescent="0.25">
      <c r="A250">
        <v>249</v>
      </c>
      <c r="B250" t="s">
        <v>154</v>
      </c>
      <c r="C250" t="s">
        <v>594</v>
      </c>
    </row>
    <row r="251" spans="1:3" x14ac:dyDescent="0.25">
      <c r="A251">
        <v>250</v>
      </c>
      <c r="B251" t="s">
        <v>315</v>
      </c>
      <c r="C251" t="s">
        <v>595</v>
      </c>
    </row>
    <row r="252" spans="1:3" x14ac:dyDescent="0.25">
      <c r="A252">
        <v>251</v>
      </c>
      <c r="B252" t="s">
        <v>167</v>
      </c>
      <c r="C252" t="s">
        <v>596</v>
      </c>
    </row>
    <row r="253" spans="1:3" x14ac:dyDescent="0.25">
      <c r="A253">
        <v>252</v>
      </c>
      <c r="B253" t="s">
        <v>306</v>
      </c>
      <c r="C253" t="s">
        <v>597</v>
      </c>
    </row>
    <row r="254" spans="1:3" x14ac:dyDescent="0.25">
      <c r="A254">
        <v>253</v>
      </c>
      <c r="B254" t="s">
        <v>165</v>
      </c>
      <c r="C254" t="s">
        <v>598</v>
      </c>
    </row>
    <row r="255" spans="1:3" x14ac:dyDescent="0.25">
      <c r="A255">
        <v>254</v>
      </c>
      <c r="B255" t="s">
        <v>287</v>
      </c>
      <c r="C255" t="s">
        <v>599</v>
      </c>
    </row>
    <row r="256" spans="1:3" x14ac:dyDescent="0.25">
      <c r="A256">
        <v>255</v>
      </c>
      <c r="B256" t="s">
        <v>160</v>
      </c>
      <c r="C256" t="s">
        <v>600</v>
      </c>
    </row>
    <row r="257" spans="1:3" x14ac:dyDescent="0.25">
      <c r="A257">
        <v>256</v>
      </c>
      <c r="B257" t="s">
        <v>143</v>
      </c>
      <c r="C257" t="s">
        <v>601</v>
      </c>
    </row>
    <row r="258" spans="1:3" x14ac:dyDescent="0.25">
      <c r="A258">
        <v>257</v>
      </c>
      <c r="B258" t="s">
        <v>145</v>
      </c>
      <c r="C258" t="s">
        <v>602</v>
      </c>
    </row>
    <row r="259" spans="1:3" x14ac:dyDescent="0.25">
      <c r="A259">
        <v>258</v>
      </c>
      <c r="B259" t="s">
        <v>304</v>
      </c>
      <c r="C259" t="s">
        <v>603</v>
      </c>
    </row>
    <row r="260" spans="1:3" x14ac:dyDescent="0.25">
      <c r="A260">
        <v>259</v>
      </c>
      <c r="B260" t="s">
        <v>299</v>
      </c>
      <c r="C260" t="s">
        <v>604</v>
      </c>
    </row>
    <row r="261" spans="1:3" x14ac:dyDescent="0.25">
      <c r="A261">
        <v>260</v>
      </c>
      <c r="B261" t="s">
        <v>146</v>
      </c>
      <c r="C261" t="s">
        <v>605</v>
      </c>
    </row>
    <row r="262" spans="1:3" x14ac:dyDescent="0.25">
      <c r="A262">
        <v>261</v>
      </c>
      <c r="B262" t="s">
        <v>312</v>
      </c>
      <c r="C262" t="s">
        <v>606</v>
      </c>
    </row>
    <row r="263" spans="1:3" x14ac:dyDescent="0.25">
      <c r="A263">
        <v>262</v>
      </c>
      <c r="B263" t="s">
        <v>138</v>
      </c>
      <c r="C263" t="s">
        <v>607</v>
      </c>
    </row>
    <row r="264" spans="1:3" x14ac:dyDescent="0.25">
      <c r="A264">
        <v>263</v>
      </c>
      <c r="B264" t="s">
        <v>139</v>
      </c>
      <c r="C264" t="s">
        <v>608</v>
      </c>
    </row>
    <row r="265" spans="1:3" x14ac:dyDescent="0.25">
      <c r="A265">
        <v>264</v>
      </c>
      <c r="B265" t="s">
        <v>141</v>
      </c>
      <c r="C265" t="s">
        <v>609</v>
      </c>
    </row>
    <row r="266" spans="1:3" x14ac:dyDescent="0.25">
      <c r="A266">
        <v>265</v>
      </c>
      <c r="B266" t="s">
        <v>163</v>
      </c>
      <c r="C266" t="s">
        <v>610</v>
      </c>
    </row>
    <row r="267" spans="1:3" x14ac:dyDescent="0.25">
      <c r="A267">
        <v>266</v>
      </c>
      <c r="B267" t="s">
        <v>150</v>
      </c>
      <c r="C267" t="s">
        <v>611</v>
      </c>
    </row>
    <row r="268" spans="1:3" x14ac:dyDescent="0.25">
      <c r="A268">
        <v>267</v>
      </c>
      <c r="B268" t="s">
        <v>176</v>
      </c>
      <c r="C268" t="s">
        <v>612</v>
      </c>
    </row>
    <row r="269" spans="1:3" x14ac:dyDescent="0.25">
      <c r="A269">
        <v>268</v>
      </c>
      <c r="B269" t="s">
        <v>169</v>
      </c>
      <c r="C269" t="s">
        <v>613</v>
      </c>
    </row>
    <row r="270" spans="1:3" x14ac:dyDescent="0.25">
      <c r="A270">
        <v>269</v>
      </c>
      <c r="B270" t="s">
        <v>293</v>
      </c>
      <c r="C270" t="s">
        <v>614</v>
      </c>
    </row>
    <row r="271" spans="1:3" x14ac:dyDescent="0.25">
      <c r="A271">
        <v>270</v>
      </c>
      <c r="B271" t="s">
        <v>307</v>
      </c>
      <c r="C271" t="s">
        <v>615</v>
      </c>
    </row>
    <row r="272" spans="1:3" x14ac:dyDescent="0.25">
      <c r="A272">
        <v>271</v>
      </c>
      <c r="B272" t="s">
        <v>147</v>
      </c>
      <c r="C272" t="s">
        <v>616</v>
      </c>
    </row>
    <row r="273" spans="1:3" x14ac:dyDescent="0.25">
      <c r="A273">
        <v>272</v>
      </c>
      <c r="B273" t="s">
        <v>137</v>
      </c>
      <c r="C273" t="s">
        <v>617</v>
      </c>
    </row>
    <row r="274" spans="1:3" x14ac:dyDescent="0.25">
      <c r="A274">
        <v>273</v>
      </c>
      <c r="B274" t="s">
        <v>153</v>
      </c>
      <c r="C274" t="s">
        <v>618</v>
      </c>
    </row>
    <row r="275" spans="1:3" x14ac:dyDescent="0.25">
      <c r="A275">
        <v>274</v>
      </c>
      <c r="B275" t="s">
        <v>301</v>
      </c>
      <c r="C275" t="s">
        <v>619</v>
      </c>
    </row>
    <row r="276" spans="1:3" x14ac:dyDescent="0.25">
      <c r="A276">
        <v>275</v>
      </c>
      <c r="B276" t="s">
        <v>172</v>
      </c>
      <c r="C276" t="s">
        <v>620</v>
      </c>
    </row>
    <row r="277" spans="1:3" x14ac:dyDescent="0.25">
      <c r="A277">
        <v>276</v>
      </c>
      <c r="B277" t="s">
        <v>173</v>
      </c>
      <c r="C277" t="s">
        <v>621</v>
      </c>
    </row>
    <row r="278" spans="1:3" x14ac:dyDescent="0.25">
      <c r="A278">
        <v>277</v>
      </c>
      <c r="B278" t="s">
        <v>174</v>
      </c>
      <c r="C278" t="s">
        <v>622</v>
      </c>
    </row>
    <row r="279" spans="1:3" x14ac:dyDescent="0.25">
      <c r="A279">
        <v>278</v>
      </c>
      <c r="B279" t="s">
        <v>179</v>
      </c>
      <c r="C279" t="s">
        <v>623</v>
      </c>
    </row>
    <row r="280" spans="1:3" x14ac:dyDescent="0.25">
      <c r="A280">
        <v>279</v>
      </c>
      <c r="B280" t="s">
        <v>132</v>
      </c>
      <c r="C280" t="s">
        <v>624</v>
      </c>
    </row>
    <row r="281" spans="1:3" x14ac:dyDescent="0.25">
      <c r="A281">
        <v>280</v>
      </c>
      <c r="B281" t="s">
        <v>135</v>
      </c>
      <c r="C281" t="s">
        <v>625</v>
      </c>
    </row>
    <row r="282" spans="1:3" x14ac:dyDescent="0.25">
      <c r="A282">
        <v>281</v>
      </c>
      <c r="B282" t="s">
        <v>317</v>
      </c>
      <c r="C282" t="s">
        <v>626</v>
      </c>
    </row>
    <row r="283" spans="1:3" x14ac:dyDescent="0.25">
      <c r="A283">
        <v>282</v>
      </c>
      <c r="B283" t="s">
        <v>177</v>
      </c>
      <c r="C283" t="s">
        <v>627</v>
      </c>
    </row>
    <row r="284" spans="1:3" x14ac:dyDescent="0.25">
      <c r="A284">
        <v>283</v>
      </c>
      <c r="B284" t="s">
        <v>178</v>
      </c>
      <c r="C284" t="s">
        <v>628</v>
      </c>
    </row>
    <row r="285" spans="1:3" x14ac:dyDescent="0.25">
      <c r="A285">
        <v>284</v>
      </c>
      <c r="B285" t="s">
        <v>310</v>
      </c>
      <c r="C285" t="s">
        <v>629</v>
      </c>
    </row>
    <row r="286" spans="1:3" x14ac:dyDescent="0.25">
      <c r="A286">
        <v>285</v>
      </c>
      <c r="B286" t="s">
        <v>311</v>
      </c>
      <c r="C286" t="s">
        <v>630</v>
      </c>
    </row>
    <row r="287" spans="1:3" x14ac:dyDescent="0.25">
      <c r="A287">
        <v>286</v>
      </c>
      <c r="B287" t="s">
        <v>142</v>
      </c>
      <c r="C287" t="s">
        <v>631</v>
      </c>
    </row>
    <row r="288" spans="1:3" x14ac:dyDescent="0.25">
      <c r="A288">
        <v>287</v>
      </c>
      <c r="B288" t="s">
        <v>131</v>
      </c>
      <c r="C288" t="s">
        <v>632</v>
      </c>
    </row>
    <row r="289" spans="1:3" x14ac:dyDescent="0.25">
      <c r="A289">
        <v>288</v>
      </c>
      <c r="B289" t="s">
        <v>313</v>
      </c>
      <c r="C289" t="s">
        <v>633</v>
      </c>
    </row>
    <row r="290" spans="1:3" x14ac:dyDescent="0.25">
      <c r="A290">
        <v>289</v>
      </c>
      <c r="B290" t="s">
        <v>161</v>
      </c>
      <c r="C290" t="s">
        <v>634</v>
      </c>
    </row>
    <row r="291" spans="1:3" x14ac:dyDescent="0.25">
      <c r="A291">
        <v>290</v>
      </c>
      <c r="B291" t="s">
        <v>151</v>
      </c>
      <c r="C291" t="s">
        <v>635</v>
      </c>
    </row>
    <row r="292" spans="1:3" x14ac:dyDescent="0.25">
      <c r="A292">
        <v>291</v>
      </c>
      <c r="B292" t="s">
        <v>300</v>
      </c>
      <c r="C292" t="s">
        <v>636</v>
      </c>
    </row>
    <row r="293" spans="1:3" x14ac:dyDescent="0.25">
      <c r="A293">
        <v>292</v>
      </c>
      <c r="B293" t="s">
        <v>171</v>
      </c>
      <c r="C293" t="s">
        <v>637</v>
      </c>
    </row>
    <row r="294" spans="1:3" x14ac:dyDescent="0.25">
      <c r="A294">
        <v>293</v>
      </c>
      <c r="B294" t="s">
        <v>320</v>
      </c>
      <c r="C294" t="s">
        <v>638</v>
      </c>
    </row>
    <row r="295" spans="1:3" x14ac:dyDescent="0.25">
      <c r="A295">
        <v>294</v>
      </c>
      <c r="B295" t="s">
        <v>134</v>
      </c>
      <c r="C295" t="s">
        <v>639</v>
      </c>
    </row>
    <row r="296" spans="1:3" x14ac:dyDescent="0.25">
      <c r="A296">
        <v>295</v>
      </c>
      <c r="B296" t="s">
        <v>156</v>
      </c>
      <c r="C296" t="s">
        <v>640</v>
      </c>
    </row>
    <row r="297" spans="1:3" x14ac:dyDescent="0.25">
      <c r="A297">
        <v>296</v>
      </c>
      <c r="B297" t="s">
        <v>303</v>
      </c>
      <c r="C297" t="s">
        <v>641</v>
      </c>
    </row>
    <row r="298" spans="1:3" x14ac:dyDescent="0.25">
      <c r="A298">
        <v>297</v>
      </c>
      <c r="B298" t="s">
        <v>136</v>
      </c>
      <c r="C298" t="s">
        <v>642</v>
      </c>
    </row>
    <row r="299" spans="1:3" x14ac:dyDescent="0.25">
      <c r="A299">
        <v>298</v>
      </c>
      <c r="B299" t="s">
        <v>316</v>
      </c>
      <c r="C299" t="s">
        <v>643</v>
      </c>
    </row>
    <row r="300" spans="1:3" x14ac:dyDescent="0.25">
      <c r="A300">
        <v>299</v>
      </c>
      <c r="B300" t="s">
        <v>298</v>
      </c>
      <c r="C300" t="s">
        <v>644</v>
      </c>
    </row>
    <row r="301" spans="1:3" x14ac:dyDescent="0.25">
      <c r="A301">
        <v>300</v>
      </c>
      <c r="B301" t="s">
        <v>319</v>
      </c>
      <c r="C301" t="s">
        <v>645</v>
      </c>
    </row>
    <row r="302" spans="1:3" x14ac:dyDescent="0.25">
      <c r="A302">
        <v>301</v>
      </c>
      <c r="B302" t="s">
        <v>314</v>
      </c>
      <c r="C302" t="s">
        <v>646</v>
      </c>
    </row>
    <row r="303" spans="1:3" x14ac:dyDescent="0.25">
      <c r="A303">
        <v>302</v>
      </c>
      <c r="B303" t="s">
        <v>294</v>
      </c>
      <c r="C303" t="s">
        <v>647</v>
      </c>
    </row>
    <row r="304" spans="1:3" x14ac:dyDescent="0.25">
      <c r="A304">
        <v>303</v>
      </c>
      <c r="B304" t="s">
        <v>302</v>
      </c>
      <c r="C304" t="s">
        <v>648</v>
      </c>
    </row>
    <row r="305" spans="1:3" x14ac:dyDescent="0.25">
      <c r="A305">
        <v>304</v>
      </c>
      <c r="B305" t="s">
        <v>155</v>
      </c>
      <c r="C305" t="s">
        <v>649</v>
      </c>
    </row>
    <row r="306" spans="1:3" x14ac:dyDescent="0.25">
      <c r="A306">
        <v>305</v>
      </c>
      <c r="B306" t="s">
        <v>144</v>
      </c>
      <c r="C306" t="s">
        <v>650</v>
      </c>
    </row>
    <row r="307" spans="1:3" x14ac:dyDescent="0.25">
      <c r="A307">
        <v>306</v>
      </c>
      <c r="B307" t="s">
        <v>308</v>
      </c>
      <c r="C307" t="s">
        <v>651</v>
      </c>
    </row>
    <row r="308" spans="1:3" x14ac:dyDescent="0.25">
      <c r="A308">
        <v>307</v>
      </c>
      <c r="B308" t="s">
        <v>295</v>
      </c>
      <c r="C308" t="s">
        <v>652</v>
      </c>
    </row>
    <row r="309" spans="1:3" x14ac:dyDescent="0.25">
      <c r="A309">
        <v>308</v>
      </c>
      <c r="B309" t="s">
        <v>148</v>
      </c>
      <c r="C309" t="s">
        <v>653</v>
      </c>
    </row>
    <row r="310" spans="1:3" x14ac:dyDescent="0.25">
      <c r="A310">
        <v>309</v>
      </c>
      <c r="B310" t="s">
        <v>296</v>
      </c>
      <c r="C310" t="s">
        <v>654</v>
      </c>
    </row>
    <row r="311" spans="1:3" x14ac:dyDescent="0.25">
      <c r="A311">
        <v>310</v>
      </c>
      <c r="B311" t="s">
        <v>166</v>
      </c>
      <c r="C311" t="s">
        <v>655</v>
      </c>
    </row>
    <row r="312" spans="1:3" x14ac:dyDescent="0.25">
      <c r="A312">
        <v>311</v>
      </c>
      <c r="B312" t="s">
        <v>288</v>
      </c>
      <c r="C312" t="s">
        <v>656</v>
      </c>
    </row>
    <row r="313" spans="1:3" x14ac:dyDescent="0.25">
      <c r="A313">
        <v>312</v>
      </c>
      <c r="B313" t="s">
        <v>140</v>
      </c>
      <c r="C313" t="s">
        <v>657</v>
      </c>
    </row>
    <row r="314" spans="1:3" x14ac:dyDescent="0.25">
      <c r="A314">
        <v>313</v>
      </c>
      <c r="B314" t="s">
        <v>149</v>
      </c>
      <c r="C314" t="s">
        <v>658</v>
      </c>
    </row>
    <row r="315" spans="1:3" x14ac:dyDescent="0.25">
      <c r="A315">
        <v>314</v>
      </c>
      <c r="B315" t="s">
        <v>318</v>
      </c>
      <c r="C315" t="s">
        <v>659</v>
      </c>
    </row>
    <row r="316" spans="1:3" x14ac:dyDescent="0.25">
      <c r="A316">
        <v>315</v>
      </c>
      <c r="B316" t="s">
        <v>158</v>
      </c>
      <c r="C316" t="s">
        <v>660</v>
      </c>
    </row>
    <row r="317" spans="1:3" x14ac:dyDescent="0.25">
      <c r="A317">
        <v>316</v>
      </c>
      <c r="B317" t="s">
        <v>321</v>
      </c>
      <c r="C317" t="s">
        <v>661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6015F5-53A8-47D4-96A3-B4DF16D45EBF}">
  <dimension ref="A1:D143"/>
  <sheetViews>
    <sheetView topLeftCell="A117" workbookViewId="0">
      <selection activeCell="D2" sqref="A2:D143"/>
    </sheetView>
  </sheetViews>
  <sheetFormatPr defaultColWidth="8.5703125" defaultRowHeight="15" x14ac:dyDescent="0.25"/>
  <cols>
    <col min="1" max="1" width="5.5703125" bestFit="1" customWidth="1"/>
    <col min="2" max="2" width="33.7109375" bestFit="1" customWidth="1"/>
    <col min="3" max="3" width="34.7109375" bestFit="1" customWidth="1"/>
    <col min="4" max="4" width="24.28515625" bestFit="1" customWidth="1"/>
  </cols>
  <sheetData>
    <row r="1" spans="1:4" s="8" customFormat="1" x14ac:dyDescent="0.25">
      <c r="A1" s="7" t="s">
        <v>0</v>
      </c>
      <c r="B1" s="7" t="s">
        <v>1</v>
      </c>
      <c r="C1" s="7" t="s">
        <v>2</v>
      </c>
      <c r="D1" s="7" t="s">
        <v>3</v>
      </c>
    </row>
    <row r="2" spans="1:4" x14ac:dyDescent="0.25">
      <c r="A2" s="1">
        <v>1</v>
      </c>
      <c r="B2" s="2" t="s">
        <v>180</v>
      </c>
      <c r="C2" s="5" t="s">
        <v>181</v>
      </c>
      <c r="D2" s="3">
        <v>-110356</v>
      </c>
    </row>
    <row r="3" spans="1:4" x14ac:dyDescent="0.25">
      <c r="A3" s="1">
        <v>2</v>
      </c>
      <c r="B3" s="2" t="s">
        <v>180</v>
      </c>
      <c r="C3" s="5" t="s">
        <v>182</v>
      </c>
      <c r="D3" s="3">
        <v>741377</v>
      </c>
    </row>
    <row r="4" spans="1:4" x14ac:dyDescent="0.25">
      <c r="A4" s="1">
        <v>3</v>
      </c>
      <c r="B4" s="2" t="s">
        <v>180</v>
      </c>
      <c r="C4" s="5" t="s">
        <v>183</v>
      </c>
      <c r="D4" s="3">
        <v>-59774</v>
      </c>
    </row>
    <row r="5" spans="1:4" x14ac:dyDescent="0.25">
      <c r="A5" s="1">
        <v>4</v>
      </c>
      <c r="B5" s="2" t="s">
        <v>180</v>
      </c>
      <c r="C5" s="5" t="s">
        <v>184</v>
      </c>
      <c r="D5" s="3">
        <v>-78622</v>
      </c>
    </row>
    <row r="6" spans="1:4" x14ac:dyDescent="0.25">
      <c r="A6" s="1">
        <v>5</v>
      </c>
      <c r="B6" s="2" t="s">
        <v>180</v>
      </c>
      <c r="C6" s="5" t="s">
        <v>185</v>
      </c>
      <c r="D6" s="3">
        <v>-11896</v>
      </c>
    </row>
    <row r="7" spans="1:4" x14ac:dyDescent="0.25">
      <c r="A7" s="1">
        <v>6</v>
      </c>
      <c r="B7" s="2" t="s">
        <v>180</v>
      </c>
      <c r="C7" s="5" t="s">
        <v>186</v>
      </c>
      <c r="D7" s="3">
        <v>-70546</v>
      </c>
    </row>
    <row r="8" spans="1:4" x14ac:dyDescent="0.25">
      <c r="A8" s="1">
        <v>7</v>
      </c>
      <c r="B8" s="2" t="s">
        <v>180</v>
      </c>
      <c r="C8" s="5" t="s">
        <v>187</v>
      </c>
      <c r="D8" s="3">
        <v>-58922</v>
      </c>
    </row>
    <row r="9" spans="1:4" x14ac:dyDescent="0.25">
      <c r="A9" s="1">
        <v>8</v>
      </c>
      <c r="B9" s="2" t="s">
        <v>180</v>
      </c>
      <c r="C9" s="5" t="s">
        <v>188</v>
      </c>
      <c r="D9" s="3">
        <v>-43279</v>
      </c>
    </row>
    <row r="10" spans="1:4" x14ac:dyDescent="0.25">
      <c r="A10" s="1">
        <v>9</v>
      </c>
      <c r="B10" s="2" t="s">
        <v>180</v>
      </c>
      <c r="C10" s="5" t="s">
        <v>189</v>
      </c>
      <c r="D10" s="3">
        <v>30966</v>
      </c>
    </row>
    <row r="11" spans="1:4" x14ac:dyDescent="0.25">
      <c r="A11" s="1">
        <v>10</v>
      </c>
      <c r="B11" s="2" t="s">
        <v>180</v>
      </c>
      <c r="C11" s="5" t="s">
        <v>190</v>
      </c>
      <c r="D11" s="3">
        <v>591289</v>
      </c>
    </row>
    <row r="12" spans="1:4" x14ac:dyDescent="0.25">
      <c r="A12" s="1">
        <v>11</v>
      </c>
      <c r="B12" s="2" t="s">
        <v>180</v>
      </c>
      <c r="C12" s="5" t="s">
        <v>191</v>
      </c>
      <c r="D12" s="3">
        <v>26977</v>
      </c>
    </row>
    <row r="13" spans="1:4" x14ac:dyDescent="0.25">
      <c r="A13" s="1">
        <v>12</v>
      </c>
      <c r="B13" s="2" t="s">
        <v>180</v>
      </c>
      <c r="C13" s="5" t="s">
        <v>192</v>
      </c>
      <c r="D13" s="3">
        <v>-55254</v>
      </c>
    </row>
    <row r="14" spans="1:4" x14ac:dyDescent="0.25">
      <c r="A14" s="1">
        <v>13</v>
      </c>
      <c r="B14" s="2" t="s">
        <v>180</v>
      </c>
      <c r="C14" s="5" t="s">
        <v>193</v>
      </c>
      <c r="D14" s="3">
        <v>46389</v>
      </c>
    </row>
    <row r="15" spans="1:4" x14ac:dyDescent="0.25">
      <c r="A15" s="1">
        <v>14</v>
      </c>
      <c r="B15" s="2" t="s">
        <v>180</v>
      </c>
      <c r="C15" s="5" t="s">
        <v>194</v>
      </c>
      <c r="D15" s="3">
        <v>-136356</v>
      </c>
    </row>
    <row r="16" spans="1:4" x14ac:dyDescent="0.25">
      <c r="A16" s="1">
        <v>15</v>
      </c>
      <c r="B16" s="2" t="s">
        <v>180</v>
      </c>
      <c r="C16" s="5" t="s">
        <v>195</v>
      </c>
      <c r="D16" s="3">
        <v>256237</v>
      </c>
    </row>
    <row r="17" spans="1:4" x14ac:dyDescent="0.25">
      <c r="A17" s="1">
        <v>16</v>
      </c>
      <c r="B17" s="2" t="s">
        <v>180</v>
      </c>
      <c r="C17" s="5" t="s">
        <v>196</v>
      </c>
      <c r="D17" s="3">
        <v>-17630</v>
      </c>
    </row>
    <row r="18" spans="1:4" x14ac:dyDescent="0.25">
      <c r="A18" s="1">
        <v>17</v>
      </c>
      <c r="B18" s="2" t="s">
        <v>180</v>
      </c>
      <c r="C18" s="5" t="s">
        <v>197</v>
      </c>
      <c r="D18" s="3">
        <v>-22786</v>
      </c>
    </row>
    <row r="19" spans="1:4" x14ac:dyDescent="0.25">
      <c r="A19" s="1">
        <v>18</v>
      </c>
      <c r="B19" s="2" t="s">
        <v>180</v>
      </c>
      <c r="C19" s="5" t="s">
        <v>198</v>
      </c>
      <c r="D19" s="3">
        <v>-46430</v>
      </c>
    </row>
    <row r="20" spans="1:4" x14ac:dyDescent="0.25">
      <c r="A20" s="1">
        <v>19</v>
      </c>
      <c r="B20" s="2" t="s">
        <v>180</v>
      </c>
      <c r="C20" s="5" t="s">
        <v>199</v>
      </c>
      <c r="D20" s="3">
        <v>538688</v>
      </c>
    </row>
    <row r="21" spans="1:4" x14ac:dyDescent="0.25">
      <c r="A21" s="1">
        <v>20</v>
      </c>
      <c r="B21" s="2" t="s">
        <v>180</v>
      </c>
      <c r="C21" s="5" t="s">
        <v>200</v>
      </c>
      <c r="D21" s="3">
        <v>46912</v>
      </c>
    </row>
    <row r="22" spans="1:4" x14ac:dyDescent="0.25">
      <c r="A22" s="1">
        <v>21</v>
      </c>
      <c r="B22" s="2" t="s">
        <v>180</v>
      </c>
      <c r="C22" s="5" t="s">
        <v>201</v>
      </c>
      <c r="D22" s="3">
        <v>-71815</v>
      </c>
    </row>
    <row r="23" spans="1:4" x14ac:dyDescent="0.25">
      <c r="A23" s="1">
        <v>22</v>
      </c>
      <c r="B23" s="2" t="s">
        <v>180</v>
      </c>
      <c r="C23" s="5" t="s">
        <v>202</v>
      </c>
      <c r="D23" s="3">
        <v>-82977</v>
      </c>
    </row>
    <row r="24" spans="1:4" x14ac:dyDescent="0.25">
      <c r="A24" s="1">
        <v>23</v>
      </c>
      <c r="B24" s="2" t="s">
        <v>180</v>
      </c>
      <c r="C24" s="5" t="s">
        <v>203</v>
      </c>
      <c r="D24" s="3">
        <v>-48407</v>
      </c>
    </row>
    <row r="25" spans="1:4" x14ac:dyDescent="0.25">
      <c r="A25" s="1">
        <v>24</v>
      </c>
      <c r="B25" s="2" t="s">
        <v>180</v>
      </c>
      <c r="C25" s="5" t="s">
        <v>204</v>
      </c>
      <c r="D25" s="3">
        <v>12073</v>
      </c>
    </row>
    <row r="26" spans="1:4" x14ac:dyDescent="0.25">
      <c r="A26" s="1">
        <v>25</v>
      </c>
      <c r="B26" s="2" t="s">
        <v>180</v>
      </c>
      <c r="C26" s="5" t="s">
        <v>205</v>
      </c>
      <c r="D26" s="3">
        <v>24231</v>
      </c>
    </row>
    <row r="27" spans="1:4" x14ac:dyDescent="0.25">
      <c r="A27" s="1">
        <v>26</v>
      </c>
      <c r="B27" s="2" t="s">
        <v>180</v>
      </c>
      <c r="C27" s="5" t="s">
        <v>206</v>
      </c>
      <c r="D27" s="3">
        <v>-14971</v>
      </c>
    </row>
    <row r="28" spans="1:4" x14ac:dyDescent="0.25">
      <c r="A28" s="1">
        <v>27</v>
      </c>
      <c r="B28" s="2" t="s">
        <v>180</v>
      </c>
      <c r="C28" s="5" t="s">
        <v>207</v>
      </c>
      <c r="D28" s="3">
        <v>-46812</v>
      </c>
    </row>
    <row r="29" spans="1:4" x14ac:dyDescent="0.25">
      <c r="A29" s="1">
        <v>28</v>
      </c>
      <c r="B29" s="2" t="s">
        <v>180</v>
      </c>
      <c r="C29" s="5" t="s">
        <v>208</v>
      </c>
      <c r="D29" s="3">
        <v>-131627</v>
      </c>
    </row>
    <row r="30" spans="1:4" x14ac:dyDescent="0.25">
      <c r="A30" s="1">
        <v>29</v>
      </c>
      <c r="B30" s="2" t="s">
        <v>180</v>
      </c>
      <c r="C30" s="5" t="s">
        <v>209</v>
      </c>
      <c r="D30" s="3">
        <v>-41451</v>
      </c>
    </row>
    <row r="31" spans="1:4" x14ac:dyDescent="0.25">
      <c r="A31" s="1">
        <v>30</v>
      </c>
      <c r="B31" s="2" t="s">
        <v>180</v>
      </c>
      <c r="C31" s="5" t="s">
        <v>210</v>
      </c>
      <c r="D31" s="3">
        <v>279114</v>
      </c>
    </row>
    <row r="32" spans="1:4" x14ac:dyDescent="0.25">
      <c r="A32" s="1">
        <v>31</v>
      </c>
      <c r="B32" s="2" t="s">
        <v>180</v>
      </c>
      <c r="C32" s="5" t="s">
        <v>211</v>
      </c>
      <c r="D32" s="3">
        <v>13776</v>
      </c>
    </row>
    <row r="33" spans="1:4" x14ac:dyDescent="0.25">
      <c r="A33" s="1">
        <v>32</v>
      </c>
      <c r="B33" s="2" t="s">
        <v>180</v>
      </c>
      <c r="C33" s="5" t="s">
        <v>212</v>
      </c>
      <c r="D33" s="3">
        <v>-28081</v>
      </c>
    </row>
    <row r="34" spans="1:4" x14ac:dyDescent="0.25">
      <c r="A34" s="1">
        <v>33</v>
      </c>
      <c r="B34" s="2" t="s">
        <v>180</v>
      </c>
      <c r="C34" s="5" t="s">
        <v>213</v>
      </c>
      <c r="D34" s="3">
        <v>-40665</v>
      </c>
    </row>
    <row r="35" spans="1:4" x14ac:dyDescent="0.25">
      <c r="A35" s="1">
        <v>34</v>
      </c>
      <c r="B35" s="2" t="s">
        <v>180</v>
      </c>
      <c r="C35" s="5" t="s">
        <v>214</v>
      </c>
      <c r="D35" s="3">
        <v>-4644</v>
      </c>
    </row>
    <row r="36" spans="1:4" x14ac:dyDescent="0.25">
      <c r="A36" s="1">
        <v>35</v>
      </c>
      <c r="B36" s="2" t="s">
        <v>180</v>
      </c>
      <c r="C36" s="5" t="s">
        <v>215</v>
      </c>
      <c r="D36" s="3">
        <v>-22774</v>
      </c>
    </row>
    <row r="37" spans="1:4" x14ac:dyDescent="0.25">
      <c r="A37" s="1">
        <v>36</v>
      </c>
      <c r="B37" s="2" t="s">
        <v>180</v>
      </c>
      <c r="C37" s="5" t="s">
        <v>216</v>
      </c>
      <c r="D37" s="3">
        <v>-30882</v>
      </c>
    </row>
    <row r="38" spans="1:4" x14ac:dyDescent="0.25">
      <c r="A38" s="1">
        <v>37</v>
      </c>
      <c r="B38" s="2" t="s">
        <v>180</v>
      </c>
      <c r="C38" s="5" t="s">
        <v>217</v>
      </c>
      <c r="D38" s="3">
        <v>-17981</v>
      </c>
    </row>
    <row r="39" spans="1:4" x14ac:dyDescent="0.25">
      <c r="A39" s="1">
        <v>38</v>
      </c>
      <c r="B39" s="2" t="s">
        <v>180</v>
      </c>
      <c r="C39" s="5" t="s">
        <v>218</v>
      </c>
      <c r="D39" s="3">
        <v>-21865</v>
      </c>
    </row>
    <row r="40" spans="1:4" x14ac:dyDescent="0.25">
      <c r="A40" s="1">
        <v>39</v>
      </c>
      <c r="B40" s="2" t="s">
        <v>180</v>
      </c>
      <c r="C40" s="5" t="s">
        <v>219</v>
      </c>
      <c r="D40" s="3">
        <v>634872</v>
      </c>
    </row>
    <row r="41" spans="1:4" x14ac:dyDescent="0.25">
      <c r="A41" s="1">
        <v>40</v>
      </c>
      <c r="B41" s="2" t="s">
        <v>180</v>
      </c>
      <c r="C41" s="5" t="s">
        <v>220</v>
      </c>
      <c r="D41" s="3">
        <v>-41742</v>
      </c>
    </row>
    <row r="42" spans="1:4" x14ac:dyDescent="0.25">
      <c r="A42" s="1">
        <v>41</v>
      </c>
      <c r="B42" s="2" t="s">
        <v>180</v>
      </c>
      <c r="C42" s="5" t="s">
        <v>221</v>
      </c>
      <c r="D42" s="3">
        <v>77</v>
      </c>
    </row>
    <row r="43" spans="1:4" x14ac:dyDescent="0.25">
      <c r="A43" s="1">
        <v>42</v>
      </c>
      <c r="B43" s="2" t="s">
        <v>180</v>
      </c>
      <c r="C43" s="5" t="s">
        <v>222</v>
      </c>
      <c r="D43" s="3">
        <v>-12156</v>
      </c>
    </row>
    <row r="44" spans="1:4" x14ac:dyDescent="0.25">
      <c r="A44" s="1">
        <v>43</v>
      </c>
      <c r="B44" s="2" t="s">
        <v>180</v>
      </c>
      <c r="C44" s="5" t="s">
        <v>223</v>
      </c>
      <c r="D44" s="3">
        <v>-55290</v>
      </c>
    </row>
    <row r="45" spans="1:4" x14ac:dyDescent="0.25">
      <c r="A45" s="1">
        <v>44</v>
      </c>
      <c r="B45" s="2" t="s">
        <v>180</v>
      </c>
      <c r="C45" s="5" t="s">
        <v>224</v>
      </c>
      <c r="D45" s="3">
        <v>-48697</v>
      </c>
    </row>
    <row r="46" spans="1:4" x14ac:dyDescent="0.25">
      <c r="A46" s="1">
        <v>45</v>
      </c>
      <c r="B46" s="2" t="s">
        <v>180</v>
      </c>
      <c r="C46" s="5" t="s">
        <v>225</v>
      </c>
      <c r="D46" s="3">
        <v>-92057</v>
      </c>
    </row>
    <row r="47" spans="1:4" x14ac:dyDescent="0.25">
      <c r="A47" s="1">
        <v>46</v>
      </c>
      <c r="B47" s="2" t="s">
        <v>180</v>
      </c>
      <c r="C47" s="5" t="s">
        <v>226</v>
      </c>
      <c r="D47" s="3">
        <v>-248570</v>
      </c>
    </row>
    <row r="48" spans="1:4" x14ac:dyDescent="0.25">
      <c r="A48" s="1">
        <v>47</v>
      </c>
      <c r="B48" s="2" t="s">
        <v>180</v>
      </c>
      <c r="C48" s="5" t="s">
        <v>227</v>
      </c>
      <c r="D48" s="3">
        <v>-46475</v>
      </c>
    </row>
    <row r="49" spans="1:4" x14ac:dyDescent="0.25">
      <c r="A49" s="1">
        <v>48</v>
      </c>
      <c r="B49" s="2" t="s">
        <v>180</v>
      </c>
      <c r="C49" s="5" t="s">
        <v>228</v>
      </c>
      <c r="D49" s="3">
        <v>477949</v>
      </c>
    </row>
    <row r="50" spans="1:4" x14ac:dyDescent="0.25">
      <c r="A50" s="1">
        <v>49</v>
      </c>
      <c r="B50" s="2" t="s">
        <v>180</v>
      </c>
      <c r="C50" s="5" t="s">
        <v>229</v>
      </c>
      <c r="D50" s="3">
        <v>161359</v>
      </c>
    </row>
    <row r="51" spans="1:4" x14ac:dyDescent="0.25">
      <c r="A51" s="1">
        <v>50</v>
      </c>
      <c r="B51" s="2" t="s">
        <v>180</v>
      </c>
      <c r="C51" s="5" t="s">
        <v>230</v>
      </c>
      <c r="D51" s="3">
        <v>-11293</v>
      </c>
    </row>
    <row r="52" spans="1:4" x14ac:dyDescent="0.25">
      <c r="A52" s="1">
        <v>51</v>
      </c>
      <c r="B52" s="2" t="s">
        <v>180</v>
      </c>
      <c r="C52" s="5" t="s">
        <v>231</v>
      </c>
      <c r="D52" s="3">
        <v>-10599</v>
      </c>
    </row>
    <row r="53" spans="1:4" x14ac:dyDescent="0.25">
      <c r="A53" s="1">
        <v>52</v>
      </c>
      <c r="B53" s="2" t="s">
        <v>180</v>
      </c>
      <c r="C53" s="5" t="s">
        <v>232</v>
      </c>
      <c r="D53" s="3">
        <v>-25017</v>
      </c>
    </row>
    <row r="54" spans="1:4" x14ac:dyDescent="0.25">
      <c r="A54" s="1">
        <v>53</v>
      </c>
      <c r="B54" s="2" t="s">
        <v>180</v>
      </c>
      <c r="C54" s="5" t="s">
        <v>233</v>
      </c>
      <c r="D54" s="3">
        <v>23743</v>
      </c>
    </row>
    <row r="55" spans="1:4" x14ac:dyDescent="0.25">
      <c r="A55" s="1">
        <v>54</v>
      </c>
      <c r="B55" s="2" t="s">
        <v>180</v>
      </c>
      <c r="C55" s="5" t="s">
        <v>234</v>
      </c>
      <c r="D55" s="3">
        <v>-7040</v>
      </c>
    </row>
    <row r="56" spans="1:4" x14ac:dyDescent="0.25">
      <c r="A56" s="1">
        <v>55</v>
      </c>
      <c r="B56" s="2" t="s">
        <v>180</v>
      </c>
      <c r="C56" s="5" t="s">
        <v>235</v>
      </c>
      <c r="D56" s="3">
        <v>-35359</v>
      </c>
    </row>
    <row r="57" spans="1:4" x14ac:dyDescent="0.25">
      <c r="A57" s="1">
        <v>56</v>
      </c>
      <c r="B57" s="2" t="s">
        <v>180</v>
      </c>
      <c r="C57" s="5" t="s">
        <v>236</v>
      </c>
      <c r="D57" s="3">
        <v>-16913</v>
      </c>
    </row>
    <row r="58" spans="1:4" x14ac:dyDescent="0.25">
      <c r="A58" s="1">
        <v>57</v>
      </c>
      <c r="B58" s="2" t="s">
        <v>180</v>
      </c>
      <c r="C58" s="5" t="s">
        <v>237</v>
      </c>
      <c r="D58" s="3">
        <v>-79511</v>
      </c>
    </row>
    <row r="59" spans="1:4" x14ac:dyDescent="0.25">
      <c r="A59" s="1">
        <v>58</v>
      </c>
      <c r="B59" s="2" t="s">
        <v>180</v>
      </c>
      <c r="C59" s="5" t="s">
        <v>238</v>
      </c>
      <c r="D59" s="3">
        <v>-18905</v>
      </c>
    </row>
    <row r="60" spans="1:4" x14ac:dyDescent="0.25">
      <c r="A60" s="1">
        <v>59</v>
      </c>
      <c r="B60" s="2" t="s">
        <v>180</v>
      </c>
      <c r="C60" s="5" t="s">
        <v>239</v>
      </c>
      <c r="D60" s="3">
        <v>-35457</v>
      </c>
    </row>
    <row r="61" spans="1:4" x14ac:dyDescent="0.25">
      <c r="A61" s="1">
        <v>60</v>
      </c>
      <c r="B61" s="2" t="s">
        <v>180</v>
      </c>
      <c r="C61" s="5" t="s">
        <v>240</v>
      </c>
      <c r="D61" s="3">
        <v>730928</v>
      </c>
    </row>
    <row r="62" spans="1:4" x14ac:dyDescent="0.25">
      <c r="A62" s="1">
        <v>61</v>
      </c>
      <c r="B62" s="2" t="s">
        <v>180</v>
      </c>
      <c r="C62" s="5" t="s">
        <v>241</v>
      </c>
      <c r="D62" s="3">
        <v>-32056</v>
      </c>
    </row>
    <row r="63" spans="1:4" x14ac:dyDescent="0.25">
      <c r="A63" s="1">
        <v>62</v>
      </c>
      <c r="B63" s="2" t="s">
        <v>180</v>
      </c>
      <c r="C63" s="5" t="s">
        <v>242</v>
      </c>
      <c r="D63" s="3">
        <v>-30221</v>
      </c>
    </row>
    <row r="64" spans="1:4" x14ac:dyDescent="0.25">
      <c r="A64" s="1">
        <v>63</v>
      </c>
      <c r="B64" s="2" t="s">
        <v>180</v>
      </c>
      <c r="C64" s="5" t="s">
        <v>243</v>
      </c>
      <c r="D64" s="3">
        <v>-23509</v>
      </c>
    </row>
    <row r="65" spans="1:4" x14ac:dyDescent="0.25">
      <c r="A65" s="1">
        <v>64</v>
      </c>
      <c r="B65" s="2" t="s">
        <v>180</v>
      </c>
      <c r="C65" s="5" t="s">
        <v>244</v>
      </c>
      <c r="D65" s="3">
        <v>-12044</v>
      </c>
    </row>
    <row r="66" spans="1:4" x14ac:dyDescent="0.25">
      <c r="A66" s="1">
        <v>65</v>
      </c>
      <c r="B66" s="2" t="s">
        <v>180</v>
      </c>
      <c r="C66" s="5" t="s">
        <v>245</v>
      </c>
      <c r="D66" s="3">
        <v>-43245</v>
      </c>
    </row>
    <row r="67" spans="1:4" x14ac:dyDescent="0.25">
      <c r="A67" s="1">
        <v>66</v>
      </c>
      <c r="B67" s="2" t="s">
        <v>180</v>
      </c>
      <c r="C67" s="5" t="s">
        <v>246</v>
      </c>
      <c r="D67" s="3">
        <v>-16922</v>
      </c>
    </row>
    <row r="68" spans="1:4" x14ac:dyDescent="0.25">
      <c r="A68" s="1">
        <v>67</v>
      </c>
      <c r="B68" s="2" t="s">
        <v>180</v>
      </c>
      <c r="C68" s="5" t="s">
        <v>247</v>
      </c>
      <c r="D68" s="3">
        <v>-22337</v>
      </c>
    </row>
    <row r="69" spans="1:4" x14ac:dyDescent="0.25">
      <c r="A69" s="1">
        <v>68</v>
      </c>
      <c r="B69" s="2" t="s">
        <v>180</v>
      </c>
      <c r="C69" s="5" t="s">
        <v>248</v>
      </c>
      <c r="D69" s="3">
        <v>-5641</v>
      </c>
    </row>
    <row r="70" spans="1:4" x14ac:dyDescent="0.25">
      <c r="A70" s="1">
        <v>69</v>
      </c>
      <c r="B70" s="2" t="s">
        <v>180</v>
      </c>
      <c r="C70" s="5" t="s">
        <v>249</v>
      </c>
      <c r="D70" s="3">
        <v>-4344</v>
      </c>
    </row>
    <row r="71" spans="1:4" x14ac:dyDescent="0.25">
      <c r="A71" s="1">
        <v>70</v>
      </c>
      <c r="B71" s="2" t="s">
        <v>180</v>
      </c>
      <c r="C71" s="5" t="s">
        <v>250</v>
      </c>
      <c r="D71" s="3">
        <v>-44156</v>
      </c>
    </row>
    <row r="72" spans="1:4" x14ac:dyDescent="0.25">
      <c r="A72" s="1">
        <v>71</v>
      </c>
      <c r="B72" s="2" t="s">
        <v>180</v>
      </c>
      <c r="C72" s="5" t="s">
        <v>251</v>
      </c>
      <c r="D72" s="3">
        <v>-10591</v>
      </c>
    </row>
    <row r="73" spans="1:4" x14ac:dyDescent="0.25">
      <c r="A73" s="1">
        <v>72</v>
      </c>
      <c r="B73" s="2" t="s">
        <v>180</v>
      </c>
      <c r="C73" s="5" t="s">
        <v>252</v>
      </c>
      <c r="D73" s="3">
        <v>-29168</v>
      </c>
    </row>
    <row r="74" spans="1:4" x14ac:dyDescent="0.25">
      <c r="A74" s="1">
        <v>73</v>
      </c>
      <c r="B74" s="2" t="s">
        <v>180</v>
      </c>
      <c r="C74" s="5" t="s">
        <v>253</v>
      </c>
      <c r="D74" s="3">
        <v>201155</v>
      </c>
    </row>
    <row r="75" spans="1:4" x14ac:dyDescent="0.25">
      <c r="A75" s="1">
        <v>74</v>
      </c>
      <c r="B75" s="2" t="s">
        <v>180</v>
      </c>
      <c r="C75" s="5" t="s">
        <v>254</v>
      </c>
      <c r="D75" s="3">
        <v>-53422</v>
      </c>
    </row>
    <row r="76" spans="1:4" x14ac:dyDescent="0.25">
      <c r="A76" s="1">
        <v>75</v>
      </c>
      <c r="B76" s="2" t="s">
        <v>180</v>
      </c>
      <c r="C76" s="5" t="s">
        <v>255</v>
      </c>
      <c r="D76" s="3">
        <v>73940</v>
      </c>
    </row>
    <row r="77" spans="1:4" x14ac:dyDescent="0.25">
      <c r="A77" s="1">
        <v>76</v>
      </c>
      <c r="B77" s="2" t="s">
        <v>180</v>
      </c>
      <c r="C77" s="5" t="s">
        <v>256</v>
      </c>
      <c r="D77" s="3">
        <v>-25409</v>
      </c>
    </row>
    <row r="78" spans="1:4" x14ac:dyDescent="0.25">
      <c r="A78" s="1">
        <v>77</v>
      </c>
      <c r="B78" s="2" t="s">
        <v>180</v>
      </c>
      <c r="C78" s="5" t="s">
        <v>257</v>
      </c>
      <c r="D78" s="3">
        <v>-19716</v>
      </c>
    </row>
    <row r="79" spans="1:4" x14ac:dyDescent="0.25">
      <c r="A79" s="1">
        <v>78</v>
      </c>
      <c r="B79" s="2" t="s">
        <v>180</v>
      </c>
      <c r="C79" s="5" t="s">
        <v>258</v>
      </c>
      <c r="D79" s="3">
        <v>63230</v>
      </c>
    </row>
    <row r="80" spans="1:4" x14ac:dyDescent="0.25">
      <c r="A80" s="1">
        <v>79</v>
      </c>
      <c r="B80" s="2" t="s">
        <v>180</v>
      </c>
      <c r="C80" s="5" t="s">
        <v>259</v>
      </c>
      <c r="D80" s="3">
        <v>-14072</v>
      </c>
    </row>
    <row r="81" spans="1:4" x14ac:dyDescent="0.25">
      <c r="A81" s="1">
        <v>80</v>
      </c>
      <c r="B81" s="2" t="s">
        <v>180</v>
      </c>
      <c r="C81" s="5" t="s">
        <v>260</v>
      </c>
      <c r="D81" s="3">
        <v>-10631</v>
      </c>
    </row>
    <row r="82" spans="1:4" x14ac:dyDescent="0.25">
      <c r="A82" s="1">
        <v>81</v>
      </c>
      <c r="B82" s="2" t="s">
        <v>180</v>
      </c>
      <c r="C82" s="5" t="s">
        <v>261</v>
      </c>
      <c r="D82" s="3">
        <v>-6947</v>
      </c>
    </row>
    <row r="83" spans="1:4" x14ac:dyDescent="0.25">
      <c r="A83" s="1">
        <v>82</v>
      </c>
      <c r="B83" s="2" t="s">
        <v>180</v>
      </c>
      <c r="C83" s="5" t="s">
        <v>262</v>
      </c>
      <c r="D83" s="3">
        <v>24487</v>
      </c>
    </row>
    <row r="84" spans="1:4" x14ac:dyDescent="0.25">
      <c r="A84" s="1">
        <v>83</v>
      </c>
      <c r="B84" s="2" t="s">
        <v>180</v>
      </c>
      <c r="C84" s="5" t="s">
        <v>263</v>
      </c>
      <c r="D84" s="3">
        <v>-7061</v>
      </c>
    </row>
    <row r="85" spans="1:4" x14ac:dyDescent="0.25">
      <c r="A85" s="1">
        <v>84</v>
      </c>
      <c r="B85" s="2" t="s">
        <v>180</v>
      </c>
      <c r="C85" s="5" t="s">
        <v>264</v>
      </c>
      <c r="D85" s="3">
        <v>-2332</v>
      </c>
    </row>
    <row r="86" spans="1:4" x14ac:dyDescent="0.25">
      <c r="A86" s="1">
        <v>85</v>
      </c>
      <c r="B86" s="2" t="s">
        <v>180</v>
      </c>
      <c r="C86" s="5" t="s">
        <v>265</v>
      </c>
      <c r="D86" s="3">
        <v>6291</v>
      </c>
    </row>
    <row r="87" spans="1:4" x14ac:dyDescent="0.25">
      <c r="A87" s="1">
        <v>86</v>
      </c>
      <c r="B87" s="2" t="s">
        <v>180</v>
      </c>
      <c r="C87" s="5" t="s">
        <v>266</v>
      </c>
      <c r="D87" s="3">
        <v>-6827</v>
      </c>
    </row>
    <row r="88" spans="1:4" x14ac:dyDescent="0.25">
      <c r="A88" s="1">
        <v>87</v>
      </c>
      <c r="B88" s="2" t="s">
        <v>180</v>
      </c>
      <c r="C88" s="5" t="s">
        <v>267</v>
      </c>
      <c r="D88" s="3">
        <v>-12576</v>
      </c>
    </row>
    <row r="89" spans="1:4" x14ac:dyDescent="0.25">
      <c r="A89" s="1">
        <v>88</v>
      </c>
      <c r="B89" s="2" t="s">
        <v>180</v>
      </c>
      <c r="C89" s="5" t="s">
        <v>268</v>
      </c>
      <c r="D89" s="3">
        <v>-4278</v>
      </c>
    </row>
    <row r="90" spans="1:4" x14ac:dyDescent="0.25">
      <c r="A90" s="1">
        <v>89</v>
      </c>
      <c r="B90" s="2" t="s">
        <v>180</v>
      </c>
      <c r="C90" s="5" t="s">
        <v>269</v>
      </c>
      <c r="D90" s="3">
        <v>-31378</v>
      </c>
    </row>
    <row r="91" spans="1:4" x14ac:dyDescent="0.25">
      <c r="A91" s="1">
        <v>90</v>
      </c>
      <c r="B91" s="2" t="s">
        <v>180</v>
      </c>
      <c r="C91" s="5" t="s">
        <v>270</v>
      </c>
      <c r="D91" s="3">
        <v>-22626</v>
      </c>
    </row>
    <row r="92" spans="1:4" x14ac:dyDescent="0.25">
      <c r="A92" s="1">
        <v>91</v>
      </c>
      <c r="B92" s="2" t="s">
        <v>180</v>
      </c>
      <c r="C92" s="5" t="s">
        <v>271</v>
      </c>
      <c r="D92" s="3">
        <v>-3632</v>
      </c>
    </row>
    <row r="93" spans="1:4" x14ac:dyDescent="0.25">
      <c r="A93" s="1">
        <v>92</v>
      </c>
      <c r="B93" s="2" t="s">
        <v>180</v>
      </c>
      <c r="C93" s="5" t="s">
        <v>272</v>
      </c>
      <c r="D93" s="3">
        <v>-61499</v>
      </c>
    </row>
    <row r="94" spans="1:4" x14ac:dyDescent="0.25">
      <c r="A94" s="1">
        <v>93</v>
      </c>
      <c r="B94" s="2" t="s">
        <v>180</v>
      </c>
      <c r="C94" s="5" t="s">
        <v>273</v>
      </c>
      <c r="D94" s="3">
        <v>-18464</v>
      </c>
    </row>
    <row r="95" spans="1:4" x14ac:dyDescent="0.25">
      <c r="A95" s="1">
        <v>94</v>
      </c>
      <c r="B95" s="2" t="s">
        <v>180</v>
      </c>
      <c r="C95" s="5" t="s">
        <v>274</v>
      </c>
      <c r="D95" s="3">
        <v>-2544</v>
      </c>
    </row>
    <row r="96" spans="1:4" x14ac:dyDescent="0.25">
      <c r="A96" s="1">
        <v>95</v>
      </c>
      <c r="B96" s="2" t="s">
        <v>180</v>
      </c>
      <c r="C96" s="5" t="s">
        <v>275</v>
      </c>
      <c r="D96" s="3">
        <v>291727</v>
      </c>
    </row>
    <row r="97" spans="1:4" x14ac:dyDescent="0.25">
      <c r="A97" s="1">
        <v>96</v>
      </c>
      <c r="B97" s="2" t="s">
        <v>180</v>
      </c>
      <c r="C97" s="5" t="s">
        <v>276</v>
      </c>
      <c r="D97" s="3">
        <v>-15019</v>
      </c>
    </row>
    <row r="98" spans="1:4" x14ac:dyDescent="0.25">
      <c r="A98" s="1">
        <v>97</v>
      </c>
      <c r="B98" s="2" t="s">
        <v>180</v>
      </c>
      <c r="C98" s="5" t="s">
        <v>277</v>
      </c>
      <c r="D98" s="3">
        <v>-5090</v>
      </c>
    </row>
    <row r="99" spans="1:4" x14ac:dyDescent="0.25">
      <c r="A99" s="1">
        <v>98</v>
      </c>
      <c r="B99" s="2" t="s">
        <v>180</v>
      </c>
      <c r="C99" s="5" t="s">
        <v>278</v>
      </c>
      <c r="D99" s="3">
        <v>-21672</v>
      </c>
    </row>
    <row r="100" spans="1:4" x14ac:dyDescent="0.25">
      <c r="A100" s="1">
        <v>99</v>
      </c>
      <c r="B100" s="2" t="s">
        <v>180</v>
      </c>
      <c r="C100" s="5" t="s">
        <v>279</v>
      </c>
      <c r="D100" s="3">
        <v>-5145</v>
      </c>
    </row>
    <row r="101" spans="1:4" x14ac:dyDescent="0.25">
      <c r="A101" s="1">
        <v>100</v>
      </c>
      <c r="B101" s="2" t="s">
        <v>180</v>
      </c>
      <c r="C101" s="5" t="s">
        <v>280</v>
      </c>
      <c r="D101" s="3">
        <v>-18604</v>
      </c>
    </row>
    <row r="102" spans="1:4" x14ac:dyDescent="0.25">
      <c r="A102" s="1">
        <v>101</v>
      </c>
      <c r="B102" s="2" t="s">
        <v>180</v>
      </c>
      <c r="C102" s="5" t="s">
        <v>281</v>
      </c>
      <c r="D102" s="3">
        <v>-15732</v>
      </c>
    </row>
    <row r="103" spans="1:4" x14ac:dyDescent="0.25">
      <c r="A103" s="1">
        <v>102</v>
      </c>
      <c r="B103" s="2" t="s">
        <v>180</v>
      </c>
      <c r="C103" s="5" t="s">
        <v>282</v>
      </c>
      <c r="D103" s="3">
        <v>-8999</v>
      </c>
    </row>
    <row r="104" spans="1:4" x14ac:dyDescent="0.25">
      <c r="A104" s="1">
        <v>103</v>
      </c>
      <c r="B104" s="2" t="s">
        <v>180</v>
      </c>
      <c r="C104" s="5" t="s">
        <v>283</v>
      </c>
      <c r="D104" s="3">
        <v>-11251</v>
      </c>
    </row>
    <row r="105" spans="1:4" x14ac:dyDescent="0.25">
      <c r="A105" s="1">
        <v>104</v>
      </c>
      <c r="B105" s="2" t="s">
        <v>180</v>
      </c>
      <c r="C105" s="5" t="s">
        <v>284</v>
      </c>
      <c r="D105" s="3">
        <v>-4834</v>
      </c>
    </row>
    <row r="106" spans="1:4" x14ac:dyDescent="0.25">
      <c r="A106" s="1">
        <v>105</v>
      </c>
      <c r="B106" s="2" t="s">
        <v>180</v>
      </c>
      <c r="C106" s="5" t="s">
        <v>285</v>
      </c>
      <c r="D106" s="3">
        <v>-22637</v>
      </c>
    </row>
    <row r="107" spans="1:4" x14ac:dyDescent="0.25">
      <c r="A107" s="1">
        <v>106</v>
      </c>
      <c r="B107" s="2" t="s">
        <v>180</v>
      </c>
      <c r="C107" s="5" t="s">
        <v>286</v>
      </c>
      <c r="D107" s="3">
        <v>-83589</v>
      </c>
    </row>
    <row r="108" spans="1:4" x14ac:dyDescent="0.25">
      <c r="A108" s="1">
        <v>107</v>
      </c>
      <c r="B108" s="2" t="s">
        <v>180</v>
      </c>
      <c r="C108" s="5" t="s">
        <v>287</v>
      </c>
      <c r="D108" s="3">
        <v>-4072</v>
      </c>
    </row>
    <row r="109" spans="1:4" x14ac:dyDescent="0.25">
      <c r="A109" s="2">
        <v>108</v>
      </c>
      <c r="B109" s="2" t="s">
        <v>180</v>
      </c>
      <c r="C109" s="2" t="s">
        <v>288</v>
      </c>
      <c r="D109" s="3">
        <v>236413</v>
      </c>
    </row>
    <row r="110" spans="1:4" x14ac:dyDescent="0.25">
      <c r="A110" s="2">
        <v>109</v>
      </c>
      <c r="B110" s="2" t="s">
        <v>180</v>
      </c>
      <c r="C110" s="2" t="s">
        <v>289</v>
      </c>
      <c r="D110" s="3">
        <v>-6548</v>
      </c>
    </row>
    <row r="111" spans="1:4" x14ac:dyDescent="0.25">
      <c r="A111" s="2">
        <v>110</v>
      </c>
      <c r="B111" s="2" t="s">
        <v>180</v>
      </c>
      <c r="C111" s="2" t="s">
        <v>290</v>
      </c>
      <c r="D111" s="3">
        <v>-4517</v>
      </c>
    </row>
    <row r="112" spans="1:4" x14ac:dyDescent="0.25">
      <c r="A112" s="2">
        <v>111</v>
      </c>
      <c r="B112" s="2" t="s">
        <v>180</v>
      </c>
      <c r="C112" s="2" t="s">
        <v>291</v>
      </c>
      <c r="D112" s="3">
        <v>-8671</v>
      </c>
    </row>
    <row r="113" spans="1:4" x14ac:dyDescent="0.25">
      <c r="A113" s="2">
        <v>112</v>
      </c>
      <c r="B113" s="2" t="s">
        <v>180</v>
      </c>
      <c r="C113" s="2" t="s">
        <v>292</v>
      </c>
      <c r="D113" s="3">
        <v>-933</v>
      </c>
    </row>
    <row r="114" spans="1:4" x14ac:dyDescent="0.25">
      <c r="A114" s="2">
        <v>113</v>
      </c>
      <c r="B114" s="2" t="s">
        <v>180</v>
      </c>
      <c r="C114" s="2" t="s">
        <v>293</v>
      </c>
      <c r="D114" s="3">
        <v>-9126</v>
      </c>
    </row>
    <row r="115" spans="1:4" x14ac:dyDescent="0.25">
      <c r="A115" s="2">
        <v>114</v>
      </c>
      <c r="B115" s="2" t="s">
        <v>180</v>
      </c>
      <c r="C115" s="2" t="s">
        <v>294</v>
      </c>
      <c r="D115" s="3">
        <v>-6075</v>
      </c>
    </row>
    <row r="116" spans="1:4" x14ac:dyDescent="0.25">
      <c r="A116" s="2">
        <v>115</v>
      </c>
      <c r="B116" s="2" t="s">
        <v>180</v>
      </c>
      <c r="C116" s="2" t="s">
        <v>295</v>
      </c>
      <c r="D116" s="3">
        <v>-2572</v>
      </c>
    </row>
    <row r="117" spans="1:4" x14ac:dyDescent="0.25">
      <c r="A117" s="2">
        <v>116</v>
      </c>
      <c r="B117" s="2" t="s">
        <v>180</v>
      </c>
      <c r="C117" s="2" t="s">
        <v>296</v>
      </c>
      <c r="D117" s="3">
        <v>-2396</v>
      </c>
    </row>
    <row r="118" spans="1:4" x14ac:dyDescent="0.25">
      <c r="A118" s="2">
        <v>117</v>
      </c>
      <c r="B118" s="2" t="s">
        <v>180</v>
      </c>
      <c r="C118" s="2" t="s">
        <v>297</v>
      </c>
      <c r="D118" s="3">
        <v>-12977</v>
      </c>
    </row>
    <row r="119" spans="1:4" x14ac:dyDescent="0.25">
      <c r="A119" s="2">
        <v>118</v>
      </c>
      <c r="B119" s="2" t="s">
        <v>180</v>
      </c>
      <c r="C119" s="2" t="s">
        <v>298</v>
      </c>
      <c r="D119" s="3">
        <v>-3905</v>
      </c>
    </row>
    <row r="120" spans="1:4" x14ac:dyDescent="0.25">
      <c r="A120" s="2">
        <v>119</v>
      </c>
      <c r="B120" s="2" t="s">
        <v>180</v>
      </c>
      <c r="C120" s="2" t="s">
        <v>299</v>
      </c>
      <c r="D120" s="3">
        <v>-3651</v>
      </c>
    </row>
    <row r="121" spans="1:4" x14ac:dyDescent="0.25">
      <c r="A121" s="2">
        <v>120</v>
      </c>
      <c r="B121" s="2" t="s">
        <v>180</v>
      </c>
      <c r="C121" s="2" t="s">
        <v>300</v>
      </c>
      <c r="D121" s="3">
        <v>-1527</v>
      </c>
    </row>
    <row r="122" spans="1:4" x14ac:dyDescent="0.25">
      <c r="A122" s="2">
        <v>121</v>
      </c>
      <c r="B122" s="2" t="s">
        <v>180</v>
      </c>
      <c r="C122" s="2" t="s">
        <v>301</v>
      </c>
      <c r="D122" s="3">
        <v>-16414</v>
      </c>
    </row>
    <row r="123" spans="1:4" x14ac:dyDescent="0.25">
      <c r="A123" s="2">
        <v>122</v>
      </c>
      <c r="B123" s="2" t="s">
        <v>180</v>
      </c>
      <c r="C123" s="2" t="s">
        <v>302</v>
      </c>
      <c r="D123" s="3">
        <v>159353</v>
      </c>
    </row>
    <row r="124" spans="1:4" x14ac:dyDescent="0.25">
      <c r="A124" s="2">
        <v>123</v>
      </c>
      <c r="B124" s="2" t="s">
        <v>180</v>
      </c>
      <c r="C124" s="2" t="s">
        <v>303</v>
      </c>
      <c r="D124" s="3">
        <v>-721</v>
      </c>
    </row>
    <row r="125" spans="1:4" x14ac:dyDescent="0.25">
      <c r="A125" s="2">
        <v>124</v>
      </c>
      <c r="B125" s="2" t="s">
        <v>180</v>
      </c>
      <c r="C125" s="2" t="s">
        <v>304</v>
      </c>
      <c r="D125" s="3">
        <v>-1357</v>
      </c>
    </row>
    <row r="126" spans="1:4" x14ac:dyDescent="0.25">
      <c r="A126" s="2">
        <v>125</v>
      </c>
      <c r="B126" s="2" t="s">
        <v>180</v>
      </c>
      <c r="C126" s="2" t="s">
        <v>305</v>
      </c>
      <c r="D126" s="3">
        <v>-4003</v>
      </c>
    </row>
    <row r="127" spans="1:4" x14ac:dyDescent="0.25">
      <c r="A127" s="2">
        <v>126</v>
      </c>
      <c r="B127" s="2" t="s">
        <v>180</v>
      </c>
      <c r="C127" s="2" t="s">
        <v>306</v>
      </c>
      <c r="D127" s="3">
        <v>-2108</v>
      </c>
    </row>
    <row r="128" spans="1:4" x14ac:dyDescent="0.25">
      <c r="A128" s="2">
        <v>127</v>
      </c>
      <c r="B128" s="2" t="s">
        <v>180</v>
      </c>
      <c r="C128" s="2" t="s">
        <v>307</v>
      </c>
      <c r="D128" s="3">
        <v>-976</v>
      </c>
    </row>
    <row r="129" spans="1:4" x14ac:dyDescent="0.25">
      <c r="A129" s="2">
        <v>128</v>
      </c>
      <c r="B129" s="2" t="s">
        <v>180</v>
      </c>
      <c r="C129" s="2" t="s">
        <v>308</v>
      </c>
      <c r="D129" s="3">
        <v>-2190</v>
      </c>
    </row>
    <row r="130" spans="1:4" x14ac:dyDescent="0.25">
      <c r="A130" s="2">
        <v>129</v>
      </c>
      <c r="B130" s="2" t="s">
        <v>180</v>
      </c>
      <c r="C130" s="2" t="s">
        <v>309</v>
      </c>
      <c r="D130" s="3">
        <v>-3606</v>
      </c>
    </row>
    <row r="131" spans="1:4" x14ac:dyDescent="0.25">
      <c r="A131" s="2">
        <v>130</v>
      </c>
      <c r="B131" s="2" t="s">
        <v>180</v>
      </c>
      <c r="C131" s="2" t="s">
        <v>310</v>
      </c>
      <c r="D131" s="3">
        <v>-2144</v>
      </c>
    </row>
    <row r="132" spans="1:4" x14ac:dyDescent="0.25">
      <c r="A132" s="2">
        <v>131</v>
      </c>
      <c r="B132" s="2" t="s">
        <v>180</v>
      </c>
      <c r="C132" s="2" t="s">
        <v>311</v>
      </c>
      <c r="D132" s="3">
        <v>13785</v>
      </c>
    </row>
    <row r="133" spans="1:4" x14ac:dyDescent="0.25">
      <c r="A133" s="2">
        <v>132</v>
      </c>
      <c r="B133" s="2" t="s">
        <v>180</v>
      </c>
      <c r="C133" s="2" t="s">
        <v>312</v>
      </c>
      <c r="D133" s="3">
        <v>-1373</v>
      </c>
    </row>
    <row r="134" spans="1:4" x14ac:dyDescent="0.25">
      <c r="A134" s="2">
        <v>133</v>
      </c>
      <c r="B134" s="2" t="s">
        <v>180</v>
      </c>
      <c r="C134" s="2" t="s">
        <v>313</v>
      </c>
      <c r="D134" s="3">
        <v>-255</v>
      </c>
    </row>
    <row r="135" spans="1:4" x14ac:dyDescent="0.25">
      <c r="A135" s="2">
        <v>134</v>
      </c>
      <c r="B135" s="2" t="s">
        <v>180</v>
      </c>
      <c r="C135" s="2" t="s">
        <v>314</v>
      </c>
      <c r="D135" s="3">
        <v>-4907</v>
      </c>
    </row>
    <row r="136" spans="1:4" x14ac:dyDescent="0.25">
      <c r="A136" s="2">
        <v>135</v>
      </c>
      <c r="B136" s="2" t="s">
        <v>180</v>
      </c>
      <c r="C136" s="2" t="s">
        <v>315</v>
      </c>
      <c r="D136" s="3">
        <v>-3985</v>
      </c>
    </row>
    <row r="137" spans="1:4" x14ac:dyDescent="0.25">
      <c r="A137" s="2">
        <v>136</v>
      </c>
      <c r="B137" s="2" t="s">
        <v>180</v>
      </c>
      <c r="C137" s="2" t="s">
        <v>316</v>
      </c>
      <c r="D137" s="3">
        <v>-644</v>
      </c>
    </row>
    <row r="138" spans="1:4" x14ac:dyDescent="0.25">
      <c r="A138" s="2">
        <v>137</v>
      </c>
      <c r="B138" s="2" t="s">
        <v>180</v>
      </c>
      <c r="C138" s="2" t="s">
        <v>317</v>
      </c>
      <c r="D138" s="3">
        <v>51552</v>
      </c>
    </row>
    <row r="139" spans="1:4" x14ac:dyDescent="0.25">
      <c r="A139" s="2">
        <v>138</v>
      </c>
      <c r="B139" s="2" t="s">
        <v>180</v>
      </c>
      <c r="C139" s="2" t="s">
        <v>318</v>
      </c>
      <c r="D139" s="3">
        <v>-83</v>
      </c>
    </row>
    <row r="140" spans="1:4" x14ac:dyDescent="0.25">
      <c r="A140" s="2">
        <v>139</v>
      </c>
      <c r="B140" s="2" t="s">
        <v>180</v>
      </c>
      <c r="C140" s="2" t="s">
        <v>319</v>
      </c>
      <c r="D140" s="3">
        <v>-543</v>
      </c>
    </row>
    <row r="141" spans="1:4" x14ac:dyDescent="0.25">
      <c r="A141" s="2">
        <v>140</v>
      </c>
      <c r="B141" s="2" t="s">
        <v>180</v>
      </c>
      <c r="C141" s="2" t="s">
        <v>320</v>
      </c>
      <c r="D141" s="3">
        <v>3375</v>
      </c>
    </row>
    <row r="142" spans="1:4" x14ac:dyDescent="0.25">
      <c r="A142" s="2">
        <v>141</v>
      </c>
      <c r="B142" s="2" t="s">
        <v>180</v>
      </c>
      <c r="C142" s="2" t="s">
        <v>321</v>
      </c>
      <c r="D142" s="3">
        <v>-596650</v>
      </c>
    </row>
    <row r="143" spans="1:4" x14ac:dyDescent="0.25">
      <c r="D143" s="6">
        <f>SUM(D2:D142)</f>
        <v>2161232</v>
      </c>
    </row>
  </sheetData>
  <conditionalFormatting sqref="A2:D142">
    <cfRule type="notContainsBlanks" dxfId="6" priority="3">
      <formula>LEN(TRIM(A2))&gt;0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3034</vt:lpstr>
      <vt:lpstr>TOTAL</vt:lpstr>
      <vt:lpstr>working</vt:lpstr>
      <vt:lpstr>Sheet3</vt:lpstr>
      <vt:lpstr>policy</vt:lpstr>
      <vt:lpstr>3035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Shehzad Alam</dc:creator>
  <cp:lastModifiedBy>IT User Software</cp:lastModifiedBy>
  <dcterms:created xsi:type="dcterms:W3CDTF">2025-05-08T10:12:54Z</dcterms:created>
  <dcterms:modified xsi:type="dcterms:W3CDTF">2025-05-09T05:33:41Z</dcterms:modified>
</cp:coreProperties>
</file>