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17-Dec-2024\"/>
    </mc:Choice>
  </mc:AlternateContent>
  <xr:revisionPtr revIDLastSave="0" documentId="13_ncr:1_{55BBF3DB-EB21-4D8B-B48B-85AF935865C6}" xr6:coauthVersionLast="47" xr6:coauthVersionMax="47" xr10:uidLastSave="{00000000-0000-0000-0000-000000000000}"/>
  <bookViews>
    <workbookView xWindow="-120" yWindow="-120" windowWidth="20730" windowHeight="11040" firstSheet="2" activeTab="2" xr2:uid="{234600DF-59CD-429F-AF71-ACDD6E58D77B}"/>
  </bookViews>
  <sheets>
    <sheet name="Sheet2" sheetId="2" state="hidden" r:id="rId1"/>
    <sheet name="Sheet1" sheetId="1" state="hidden" r:id="rId2"/>
    <sheet name="PREM NOVARTIS" sheetId="3" r:id="rId3"/>
    <sheet name="working" sheetId="4" r:id="rId4"/>
    <sheet name="Sheet4" sheetId="5" r:id="rId5"/>
    <sheet name="policy" sheetId="6" r:id="rId6"/>
  </sheets>
  <definedNames>
    <definedName name="_xlnm._FilterDatabase" localSheetId="1" hidden="1">Sheet1!$A$3:$J$176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5" i="3" l="1"/>
  <c r="D175" i="4"/>
  <c r="C17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2" i="4"/>
  <c r="F2" i="4"/>
  <c r="D2" i="4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" i="5"/>
  <c r="H2" i="4" l="1"/>
  <c r="K173" i="1" l="1"/>
  <c r="J174" i="1"/>
  <c r="K174" i="1" s="1"/>
  <c r="J175" i="1"/>
  <c r="K175" i="1" s="1"/>
  <c r="J176" i="1"/>
  <c r="K176" i="1" s="1"/>
  <c r="K169" i="1"/>
  <c r="K163" i="1"/>
  <c r="K161" i="1"/>
  <c r="K153" i="1"/>
  <c r="K145" i="1"/>
  <c r="K137" i="1"/>
  <c r="K129" i="1"/>
  <c r="K121" i="1"/>
  <c r="K113" i="1"/>
  <c r="K105" i="1"/>
  <c r="K97" i="1"/>
  <c r="K89" i="1"/>
  <c r="K81" i="1"/>
  <c r="K78" i="1"/>
  <c r="K73" i="1"/>
  <c r="K70" i="1"/>
  <c r="K65" i="1"/>
  <c r="K62" i="1"/>
  <c r="K57" i="1"/>
  <c r="K54" i="1"/>
  <c r="K49" i="1"/>
  <c r="K46" i="1"/>
  <c r="K41" i="1"/>
  <c r="K38" i="1"/>
  <c r="K33" i="1"/>
  <c r="K30" i="1"/>
  <c r="K25" i="1"/>
  <c r="K22" i="1"/>
  <c r="K17" i="1"/>
  <c r="K14" i="1"/>
  <c r="K11" i="1"/>
  <c r="K9" i="1"/>
  <c r="K6" i="1"/>
  <c r="I177" i="1"/>
  <c r="J172" i="1"/>
  <c r="K172" i="1" s="1"/>
  <c r="J171" i="1"/>
  <c r="K171" i="1" s="1"/>
  <c r="J170" i="1"/>
  <c r="K170" i="1" s="1"/>
  <c r="J169" i="1"/>
  <c r="J168" i="1"/>
  <c r="K168" i="1" s="1"/>
  <c r="J167" i="1"/>
  <c r="K167" i="1" s="1"/>
  <c r="J166" i="1"/>
  <c r="K166" i="1" s="1"/>
  <c r="J165" i="1"/>
  <c r="K165" i="1" s="1"/>
  <c r="J164" i="1"/>
  <c r="K164" i="1" s="1"/>
  <c r="J162" i="1"/>
  <c r="K162" i="1" s="1"/>
  <c r="J161" i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J80" i="1"/>
  <c r="K80" i="1" s="1"/>
  <c r="J79" i="1"/>
  <c r="K79" i="1" s="1"/>
  <c r="J78" i="1"/>
  <c r="J77" i="1"/>
  <c r="K77" i="1" s="1"/>
  <c r="J76" i="1"/>
  <c r="K76" i="1" s="1"/>
  <c r="J75" i="1"/>
  <c r="K75" i="1" s="1"/>
  <c r="J74" i="1"/>
  <c r="K74" i="1" s="1"/>
  <c r="J73" i="1"/>
  <c r="J72" i="1"/>
  <c r="K72" i="1" s="1"/>
  <c r="J71" i="1"/>
  <c r="K71" i="1" s="1"/>
  <c r="J70" i="1"/>
  <c r="J69" i="1"/>
  <c r="K69" i="1" s="1"/>
  <c r="J68" i="1"/>
  <c r="K68" i="1" s="1"/>
  <c r="J67" i="1"/>
  <c r="K67" i="1" s="1"/>
  <c r="J66" i="1"/>
  <c r="K66" i="1" s="1"/>
  <c r="J65" i="1"/>
  <c r="J64" i="1"/>
  <c r="K64" i="1" s="1"/>
  <c r="J63" i="1"/>
  <c r="K63" i="1" s="1"/>
  <c r="J62" i="1"/>
  <c r="J61" i="1"/>
  <c r="K61" i="1" s="1"/>
  <c r="J60" i="1"/>
  <c r="K60" i="1" s="1"/>
  <c r="J59" i="1"/>
  <c r="K59" i="1" s="1"/>
  <c r="J58" i="1"/>
  <c r="K58" i="1" s="1"/>
  <c r="J57" i="1"/>
  <c r="J56" i="1"/>
  <c r="K56" i="1" s="1"/>
  <c r="J55" i="1"/>
  <c r="K55" i="1" s="1"/>
  <c r="J54" i="1"/>
  <c r="J53" i="1"/>
  <c r="K53" i="1" s="1"/>
  <c r="J52" i="1"/>
  <c r="K52" i="1" s="1"/>
  <c r="J51" i="1"/>
  <c r="K51" i="1" s="1"/>
  <c r="J50" i="1"/>
  <c r="K50" i="1" s="1"/>
  <c r="J49" i="1"/>
  <c r="J48" i="1"/>
  <c r="K48" i="1" s="1"/>
  <c r="J47" i="1"/>
  <c r="K47" i="1" s="1"/>
  <c r="J46" i="1"/>
  <c r="J45" i="1"/>
  <c r="K45" i="1" s="1"/>
  <c r="J44" i="1"/>
  <c r="K44" i="1" s="1"/>
  <c r="J43" i="1"/>
  <c r="K43" i="1" s="1"/>
  <c r="J42" i="1"/>
  <c r="K42" i="1" s="1"/>
  <c r="J41" i="1"/>
  <c r="J40" i="1"/>
  <c r="K40" i="1" s="1"/>
  <c r="J39" i="1"/>
  <c r="K39" i="1" s="1"/>
  <c r="J38" i="1"/>
  <c r="J37" i="1"/>
  <c r="K37" i="1" s="1"/>
  <c r="J36" i="1"/>
  <c r="K36" i="1" s="1"/>
  <c r="J35" i="1"/>
  <c r="K35" i="1" s="1"/>
  <c r="J34" i="1"/>
  <c r="K34" i="1" s="1"/>
  <c r="J33" i="1"/>
  <c r="J32" i="1"/>
  <c r="K32" i="1" s="1"/>
  <c r="J31" i="1"/>
  <c r="K31" i="1" s="1"/>
  <c r="J30" i="1"/>
  <c r="J29" i="1"/>
  <c r="K29" i="1" s="1"/>
  <c r="J28" i="1"/>
  <c r="K28" i="1" s="1"/>
  <c r="J27" i="1"/>
  <c r="K27" i="1" s="1"/>
  <c r="J26" i="1"/>
  <c r="K26" i="1" s="1"/>
  <c r="J25" i="1"/>
  <c r="J24" i="1"/>
  <c r="K24" i="1" s="1"/>
  <c r="J23" i="1"/>
  <c r="K23" i="1" s="1"/>
  <c r="J22" i="1"/>
  <c r="J21" i="1"/>
  <c r="K21" i="1" s="1"/>
  <c r="J20" i="1"/>
  <c r="K20" i="1" s="1"/>
  <c r="J19" i="1"/>
  <c r="K19" i="1" s="1"/>
  <c r="J18" i="1"/>
  <c r="K18" i="1" s="1"/>
  <c r="J17" i="1"/>
  <c r="J16" i="1"/>
  <c r="K16" i="1" s="1"/>
  <c r="J15" i="1"/>
  <c r="K15" i="1" s="1"/>
  <c r="J14" i="1"/>
  <c r="J13" i="1"/>
  <c r="K13" i="1" s="1"/>
  <c r="J12" i="1"/>
  <c r="K12" i="1" s="1"/>
  <c r="J11" i="1"/>
  <c r="J10" i="1"/>
  <c r="K10" i="1" s="1"/>
  <c r="J9" i="1"/>
  <c r="J8" i="1"/>
  <c r="K8" i="1" s="1"/>
  <c r="J7" i="1"/>
  <c r="K7" i="1" s="1"/>
  <c r="J6" i="1"/>
  <c r="J5" i="1"/>
  <c r="K5" i="1" s="1"/>
  <c r="J4" i="1"/>
  <c r="K4" i="1" s="1"/>
  <c r="K177" i="1" l="1"/>
  <c r="J177" i="1"/>
</calcChain>
</file>

<file path=xl/sharedStrings.xml><?xml version="1.0" encoding="utf-8"?>
<sst xmlns="http://schemas.openxmlformats.org/spreadsheetml/2006/main" count="1603" uniqueCount="426">
  <si>
    <t>S. NO.</t>
  </si>
  <si>
    <t>POLICY NUMBER</t>
  </si>
  <si>
    <t>ENDORSEMENT NUMBER</t>
  </si>
  <si>
    <t>ISSUE DATE</t>
  </si>
  <si>
    <t>PERIOD FROM</t>
  </si>
  <si>
    <t>PERIOD TO</t>
  </si>
  <si>
    <t>GROSS CONTRIBUTION</t>
  </si>
  <si>
    <t>NET CONTRIBUTION</t>
  </si>
  <si>
    <t>RECEIVED CONTRIBUTION</t>
  </si>
  <si>
    <t>OUTSTANDNG CONTRIBUTION</t>
  </si>
  <si>
    <t>KHI/HO/D/HLGRP HEALTH/P/1052/06/2021</t>
  </si>
  <si>
    <t>KHI/HO/D/HLGRP HEALTH/E/9578/07/2021</t>
  </si>
  <si>
    <t>KHI/HO/D/HLGRP HEALTH/E/9730/07/2021</t>
  </si>
  <si>
    <t>KHI/HO/D/HLGRP HEALTH/E/9859/07/2021</t>
  </si>
  <si>
    <t>KHI/HO/D/HLGRP HEALTH/E/9874/07/2021</t>
  </si>
  <si>
    <t>KHI/HO/D/HLGRP HEALTH/E/9894/07/2021</t>
  </si>
  <si>
    <t>KHI/HO/D/HLGRP HEALTH/E/10053/08/2021</t>
  </si>
  <si>
    <t>KHI/HO/D/HLGRP HEALTH/E/10118/08/2021</t>
  </si>
  <si>
    <t>KHI/HO/D/HLGRP HEALTH/E/10193/08/2021</t>
  </si>
  <si>
    <t>KHI/HO/D/HLGRP HEALTH/E/10232/08/2021</t>
  </si>
  <si>
    <t>KHI/HO/D/HLGRP HEALTH/E/10276/08/2021</t>
  </si>
  <si>
    <t>KHI/HO/D/HLGRP HEALTH/E/10477/09/2021</t>
  </si>
  <si>
    <t>KHI/HO/D/HLGRP HEALTH/E/10512/09/2021</t>
  </si>
  <si>
    <t>KHI/HO/D/HLGRP HEALTH/E/10852/09/2021</t>
  </si>
  <si>
    <t>KHI/HO/D/HLGRP HEALTH/E/10880/09/2021</t>
  </si>
  <si>
    <t>KHI/HO/D/HLGRP HEALTH/E/10926/09/2021</t>
  </si>
  <si>
    <t>KHI/HO/D/HLGRP HEALTH/E/10938/09/2021</t>
  </si>
  <si>
    <t>KHI/HO/D/HLGRP HEALTH/E/10991/09/2021</t>
  </si>
  <si>
    <t>KHI/HO/D/HLGRP HEALTH/E/11179/10/2021</t>
  </si>
  <si>
    <t>KHI/HO/D/HLGRP HEALTH/E/11305/10/2021</t>
  </si>
  <si>
    <t>KHI/HO/D/HLGRP HEALTH/E/11520/10/2021</t>
  </si>
  <si>
    <t>KHI/HO/D/HLGRP HEALTH/E/11694/11/2021</t>
  </si>
  <si>
    <t>KHI/HO/D/HLGRP HEALTH/E/11713/11/2021</t>
  </si>
  <si>
    <t>KHI/HO/D/HLGRP HEALTH/E/11798/11/2021</t>
  </si>
  <si>
    <t>KHI/HO/D/HLGRP HEALTH/E/11829/11/2021</t>
  </si>
  <si>
    <t>KHI/HO/D/HLGRP HEALTH/E/11983/11/2021</t>
  </si>
  <si>
    <t>KHI/HO/D/HLGRP HEALTH/E/12028/11/2021</t>
  </si>
  <si>
    <t>KHI/HO/D/HLGRP HEALTH/E/12108/11/2021</t>
  </si>
  <si>
    <t>KHI/HO/D/HLGRP HEALTH/E/12142/11/2021</t>
  </si>
  <si>
    <t>KHI/HO/D/HLGRP HEALTH/E/12290/12/2021</t>
  </si>
  <si>
    <t>KHI/HO/D/HLGRP HEALTH/E/12428/12/2021</t>
  </si>
  <si>
    <t>KHI/HO/D/HLGRP HEALTH/E/12618/12/2021</t>
  </si>
  <si>
    <t>KHI/HO/D/HLGRP HEALTH/E/12666/12/2021</t>
  </si>
  <si>
    <t>KHI/HO/D/HLGRP HEALTH/E/12834/01/2022</t>
  </si>
  <si>
    <t>KHI/HO/D/HLGRP HEALTH/E/12872/01/2022</t>
  </si>
  <si>
    <t>KHI/HO/D/HLGRP HEALTH/E/13023/01/2022</t>
  </si>
  <si>
    <t>KHI/HO/D/HLGRP HEALTH/E/13108/01/2022</t>
  </si>
  <si>
    <t>KHI/HO/D/HLGRP HEALTH/E/13155/01/2022</t>
  </si>
  <si>
    <t>KHI/HO/D/HLGRP HEALTH/E/13272/02/2022</t>
  </si>
  <si>
    <t>KHI/HO/D/HLGRP HEALTH/E/13324/02/2022</t>
  </si>
  <si>
    <t>KHI/HO/D/HLGRP HEALTH/E/13355/02/2022</t>
  </si>
  <si>
    <t>KHI/HO/D/HLGRP HEALTH/E/13596/02/2022</t>
  </si>
  <si>
    <t>KHI/HO/D/HLGRP HEALTH/E/13672/03/2022</t>
  </si>
  <si>
    <t>KHI/HO/D/HLGRP HEALTH/E/13692/03/2022</t>
  </si>
  <si>
    <t>KHI/HO/D/HLGRP HEALTH/E/13931/03/2022</t>
  </si>
  <si>
    <t>KHI/HO/D/HLGRP HEALTH/E/14123/04/2022</t>
  </si>
  <si>
    <t>KHI/HO/D/HLGRP HEALTH/E/14164/04/2022</t>
  </si>
  <si>
    <t>KHI/HO/D/HLGRP HEALTH/E/14257/04/2022</t>
  </si>
  <si>
    <t>KHI/HO/D/HLGRP HEALTH/E/14328/04/2022</t>
  </si>
  <si>
    <t>KHI/HO/D/HLGRP HEALTH/E/14343/04/2022</t>
  </si>
  <si>
    <t>KHI/HO/D/HLGRP HEALTH/E/14438/04/2022</t>
  </si>
  <si>
    <t>KHI/HO/D/HLGRP HEALTH/E/14592/05/2022</t>
  </si>
  <si>
    <t>KHI/HO/D/HLGRP HEALTH/E/14683/05/2022</t>
  </si>
  <si>
    <t>KHI/HO/D/HLGRP HEALTH/E/14862/05/2022</t>
  </si>
  <si>
    <t>KHI/HO/D/HLGRP HEALTH/E/14961/06/2022</t>
  </si>
  <si>
    <t>KHI/HO/D/HLGRP HEALTH/E/15074/06/2022</t>
  </si>
  <si>
    <t>KHI/HO/D/HLGRP HEALTH/E/15108/06/2022</t>
  </si>
  <si>
    <t>KHI/HO/D/HLGRP HEALTH/E/15148/06/2022</t>
  </si>
  <si>
    <t>KHI/HO/D/HLGRP HEALTH/E/15236/06/2022</t>
  </si>
  <si>
    <t>KHI/HO/D/HLGRP HEALTH/E/15603/07/2022</t>
  </si>
  <si>
    <t>KHI/HO/D/HLGRP HEALTH/E/21919/10/2023</t>
  </si>
  <si>
    <t>KHI/HO/D/HLGRP HEALTH/P/1656/06/2022</t>
  </si>
  <si>
    <t>KHI/HO/D/HLGRP HEALTH/E/15625/07/2022</t>
  </si>
  <si>
    <t>KHI/HO/D/HLGRP HEALTH/E/15652/08/2022</t>
  </si>
  <si>
    <t>KHI/HO/D/HLGRP HEALTH/E/15682/08/2022</t>
  </si>
  <si>
    <t>KHI/HO/D/HLGRP HEALTH/E/15932/08/2022</t>
  </si>
  <si>
    <t>KHI/HO/D/HLGRP HEALTH/E/15962/08/2022</t>
  </si>
  <si>
    <t>KHI/HO/D/HLGRP HEALTH/E/16018/08/2022</t>
  </si>
  <si>
    <t>KHI/HO/D/HLGRP HEALTH/E/16116/09/2022</t>
  </si>
  <si>
    <t>KHI/HO/D/HLGRP HEALTH/E/16151/09/2022</t>
  </si>
  <si>
    <t>KHI/HO/D/HLGRP HEALTH/E/16201/09/2022</t>
  </si>
  <si>
    <t>KHI/HO/D/HLGRP HEALTH/E/16228/09/2022</t>
  </si>
  <si>
    <t>KHI/HO/D/HLGRP HEALTH/E/16325/09/2022</t>
  </si>
  <si>
    <t>KHI/HO/D/HLGRP HEALTH/E/16402/09/2022</t>
  </si>
  <si>
    <t>KHI/HO/D/HLGRP HEALTH/E/16493/09/2022</t>
  </si>
  <si>
    <t>KHI/HO/D/HLGRP HEALTH/E/16638/10/2022</t>
  </si>
  <si>
    <t>KHI/HO/D/HLGRP HEALTH/E/16763/10/2022</t>
  </si>
  <si>
    <t>KHI/HO/D/HLGRP HEALTH/E/16830/10/2022</t>
  </si>
  <si>
    <t>KHI/HO/D/HLGRP HEALTH/E/16930/10/2022</t>
  </si>
  <si>
    <t>KHI/HO/D/HLGRP HEALTH/E/16999/11/2022</t>
  </si>
  <si>
    <t>KHI/HO/D/HLGRP HEALTH/E/17078/11/2022</t>
  </si>
  <si>
    <t>KHI/HO/D/HLGRP HEALTH/E/17221/11/2022</t>
  </si>
  <si>
    <t>KHI/HO/D/HLGRP HEALTH/E/17257/11/2022</t>
  </si>
  <si>
    <t>KHI/HO/D/HLGRP HEALTH/E/17278/11/2022</t>
  </si>
  <si>
    <t>KHI/HO/D/HLGRP HEALTH/E/17351/11/2022</t>
  </si>
  <si>
    <t>KHI/HO/D/HLGRP HEALTH/E/17595/12/2022</t>
  </si>
  <si>
    <t>KHI/HO/D/HLGRP HEALTH/E/17618/12/2022</t>
  </si>
  <si>
    <t>KHI/HO/D/HLGRP HEALTH/E/17776/12/2022</t>
  </si>
  <si>
    <t>KHI/HO/D/HLGRP HEALTH/E/17860/01/2023</t>
  </si>
  <si>
    <t>KHI/HO/D/HLGRP HEALTH/E/17887/01/2023</t>
  </si>
  <si>
    <t>KHI/HO/D/HLGRP HEALTH/E/17963/01/2023</t>
  </si>
  <si>
    <t>KHI/HO/D/HLGRP HEALTH/E/17988/01/2023</t>
  </si>
  <si>
    <t>KHI/HO/D/HLGRP HEALTH/E/18086/01/2023</t>
  </si>
  <si>
    <t>KHI/HO/D/HLGRP HEALTH/E/18174/01/2023</t>
  </si>
  <si>
    <t>KHI/HO/D/HLGRP HEALTH/E/18206/02/2023</t>
  </si>
  <si>
    <t>KHI/HO/D/HLGRP HEALTH/E/18223/02/2023</t>
  </si>
  <si>
    <t>KHI/HO/D/HLGRP HEALTH/E/18332/02/2023</t>
  </si>
  <si>
    <t>KHI/HO/D/HLGRP HEALTH/E/18387/02/2023</t>
  </si>
  <si>
    <t>KHI/HO/D/HLGRP HEALTH/E/18477/02/2023</t>
  </si>
  <si>
    <t>KHI/HO/D/HLGRP HEALTH/E/18622/02/2023</t>
  </si>
  <si>
    <t>KHI/HO/D/HLGRP HEALTH/E/18719/03/2023</t>
  </si>
  <si>
    <t>KHI/HO/D/HLGRP HEALTH/E/18768/03/2023</t>
  </si>
  <si>
    <t>KHI/HO/D/HLGRP HEALTH/E/18819/03/2023</t>
  </si>
  <si>
    <t>KHI/HO/D/HLGRP HEALTH/E/19133/04/2023</t>
  </si>
  <si>
    <t>KHI/HO/D/HLGRP HEALTH/E/19148/04/2023</t>
  </si>
  <si>
    <t>KHI/HO/D/HLGRP HEALTH/E/19227/04/2023</t>
  </si>
  <si>
    <t>KHI/HO/D/HLGRP HEALTH/E/19341/04/2023</t>
  </si>
  <si>
    <t>KHI/HO/D/HLGRP HEALTH/E/19396/04/2023</t>
  </si>
  <si>
    <t>KHI/HO/D/HLGRP HEALTH/E/19438/04/2023</t>
  </si>
  <si>
    <t>KHI/HO/D/HLGRP HEALTH/E/19474/05/2023</t>
  </si>
  <si>
    <t>KHI/HO/D/HLGRP HEALTH/E/19501/05/2023</t>
  </si>
  <si>
    <t>KHI/HO/D/HLGRP HEALTH/E/19686/05/2023</t>
  </si>
  <si>
    <t>KHI/HO/D/HLGRP HEALTH/E/19714/05/2023</t>
  </si>
  <si>
    <t>KHI/HO/D/HLGRP HEALTH/E/19786/05/2023</t>
  </si>
  <si>
    <t>KHI/HO/D/HLGRP HEALTH/E/19929/05/2023</t>
  </si>
  <si>
    <t>KHI/HO/D/HLGRP HEALTH/E/19954/05/2023</t>
  </si>
  <si>
    <t>KHI/HO/D/HLGRP HEALTH/E/20051/06/2023</t>
  </si>
  <si>
    <t>KHI/HO/D/HLGRP HEALTH/E/20086/06/2023</t>
  </si>
  <si>
    <t>KHI/HO/D/HLGRP HEALTH/E/20201/06/2023</t>
  </si>
  <si>
    <t>KHI/HO/D/HLGRP HEALTH/E/20320/06/2023</t>
  </si>
  <si>
    <t>KHI/HO/D/HLGRP HEALTH/E/21920/10/2023</t>
  </si>
  <si>
    <t>KHI/HO/D/HLGRP HEALTH/P/2555/06/2023</t>
  </si>
  <si>
    <t>KHI/HO/D/HLGRP HEALTH/E/20987/08/2023</t>
  </si>
  <si>
    <t>KHI/HO/D/HLGRP HEALTH/E/21067/08/2023</t>
  </si>
  <si>
    <t>KHI/HO/D/HLGRP HEALTH/E/21134/08/2023</t>
  </si>
  <si>
    <t>KHI/HO/D/HLGRP HEALTH/E/21339/09/2023</t>
  </si>
  <si>
    <t>KHI/HO/D/HLGRP HEALTH/E/21490/09/2023</t>
  </si>
  <si>
    <t>KHI/HO/D/HLGRP HEALTH/E/21545/09/2023</t>
  </si>
  <si>
    <t>KHI/HO/D/HLGRP HEALTH/E/21693/09/2023</t>
  </si>
  <si>
    <t>KHI/HO/D/HLGRP HEALTH/E/21826/10/2023</t>
  </si>
  <si>
    <t>KHI/HO/D/HLGRP HEALTH/E/22089/10/2023</t>
  </si>
  <si>
    <t>KHI/HO/D/HLGRP HEALTH/E/22155/10/2023</t>
  </si>
  <si>
    <t>KHI/HO/D/HLGRP HEALTH/E/22168/10/2023</t>
  </si>
  <si>
    <t>KHI/HO/D/HLGRP HEALTH/E/22192/10/2023</t>
  </si>
  <si>
    <t>KHI/HO/D/HLGRP HEALTH/E/22203/10/2023</t>
  </si>
  <si>
    <t>KHI/HO/D/HLGRP HEALTH/E/22297/10/2023</t>
  </si>
  <si>
    <t>KHI/HO/D/HLGRP HEALTH/E/22341/10/2023</t>
  </si>
  <si>
    <t>KHI/HO/D/HLGRP HEALTH/E/22376/11/2023</t>
  </si>
  <si>
    <t>KHI/HO/D/HLGRP HEALTH/E/22394/11/2023</t>
  </si>
  <si>
    <t>KHI/HO/D/HLGRP HEALTH/E/22521/11/2023</t>
  </si>
  <si>
    <t>KHI/HO/D/HLGRP HEALTH/E/22576/11/2023</t>
  </si>
  <si>
    <t>KHI/HO/D/HLGRP HEALTH/E/22683/11/2023</t>
  </si>
  <si>
    <t>KHI/HO/D/HLGRP HEALTH/E/22922/12/2023</t>
  </si>
  <si>
    <t>KHI/HO/D/HLGRP HEALTH/E/23004/12/2023</t>
  </si>
  <si>
    <t>KHI/HO/D/HLGRP HEALTH/E/23049/12/2023</t>
  </si>
  <si>
    <t>KHI/HO/D/HLGRP HEALTH/E/23106/12/2023</t>
  </si>
  <si>
    <t>KHI/HO/D/HLGRP HEALTH/E/23115/12/2023</t>
  </si>
  <si>
    <t>KHI/HO/D/HLGRP HEALTH/E/23224/12/2023</t>
  </si>
  <si>
    <t>KHI/HO/D/HLGRP HEALTH/E/23321/01/2024</t>
  </si>
  <si>
    <t>KHI/HO/D/HLGRP HEALTH/E/23383/01/2024</t>
  </si>
  <si>
    <t>KHI/HO/D/HLGRP HEALTH/E/23404/01/2024</t>
  </si>
  <si>
    <t>KHI/HO/D/HLGRP HEALTH/E/23645/01/2024</t>
  </si>
  <si>
    <t>KHI/HO/D/HLGRP HEALTH/E/23666/01/2024</t>
  </si>
  <si>
    <t>KHI/HO/D/HLGRP HEALTH/E/23811/01/2024</t>
  </si>
  <si>
    <t>KHI/HO/D/HLGRP HEALTH/E/23870/02/2024</t>
  </si>
  <si>
    <t>KHI/HO/D/HLGRP HEALTH/E/23950/02/2024</t>
  </si>
  <si>
    <t>KHI/HO/D/HLGRP HEALTH/E/24006/02/2024</t>
  </si>
  <si>
    <t>KHI/HO/D/HLGRP HEALTH/E/24088/02/2024</t>
  </si>
  <si>
    <t>KHI/HO/D/HLGRP HEALTH/E/24150/02/2024</t>
  </si>
  <si>
    <t>KHI/HO/D/HLGRP HEALTH/E/24233/02/2024</t>
  </si>
  <si>
    <t>KHI/HO/D/HLGRP HEALTH/E/24287/03/2024</t>
  </si>
  <si>
    <t>KHI/HO/D/HLGRP HEALTH/E/24349/03/2024</t>
  </si>
  <si>
    <t>KHI/HO/D/HLGRP HEALTH/E/24636/03/2024</t>
  </si>
  <si>
    <t>KHI/HO/D/HLGRP HEALTH/E/24772/04/2024</t>
  </si>
  <si>
    <t>KHI/HO/D/HLGRP HEALTH/E/24857/04/2024</t>
  </si>
  <si>
    <t>KHI/HO/D/HLGRP HEALTH/E/24969/04/2024</t>
  </si>
  <si>
    <t>KHI/HO/D/HLGRP HEALTH/E/25084/04/2024</t>
  </si>
  <si>
    <t>KHI/HO/D/HLGRP HEALTH/E/25118/05/2024</t>
  </si>
  <si>
    <t>KHI/HO/D/HLGRP HEALTH/E/25200/05/2024</t>
  </si>
  <si>
    <t>KHI/HO/D/HLGRP HEALTH/E/25438/05/2024</t>
  </si>
  <si>
    <t>KHI/HO/D/HLGRP HEALTH/E/25500/05/2024</t>
  </si>
  <si>
    <t>KHI/HO/D/HLGRP HEALTH/E/25667/06/2024</t>
  </si>
  <si>
    <t>KHI/HO/D/HLGRP HEALTH/E/25719/06/2024</t>
  </si>
  <si>
    <t>KHI/HO/D/HLGRP HEALTH/E/25735/06/2024</t>
  </si>
  <si>
    <t>KHI/HO/D/HLGRP HEALTH/E/25879/06/2024</t>
  </si>
  <si>
    <t>KHI/HO/D/HLGRP HEALTH/E/25919/06/2024</t>
  </si>
  <si>
    <t>Row Labels</t>
  </si>
  <si>
    <t>Grand Total</t>
  </si>
  <si>
    <t>Sum of OUTSTANDNG CONTRIBUTION</t>
  </si>
  <si>
    <t>NOVARTIS PHARMA - OS REGISTER</t>
  </si>
  <si>
    <t>AMOUNT</t>
  </si>
  <si>
    <t>-07-2021</t>
  </si>
  <si>
    <t>-08-2021</t>
  </si>
  <si>
    <t>-09-2021</t>
  </si>
  <si>
    <t>-10-2021</t>
  </si>
  <si>
    <t>-11-2021</t>
  </si>
  <si>
    <t>-12-2021</t>
  </si>
  <si>
    <t>-01-2022</t>
  </si>
  <si>
    <t>-02-2022</t>
  </si>
  <si>
    <t>-03-2022</t>
  </si>
  <si>
    <t>-04-2022</t>
  </si>
  <si>
    <t>-05-2022</t>
  </si>
  <si>
    <t>-06-2022</t>
  </si>
  <si>
    <t>-07-2022</t>
  </si>
  <si>
    <t>-10-2023</t>
  </si>
  <si>
    <t>-08-2022</t>
  </si>
  <si>
    <t>-09-2022</t>
  </si>
  <si>
    <t>-10-2022</t>
  </si>
  <si>
    <t>-11-2022</t>
  </si>
  <si>
    <t>-12-2022</t>
  </si>
  <si>
    <t>-01-2023</t>
  </si>
  <si>
    <t>-02-2023</t>
  </si>
  <si>
    <t>-03-2023</t>
  </si>
  <si>
    <t>-04-2023</t>
  </si>
  <si>
    <t>-05-2023</t>
  </si>
  <si>
    <t>-06-2023</t>
  </si>
  <si>
    <t>-08-2023</t>
  </si>
  <si>
    <t>-09-2023</t>
  </si>
  <si>
    <t>-11-2023</t>
  </si>
  <si>
    <t>-12-2023</t>
  </si>
  <si>
    <t>-01-2024</t>
  </si>
  <si>
    <t>-02-2024</t>
  </si>
  <si>
    <t>-03-2024</t>
  </si>
  <si>
    <t>-04-2024</t>
  </si>
  <si>
    <t>-05-2024</t>
  </si>
  <si>
    <t>-06-2024</t>
  </si>
  <si>
    <t>Premium</t>
  </si>
  <si>
    <t>POLICY NO.</t>
  </si>
  <si>
    <t>Assorted_code</t>
  </si>
  <si>
    <t xml:space="preserve">   </t>
  </si>
  <si>
    <t>FUNC_ASSORTED_STRING(IA.ASSORTED_CODE)</t>
  </si>
  <si>
    <t>ASSORTED_CODE</t>
  </si>
  <si>
    <t>050000419731</t>
  </si>
  <si>
    <t>050000398570</t>
  </si>
  <si>
    <t>050000398814</t>
  </si>
  <si>
    <t>050000456701</t>
  </si>
  <si>
    <t>050000420173</t>
  </si>
  <si>
    <t>050000411407</t>
  </si>
  <si>
    <t>050000415897</t>
  </si>
  <si>
    <t>050000396173</t>
  </si>
  <si>
    <t>050000418583</t>
  </si>
  <si>
    <t>050000449403</t>
  </si>
  <si>
    <t>050000447082</t>
  </si>
  <si>
    <t>050000437357</t>
  </si>
  <si>
    <t>050000435446</t>
  </si>
  <si>
    <t>050000424137</t>
  </si>
  <si>
    <t>050000421096</t>
  </si>
  <si>
    <t>050000427940</t>
  </si>
  <si>
    <t>050000410663</t>
  </si>
  <si>
    <t>050000417075</t>
  </si>
  <si>
    <t>050000434933</t>
  </si>
  <si>
    <t>050000438831</t>
  </si>
  <si>
    <t>050000494206</t>
  </si>
  <si>
    <t>050000538032</t>
  </si>
  <si>
    <t>050000493187</t>
  </si>
  <si>
    <t>KHI/HO/D/FR/ND/P/15652/08/2022</t>
  </si>
  <si>
    <t>040000124999</t>
  </si>
  <si>
    <t>050000488343</t>
  </si>
  <si>
    <t>050000458245</t>
  </si>
  <si>
    <t>050000487507</t>
  </si>
  <si>
    <t>050000475547</t>
  </si>
  <si>
    <t>050000454068</t>
  </si>
  <si>
    <t>050000450021</t>
  </si>
  <si>
    <t>050000486358</t>
  </si>
  <si>
    <t>050000477767</t>
  </si>
  <si>
    <t>050000502066</t>
  </si>
  <si>
    <t>050000518293</t>
  </si>
  <si>
    <t>050000542042</t>
  </si>
  <si>
    <t>050000697814</t>
  </si>
  <si>
    <t>050000548471</t>
  </si>
  <si>
    <t>050000477302</t>
  </si>
  <si>
    <t>050000486755</t>
  </si>
  <si>
    <t>050000455828</t>
  </si>
  <si>
    <t>050000409668</t>
  </si>
  <si>
    <t>050000419688</t>
  </si>
  <si>
    <t>050000400927</t>
  </si>
  <si>
    <t>050000404780</t>
  </si>
  <si>
    <t>050000404564</t>
  </si>
  <si>
    <t>050000400776</t>
  </si>
  <si>
    <t>050000391341</t>
  </si>
  <si>
    <t>050000410469</t>
  </si>
  <si>
    <t>050000424183</t>
  </si>
  <si>
    <t>050000426313</t>
  </si>
  <si>
    <t>050000394396</t>
  </si>
  <si>
    <t>050000400641</t>
  </si>
  <si>
    <t>050000410777</t>
  </si>
  <si>
    <t>050000396093</t>
  </si>
  <si>
    <t>050000442884</t>
  </si>
  <si>
    <t>050000430416</t>
  </si>
  <si>
    <t>050000465607</t>
  </si>
  <si>
    <t>050000430509</t>
  </si>
  <si>
    <t>050000470259</t>
  </si>
  <si>
    <t>050000472896</t>
  </si>
  <si>
    <t>050000460361</t>
  </si>
  <si>
    <t>050000467032</t>
  </si>
  <si>
    <t>050000459703</t>
  </si>
  <si>
    <t>050000444528</t>
  </si>
  <si>
    <t>050000439356</t>
  </si>
  <si>
    <t>050000461405</t>
  </si>
  <si>
    <t>050000476241</t>
  </si>
  <si>
    <t>KHI/HO/D/FR/ND/P/14961/06/2022</t>
  </si>
  <si>
    <t>040000120654</t>
  </si>
  <si>
    <t>050000396356</t>
  </si>
  <si>
    <t>050000422611</t>
  </si>
  <si>
    <t>050000420267</t>
  </si>
  <si>
    <t>050000587672</t>
  </si>
  <si>
    <t>050000578276</t>
  </si>
  <si>
    <t>050000582630</t>
  </si>
  <si>
    <t>050000588038</t>
  </si>
  <si>
    <t>050000598377</t>
  </si>
  <si>
    <t>050000568994</t>
  </si>
  <si>
    <t>050000568550</t>
  </si>
  <si>
    <t>050000599853</t>
  </si>
  <si>
    <t>050000576578</t>
  </si>
  <si>
    <t>050000604471</t>
  </si>
  <si>
    <t>050000590759</t>
  </si>
  <si>
    <t>050000571934</t>
  </si>
  <si>
    <t>050000597386</t>
  </si>
  <si>
    <t>050000599971</t>
  </si>
  <si>
    <t>050000589574</t>
  </si>
  <si>
    <t>050000561661</t>
  </si>
  <si>
    <t>KHI/HO/D/FR/ND/P/15682/08/2022</t>
  </si>
  <si>
    <t>040000125066</t>
  </si>
  <si>
    <t>KHI/HO/F/FR/ND/P/16151/09/2022</t>
  </si>
  <si>
    <t>040000127079</t>
  </si>
  <si>
    <t>050000519109</t>
  </si>
  <si>
    <t>050000521857</t>
  </si>
  <si>
    <t>050000495191</t>
  </si>
  <si>
    <t>050000505747</t>
  </si>
  <si>
    <t>050000514587</t>
  </si>
  <si>
    <t>050000500214</t>
  </si>
  <si>
    <t>050000545120</t>
  </si>
  <si>
    <t>050000553354</t>
  </si>
  <si>
    <t>050000512408</t>
  </si>
  <si>
    <t>050000539172</t>
  </si>
  <si>
    <t>050000531053</t>
  </si>
  <si>
    <t>KHI/HO/D/FR/ND/P/16201/09/2022</t>
  </si>
  <si>
    <t>040000127675</t>
  </si>
  <si>
    <t>050000529859</t>
  </si>
  <si>
    <t>050000529178</t>
  </si>
  <si>
    <t>050000498668</t>
  </si>
  <si>
    <t>050000524636</t>
  </si>
  <si>
    <t>050000652853</t>
  </si>
  <si>
    <t>050000503817</t>
  </si>
  <si>
    <t>050000549409</t>
  </si>
  <si>
    <t>050000559340</t>
  </si>
  <si>
    <t>MUL/MUL/F/FR/ND/P/16116/09/2022</t>
  </si>
  <si>
    <t>040000126538</t>
  </si>
  <si>
    <t>050000547461</t>
  </si>
  <si>
    <t>050000502433</t>
  </si>
  <si>
    <t>050000504694</t>
  </si>
  <si>
    <t>050000559982</t>
  </si>
  <si>
    <t>050000528836</t>
  </si>
  <si>
    <t>050000563270</t>
  </si>
  <si>
    <t>050000724448</t>
  </si>
  <si>
    <t>050000553584</t>
  </si>
  <si>
    <t>050000555189</t>
  </si>
  <si>
    <t>050000550635</t>
  </si>
  <si>
    <t>050000719879</t>
  </si>
  <si>
    <t>050000668363</t>
  </si>
  <si>
    <t>050000716626</t>
  </si>
  <si>
    <t>050000679064</t>
  </si>
  <si>
    <t>050000693884</t>
  </si>
  <si>
    <t>050000718158</t>
  </si>
  <si>
    <t>050000712469</t>
  </si>
  <si>
    <t>050000680520</t>
  </si>
  <si>
    <t>050000674057</t>
  </si>
  <si>
    <t>050000697234</t>
  </si>
  <si>
    <t>050000709362</t>
  </si>
  <si>
    <t>KHI/HO/D/MR/IMPORTS/C/21490/09/2023</t>
  </si>
  <si>
    <t>020000036906</t>
  </si>
  <si>
    <t>050000690895</t>
  </si>
  <si>
    <t>050000668960</t>
  </si>
  <si>
    <t>050000703760</t>
  </si>
  <si>
    <t>050000668338</t>
  </si>
  <si>
    <t>050000691988</t>
  </si>
  <si>
    <t>050000690884</t>
  </si>
  <si>
    <t>050000587350</t>
  </si>
  <si>
    <t>050000645570</t>
  </si>
  <si>
    <t>050000660227</t>
  </si>
  <si>
    <t>050000664248</t>
  </si>
  <si>
    <t>050000606773</t>
  </si>
  <si>
    <t>050000614443</t>
  </si>
  <si>
    <t>050000635700</t>
  </si>
  <si>
    <t>050000633235</t>
  </si>
  <si>
    <t>050000597190</t>
  </si>
  <si>
    <t>050000670056</t>
  </si>
  <si>
    <t>050000676031</t>
  </si>
  <si>
    <t>050000610081</t>
  </si>
  <si>
    <t>050000665992</t>
  </si>
  <si>
    <t>050000655884</t>
  </si>
  <si>
    <t>KHI/HO/D/MR/IMPORTS/C/21339/09/2023</t>
  </si>
  <si>
    <t>020000036247</t>
  </si>
  <si>
    <t>050000660228</t>
  </si>
  <si>
    <t>050000665293</t>
  </si>
  <si>
    <t>050000688920</t>
  </si>
  <si>
    <t>050000648108</t>
  </si>
  <si>
    <t>050000638572</t>
  </si>
  <si>
    <t>050000733504</t>
  </si>
  <si>
    <t>050000685756</t>
  </si>
  <si>
    <t>050000688175</t>
  </si>
  <si>
    <t>050000678826</t>
  </si>
  <si>
    <t>050000718416</t>
  </si>
  <si>
    <t>050000740634</t>
  </si>
  <si>
    <t>050000740472</t>
  </si>
  <si>
    <t>050000711024</t>
  </si>
  <si>
    <t>050000706693</t>
  </si>
  <si>
    <t>050000703216</t>
  </si>
  <si>
    <t>050000750991</t>
  </si>
  <si>
    <t>050000758202</t>
  </si>
  <si>
    <t>050000738504</t>
  </si>
  <si>
    <t>050000737645</t>
  </si>
  <si>
    <t>050000729126</t>
  </si>
  <si>
    <t>KHI/HO/D/MR/IMPORTS/C/17351/11/2022</t>
  </si>
  <si>
    <t>070000115124</t>
  </si>
  <si>
    <t>050000648488</t>
  </si>
  <si>
    <t>SKT/SKT/D/MR/IMPORTS/C/21134/08/2023</t>
  </si>
  <si>
    <t>020000035321</t>
  </si>
  <si>
    <t>050000444889</t>
  </si>
  <si>
    <t>050000760478</t>
  </si>
  <si>
    <t>050000745046</t>
  </si>
  <si>
    <t>050000760647</t>
  </si>
  <si>
    <t>050000750220</t>
  </si>
  <si>
    <t>050000758937</t>
  </si>
  <si>
    <t>050000756652</t>
  </si>
  <si>
    <t>17Dec240043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</si>
</sst>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Trade Gothic Next"/>
      <family val="2"/>
    </font>
    <font>
      <sz val="9"/>
      <color theme="1"/>
      <name val="Trade Gothic Next"/>
      <family val="2"/>
    </font>
    <font>
      <b/>
      <sz val="9"/>
      <color theme="1"/>
      <name val="Trade Gothic Next"/>
      <family val="2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2" fillId="0" borderId="0" xfId="0" applyNumberFormat="1" applyFont="1"/>
    <xf numFmtId="165" fontId="5" fillId="0" borderId="0" xfId="1" applyNumberFormat="1" applyFont="1" applyAlignment="1">
      <alignment vertical="center"/>
    </xf>
    <xf numFmtId="164" fontId="0" fillId="0" borderId="0" xfId="1" applyFont="1"/>
    <xf numFmtId="164" fontId="4" fillId="0" borderId="0" xfId="1" applyFont="1" applyAlignment="1">
      <alignment vertical="center"/>
    </xf>
    <xf numFmtId="0" fontId="2" fillId="0" borderId="0" xfId="0" applyFont="1"/>
    <xf numFmtId="164" fontId="2" fillId="0" borderId="0" xfId="1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6" fillId="0" borderId="0" xfId="0" applyFont="1"/>
    <xf numFmtId="165" fontId="7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8" fillId="0" borderId="0" xfId="0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hzad Alam" refreshedDate="45643.447863194444" createdVersion="8" refreshedVersion="8" minRefreshableVersion="3" recordCount="173" xr:uid="{7F9B4EBA-92B8-44E9-9D8F-768C11FC1EE6}">
  <cacheSource type="worksheet">
    <worksheetSource ref="A3:J176" sheet="Sheet1"/>
  </cacheSource>
  <cacheFields count="12">
    <cacheField name="S. NO." numFmtId="0">
      <sharedItems containsSemiMixedTypes="0" containsString="0" containsNumber="1" containsInteger="1" minValue="1" maxValue="60"/>
    </cacheField>
    <cacheField name="POLICY NUMBER" numFmtId="0">
      <sharedItems count="3">
        <s v="KHI/HO/D/HLGRP HEALTH/P/1052/06/2021"/>
        <s v="KHI/HO/D/HLGRP HEALTH/P/1656/06/2022"/>
        <s v="KHI/HO/D/HLGRP HEALTH/P/2555/06/2023"/>
      </sharedItems>
    </cacheField>
    <cacheField name="ENDORSEMENT NUMBER" numFmtId="0">
      <sharedItems count="173">
        <s v="KHI/HO/D/HLGRP HEALTH/E/9578/07/2021"/>
        <s v="KHI/HO/D/HLGRP HEALTH/E/9730/07/2021"/>
        <s v="KHI/HO/D/HLGRP HEALTH/E/9859/07/2021"/>
        <s v="KHI/HO/D/HLGRP HEALTH/E/9874/07/2021"/>
        <s v="KHI/HO/D/HLGRP HEALTH/E/9894/07/2021"/>
        <s v="KHI/HO/D/HLGRP HEALTH/E/10053/08/2021"/>
        <s v="KHI/HO/D/HLGRP HEALTH/E/10118/08/2021"/>
        <s v="KHI/HO/D/HLGRP HEALTH/E/10193/08/2021"/>
        <s v="KHI/HO/D/HLGRP HEALTH/E/10232/08/2021"/>
        <s v="KHI/HO/D/HLGRP HEALTH/E/10276/08/2021"/>
        <s v="KHI/HO/D/HLGRP HEALTH/E/10477/09/2021"/>
        <s v="KHI/HO/D/HLGRP HEALTH/E/10512/09/2021"/>
        <s v="KHI/HO/D/HLGRP HEALTH/E/10852/09/2021"/>
        <s v="KHI/HO/D/HLGRP HEALTH/E/10880/09/2021"/>
        <s v="KHI/HO/D/HLGRP HEALTH/E/10926/09/2021"/>
        <s v="KHI/HO/D/HLGRP HEALTH/E/10938/09/2021"/>
        <s v="KHI/HO/D/HLGRP HEALTH/E/10991/09/2021"/>
        <s v="KHI/HO/D/HLGRP HEALTH/E/11179/10/2021"/>
        <s v="KHI/HO/D/HLGRP HEALTH/E/11305/10/2021"/>
        <s v="KHI/HO/D/HLGRP HEALTH/E/11520/10/2021"/>
        <s v="KHI/HO/D/HLGRP HEALTH/E/11694/11/2021"/>
        <s v="KHI/HO/D/HLGRP HEALTH/E/11713/11/2021"/>
        <s v="KHI/HO/D/HLGRP HEALTH/E/11798/11/2021"/>
        <s v="KHI/HO/D/HLGRP HEALTH/E/11829/11/2021"/>
        <s v="KHI/HO/D/HLGRP HEALTH/E/11983/11/2021"/>
        <s v="KHI/HO/D/HLGRP HEALTH/E/12028/11/2021"/>
        <s v="KHI/HO/D/HLGRP HEALTH/E/12108/11/2021"/>
        <s v="KHI/HO/D/HLGRP HEALTH/E/12142/11/2021"/>
        <s v="KHI/HO/D/HLGRP HEALTH/E/12290/12/2021"/>
        <s v="KHI/HO/D/HLGRP HEALTH/E/12428/12/2021"/>
        <s v="KHI/HO/D/HLGRP HEALTH/E/12618/12/2021"/>
        <s v="KHI/HO/D/HLGRP HEALTH/E/12666/12/2021"/>
        <s v="KHI/HO/D/HLGRP HEALTH/E/12834/01/2022"/>
        <s v="KHI/HO/D/HLGRP HEALTH/E/12872/01/2022"/>
        <s v="KHI/HO/D/HLGRP HEALTH/E/13023/01/2022"/>
        <s v="KHI/HO/D/HLGRP HEALTH/E/13108/01/2022"/>
        <s v="KHI/HO/D/HLGRP HEALTH/E/13155/01/2022"/>
        <s v="KHI/HO/D/HLGRP HEALTH/E/13272/02/2022"/>
        <s v="KHI/HO/D/HLGRP HEALTH/E/13324/02/2022"/>
        <s v="KHI/HO/D/HLGRP HEALTH/E/13355/02/2022"/>
        <s v="KHI/HO/D/HLGRP HEALTH/E/13596/02/2022"/>
        <s v="KHI/HO/D/HLGRP HEALTH/E/13672/03/2022"/>
        <s v="KHI/HO/D/HLGRP HEALTH/E/13692/03/2022"/>
        <s v="KHI/HO/D/HLGRP HEALTH/E/13931/03/2022"/>
        <s v="KHI/HO/D/HLGRP HEALTH/E/14123/04/2022"/>
        <s v="KHI/HO/D/HLGRP HEALTH/E/14164/04/2022"/>
        <s v="KHI/HO/D/HLGRP HEALTH/E/14257/04/2022"/>
        <s v="KHI/HO/D/HLGRP HEALTH/E/14328/04/2022"/>
        <s v="KHI/HO/D/HLGRP HEALTH/E/14343/04/2022"/>
        <s v="KHI/HO/D/HLGRP HEALTH/E/14438/04/2022"/>
        <s v="KHI/HO/D/HLGRP HEALTH/E/14592/05/2022"/>
        <s v="KHI/HO/D/HLGRP HEALTH/E/14683/05/2022"/>
        <s v="KHI/HO/D/HLGRP HEALTH/E/14862/05/2022"/>
        <s v="KHI/HO/D/HLGRP HEALTH/E/14961/06/2022"/>
        <s v="KHI/HO/D/HLGRP HEALTH/E/15074/06/2022"/>
        <s v="KHI/HO/D/HLGRP HEALTH/E/15108/06/2022"/>
        <s v="KHI/HO/D/HLGRP HEALTH/E/15148/06/2022"/>
        <s v="KHI/HO/D/HLGRP HEALTH/E/15236/06/2022"/>
        <s v="KHI/HO/D/HLGRP HEALTH/E/15603/07/2022"/>
        <s v="KHI/HO/D/HLGRP HEALTH/E/21919/10/2023"/>
        <s v="KHI/HO/D/HLGRP HEALTH/E/15625/07/2022"/>
        <s v="KHI/HO/D/HLGRP HEALTH/E/15652/08/2022"/>
        <s v="KHI/HO/D/HLGRP HEALTH/E/15682/08/2022"/>
        <s v="KHI/HO/D/HLGRP HEALTH/E/15932/08/2022"/>
        <s v="KHI/HO/D/HLGRP HEALTH/E/15962/08/2022"/>
        <s v="KHI/HO/D/HLGRP HEALTH/E/16018/08/2022"/>
        <s v="KHI/HO/D/HLGRP HEALTH/E/16116/09/2022"/>
        <s v="KHI/HO/D/HLGRP HEALTH/E/16151/09/2022"/>
        <s v="KHI/HO/D/HLGRP HEALTH/E/16201/09/2022"/>
        <s v="KHI/HO/D/HLGRP HEALTH/E/16228/09/2022"/>
        <s v="KHI/HO/D/HLGRP HEALTH/E/16325/09/2022"/>
        <s v="KHI/HO/D/HLGRP HEALTH/E/16402/09/2022"/>
        <s v="KHI/HO/D/HLGRP HEALTH/E/16493/09/2022"/>
        <s v="KHI/HO/D/HLGRP HEALTH/E/16638/10/2022"/>
        <s v="KHI/HO/D/HLGRP HEALTH/E/16763/10/2022"/>
        <s v="KHI/HO/D/HLGRP HEALTH/E/16830/10/2022"/>
        <s v="KHI/HO/D/HLGRP HEALTH/E/16930/10/2022"/>
        <s v="KHI/HO/D/HLGRP HEALTH/E/16999/11/2022"/>
        <s v="KHI/HO/D/HLGRP HEALTH/E/17078/11/2022"/>
        <s v="KHI/HO/D/HLGRP HEALTH/E/17221/11/2022"/>
        <s v="KHI/HO/D/HLGRP HEALTH/E/17257/11/2022"/>
        <s v="KHI/HO/D/HLGRP HEALTH/E/17278/11/2022"/>
        <s v="KHI/HO/D/HLGRP HEALTH/E/17351/11/2022"/>
        <s v="KHI/HO/D/HLGRP HEALTH/E/17595/12/2022"/>
        <s v="KHI/HO/D/HLGRP HEALTH/E/17618/12/2022"/>
        <s v="KHI/HO/D/HLGRP HEALTH/E/17776/12/2022"/>
        <s v="KHI/HO/D/HLGRP HEALTH/E/17860/01/2023"/>
        <s v="KHI/HO/D/HLGRP HEALTH/E/17887/01/2023"/>
        <s v="KHI/HO/D/HLGRP HEALTH/E/17963/01/2023"/>
        <s v="KHI/HO/D/HLGRP HEALTH/E/17988/01/2023"/>
        <s v="KHI/HO/D/HLGRP HEALTH/E/18086/01/2023"/>
        <s v="KHI/HO/D/HLGRP HEALTH/E/18174/01/2023"/>
        <s v="KHI/HO/D/HLGRP HEALTH/E/18206/02/2023"/>
        <s v="KHI/HO/D/HLGRP HEALTH/E/18223/02/2023"/>
        <s v="KHI/HO/D/HLGRP HEALTH/E/18332/02/2023"/>
        <s v="KHI/HO/D/HLGRP HEALTH/E/18387/02/2023"/>
        <s v="KHI/HO/D/HLGRP HEALTH/E/18477/02/2023"/>
        <s v="KHI/HO/D/HLGRP HEALTH/E/18622/02/2023"/>
        <s v="KHI/HO/D/HLGRP HEALTH/E/18719/03/2023"/>
        <s v="KHI/HO/D/HLGRP HEALTH/E/18768/03/2023"/>
        <s v="KHI/HO/D/HLGRP HEALTH/E/18819/03/2023"/>
        <s v="KHI/HO/D/HLGRP HEALTH/E/19133/04/2023"/>
        <s v="KHI/HO/D/HLGRP HEALTH/E/19148/04/2023"/>
        <s v="KHI/HO/D/HLGRP HEALTH/E/19227/04/2023"/>
        <s v="KHI/HO/D/HLGRP HEALTH/E/19341/04/2023"/>
        <s v="KHI/HO/D/HLGRP HEALTH/E/19396/04/2023"/>
        <s v="KHI/HO/D/HLGRP HEALTH/E/19438/04/2023"/>
        <s v="KHI/HO/D/HLGRP HEALTH/E/19474/05/2023"/>
        <s v="KHI/HO/D/HLGRP HEALTH/E/19501/05/2023"/>
        <s v="KHI/HO/D/HLGRP HEALTH/E/19686/05/2023"/>
        <s v="KHI/HO/D/HLGRP HEALTH/E/19714/05/2023"/>
        <s v="KHI/HO/D/HLGRP HEALTH/E/19786/05/2023"/>
        <s v="KHI/HO/D/HLGRP HEALTH/E/19929/05/2023"/>
        <s v="KHI/HO/D/HLGRP HEALTH/E/19954/05/2023"/>
        <s v="KHI/HO/D/HLGRP HEALTH/E/20051/06/2023"/>
        <s v="KHI/HO/D/HLGRP HEALTH/E/20086/06/2023"/>
        <s v="KHI/HO/D/HLGRP HEALTH/E/20201/06/2023"/>
        <s v="KHI/HO/D/HLGRP HEALTH/E/20320/06/2023"/>
        <s v="KHI/HO/D/HLGRP HEALTH/E/21920/10/2023"/>
        <s v="KHI/HO/D/HLGRP HEALTH/E/20987/08/2023"/>
        <s v="KHI/HO/D/HLGRP HEALTH/E/21067/08/2023"/>
        <s v="KHI/HO/D/HLGRP HEALTH/E/21134/08/2023"/>
        <s v="KHI/HO/D/HLGRP HEALTH/E/21339/09/2023"/>
        <s v="KHI/HO/D/HLGRP HEALTH/E/21490/09/2023"/>
        <s v="KHI/HO/D/HLGRP HEALTH/E/21545/09/2023"/>
        <s v="KHI/HO/D/HLGRP HEALTH/E/21693/09/2023"/>
        <s v="KHI/HO/D/HLGRP HEALTH/E/21826/10/2023"/>
        <s v="KHI/HO/D/HLGRP HEALTH/E/22089/10/2023"/>
        <s v="KHI/HO/D/HLGRP HEALTH/E/22155/10/2023"/>
        <s v="KHI/HO/D/HLGRP HEALTH/E/22168/10/2023"/>
        <s v="KHI/HO/D/HLGRP HEALTH/E/22192/10/2023"/>
        <s v="KHI/HO/D/HLGRP HEALTH/E/22203/10/2023"/>
        <s v="KHI/HO/D/HLGRP HEALTH/E/22297/10/2023"/>
        <s v="KHI/HO/D/HLGRP HEALTH/E/22341/10/2023"/>
        <s v="KHI/HO/D/HLGRP HEALTH/E/22376/11/2023"/>
        <s v="KHI/HO/D/HLGRP HEALTH/E/22394/11/2023"/>
        <s v="KHI/HO/D/HLGRP HEALTH/E/22521/11/2023"/>
        <s v="KHI/HO/D/HLGRP HEALTH/E/22576/11/2023"/>
        <s v="KHI/HO/D/HLGRP HEALTH/E/22683/11/2023"/>
        <s v="KHI/HO/D/HLGRP HEALTH/E/22922/12/2023"/>
        <s v="KHI/HO/D/HLGRP HEALTH/E/23004/12/2023"/>
        <s v="KHI/HO/D/HLGRP HEALTH/E/23049/12/2023"/>
        <s v="KHI/HO/D/HLGRP HEALTH/E/23106/12/2023"/>
        <s v="KHI/HO/D/HLGRP HEALTH/E/23115/12/2023"/>
        <s v="KHI/HO/D/HLGRP HEALTH/E/23224/12/2023"/>
        <s v="KHI/HO/D/HLGRP HEALTH/E/23321/01/2024"/>
        <s v="KHI/HO/D/HLGRP HEALTH/E/23383/01/2024"/>
        <s v="KHI/HO/D/HLGRP HEALTH/E/23404/01/2024"/>
        <s v="KHI/HO/D/HLGRP HEALTH/E/23645/01/2024"/>
        <s v="KHI/HO/D/HLGRP HEALTH/E/23666/01/2024"/>
        <s v="KHI/HO/D/HLGRP HEALTH/E/23811/01/2024"/>
        <s v="KHI/HO/D/HLGRP HEALTH/E/23870/02/2024"/>
        <s v="KHI/HO/D/HLGRP HEALTH/E/23950/02/2024"/>
        <s v="KHI/HO/D/HLGRP HEALTH/E/24006/02/2024"/>
        <s v="KHI/HO/D/HLGRP HEALTH/E/24088/02/2024"/>
        <s v="KHI/HO/D/HLGRP HEALTH/E/24150/02/2024"/>
        <s v="KHI/HO/D/HLGRP HEALTH/E/24233/02/2024"/>
        <s v="KHI/HO/D/HLGRP HEALTH/E/24287/03/2024"/>
        <s v="KHI/HO/D/HLGRP HEALTH/E/24349/03/2024"/>
        <s v="KHI/HO/D/HLGRP HEALTH/E/24636/03/2024"/>
        <s v="KHI/HO/D/HLGRP HEALTH/E/24772/04/2024"/>
        <s v="KHI/HO/D/HLGRP HEALTH/E/24857/04/2024"/>
        <s v="KHI/HO/D/HLGRP HEALTH/E/24969/04/2024"/>
        <s v="KHI/HO/D/HLGRP HEALTH/E/25084/04/2024"/>
        <s v="KHI/HO/D/HLGRP HEALTH/E/25118/05/2024"/>
        <s v="KHI/HO/D/HLGRP HEALTH/E/25200/05/2024"/>
        <s v="KHI/HO/D/HLGRP HEALTH/E/25438/05/2024"/>
        <s v="KHI/HO/D/HLGRP HEALTH/E/25500/05/2024"/>
        <s v="KHI/HO/D/HLGRP HEALTH/E/25667/06/2024"/>
        <s v="KHI/HO/D/HLGRP HEALTH/E/25719/06/2024"/>
        <s v="KHI/HO/D/HLGRP HEALTH/E/25735/06/2024"/>
        <s v="KHI/HO/D/HLGRP HEALTH/E/25879/06/2024"/>
        <s v="KHI/HO/D/HLGRP HEALTH/E/25919/06/2024"/>
      </sharedItems>
    </cacheField>
    <cacheField name="ISSUE DATE" numFmtId="14">
      <sharedItems containsSemiMixedTypes="0" containsNonDate="0" containsDate="1" containsString="0" minDate="2021-07-05T00:00:00" maxDate="2024-06-28T00:00:00"/>
    </cacheField>
    <cacheField name="PERIOD FROM" numFmtId="14">
      <sharedItems containsSemiMixedTypes="0" containsNonDate="0" containsDate="1" containsString="0" minDate="2021-07-01T00:00:00" maxDate="2023-07-02T00:00:00"/>
    </cacheField>
    <cacheField name="PERIOD TO" numFmtId="14">
      <sharedItems containsSemiMixedTypes="0" containsNonDate="0" containsDate="1" containsString="0" minDate="2022-06-30T00:00:00" maxDate="2024-07-01T00:00:00"/>
    </cacheField>
    <cacheField name="GROSS CONTRIBUTION" numFmtId="165">
      <sharedItems containsSemiMixedTypes="0" containsString="0" containsNumber="1" containsInteger="1" minValue="-657531" maxValue="300148"/>
    </cacheField>
    <cacheField name="NET CONTRIBUTION" numFmtId="165">
      <sharedItems containsSemiMixedTypes="0" containsString="0" containsNumber="1" containsInteger="1" minValue="-664106" maxValue="303149"/>
    </cacheField>
    <cacheField name="RECEIVED CONTRIBUTION" numFmtId="165">
      <sharedItems containsSemiMixedTypes="0" containsString="0" containsNumber="1" containsInteger="1" minValue="0" maxValue="15605"/>
    </cacheField>
    <cacheField name="OUTSTANDNG CONTRIBUTION" numFmtId="165">
      <sharedItems containsSemiMixedTypes="0" containsString="0" containsNumber="1" containsInteger="1" minValue="-664106" maxValue="303149"/>
    </cacheField>
    <cacheField name="NOT DUE CONTRIBUTION" numFmtId="165">
      <sharedItems containsSemiMixedTypes="0" containsString="0" containsNumber="1" containsInteger="1" minValue="0" maxValue="0"/>
    </cacheField>
    <cacheField name="DUE CONTRIBUTION" numFmtId="165">
      <sharedItems containsSemiMixedTypes="0" containsString="0" containsNumber="1" containsInteger="1" minValue="-664106" maxValue="303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1"/>
    <x v="0"/>
    <x v="0"/>
    <d v="2021-07-05T00:00:00"/>
    <d v="2021-07-01T00:00:00"/>
    <d v="2022-06-30T00:00:00"/>
    <n v="-547152"/>
    <n v="-552624"/>
    <n v="0"/>
    <n v="-552624"/>
    <n v="0"/>
    <n v="-552624"/>
  </r>
  <r>
    <n v="2"/>
    <x v="0"/>
    <x v="1"/>
    <d v="2021-07-14T00:00:00"/>
    <d v="2021-07-01T00:00:00"/>
    <d v="2022-06-30T00:00:00"/>
    <n v="42498"/>
    <n v="42923"/>
    <n v="0"/>
    <n v="42923"/>
    <n v="0"/>
    <n v="42923"/>
  </r>
  <r>
    <n v="3"/>
    <x v="0"/>
    <x v="2"/>
    <d v="2021-07-24T00:00:00"/>
    <d v="2021-07-01T00:00:00"/>
    <d v="2022-06-30T00:00:00"/>
    <n v="6926"/>
    <n v="6995"/>
    <n v="5572"/>
    <n v="1423"/>
    <n v="0"/>
    <n v="1423"/>
  </r>
  <r>
    <n v="4"/>
    <x v="0"/>
    <x v="3"/>
    <d v="2021-07-26T00:00:00"/>
    <d v="2021-07-01T00:00:00"/>
    <d v="2022-06-30T00:00:00"/>
    <n v="20700"/>
    <n v="20907"/>
    <n v="0"/>
    <n v="20907"/>
    <n v="0"/>
    <n v="20907"/>
  </r>
  <r>
    <n v="5"/>
    <x v="0"/>
    <x v="4"/>
    <d v="2021-07-27T00:00:00"/>
    <d v="2021-07-01T00:00:00"/>
    <d v="2022-06-30T00:00:00"/>
    <n v="6866"/>
    <n v="6935"/>
    <n v="0"/>
    <n v="6935"/>
    <n v="0"/>
    <n v="6935"/>
  </r>
  <r>
    <n v="6"/>
    <x v="0"/>
    <x v="5"/>
    <d v="2021-08-05T00:00:00"/>
    <d v="2021-07-01T00:00:00"/>
    <d v="2022-06-30T00:00:00"/>
    <n v="10350"/>
    <n v="10454"/>
    <n v="0"/>
    <n v="10454"/>
    <n v="0"/>
    <n v="10454"/>
  </r>
  <r>
    <n v="7"/>
    <x v="0"/>
    <x v="6"/>
    <d v="2021-08-09T00:00:00"/>
    <d v="2021-07-01T00:00:00"/>
    <d v="2022-06-30T00:00:00"/>
    <n v="9358"/>
    <n v="9452"/>
    <n v="0"/>
    <n v="9452"/>
    <n v="0"/>
    <n v="9452"/>
  </r>
  <r>
    <n v="8"/>
    <x v="0"/>
    <x v="7"/>
    <d v="2021-08-12T00:00:00"/>
    <d v="2021-07-01T00:00:00"/>
    <d v="2022-06-30T00:00:00"/>
    <n v="7370"/>
    <n v="7444"/>
    <n v="0"/>
    <n v="7444"/>
    <n v="0"/>
    <n v="7444"/>
  </r>
  <r>
    <n v="9"/>
    <x v="0"/>
    <x v="8"/>
    <d v="2021-08-16T00:00:00"/>
    <d v="2021-07-01T00:00:00"/>
    <d v="2022-06-30T00:00:00"/>
    <n v="75338"/>
    <n v="76091"/>
    <n v="0"/>
    <n v="76091"/>
    <n v="0"/>
    <n v="76091"/>
  </r>
  <r>
    <n v="10"/>
    <x v="0"/>
    <x v="9"/>
    <d v="2021-08-20T00:00:00"/>
    <d v="2021-07-01T00:00:00"/>
    <d v="2022-06-30T00:00:00"/>
    <n v="10350"/>
    <n v="10454"/>
    <n v="0"/>
    <n v="10454"/>
    <n v="0"/>
    <n v="10454"/>
  </r>
  <r>
    <n v="11"/>
    <x v="0"/>
    <x v="10"/>
    <d v="2021-09-01T00:00:00"/>
    <d v="2021-07-01T00:00:00"/>
    <d v="2022-06-30T00:00:00"/>
    <n v="21122"/>
    <n v="21333"/>
    <n v="0"/>
    <n v="21333"/>
    <n v="0"/>
    <n v="21333"/>
  </r>
  <r>
    <n v="12"/>
    <x v="0"/>
    <x v="11"/>
    <d v="2021-09-02T00:00:00"/>
    <d v="2021-07-01T00:00:00"/>
    <d v="2022-06-30T00:00:00"/>
    <n v="22111"/>
    <n v="22332"/>
    <n v="0"/>
    <n v="22332"/>
    <n v="0"/>
    <n v="22332"/>
  </r>
  <r>
    <n v="13"/>
    <x v="0"/>
    <x v="12"/>
    <d v="2021-09-20T00:00:00"/>
    <d v="2021-07-01T00:00:00"/>
    <d v="2022-06-30T00:00:00"/>
    <n v="74379"/>
    <n v="75123"/>
    <n v="0"/>
    <n v="75123"/>
    <n v="0"/>
    <n v="75123"/>
  </r>
  <r>
    <n v="14"/>
    <x v="0"/>
    <x v="13"/>
    <d v="2021-09-21T00:00:00"/>
    <d v="2021-07-01T00:00:00"/>
    <d v="2022-06-30T00:00:00"/>
    <n v="36727"/>
    <n v="37094"/>
    <n v="0"/>
    <n v="37094"/>
    <n v="0"/>
    <n v="37094"/>
  </r>
  <r>
    <n v="15"/>
    <x v="0"/>
    <x v="14"/>
    <d v="2021-09-23T00:00:00"/>
    <d v="2021-07-01T00:00:00"/>
    <d v="2022-06-30T00:00:00"/>
    <n v="69240"/>
    <n v="69932"/>
    <n v="0"/>
    <n v="69932"/>
    <n v="0"/>
    <n v="69932"/>
  </r>
  <r>
    <n v="16"/>
    <x v="0"/>
    <x v="15"/>
    <d v="2021-09-24T00:00:00"/>
    <d v="2021-07-01T00:00:00"/>
    <d v="2022-06-30T00:00:00"/>
    <n v="240770"/>
    <n v="243178"/>
    <n v="0"/>
    <n v="243178"/>
    <n v="0"/>
    <n v="243178"/>
  </r>
  <r>
    <n v="17"/>
    <x v="0"/>
    <x v="16"/>
    <d v="2021-09-27T00:00:00"/>
    <d v="2021-07-01T00:00:00"/>
    <d v="2022-06-30T00:00:00"/>
    <n v="7088"/>
    <n v="7159"/>
    <n v="0"/>
    <n v="7159"/>
    <n v="0"/>
    <n v="7159"/>
  </r>
  <r>
    <n v="18"/>
    <x v="0"/>
    <x v="17"/>
    <d v="2021-10-07T00:00:00"/>
    <d v="2021-07-01T00:00:00"/>
    <d v="2022-06-30T00:00:00"/>
    <n v="110617"/>
    <n v="111723"/>
    <n v="0"/>
    <n v="111723"/>
    <n v="0"/>
    <n v="111723"/>
  </r>
  <r>
    <n v="19"/>
    <x v="0"/>
    <x v="18"/>
    <d v="2021-10-13T00:00:00"/>
    <d v="2021-07-01T00:00:00"/>
    <d v="2022-06-30T00:00:00"/>
    <n v="7370"/>
    <n v="7444"/>
    <n v="0"/>
    <n v="7444"/>
    <n v="0"/>
    <n v="7444"/>
  </r>
  <r>
    <n v="20"/>
    <x v="0"/>
    <x v="19"/>
    <d v="2021-10-26T00:00:00"/>
    <d v="2021-07-01T00:00:00"/>
    <d v="2022-06-30T00:00:00"/>
    <n v="110153"/>
    <n v="111255"/>
    <n v="0"/>
    <n v="111255"/>
    <n v="0"/>
    <n v="111255"/>
  </r>
  <r>
    <n v="21"/>
    <x v="0"/>
    <x v="20"/>
    <d v="2021-11-03T00:00:00"/>
    <d v="2021-07-01T00:00:00"/>
    <d v="2022-06-30T00:00:00"/>
    <n v="14741"/>
    <n v="14888"/>
    <n v="0"/>
    <n v="14888"/>
    <n v="0"/>
    <n v="14888"/>
  </r>
  <r>
    <n v="22"/>
    <x v="0"/>
    <x v="21"/>
    <d v="2021-11-03T00:00:00"/>
    <d v="2021-07-01T00:00:00"/>
    <d v="2022-06-30T00:00:00"/>
    <n v="111815"/>
    <n v="112933"/>
    <n v="0"/>
    <n v="112933"/>
    <n v="0"/>
    <n v="112933"/>
  </r>
  <r>
    <n v="23"/>
    <x v="0"/>
    <x v="22"/>
    <d v="2021-11-08T00:00:00"/>
    <d v="2021-07-01T00:00:00"/>
    <d v="2022-06-30T00:00:00"/>
    <n v="7117"/>
    <n v="7188"/>
    <n v="0"/>
    <n v="7188"/>
    <n v="0"/>
    <n v="7188"/>
  </r>
  <r>
    <n v="24"/>
    <x v="0"/>
    <x v="23"/>
    <d v="2021-11-09T00:00:00"/>
    <d v="2021-07-01T00:00:00"/>
    <d v="2022-06-30T00:00:00"/>
    <n v="4725"/>
    <n v="4772"/>
    <n v="0"/>
    <n v="4772"/>
    <n v="0"/>
    <n v="4772"/>
  </r>
  <r>
    <n v="25"/>
    <x v="0"/>
    <x v="24"/>
    <d v="2021-11-17T00:00:00"/>
    <d v="2021-07-01T00:00:00"/>
    <d v="2022-06-30T00:00:00"/>
    <n v="6744"/>
    <n v="6811"/>
    <n v="0"/>
    <n v="6811"/>
    <n v="0"/>
    <n v="6811"/>
  </r>
  <r>
    <n v="26"/>
    <x v="0"/>
    <x v="25"/>
    <d v="2021-11-19T00:00:00"/>
    <d v="2021-07-01T00:00:00"/>
    <d v="2022-06-30T00:00:00"/>
    <n v="13189"/>
    <n v="13321"/>
    <n v="0"/>
    <n v="13321"/>
    <n v="0"/>
    <n v="13321"/>
  </r>
  <r>
    <n v="27"/>
    <x v="0"/>
    <x v="26"/>
    <d v="2021-11-23T00:00:00"/>
    <d v="2021-07-01T00:00:00"/>
    <d v="2022-06-30T00:00:00"/>
    <n v="4887"/>
    <n v="4936"/>
    <n v="0"/>
    <n v="4936"/>
    <n v="0"/>
    <n v="4936"/>
  </r>
  <r>
    <n v="28"/>
    <x v="0"/>
    <x v="27"/>
    <d v="2021-11-25T00:00:00"/>
    <d v="2021-07-01T00:00:00"/>
    <d v="2022-06-30T00:00:00"/>
    <n v="7370"/>
    <n v="7444"/>
    <n v="0"/>
    <n v="7444"/>
    <n v="0"/>
    <n v="7444"/>
  </r>
  <r>
    <n v="29"/>
    <x v="0"/>
    <x v="28"/>
    <d v="2021-12-02T00:00:00"/>
    <d v="2021-07-01T00:00:00"/>
    <d v="2022-06-30T00:00:00"/>
    <n v="7370"/>
    <n v="7444"/>
    <n v="0"/>
    <n v="7444"/>
    <n v="0"/>
    <n v="7444"/>
  </r>
  <r>
    <n v="30"/>
    <x v="0"/>
    <x v="29"/>
    <d v="2021-12-10T00:00:00"/>
    <d v="2021-07-01T00:00:00"/>
    <d v="2022-06-30T00:00:00"/>
    <n v="50247"/>
    <n v="50749"/>
    <n v="0"/>
    <n v="50749"/>
    <n v="0"/>
    <n v="50749"/>
  </r>
  <r>
    <n v="31"/>
    <x v="0"/>
    <x v="30"/>
    <d v="2021-12-23T00:00:00"/>
    <d v="2021-07-01T00:00:00"/>
    <d v="2022-06-30T00:00:00"/>
    <n v="8400"/>
    <n v="8484"/>
    <n v="0"/>
    <n v="8484"/>
    <n v="0"/>
    <n v="8484"/>
  </r>
  <r>
    <n v="32"/>
    <x v="0"/>
    <x v="31"/>
    <d v="2021-12-27T00:00:00"/>
    <d v="2021-07-01T00:00:00"/>
    <d v="2022-06-30T00:00:00"/>
    <n v="5593"/>
    <n v="5649"/>
    <n v="0"/>
    <n v="5649"/>
    <n v="0"/>
    <n v="5649"/>
  </r>
  <r>
    <n v="33"/>
    <x v="0"/>
    <x v="32"/>
    <d v="2022-01-05T00:00:00"/>
    <d v="2021-07-01T00:00:00"/>
    <d v="2022-06-30T00:00:00"/>
    <n v="26347"/>
    <n v="26610"/>
    <n v="0"/>
    <n v="26610"/>
    <n v="0"/>
    <n v="26610"/>
  </r>
  <r>
    <n v="34"/>
    <x v="0"/>
    <x v="33"/>
    <d v="2022-01-10T00:00:00"/>
    <d v="2021-07-01T00:00:00"/>
    <d v="2022-06-30T00:00:00"/>
    <n v="41334"/>
    <n v="41747"/>
    <n v="0"/>
    <n v="41747"/>
    <n v="0"/>
    <n v="41747"/>
  </r>
  <r>
    <n v="35"/>
    <x v="0"/>
    <x v="34"/>
    <d v="2022-01-19T00:00:00"/>
    <d v="2021-07-01T00:00:00"/>
    <d v="2022-06-30T00:00:00"/>
    <n v="66967"/>
    <n v="67637"/>
    <n v="0"/>
    <n v="67637"/>
    <n v="0"/>
    <n v="67637"/>
  </r>
  <r>
    <n v="36"/>
    <x v="0"/>
    <x v="35"/>
    <d v="2022-01-24T00:00:00"/>
    <d v="2021-07-01T00:00:00"/>
    <d v="2022-06-30T00:00:00"/>
    <n v="7370"/>
    <n v="7444"/>
    <n v="0"/>
    <n v="7444"/>
    <n v="0"/>
    <n v="7444"/>
  </r>
  <r>
    <n v="37"/>
    <x v="0"/>
    <x v="36"/>
    <d v="2022-01-26T00:00:00"/>
    <d v="2021-07-01T00:00:00"/>
    <d v="2022-06-30T00:00:00"/>
    <n v="4452"/>
    <n v="4497"/>
    <n v="0"/>
    <n v="4497"/>
    <n v="0"/>
    <n v="4497"/>
  </r>
  <r>
    <n v="38"/>
    <x v="0"/>
    <x v="37"/>
    <d v="2022-02-04T00:00:00"/>
    <d v="2021-07-01T00:00:00"/>
    <d v="2022-06-30T00:00:00"/>
    <n v="7370"/>
    <n v="7444"/>
    <n v="0"/>
    <n v="7444"/>
    <n v="0"/>
    <n v="7444"/>
  </r>
  <r>
    <n v="39"/>
    <x v="0"/>
    <x v="38"/>
    <d v="2022-02-09T00:00:00"/>
    <d v="2021-07-01T00:00:00"/>
    <d v="2022-06-30T00:00:00"/>
    <n v="10350"/>
    <n v="10454"/>
    <n v="0"/>
    <n v="10454"/>
    <n v="0"/>
    <n v="10454"/>
  </r>
  <r>
    <n v="40"/>
    <x v="0"/>
    <x v="39"/>
    <d v="2022-02-10T00:00:00"/>
    <d v="2021-07-01T00:00:00"/>
    <d v="2022-06-30T00:00:00"/>
    <n v="15020"/>
    <n v="15170"/>
    <n v="0"/>
    <n v="15170"/>
    <n v="0"/>
    <n v="15170"/>
  </r>
  <r>
    <n v="41"/>
    <x v="0"/>
    <x v="40"/>
    <d v="2022-02-26T00:00:00"/>
    <d v="2021-07-01T00:00:00"/>
    <d v="2022-06-30T00:00:00"/>
    <n v="34450"/>
    <n v="34795"/>
    <n v="0"/>
    <n v="34795"/>
    <n v="0"/>
    <n v="34795"/>
  </r>
  <r>
    <n v="42"/>
    <x v="0"/>
    <x v="41"/>
    <d v="2022-03-02T00:00:00"/>
    <d v="2021-07-01T00:00:00"/>
    <d v="2022-06-30T00:00:00"/>
    <n v="17824"/>
    <n v="18002"/>
    <n v="0"/>
    <n v="18002"/>
    <n v="0"/>
    <n v="18002"/>
  </r>
  <r>
    <n v="43"/>
    <x v="0"/>
    <x v="42"/>
    <d v="2022-03-03T00:00:00"/>
    <d v="2021-07-01T00:00:00"/>
    <d v="2022-06-30T00:00:00"/>
    <n v="-657531"/>
    <n v="-664106"/>
    <n v="0"/>
    <n v="-664106"/>
    <n v="0"/>
    <n v="-664106"/>
  </r>
  <r>
    <n v="44"/>
    <x v="0"/>
    <x v="43"/>
    <d v="2022-03-22T00:00:00"/>
    <d v="2021-07-01T00:00:00"/>
    <d v="2022-06-30T00:00:00"/>
    <n v="25772"/>
    <n v="26030"/>
    <n v="0"/>
    <n v="26030"/>
    <n v="0"/>
    <n v="26030"/>
  </r>
  <r>
    <n v="45"/>
    <x v="0"/>
    <x v="44"/>
    <d v="2022-04-02T00:00:00"/>
    <d v="2021-07-01T00:00:00"/>
    <d v="2022-06-30T00:00:00"/>
    <n v="50247"/>
    <n v="50749"/>
    <n v="0"/>
    <n v="50749"/>
    <n v="0"/>
    <n v="50749"/>
  </r>
  <r>
    <n v="46"/>
    <x v="0"/>
    <x v="45"/>
    <d v="2022-04-06T00:00:00"/>
    <d v="2021-07-01T00:00:00"/>
    <d v="2022-06-30T00:00:00"/>
    <n v="-31563"/>
    <n v="-31879"/>
    <n v="0"/>
    <n v="-31879"/>
    <n v="0"/>
    <n v="-31879"/>
  </r>
  <r>
    <n v="47"/>
    <x v="0"/>
    <x v="46"/>
    <d v="2022-04-13T00:00:00"/>
    <d v="2021-07-01T00:00:00"/>
    <d v="2022-06-30T00:00:00"/>
    <n v="17245"/>
    <n v="17417"/>
    <n v="0"/>
    <n v="17417"/>
    <n v="0"/>
    <n v="17417"/>
  </r>
  <r>
    <n v="48"/>
    <x v="0"/>
    <x v="47"/>
    <d v="2022-04-19T00:00:00"/>
    <d v="2021-07-01T00:00:00"/>
    <d v="2022-06-30T00:00:00"/>
    <n v="1555"/>
    <n v="1571"/>
    <n v="0"/>
    <n v="1571"/>
    <n v="0"/>
    <n v="1571"/>
  </r>
  <r>
    <n v="49"/>
    <x v="0"/>
    <x v="48"/>
    <d v="2022-04-20T00:00:00"/>
    <d v="2021-07-01T00:00:00"/>
    <d v="2022-06-30T00:00:00"/>
    <n v="2019"/>
    <n v="2039"/>
    <n v="0"/>
    <n v="2039"/>
    <n v="0"/>
    <n v="2039"/>
  </r>
  <r>
    <n v="50"/>
    <x v="0"/>
    <x v="49"/>
    <d v="2022-04-28T00:00:00"/>
    <d v="2021-07-01T00:00:00"/>
    <d v="2022-06-30T00:00:00"/>
    <n v="9995"/>
    <n v="10095"/>
    <n v="0"/>
    <n v="10095"/>
    <n v="0"/>
    <n v="10095"/>
  </r>
  <r>
    <n v="51"/>
    <x v="0"/>
    <x v="50"/>
    <d v="2022-05-12T00:00:00"/>
    <d v="2021-07-01T00:00:00"/>
    <d v="2022-06-30T00:00:00"/>
    <n v="16534"/>
    <n v="16699"/>
    <n v="0"/>
    <n v="16699"/>
    <n v="0"/>
    <n v="16699"/>
  </r>
  <r>
    <n v="52"/>
    <x v="0"/>
    <x v="51"/>
    <d v="2022-05-18T00:00:00"/>
    <d v="2021-07-01T00:00:00"/>
    <d v="2022-06-30T00:00:00"/>
    <n v="4772"/>
    <n v="4820"/>
    <n v="0"/>
    <n v="4820"/>
    <n v="0"/>
    <n v="4820"/>
  </r>
  <r>
    <n v="53"/>
    <x v="0"/>
    <x v="52"/>
    <d v="2022-05-30T00:00:00"/>
    <d v="2021-07-01T00:00:00"/>
    <d v="2022-06-30T00:00:00"/>
    <n v="29195"/>
    <n v="29487"/>
    <n v="0"/>
    <n v="29487"/>
    <n v="0"/>
    <n v="29487"/>
  </r>
  <r>
    <n v="54"/>
    <x v="0"/>
    <x v="53"/>
    <d v="2022-06-07T00:00:00"/>
    <d v="2021-07-01T00:00:00"/>
    <d v="2022-06-30T00:00:00"/>
    <n v="1070"/>
    <n v="1081"/>
    <n v="0"/>
    <n v="1081"/>
    <n v="0"/>
    <n v="1081"/>
  </r>
  <r>
    <n v="55"/>
    <x v="0"/>
    <x v="54"/>
    <d v="2022-06-15T00:00:00"/>
    <d v="2021-07-01T00:00:00"/>
    <d v="2022-06-30T00:00:00"/>
    <n v="1082"/>
    <n v="1093"/>
    <n v="0"/>
    <n v="1093"/>
    <n v="0"/>
    <n v="1093"/>
  </r>
  <r>
    <n v="56"/>
    <x v="0"/>
    <x v="55"/>
    <d v="2022-06-17T00:00:00"/>
    <d v="2021-07-01T00:00:00"/>
    <d v="2022-06-30T00:00:00"/>
    <n v="13476"/>
    <n v="13611"/>
    <n v="0"/>
    <n v="13611"/>
    <n v="0"/>
    <n v="13611"/>
  </r>
  <r>
    <n v="57"/>
    <x v="0"/>
    <x v="56"/>
    <d v="2022-06-21T00:00:00"/>
    <d v="2021-07-01T00:00:00"/>
    <d v="2022-06-30T00:00:00"/>
    <n v="-8797"/>
    <n v="-8885"/>
    <n v="0"/>
    <n v="-8885"/>
    <n v="0"/>
    <n v="-8885"/>
  </r>
  <r>
    <n v="58"/>
    <x v="0"/>
    <x v="57"/>
    <d v="2022-06-27T00:00:00"/>
    <d v="2021-07-01T00:00:00"/>
    <d v="2022-06-30T00:00:00"/>
    <n v="21895"/>
    <n v="22114"/>
    <n v="0"/>
    <n v="22114"/>
    <n v="0"/>
    <n v="22114"/>
  </r>
  <r>
    <n v="59"/>
    <x v="0"/>
    <x v="58"/>
    <d v="2022-07-28T00:00:00"/>
    <d v="2021-07-01T00:00:00"/>
    <d v="2022-06-30T00:00:00"/>
    <n v="-6657"/>
    <n v="-6724"/>
    <n v="0"/>
    <n v="-6724"/>
    <n v="0"/>
    <n v="-6724"/>
  </r>
  <r>
    <n v="60"/>
    <x v="0"/>
    <x v="59"/>
    <d v="2023-10-06T00:00:00"/>
    <d v="2021-07-01T00:00:00"/>
    <d v="2022-06-30T00:00:00"/>
    <n v="-137426"/>
    <n v="-138800"/>
    <n v="0"/>
    <n v="-138800"/>
    <n v="0"/>
    <n v="-138800"/>
  </r>
  <r>
    <n v="1"/>
    <x v="1"/>
    <x v="60"/>
    <d v="2022-07-29T00:00:00"/>
    <d v="2022-07-01T00:00:00"/>
    <d v="2023-06-30T00:00:00"/>
    <n v="300148"/>
    <n v="303149"/>
    <n v="0"/>
    <n v="303149"/>
    <n v="0"/>
    <n v="303149"/>
  </r>
  <r>
    <n v="2"/>
    <x v="1"/>
    <x v="61"/>
    <d v="2022-08-01T00:00:00"/>
    <d v="2022-07-01T00:00:00"/>
    <d v="2023-06-30T00:00:00"/>
    <n v="15125"/>
    <n v="15276"/>
    <n v="0"/>
    <n v="15276"/>
    <n v="0"/>
    <n v="15276"/>
  </r>
  <r>
    <n v="3"/>
    <x v="1"/>
    <x v="62"/>
    <d v="2022-08-03T00:00:00"/>
    <d v="2022-07-01T00:00:00"/>
    <d v="2023-06-30T00:00:00"/>
    <n v="13955"/>
    <n v="14095"/>
    <n v="0"/>
    <n v="14095"/>
    <n v="0"/>
    <n v="14095"/>
  </r>
  <r>
    <n v="4"/>
    <x v="1"/>
    <x v="63"/>
    <d v="2022-08-25T00:00:00"/>
    <d v="2022-07-01T00:00:00"/>
    <d v="2023-06-30T00:00:00"/>
    <n v="98884"/>
    <n v="99873"/>
    <n v="0"/>
    <n v="99873"/>
    <n v="0"/>
    <n v="99873"/>
  </r>
  <r>
    <n v="5"/>
    <x v="1"/>
    <x v="64"/>
    <d v="2022-08-26T00:00:00"/>
    <d v="2022-07-01T00:00:00"/>
    <d v="2023-06-30T00:00:00"/>
    <n v="-31085"/>
    <n v="-31396"/>
    <n v="0"/>
    <n v="-31396"/>
    <n v="0"/>
    <n v="-31396"/>
  </r>
  <r>
    <n v="6"/>
    <x v="1"/>
    <x v="65"/>
    <d v="2022-08-31T00:00:00"/>
    <d v="2022-07-01T00:00:00"/>
    <d v="2023-06-30T00:00:00"/>
    <n v="15251"/>
    <n v="15404"/>
    <n v="0"/>
    <n v="15404"/>
    <n v="0"/>
    <n v="15404"/>
  </r>
  <r>
    <n v="7"/>
    <x v="1"/>
    <x v="66"/>
    <d v="2022-09-06T00:00:00"/>
    <d v="2022-07-01T00:00:00"/>
    <d v="2023-06-30T00:00:00"/>
    <n v="13078"/>
    <n v="13209"/>
    <n v="0"/>
    <n v="13209"/>
    <n v="0"/>
    <n v="13209"/>
  </r>
  <r>
    <n v="8"/>
    <x v="1"/>
    <x v="67"/>
    <d v="2022-09-08T00:00:00"/>
    <d v="2022-07-01T00:00:00"/>
    <d v="2023-06-30T00:00:00"/>
    <n v="8312"/>
    <n v="8395"/>
    <n v="0"/>
    <n v="8395"/>
    <n v="0"/>
    <n v="8395"/>
  </r>
  <r>
    <n v="9"/>
    <x v="1"/>
    <x v="68"/>
    <d v="2022-09-12T00:00:00"/>
    <d v="2022-07-01T00:00:00"/>
    <d v="2023-06-30T00:00:00"/>
    <n v="78503"/>
    <n v="79288"/>
    <n v="0"/>
    <n v="79288"/>
    <n v="0"/>
    <n v="79288"/>
  </r>
  <r>
    <n v="10"/>
    <x v="1"/>
    <x v="69"/>
    <d v="2022-09-13T00:00:00"/>
    <d v="2022-07-01T00:00:00"/>
    <d v="2023-06-30T00:00:00"/>
    <n v="106744"/>
    <n v="107811"/>
    <n v="0"/>
    <n v="107811"/>
    <n v="0"/>
    <n v="107811"/>
  </r>
  <r>
    <n v="11"/>
    <x v="1"/>
    <x v="70"/>
    <d v="2022-09-17T00:00:00"/>
    <d v="2022-07-01T00:00:00"/>
    <d v="2023-06-30T00:00:00"/>
    <n v="45742"/>
    <n v="46199"/>
    <n v="0"/>
    <n v="46199"/>
    <n v="0"/>
    <n v="46199"/>
  </r>
  <r>
    <n v="12"/>
    <x v="1"/>
    <x v="71"/>
    <d v="2022-09-22T00:00:00"/>
    <d v="2022-07-01T00:00:00"/>
    <d v="2023-06-30T00:00:00"/>
    <n v="12075"/>
    <n v="12196"/>
    <n v="0"/>
    <n v="12196"/>
    <n v="0"/>
    <n v="12196"/>
  </r>
  <r>
    <n v="13"/>
    <x v="1"/>
    <x v="72"/>
    <d v="2022-09-28T00:00:00"/>
    <d v="2022-07-01T00:00:00"/>
    <d v="2023-06-30T00:00:00"/>
    <n v="6331"/>
    <n v="6394"/>
    <n v="0"/>
    <n v="6394"/>
    <n v="0"/>
    <n v="6394"/>
  </r>
  <r>
    <n v="14"/>
    <x v="1"/>
    <x v="73"/>
    <d v="2022-10-11T00:00:00"/>
    <d v="2022-07-01T00:00:00"/>
    <d v="2023-06-30T00:00:00"/>
    <n v="11240"/>
    <n v="11352"/>
    <n v="0"/>
    <n v="11352"/>
    <n v="0"/>
    <n v="11352"/>
  </r>
  <r>
    <n v="15"/>
    <x v="1"/>
    <x v="74"/>
    <d v="2022-10-20T00:00:00"/>
    <d v="2022-07-01T00:00:00"/>
    <d v="2023-06-30T00:00:00"/>
    <n v="15251"/>
    <n v="15404"/>
    <n v="0"/>
    <n v="15404"/>
    <n v="0"/>
    <n v="15404"/>
  </r>
  <r>
    <n v="16"/>
    <x v="1"/>
    <x v="75"/>
    <d v="2022-10-24T00:00:00"/>
    <d v="2022-07-01T00:00:00"/>
    <d v="2023-06-30T00:00:00"/>
    <n v="15251"/>
    <n v="15404"/>
    <n v="0"/>
    <n v="15404"/>
    <n v="0"/>
    <n v="15404"/>
  </r>
  <r>
    <n v="17"/>
    <x v="1"/>
    <x v="76"/>
    <d v="2022-10-31T00:00:00"/>
    <d v="2022-07-01T00:00:00"/>
    <d v="2023-06-30T00:00:00"/>
    <n v="10362"/>
    <n v="10466"/>
    <n v="0"/>
    <n v="10466"/>
    <n v="0"/>
    <n v="10466"/>
  </r>
  <r>
    <n v="18"/>
    <x v="1"/>
    <x v="77"/>
    <d v="2022-11-03T00:00:00"/>
    <d v="2022-07-01T00:00:00"/>
    <d v="2023-06-30T00:00:00"/>
    <n v="-327477"/>
    <n v="-330752"/>
    <n v="0"/>
    <n v="-330752"/>
    <n v="0"/>
    <n v="-330752"/>
  </r>
  <r>
    <n v="19"/>
    <x v="1"/>
    <x v="78"/>
    <d v="2022-11-08T00:00:00"/>
    <d v="2022-07-01T00:00:00"/>
    <d v="2023-06-30T00:00:00"/>
    <n v="45752"/>
    <n v="46210"/>
    <n v="0"/>
    <n v="46210"/>
    <n v="0"/>
    <n v="46210"/>
  </r>
  <r>
    <n v="20"/>
    <x v="1"/>
    <x v="79"/>
    <d v="2022-11-18T00:00:00"/>
    <d v="2022-07-01T00:00:00"/>
    <d v="2023-06-30T00:00:00"/>
    <n v="5169"/>
    <n v="5221"/>
    <n v="0"/>
    <n v="5221"/>
    <n v="0"/>
    <n v="5221"/>
  </r>
  <r>
    <n v="21"/>
    <x v="1"/>
    <x v="80"/>
    <d v="2022-11-22T00:00:00"/>
    <d v="2022-07-01T00:00:00"/>
    <d v="2023-06-30T00:00:00"/>
    <n v="11323"/>
    <n v="11436"/>
    <n v="0"/>
    <n v="11436"/>
    <n v="0"/>
    <n v="11436"/>
  </r>
  <r>
    <n v="22"/>
    <x v="1"/>
    <x v="81"/>
    <d v="2022-11-23T00:00:00"/>
    <d v="2022-07-01T00:00:00"/>
    <d v="2023-06-30T00:00:00"/>
    <n v="51580"/>
    <n v="52096"/>
    <n v="0"/>
    <n v="52096"/>
    <n v="0"/>
    <n v="52096"/>
  </r>
  <r>
    <n v="23"/>
    <x v="1"/>
    <x v="82"/>
    <d v="2022-11-29T00:00:00"/>
    <d v="2022-07-01T00:00:00"/>
    <d v="2023-06-30T00:00:00"/>
    <n v="41156"/>
    <n v="41568"/>
    <n v="0"/>
    <n v="41568"/>
    <n v="0"/>
    <n v="41568"/>
  </r>
  <r>
    <n v="24"/>
    <x v="1"/>
    <x v="83"/>
    <d v="2022-12-15T00:00:00"/>
    <d v="2022-07-01T00:00:00"/>
    <d v="2023-06-30T00:00:00"/>
    <n v="11490"/>
    <n v="11605"/>
    <n v="0"/>
    <n v="11605"/>
    <n v="0"/>
    <n v="11605"/>
  </r>
  <r>
    <n v="25"/>
    <x v="1"/>
    <x v="84"/>
    <d v="2022-12-16T00:00:00"/>
    <d v="2022-07-01T00:00:00"/>
    <d v="2023-06-30T00:00:00"/>
    <n v="10320"/>
    <n v="10423"/>
    <n v="0"/>
    <n v="10423"/>
    <n v="0"/>
    <n v="10423"/>
  </r>
  <r>
    <n v="26"/>
    <x v="1"/>
    <x v="85"/>
    <d v="2022-12-27T00:00:00"/>
    <d v="2022-07-01T00:00:00"/>
    <d v="2023-06-30T00:00:00"/>
    <n v="7897"/>
    <n v="7976"/>
    <n v="0"/>
    <n v="7976"/>
    <n v="0"/>
    <n v="7976"/>
  </r>
  <r>
    <n v="27"/>
    <x v="1"/>
    <x v="86"/>
    <d v="2023-01-05T00:00:00"/>
    <d v="2022-07-01T00:00:00"/>
    <d v="2023-06-30T00:00:00"/>
    <n v="9694"/>
    <n v="9791"/>
    <n v="0"/>
    <n v="9791"/>
    <n v="0"/>
    <n v="9791"/>
  </r>
  <r>
    <n v="28"/>
    <x v="1"/>
    <x v="87"/>
    <d v="2023-01-10T00:00:00"/>
    <d v="2022-07-01T00:00:00"/>
    <d v="2023-06-30T00:00:00"/>
    <n v="7103"/>
    <n v="7174"/>
    <n v="0"/>
    <n v="7174"/>
    <n v="0"/>
    <n v="7174"/>
  </r>
  <r>
    <n v="29"/>
    <x v="1"/>
    <x v="88"/>
    <d v="2023-01-18T00:00:00"/>
    <d v="2022-07-01T00:00:00"/>
    <d v="2023-06-30T00:00:00"/>
    <n v="71207"/>
    <n v="71919"/>
    <n v="0"/>
    <n v="71919"/>
    <n v="0"/>
    <n v="71919"/>
  </r>
  <r>
    <n v="30"/>
    <x v="1"/>
    <x v="89"/>
    <d v="2023-01-19T00:00:00"/>
    <d v="2022-07-01T00:00:00"/>
    <d v="2023-06-30T00:00:00"/>
    <n v="73216"/>
    <n v="73948"/>
    <n v="0"/>
    <n v="73948"/>
    <n v="0"/>
    <n v="73948"/>
  </r>
  <r>
    <n v="31"/>
    <x v="1"/>
    <x v="90"/>
    <d v="2023-01-25T00:00:00"/>
    <d v="2022-07-01T00:00:00"/>
    <d v="2023-06-30T00:00:00"/>
    <n v="15251"/>
    <n v="15404"/>
    <n v="0"/>
    <n v="15404"/>
    <n v="0"/>
    <n v="15404"/>
  </r>
  <r>
    <n v="32"/>
    <x v="1"/>
    <x v="91"/>
    <d v="2023-01-30T00:00:00"/>
    <d v="2022-07-01T00:00:00"/>
    <d v="2023-06-30T00:00:00"/>
    <n v="54064"/>
    <n v="54605"/>
    <n v="0"/>
    <n v="54605"/>
    <n v="0"/>
    <n v="54605"/>
  </r>
  <r>
    <n v="33"/>
    <x v="1"/>
    <x v="92"/>
    <d v="2023-02-01T00:00:00"/>
    <d v="2022-07-01T00:00:00"/>
    <d v="2023-06-30T00:00:00"/>
    <n v="61937"/>
    <n v="62556"/>
    <n v="0"/>
    <n v="62556"/>
    <n v="0"/>
    <n v="62556"/>
  </r>
  <r>
    <n v="34"/>
    <x v="1"/>
    <x v="93"/>
    <d v="2023-02-02T00:00:00"/>
    <d v="2022-07-01T00:00:00"/>
    <d v="2023-06-30T00:00:00"/>
    <n v="7521"/>
    <n v="7596"/>
    <n v="0"/>
    <n v="7596"/>
    <n v="0"/>
    <n v="7596"/>
  </r>
  <r>
    <n v="35"/>
    <x v="1"/>
    <x v="94"/>
    <d v="2023-02-10T00:00:00"/>
    <d v="2022-07-01T00:00:00"/>
    <d v="2023-06-30T00:00:00"/>
    <n v="-95416"/>
    <n v="-96370"/>
    <n v="0"/>
    <n v="-96370"/>
    <n v="0"/>
    <n v="-96370"/>
  </r>
  <r>
    <n v="36"/>
    <x v="1"/>
    <x v="95"/>
    <d v="2023-02-14T00:00:00"/>
    <d v="2022-07-01T00:00:00"/>
    <d v="2023-06-30T00:00:00"/>
    <n v="36894"/>
    <n v="37263"/>
    <n v="0"/>
    <n v="37263"/>
    <n v="0"/>
    <n v="37263"/>
  </r>
  <r>
    <n v="37"/>
    <x v="1"/>
    <x v="96"/>
    <d v="2023-02-21T00:00:00"/>
    <d v="2022-07-01T00:00:00"/>
    <d v="2023-06-30T00:00:00"/>
    <n v="12284"/>
    <n v="12407"/>
    <n v="0"/>
    <n v="12407"/>
    <n v="0"/>
    <n v="12407"/>
  </r>
  <r>
    <n v="38"/>
    <x v="1"/>
    <x v="97"/>
    <d v="2023-02-28T00:00:00"/>
    <d v="2022-07-01T00:00:00"/>
    <d v="2023-06-30T00:00:00"/>
    <n v="54186"/>
    <n v="54728"/>
    <n v="0"/>
    <n v="54728"/>
    <n v="0"/>
    <n v="54728"/>
  </r>
  <r>
    <n v="39"/>
    <x v="1"/>
    <x v="98"/>
    <d v="2023-03-07T00:00:00"/>
    <d v="2022-07-01T00:00:00"/>
    <d v="2023-06-30T00:00:00"/>
    <n v="-82734"/>
    <n v="-83561"/>
    <n v="0"/>
    <n v="-83561"/>
    <n v="0"/>
    <n v="-83561"/>
  </r>
  <r>
    <n v="40"/>
    <x v="1"/>
    <x v="99"/>
    <d v="2023-03-09T00:00:00"/>
    <d v="2022-07-01T00:00:00"/>
    <d v="2023-06-30T00:00:00"/>
    <n v="4972"/>
    <n v="5022"/>
    <n v="0"/>
    <n v="5022"/>
    <n v="0"/>
    <n v="5022"/>
  </r>
  <r>
    <n v="41"/>
    <x v="1"/>
    <x v="100"/>
    <d v="2023-03-14T00:00:00"/>
    <d v="2022-07-01T00:00:00"/>
    <d v="2023-06-30T00:00:00"/>
    <n v="69097"/>
    <n v="69788"/>
    <n v="0"/>
    <n v="69788"/>
    <n v="0"/>
    <n v="69788"/>
  </r>
  <r>
    <n v="42"/>
    <x v="1"/>
    <x v="101"/>
    <d v="2023-04-03T00:00:00"/>
    <d v="2022-07-01T00:00:00"/>
    <d v="2023-06-30T00:00:00"/>
    <n v="45742"/>
    <n v="46199"/>
    <n v="0"/>
    <n v="46199"/>
    <n v="0"/>
    <n v="46199"/>
  </r>
  <r>
    <n v="43"/>
    <x v="1"/>
    <x v="102"/>
    <d v="2023-04-04T00:00:00"/>
    <d v="2022-07-01T00:00:00"/>
    <d v="2023-06-30T00:00:00"/>
    <n v="-20701"/>
    <n v="-20908"/>
    <n v="0"/>
    <n v="-20908"/>
    <n v="0"/>
    <n v="-20908"/>
  </r>
  <r>
    <n v="44"/>
    <x v="1"/>
    <x v="103"/>
    <d v="2023-04-10T00:00:00"/>
    <d v="2022-07-01T00:00:00"/>
    <d v="2023-06-30T00:00:00"/>
    <n v="9986"/>
    <n v="10086"/>
    <n v="0"/>
    <n v="10086"/>
    <n v="0"/>
    <n v="10086"/>
  </r>
  <r>
    <n v="45"/>
    <x v="1"/>
    <x v="104"/>
    <d v="2023-04-20T00:00:00"/>
    <d v="2022-07-01T00:00:00"/>
    <d v="2023-06-30T00:00:00"/>
    <n v="34742"/>
    <n v="35089"/>
    <n v="0"/>
    <n v="35089"/>
    <n v="0"/>
    <n v="35089"/>
  </r>
  <r>
    <n v="46"/>
    <x v="1"/>
    <x v="105"/>
    <d v="2023-04-26T00:00:00"/>
    <d v="2022-07-01T00:00:00"/>
    <d v="2023-06-30T00:00:00"/>
    <n v="45706"/>
    <n v="46163"/>
    <n v="0"/>
    <n v="46163"/>
    <n v="0"/>
    <n v="46163"/>
  </r>
  <r>
    <n v="47"/>
    <x v="1"/>
    <x v="106"/>
    <d v="2023-04-28T00:00:00"/>
    <d v="2022-07-01T00:00:00"/>
    <d v="2023-06-30T00:00:00"/>
    <n v="18720"/>
    <n v="18907"/>
    <n v="0"/>
    <n v="18907"/>
    <n v="0"/>
    <n v="18907"/>
  </r>
  <r>
    <n v="48"/>
    <x v="1"/>
    <x v="107"/>
    <d v="2023-05-03T00:00:00"/>
    <d v="2022-07-01T00:00:00"/>
    <d v="2023-06-30T00:00:00"/>
    <n v="2925"/>
    <n v="2954"/>
    <n v="0"/>
    <n v="2954"/>
    <n v="0"/>
    <n v="2954"/>
  </r>
  <r>
    <n v="49"/>
    <x v="1"/>
    <x v="108"/>
    <d v="2023-05-04T00:00:00"/>
    <d v="2022-07-01T00:00:00"/>
    <d v="2023-06-30T00:00:00"/>
    <n v="110353"/>
    <n v="111457"/>
    <n v="0"/>
    <n v="111457"/>
    <n v="0"/>
    <n v="111457"/>
  </r>
  <r>
    <n v="50"/>
    <x v="1"/>
    <x v="109"/>
    <d v="2023-05-17T00:00:00"/>
    <d v="2022-07-01T00:00:00"/>
    <d v="2023-06-30T00:00:00"/>
    <n v="-475310"/>
    <n v="-480063"/>
    <n v="0"/>
    <n v="-480063"/>
    <n v="0"/>
    <n v="-480063"/>
  </r>
  <r>
    <n v="51"/>
    <x v="1"/>
    <x v="110"/>
    <d v="2023-05-18T00:00:00"/>
    <d v="2022-07-01T00:00:00"/>
    <d v="2023-06-30T00:00:00"/>
    <n v="4011"/>
    <n v="4051"/>
    <n v="0"/>
    <n v="4051"/>
    <n v="0"/>
    <n v="4051"/>
  </r>
  <r>
    <n v="52"/>
    <x v="1"/>
    <x v="111"/>
    <d v="2023-05-23T00:00:00"/>
    <d v="2022-07-01T00:00:00"/>
    <d v="2023-06-30T00:00:00"/>
    <n v="-556445"/>
    <n v="-562009"/>
    <n v="0"/>
    <n v="-562009"/>
    <n v="0"/>
    <n v="-562009"/>
  </r>
  <r>
    <n v="53"/>
    <x v="1"/>
    <x v="112"/>
    <d v="2023-05-29T00:00:00"/>
    <d v="2022-07-01T00:00:00"/>
    <d v="2023-06-30T00:00:00"/>
    <n v="1630"/>
    <n v="1646"/>
    <n v="0"/>
    <n v="1646"/>
    <n v="0"/>
    <n v="1646"/>
  </r>
  <r>
    <n v="54"/>
    <x v="1"/>
    <x v="113"/>
    <d v="2023-05-30T00:00:00"/>
    <d v="2022-07-01T00:00:00"/>
    <d v="2023-06-30T00:00:00"/>
    <n v="19220"/>
    <n v="19412"/>
    <n v="0"/>
    <n v="19412"/>
    <n v="0"/>
    <n v="19412"/>
  </r>
  <r>
    <n v="55"/>
    <x v="1"/>
    <x v="114"/>
    <d v="2023-06-05T00:00:00"/>
    <d v="2022-07-01T00:00:00"/>
    <d v="2023-06-30T00:00:00"/>
    <n v="24643"/>
    <n v="24889"/>
    <n v="0"/>
    <n v="24889"/>
    <n v="0"/>
    <n v="24889"/>
  </r>
  <r>
    <n v="56"/>
    <x v="1"/>
    <x v="115"/>
    <d v="2023-06-06T00:00:00"/>
    <d v="2022-07-01T00:00:00"/>
    <d v="2023-06-30T00:00:00"/>
    <n v="45530"/>
    <n v="45985"/>
    <n v="0"/>
    <n v="45985"/>
    <n v="0"/>
    <n v="45985"/>
  </r>
  <r>
    <n v="57"/>
    <x v="1"/>
    <x v="116"/>
    <d v="2023-06-12T00:00:00"/>
    <d v="2022-07-01T00:00:00"/>
    <d v="2023-06-30T00:00:00"/>
    <n v="11708"/>
    <n v="11825"/>
    <n v="0"/>
    <n v="11825"/>
    <n v="0"/>
    <n v="11825"/>
  </r>
  <r>
    <n v="58"/>
    <x v="1"/>
    <x v="117"/>
    <d v="2023-06-19T00:00:00"/>
    <d v="2022-07-01T00:00:00"/>
    <d v="2023-06-30T00:00:00"/>
    <n v="1964"/>
    <n v="1984"/>
    <n v="0"/>
    <n v="1984"/>
    <n v="0"/>
    <n v="1984"/>
  </r>
  <r>
    <n v="59"/>
    <x v="1"/>
    <x v="118"/>
    <d v="2023-10-06T00:00:00"/>
    <d v="2022-07-01T00:00:00"/>
    <d v="2023-06-30T00:00:00"/>
    <n v="-431336"/>
    <n v="-435649"/>
    <n v="0"/>
    <n v="-435649"/>
    <n v="0"/>
    <n v="-435649"/>
  </r>
  <r>
    <n v="1"/>
    <x v="2"/>
    <x v="119"/>
    <d v="2023-08-10T00:00:00"/>
    <d v="2023-07-01T00:00:00"/>
    <d v="2024-06-30T00:00:00"/>
    <n v="13973"/>
    <n v="14113"/>
    <n v="0"/>
    <n v="14113"/>
    <n v="0"/>
    <n v="14113"/>
  </r>
  <r>
    <n v="2"/>
    <x v="2"/>
    <x v="120"/>
    <d v="2023-08-17T00:00:00"/>
    <d v="2023-07-01T00:00:00"/>
    <d v="2024-06-30T00:00:00"/>
    <n v="15197"/>
    <n v="15349"/>
    <n v="0"/>
    <n v="15349"/>
    <n v="0"/>
    <n v="15349"/>
  </r>
  <r>
    <n v="3"/>
    <x v="2"/>
    <x v="121"/>
    <d v="2023-08-23T00:00:00"/>
    <d v="2023-07-01T00:00:00"/>
    <d v="2024-06-30T00:00:00"/>
    <n v="89862"/>
    <n v="90761"/>
    <n v="0"/>
    <n v="90761"/>
    <n v="0"/>
    <n v="90761"/>
  </r>
  <r>
    <n v="4"/>
    <x v="2"/>
    <x v="122"/>
    <d v="2023-09-04T00:00:00"/>
    <d v="2023-07-01T00:00:00"/>
    <d v="2024-06-30T00:00:00"/>
    <n v="261"/>
    <n v="264"/>
    <n v="0"/>
    <n v="264"/>
    <n v="0"/>
    <n v="264"/>
  </r>
  <r>
    <n v="5"/>
    <x v="2"/>
    <x v="123"/>
    <d v="2023-09-12T00:00:00"/>
    <d v="2023-07-01T00:00:00"/>
    <d v="2024-06-30T00:00:00"/>
    <n v="15490"/>
    <n v="15645"/>
    <n v="0"/>
    <n v="15645"/>
    <n v="0"/>
    <n v="15645"/>
  </r>
  <r>
    <n v="6"/>
    <x v="2"/>
    <x v="124"/>
    <d v="2023-09-14T00:00:00"/>
    <d v="2023-07-01T00:00:00"/>
    <d v="2024-06-30T00:00:00"/>
    <n v="142107"/>
    <n v="143528"/>
    <n v="0"/>
    <n v="143528"/>
    <n v="0"/>
    <n v="143528"/>
  </r>
  <r>
    <n v="7"/>
    <x v="2"/>
    <x v="125"/>
    <d v="2023-09-25T00:00:00"/>
    <d v="2023-07-01T00:00:00"/>
    <d v="2024-06-30T00:00:00"/>
    <n v="108999"/>
    <n v="110089"/>
    <n v="0"/>
    <n v="110089"/>
    <n v="0"/>
    <n v="110089"/>
  </r>
  <r>
    <n v="8"/>
    <x v="2"/>
    <x v="126"/>
    <d v="2023-10-02T00:00:00"/>
    <d v="2023-07-01T00:00:00"/>
    <d v="2024-06-30T00:00:00"/>
    <n v="11609"/>
    <n v="11725"/>
    <n v="0"/>
    <n v="11725"/>
    <n v="0"/>
    <n v="11725"/>
  </r>
  <r>
    <n v="9"/>
    <x v="2"/>
    <x v="127"/>
    <d v="2023-10-16T00:00:00"/>
    <d v="2023-07-01T00:00:00"/>
    <d v="2024-06-30T00:00:00"/>
    <n v="11018"/>
    <n v="11128"/>
    <n v="0"/>
    <n v="11128"/>
    <n v="0"/>
    <n v="11128"/>
  </r>
  <r>
    <n v="10"/>
    <x v="2"/>
    <x v="128"/>
    <d v="2023-10-20T00:00:00"/>
    <d v="2023-07-01T00:00:00"/>
    <d v="2024-06-30T00:00:00"/>
    <n v="15451"/>
    <n v="15606"/>
    <n v="15605"/>
    <n v="1"/>
    <n v="0"/>
    <n v="1"/>
  </r>
  <r>
    <n v="11"/>
    <x v="2"/>
    <x v="129"/>
    <d v="2023-10-23T00:00:00"/>
    <d v="2023-07-01T00:00:00"/>
    <d v="2024-06-30T00:00:00"/>
    <n v="70139"/>
    <n v="70840"/>
    <n v="0"/>
    <n v="70840"/>
    <n v="0"/>
    <n v="70840"/>
  </r>
  <r>
    <n v="12"/>
    <x v="2"/>
    <x v="130"/>
    <d v="2023-10-24T00:00:00"/>
    <d v="2023-07-01T00:00:00"/>
    <d v="2024-06-30T00:00:00"/>
    <n v="-107048"/>
    <n v="-108118"/>
    <n v="0"/>
    <n v="-108118"/>
    <n v="0"/>
    <n v="-108118"/>
  </r>
  <r>
    <n v="13"/>
    <x v="2"/>
    <x v="131"/>
    <d v="2023-10-24T00:00:00"/>
    <d v="2023-07-01T00:00:00"/>
    <d v="2024-06-30T00:00:00"/>
    <n v="15195"/>
    <n v="15347"/>
    <n v="0"/>
    <n v="15347"/>
    <n v="0"/>
    <n v="15347"/>
  </r>
  <r>
    <n v="14"/>
    <x v="2"/>
    <x v="132"/>
    <d v="2023-10-30T00:00:00"/>
    <d v="2023-07-01T00:00:00"/>
    <d v="2024-06-30T00:00:00"/>
    <n v="-410187"/>
    <n v="-414289"/>
    <n v="0"/>
    <n v="-414289"/>
    <n v="0"/>
    <n v="-414289"/>
  </r>
  <r>
    <n v="15"/>
    <x v="2"/>
    <x v="133"/>
    <d v="2023-10-31T00:00:00"/>
    <d v="2023-07-01T00:00:00"/>
    <d v="2024-06-30T00:00:00"/>
    <n v="15451"/>
    <n v="15606"/>
    <n v="0"/>
    <n v="15606"/>
    <n v="0"/>
    <n v="15606"/>
  </r>
  <r>
    <n v="16"/>
    <x v="2"/>
    <x v="134"/>
    <d v="2023-11-02T00:00:00"/>
    <d v="2023-07-01T00:00:00"/>
    <d v="2024-06-30T00:00:00"/>
    <n v="-5591"/>
    <n v="-5647"/>
    <n v="0"/>
    <n v="-5647"/>
    <n v="0"/>
    <n v="-5647"/>
  </r>
  <r>
    <n v="17"/>
    <x v="2"/>
    <x v="135"/>
    <d v="2023-11-06T00:00:00"/>
    <d v="2023-07-01T00:00:00"/>
    <d v="2024-06-30T00:00:00"/>
    <n v="-68507"/>
    <n v="-69192"/>
    <n v="0"/>
    <n v="-69192"/>
    <n v="0"/>
    <n v="-69192"/>
  </r>
  <r>
    <n v="18"/>
    <x v="2"/>
    <x v="136"/>
    <d v="2023-11-13T00:00:00"/>
    <d v="2023-07-01T00:00:00"/>
    <d v="2024-06-30T00:00:00"/>
    <n v="10498"/>
    <n v="10603"/>
    <n v="0"/>
    <n v="10603"/>
    <n v="0"/>
    <n v="10603"/>
  </r>
  <r>
    <n v="19"/>
    <x v="2"/>
    <x v="137"/>
    <d v="2023-11-15T00:00:00"/>
    <d v="2023-07-01T00:00:00"/>
    <d v="2024-06-30T00:00:00"/>
    <n v="5591"/>
    <n v="5647"/>
    <n v="0"/>
    <n v="5647"/>
    <n v="0"/>
    <n v="5647"/>
  </r>
  <r>
    <n v="20"/>
    <x v="2"/>
    <x v="138"/>
    <d v="2023-11-21T00:00:00"/>
    <d v="2023-07-01T00:00:00"/>
    <d v="2024-06-30T00:00:00"/>
    <n v="15282"/>
    <n v="15435"/>
    <n v="0"/>
    <n v="15435"/>
    <n v="0"/>
    <n v="15435"/>
  </r>
  <r>
    <n v="21"/>
    <x v="2"/>
    <x v="139"/>
    <d v="2023-12-05T00:00:00"/>
    <d v="2023-07-01T00:00:00"/>
    <d v="2024-06-30T00:00:00"/>
    <n v="19461"/>
    <n v="19656"/>
    <n v="0"/>
    <n v="19656"/>
    <n v="0"/>
    <n v="19656"/>
  </r>
  <r>
    <n v="22"/>
    <x v="2"/>
    <x v="140"/>
    <d v="2023-12-09T00:00:00"/>
    <d v="2023-07-01T00:00:00"/>
    <d v="2024-06-30T00:00:00"/>
    <n v="26794"/>
    <n v="27062"/>
    <n v="0"/>
    <n v="27062"/>
    <n v="0"/>
    <n v="27062"/>
  </r>
  <r>
    <n v="23"/>
    <x v="2"/>
    <x v="141"/>
    <d v="2023-12-13T00:00:00"/>
    <d v="2023-07-01T00:00:00"/>
    <d v="2024-06-30T00:00:00"/>
    <n v="-258611"/>
    <n v="-261197"/>
    <n v="0"/>
    <n v="-261197"/>
    <n v="0"/>
    <n v="-261197"/>
  </r>
  <r>
    <n v="24"/>
    <x v="2"/>
    <x v="142"/>
    <d v="2023-12-16T00:00:00"/>
    <d v="2023-07-01T00:00:00"/>
    <d v="2024-06-30T00:00:00"/>
    <n v="10202"/>
    <n v="10304"/>
    <n v="0"/>
    <n v="10304"/>
    <n v="0"/>
    <n v="10304"/>
  </r>
  <r>
    <n v="25"/>
    <x v="2"/>
    <x v="143"/>
    <d v="2023-12-18T00:00:00"/>
    <d v="2023-07-01T00:00:00"/>
    <d v="2024-06-30T00:00:00"/>
    <n v="9245"/>
    <n v="9337"/>
    <n v="0"/>
    <n v="9337"/>
    <n v="0"/>
    <n v="9337"/>
  </r>
  <r>
    <n v="26"/>
    <x v="2"/>
    <x v="144"/>
    <d v="2023-12-26T00:00:00"/>
    <d v="2023-07-01T00:00:00"/>
    <d v="2024-06-30T00:00:00"/>
    <n v="50380"/>
    <n v="50884"/>
    <n v="0"/>
    <n v="50884"/>
    <n v="0"/>
    <n v="50884"/>
  </r>
  <r>
    <n v="27"/>
    <x v="2"/>
    <x v="145"/>
    <d v="2024-01-01T00:00:00"/>
    <d v="2023-07-01T00:00:00"/>
    <d v="2024-06-30T00:00:00"/>
    <n v="8570"/>
    <n v="8656"/>
    <n v="0"/>
    <n v="8656"/>
    <n v="0"/>
    <n v="8656"/>
  </r>
  <r>
    <n v="28"/>
    <x v="2"/>
    <x v="146"/>
    <d v="2024-01-05T00:00:00"/>
    <d v="2023-07-01T00:00:00"/>
    <d v="2024-06-30T00:00:00"/>
    <n v="9161"/>
    <n v="9253"/>
    <n v="0"/>
    <n v="9253"/>
    <n v="0"/>
    <n v="9253"/>
  </r>
  <r>
    <n v="29"/>
    <x v="2"/>
    <x v="147"/>
    <d v="2024-01-06T00:00:00"/>
    <d v="2023-07-01T00:00:00"/>
    <d v="2024-06-30T00:00:00"/>
    <n v="7641"/>
    <n v="7717"/>
    <n v="0"/>
    <n v="7717"/>
    <n v="0"/>
    <n v="7717"/>
  </r>
  <r>
    <n v="30"/>
    <x v="2"/>
    <x v="148"/>
    <d v="2024-01-22T00:00:00"/>
    <d v="2023-07-01T00:00:00"/>
    <d v="2024-06-30T00:00:00"/>
    <n v="7852"/>
    <n v="7931"/>
    <n v="0"/>
    <n v="7931"/>
    <n v="0"/>
    <n v="7931"/>
  </r>
  <r>
    <n v="31"/>
    <x v="2"/>
    <x v="149"/>
    <d v="2024-01-22T00:00:00"/>
    <d v="2023-07-01T00:00:00"/>
    <d v="2024-06-30T00:00:00"/>
    <n v="8148"/>
    <n v="8229"/>
    <n v="0"/>
    <n v="8229"/>
    <n v="0"/>
    <n v="8229"/>
  </r>
  <r>
    <n v="32"/>
    <x v="2"/>
    <x v="150"/>
    <d v="2024-01-30T00:00:00"/>
    <d v="2023-07-01T00:00:00"/>
    <d v="2024-06-30T00:00:00"/>
    <n v="10216"/>
    <n v="10318"/>
    <n v="0"/>
    <n v="10318"/>
    <n v="0"/>
    <n v="10318"/>
  </r>
  <r>
    <n v="33"/>
    <x v="2"/>
    <x v="151"/>
    <d v="2024-02-02T00:00:00"/>
    <d v="2023-07-01T00:00:00"/>
    <d v="2024-06-30T00:00:00"/>
    <n v="7177"/>
    <n v="7249"/>
    <n v="0"/>
    <n v="7249"/>
    <n v="0"/>
    <n v="7249"/>
  </r>
  <r>
    <n v="34"/>
    <x v="2"/>
    <x v="152"/>
    <d v="2024-02-10T00:00:00"/>
    <d v="2023-07-01T00:00:00"/>
    <d v="2024-06-30T00:00:00"/>
    <n v="20512"/>
    <n v="20717"/>
    <n v="0"/>
    <n v="20717"/>
    <n v="0"/>
    <n v="20717"/>
  </r>
  <r>
    <n v="35"/>
    <x v="2"/>
    <x v="153"/>
    <d v="2024-02-14T00:00:00"/>
    <d v="2023-07-01T00:00:00"/>
    <d v="2024-06-30T00:00:00"/>
    <n v="33094"/>
    <n v="33425"/>
    <n v="0"/>
    <n v="33425"/>
    <n v="0"/>
    <n v="33425"/>
  </r>
  <r>
    <n v="36"/>
    <x v="2"/>
    <x v="154"/>
    <d v="2024-02-17T00:00:00"/>
    <d v="2023-07-01T00:00:00"/>
    <d v="2024-06-30T00:00:00"/>
    <n v="5868"/>
    <n v="5927"/>
    <n v="0"/>
    <n v="5927"/>
    <n v="0"/>
    <n v="5927"/>
  </r>
  <r>
    <n v="37"/>
    <x v="2"/>
    <x v="155"/>
    <d v="2024-02-22T00:00:00"/>
    <d v="2023-07-01T00:00:00"/>
    <d v="2024-06-30T00:00:00"/>
    <n v="5868"/>
    <n v="5927"/>
    <n v="0"/>
    <n v="5927"/>
    <n v="0"/>
    <n v="5927"/>
  </r>
  <r>
    <n v="38"/>
    <x v="2"/>
    <x v="156"/>
    <d v="2024-02-27T00:00:00"/>
    <d v="2023-07-01T00:00:00"/>
    <d v="2024-06-30T00:00:00"/>
    <n v="74765"/>
    <n v="75513"/>
    <n v="0"/>
    <n v="75513"/>
    <n v="0"/>
    <n v="75513"/>
  </r>
  <r>
    <n v="39"/>
    <x v="2"/>
    <x v="157"/>
    <d v="2024-03-04T00:00:00"/>
    <d v="2023-07-01T00:00:00"/>
    <d v="2024-06-30T00:00:00"/>
    <n v="30901"/>
    <n v="31210"/>
    <n v="0"/>
    <n v="31210"/>
    <n v="0"/>
    <n v="31210"/>
  </r>
  <r>
    <n v="40"/>
    <x v="2"/>
    <x v="158"/>
    <d v="2024-03-07T00:00:00"/>
    <d v="2023-07-01T00:00:00"/>
    <d v="2024-06-30T00:00:00"/>
    <n v="40473"/>
    <n v="40878"/>
    <n v="0"/>
    <n v="40878"/>
    <n v="0"/>
    <n v="40878"/>
  </r>
  <r>
    <n v="41"/>
    <x v="2"/>
    <x v="159"/>
    <d v="2024-03-28T00:00:00"/>
    <d v="2023-07-01T00:00:00"/>
    <d v="2024-06-30T00:00:00"/>
    <n v="10976"/>
    <n v="11086"/>
    <n v="0"/>
    <n v="11086"/>
    <n v="0"/>
    <n v="11086"/>
  </r>
  <r>
    <n v="42"/>
    <x v="2"/>
    <x v="160"/>
    <d v="2024-04-05T00:00:00"/>
    <d v="2023-07-01T00:00:00"/>
    <d v="2024-06-30T00:00:00"/>
    <n v="4348"/>
    <n v="4391"/>
    <n v="0"/>
    <n v="4391"/>
    <n v="0"/>
    <n v="4391"/>
  </r>
  <r>
    <n v="43"/>
    <x v="2"/>
    <x v="161"/>
    <d v="2024-04-18T00:00:00"/>
    <d v="2023-07-01T00:00:00"/>
    <d v="2024-06-30T00:00:00"/>
    <n v="6143"/>
    <n v="6204"/>
    <n v="0"/>
    <n v="6204"/>
    <n v="0"/>
    <n v="6204"/>
  </r>
  <r>
    <n v="44"/>
    <x v="2"/>
    <x v="162"/>
    <d v="2024-04-23T00:00:00"/>
    <d v="2023-07-01T00:00:00"/>
    <d v="2024-06-30T00:00:00"/>
    <n v="15451"/>
    <n v="15606"/>
    <n v="0"/>
    <n v="15606"/>
    <n v="0"/>
    <n v="15606"/>
  </r>
  <r>
    <n v="45"/>
    <x v="2"/>
    <x v="163"/>
    <d v="2024-04-30T00:00:00"/>
    <d v="2023-07-01T00:00:00"/>
    <d v="2024-06-30T00:00:00"/>
    <n v="3666"/>
    <n v="3703"/>
    <n v="0"/>
    <n v="3703"/>
    <n v="0"/>
    <n v="3703"/>
  </r>
  <r>
    <n v="46"/>
    <x v="2"/>
    <x v="164"/>
    <d v="2024-05-02T00:00:00"/>
    <d v="2023-07-01T00:00:00"/>
    <d v="2024-06-30T00:00:00"/>
    <n v="2448"/>
    <n v="2472"/>
    <n v="0"/>
    <n v="2472"/>
    <n v="0"/>
    <n v="2472"/>
  </r>
  <r>
    <n v="47"/>
    <x v="2"/>
    <x v="165"/>
    <d v="2024-05-09T00:00:00"/>
    <d v="2023-07-01T00:00:00"/>
    <d v="2024-06-30T00:00:00"/>
    <n v="-48328"/>
    <n v="-48811"/>
    <n v="0"/>
    <n v="-48811"/>
    <n v="0"/>
    <n v="-48811"/>
  </r>
  <r>
    <n v="48"/>
    <x v="2"/>
    <x v="166"/>
    <d v="2024-05-23T00:00:00"/>
    <d v="2023-07-01T00:00:00"/>
    <d v="2024-06-30T00:00:00"/>
    <n v="3152"/>
    <n v="3184"/>
    <n v="0"/>
    <n v="3184"/>
    <n v="0"/>
    <n v="3184"/>
  </r>
  <r>
    <n v="49"/>
    <x v="2"/>
    <x v="167"/>
    <d v="2024-05-27T00:00:00"/>
    <d v="2023-07-01T00:00:00"/>
    <d v="2024-06-30T00:00:00"/>
    <n v="12913"/>
    <n v="13042"/>
    <n v="0"/>
    <n v="13042"/>
    <n v="0"/>
    <n v="13042"/>
  </r>
  <r>
    <n v="50"/>
    <x v="2"/>
    <x v="168"/>
    <d v="2024-06-07T00:00:00"/>
    <d v="2023-07-01T00:00:00"/>
    <d v="2024-06-30T00:00:00"/>
    <n v="-34337"/>
    <n v="-34680"/>
    <n v="0"/>
    <n v="-34680"/>
    <n v="0"/>
    <n v="-34680"/>
  </r>
  <r>
    <n v="51"/>
    <x v="2"/>
    <x v="169"/>
    <d v="2024-06-11T00:00:00"/>
    <d v="2023-07-01T00:00:00"/>
    <d v="2024-06-30T00:00:00"/>
    <n v="15057"/>
    <n v="15208"/>
    <n v="0"/>
    <n v="15208"/>
    <n v="0"/>
    <n v="15208"/>
  </r>
  <r>
    <n v="52"/>
    <x v="2"/>
    <x v="170"/>
    <d v="2024-06-12T00:00:00"/>
    <d v="2023-07-01T00:00:00"/>
    <d v="2024-06-30T00:00:00"/>
    <n v="-7313"/>
    <n v="-7386"/>
    <n v="0"/>
    <n v="-7386"/>
    <n v="0"/>
    <n v="-7386"/>
  </r>
  <r>
    <n v="53"/>
    <x v="2"/>
    <x v="171"/>
    <d v="2024-06-25T00:00:00"/>
    <d v="2023-07-01T00:00:00"/>
    <d v="2024-06-30T00:00:00"/>
    <n v="534"/>
    <n v="539"/>
    <n v="0"/>
    <n v="539"/>
    <n v="0"/>
    <n v="539"/>
  </r>
  <r>
    <n v="54"/>
    <x v="2"/>
    <x v="172"/>
    <d v="2024-06-27T00:00:00"/>
    <d v="2023-07-01T00:00:00"/>
    <d v="2024-06-30T00:00:00"/>
    <n v="1013"/>
    <n v="1023"/>
    <n v="0"/>
    <n v="1023"/>
    <n v="0"/>
    <n v="1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54D0B-6D1E-4D8B-BE03-59543B0CD44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axis="axisRow" showAll="0">
      <items count="4">
        <item x="0"/>
        <item x="1"/>
        <item x="2"/>
        <item t="default"/>
      </items>
    </pivotField>
    <pivotField showAll="0">
      <items count="174"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59"/>
        <item x="118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0"/>
        <item x="1"/>
        <item x="2"/>
        <item x="3"/>
        <item x="4"/>
        <item t="default"/>
      </items>
    </pivotField>
    <pivotField numFmtId="14" showAll="0"/>
    <pivotField numFmtId="14" showAll="0"/>
    <pivotField numFmtId="14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UTSTANDNG CONTRIBUTIO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D970-ECD2-4E41-837E-A68EFB01E6BC}">
  <dimension ref="A3:B7"/>
  <sheetViews>
    <sheetView workbookViewId="0">
      <selection activeCell="B7" sqref="B7"/>
    </sheetView>
  </sheetViews>
  <sheetFormatPr defaultRowHeight="15" x14ac:dyDescent="0.25"/>
  <cols>
    <col min="1" max="1" width="36.7109375" bestFit="1" customWidth="1"/>
    <col min="2" max="2" width="32.5703125" bestFit="1" customWidth="1"/>
  </cols>
  <sheetData>
    <row r="3" spans="1:2" x14ac:dyDescent="0.25">
      <c r="A3" s="7" t="s">
        <v>186</v>
      </c>
      <c r="B3" t="s">
        <v>188</v>
      </c>
    </row>
    <row r="4" spans="1:2" x14ac:dyDescent="0.25">
      <c r="A4" s="8" t="s">
        <v>10</v>
      </c>
      <c r="B4" s="9">
        <v>164863</v>
      </c>
    </row>
    <row r="5" spans="1:2" x14ac:dyDescent="0.25">
      <c r="A5" s="8" t="s">
        <v>71</v>
      </c>
      <c r="B5" s="9">
        <v>-217410</v>
      </c>
    </row>
    <row r="6" spans="1:2" x14ac:dyDescent="0.25">
      <c r="A6" s="8" t="s">
        <v>131</v>
      </c>
      <c r="B6" s="9">
        <v>63412</v>
      </c>
    </row>
    <row r="7" spans="1:2" x14ac:dyDescent="0.25">
      <c r="A7" s="8" t="s">
        <v>187</v>
      </c>
      <c r="B7" s="9">
        <v>10865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6145-D5D0-4143-B7F0-A685FFF3AB0A}">
  <dimension ref="A1:K177"/>
  <sheetViews>
    <sheetView topLeftCell="A161" workbookViewId="0">
      <selection activeCell="C173" sqref="C173"/>
    </sheetView>
  </sheetViews>
  <sheetFormatPr defaultRowHeight="15" x14ac:dyDescent="0.25"/>
  <cols>
    <col min="1" max="1" width="5.5703125" customWidth="1"/>
    <col min="2" max="3" width="23.7109375" customWidth="1"/>
    <col min="4" max="6" width="10.140625" bestFit="1" customWidth="1"/>
    <col min="7" max="11" width="13.28515625" customWidth="1"/>
  </cols>
  <sheetData>
    <row r="1" spans="1:11" x14ac:dyDescent="0.25">
      <c r="A1" s="16" t="s">
        <v>189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ht="33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9</v>
      </c>
      <c r="J3" s="1" t="s">
        <v>8</v>
      </c>
      <c r="K3" s="1"/>
    </row>
    <row r="4" spans="1:11" ht="22.5" x14ac:dyDescent="0.25">
      <c r="A4" s="2">
        <v>1</v>
      </c>
      <c r="B4" s="3" t="s">
        <v>10</v>
      </c>
      <c r="C4" s="4" t="s">
        <v>11</v>
      </c>
      <c r="D4" s="5">
        <v>44382</v>
      </c>
      <c r="E4" s="5">
        <v>44378</v>
      </c>
      <c r="F4" s="5">
        <v>44742</v>
      </c>
      <c r="G4" s="6">
        <v>-547152</v>
      </c>
      <c r="H4" s="6">
        <v>-552624</v>
      </c>
      <c r="I4" s="6">
        <v>-552624</v>
      </c>
      <c r="J4" s="6">
        <f>+I4</f>
        <v>-552624</v>
      </c>
      <c r="K4" s="6">
        <f>+I4-J4</f>
        <v>0</v>
      </c>
    </row>
    <row r="5" spans="1:11" ht="22.5" x14ac:dyDescent="0.25">
      <c r="A5" s="2">
        <v>2</v>
      </c>
      <c r="B5" s="3" t="s">
        <v>10</v>
      </c>
      <c r="C5" s="4" t="s">
        <v>12</v>
      </c>
      <c r="D5" s="5">
        <v>44391</v>
      </c>
      <c r="E5" s="5">
        <v>44378</v>
      </c>
      <c r="F5" s="5">
        <v>44742</v>
      </c>
      <c r="G5" s="6">
        <v>42498</v>
      </c>
      <c r="H5" s="6">
        <v>42923</v>
      </c>
      <c r="I5" s="6">
        <v>42923</v>
      </c>
      <c r="J5" s="6">
        <f t="shared" ref="J5:J68" si="0">+I5</f>
        <v>42923</v>
      </c>
      <c r="K5" s="6">
        <f t="shared" ref="K5:K68" si="1">+I5-J5</f>
        <v>0</v>
      </c>
    </row>
    <row r="6" spans="1:11" ht="22.5" x14ac:dyDescent="0.25">
      <c r="A6" s="2">
        <v>3</v>
      </c>
      <c r="B6" s="3" t="s">
        <v>10</v>
      </c>
      <c r="C6" s="4" t="s">
        <v>13</v>
      </c>
      <c r="D6" s="5">
        <v>44401</v>
      </c>
      <c r="E6" s="5">
        <v>44378</v>
      </c>
      <c r="F6" s="5">
        <v>44742</v>
      </c>
      <c r="G6" s="6">
        <v>6926</v>
      </c>
      <c r="H6" s="6">
        <v>6995</v>
      </c>
      <c r="I6" s="6">
        <v>1423</v>
      </c>
      <c r="J6" s="6">
        <f t="shared" si="0"/>
        <v>1423</v>
      </c>
      <c r="K6" s="6">
        <f t="shared" si="1"/>
        <v>0</v>
      </c>
    </row>
    <row r="7" spans="1:11" ht="22.5" x14ac:dyDescent="0.25">
      <c r="A7" s="2">
        <v>4</v>
      </c>
      <c r="B7" s="3" t="s">
        <v>10</v>
      </c>
      <c r="C7" s="4" t="s">
        <v>14</v>
      </c>
      <c r="D7" s="5">
        <v>44403</v>
      </c>
      <c r="E7" s="5">
        <v>44378</v>
      </c>
      <c r="F7" s="5">
        <v>44742</v>
      </c>
      <c r="G7" s="6">
        <v>20700</v>
      </c>
      <c r="H7" s="6">
        <v>20907</v>
      </c>
      <c r="I7" s="6">
        <v>20907</v>
      </c>
      <c r="J7" s="6">
        <f t="shared" si="0"/>
        <v>20907</v>
      </c>
      <c r="K7" s="6">
        <f t="shared" si="1"/>
        <v>0</v>
      </c>
    </row>
    <row r="8" spans="1:11" ht="22.5" x14ac:dyDescent="0.25">
      <c r="A8" s="2">
        <v>5</v>
      </c>
      <c r="B8" s="3" t="s">
        <v>10</v>
      </c>
      <c r="C8" s="4" t="s">
        <v>15</v>
      </c>
      <c r="D8" s="5">
        <v>44404</v>
      </c>
      <c r="E8" s="5">
        <v>44378</v>
      </c>
      <c r="F8" s="5">
        <v>44742</v>
      </c>
      <c r="G8" s="6">
        <v>6866</v>
      </c>
      <c r="H8" s="6">
        <v>6935</v>
      </c>
      <c r="I8" s="6">
        <v>6935</v>
      </c>
      <c r="J8" s="6">
        <f t="shared" si="0"/>
        <v>6935</v>
      </c>
      <c r="K8" s="6">
        <f t="shared" si="1"/>
        <v>0</v>
      </c>
    </row>
    <row r="9" spans="1:11" ht="22.5" x14ac:dyDescent="0.25">
      <c r="A9" s="2">
        <v>6</v>
      </c>
      <c r="B9" s="3" t="s">
        <v>10</v>
      </c>
      <c r="C9" s="4" t="s">
        <v>16</v>
      </c>
      <c r="D9" s="5">
        <v>44413</v>
      </c>
      <c r="E9" s="5">
        <v>44378</v>
      </c>
      <c r="F9" s="5">
        <v>44742</v>
      </c>
      <c r="G9" s="6">
        <v>10350</v>
      </c>
      <c r="H9" s="6">
        <v>10454</v>
      </c>
      <c r="I9" s="6">
        <v>10454</v>
      </c>
      <c r="J9" s="6">
        <f t="shared" si="0"/>
        <v>10454</v>
      </c>
      <c r="K9" s="6">
        <f t="shared" si="1"/>
        <v>0</v>
      </c>
    </row>
    <row r="10" spans="1:11" ht="22.5" x14ac:dyDescent="0.25">
      <c r="A10" s="2">
        <v>7</v>
      </c>
      <c r="B10" s="3" t="s">
        <v>10</v>
      </c>
      <c r="C10" s="4" t="s">
        <v>17</v>
      </c>
      <c r="D10" s="5">
        <v>44417</v>
      </c>
      <c r="E10" s="5">
        <v>44378</v>
      </c>
      <c r="F10" s="5">
        <v>44742</v>
      </c>
      <c r="G10" s="6">
        <v>9358</v>
      </c>
      <c r="H10" s="6">
        <v>9452</v>
      </c>
      <c r="I10" s="6">
        <v>9452</v>
      </c>
      <c r="J10" s="6">
        <f t="shared" si="0"/>
        <v>9452</v>
      </c>
      <c r="K10" s="6">
        <f t="shared" si="1"/>
        <v>0</v>
      </c>
    </row>
    <row r="11" spans="1:11" ht="22.5" x14ac:dyDescent="0.25">
      <c r="A11" s="2">
        <v>8</v>
      </c>
      <c r="B11" s="3" t="s">
        <v>10</v>
      </c>
      <c r="C11" s="4" t="s">
        <v>18</v>
      </c>
      <c r="D11" s="5">
        <v>44420</v>
      </c>
      <c r="E11" s="5">
        <v>44378</v>
      </c>
      <c r="F11" s="5">
        <v>44742</v>
      </c>
      <c r="G11" s="6">
        <v>7370</v>
      </c>
      <c r="H11" s="6">
        <v>7444</v>
      </c>
      <c r="I11" s="6">
        <v>7444</v>
      </c>
      <c r="J11" s="6">
        <f t="shared" si="0"/>
        <v>7444</v>
      </c>
      <c r="K11" s="6">
        <f t="shared" si="1"/>
        <v>0</v>
      </c>
    </row>
    <row r="12" spans="1:11" ht="22.5" x14ac:dyDescent="0.25">
      <c r="A12" s="2">
        <v>9</v>
      </c>
      <c r="B12" s="3" t="s">
        <v>10</v>
      </c>
      <c r="C12" s="4" t="s">
        <v>19</v>
      </c>
      <c r="D12" s="5">
        <v>44424</v>
      </c>
      <c r="E12" s="5">
        <v>44378</v>
      </c>
      <c r="F12" s="5">
        <v>44742</v>
      </c>
      <c r="G12" s="6">
        <v>75338</v>
      </c>
      <c r="H12" s="6">
        <v>76091</v>
      </c>
      <c r="I12" s="6">
        <v>76091</v>
      </c>
      <c r="J12" s="6">
        <f t="shared" si="0"/>
        <v>76091</v>
      </c>
      <c r="K12" s="6">
        <f t="shared" si="1"/>
        <v>0</v>
      </c>
    </row>
    <row r="13" spans="1:11" ht="22.5" x14ac:dyDescent="0.25">
      <c r="A13" s="2">
        <v>10</v>
      </c>
      <c r="B13" s="3" t="s">
        <v>10</v>
      </c>
      <c r="C13" s="4" t="s">
        <v>20</v>
      </c>
      <c r="D13" s="5">
        <v>44428</v>
      </c>
      <c r="E13" s="5">
        <v>44378</v>
      </c>
      <c r="F13" s="5">
        <v>44742</v>
      </c>
      <c r="G13" s="6">
        <v>10350</v>
      </c>
      <c r="H13" s="6">
        <v>10454</v>
      </c>
      <c r="I13" s="6">
        <v>10454</v>
      </c>
      <c r="J13" s="6">
        <f t="shared" si="0"/>
        <v>10454</v>
      </c>
      <c r="K13" s="6">
        <f t="shared" si="1"/>
        <v>0</v>
      </c>
    </row>
    <row r="14" spans="1:11" ht="22.5" x14ac:dyDescent="0.25">
      <c r="A14" s="2">
        <v>11</v>
      </c>
      <c r="B14" s="3" t="s">
        <v>10</v>
      </c>
      <c r="C14" s="4" t="s">
        <v>21</v>
      </c>
      <c r="D14" s="5">
        <v>44440</v>
      </c>
      <c r="E14" s="5">
        <v>44378</v>
      </c>
      <c r="F14" s="5">
        <v>44742</v>
      </c>
      <c r="G14" s="6">
        <v>21122</v>
      </c>
      <c r="H14" s="6">
        <v>21333</v>
      </c>
      <c r="I14" s="6">
        <v>21333</v>
      </c>
      <c r="J14" s="6">
        <f t="shared" si="0"/>
        <v>21333</v>
      </c>
      <c r="K14" s="6">
        <f t="shared" si="1"/>
        <v>0</v>
      </c>
    </row>
    <row r="15" spans="1:11" ht="22.5" x14ac:dyDescent="0.25">
      <c r="A15" s="2">
        <v>12</v>
      </c>
      <c r="B15" s="3" t="s">
        <v>10</v>
      </c>
      <c r="C15" s="4" t="s">
        <v>22</v>
      </c>
      <c r="D15" s="5">
        <v>44441</v>
      </c>
      <c r="E15" s="5">
        <v>44378</v>
      </c>
      <c r="F15" s="5">
        <v>44742</v>
      </c>
      <c r="G15" s="6">
        <v>22111</v>
      </c>
      <c r="H15" s="6">
        <v>22332</v>
      </c>
      <c r="I15" s="6">
        <v>22332</v>
      </c>
      <c r="J15" s="6">
        <f t="shared" si="0"/>
        <v>22332</v>
      </c>
      <c r="K15" s="6">
        <f t="shared" si="1"/>
        <v>0</v>
      </c>
    </row>
    <row r="16" spans="1:11" ht="22.5" x14ac:dyDescent="0.25">
      <c r="A16" s="2">
        <v>13</v>
      </c>
      <c r="B16" s="3" t="s">
        <v>10</v>
      </c>
      <c r="C16" s="4" t="s">
        <v>23</v>
      </c>
      <c r="D16" s="5">
        <v>44459</v>
      </c>
      <c r="E16" s="5">
        <v>44378</v>
      </c>
      <c r="F16" s="5">
        <v>44742</v>
      </c>
      <c r="G16" s="6">
        <v>74379</v>
      </c>
      <c r="H16" s="6">
        <v>75123</v>
      </c>
      <c r="I16" s="6">
        <v>75123</v>
      </c>
      <c r="J16" s="6">
        <f t="shared" si="0"/>
        <v>75123</v>
      </c>
      <c r="K16" s="6">
        <f t="shared" si="1"/>
        <v>0</v>
      </c>
    </row>
    <row r="17" spans="1:11" ht="22.5" x14ac:dyDescent="0.25">
      <c r="A17" s="2">
        <v>14</v>
      </c>
      <c r="B17" s="3" t="s">
        <v>10</v>
      </c>
      <c r="C17" s="4" t="s">
        <v>24</v>
      </c>
      <c r="D17" s="5">
        <v>44460</v>
      </c>
      <c r="E17" s="5">
        <v>44378</v>
      </c>
      <c r="F17" s="5">
        <v>44742</v>
      </c>
      <c r="G17" s="6">
        <v>36727</v>
      </c>
      <c r="H17" s="6">
        <v>37094</v>
      </c>
      <c r="I17" s="6">
        <v>37094</v>
      </c>
      <c r="J17" s="6">
        <f t="shared" si="0"/>
        <v>37094</v>
      </c>
      <c r="K17" s="6">
        <f t="shared" si="1"/>
        <v>0</v>
      </c>
    </row>
    <row r="18" spans="1:11" ht="22.5" x14ac:dyDescent="0.25">
      <c r="A18" s="2">
        <v>15</v>
      </c>
      <c r="B18" s="3" t="s">
        <v>10</v>
      </c>
      <c r="C18" s="4" t="s">
        <v>25</v>
      </c>
      <c r="D18" s="5">
        <v>44462</v>
      </c>
      <c r="E18" s="5">
        <v>44378</v>
      </c>
      <c r="F18" s="5">
        <v>44742</v>
      </c>
      <c r="G18" s="6">
        <v>69240</v>
      </c>
      <c r="H18" s="6">
        <v>69932</v>
      </c>
      <c r="I18" s="6">
        <v>69932</v>
      </c>
      <c r="J18" s="6">
        <f t="shared" si="0"/>
        <v>69932</v>
      </c>
      <c r="K18" s="6">
        <f t="shared" si="1"/>
        <v>0</v>
      </c>
    </row>
    <row r="19" spans="1:11" ht="22.5" x14ac:dyDescent="0.25">
      <c r="A19" s="2">
        <v>16</v>
      </c>
      <c r="B19" s="3" t="s">
        <v>10</v>
      </c>
      <c r="C19" s="4" t="s">
        <v>26</v>
      </c>
      <c r="D19" s="5">
        <v>44463</v>
      </c>
      <c r="E19" s="5">
        <v>44378</v>
      </c>
      <c r="F19" s="5">
        <v>44742</v>
      </c>
      <c r="G19" s="6">
        <v>240770</v>
      </c>
      <c r="H19" s="6">
        <v>243178</v>
      </c>
      <c r="I19" s="6">
        <v>243178</v>
      </c>
      <c r="J19" s="6">
        <f t="shared" si="0"/>
        <v>243178</v>
      </c>
      <c r="K19" s="6">
        <f t="shared" si="1"/>
        <v>0</v>
      </c>
    </row>
    <row r="20" spans="1:11" ht="22.5" x14ac:dyDescent="0.25">
      <c r="A20" s="2">
        <v>17</v>
      </c>
      <c r="B20" s="3" t="s">
        <v>10</v>
      </c>
      <c r="C20" s="4" t="s">
        <v>27</v>
      </c>
      <c r="D20" s="5">
        <v>44466</v>
      </c>
      <c r="E20" s="5">
        <v>44378</v>
      </c>
      <c r="F20" s="5">
        <v>44742</v>
      </c>
      <c r="G20" s="6">
        <v>7088</v>
      </c>
      <c r="H20" s="6">
        <v>7159</v>
      </c>
      <c r="I20" s="6">
        <v>7159</v>
      </c>
      <c r="J20" s="6">
        <f t="shared" si="0"/>
        <v>7159</v>
      </c>
      <c r="K20" s="6">
        <f t="shared" si="1"/>
        <v>0</v>
      </c>
    </row>
    <row r="21" spans="1:11" ht="22.5" x14ac:dyDescent="0.25">
      <c r="A21" s="2">
        <v>18</v>
      </c>
      <c r="B21" s="3" t="s">
        <v>10</v>
      </c>
      <c r="C21" s="4" t="s">
        <v>28</v>
      </c>
      <c r="D21" s="5">
        <v>44476</v>
      </c>
      <c r="E21" s="5">
        <v>44378</v>
      </c>
      <c r="F21" s="5">
        <v>44742</v>
      </c>
      <c r="G21" s="6">
        <v>110617</v>
      </c>
      <c r="H21" s="6">
        <v>111723</v>
      </c>
      <c r="I21" s="6">
        <v>111723</v>
      </c>
      <c r="J21" s="6">
        <f t="shared" si="0"/>
        <v>111723</v>
      </c>
      <c r="K21" s="6">
        <f t="shared" si="1"/>
        <v>0</v>
      </c>
    </row>
    <row r="22" spans="1:11" ht="22.5" x14ac:dyDescent="0.25">
      <c r="A22" s="2">
        <v>19</v>
      </c>
      <c r="B22" s="3" t="s">
        <v>10</v>
      </c>
      <c r="C22" s="4" t="s">
        <v>29</v>
      </c>
      <c r="D22" s="5">
        <v>44482</v>
      </c>
      <c r="E22" s="5">
        <v>44378</v>
      </c>
      <c r="F22" s="5">
        <v>44742</v>
      </c>
      <c r="G22" s="6">
        <v>7370</v>
      </c>
      <c r="H22" s="6">
        <v>7444</v>
      </c>
      <c r="I22" s="6">
        <v>7444</v>
      </c>
      <c r="J22" s="6">
        <f t="shared" si="0"/>
        <v>7444</v>
      </c>
      <c r="K22" s="6">
        <f t="shared" si="1"/>
        <v>0</v>
      </c>
    </row>
    <row r="23" spans="1:11" ht="22.5" x14ac:dyDescent="0.25">
      <c r="A23" s="2">
        <v>20</v>
      </c>
      <c r="B23" s="3" t="s">
        <v>10</v>
      </c>
      <c r="C23" s="4" t="s">
        <v>30</v>
      </c>
      <c r="D23" s="5">
        <v>44495</v>
      </c>
      <c r="E23" s="5">
        <v>44378</v>
      </c>
      <c r="F23" s="5">
        <v>44742</v>
      </c>
      <c r="G23" s="6">
        <v>110153</v>
      </c>
      <c r="H23" s="6">
        <v>111255</v>
      </c>
      <c r="I23" s="6">
        <v>111255</v>
      </c>
      <c r="J23" s="6">
        <f t="shared" si="0"/>
        <v>111255</v>
      </c>
      <c r="K23" s="6">
        <f t="shared" si="1"/>
        <v>0</v>
      </c>
    </row>
    <row r="24" spans="1:11" ht="22.5" x14ac:dyDescent="0.25">
      <c r="A24" s="2">
        <v>21</v>
      </c>
      <c r="B24" s="3" t="s">
        <v>10</v>
      </c>
      <c r="C24" s="4" t="s">
        <v>31</v>
      </c>
      <c r="D24" s="5">
        <v>44503</v>
      </c>
      <c r="E24" s="5">
        <v>44378</v>
      </c>
      <c r="F24" s="5">
        <v>44742</v>
      </c>
      <c r="G24" s="6">
        <v>14741</v>
      </c>
      <c r="H24" s="6">
        <v>14888</v>
      </c>
      <c r="I24" s="6">
        <v>14888</v>
      </c>
      <c r="J24" s="6">
        <f t="shared" si="0"/>
        <v>14888</v>
      </c>
      <c r="K24" s="6">
        <f t="shared" si="1"/>
        <v>0</v>
      </c>
    </row>
    <row r="25" spans="1:11" ht="22.5" x14ac:dyDescent="0.25">
      <c r="A25" s="2">
        <v>22</v>
      </c>
      <c r="B25" s="3" t="s">
        <v>10</v>
      </c>
      <c r="C25" s="4" t="s">
        <v>32</v>
      </c>
      <c r="D25" s="5">
        <v>44503</v>
      </c>
      <c r="E25" s="5">
        <v>44378</v>
      </c>
      <c r="F25" s="5">
        <v>44742</v>
      </c>
      <c r="G25" s="6">
        <v>111815</v>
      </c>
      <c r="H25" s="6">
        <v>112933</v>
      </c>
      <c r="I25" s="6">
        <v>112933</v>
      </c>
      <c r="J25" s="6">
        <f t="shared" si="0"/>
        <v>112933</v>
      </c>
      <c r="K25" s="6">
        <f t="shared" si="1"/>
        <v>0</v>
      </c>
    </row>
    <row r="26" spans="1:11" ht="22.5" x14ac:dyDescent="0.25">
      <c r="A26" s="2">
        <v>23</v>
      </c>
      <c r="B26" s="3" t="s">
        <v>10</v>
      </c>
      <c r="C26" s="4" t="s">
        <v>33</v>
      </c>
      <c r="D26" s="5">
        <v>44508</v>
      </c>
      <c r="E26" s="5">
        <v>44378</v>
      </c>
      <c r="F26" s="5">
        <v>44742</v>
      </c>
      <c r="G26" s="6">
        <v>7117</v>
      </c>
      <c r="H26" s="6">
        <v>7188</v>
      </c>
      <c r="I26" s="6">
        <v>7188</v>
      </c>
      <c r="J26" s="6">
        <f t="shared" si="0"/>
        <v>7188</v>
      </c>
      <c r="K26" s="6">
        <f t="shared" si="1"/>
        <v>0</v>
      </c>
    </row>
    <row r="27" spans="1:11" ht="22.5" x14ac:dyDescent="0.25">
      <c r="A27" s="2">
        <v>24</v>
      </c>
      <c r="B27" s="3" t="s">
        <v>10</v>
      </c>
      <c r="C27" s="4" t="s">
        <v>34</v>
      </c>
      <c r="D27" s="5">
        <v>44509</v>
      </c>
      <c r="E27" s="5">
        <v>44378</v>
      </c>
      <c r="F27" s="5">
        <v>44742</v>
      </c>
      <c r="G27" s="6">
        <v>4725</v>
      </c>
      <c r="H27" s="6">
        <v>4772</v>
      </c>
      <c r="I27" s="6">
        <v>4772</v>
      </c>
      <c r="J27" s="6">
        <f t="shared" si="0"/>
        <v>4772</v>
      </c>
      <c r="K27" s="6">
        <f t="shared" si="1"/>
        <v>0</v>
      </c>
    </row>
    <row r="28" spans="1:11" ht="22.5" x14ac:dyDescent="0.25">
      <c r="A28" s="2">
        <v>25</v>
      </c>
      <c r="B28" s="3" t="s">
        <v>10</v>
      </c>
      <c r="C28" s="4" t="s">
        <v>35</v>
      </c>
      <c r="D28" s="5">
        <v>44517</v>
      </c>
      <c r="E28" s="5">
        <v>44378</v>
      </c>
      <c r="F28" s="5">
        <v>44742</v>
      </c>
      <c r="G28" s="6">
        <v>6744</v>
      </c>
      <c r="H28" s="6">
        <v>6811</v>
      </c>
      <c r="I28" s="6">
        <v>6811</v>
      </c>
      <c r="J28" s="6">
        <f t="shared" si="0"/>
        <v>6811</v>
      </c>
      <c r="K28" s="6">
        <f t="shared" si="1"/>
        <v>0</v>
      </c>
    </row>
    <row r="29" spans="1:11" ht="22.5" x14ac:dyDescent="0.25">
      <c r="A29" s="2">
        <v>26</v>
      </c>
      <c r="B29" s="3" t="s">
        <v>10</v>
      </c>
      <c r="C29" s="4" t="s">
        <v>36</v>
      </c>
      <c r="D29" s="5">
        <v>44519</v>
      </c>
      <c r="E29" s="5">
        <v>44378</v>
      </c>
      <c r="F29" s="5">
        <v>44742</v>
      </c>
      <c r="G29" s="6">
        <v>13189</v>
      </c>
      <c r="H29" s="6">
        <v>13321</v>
      </c>
      <c r="I29" s="6">
        <v>13321</v>
      </c>
      <c r="J29" s="6">
        <f t="shared" si="0"/>
        <v>13321</v>
      </c>
      <c r="K29" s="6">
        <f t="shared" si="1"/>
        <v>0</v>
      </c>
    </row>
    <row r="30" spans="1:11" ht="22.5" x14ac:dyDescent="0.25">
      <c r="A30" s="2">
        <v>27</v>
      </c>
      <c r="B30" s="3" t="s">
        <v>10</v>
      </c>
      <c r="C30" s="4" t="s">
        <v>37</v>
      </c>
      <c r="D30" s="5">
        <v>44523</v>
      </c>
      <c r="E30" s="5">
        <v>44378</v>
      </c>
      <c r="F30" s="5">
        <v>44742</v>
      </c>
      <c r="G30" s="6">
        <v>4887</v>
      </c>
      <c r="H30" s="6">
        <v>4936</v>
      </c>
      <c r="I30" s="6">
        <v>4936</v>
      </c>
      <c r="J30" s="6">
        <f t="shared" si="0"/>
        <v>4936</v>
      </c>
      <c r="K30" s="6">
        <f t="shared" si="1"/>
        <v>0</v>
      </c>
    </row>
    <row r="31" spans="1:11" ht="22.5" x14ac:dyDescent="0.25">
      <c r="A31" s="2">
        <v>28</v>
      </c>
      <c r="B31" s="3" t="s">
        <v>10</v>
      </c>
      <c r="C31" s="4" t="s">
        <v>38</v>
      </c>
      <c r="D31" s="5">
        <v>44525</v>
      </c>
      <c r="E31" s="5">
        <v>44378</v>
      </c>
      <c r="F31" s="5">
        <v>44742</v>
      </c>
      <c r="G31" s="6">
        <v>7370</v>
      </c>
      <c r="H31" s="6">
        <v>7444</v>
      </c>
      <c r="I31" s="6">
        <v>7444</v>
      </c>
      <c r="J31" s="6">
        <f t="shared" si="0"/>
        <v>7444</v>
      </c>
      <c r="K31" s="6">
        <f t="shared" si="1"/>
        <v>0</v>
      </c>
    </row>
    <row r="32" spans="1:11" ht="22.5" x14ac:dyDescent="0.25">
      <c r="A32" s="2">
        <v>29</v>
      </c>
      <c r="B32" s="3" t="s">
        <v>10</v>
      </c>
      <c r="C32" s="4" t="s">
        <v>39</v>
      </c>
      <c r="D32" s="5">
        <v>44532</v>
      </c>
      <c r="E32" s="5">
        <v>44378</v>
      </c>
      <c r="F32" s="5">
        <v>44742</v>
      </c>
      <c r="G32" s="6">
        <v>7370</v>
      </c>
      <c r="H32" s="6">
        <v>7444</v>
      </c>
      <c r="I32" s="6">
        <v>7444</v>
      </c>
      <c r="J32" s="6">
        <f t="shared" si="0"/>
        <v>7444</v>
      </c>
      <c r="K32" s="6">
        <f t="shared" si="1"/>
        <v>0</v>
      </c>
    </row>
    <row r="33" spans="1:11" ht="22.5" x14ac:dyDescent="0.25">
      <c r="A33" s="2">
        <v>30</v>
      </c>
      <c r="B33" s="3" t="s">
        <v>10</v>
      </c>
      <c r="C33" s="4" t="s">
        <v>40</v>
      </c>
      <c r="D33" s="5">
        <v>44540</v>
      </c>
      <c r="E33" s="5">
        <v>44378</v>
      </c>
      <c r="F33" s="5">
        <v>44742</v>
      </c>
      <c r="G33" s="6">
        <v>50247</v>
      </c>
      <c r="H33" s="6">
        <v>50749</v>
      </c>
      <c r="I33" s="6">
        <v>50749</v>
      </c>
      <c r="J33" s="6">
        <f t="shared" si="0"/>
        <v>50749</v>
      </c>
      <c r="K33" s="6">
        <f t="shared" si="1"/>
        <v>0</v>
      </c>
    </row>
    <row r="34" spans="1:11" ht="22.5" x14ac:dyDescent="0.25">
      <c r="A34" s="2">
        <v>31</v>
      </c>
      <c r="B34" s="3" t="s">
        <v>10</v>
      </c>
      <c r="C34" s="4" t="s">
        <v>41</v>
      </c>
      <c r="D34" s="5">
        <v>44553</v>
      </c>
      <c r="E34" s="5">
        <v>44378</v>
      </c>
      <c r="F34" s="5">
        <v>44742</v>
      </c>
      <c r="G34" s="6">
        <v>8400</v>
      </c>
      <c r="H34" s="6">
        <v>8484</v>
      </c>
      <c r="I34" s="6">
        <v>8484</v>
      </c>
      <c r="J34" s="6">
        <f t="shared" si="0"/>
        <v>8484</v>
      </c>
      <c r="K34" s="6">
        <f t="shared" si="1"/>
        <v>0</v>
      </c>
    </row>
    <row r="35" spans="1:11" ht="22.5" x14ac:dyDescent="0.25">
      <c r="A35" s="2">
        <v>32</v>
      </c>
      <c r="B35" s="3" t="s">
        <v>10</v>
      </c>
      <c r="C35" s="4" t="s">
        <v>42</v>
      </c>
      <c r="D35" s="5">
        <v>44557</v>
      </c>
      <c r="E35" s="5">
        <v>44378</v>
      </c>
      <c r="F35" s="5">
        <v>44742</v>
      </c>
      <c r="G35" s="6">
        <v>5593</v>
      </c>
      <c r="H35" s="6">
        <v>5649</v>
      </c>
      <c r="I35" s="6">
        <v>5649</v>
      </c>
      <c r="J35" s="6">
        <f t="shared" si="0"/>
        <v>5649</v>
      </c>
      <c r="K35" s="6">
        <f t="shared" si="1"/>
        <v>0</v>
      </c>
    </row>
    <row r="36" spans="1:11" ht="22.5" x14ac:dyDescent="0.25">
      <c r="A36" s="2">
        <v>33</v>
      </c>
      <c r="B36" s="3" t="s">
        <v>10</v>
      </c>
      <c r="C36" s="4" t="s">
        <v>43</v>
      </c>
      <c r="D36" s="5">
        <v>44566</v>
      </c>
      <c r="E36" s="5">
        <v>44378</v>
      </c>
      <c r="F36" s="5">
        <v>44742</v>
      </c>
      <c r="G36" s="6">
        <v>26347</v>
      </c>
      <c r="H36" s="6">
        <v>26610</v>
      </c>
      <c r="I36" s="6">
        <v>26610</v>
      </c>
      <c r="J36" s="6">
        <f t="shared" si="0"/>
        <v>26610</v>
      </c>
      <c r="K36" s="6">
        <f t="shared" si="1"/>
        <v>0</v>
      </c>
    </row>
    <row r="37" spans="1:11" ht="22.5" x14ac:dyDescent="0.25">
      <c r="A37" s="2">
        <v>34</v>
      </c>
      <c r="B37" s="3" t="s">
        <v>10</v>
      </c>
      <c r="C37" s="4" t="s">
        <v>44</v>
      </c>
      <c r="D37" s="5">
        <v>44571</v>
      </c>
      <c r="E37" s="5">
        <v>44378</v>
      </c>
      <c r="F37" s="5">
        <v>44742</v>
      </c>
      <c r="G37" s="6">
        <v>41334</v>
      </c>
      <c r="H37" s="6">
        <v>41747</v>
      </c>
      <c r="I37" s="6">
        <v>41747</v>
      </c>
      <c r="J37" s="6">
        <f t="shared" si="0"/>
        <v>41747</v>
      </c>
      <c r="K37" s="6">
        <f t="shared" si="1"/>
        <v>0</v>
      </c>
    </row>
    <row r="38" spans="1:11" ht="22.5" x14ac:dyDescent="0.25">
      <c r="A38" s="2">
        <v>35</v>
      </c>
      <c r="B38" s="3" t="s">
        <v>10</v>
      </c>
      <c r="C38" s="4" t="s">
        <v>45</v>
      </c>
      <c r="D38" s="5">
        <v>44580</v>
      </c>
      <c r="E38" s="5">
        <v>44378</v>
      </c>
      <c r="F38" s="5">
        <v>44742</v>
      </c>
      <c r="G38" s="6">
        <v>66967</v>
      </c>
      <c r="H38" s="6">
        <v>67637</v>
      </c>
      <c r="I38" s="6">
        <v>67637</v>
      </c>
      <c r="J38" s="6">
        <f t="shared" si="0"/>
        <v>67637</v>
      </c>
      <c r="K38" s="6">
        <f t="shared" si="1"/>
        <v>0</v>
      </c>
    </row>
    <row r="39" spans="1:11" ht="22.5" x14ac:dyDescent="0.25">
      <c r="A39" s="2">
        <v>36</v>
      </c>
      <c r="B39" s="3" t="s">
        <v>10</v>
      </c>
      <c r="C39" s="4" t="s">
        <v>46</v>
      </c>
      <c r="D39" s="5">
        <v>44585</v>
      </c>
      <c r="E39" s="5">
        <v>44378</v>
      </c>
      <c r="F39" s="5">
        <v>44742</v>
      </c>
      <c r="G39" s="6">
        <v>7370</v>
      </c>
      <c r="H39" s="6">
        <v>7444</v>
      </c>
      <c r="I39" s="6">
        <v>7444</v>
      </c>
      <c r="J39" s="6">
        <f t="shared" si="0"/>
        <v>7444</v>
      </c>
      <c r="K39" s="6">
        <f t="shared" si="1"/>
        <v>0</v>
      </c>
    </row>
    <row r="40" spans="1:11" ht="22.5" x14ac:dyDescent="0.25">
      <c r="A40" s="2">
        <v>37</v>
      </c>
      <c r="B40" s="3" t="s">
        <v>10</v>
      </c>
      <c r="C40" s="4" t="s">
        <v>47</v>
      </c>
      <c r="D40" s="5">
        <v>44587</v>
      </c>
      <c r="E40" s="5">
        <v>44378</v>
      </c>
      <c r="F40" s="5">
        <v>44742</v>
      </c>
      <c r="G40" s="6">
        <v>4452</v>
      </c>
      <c r="H40" s="6">
        <v>4497</v>
      </c>
      <c r="I40" s="6">
        <v>4497</v>
      </c>
      <c r="J40" s="6">
        <f t="shared" si="0"/>
        <v>4497</v>
      </c>
      <c r="K40" s="6">
        <f t="shared" si="1"/>
        <v>0</v>
      </c>
    </row>
    <row r="41" spans="1:11" ht="22.5" x14ac:dyDescent="0.25">
      <c r="A41" s="2">
        <v>38</v>
      </c>
      <c r="B41" s="3" t="s">
        <v>10</v>
      </c>
      <c r="C41" s="4" t="s">
        <v>48</v>
      </c>
      <c r="D41" s="5">
        <v>44596</v>
      </c>
      <c r="E41" s="5">
        <v>44378</v>
      </c>
      <c r="F41" s="5">
        <v>44742</v>
      </c>
      <c r="G41" s="6">
        <v>7370</v>
      </c>
      <c r="H41" s="6">
        <v>7444</v>
      </c>
      <c r="I41" s="6">
        <v>7444</v>
      </c>
      <c r="J41" s="6">
        <f t="shared" si="0"/>
        <v>7444</v>
      </c>
      <c r="K41" s="6">
        <f t="shared" si="1"/>
        <v>0</v>
      </c>
    </row>
    <row r="42" spans="1:11" ht="22.5" x14ac:dyDescent="0.25">
      <c r="A42" s="2">
        <v>39</v>
      </c>
      <c r="B42" s="3" t="s">
        <v>10</v>
      </c>
      <c r="C42" s="4" t="s">
        <v>49</v>
      </c>
      <c r="D42" s="5">
        <v>44601</v>
      </c>
      <c r="E42" s="5">
        <v>44378</v>
      </c>
      <c r="F42" s="5">
        <v>44742</v>
      </c>
      <c r="G42" s="6">
        <v>10350</v>
      </c>
      <c r="H42" s="6">
        <v>10454</v>
      </c>
      <c r="I42" s="6">
        <v>10454</v>
      </c>
      <c r="J42" s="6">
        <f t="shared" si="0"/>
        <v>10454</v>
      </c>
      <c r="K42" s="6">
        <f t="shared" si="1"/>
        <v>0</v>
      </c>
    </row>
    <row r="43" spans="1:11" ht="22.5" x14ac:dyDescent="0.25">
      <c r="A43" s="2">
        <v>40</v>
      </c>
      <c r="B43" s="3" t="s">
        <v>10</v>
      </c>
      <c r="C43" s="4" t="s">
        <v>50</v>
      </c>
      <c r="D43" s="5">
        <v>44602</v>
      </c>
      <c r="E43" s="5">
        <v>44378</v>
      </c>
      <c r="F43" s="5">
        <v>44742</v>
      </c>
      <c r="G43" s="6">
        <v>15020</v>
      </c>
      <c r="H43" s="6">
        <v>15170</v>
      </c>
      <c r="I43" s="6">
        <v>15170</v>
      </c>
      <c r="J43" s="6">
        <f t="shared" si="0"/>
        <v>15170</v>
      </c>
      <c r="K43" s="6">
        <f t="shared" si="1"/>
        <v>0</v>
      </c>
    </row>
    <row r="44" spans="1:11" ht="22.5" x14ac:dyDescent="0.25">
      <c r="A44" s="2">
        <v>41</v>
      </c>
      <c r="B44" s="3" t="s">
        <v>10</v>
      </c>
      <c r="C44" s="4" t="s">
        <v>51</v>
      </c>
      <c r="D44" s="5">
        <v>44618</v>
      </c>
      <c r="E44" s="5">
        <v>44378</v>
      </c>
      <c r="F44" s="5">
        <v>44742</v>
      </c>
      <c r="G44" s="6">
        <v>34450</v>
      </c>
      <c r="H44" s="6">
        <v>34795</v>
      </c>
      <c r="I44" s="6">
        <v>34795</v>
      </c>
      <c r="J44" s="6">
        <f t="shared" si="0"/>
        <v>34795</v>
      </c>
      <c r="K44" s="6">
        <f t="shared" si="1"/>
        <v>0</v>
      </c>
    </row>
    <row r="45" spans="1:11" ht="22.5" x14ac:dyDescent="0.25">
      <c r="A45" s="2">
        <v>42</v>
      </c>
      <c r="B45" s="3" t="s">
        <v>10</v>
      </c>
      <c r="C45" s="4" t="s">
        <v>52</v>
      </c>
      <c r="D45" s="5">
        <v>44622</v>
      </c>
      <c r="E45" s="5">
        <v>44378</v>
      </c>
      <c r="F45" s="5">
        <v>44742</v>
      </c>
      <c r="G45" s="6">
        <v>17824</v>
      </c>
      <c r="H45" s="6">
        <v>18002</v>
      </c>
      <c r="I45" s="6">
        <v>18002</v>
      </c>
      <c r="J45" s="6">
        <f t="shared" si="0"/>
        <v>18002</v>
      </c>
      <c r="K45" s="6">
        <f t="shared" si="1"/>
        <v>0</v>
      </c>
    </row>
    <row r="46" spans="1:11" ht="22.5" x14ac:dyDescent="0.25">
      <c r="A46" s="2">
        <v>43</v>
      </c>
      <c r="B46" s="3" t="s">
        <v>10</v>
      </c>
      <c r="C46" s="4" t="s">
        <v>53</v>
      </c>
      <c r="D46" s="5">
        <v>44623</v>
      </c>
      <c r="E46" s="5">
        <v>44378</v>
      </c>
      <c r="F46" s="5">
        <v>44742</v>
      </c>
      <c r="G46" s="6">
        <v>-657531</v>
      </c>
      <c r="H46" s="6">
        <v>-664106</v>
      </c>
      <c r="I46" s="6">
        <v>-664106</v>
      </c>
      <c r="J46" s="6">
        <f t="shared" si="0"/>
        <v>-664106</v>
      </c>
      <c r="K46" s="6">
        <f t="shared" si="1"/>
        <v>0</v>
      </c>
    </row>
    <row r="47" spans="1:11" ht="22.5" x14ac:dyDescent="0.25">
      <c r="A47" s="2">
        <v>44</v>
      </c>
      <c r="B47" s="3" t="s">
        <v>10</v>
      </c>
      <c r="C47" s="4" t="s">
        <v>54</v>
      </c>
      <c r="D47" s="5">
        <v>44642</v>
      </c>
      <c r="E47" s="5">
        <v>44378</v>
      </c>
      <c r="F47" s="5">
        <v>44742</v>
      </c>
      <c r="G47" s="6">
        <v>25772</v>
      </c>
      <c r="H47" s="6">
        <v>26030</v>
      </c>
      <c r="I47" s="6">
        <v>26030</v>
      </c>
      <c r="J47" s="6">
        <f t="shared" si="0"/>
        <v>26030</v>
      </c>
      <c r="K47" s="6">
        <f t="shared" si="1"/>
        <v>0</v>
      </c>
    </row>
    <row r="48" spans="1:11" ht="22.5" x14ac:dyDescent="0.25">
      <c r="A48" s="2">
        <v>45</v>
      </c>
      <c r="B48" s="3" t="s">
        <v>10</v>
      </c>
      <c r="C48" s="4" t="s">
        <v>55</v>
      </c>
      <c r="D48" s="5">
        <v>44653</v>
      </c>
      <c r="E48" s="5">
        <v>44378</v>
      </c>
      <c r="F48" s="5">
        <v>44742</v>
      </c>
      <c r="G48" s="6">
        <v>50247</v>
      </c>
      <c r="H48" s="6">
        <v>50749</v>
      </c>
      <c r="I48" s="6">
        <v>50749</v>
      </c>
      <c r="J48" s="6">
        <f t="shared" si="0"/>
        <v>50749</v>
      </c>
      <c r="K48" s="6">
        <f t="shared" si="1"/>
        <v>0</v>
      </c>
    </row>
    <row r="49" spans="1:11" ht="22.5" x14ac:dyDescent="0.25">
      <c r="A49" s="2">
        <v>46</v>
      </c>
      <c r="B49" s="3" t="s">
        <v>10</v>
      </c>
      <c r="C49" s="4" t="s">
        <v>56</v>
      </c>
      <c r="D49" s="5">
        <v>44657</v>
      </c>
      <c r="E49" s="5">
        <v>44378</v>
      </c>
      <c r="F49" s="5">
        <v>44742</v>
      </c>
      <c r="G49" s="6">
        <v>-31563</v>
      </c>
      <c r="H49" s="6">
        <v>-31879</v>
      </c>
      <c r="I49" s="6">
        <v>-31879</v>
      </c>
      <c r="J49" s="6">
        <f t="shared" si="0"/>
        <v>-31879</v>
      </c>
      <c r="K49" s="6">
        <f t="shared" si="1"/>
        <v>0</v>
      </c>
    </row>
    <row r="50" spans="1:11" ht="22.5" x14ac:dyDescent="0.25">
      <c r="A50" s="2">
        <v>47</v>
      </c>
      <c r="B50" s="3" t="s">
        <v>10</v>
      </c>
      <c r="C50" s="4" t="s">
        <v>57</v>
      </c>
      <c r="D50" s="5">
        <v>44664</v>
      </c>
      <c r="E50" s="5">
        <v>44378</v>
      </c>
      <c r="F50" s="5">
        <v>44742</v>
      </c>
      <c r="G50" s="6">
        <v>17245</v>
      </c>
      <c r="H50" s="6">
        <v>17417</v>
      </c>
      <c r="I50" s="6">
        <v>17417</v>
      </c>
      <c r="J50" s="6">
        <f t="shared" si="0"/>
        <v>17417</v>
      </c>
      <c r="K50" s="6">
        <f t="shared" si="1"/>
        <v>0</v>
      </c>
    </row>
    <row r="51" spans="1:11" ht="22.5" x14ac:dyDescent="0.25">
      <c r="A51" s="2">
        <v>48</v>
      </c>
      <c r="B51" s="3" t="s">
        <v>10</v>
      </c>
      <c r="C51" s="4" t="s">
        <v>58</v>
      </c>
      <c r="D51" s="5">
        <v>44670</v>
      </c>
      <c r="E51" s="5">
        <v>44378</v>
      </c>
      <c r="F51" s="5">
        <v>44742</v>
      </c>
      <c r="G51" s="6">
        <v>1555</v>
      </c>
      <c r="H51" s="6">
        <v>1571</v>
      </c>
      <c r="I51" s="6">
        <v>1571</v>
      </c>
      <c r="J51" s="6">
        <f t="shared" si="0"/>
        <v>1571</v>
      </c>
      <c r="K51" s="6">
        <f t="shared" si="1"/>
        <v>0</v>
      </c>
    </row>
    <row r="52" spans="1:11" ht="22.5" x14ac:dyDescent="0.25">
      <c r="A52" s="2">
        <v>49</v>
      </c>
      <c r="B52" s="3" t="s">
        <v>10</v>
      </c>
      <c r="C52" s="4" t="s">
        <v>59</v>
      </c>
      <c r="D52" s="5">
        <v>44671</v>
      </c>
      <c r="E52" s="5">
        <v>44378</v>
      </c>
      <c r="F52" s="5">
        <v>44742</v>
      </c>
      <c r="G52" s="6">
        <v>2019</v>
      </c>
      <c r="H52" s="6">
        <v>2039</v>
      </c>
      <c r="I52" s="6">
        <v>2039</v>
      </c>
      <c r="J52" s="6">
        <f t="shared" si="0"/>
        <v>2039</v>
      </c>
      <c r="K52" s="6">
        <f t="shared" si="1"/>
        <v>0</v>
      </c>
    </row>
    <row r="53" spans="1:11" ht="22.5" x14ac:dyDescent="0.25">
      <c r="A53" s="2">
        <v>50</v>
      </c>
      <c r="B53" s="3" t="s">
        <v>10</v>
      </c>
      <c r="C53" s="4" t="s">
        <v>60</v>
      </c>
      <c r="D53" s="5">
        <v>44679</v>
      </c>
      <c r="E53" s="5">
        <v>44378</v>
      </c>
      <c r="F53" s="5">
        <v>44742</v>
      </c>
      <c r="G53" s="6">
        <v>9995</v>
      </c>
      <c r="H53" s="6">
        <v>10095</v>
      </c>
      <c r="I53" s="6">
        <v>10095</v>
      </c>
      <c r="J53" s="6">
        <f t="shared" si="0"/>
        <v>10095</v>
      </c>
      <c r="K53" s="6">
        <f t="shared" si="1"/>
        <v>0</v>
      </c>
    </row>
    <row r="54" spans="1:11" ht="22.5" x14ac:dyDescent="0.25">
      <c r="A54" s="2">
        <v>51</v>
      </c>
      <c r="B54" s="3" t="s">
        <v>10</v>
      </c>
      <c r="C54" s="4" t="s">
        <v>61</v>
      </c>
      <c r="D54" s="5">
        <v>44693</v>
      </c>
      <c r="E54" s="5">
        <v>44378</v>
      </c>
      <c r="F54" s="5">
        <v>44742</v>
      </c>
      <c r="G54" s="6">
        <v>16534</v>
      </c>
      <c r="H54" s="6">
        <v>16699</v>
      </c>
      <c r="I54" s="6">
        <v>16699</v>
      </c>
      <c r="J54" s="6">
        <f t="shared" si="0"/>
        <v>16699</v>
      </c>
      <c r="K54" s="6">
        <f t="shared" si="1"/>
        <v>0</v>
      </c>
    </row>
    <row r="55" spans="1:11" ht="22.5" x14ac:dyDescent="0.25">
      <c r="A55" s="2">
        <v>52</v>
      </c>
      <c r="B55" s="3" t="s">
        <v>10</v>
      </c>
      <c r="C55" s="4" t="s">
        <v>62</v>
      </c>
      <c r="D55" s="5">
        <v>44699</v>
      </c>
      <c r="E55" s="5">
        <v>44378</v>
      </c>
      <c r="F55" s="5">
        <v>44742</v>
      </c>
      <c r="G55" s="6">
        <v>4772</v>
      </c>
      <c r="H55" s="6">
        <v>4820</v>
      </c>
      <c r="I55" s="6">
        <v>4820</v>
      </c>
      <c r="J55" s="6">
        <f t="shared" si="0"/>
        <v>4820</v>
      </c>
      <c r="K55" s="6">
        <f t="shared" si="1"/>
        <v>0</v>
      </c>
    </row>
    <row r="56" spans="1:11" ht="22.5" x14ac:dyDescent="0.25">
      <c r="A56" s="2">
        <v>53</v>
      </c>
      <c r="B56" s="3" t="s">
        <v>10</v>
      </c>
      <c r="C56" s="4" t="s">
        <v>63</v>
      </c>
      <c r="D56" s="5">
        <v>44711</v>
      </c>
      <c r="E56" s="5">
        <v>44378</v>
      </c>
      <c r="F56" s="5">
        <v>44742</v>
      </c>
      <c r="G56" s="6">
        <v>29195</v>
      </c>
      <c r="H56" s="6">
        <v>29487</v>
      </c>
      <c r="I56" s="6">
        <v>29487</v>
      </c>
      <c r="J56" s="6">
        <f t="shared" si="0"/>
        <v>29487</v>
      </c>
      <c r="K56" s="6">
        <f t="shared" si="1"/>
        <v>0</v>
      </c>
    </row>
    <row r="57" spans="1:11" ht="22.5" x14ac:dyDescent="0.25">
      <c r="A57" s="2">
        <v>54</v>
      </c>
      <c r="B57" s="3" t="s">
        <v>10</v>
      </c>
      <c r="C57" s="4" t="s">
        <v>64</v>
      </c>
      <c r="D57" s="5">
        <v>44719</v>
      </c>
      <c r="E57" s="5">
        <v>44378</v>
      </c>
      <c r="F57" s="5">
        <v>44742</v>
      </c>
      <c r="G57" s="6">
        <v>1070</v>
      </c>
      <c r="H57" s="6">
        <v>1081</v>
      </c>
      <c r="I57" s="6">
        <v>1081</v>
      </c>
      <c r="J57" s="6">
        <f t="shared" si="0"/>
        <v>1081</v>
      </c>
      <c r="K57" s="6">
        <f t="shared" si="1"/>
        <v>0</v>
      </c>
    </row>
    <row r="58" spans="1:11" ht="22.5" x14ac:dyDescent="0.25">
      <c r="A58" s="2">
        <v>55</v>
      </c>
      <c r="B58" s="3" t="s">
        <v>10</v>
      </c>
      <c r="C58" s="4" t="s">
        <v>65</v>
      </c>
      <c r="D58" s="5">
        <v>44727</v>
      </c>
      <c r="E58" s="5">
        <v>44378</v>
      </c>
      <c r="F58" s="5">
        <v>44742</v>
      </c>
      <c r="G58" s="6">
        <v>1082</v>
      </c>
      <c r="H58" s="6">
        <v>1093</v>
      </c>
      <c r="I58" s="6">
        <v>1093</v>
      </c>
      <c r="J58" s="6">
        <f t="shared" si="0"/>
        <v>1093</v>
      </c>
      <c r="K58" s="6">
        <f t="shared" si="1"/>
        <v>0</v>
      </c>
    </row>
    <row r="59" spans="1:11" ht="22.5" x14ac:dyDescent="0.25">
      <c r="A59" s="2">
        <v>56</v>
      </c>
      <c r="B59" s="3" t="s">
        <v>10</v>
      </c>
      <c r="C59" s="4" t="s">
        <v>66</v>
      </c>
      <c r="D59" s="5">
        <v>44729</v>
      </c>
      <c r="E59" s="5">
        <v>44378</v>
      </c>
      <c r="F59" s="5">
        <v>44742</v>
      </c>
      <c r="G59" s="6">
        <v>13476</v>
      </c>
      <c r="H59" s="6">
        <v>13611</v>
      </c>
      <c r="I59" s="6">
        <v>13611</v>
      </c>
      <c r="J59" s="6">
        <f t="shared" si="0"/>
        <v>13611</v>
      </c>
      <c r="K59" s="6">
        <f t="shared" si="1"/>
        <v>0</v>
      </c>
    </row>
    <row r="60" spans="1:11" ht="22.5" x14ac:dyDescent="0.25">
      <c r="A60" s="2">
        <v>57</v>
      </c>
      <c r="B60" s="3" t="s">
        <v>10</v>
      </c>
      <c r="C60" s="4" t="s">
        <v>67</v>
      </c>
      <c r="D60" s="5">
        <v>44733</v>
      </c>
      <c r="E60" s="5">
        <v>44378</v>
      </c>
      <c r="F60" s="5">
        <v>44742</v>
      </c>
      <c r="G60" s="6">
        <v>-8797</v>
      </c>
      <c r="H60" s="6">
        <v>-8885</v>
      </c>
      <c r="I60" s="6">
        <v>-8885</v>
      </c>
      <c r="J60" s="6">
        <f t="shared" si="0"/>
        <v>-8885</v>
      </c>
      <c r="K60" s="6">
        <f t="shared" si="1"/>
        <v>0</v>
      </c>
    </row>
    <row r="61" spans="1:11" ht="22.5" x14ac:dyDescent="0.25">
      <c r="A61" s="2">
        <v>58</v>
      </c>
      <c r="B61" s="3" t="s">
        <v>10</v>
      </c>
      <c r="C61" s="4" t="s">
        <v>68</v>
      </c>
      <c r="D61" s="5">
        <v>44739</v>
      </c>
      <c r="E61" s="5">
        <v>44378</v>
      </c>
      <c r="F61" s="5">
        <v>44742</v>
      </c>
      <c r="G61" s="6">
        <v>21895</v>
      </c>
      <c r="H61" s="6">
        <v>22114</v>
      </c>
      <c r="I61" s="6">
        <v>22114</v>
      </c>
      <c r="J61" s="6">
        <f t="shared" si="0"/>
        <v>22114</v>
      </c>
      <c r="K61" s="6">
        <f t="shared" si="1"/>
        <v>0</v>
      </c>
    </row>
    <row r="62" spans="1:11" ht="22.5" x14ac:dyDescent="0.25">
      <c r="A62" s="2">
        <v>59</v>
      </c>
      <c r="B62" s="3" t="s">
        <v>10</v>
      </c>
      <c r="C62" s="4" t="s">
        <v>69</v>
      </c>
      <c r="D62" s="5">
        <v>44770</v>
      </c>
      <c r="E62" s="5">
        <v>44378</v>
      </c>
      <c r="F62" s="5">
        <v>44742</v>
      </c>
      <c r="G62" s="6">
        <v>-6657</v>
      </c>
      <c r="H62" s="6">
        <v>-6724</v>
      </c>
      <c r="I62" s="6">
        <v>-6724</v>
      </c>
      <c r="J62" s="6">
        <f t="shared" si="0"/>
        <v>-6724</v>
      </c>
      <c r="K62" s="6">
        <f t="shared" si="1"/>
        <v>0</v>
      </c>
    </row>
    <row r="63" spans="1:11" ht="22.5" x14ac:dyDescent="0.25">
      <c r="A63" s="2">
        <v>60</v>
      </c>
      <c r="B63" s="3" t="s">
        <v>10</v>
      </c>
      <c r="C63" s="4" t="s">
        <v>70</v>
      </c>
      <c r="D63" s="5">
        <v>45205</v>
      </c>
      <c r="E63" s="5">
        <v>44378</v>
      </c>
      <c r="F63" s="5">
        <v>44742</v>
      </c>
      <c r="G63" s="6">
        <v>-137426</v>
      </c>
      <c r="H63" s="6">
        <v>-138800</v>
      </c>
      <c r="I63" s="6">
        <v>-138800</v>
      </c>
      <c r="J63" s="6">
        <f t="shared" si="0"/>
        <v>-138800</v>
      </c>
      <c r="K63" s="6">
        <f t="shared" si="1"/>
        <v>0</v>
      </c>
    </row>
    <row r="64" spans="1:11" ht="22.5" x14ac:dyDescent="0.25">
      <c r="A64" s="2">
        <v>1</v>
      </c>
      <c r="B64" s="3" t="s">
        <v>71</v>
      </c>
      <c r="C64" s="4" t="s">
        <v>72</v>
      </c>
      <c r="D64" s="5">
        <v>44771</v>
      </c>
      <c r="E64" s="5">
        <v>44743</v>
      </c>
      <c r="F64" s="5">
        <v>45107</v>
      </c>
      <c r="G64" s="6">
        <v>300148</v>
      </c>
      <c r="H64" s="6">
        <v>303149</v>
      </c>
      <c r="I64" s="6">
        <v>303149</v>
      </c>
      <c r="J64" s="6">
        <f t="shared" si="0"/>
        <v>303149</v>
      </c>
      <c r="K64" s="6">
        <f t="shared" si="1"/>
        <v>0</v>
      </c>
    </row>
    <row r="65" spans="1:11" ht="22.5" x14ac:dyDescent="0.25">
      <c r="A65" s="2">
        <v>2</v>
      </c>
      <c r="B65" s="3" t="s">
        <v>71</v>
      </c>
      <c r="C65" s="4" t="s">
        <v>73</v>
      </c>
      <c r="D65" s="5">
        <v>44774</v>
      </c>
      <c r="E65" s="5">
        <v>44743</v>
      </c>
      <c r="F65" s="5">
        <v>45107</v>
      </c>
      <c r="G65" s="6">
        <v>15125</v>
      </c>
      <c r="H65" s="6">
        <v>15276</v>
      </c>
      <c r="I65" s="6">
        <v>15276</v>
      </c>
      <c r="J65" s="6">
        <f t="shared" si="0"/>
        <v>15276</v>
      </c>
      <c r="K65" s="6">
        <f t="shared" si="1"/>
        <v>0</v>
      </c>
    </row>
    <row r="66" spans="1:11" ht="22.5" x14ac:dyDescent="0.25">
      <c r="A66" s="2">
        <v>3</v>
      </c>
      <c r="B66" s="3" t="s">
        <v>71</v>
      </c>
      <c r="C66" s="4" t="s">
        <v>74</v>
      </c>
      <c r="D66" s="5">
        <v>44776</v>
      </c>
      <c r="E66" s="5">
        <v>44743</v>
      </c>
      <c r="F66" s="5">
        <v>45107</v>
      </c>
      <c r="G66" s="6">
        <v>13955</v>
      </c>
      <c r="H66" s="6">
        <v>14095</v>
      </c>
      <c r="I66" s="6">
        <v>14095</v>
      </c>
      <c r="J66" s="6">
        <f t="shared" si="0"/>
        <v>14095</v>
      </c>
      <c r="K66" s="6">
        <f t="shared" si="1"/>
        <v>0</v>
      </c>
    </row>
    <row r="67" spans="1:11" ht="22.5" x14ac:dyDescent="0.25">
      <c r="A67" s="2">
        <v>4</v>
      </c>
      <c r="B67" s="3" t="s">
        <v>71</v>
      </c>
      <c r="C67" s="4" t="s">
        <v>75</v>
      </c>
      <c r="D67" s="5">
        <v>44798</v>
      </c>
      <c r="E67" s="5">
        <v>44743</v>
      </c>
      <c r="F67" s="5">
        <v>45107</v>
      </c>
      <c r="G67" s="6">
        <v>98884</v>
      </c>
      <c r="H67" s="6">
        <v>99873</v>
      </c>
      <c r="I67" s="6">
        <v>99873</v>
      </c>
      <c r="J67" s="6">
        <f t="shared" si="0"/>
        <v>99873</v>
      </c>
      <c r="K67" s="6">
        <f t="shared" si="1"/>
        <v>0</v>
      </c>
    </row>
    <row r="68" spans="1:11" ht="22.5" x14ac:dyDescent="0.25">
      <c r="A68" s="2">
        <v>5</v>
      </c>
      <c r="B68" s="3" t="s">
        <v>71</v>
      </c>
      <c r="C68" s="4" t="s">
        <v>76</v>
      </c>
      <c r="D68" s="5">
        <v>44799</v>
      </c>
      <c r="E68" s="5">
        <v>44743</v>
      </c>
      <c r="F68" s="5">
        <v>45107</v>
      </c>
      <c r="G68" s="6">
        <v>-31085</v>
      </c>
      <c r="H68" s="6">
        <v>-31396</v>
      </c>
      <c r="I68" s="6">
        <v>-31396</v>
      </c>
      <c r="J68" s="6">
        <f t="shared" si="0"/>
        <v>-31396</v>
      </c>
      <c r="K68" s="6">
        <f t="shared" si="1"/>
        <v>0</v>
      </c>
    </row>
    <row r="69" spans="1:11" ht="22.5" x14ac:dyDescent="0.25">
      <c r="A69" s="2">
        <v>6</v>
      </c>
      <c r="B69" s="3" t="s">
        <v>71</v>
      </c>
      <c r="C69" s="4" t="s">
        <v>77</v>
      </c>
      <c r="D69" s="5">
        <v>44804</v>
      </c>
      <c r="E69" s="5">
        <v>44743</v>
      </c>
      <c r="F69" s="5">
        <v>45107</v>
      </c>
      <c r="G69" s="6">
        <v>15251</v>
      </c>
      <c r="H69" s="6">
        <v>15404</v>
      </c>
      <c r="I69" s="6">
        <v>15404</v>
      </c>
      <c r="J69" s="6">
        <f t="shared" ref="J69:J132" si="2">+I69</f>
        <v>15404</v>
      </c>
      <c r="K69" s="6">
        <f t="shared" ref="K69:K132" si="3">+I69-J69</f>
        <v>0</v>
      </c>
    </row>
    <row r="70" spans="1:11" ht="22.5" x14ac:dyDescent="0.25">
      <c r="A70" s="2">
        <v>7</v>
      </c>
      <c r="B70" s="3" t="s">
        <v>71</v>
      </c>
      <c r="C70" s="4" t="s">
        <v>78</v>
      </c>
      <c r="D70" s="5">
        <v>44810</v>
      </c>
      <c r="E70" s="5">
        <v>44743</v>
      </c>
      <c r="F70" s="5">
        <v>45107</v>
      </c>
      <c r="G70" s="6">
        <v>13078</v>
      </c>
      <c r="H70" s="6">
        <v>13209</v>
      </c>
      <c r="I70" s="6">
        <v>13209</v>
      </c>
      <c r="J70" s="6">
        <f t="shared" si="2"/>
        <v>13209</v>
      </c>
      <c r="K70" s="6">
        <f t="shared" si="3"/>
        <v>0</v>
      </c>
    </row>
    <row r="71" spans="1:11" ht="22.5" x14ac:dyDescent="0.25">
      <c r="A71" s="2">
        <v>8</v>
      </c>
      <c r="B71" s="3" t="s">
        <v>71</v>
      </c>
      <c r="C71" s="4" t="s">
        <v>79</v>
      </c>
      <c r="D71" s="5">
        <v>44812</v>
      </c>
      <c r="E71" s="5">
        <v>44743</v>
      </c>
      <c r="F71" s="5">
        <v>45107</v>
      </c>
      <c r="G71" s="6">
        <v>8312</v>
      </c>
      <c r="H71" s="6">
        <v>8395</v>
      </c>
      <c r="I71" s="6">
        <v>8395</v>
      </c>
      <c r="J71" s="6">
        <f t="shared" si="2"/>
        <v>8395</v>
      </c>
      <c r="K71" s="6">
        <f t="shared" si="3"/>
        <v>0</v>
      </c>
    </row>
    <row r="72" spans="1:11" ht="22.5" x14ac:dyDescent="0.25">
      <c r="A72" s="2">
        <v>9</v>
      </c>
      <c r="B72" s="3" t="s">
        <v>71</v>
      </c>
      <c r="C72" s="4" t="s">
        <v>80</v>
      </c>
      <c r="D72" s="5">
        <v>44816</v>
      </c>
      <c r="E72" s="5">
        <v>44743</v>
      </c>
      <c r="F72" s="5">
        <v>45107</v>
      </c>
      <c r="G72" s="6">
        <v>78503</v>
      </c>
      <c r="H72" s="6">
        <v>79288</v>
      </c>
      <c r="I72" s="6">
        <v>79288</v>
      </c>
      <c r="J72" s="6">
        <f t="shared" si="2"/>
        <v>79288</v>
      </c>
      <c r="K72" s="6">
        <f t="shared" si="3"/>
        <v>0</v>
      </c>
    </row>
    <row r="73" spans="1:11" ht="22.5" x14ac:dyDescent="0.25">
      <c r="A73" s="2">
        <v>10</v>
      </c>
      <c r="B73" s="3" t="s">
        <v>71</v>
      </c>
      <c r="C73" s="4" t="s">
        <v>81</v>
      </c>
      <c r="D73" s="5">
        <v>44817</v>
      </c>
      <c r="E73" s="5">
        <v>44743</v>
      </c>
      <c r="F73" s="5">
        <v>45107</v>
      </c>
      <c r="G73" s="6">
        <v>106744</v>
      </c>
      <c r="H73" s="6">
        <v>107811</v>
      </c>
      <c r="I73" s="6">
        <v>107811</v>
      </c>
      <c r="J73" s="6">
        <f t="shared" si="2"/>
        <v>107811</v>
      </c>
      <c r="K73" s="6">
        <f t="shared" si="3"/>
        <v>0</v>
      </c>
    </row>
    <row r="74" spans="1:11" ht="22.5" x14ac:dyDescent="0.25">
      <c r="A74" s="2">
        <v>11</v>
      </c>
      <c r="B74" s="3" t="s">
        <v>71</v>
      </c>
      <c r="C74" s="4" t="s">
        <v>82</v>
      </c>
      <c r="D74" s="5">
        <v>44821</v>
      </c>
      <c r="E74" s="5">
        <v>44743</v>
      </c>
      <c r="F74" s="5">
        <v>45107</v>
      </c>
      <c r="G74" s="6">
        <v>45742</v>
      </c>
      <c r="H74" s="6">
        <v>46199</v>
      </c>
      <c r="I74" s="6">
        <v>46199</v>
      </c>
      <c r="J74" s="6">
        <f t="shared" si="2"/>
        <v>46199</v>
      </c>
      <c r="K74" s="6">
        <f t="shared" si="3"/>
        <v>0</v>
      </c>
    </row>
    <row r="75" spans="1:11" ht="22.5" x14ac:dyDescent="0.25">
      <c r="A75" s="2">
        <v>12</v>
      </c>
      <c r="B75" s="3" t="s">
        <v>71</v>
      </c>
      <c r="C75" s="4" t="s">
        <v>83</v>
      </c>
      <c r="D75" s="5">
        <v>44826</v>
      </c>
      <c r="E75" s="5">
        <v>44743</v>
      </c>
      <c r="F75" s="5">
        <v>45107</v>
      </c>
      <c r="G75" s="6">
        <v>12075</v>
      </c>
      <c r="H75" s="6">
        <v>12196</v>
      </c>
      <c r="I75" s="6">
        <v>12196</v>
      </c>
      <c r="J75" s="6">
        <f t="shared" si="2"/>
        <v>12196</v>
      </c>
      <c r="K75" s="6">
        <f t="shared" si="3"/>
        <v>0</v>
      </c>
    </row>
    <row r="76" spans="1:11" ht="22.5" x14ac:dyDescent="0.25">
      <c r="A76" s="2">
        <v>13</v>
      </c>
      <c r="B76" s="3" t="s">
        <v>71</v>
      </c>
      <c r="C76" s="4" t="s">
        <v>84</v>
      </c>
      <c r="D76" s="5">
        <v>44832</v>
      </c>
      <c r="E76" s="5">
        <v>44743</v>
      </c>
      <c r="F76" s="5">
        <v>45107</v>
      </c>
      <c r="G76" s="6">
        <v>6331</v>
      </c>
      <c r="H76" s="6">
        <v>6394</v>
      </c>
      <c r="I76" s="6">
        <v>6394</v>
      </c>
      <c r="J76" s="6">
        <f t="shared" si="2"/>
        <v>6394</v>
      </c>
      <c r="K76" s="6">
        <f t="shared" si="3"/>
        <v>0</v>
      </c>
    </row>
    <row r="77" spans="1:11" ht="22.5" x14ac:dyDescent="0.25">
      <c r="A77" s="2">
        <v>14</v>
      </c>
      <c r="B77" s="3" t="s">
        <v>71</v>
      </c>
      <c r="C77" s="4" t="s">
        <v>85</v>
      </c>
      <c r="D77" s="5">
        <v>44845</v>
      </c>
      <c r="E77" s="5">
        <v>44743</v>
      </c>
      <c r="F77" s="5">
        <v>45107</v>
      </c>
      <c r="G77" s="6">
        <v>11240</v>
      </c>
      <c r="H77" s="6">
        <v>11352</v>
      </c>
      <c r="I77" s="6">
        <v>11352</v>
      </c>
      <c r="J77" s="6">
        <f t="shared" si="2"/>
        <v>11352</v>
      </c>
      <c r="K77" s="6">
        <f t="shared" si="3"/>
        <v>0</v>
      </c>
    </row>
    <row r="78" spans="1:11" ht="22.5" x14ac:dyDescent="0.25">
      <c r="A78" s="2">
        <v>15</v>
      </c>
      <c r="B78" s="3" t="s">
        <v>71</v>
      </c>
      <c r="C78" s="4" t="s">
        <v>86</v>
      </c>
      <c r="D78" s="5">
        <v>44854</v>
      </c>
      <c r="E78" s="5">
        <v>44743</v>
      </c>
      <c r="F78" s="5">
        <v>45107</v>
      </c>
      <c r="G78" s="6">
        <v>15251</v>
      </c>
      <c r="H78" s="6">
        <v>15404</v>
      </c>
      <c r="I78" s="6">
        <v>15404</v>
      </c>
      <c r="J78" s="6">
        <f t="shared" si="2"/>
        <v>15404</v>
      </c>
      <c r="K78" s="6">
        <f t="shared" si="3"/>
        <v>0</v>
      </c>
    </row>
    <row r="79" spans="1:11" ht="22.5" x14ac:dyDescent="0.25">
      <c r="A79" s="2">
        <v>16</v>
      </c>
      <c r="B79" s="3" t="s">
        <v>71</v>
      </c>
      <c r="C79" s="4" t="s">
        <v>87</v>
      </c>
      <c r="D79" s="5">
        <v>44858</v>
      </c>
      <c r="E79" s="5">
        <v>44743</v>
      </c>
      <c r="F79" s="5">
        <v>45107</v>
      </c>
      <c r="G79" s="6">
        <v>15251</v>
      </c>
      <c r="H79" s="6">
        <v>15404</v>
      </c>
      <c r="I79" s="6">
        <v>15404</v>
      </c>
      <c r="J79" s="6">
        <f t="shared" si="2"/>
        <v>15404</v>
      </c>
      <c r="K79" s="6">
        <f t="shared" si="3"/>
        <v>0</v>
      </c>
    </row>
    <row r="80" spans="1:11" ht="22.5" x14ac:dyDescent="0.25">
      <c r="A80" s="2">
        <v>17</v>
      </c>
      <c r="B80" s="3" t="s">
        <v>71</v>
      </c>
      <c r="C80" s="4" t="s">
        <v>88</v>
      </c>
      <c r="D80" s="5">
        <v>44865</v>
      </c>
      <c r="E80" s="5">
        <v>44743</v>
      </c>
      <c r="F80" s="5">
        <v>45107</v>
      </c>
      <c r="G80" s="6">
        <v>10362</v>
      </c>
      <c r="H80" s="6">
        <v>10466</v>
      </c>
      <c r="I80" s="6">
        <v>10466</v>
      </c>
      <c r="J80" s="6">
        <f t="shared" si="2"/>
        <v>10466</v>
      </c>
      <c r="K80" s="6">
        <f t="shared" si="3"/>
        <v>0</v>
      </c>
    </row>
    <row r="81" spans="1:11" ht="22.5" x14ac:dyDescent="0.25">
      <c r="A81" s="2">
        <v>18</v>
      </c>
      <c r="B81" s="3" t="s">
        <v>71</v>
      </c>
      <c r="C81" s="4" t="s">
        <v>89</v>
      </c>
      <c r="D81" s="5">
        <v>44868</v>
      </c>
      <c r="E81" s="5">
        <v>44743</v>
      </c>
      <c r="F81" s="5">
        <v>45107</v>
      </c>
      <c r="G81" s="6">
        <v>-327477</v>
      </c>
      <c r="H81" s="6">
        <v>-330752</v>
      </c>
      <c r="I81" s="6">
        <v>-330752</v>
      </c>
      <c r="J81" s="6">
        <f t="shared" si="2"/>
        <v>-330752</v>
      </c>
      <c r="K81" s="6">
        <f t="shared" si="3"/>
        <v>0</v>
      </c>
    </row>
    <row r="82" spans="1:11" ht="22.5" x14ac:dyDescent="0.25">
      <c r="A82" s="2">
        <v>19</v>
      </c>
      <c r="B82" s="3" t="s">
        <v>71</v>
      </c>
      <c r="C82" s="4" t="s">
        <v>90</v>
      </c>
      <c r="D82" s="5">
        <v>44873</v>
      </c>
      <c r="E82" s="5">
        <v>44743</v>
      </c>
      <c r="F82" s="5">
        <v>45107</v>
      </c>
      <c r="G82" s="6">
        <v>45752</v>
      </c>
      <c r="H82" s="6">
        <v>46210</v>
      </c>
      <c r="I82" s="6">
        <v>46210</v>
      </c>
      <c r="J82" s="6">
        <f t="shared" si="2"/>
        <v>46210</v>
      </c>
      <c r="K82" s="6">
        <f t="shared" si="3"/>
        <v>0</v>
      </c>
    </row>
    <row r="83" spans="1:11" ht="22.5" x14ac:dyDescent="0.25">
      <c r="A83" s="2">
        <v>20</v>
      </c>
      <c r="B83" s="3" t="s">
        <v>71</v>
      </c>
      <c r="C83" s="4" t="s">
        <v>91</v>
      </c>
      <c r="D83" s="5">
        <v>44883</v>
      </c>
      <c r="E83" s="5">
        <v>44743</v>
      </c>
      <c r="F83" s="5">
        <v>45107</v>
      </c>
      <c r="G83" s="6">
        <v>5169</v>
      </c>
      <c r="H83" s="6">
        <v>5221</v>
      </c>
      <c r="I83" s="6">
        <v>5221</v>
      </c>
      <c r="J83" s="6">
        <f t="shared" si="2"/>
        <v>5221</v>
      </c>
      <c r="K83" s="6">
        <f t="shared" si="3"/>
        <v>0</v>
      </c>
    </row>
    <row r="84" spans="1:11" ht="22.5" x14ac:dyDescent="0.25">
      <c r="A84" s="2">
        <v>21</v>
      </c>
      <c r="B84" s="3" t="s">
        <v>71</v>
      </c>
      <c r="C84" s="4" t="s">
        <v>92</v>
      </c>
      <c r="D84" s="5">
        <v>44887</v>
      </c>
      <c r="E84" s="5">
        <v>44743</v>
      </c>
      <c r="F84" s="5">
        <v>45107</v>
      </c>
      <c r="G84" s="6">
        <v>11323</v>
      </c>
      <c r="H84" s="6">
        <v>11436</v>
      </c>
      <c r="I84" s="6">
        <v>11436</v>
      </c>
      <c r="J84" s="6">
        <f t="shared" si="2"/>
        <v>11436</v>
      </c>
      <c r="K84" s="6">
        <f t="shared" si="3"/>
        <v>0</v>
      </c>
    </row>
    <row r="85" spans="1:11" ht="22.5" x14ac:dyDescent="0.25">
      <c r="A85" s="2">
        <v>22</v>
      </c>
      <c r="B85" s="3" t="s">
        <v>71</v>
      </c>
      <c r="C85" s="4" t="s">
        <v>93</v>
      </c>
      <c r="D85" s="5">
        <v>44888</v>
      </c>
      <c r="E85" s="5">
        <v>44743</v>
      </c>
      <c r="F85" s="5">
        <v>45107</v>
      </c>
      <c r="G85" s="6">
        <v>51580</v>
      </c>
      <c r="H85" s="6">
        <v>52096</v>
      </c>
      <c r="I85" s="6">
        <v>52096</v>
      </c>
      <c r="J85" s="6">
        <f t="shared" si="2"/>
        <v>52096</v>
      </c>
      <c r="K85" s="6">
        <f t="shared" si="3"/>
        <v>0</v>
      </c>
    </row>
    <row r="86" spans="1:11" ht="22.5" x14ac:dyDescent="0.25">
      <c r="A86" s="2">
        <v>23</v>
      </c>
      <c r="B86" s="3" t="s">
        <v>71</v>
      </c>
      <c r="C86" s="4" t="s">
        <v>94</v>
      </c>
      <c r="D86" s="5">
        <v>44894</v>
      </c>
      <c r="E86" s="5">
        <v>44743</v>
      </c>
      <c r="F86" s="5">
        <v>45107</v>
      </c>
      <c r="G86" s="6">
        <v>41156</v>
      </c>
      <c r="H86" s="6">
        <v>41568</v>
      </c>
      <c r="I86" s="6">
        <v>41568</v>
      </c>
      <c r="J86" s="6">
        <f t="shared" si="2"/>
        <v>41568</v>
      </c>
      <c r="K86" s="6">
        <f t="shared" si="3"/>
        <v>0</v>
      </c>
    </row>
    <row r="87" spans="1:11" ht="22.5" x14ac:dyDescent="0.25">
      <c r="A87" s="2">
        <v>24</v>
      </c>
      <c r="B87" s="3" t="s">
        <v>71</v>
      </c>
      <c r="C87" s="4" t="s">
        <v>95</v>
      </c>
      <c r="D87" s="5">
        <v>44910</v>
      </c>
      <c r="E87" s="5">
        <v>44743</v>
      </c>
      <c r="F87" s="5">
        <v>45107</v>
      </c>
      <c r="G87" s="6">
        <v>11490</v>
      </c>
      <c r="H87" s="6">
        <v>11605</v>
      </c>
      <c r="I87" s="6">
        <v>11605</v>
      </c>
      <c r="J87" s="6">
        <f t="shared" si="2"/>
        <v>11605</v>
      </c>
      <c r="K87" s="6">
        <f t="shared" si="3"/>
        <v>0</v>
      </c>
    </row>
    <row r="88" spans="1:11" ht="22.5" x14ac:dyDescent="0.25">
      <c r="A88" s="2">
        <v>25</v>
      </c>
      <c r="B88" s="3" t="s">
        <v>71</v>
      </c>
      <c r="C88" s="4" t="s">
        <v>96</v>
      </c>
      <c r="D88" s="5">
        <v>44911</v>
      </c>
      <c r="E88" s="5">
        <v>44743</v>
      </c>
      <c r="F88" s="5">
        <v>45107</v>
      </c>
      <c r="G88" s="6">
        <v>10320</v>
      </c>
      <c r="H88" s="6">
        <v>10423</v>
      </c>
      <c r="I88" s="6">
        <v>10423</v>
      </c>
      <c r="J88" s="6">
        <f t="shared" si="2"/>
        <v>10423</v>
      </c>
      <c r="K88" s="6">
        <f t="shared" si="3"/>
        <v>0</v>
      </c>
    </row>
    <row r="89" spans="1:11" ht="22.5" x14ac:dyDescent="0.25">
      <c r="A89" s="2">
        <v>26</v>
      </c>
      <c r="B89" s="3" t="s">
        <v>71</v>
      </c>
      <c r="C89" s="4" t="s">
        <v>97</v>
      </c>
      <c r="D89" s="5">
        <v>44922</v>
      </c>
      <c r="E89" s="5">
        <v>44743</v>
      </c>
      <c r="F89" s="5">
        <v>45107</v>
      </c>
      <c r="G89" s="6">
        <v>7897</v>
      </c>
      <c r="H89" s="6">
        <v>7976</v>
      </c>
      <c r="I89" s="6">
        <v>7976</v>
      </c>
      <c r="J89" s="6">
        <f t="shared" si="2"/>
        <v>7976</v>
      </c>
      <c r="K89" s="6">
        <f t="shared" si="3"/>
        <v>0</v>
      </c>
    </row>
    <row r="90" spans="1:11" ht="22.5" x14ac:dyDescent="0.25">
      <c r="A90" s="2">
        <v>27</v>
      </c>
      <c r="B90" s="3" t="s">
        <v>71</v>
      </c>
      <c r="C90" s="4" t="s">
        <v>98</v>
      </c>
      <c r="D90" s="5">
        <v>44931</v>
      </c>
      <c r="E90" s="5">
        <v>44743</v>
      </c>
      <c r="F90" s="5">
        <v>45107</v>
      </c>
      <c r="G90" s="6">
        <v>9694</v>
      </c>
      <c r="H90" s="6">
        <v>9791</v>
      </c>
      <c r="I90" s="6">
        <v>9791</v>
      </c>
      <c r="J90" s="6">
        <f t="shared" si="2"/>
        <v>9791</v>
      </c>
      <c r="K90" s="6">
        <f t="shared" si="3"/>
        <v>0</v>
      </c>
    </row>
    <row r="91" spans="1:11" ht="22.5" x14ac:dyDescent="0.25">
      <c r="A91" s="2">
        <v>28</v>
      </c>
      <c r="B91" s="3" t="s">
        <v>71</v>
      </c>
      <c r="C91" s="4" t="s">
        <v>99</v>
      </c>
      <c r="D91" s="5">
        <v>44936</v>
      </c>
      <c r="E91" s="5">
        <v>44743</v>
      </c>
      <c r="F91" s="5">
        <v>45107</v>
      </c>
      <c r="G91" s="6">
        <v>7103</v>
      </c>
      <c r="H91" s="6">
        <v>7174</v>
      </c>
      <c r="I91" s="6">
        <v>7174</v>
      </c>
      <c r="J91" s="6">
        <f t="shared" si="2"/>
        <v>7174</v>
      </c>
      <c r="K91" s="6">
        <f t="shared" si="3"/>
        <v>0</v>
      </c>
    </row>
    <row r="92" spans="1:11" ht="22.5" x14ac:dyDescent="0.25">
      <c r="A92" s="2">
        <v>29</v>
      </c>
      <c r="B92" s="3" t="s">
        <v>71</v>
      </c>
      <c r="C92" s="4" t="s">
        <v>100</v>
      </c>
      <c r="D92" s="5">
        <v>44944</v>
      </c>
      <c r="E92" s="5">
        <v>44743</v>
      </c>
      <c r="F92" s="5">
        <v>45107</v>
      </c>
      <c r="G92" s="6">
        <v>71207</v>
      </c>
      <c r="H92" s="6">
        <v>71919</v>
      </c>
      <c r="I92" s="6">
        <v>71919</v>
      </c>
      <c r="J92" s="6">
        <f t="shared" si="2"/>
        <v>71919</v>
      </c>
      <c r="K92" s="6">
        <f t="shared" si="3"/>
        <v>0</v>
      </c>
    </row>
    <row r="93" spans="1:11" ht="22.5" x14ac:dyDescent="0.25">
      <c r="A93" s="2">
        <v>30</v>
      </c>
      <c r="B93" s="3" t="s">
        <v>71</v>
      </c>
      <c r="C93" s="4" t="s">
        <v>101</v>
      </c>
      <c r="D93" s="5">
        <v>44945</v>
      </c>
      <c r="E93" s="5">
        <v>44743</v>
      </c>
      <c r="F93" s="5">
        <v>45107</v>
      </c>
      <c r="G93" s="6">
        <v>73216</v>
      </c>
      <c r="H93" s="6">
        <v>73948</v>
      </c>
      <c r="I93" s="6">
        <v>73948</v>
      </c>
      <c r="J93" s="6">
        <f t="shared" si="2"/>
        <v>73948</v>
      </c>
      <c r="K93" s="6">
        <f t="shared" si="3"/>
        <v>0</v>
      </c>
    </row>
    <row r="94" spans="1:11" ht="22.5" x14ac:dyDescent="0.25">
      <c r="A94" s="2">
        <v>31</v>
      </c>
      <c r="B94" s="3" t="s">
        <v>71</v>
      </c>
      <c r="C94" s="4" t="s">
        <v>102</v>
      </c>
      <c r="D94" s="5">
        <v>44951</v>
      </c>
      <c r="E94" s="5">
        <v>44743</v>
      </c>
      <c r="F94" s="5">
        <v>45107</v>
      </c>
      <c r="G94" s="6">
        <v>15251</v>
      </c>
      <c r="H94" s="6">
        <v>15404</v>
      </c>
      <c r="I94" s="6">
        <v>15404</v>
      </c>
      <c r="J94" s="6">
        <f t="shared" si="2"/>
        <v>15404</v>
      </c>
      <c r="K94" s="6">
        <f t="shared" si="3"/>
        <v>0</v>
      </c>
    </row>
    <row r="95" spans="1:11" ht="22.5" x14ac:dyDescent="0.25">
      <c r="A95" s="2">
        <v>32</v>
      </c>
      <c r="B95" s="3" t="s">
        <v>71</v>
      </c>
      <c r="C95" s="4" t="s">
        <v>103</v>
      </c>
      <c r="D95" s="5">
        <v>44956</v>
      </c>
      <c r="E95" s="5">
        <v>44743</v>
      </c>
      <c r="F95" s="5">
        <v>45107</v>
      </c>
      <c r="G95" s="6">
        <v>54064</v>
      </c>
      <c r="H95" s="6">
        <v>54605</v>
      </c>
      <c r="I95" s="6">
        <v>54605</v>
      </c>
      <c r="J95" s="6">
        <f t="shared" si="2"/>
        <v>54605</v>
      </c>
      <c r="K95" s="6">
        <f t="shared" si="3"/>
        <v>0</v>
      </c>
    </row>
    <row r="96" spans="1:11" ht="22.5" x14ac:dyDescent="0.25">
      <c r="A96" s="2">
        <v>33</v>
      </c>
      <c r="B96" s="3" t="s">
        <v>71</v>
      </c>
      <c r="C96" s="4" t="s">
        <v>104</v>
      </c>
      <c r="D96" s="5">
        <v>44958</v>
      </c>
      <c r="E96" s="5">
        <v>44743</v>
      </c>
      <c r="F96" s="5">
        <v>45107</v>
      </c>
      <c r="G96" s="6">
        <v>61937</v>
      </c>
      <c r="H96" s="6">
        <v>62556</v>
      </c>
      <c r="I96" s="6">
        <v>62556</v>
      </c>
      <c r="J96" s="6">
        <f t="shared" si="2"/>
        <v>62556</v>
      </c>
      <c r="K96" s="6">
        <f t="shared" si="3"/>
        <v>0</v>
      </c>
    </row>
    <row r="97" spans="1:11" ht="22.5" x14ac:dyDescent="0.25">
      <c r="A97" s="2">
        <v>34</v>
      </c>
      <c r="B97" s="3" t="s">
        <v>71</v>
      </c>
      <c r="C97" s="4" t="s">
        <v>105</v>
      </c>
      <c r="D97" s="5">
        <v>44959</v>
      </c>
      <c r="E97" s="5">
        <v>44743</v>
      </c>
      <c r="F97" s="5">
        <v>45107</v>
      </c>
      <c r="G97" s="6">
        <v>7521</v>
      </c>
      <c r="H97" s="6">
        <v>7596</v>
      </c>
      <c r="I97" s="6">
        <v>7596</v>
      </c>
      <c r="J97" s="6">
        <f t="shared" si="2"/>
        <v>7596</v>
      </c>
      <c r="K97" s="6">
        <f t="shared" si="3"/>
        <v>0</v>
      </c>
    </row>
    <row r="98" spans="1:11" ht="22.5" x14ac:dyDescent="0.25">
      <c r="A98" s="2">
        <v>35</v>
      </c>
      <c r="B98" s="3" t="s">
        <v>71</v>
      </c>
      <c r="C98" s="4" t="s">
        <v>106</v>
      </c>
      <c r="D98" s="5">
        <v>44967</v>
      </c>
      <c r="E98" s="5">
        <v>44743</v>
      </c>
      <c r="F98" s="5">
        <v>45107</v>
      </c>
      <c r="G98" s="6">
        <v>-95416</v>
      </c>
      <c r="H98" s="6">
        <v>-96370</v>
      </c>
      <c r="I98" s="6">
        <v>-96370</v>
      </c>
      <c r="J98" s="6">
        <f t="shared" si="2"/>
        <v>-96370</v>
      </c>
      <c r="K98" s="6">
        <f t="shared" si="3"/>
        <v>0</v>
      </c>
    </row>
    <row r="99" spans="1:11" ht="22.5" x14ac:dyDescent="0.25">
      <c r="A99" s="2">
        <v>36</v>
      </c>
      <c r="B99" s="3" t="s">
        <v>71</v>
      </c>
      <c r="C99" s="4" t="s">
        <v>107</v>
      </c>
      <c r="D99" s="5">
        <v>44971</v>
      </c>
      <c r="E99" s="5">
        <v>44743</v>
      </c>
      <c r="F99" s="5">
        <v>45107</v>
      </c>
      <c r="G99" s="6">
        <v>36894</v>
      </c>
      <c r="H99" s="6">
        <v>37263</v>
      </c>
      <c r="I99" s="6">
        <v>37263</v>
      </c>
      <c r="J99" s="6">
        <f t="shared" si="2"/>
        <v>37263</v>
      </c>
      <c r="K99" s="6">
        <f t="shared" si="3"/>
        <v>0</v>
      </c>
    </row>
    <row r="100" spans="1:11" ht="22.5" x14ac:dyDescent="0.25">
      <c r="A100" s="2">
        <v>37</v>
      </c>
      <c r="B100" s="3" t="s">
        <v>71</v>
      </c>
      <c r="C100" s="4" t="s">
        <v>108</v>
      </c>
      <c r="D100" s="5">
        <v>44978</v>
      </c>
      <c r="E100" s="5">
        <v>44743</v>
      </c>
      <c r="F100" s="5">
        <v>45107</v>
      </c>
      <c r="G100" s="6">
        <v>12284</v>
      </c>
      <c r="H100" s="6">
        <v>12407</v>
      </c>
      <c r="I100" s="6">
        <v>12407</v>
      </c>
      <c r="J100" s="6">
        <f t="shared" si="2"/>
        <v>12407</v>
      </c>
      <c r="K100" s="6">
        <f t="shared" si="3"/>
        <v>0</v>
      </c>
    </row>
    <row r="101" spans="1:11" ht="22.5" x14ac:dyDescent="0.25">
      <c r="A101" s="2">
        <v>38</v>
      </c>
      <c r="B101" s="3" t="s">
        <v>71</v>
      </c>
      <c r="C101" s="4" t="s">
        <v>109</v>
      </c>
      <c r="D101" s="5">
        <v>44985</v>
      </c>
      <c r="E101" s="5">
        <v>44743</v>
      </c>
      <c r="F101" s="5">
        <v>45107</v>
      </c>
      <c r="G101" s="6">
        <v>54186</v>
      </c>
      <c r="H101" s="6">
        <v>54728</v>
      </c>
      <c r="I101" s="6">
        <v>54728</v>
      </c>
      <c r="J101" s="6">
        <f t="shared" si="2"/>
        <v>54728</v>
      </c>
      <c r="K101" s="6">
        <f t="shared" si="3"/>
        <v>0</v>
      </c>
    </row>
    <row r="102" spans="1:11" ht="22.5" x14ac:dyDescent="0.25">
      <c r="A102" s="2">
        <v>39</v>
      </c>
      <c r="B102" s="3" t="s">
        <v>71</v>
      </c>
      <c r="C102" s="4" t="s">
        <v>110</v>
      </c>
      <c r="D102" s="5">
        <v>44992</v>
      </c>
      <c r="E102" s="5">
        <v>44743</v>
      </c>
      <c r="F102" s="5">
        <v>45107</v>
      </c>
      <c r="G102" s="6">
        <v>-82734</v>
      </c>
      <c r="H102" s="6">
        <v>-83561</v>
      </c>
      <c r="I102" s="6">
        <v>-83561</v>
      </c>
      <c r="J102" s="6">
        <f t="shared" si="2"/>
        <v>-83561</v>
      </c>
      <c r="K102" s="6">
        <f t="shared" si="3"/>
        <v>0</v>
      </c>
    </row>
    <row r="103" spans="1:11" ht="22.5" x14ac:dyDescent="0.25">
      <c r="A103" s="2">
        <v>40</v>
      </c>
      <c r="B103" s="3" t="s">
        <v>71</v>
      </c>
      <c r="C103" s="4" t="s">
        <v>111</v>
      </c>
      <c r="D103" s="5">
        <v>44994</v>
      </c>
      <c r="E103" s="5">
        <v>44743</v>
      </c>
      <c r="F103" s="5">
        <v>45107</v>
      </c>
      <c r="G103" s="6">
        <v>4972</v>
      </c>
      <c r="H103" s="6">
        <v>5022</v>
      </c>
      <c r="I103" s="6">
        <v>5022</v>
      </c>
      <c r="J103" s="6">
        <f t="shared" si="2"/>
        <v>5022</v>
      </c>
      <c r="K103" s="6">
        <f t="shared" si="3"/>
        <v>0</v>
      </c>
    </row>
    <row r="104" spans="1:11" ht="22.5" x14ac:dyDescent="0.25">
      <c r="A104" s="2">
        <v>41</v>
      </c>
      <c r="B104" s="3" t="s">
        <v>71</v>
      </c>
      <c r="C104" s="4" t="s">
        <v>112</v>
      </c>
      <c r="D104" s="5">
        <v>44999</v>
      </c>
      <c r="E104" s="5">
        <v>44743</v>
      </c>
      <c r="F104" s="5">
        <v>45107</v>
      </c>
      <c r="G104" s="6">
        <v>69097</v>
      </c>
      <c r="H104" s="6">
        <v>69788</v>
      </c>
      <c r="I104" s="6">
        <v>69788</v>
      </c>
      <c r="J104" s="6">
        <f t="shared" si="2"/>
        <v>69788</v>
      </c>
      <c r="K104" s="6">
        <f t="shared" si="3"/>
        <v>0</v>
      </c>
    </row>
    <row r="105" spans="1:11" ht="22.5" x14ac:dyDescent="0.25">
      <c r="A105" s="2">
        <v>42</v>
      </c>
      <c r="B105" s="3" t="s">
        <v>71</v>
      </c>
      <c r="C105" s="4" t="s">
        <v>113</v>
      </c>
      <c r="D105" s="5">
        <v>45019</v>
      </c>
      <c r="E105" s="5">
        <v>44743</v>
      </c>
      <c r="F105" s="5">
        <v>45107</v>
      </c>
      <c r="G105" s="6">
        <v>45742</v>
      </c>
      <c r="H105" s="6">
        <v>46199</v>
      </c>
      <c r="I105" s="6">
        <v>46199</v>
      </c>
      <c r="J105" s="6">
        <f t="shared" si="2"/>
        <v>46199</v>
      </c>
      <c r="K105" s="6">
        <f t="shared" si="3"/>
        <v>0</v>
      </c>
    </row>
    <row r="106" spans="1:11" ht="22.5" x14ac:dyDescent="0.25">
      <c r="A106" s="2">
        <v>43</v>
      </c>
      <c r="B106" s="3" t="s">
        <v>71</v>
      </c>
      <c r="C106" s="4" t="s">
        <v>114</v>
      </c>
      <c r="D106" s="5">
        <v>45020</v>
      </c>
      <c r="E106" s="5">
        <v>44743</v>
      </c>
      <c r="F106" s="5">
        <v>45107</v>
      </c>
      <c r="G106" s="6">
        <v>-20701</v>
      </c>
      <c r="H106" s="6">
        <v>-20908</v>
      </c>
      <c r="I106" s="6">
        <v>-20908</v>
      </c>
      <c r="J106" s="6">
        <f t="shared" si="2"/>
        <v>-20908</v>
      </c>
      <c r="K106" s="6">
        <f t="shared" si="3"/>
        <v>0</v>
      </c>
    </row>
    <row r="107" spans="1:11" ht="22.5" x14ac:dyDescent="0.25">
      <c r="A107" s="2">
        <v>44</v>
      </c>
      <c r="B107" s="3" t="s">
        <v>71</v>
      </c>
      <c r="C107" s="4" t="s">
        <v>115</v>
      </c>
      <c r="D107" s="5">
        <v>45026</v>
      </c>
      <c r="E107" s="5">
        <v>44743</v>
      </c>
      <c r="F107" s="5">
        <v>45107</v>
      </c>
      <c r="G107" s="6">
        <v>9986</v>
      </c>
      <c r="H107" s="6">
        <v>10086</v>
      </c>
      <c r="I107" s="6">
        <v>10086</v>
      </c>
      <c r="J107" s="6">
        <f t="shared" si="2"/>
        <v>10086</v>
      </c>
      <c r="K107" s="6">
        <f t="shared" si="3"/>
        <v>0</v>
      </c>
    </row>
    <row r="108" spans="1:11" ht="22.5" x14ac:dyDescent="0.25">
      <c r="A108" s="2">
        <v>45</v>
      </c>
      <c r="B108" s="3" t="s">
        <v>71</v>
      </c>
      <c r="C108" s="4" t="s">
        <v>116</v>
      </c>
      <c r="D108" s="5">
        <v>45036</v>
      </c>
      <c r="E108" s="5">
        <v>44743</v>
      </c>
      <c r="F108" s="5">
        <v>45107</v>
      </c>
      <c r="G108" s="6">
        <v>34742</v>
      </c>
      <c r="H108" s="6">
        <v>35089</v>
      </c>
      <c r="I108" s="6">
        <v>35089</v>
      </c>
      <c r="J108" s="6">
        <f t="shared" si="2"/>
        <v>35089</v>
      </c>
      <c r="K108" s="6">
        <f t="shared" si="3"/>
        <v>0</v>
      </c>
    </row>
    <row r="109" spans="1:11" ht="22.5" x14ac:dyDescent="0.25">
      <c r="A109" s="2">
        <v>46</v>
      </c>
      <c r="B109" s="3" t="s">
        <v>71</v>
      </c>
      <c r="C109" s="4" t="s">
        <v>117</v>
      </c>
      <c r="D109" s="5">
        <v>45042</v>
      </c>
      <c r="E109" s="5">
        <v>44743</v>
      </c>
      <c r="F109" s="5">
        <v>45107</v>
      </c>
      <c r="G109" s="6">
        <v>45706</v>
      </c>
      <c r="H109" s="6">
        <v>46163</v>
      </c>
      <c r="I109" s="6">
        <v>46163</v>
      </c>
      <c r="J109" s="6">
        <f t="shared" si="2"/>
        <v>46163</v>
      </c>
      <c r="K109" s="6">
        <f t="shared" si="3"/>
        <v>0</v>
      </c>
    </row>
    <row r="110" spans="1:11" ht="22.5" x14ac:dyDescent="0.25">
      <c r="A110" s="2">
        <v>47</v>
      </c>
      <c r="B110" s="3" t="s">
        <v>71</v>
      </c>
      <c r="C110" s="4" t="s">
        <v>118</v>
      </c>
      <c r="D110" s="5">
        <v>45044</v>
      </c>
      <c r="E110" s="5">
        <v>44743</v>
      </c>
      <c r="F110" s="5">
        <v>45107</v>
      </c>
      <c r="G110" s="6">
        <v>18720</v>
      </c>
      <c r="H110" s="6">
        <v>18907</v>
      </c>
      <c r="I110" s="6">
        <v>18907</v>
      </c>
      <c r="J110" s="6">
        <f t="shared" si="2"/>
        <v>18907</v>
      </c>
      <c r="K110" s="6">
        <f t="shared" si="3"/>
        <v>0</v>
      </c>
    </row>
    <row r="111" spans="1:11" ht="22.5" x14ac:dyDescent="0.25">
      <c r="A111" s="2">
        <v>48</v>
      </c>
      <c r="B111" s="3" t="s">
        <v>71</v>
      </c>
      <c r="C111" s="4" t="s">
        <v>119</v>
      </c>
      <c r="D111" s="5">
        <v>45049</v>
      </c>
      <c r="E111" s="5">
        <v>44743</v>
      </c>
      <c r="F111" s="5">
        <v>45107</v>
      </c>
      <c r="G111" s="6">
        <v>2925</v>
      </c>
      <c r="H111" s="6">
        <v>2954</v>
      </c>
      <c r="I111" s="6">
        <v>2954</v>
      </c>
      <c r="J111" s="6">
        <f t="shared" si="2"/>
        <v>2954</v>
      </c>
      <c r="K111" s="6">
        <f t="shared" si="3"/>
        <v>0</v>
      </c>
    </row>
    <row r="112" spans="1:11" ht="22.5" x14ac:dyDescent="0.25">
      <c r="A112" s="2">
        <v>49</v>
      </c>
      <c r="B112" s="3" t="s">
        <v>71</v>
      </c>
      <c r="C112" s="4" t="s">
        <v>120</v>
      </c>
      <c r="D112" s="5">
        <v>45050</v>
      </c>
      <c r="E112" s="5">
        <v>44743</v>
      </c>
      <c r="F112" s="5">
        <v>45107</v>
      </c>
      <c r="G112" s="6">
        <v>110353</v>
      </c>
      <c r="H112" s="6">
        <v>111457</v>
      </c>
      <c r="I112" s="6">
        <v>111457</v>
      </c>
      <c r="J112" s="6">
        <f t="shared" si="2"/>
        <v>111457</v>
      </c>
      <c r="K112" s="6">
        <f t="shared" si="3"/>
        <v>0</v>
      </c>
    </row>
    <row r="113" spans="1:11" ht="22.5" x14ac:dyDescent="0.25">
      <c r="A113" s="2">
        <v>50</v>
      </c>
      <c r="B113" s="3" t="s">
        <v>71</v>
      </c>
      <c r="C113" s="4" t="s">
        <v>121</v>
      </c>
      <c r="D113" s="5">
        <v>45063</v>
      </c>
      <c r="E113" s="5">
        <v>44743</v>
      </c>
      <c r="F113" s="5">
        <v>45107</v>
      </c>
      <c r="G113" s="6">
        <v>-475310</v>
      </c>
      <c r="H113" s="6">
        <v>-480063</v>
      </c>
      <c r="I113" s="6">
        <v>-480063</v>
      </c>
      <c r="J113" s="6">
        <f t="shared" si="2"/>
        <v>-480063</v>
      </c>
      <c r="K113" s="6">
        <f t="shared" si="3"/>
        <v>0</v>
      </c>
    </row>
    <row r="114" spans="1:11" ht="22.5" x14ac:dyDescent="0.25">
      <c r="A114" s="2">
        <v>51</v>
      </c>
      <c r="B114" s="3" t="s">
        <v>71</v>
      </c>
      <c r="C114" s="4" t="s">
        <v>122</v>
      </c>
      <c r="D114" s="5">
        <v>45064</v>
      </c>
      <c r="E114" s="5">
        <v>44743</v>
      </c>
      <c r="F114" s="5">
        <v>45107</v>
      </c>
      <c r="G114" s="6">
        <v>4011</v>
      </c>
      <c r="H114" s="6">
        <v>4051</v>
      </c>
      <c r="I114" s="6">
        <v>4051</v>
      </c>
      <c r="J114" s="6">
        <f t="shared" si="2"/>
        <v>4051</v>
      </c>
      <c r="K114" s="6">
        <f t="shared" si="3"/>
        <v>0</v>
      </c>
    </row>
    <row r="115" spans="1:11" ht="22.5" x14ac:dyDescent="0.25">
      <c r="A115" s="2">
        <v>52</v>
      </c>
      <c r="B115" s="3" t="s">
        <v>71</v>
      </c>
      <c r="C115" s="4" t="s">
        <v>123</v>
      </c>
      <c r="D115" s="5">
        <v>45069</v>
      </c>
      <c r="E115" s="5">
        <v>44743</v>
      </c>
      <c r="F115" s="5">
        <v>45107</v>
      </c>
      <c r="G115" s="6">
        <v>-556445</v>
      </c>
      <c r="H115" s="6">
        <v>-562009</v>
      </c>
      <c r="I115" s="6">
        <v>-562009</v>
      </c>
      <c r="J115" s="6">
        <f t="shared" si="2"/>
        <v>-562009</v>
      </c>
      <c r="K115" s="6">
        <f t="shared" si="3"/>
        <v>0</v>
      </c>
    </row>
    <row r="116" spans="1:11" ht="22.5" x14ac:dyDescent="0.25">
      <c r="A116" s="2">
        <v>53</v>
      </c>
      <c r="B116" s="3" t="s">
        <v>71</v>
      </c>
      <c r="C116" s="4" t="s">
        <v>124</v>
      </c>
      <c r="D116" s="5">
        <v>45075</v>
      </c>
      <c r="E116" s="5">
        <v>44743</v>
      </c>
      <c r="F116" s="5">
        <v>45107</v>
      </c>
      <c r="G116" s="6">
        <v>1630</v>
      </c>
      <c r="H116" s="6">
        <v>1646</v>
      </c>
      <c r="I116" s="6">
        <v>1646</v>
      </c>
      <c r="J116" s="6">
        <f t="shared" si="2"/>
        <v>1646</v>
      </c>
      <c r="K116" s="6">
        <f t="shared" si="3"/>
        <v>0</v>
      </c>
    </row>
    <row r="117" spans="1:11" ht="22.5" x14ac:dyDescent="0.25">
      <c r="A117" s="2">
        <v>54</v>
      </c>
      <c r="B117" s="3" t="s">
        <v>71</v>
      </c>
      <c r="C117" s="4" t="s">
        <v>125</v>
      </c>
      <c r="D117" s="5">
        <v>45076</v>
      </c>
      <c r="E117" s="5">
        <v>44743</v>
      </c>
      <c r="F117" s="5">
        <v>45107</v>
      </c>
      <c r="G117" s="6">
        <v>19220</v>
      </c>
      <c r="H117" s="6">
        <v>19412</v>
      </c>
      <c r="I117" s="6">
        <v>19412</v>
      </c>
      <c r="J117" s="6">
        <f t="shared" si="2"/>
        <v>19412</v>
      </c>
      <c r="K117" s="6">
        <f t="shared" si="3"/>
        <v>0</v>
      </c>
    </row>
    <row r="118" spans="1:11" ht="22.5" x14ac:dyDescent="0.25">
      <c r="A118" s="2">
        <v>55</v>
      </c>
      <c r="B118" s="3" t="s">
        <v>71</v>
      </c>
      <c r="C118" s="4" t="s">
        <v>126</v>
      </c>
      <c r="D118" s="5">
        <v>45082</v>
      </c>
      <c r="E118" s="5">
        <v>44743</v>
      </c>
      <c r="F118" s="5">
        <v>45107</v>
      </c>
      <c r="G118" s="6">
        <v>24643</v>
      </c>
      <c r="H118" s="6">
        <v>24889</v>
      </c>
      <c r="I118" s="6">
        <v>24889</v>
      </c>
      <c r="J118" s="6">
        <f t="shared" si="2"/>
        <v>24889</v>
      </c>
      <c r="K118" s="6">
        <f t="shared" si="3"/>
        <v>0</v>
      </c>
    </row>
    <row r="119" spans="1:11" ht="22.5" x14ac:dyDescent="0.25">
      <c r="A119" s="2">
        <v>56</v>
      </c>
      <c r="B119" s="3" t="s">
        <v>71</v>
      </c>
      <c r="C119" s="4" t="s">
        <v>127</v>
      </c>
      <c r="D119" s="5">
        <v>45083</v>
      </c>
      <c r="E119" s="5">
        <v>44743</v>
      </c>
      <c r="F119" s="5">
        <v>45107</v>
      </c>
      <c r="G119" s="6">
        <v>45530</v>
      </c>
      <c r="H119" s="6">
        <v>45985</v>
      </c>
      <c r="I119" s="6">
        <v>45985</v>
      </c>
      <c r="J119" s="6">
        <f t="shared" si="2"/>
        <v>45985</v>
      </c>
      <c r="K119" s="6">
        <f t="shared" si="3"/>
        <v>0</v>
      </c>
    </row>
    <row r="120" spans="1:11" ht="22.5" x14ac:dyDescent="0.25">
      <c r="A120" s="2">
        <v>57</v>
      </c>
      <c r="B120" s="3" t="s">
        <v>71</v>
      </c>
      <c r="C120" s="4" t="s">
        <v>128</v>
      </c>
      <c r="D120" s="5">
        <v>45089</v>
      </c>
      <c r="E120" s="5">
        <v>44743</v>
      </c>
      <c r="F120" s="5">
        <v>45107</v>
      </c>
      <c r="G120" s="6">
        <v>11708</v>
      </c>
      <c r="H120" s="6">
        <v>11825</v>
      </c>
      <c r="I120" s="6">
        <v>11825</v>
      </c>
      <c r="J120" s="6">
        <f t="shared" si="2"/>
        <v>11825</v>
      </c>
      <c r="K120" s="6">
        <f t="shared" si="3"/>
        <v>0</v>
      </c>
    </row>
    <row r="121" spans="1:11" ht="22.5" x14ac:dyDescent="0.25">
      <c r="A121" s="2">
        <v>58</v>
      </c>
      <c r="B121" s="3" t="s">
        <v>71</v>
      </c>
      <c r="C121" s="4" t="s">
        <v>129</v>
      </c>
      <c r="D121" s="5">
        <v>45096</v>
      </c>
      <c r="E121" s="5">
        <v>44743</v>
      </c>
      <c r="F121" s="5">
        <v>45107</v>
      </c>
      <c r="G121" s="6">
        <v>1964</v>
      </c>
      <c r="H121" s="6">
        <v>1984</v>
      </c>
      <c r="I121" s="6">
        <v>1984</v>
      </c>
      <c r="J121" s="6">
        <f t="shared" si="2"/>
        <v>1984</v>
      </c>
      <c r="K121" s="6">
        <f t="shared" si="3"/>
        <v>0</v>
      </c>
    </row>
    <row r="122" spans="1:11" ht="22.5" x14ac:dyDescent="0.25">
      <c r="A122" s="2">
        <v>59</v>
      </c>
      <c r="B122" s="3" t="s">
        <v>71</v>
      </c>
      <c r="C122" s="4" t="s">
        <v>130</v>
      </c>
      <c r="D122" s="5">
        <v>45205</v>
      </c>
      <c r="E122" s="5">
        <v>44743</v>
      </c>
      <c r="F122" s="5">
        <v>45107</v>
      </c>
      <c r="G122" s="6">
        <v>-431336</v>
      </c>
      <c r="H122" s="6">
        <v>-435649</v>
      </c>
      <c r="I122" s="6">
        <v>-435649</v>
      </c>
      <c r="J122" s="6">
        <f t="shared" si="2"/>
        <v>-435649</v>
      </c>
      <c r="K122" s="6">
        <f t="shared" si="3"/>
        <v>0</v>
      </c>
    </row>
    <row r="123" spans="1:11" ht="22.5" x14ac:dyDescent="0.25">
      <c r="A123" s="2">
        <v>1</v>
      </c>
      <c r="B123" s="3" t="s">
        <v>131</v>
      </c>
      <c r="C123" s="4" t="s">
        <v>132</v>
      </c>
      <c r="D123" s="5">
        <v>45148</v>
      </c>
      <c r="E123" s="5">
        <v>45108</v>
      </c>
      <c r="F123" s="5">
        <v>45473</v>
      </c>
      <c r="G123" s="6">
        <v>13973</v>
      </c>
      <c r="H123" s="6">
        <v>14113</v>
      </c>
      <c r="I123" s="6">
        <v>14113</v>
      </c>
      <c r="J123" s="6">
        <f t="shared" si="2"/>
        <v>14113</v>
      </c>
      <c r="K123" s="6">
        <f t="shared" si="3"/>
        <v>0</v>
      </c>
    </row>
    <row r="124" spans="1:11" ht="22.5" x14ac:dyDescent="0.25">
      <c r="A124" s="2">
        <v>2</v>
      </c>
      <c r="B124" s="3" t="s">
        <v>131</v>
      </c>
      <c r="C124" s="4" t="s">
        <v>133</v>
      </c>
      <c r="D124" s="5">
        <v>45155</v>
      </c>
      <c r="E124" s="5">
        <v>45108</v>
      </c>
      <c r="F124" s="5">
        <v>45473</v>
      </c>
      <c r="G124" s="6">
        <v>15197</v>
      </c>
      <c r="H124" s="6">
        <v>15349</v>
      </c>
      <c r="I124" s="6">
        <v>15349</v>
      </c>
      <c r="J124" s="6">
        <f t="shared" si="2"/>
        <v>15349</v>
      </c>
      <c r="K124" s="6">
        <f t="shared" si="3"/>
        <v>0</v>
      </c>
    </row>
    <row r="125" spans="1:11" ht="22.5" x14ac:dyDescent="0.25">
      <c r="A125" s="2">
        <v>3</v>
      </c>
      <c r="B125" s="3" t="s">
        <v>131</v>
      </c>
      <c r="C125" s="4" t="s">
        <v>134</v>
      </c>
      <c r="D125" s="5">
        <v>45161</v>
      </c>
      <c r="E125" s="5">
        <v>45108</v>
      </c>
      <c r="F125" s="5">
        <v>45473</v>
      </c>
      <c r="G125" s="6">
        <v>89862</v>
      </c>
      <c r="H125" s="6">
        <v>90761</v>
      </c>
      <c r="I125" s="6">
        <v>90761</v>
      </c>
      <c r="J125" s="6">
        <f t="shared" si="2"/>
        <v>90761</v>
      </c>
      <c r="K125" s="6">
        <f t="shared" si="3"/>
        <v>0</v>
      </c>
    </row>
    <row r="126" spans="1:11" ht="22.5" x14ac:dyDescent="0.25">
      <c r="A126" s="2">
        <v>4</v>
      </c>
      <c r="B126" s="3" t="s">
        <v>131</v>
      </c>
      <c r="C126" s="4" t="s">
        <v>135</v>
      </c>
      <c r="D126" s="5">
        <v>45173</v>
      </c>
      <c r="E126" s="5">
        <v>45108</v>
      </c>
      <c r="F126" s="5">
        <v>45473</v>
      </c>
      <c r="G126" s="6">
        <v>261</v>
      </c>
      <c r="H126" s="6">
        <v>264</v>
      </c>
      <c r="I126" s="6">
        <v>264</v>
      </c>
      <c r="J126" s="6">
        <f t="shared" si="2"/>
        <v>264</v>
      </c>
      <c r="K126" s="6">
        <f t="shared" si="3"/>
        <v>0</v>
      </c>
    </row>
    <row r="127" spans="1:11" ht="22.5" x14ac:dyDescent="0.25">
      <c r="A127" s="2">
        <v>5</v>
      </c>
      <c r="B127" s="3" t="s">
        <v>131</v>
      </c>
      <c r="C127" s="4" t="s">
        <v>136</v>
      </c>
      <c r="D127" s="5">
        <v>45181</v>
      </c>
      <c r="E127" s="5">
        <v>45108</v>
      </c>
      <c r="F127" s="5">
        <v>45473</v>
      </c>
      <c r="G127" s="6">
        <v>15490</v>
      </c>
      <c r="H127" s="6">
        <v>15645</v>
      </c>
      <c r="I127" s="6">
        <v>15645</v>
      </c>
      <c r="J127" s="6">
        <f t="shared" si="2"/>
        <v>15645</v>
      </c>
      <c r="K127" s="6">
        <f t="shared" si="3"/>
        <v>0</v>
      </c>
    </row>
    <row r="128" spans="1:11" ht="22.5" x14ac:dyDescent="0.25">
      <c r="A128" s="2">
        <v>6</v>
      </c>
      <c r="B128" s="3" t="s">
        <v>131</v>
      </c>
      <c r="C128" s="4" t="s">
        <v>137</v>
      </c>
      <c r="D128" s="5">
        <v>45183</v>
      </c>
      <c r="E128" s="5">
        <v>45108</v>
      </c>
      <c r="F128" s="5">
        <v>45473</v>
      </c>
      <c r="G128" s="6">
        <v>142107</v>
      </c>
      <c r="H128" s="6">
        <v>143528</v>
      </c>
      <c r="I128" s="6">
        <v>143528</v>
      </c>
      <c r="J128" s="6">
        <f t="shared" si="2"/>
        <v>143528</v>
      </c>
      <c r="K128" s="6">
        <f t="shared" si="3"/>
        <v>0</v>
      </c>
    </row>
    <row r="129" spans="1:11" ht="22.5" x14ac:dyDescent="0.25">
      <c r="A129" s="2">
        <v>7</v>
      </c>
      <c r="B129" s="3" t="s">
        <v>131</v>
      </c>
      <c r="C129" s="4" t="s">
        <v>138</v>
      </c>
      <c r="D129" s="5">
        <v>45194</v>
      </c>
      <c r="E129" s="5">
        <v>45108</v>
      </c>
      <c r="F129" s="5">
        <v>45473</v>
      </c>
      <c r="G129" s="6">
        <v>108999</v>
      </c>
      <c r="H129" s="6">
        <v>110089</v>
      </c>
      <c r="I129" s="6">
        <v>110089</v>
      </c>
      <c r="J129" s="6">
        <f t="shared" si="2"/>
        <v>110089</v>
      </c>
      <c r="K129" s="6">
        <f t="shared" si="3"/>
        <v>0</v>
      </c>
    </row>
    <row r="130" spans="1:11" ht="22.5" x14ac:dyDescent="0.25">
      <c r="A130" s="2">
        <v>8</v>
      </c>
      <c r="B130" s="3" t="s">
        <v>131</v>
      </c>
      <c r="C130" s="4" t="s">
        <v>139</v>
      </c>
      <c r="D130" s="5">
        <v>45201</v>
      </c>
      <c r="E130" s="5">
        <v>45108</v>
      </c>
      <c r="F130" s="5">
        <v>45473</v>
      </c>
      <c r="G130" s="6">
        <v>11609</v>
      </c>
      <c r="H130" s="6">
        <v>11725</v>
      </c>
      <c r="I130" s="6">
        <v>11725</v>
      </c>
      <c r="J130" s="6">
        <f t="shared" si="2"/>
        <v>11725</v>
      </c>
      <c r="K130" s="6">
        <f t="shared" si="3"/>
        <v>0</v>
      </c>
    </row>
    <row r="131" spans="1:11" ht="22.5" x14ac:dyDescent="0.25">
      <c r="A131" s="2">
        <v>9</v>
      </c>
      <c r="B131" s="3" t="s">
        <v>131</v>
      </c>
      <c r="C131" s="4" t="s">
        <v>140</v>
      </c>
      <c r="D131" s="5">
        <v>45215</v>
      </c>
      <c r="E131" s="5">
        <v>45108</v>
      </c>
      <c r="F131" s="5">
        <v>45473</v>
      </c>
      <c r="G131" s="6">
        <v>11018</v>
      </c>
      <c r="H131" s="6">
        <v>11128</v>
      </c>
      <c r="I131" s="6">
        <v>11128</v>
      </c>
      <c r="J131" s="6">
        <f t="shared" si="2"/>
        <v>11128</v>
      </c>
      <c r="K131" s="6">
        <f t="shared" si="3"/>
        <v>0</v>
      </c>
    </row>
    <row r="132" spans="1:11" ht="22.5" x14ac:dyDescent="0.25">
      <c r="A132" s="2">
        <v>10</v>
      </c>
      <c r="B132" s="3" t="s">
        <v>131</v>
      </c>
      <c r="C132" s="4" t="s">
        <v>141</v>
      </c>
      <c r="D132" s="5">
        <v>45219</v>
      </c>
      <c r="E132" s="5">
        <v>45108</v>
      </c>
      <c r="F132" s="5">
        <v>45473</v>
      </c>
      <c r="G132" s="6">
        <v>15451</v>
      </c>
      <c r="H132" s="6">
        <v>15606</v>
      </c>
      <c r="I132" s="6">
        <v>1</v>
      </c>
      <c r="J132" s="6">
        <f t="shared" si="2"/>
        <v>1</v>
      </c>
      <c r="K132" s="6">
        <f t="shared" si="3"/>
        <v>0</v>
      </c>
    </row>
    <row r="133" spans="1:11" ht="22.5" x14ac:dyDescent="0.25">
      <c r="A133" s="2">
        <v>11</v>
      </c>
      <c r="B133" s="3" t="s">
        <v>131</v>
      </c>
      <c r="C133" s="4" t="s">
        <v>142</v>
      </c>
      <c r="D133" s="5">
        <v>45222</v>
      </c>
      <c r="E133" s="5">
        <v>45108</v>
      </c>
      <c r="F133" s="5">
        <v>45473</v>
      </c>
      <c r="G133" s="6">
        <v>70139</v>
      </c>
      <c r="H133" s="6">
        <v>70840</v>
      </c>
      <c r="I133" s="6">
        <v>70840</v>
      </c>
      <c r="J133" s="6">
        <f t="shared" ref="J133:J176" si="4">+I133</f>
        <v>70840</v>
      </c>
      <c r="K133" s="6">
        <f t="shared" ref="K133:K176" si="5">+I133-J133</f>
        <v>0</v>
      </c>
    </row>
    <row r="134" spans="1:11" ht="22.5" x14ac:dyDescent="0.25">
      <c r="A134" s="2">
        <v>12</v>
      </c>
      <c r="B134" s="3" t="s">
        <v>131</v>
      </c>
      <c r="C134" s="4" t="s">
        <v>143</v>
      </c>
      <c r="D134" s="5">
        <v>45223</v>
      </c>
      <c r="E134" s="5">
        <v>45108</v>
      </c>
      <c r="F134" s="5">
        <v>45473</v>
      </c>
      <c r="G134" s="6">
        <v>-107048</v>
      </c>
      <c r="H134" s="6">
        <v>-108118</v>
      </c>
      <c r="I134" s="6">
        <v>-108118</v>
      </c>
      <c r="J134" s="6">
        <f t="shared" si="4"/>
        <v>-108118</v>
      </c>
      <c r="K134" s="6">
        <f t="shared" si="5"/>
        <v>0</v>
      </c>
    </row>
    <row r="135" spans="1:11" ht="22.5" x14ac:dyDescent="0.25">
      <c r="A135" s="2">
        <v>13</v>
      </c>
      <c r="B135" s="3" t="s">
        <v>131</v>
      </c>
      <c r="C135" s="4" t="s">
        <v>144</v>
      </c>
      <c r="D135" s="5">
        <v>45223</v>
      </c>
      <c r="E135" s="5">
        <v>45108</v>
      </c>
      <c r="F135" s="5">
        <v>45473</v>
      </c>
      <c r="G135" s="6">
        <v>15195</v>
      </c>
      <c r="H135" s="6">
        <v>15347</v>
      </c>
      <c r="I135" s="6">
        <v>15347</v>
      </c>
      <c r="J135" s="6">
        <f t="shared" si="4"/>
        <v>15347</v>
      </c>
      <c r="K135" s="6">
        <f t="shared" si="5"/>
        <v>0</v>
      </c>
    </row>
    <row r="136" spans="1:11" ht="22.5" x14ac:dyDescent="0.25">
      <c r="A136" s="2">
        <v>14</v>
      </c>
      <c r="B136" s="3" t="s">
        <v>131</v>
      </c>
      <c r="C136" s="4" t="s">
        <v>145</v>
      </c>
      <c r="D136" s="5">
        <v>45229</v>
      </c>
      <c r="E136" s="5">
        <v>45108</v>
      </c>
      <c r="F136" s="5">
        <v>45473</v>
      </c>
      <c r="G136" s="6">
        <v>-410187</v>
      </c>
      <c r="H136" s="6">
        <v>-414289</v>
      </c>
      <c r="I136" s="6">
        <v>-414289</v>
      </c>
      <c r="J136" s="6">
        <f t="shared" si="4"/>
        <v>-414289</v>
      </c>
      <c r="K136" s="6">
        <f t="shared" si="5"/>
        <v>0</v>
      </c>
    </row>
    <row r="137" spans="1:11" ht="22.5" x14ac:dyDescent="0.25">
      <c r="A137" s="2">
        <v>15</v>
      </c>
      <c r="B137" s="3" t="s">
        <v>131</v>
      </c>
      <c r="C137" s="4" t="s">
        <v>146</v>
      </c>
      <c r="D137" s="5">
        <v>45230</v>
      </c>
      <c r="E137" s="5">
        <v>45108</v>
      </c>
      <c r="F137" s="5">
        <v>45473</v>
      </c>
      <c r="G137" s="6">
        <v>15451</v>
      </c>
      <c r="H137" s="6">
        <v>15606</v>
      </c>
      <c r="I137" s="6">
        <v>15606</v>
      </c>
      <c r="J137" s="6">
        <f t="shared" si="4"/>
        <v>15606</v>
      </c>
      <c r="K137" s="6">
        <f t="shared" si="5"/>
        <v>0</v>
      </c>
    </row>
    <row r="138" spans="1:11" ht="22.5" x14ac:dyDescent="0.25">
      <c r="A138" s="2">
        <v>16</v>
      </c>
      <c r="B138" s="3" t="s">
        <v>131</v>
      </c>
      <c r="C138" s="4" t="s">
        <v>147</v>
      </c>
      <c r="D138" s="5">
        <v>45232</v>
      </c>
      <c r="E138" s="5">
        <v>45108</v>
      </c>
      <c r="F138" s="5">
        <v>45473</v>
      </c>
      <c r="G138" s="6">
        <v>-5591</v>
      </c>
      <c r="H138" s="6">
        <v>-5647</v>
      </c>
      <c r="I138" s="6">
        <v>-5647</v>
      </c>
      <c r="J138" s="6">
        <f t="shared" si="4"/>
        <v>-5647</v>
      </c>
      <c r="K138" s="6">
        <f t="shared" si="5"/>
        <v>0</v>
      </c>
    </row>
    <row r="139" spans="1:11" ht="22.5" x14ac:dyDescent="0.25">
      <c r="A139" s="2">
        <v>17</v>
      </c>
      <c r="B139" s="3" t="s">
        <v>131</v>
      </c>
      <c r="C139" s="4" t="s">
        <v>148</v>
      </c>
      <c r="D139" s="5">
        <v>45236</v>
      </c>
      <c r="E139" s="5">
        <v>45108</v>
      </c>
      <c r="F139" s="5">
        <v>45473</v>
      </c>
      <c r="G139" s="6">
        <v>-68507</v>
      </c>
      <c r="H139" s="6">
        <v>-69192</v>
      </c>
      <c r="I139" s="6">
        <v>-69192</v>
      </c>
      <c r="J139" s="6">
        <f t="shared" si="4"/>
        <v>-69192</v>
      </c>
      <c r="K139" s="6">
        <f t="shared" si="5"/>
        <v>0</v>
      </c>
    </row>
    <row r="140" spans="1:11" ht="22.5" x14ac:dyDescent="0.25">
      <c r="A140" s="2">
        <v>18</v>
      </c>
      <c r="B140" s="3" t="s">
        <v>131</v>
      </c>
      <c r="C140" s="4" t="s">
        <v>149</v>
      </c>
      <c r="D140" s="5">
        <v>45243</v>
      </c>
      <c r="E140" s="5">
        <v>45108</v>
      </c>
      <c r="F140" s="5">
        <v>45473</v>
      </c>
      <c r="G140" s="6">
        <v>10498</v>
      </c>
      <c r="H140" s="6">
        <v>10603</v>
      </c>
      <c r="I140" s="6">
        <v>10603</v>
      </c>
      <c r="J140" s="6">
        <f t="shared" si="4"/>
        <v>10603</v>
      </c>
      <c r="K140" s="6">
        <f t="shared" si="5"/>
        <v>0</v>
      </c>
    </row>
    <row r="141" spans="1:11" ht="22.5" x14ac:dyDescent="0.25">
      <c r="A141" s="2">
        <v>19</v>
      </c>
      <c r="B141" s="3" t="s">
        <v>131</v>
      </c>
      <c r="C141" s="4" t="s">
        <v>150</v>
      </c>
      <c r="D141" s="5">
        <v>45245</v>
      </c>
      <c r="E141" s="5">
        <v>45108</v>
      </c>
      <c r="F141" s="5">
        <v>45473</v>
      </c>
      <c r="G141" s="6">
        <v>5591</v>
      </c>
      <c r="H141" s="6">
        <v>5647</v>
      </c>
      <c r="I141" s="6">
        <v>5647</v>
      </c>
      <c r="J141" s="6">
        <f t="shared" si="4"/>
        <v>5647</v>
      </c>
      <c r="K141" s="6">
        <f t="shared" si="5"/>
        <v>0</v>
      </c>
    </row>
    <row r="142" spans="1:11" ht="22.5" x14ac:dyDescent="0.25">
      <c r="A142" s="2">
        <v>20</v>
      </c>
      <c r="B142" s="3" t="s">
        <v>131</v>
      </c>
      <c r="C142" s="4" t="s">
        <v>151</v>
      </c>
      <c r="D142" s="5">
        <v>45251</v>
      </c>
      <c r="E142" s="5">
        <v>45108</v>
      </c>
      <c r="F142" s="5">
        <v>45473</v>
      </c>
      <c r="G142" s="6">
        <v>15282</v>
      </c>
      <c r="H142" s="6">
        <v>15435</v>
      </c>
      <c r="I142" s="6">
        <v>15435</v>
      </c>
      <c r="J142" s="6">
        <f t="shared" si="4"/>
        <v>15435</v>
      </c>
      <c r="K142" s="6">
        <f t="shared" si="5"/>
        <v>0</v>
      </c>
    </row>
    <row r="143" spans="1:11" ht="22.5" x14ac:dyDescent="0.25">
      <c r="A143" s="2">
        <v>21</v>
      </c>
      <c r="B143" s="3" t="s">
        <v>131</v>
      </c>
      <c r="C143" s="4" t="s">
        <v>152</v>
      </c>
      <c r="D143" s="5">
        <v>45265</v>
      </c>
      <c r="E143" s="5">
        <v>45108</v>
      </c>
      <c r="F143" s="5">
        <v>45473</v>
      </c>
      <c r="G143" s="6">
        <v>19461</v>
      </c>
      <c r="H143" s="6">
        <v>19656</v>
      </c>
      <c r="I143" s="6">
        <v>19656</v>
      </c>
      <c r="J143" s="6">
        <f t="shared" si="4"/>
        <v>19656</v>
      </c>
      <c r="K143" s="6">
        <f t="shared" si="5"/>
        <v>0</v>
      </c>
    </row>
    <row r="144" spans="1:11" ht="22.5" x14ac:dyDescent="0.25">
      <c r="A144" s="2">
        <v>22</v>
      </c>
      <c r="B144" s="3" t="s">
        <v>131</v>
      </c>
      <c r="C144" s="4" t="s">
        <v>153</v>
      </c>
      <c r="D144" s="5">
        <v>45269</v>
      </c>
      <c r="E144" s="5">
        <v>45108</v>
      </c>
      <c r="F144" s="5">
        <v>45473</v>
      </c>
      <c r="G144" s="6">
        <v>26794</v>
      </c>
      <c r="H144" s="6">
        <v>27062</v>
      </c>
      <c r="I144" s="6">
        <v>27062</v>
      </c>
      <c r="J144" s="6">
        <f t="shared" si="4"/>
        <v>27062</v>
      </c>
      <c r="K144" s="6">
        <f t="shared" si="5"/>
        <v>0</v>
      </c>
    </row>
    <row r="145" spans="1:11" ht="22.5" x14ac:dyDescent="0.25">
      <c r="A145" s="2">
        <v>23</v>
      </c>
      <c r="B145" s="3" t="s">
        <v>131</v>
      </c>
      <c r="C145" s="4" t="s">
        <v>154</v>
      </c>
      <c r="D145" s="5">
        <v>45273</v>
      </c>
      <c r="E145" s="5">
        <v>45108</v>
      </c>
      <c r="F145" s="5">
        <v>45473</v>
      </c>
      <c r="G145" s="6">
        <v>-258611</v>
      </c>
      <c r="H145" s="6">
        <v>-261197</v>
      </c>
      <c r="I145" s="6">
        <v>-261197</v>
      </c>
      <c r="J145" s="6">
        <f t="shared" si="4"/>
        <v>-261197</v>
      </c>
      <c r="K145" s="6">
        <f t="shared" si="5"/>
        <v>0</v>
      </c>
    </row>
    <row r="146" spans="1:11" ht="22.5" x14ac:dyDescent="0.25">
      <c r="A146" s="2">
        <v>24</v>
      </c>
      <c r="B146" s="3" t="s">
        <v>131</v>
      </c>
      <c r="C146" s="4" t="s">
        <v>155</v>
      </c>
      <c r="D146" s="5">
        <v>45276</v>
      </c>
      <c r="E146" s="5">
        <v>45108</v>
      </c>
      <c r="F146" s="5">
        <v>45473</v>
      </c>
      <c r="G146" s="6">
        <v>10202</v>
      </c>
      <c r="H146" s="6">
        <v>10304</v>
      </c>
      <c r="I146" s="6">
        <v>10304</v>
      </c>
      <c r="J146" s="6">
        <f t="shared" si="4"/>
        <v>10304</v>
      </c>
      <c r="K146" s="6">
        <f t="shared" si="5"/>
        <v>0</v>
      </c>
    </row>
    <row r="147" spans="1:11" ht="22.5" x14ac:dyDescent="0.25">
      <c r="A147" s="2">
        <v>25</v>
      </c>
      <c r="B147" s="3" t="s">
        <v>131</v>
      </c>
      <c r="C147" s="4" t="s">
        <v>156</v>
      </c>
      <c r="D147" s="5">
        <v>45278</v>
      </c>
      <c r="E147" s="5">
        <v>45108</v>
      </c>
      <c r="F147" s="5">
        <v>45473</v>
      </c>
      <c r="G147" s="6">
        <v>9245</v>
      </c>
      <c r="H147" s="6">
        <v>9337</v>
      </c>
      <c r="I147" s="6">
        <v>9337</v>
      </c>
      <c r="J147" s="6">
        <f t="shared" si="4"/>
        <v>9337</v>
      </c>
      <c r="K147" s="6">
        <f t="shared" si="5"/>
        <v>0</v>
      </c>
    </row>
    <row r="148" spans="1:11" ht="22.5" x14ac:dyDescent="0.25">
      <c r="A148" s="2">
        <v>26</v>
      </c>
      <c r="B148" s="3" t="s">
        <v>131</v>
      </c>
      <c r="C148" s="4" t="s">
        <v>157</v>
      </c>
      <c r="D148" s="5">
        <v>45286</v>
      </c>
      <c r="E148" s="5">
        <v>45108</v>
      </c>
      <c r="F148" s="5">
        <v>45473</v>
      </c>
      <c r="G148" s="6">
        <v>50380</v>
      </c>
      <c r="H148" s="6">
        <v>50884</v>
      </c>
      <c r="I148" s="6">
        <v>50884</v>
      </c>
      <c r="J148" s="6">
        <f t="shared" si="4"/>
        <v>50884</v>
      </c>
      <c r="K148" s="6">
        <f t="shared" si="5"/>
        <v>0</v>
      </c>
    </row>
    <row r="149" spans="1:11" ht="22.5" x14ac:dyDescent="0.25">
      <c r="A149" s="2">
        <v>27</v>
      </c>
      <c r="B149" s="3" t="s">
        <v>131</v>
      </c>
      <c r="C149" s="4" t="s">
        <v>158</v>
      </c>
      <c r="D149" s="5">
        <v>45292</v>
      </c>
      <c r="E149" s="5">
        <v>45108</v>
      </c>
      <c r="F149" s="5">
        <v>45473</v>
      </c>
      <c r="G149" s="6">
        <v>8570</v>
      </c>
      <c r="H149" s="6">
        <v>8656</v>
      </c>
      <c r="I149" s="6">
        <v>8656</v>
      </c>
      <c r="J149" s="6">
        <f t="shared" si="4"/>
        <v>8656</v>
      </c>
      <c r="K149" s="6">
        <f t="shared" si="5"/>
        <v>0</v>
      </c>
    </row>
    <row r="150" spans="1:11" ht="22.5" x14ac:dyDescent="0.25">
      <c r="A150" s="2">
        <v>28</v>
      </c>
      <c r="B150" s="3" t="s">
        <v>131</v>
      </c>
      <c r="C150" s="4" t="s">
        <v>159</v>
      </c>
      <c r="D150" s="5">
        <v>45296</v>
      </c>
      <c r="E150" s="5">
        <v>45108</v>
      </c>
      <c r="F150" s="5">
        <v>45473</v>
      </c>
      <c r="G150" s="6">
        <v>9161</v>
      </c>
      <c r="H150" s="6">
        <v>9253</v>
      </c>
      <c r="I150" s="6">
        <v>9253</v>
      </c>
      <c r="J150" s="6">
        <f t="shared" si="4"/>
        <v>9253</v>
      </c>
      <c r="K150" s="6">
        <f t="shared" si="5"/>
        <v>0</v>
      </c>
    </row>
    <row r="151" spans="1:11" ht="22.5" x14ac:dyDescent="0.25">
      <c r="A151" s="2">
        <v>29</v>
      </c>
      <c r="B151" s="3" t="s">
        <v>131</v>
      </c>
      <c r="C151" s="4" t="s">
        <v>160</v>
      </c>
      <c r="D151" s="5">
        <v>45297</v>
      </c>
      <c r="E151" s="5">
        <v>45108</v>
      </c>
      <c r="F151" s="5">
        <v>45473</v>
      </c>
      <c r="G151" s="6">
        <v>7641</v>
      </c>
      <c r="H151" s="6">
        <v>7717</v>
      </c>
      <c r="I151" s="6">
        <v>7717</v>
      </c>
      <c r="J151" s="6">
        <f t="shared" si="4"/>
        <v>7717</v>
      </c>
      <c r="K151" s="6">
        <f t="shared" si="5"/>
        <v>0</v>
      </c>
    </row>
    <row r="152" spans="1:11" ht="22.5" x14ac:dyDescent="0.25">
      <c r="A152" s="2">
        <v>30</v>
      </c>
      <c r="B152" s="3" t="s">
        <v>131</v>
      </c>
      <c r="C152" s="4" t="s">
        <v>161</v>
      </c>
      <c r="D152" s="5">
        <v>45313</v>
      </c>
      <c r="E152" s="5">
        <v>45108</v>
      </c>
      <c r="F152" s="5">
        <v>45473</v>
      </c>
      <c r="G152" s="6">
        <v>7852</v>
      </c>
      <c r="H152" s="6">
        <v>7931</v>
      </c>
      <c r="I152" s="6">
        <v>7931</v>
      </c>
      <c r="J152" s="6">
        <f t="shared" si="4"/>
        <v>7931</v>
      </c>
      <c r="K152" s="6">
        <f t="shared" si="5"/>
        <v>0</v>
      </c>
    </row>
    <row r="153" spans="1:11" ht="22.5" x14ac:dyDescent="0.25">
      <c r="A153" s="2">
        <v>31</v>
      </c>
      <c r="B153" s="3" t="s">
        <v>131</v>
      </c>
      <c r="C153" s="4" t="s">
        <v>162</v>
      </c>
      <c r="D153" s="5">
        <v>45313</v>
      </c>
      <c r="E153" s="5">
        <v>45108</v>
      </c>
      <c r="F153" s="5">
        <v>45473</v>
      </c>
      <c r="G153" s="6">
        <v>8148</v>
      </c>
      <c r="H153" s="6">
        <v>8229</v>
      </c>
      <c r="I153" s="6">
        <v>8229</v>
      </c>
      <c r="J153" s="6">
        <f t="shared" si="4"/>
        <v>8229</v>
      </c>
      <c r="K153" s="6">
        <f t="shared" si="5"/>
        <v>0</v>
      </c>
    </row>
    <row r="154" spans="1:11" ht="22.5" x14ac:dyDescent="0.25">
      <c r="A154" s="2">
        <v>32</v>
      </c>
      <c r="B154" s="3" t="s">
        <v>131</v>
      </c>
      <c r="C154" s="4" t="s">
        <v>163</v>
      </c>
      <c r="D154" s="5">
        <v>45321</v>
      </c>
      <c r="E154" s="5">
        <v>45108</v>
      </c>
      <c r="F154" s="5">
        <v>45473</v>
      </c>
      <c r="G154" s="6">
        <v>10216</v>
      </c>
      <c r="H154" s="6">
        <v>10318</v>
      </c>
      <c r="I154" s="6">
        <v>10318</v>
      </c>
      <c r="J154" s="6">
        <f t="shared" si="4"/>
        <v>10318</v>
      </c>
      <c r="K154" s="6">
        <f t="shared" si="5"/>
        <v>0</v>
      </c>
    </row>
    <row r="155" spans="1:11" ht="22.5" x14ac:dyDescent="0.25">
      <c r="A155" s="2">
        <v>33</v>
      </c>
      <c r="B155" s="3" t="s">
        <v>131</v>
      </c>
      <c r="C155" s="4" t="s">
        <v>164</v>
      </c>
      <c r="D155" s="5">
        <v>45324</v>
      </c>
      <c r="E155" s="5">
        <v>45108</v>
      </c>
      <c r="F155" s="5">
        <v>45473</v>
      </c>
      <c r="G155" s="6">
        <v>7177</v>
      </c>
      <c r="H155" s="6">
        <v>7249</v>
      </c>
      <c r="I155" s="6">
        <v>7249</v>
      </c>
      <c r="J155" s="6">
        <f t="shared" si="4"/>
        <v>7249</v>
      </c>
      <c r="K155" s="6">
        <f t="shared" si="5"/>
        <v>0</v>
      </c>
    </row>
    <row r="156" spans="1:11" ht="22.5" x14ac:dyDescent="0.25">
      <c r="A156" s="2">
        <v>34</v>
      </c>
      <c r="B156" s="3" t="s">
        <v>131</v>
      </c>
      <c r="C156" s="4" t="s">
        <v>165</v>
      </c>
      <c r="D156" s="5">
        <v>45332</v>
      </c>
      <c r="E156" s="5">
        <v>45108</v>
      </c>
      <c r="F156" s="5">
        <v>45473</v>
      </c>
      <c r="G156" s="6">
        <v>20512</v>
      </c>
      <c r="H156" s="6">
        <v>20717</v>
      </c>
      <c r="I156" s="6">
        <v>20717</v>
      </c>
      <c r="J156" s="6">
        <f t="shared" si="4"/>
        <v>20717</v>
      </c>
      <c r="K156" s="6">
        <f t="shared" si="5"/>
        <v>0</v>
      </c>
    </row>
    <row r="157" spans="1:11" ht="22.5" x14ac:dyDescent="0.25">
      <c r="A157" s="2">
        <v>35</v>
      </c>
      <c r="B157" s="3" t="s">
        <v>131</v>
      </c>
      <c r="C157" s="4" t="s">
        <v>166</v>
      </c>
      <c r="D157" s="5">
        <v>45336</v>
      </c>
      <c r="E157" s="5">
        <v>45108</v>
      </c>
      <c r="F157" s="5">
        <v>45473</v>
      </c>
      <c r="G157" s="6">
        <v>33094</v>
      </c>
      <c r="H157" s="6">
        <v>33425</v>
      </c>
      <c r="I157" s="6">
        <v>33425</v>
      </c>
      <c r="J157" s="6">
        <f t="shared" si="4"/>
        <v>33425</v>
      </c>
      <c r="K157" s="6">
        <f t="shared" si="5"/>
        <v>0</v>
      </c>
    </row>
    <row r="158" spans="1:11" ht="22.5" x14ac:dyDescent="0.25">
      <c r="A158" s="2">
        <v>36</v>
      </c>
      <c r="B158" s="3" t="s">
        <v>131</v>
      </c>
      <c r="C158" s="4" t="s">
        <v>167</v>
      </c>
      <c r="D158" s="5">
        <v>45339</v>
      </c>
      <c r="E158" s="5">
        <v>45108</v>
      </c>
      <c r="F158" s="5">
        <v>45473</v>
      </c>
      <c r="G158" s="6">
        <v>5868</v>
      </c>
      <c r="H158" s="6">
        <v>5927</v>
      </c>
      <c r="I158" s="6">
        <v>5927</v>
      </c>
      <c r="J158" s="6">
        <f t="shared" si="4"/>
        <v>5927</v>
      </c>
      <c r="K158" s="6">
        <f t="shared" si="5"/>
        <v>0</v>
      </c>
    </row>
    <row r="159" spans="1:11" ht="22.5" x14ac:dyDescent="0.25">
      <c r="A159" s="2">
        <v>37</v>
      </c>
      <c r="B159" s="3" t="s">
        <v>131</v>
      </c>
      <c r="C159" s="4" t="s">
        <v>168</v>
      </c>
      <c r="D159" s="5">
        <v>45344</v>
      </c>
      <c r="E159" s="5">
        <v>45108</v>
      </c>
      <c r="F159" s="5">
        <v>45473</v>
      </c>
      <c r="G159" s="6">
        <v>5868</v>
      </c>
      <c r="H159" s="6">
        <v>5927</v>
      </c>
      <c r="I159" s="6">
        <v>5927</v>
      </c>
      <c r="J159" s="6">
        <f t="shared" si="4"/>
        <v>5927</v>
      </c>
      <c r="K159" s="6">
        <f t="shared" si="5"/>
        <v>0</v>
      </c>
    </row>
    <row r="160" spans="1:11" ht="22.5" x14ac:dyDescent="0.25">
      <c r="A160" s="2">
        <v>38</v>
      </c>
      <c r="B160" s="3" t="s">
        <v>131</v>
      </c>
      <c r="C160" s="4" t="s">
        <v>169</v>
      </c>
      <c r="D160" s="5">
        <v>45349</v>
      </c>
      <c r="E160" s="5">
        <v>45108</v>
      </c>
      <c r="F160" s="5">
        <v>45473</v>
      </c>
      <c r="G160" s="6">
        <v>74765</v>
      </c>
      <c r="H160" s="6">
        <v>75513</v>
      </c>
      <c r="I160" s="6">
        <v>75513</v>
      </c>
      <c r="J160" s="6">
        <f t="shared" si="4"/>
        <v>75513</v>
      </c>
      <c r="K160" s="6">
        <f t="shared" si="5"/>
        <v>0</v>
      </c>
    </row>
    <row r="161" spans="1:11" ht="22.5" x14ac:dyDescent="0.25">
      <c r="A161" s="2">
        <v>39</v>
      </c>
      <c r="B161" s="3" t="s">
        <v>131</v>
      </c>
      <c r="C161" s="4" t="s">
        <v>170</v>
      </c>
      <c r="D161" s="5">
        <v>45355</v>
      </c>
      <c r="E161" s="5">
        <v>45108</v>
      </c>
      <c r="F161" s="5">
        <v>45473</v>
      </c>
      <c r="G161" s="6">
        <v>30901</v>
      </c>
      <c r="H161" s="6">
        <v>31210</v>
      </c>
      <c r="I161" s="6">
        <v>31210</v>
      </c>
      <c r="J161" s="6">
        <f t="shared" si="4"/>
        <v>31210</v>
      </c>
      <c r="K161" s="6">
        <f t="shared" si="5"/>
        <v>0</v>
      </c>
    </row>
    <row r="162" spans="1:11" ht="22.5" x14ac:dyDescent="0.25">
      <c r="A162" s="2">
        <v>40</v>
      </c>
      <c r="B162" s="3" t="s">
        <v>131</v>
      </c>
      <c r="C162" s="4" t="s">
        <v>171</v>
      </c>
      <c r="D162" s="5">
        <v>45358</v>
      </c>
      <c r="E162" s="5">
        <v>45108</v>
      </c>
      <c r="F162" s="5">
        <v>45473</v>
      </c>
      <c r="G162" s="6">
        <v>40473</v>
      </c>
      <c r="H162" s="6">
        <v>40878</v>
      </c>
      <c r="I162" s="6">
        <v>40878</v>
      </c>
      <c r="J162" s="6">
        <f t="shared" si="4"/>
        <v>40878</v>
      </c>
      <c r="K162" s="6">
        <f t="shared" si="5"/>
        <v>0</v>
      </c>
    </row>
    <row r="163" spans="1:11" ht="22.5" x14ac:dyDescent="0.25">
      <c r="A163" s="2">
        <v>41</v>
      </c>
      <c r="B163" s="3" t="s">
        <v>131</v>
      </c>
      <c r="C163" s="4" t="s">
        <v>172</v>
      </c>
      <c r="D163" s="5">
        <v>45379</v>
      </c>
      <c r="E163" s="5">
        <v>45108</v>
      </c>
      <c r="F163" s="5">
        <v>45473</v>
      </c>
      <c r="G163" s="6">
        <v>10976</v>
      </c>
      <c r="H163" s="6">
        <v>11086</v>
      </c>
      <c r="I163" s="6">
        <v>11086</v>
      </c>
      <c r="J163" s="6">
        <v>11086</v>
      </c>
      <c r="K163" s="6">
        <f t="shared" si="5"/>
        <v>0</v>
      </c>
    </row>
    <row r="164" spans="1:11" ht="22.5" x14ac:dyDescent="0.25">
      <c r="A164" s="2">
        <v>42</v>
      </c>
      <c r="B164" s="3" t="s">
        <v>131</v>
      </c>
      <c r="C164" s="4" t="s">
        <v>173</v>
      </c>
      <c r="D164" s="5">
        <v>45387</v>
      </c>
      <c r="E164" s="5">
        <v>45108</v>
      </c>
      <c r="F164" s="5">
        <v>45473</v>
      </c>
      <c r="G164" s="6">
        <v>4348</v>
      </c>
      <c r="H164" s="6">
        <v>4391</v>
      </c>
      <c r="I164" s="6">
        <v>4391</v>
      </c>
      <c r="J164" s="6">
        <f t="shared" si="4"/>
        <v>4391</v>
      </c>
      <c r="K164" s="6">
        <f t="shared" si="5"/>
        <v>0</v>
      </c>
    </row>
    <row r="165" spans="1:11" ht="22.5" x14ac:dyDescent="0.25">
      <c r="A165" s="2">
        <v>43</v>
      </c>
      <c r="B165" s="3" t="s">
        <v>131</v>
      </c>
      <c r="C165" s="4" t="s">
        <v>174</v>
      </c>
      <c r="D165" s="5">
        <v>45400</v>
      </c>
      <c r="E165" s="5">
        <v>45108</v>
      </c>
      <c r="F165" s="5">
        <v>45473</v>
      </c>
      <c r="G165" s="6">
        <v>6143</v>
      </c>
      <c r="H165" s="6">
        <v>6204</v>
      </c>
      <c r="I165" s="6">
        <v>6204</v>
      </c>
      <c r="J165" s="6">
        <f t="shared" si="4"/>
        <v>6204</v>
      </c>
      <c r="K165" s="6">
        <f t="shared" si="5"/>
        <v>0</v>
      </c>
    </row>
    <row r="166" spans="1:11" ht="22.5" x14ac:dyDescent="0.25">
      <c r="A166" s="2">
        <v>44</v>
      </c>
      <c r="B166" s="3" t="s">
        <v>131</v>
      </c>
      <c r="C166" s="4" t="s">
        <v>175</v>
      </c>
      <c r="D166" s="5">
        <v>45405</v>
      </c>
      <c r="E166" s="5">
        <v>45108</v>
      </c>
      <c r="F166" s="5">
        <v>45473</v>
      </c>
      <c r="G166" s="6">
        <v>15451</v>
      </c>
      <c r="H166" s="6">
        <v>15606</v>
      </c>
      <c r="I166" s="6">
        <v>15606</v>
      </c>
      <c r="J166" s="6">
        <f t="shared" si="4"/>
        <v>15606</v>
      </c>
      <c r="K166" s="6">
        <f t="shared" si="5"/>
        <v>0</v>
      </c>
    </row>
    <row r="167" spans="1:11" ht="22.5" x14ac:dyDescent="0.25">
      <c r="A167" s="2">
        <v>45</v>
      </c>
      <c r="B167" s="3" t="s">
        <v>131</v>
      </c>
      <c r="C167" s="4" t="s">
        <v>176</v>
      </c>
      <c r="D167" s="5">
        <v>45412</v>
      </c>
      <c r="E167" s="5">
        <v>45108</v>
      </c>
      <c r="F167" s="5">
        <v>45473</v>
      </c>
      <c r="G167" s="6">
        <v>3666</v>
      </c>
      <c r="H167" s="6">
        <v>3703</v>
      </c>
      <c r="I167" s="6">
        <v>3703</v>
      </c>
      <c r="J167" s="6">
        <f t="shared" si="4"/>
        <v>3703</v>
      </c>
      <c r="K167" s="6">
        <f t="shared" si="5"/>
        <v>0</v>
      </c>
    </row>
    <row r="168" spans="1:11" ht="22.5" x14ac:dyDescent="0.25">
      <c r="A168" s="2">
        <v>46</v>
      </c>
      <c r="B168" s="3" t="s">
        <v>131</v>
      </c>
      <c r="C168" s="4" t="s">
        <v>177</v>
      </c>
      <c r="D168" s="5">
        <v>45414</v>
      </c>
      <c r="E168" s="5">
        <v>45108</v>
      </c>
      <c r="F168" s="5">
        <v>45473</v>
      </c>
      <c r="G168" s="6">
        <v>2448</v>
      </c>
      <c r="H168" s="6">
        <v>2472</v>
      </c>
      <c r="I168" s="6">
        <v>2472</v>
      </c>
      <c r="J168" s="6">
        <f t="shared" si="4"/>
        <v>2472</v>
      </c>
      <c r="K168" s="6">
        <f t="shared" si="5"/>
        <v>0</v>
      </c>
    </row>
    <row r="169" spans="1:11" ht="22.5" x14ac:dyDescent="0.25">
      <c r="A169" s="2">
        <v>47</v>
      </c>
      <c r="B169" s="3" t="s">
        <v>131</v>
      </c>
      <c r="C169" s="4" t="s">
        <v>178</v>
      </c>
      <c r="D169" s="5">
        <v>45421</v>
      </c>
      <c r="E169" s="5">
        <v>45108</v>
      </c>
      <c r="F169" s="5">
        <v>45473</v>
      </c>
      <c r="G169" s="6">
        <v>-48328</v>
      </c>
      <c r="H169" s="6">
        <v>-48811</v>
      </c>
      <c r="I169" s="6">
        <v>-48811</v>
      </c>
      <c r="J169" s="6">
        <f t="shared" si="4"/>
        <v>-48811</v>
      </c>
      <c r="K169" s="6">
        <f t="shared" si="5"/>
        <v>0</v>
      </c>
    </row>
    <row r="170" spans="1:11" ht="22.5" x14ac:dyDescent="0.25">
      <c r="A170" s="2">
        <v>48</v>
      </c>
      <c r="B170" s="3" t="s">
        <v>131</v>
      </c>
      <c r="C170" s="4" t="s">
        <v>179</v>
      </c>
      <c r="D170" s="5">
        <v>45435</v>
      </c>
      <c r="E170" s="5">
        <v>45108</v>
      </c>
      <c r="F170" s="5">
        <v>45473</v>
      </c>
      <c r="G170" s="6">
        <v>3152</v>
      </c>
      <c r="H170" s="6">
        <v>3184</v>
      </c>
      <c r="I170" s="6">
        <v>3184</v>
      </c>
      <c r="J170" s="6">
        <f t="shared" si="4"/>
        <v>3184</v>
      </c>
      <c r="K170" s="6">
        <f t="shared" si="5"/>
        <v>0</v>
      </c>
    </row>
    <row r="171" spans="1:11" ht="22.5" x14ac:dyDescent="0.25">
      <c r="A171" s="2">
        <v>49</v>
      </c>
      <c r="B171" s="3" t="s">
        <v>131</v>
      </c>
      <c r="C171" s="4" t="s">
        <v>180</v>
      </c>
      <c r="D171" s="5">
        <v>45439</v>
      </c>
      <c r="E171" s="5">
        <v>45108</v>
      </c>
      <c r="F171" s="5">
        <v>45473</v>
      </c>
      <c r="G171" s="6">
        <v>12913</v>
      </c>
      <c r="H171" s="6">
        <v>13042</v>
      </c>
      <c r="I171" s="6">
        <v>13042</v>
      </c>
      <c r="J171" s="6">
        <f t="shared" si="4"/>
        <v>13042</v>
      </c>
      <c r="K171" s="6">
        <f t="shared" si="5"/>
        <v>0</v>
      </c>
    </row>
    <row r="172" spans="1:11" ht="22.5" x14ac:dyDescent="0.25">
      <c r="A172" s="2">
        <v>50</v>
      </c>
      <c r="B172" s="3" t="s">
        <v>131</v>
      </c>
      <c r="C172" s="4" t="s">
        <v>181</v>
      </c>
      <c r="D172" s="5">
        <v>45450</v>
      </c>
      <c r="E172" s="5">
        <v>45108</v>
      </c>
      <c r="F172" s="5">
        <v>45473</v>
      </c>
      <c r="G172" s="6">
        <v>-34337</v>
      </c>
      <c r="H172" s="6">
        <v>-34680</v>
      </c>
      <c r="I172" s="6">
        <v>-34680</v>
      </c>
      <c r="J172" s="6">
        <f t="shared" si="4"/>
        <v>-34680</v>
      </c>
      <c r="K172" s="6">
        <f t="shared" si="5"/>
        <v>0</v>
      </c>
    </row>
    <row r="173" spans="1:11" ht="22.5" x14ac:dyDescent="0.25">
      <c r="A173" s="2">
        <v>51</v>
      </c>
      <c r="B173" s="3" t="s">
        <v>131</v>
      </c>
      <c r="C173" s="4" t="s">
        <v>182</v>
      </c>
      <c r="D173" s="5">
        <v>45454</v>
      </c>
      <c r="E173" s="5">
        <v>45108</v>
      </c>
      <c r="F173" s="5">
        <v>45473</v>
      </c>
      <c r="G173" s="6">
        <v>15057</v>
      </c>
      <c r="H173" s="6">
        <v>15208</v>
      </c>
      <c r="I173" s="6">
        <v>15208</v>
      </c>
      <c r="J173" s="6">
        <v>4343</v>
      </c>
      <c r="K173" s="11">
        <f t="shared" si="5"/>
        <v>10865</v>
      </c>
    </row>
    <row r="174" spans="1:11" ht="22.5" x14ac:dyDescent="0.25">
      <c r="A174" s="2">
        <v>52</v>
      </c>
      <c r="B174" s="3" t="s">
        <v>131</v>
      </c>
      <c r="C174" s="4" t="s">
        <v>183</v>
      </c>
      <c r="D174" s="5">
        <v>45455</v>
      </c>
      <c r="E174" s="5">
        <v>45108</v>
      </c>
      <c r="F174" s="5">
        <v>45473</v>
      </c>
      <c r="G174" s="6">
        <v>-7313</v>
      </c>
      <c r="H174" s="6">
        <v>-7386</v>
      </c>
      <c r="I174" s="6">
        <v>-7386</v>
      </c>
      <c r="J174" s="6">
        <f t="shared" si="4"/>
        <v>-7386</v>
      </c>
      <c r="K174" s="6">
        <f t="shared" si="5"/>
        <v>0</v>
      </c>
    </row>
    <row r="175" spans="1:11" ht="22.5" x14ac:dyDescent="0.25">
      <c r="A175" s="2">
        <v>53</v>
      </c>
      <c r="B175" s="3" t="s">
        <v>131</v>
      </c>
      <c r="C175" s="4" t="s">
        <v>184</v>
      </c>
      <c r="D175" s="5">
        <v>45468</v>
      </c>
      <c r="E175" s="5">
        <v>45108</v>
      </c>
      <c r="F175" s="5">
        <v>45473</v>
      </c>
      <c r="G175" s="6">
        <v>534</v>
      </c>
      <c r="H175" s="6">
        <v>539</v>
      </c>
      <c r="I175" s="6">
        <v>539</v>
      </c>
      <c r="J175" s="6">
        <f t="shared" si="4"/>
        <v>539</v>
      </c>
      <c r="K175" s="6">
        <f t="shared" si="5"/>
        <v>0</v>
      </c>
    </row>
    <row r="176" spans="1:11" ht="22.5" x14ac:dyDescent="0.25">
      <c r="A176" s="2">
        <v>54</v>
      </c>
      <c r="B176" s="3" t="s">
        <v>131</v>
      </c>
      <c r="C176" s="4" t="s">
        <v>185</v>
      </c>
      <c r="D176" s="5">
        <v>45470</v>
      </c>
      <c r="E176" s="5">
        <v>45108</v>
      </c>
      <c r="F176" s="5">
        <v>45473</v>
      </c>
      <c r="G176" s="6">
        <v>1013</v>
      </c>
      <c r="H176" s="6">
        <v>1023</v>
      </c>
      <c r="I176" s="6">
        <v>1023</v>
      </c>
      <c r="J176" s="6">
        <f t="shared" si="4"/>
        <v>1023</v>
      </c>
      <c r="K176" s="6">
        <f t="shared" si="5"/>
        <v>0</v>
      </c>
    </row>
    <row r="177" spans="9:11" x14ac:dyDescent="0.25">
      <c r="I177" s="10">
        <f>SUM(I4:I176)</f>
        <v>10865</v>
      </c>
      <c r="J177" s="10">
        <f>SUM(J4:J176)</f>
        <v>0</v>
      </c>
      <c r="K177" s="10">
        <f>SUM(K4:K176)</f>
        <v>10865</v>
      </c>
    </row>
  </sheetData>
  <mergeCells count="1">
    <mergeCell ref="A1:K1"/>
  </mergeCells>
  <conditionalFormatting sqref="A4:K176">
    <cfRule type="notContainsBlanks" dxfId="6" priority="1">
      <formula>LEN(TRIM(A4))&gt;0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F6F9-452D-4D96-AC9E-C763BFB7F621}">
  <dimension ref="A1:B175"/>
  <sheetViews>
    <sheetView tabSelected="1" topLeftCell="A171" workbookViewId="0">
      <selection activeCell="K180" sqref="K180"/>
    </sheetView>
  </sheetViews>
  <sheetFormatPr defaultRowHeight="15" x14ac:dyDescent="0.25"/>
  <cols>
    <col min="1" max="1" width="37.7109375" bestFit="1" customWidth="1"/>
    <col min="2" max="2" width="11.5703125" style="12" bestFit="1" customWidth="1"/>
  </cols>
  <sheetData>
    <row r="1" spans="1:2" x14ac:dyDescent="0.25">
      <c r="A1" s="14" t="s">
        <v>2</v>
      </c>
      <c r="B1" s="15" t="s">
        <v>190</v>
      </c>
    </row>
    <row r="2" spans="1:2" x14ac:dyDescent="0.25">
      <c r="A2" t="s">
        <v>11</v>
      </c>
      <c r="B2" s="13">
        <v>-552624</v>
      </c>
    </row>
    <row r="3" spans="1:2" x14ac:dyDescent="0.25">
      <c r="A3" t="s">
        <v>12</v>
      </c>
      <c r="B3" s="13">
        <v>42923</v>
      </c>
    </row>
    <row r="4" spans="1:2" x14ac:dyDescent="0.25">
      <c r="A4" t="s">
        <v>13</v>
      </c>
      <c r="B4" s="13">
        <v>1423</v>
      </c>
    </row>
    <row r="5" spans="1:2" x14ac:dyDescent="0.25">
      <c r="A5" t="s">
        <v>14</v>
      </c>
      <c r="B5" s="13">
        <v>20907</v>
      </c>
    </row>
    <row r="6" spans="1:2" x14ac:dyDescent="0.25">
      <c r="A6" t="s">
        <v>15</v>
      </c>
      <c r="B6" s="13">
        <v>6935</v>
      </c>
    </row>
    <row r="7" spans="1:2" x14ac:dyDescent="0.25">
      <c r="A7" t="s">
        <v>16</v>
      </c>
      <c r="B7" s="13">
        <v>10454</v>
      </c>
    </row>
    <row r="8" spans="1:2" x14ac:dyDescent="0.25">
      <c r="A8" t="s">
        <v>17</v>
      </c>
      <c r="B8" s="13">
        <v>9452</v>
      </c>
    </row>
    <row r="9" spans="1:2" x14ac:dyDescent="0.25">
      <c r="A9" t="s">
        <v>18</v>
      </c>
      <c r="B9" s="13">
        <v>7444</v>
      </c>
    </row>
    <row r="10" spans="1:2" x14ac:dyDescent="0.25">
      <c r="A10" t="s">
        <v>19</v>
      </c>
      <c r="B10" s="13">
        <v>76091</v>
      </c>
    </row>
    <row r="11" spans="1:2" x14ac:dyDescent="0.25">
      <c r="A11" t="s">
        <v>20</v>
      </c>
      <c r="B11" s="13">
        <v>10454</v>
      </c>
    </row>
    <row r="12" spans="1:2" x14ac:dyDescent="0.25">
      <c r="A12" t="s">
        <v>21</v>
      </c>
      <c r="B12" s="13">
        <v>21333</v>
      </c>
    </row>
    <row r="13" spans="1:2" x14ac:dyDescent="0.25">
      <c r="A13" t="s">
        <v>22</v>
      </c>
      <c r="B13" s="13">
        <v>22332</v>
      </c>
    </row>
    <row r="14" spans="1:2" x14ac:dyDescent="0.25">
      <c r="A14" t="s">
        <v>23</v>
      </c>
      <c r="B14" s="13">
        <v>75123</v>
      </c>
    </row>
    <row r="15" spans="1:2" x14ac:dyDescent="0.25">
      <c r="A15" t="s">
        <v>24</v>
      </c>
      <c r="B15" s="13">
        <v>37094</v>
      </c>
    </row>
    <row r="16" spans="1:2" x14ac:dyDescent="0.25">
      <c r="A16" t="s">
        <v>25</v>
      </c>
      <c r="B16" s="13">
        <v>69932</v>
      </c>
    </row>
    <row r="17" spans="1:2" x14ac:dyDescent="0.25">
      <c r="A17" t="s">
        <v>26</v>
      </c>
      <c r="B17" s="13">
        <v>243178</v>
      </c>
    </row>
    <row r="18" spans="1:2" x14ac:dyDescent="0.25">
      <c r="A18" t="s">
        <v>27</v>
      </c>
      <c r="B18" s="13">
        <v>7159</v>
      </c>
    </row>
    <row r="19" spans="1:2" x14ac:dyDescent="0.25">
      <c r="A19" t="s">
        <v>28</v>
      </c>
      <c r="B19" s="13">
        <v>111723</v>
      </c>
    </row>
    <row r="20" spans="1:2" x14ac:dyDescent="0.25">
      <c r="A20" t="s">
        <v>29</v>
      </c>
      <c r="B20" s="13">
        <v>7444</v>
      </c>
    </row>
    <row r="21" spans="1:2" x14ac:dyDescent="0.25">
      <c r="A21" t="s">
        <v>30</v>
      </c>
      <c r="B21" s="13">
        <v>111255</v>
      </c>
    </row>
    <row r="22" spans="1:2" x14ac:dyDescent="0.25">
      <c r="A22" t="s">
        <v>31</v>
      </c>
      <c r="B22" s="13">
        <v>14888</v>
      </c>
    </row>
    <row r="23" spans="1:2" x14ac:dyDescent="0.25">
      <c r="A23" t="s">
        <v>32</v>
      </c>
      <c r="B23" s="13">
        <v>112933</v>
      </c>
    </row>
    <row r="24" spans="1:2" x14ac:dyDescent="0.25">
      <c r="A24" t="s">
        <v>33</v>
      </c>
      <c r="B24" s="13">
        <v>7188</v>
      </c>
    </row>
    <row r="25" spans="1:2" x14ac:dyDescent="0.25">
      <c r="A25" t="s">
        <v>34</v>
      </c>
      <c r="B25" s="13">
        <v>4772</v>
      </c>
    </row>
    <row r="26" spans="1:2" x14ac:dyDescent="0.25">
      <c r="A26" t="s">
        <v>35</v>
      </c>
      <c r="B26" s="13">
        <v>6811</v>
      </c>
    </row>
    <row r="27" spans="1:2" x14ac:dyDescent="0.25">
      <c r="A27" t="s">
        <v>36</v>
      </c>
      <c r="B27" s="13">
        <v>13321</v>
      </c>
    </row>
    <row r="28" spans="1:2" x14ac:dyDescent="0.25">
      <c r="A28" t="s">
        <v>37</v>
      </c>
      <c r="B28" s="13">
        <v>4936</v>
      </c>
    </row>
    <row r="29" spans="1:2" x14ac:dyDescent="0.25">
      <c r="A29" t="s">
        <v>38</v>
      </c>
      <c r="B29" s="13">
        <v>7444</v>
      </c>
    </row>
    <row r="30" spans="1:2" x14ac:dyDescent="0.25">
      <c r="A30" t="s">
        <v>39</v>
      </c>
      <c r="B30" s="13">
        <v>7444</v>
      </c>
    </row>
    <row r="31" spans="1:2" x14ac:dyDescent="0.25">
      <c r="A31" t="s">
        <v>40</v>
      </c>
      <c r="B31" s="13">
        <v>50749</v>
      </c>
    </row>
    <row r="32" spans="1:2" x14ac:dyDescent="0.25">
      <c r="A32" t="s">
        <v>41</v>
      </c>
      <c r="B32" s="13">
        <v>8484</v>
      </c>
    </row>
    <row r="33" spans="1:2" x14ac:dyDescent="0.25">
      <c r="A33" t="s">
        <v>42</v>
      </c>
      <c r="B33" s="13">
        <v>5649</v>
      </c>
    </row>
    <row r="34" spans="1:2" x14ac:dyDescent="0.25">
      <c r="A34" t="s">
        <v>43</v>
      </c>
      <c r="B34" s="13">
        <v>26610</v>
      </c>
    </row>
    <row r="35" spans="1:2" x14ac:dyDescent="0.25">
      <c r="A35" t="s">
        <v>44</v>
      </c>
      <c r="B35" s="13">
        <v>41747</v>
      </c>
    </row>
    <row r="36" spans="1:2" x14ac:dyDescent="0.25">
      <c r="A36" t="s">
        <v>45</v>
      </c>
      <c r="B36" s="13">
        <v>67637</v>
      </c>
    </row>
    <row r="37" spans="1:2" x14ac:dyDescent="0.25">
      <c r="A37" t="s">
        <v>46</v>
      </c>
      <c r="B37" s="13">
        <v>7444</v>
      </c>
    </row>
    <row r="38" spans="1:2" x14ac:dyDescent="0.25">
      <c r="A38" t="s">
        <v>47</v>
      </c>
      <c r="B38" s="13">
        <v>4497</v>
      </c>
    </row>
    <row r="39" spans="1:2" x14ac:dyDescent="0.25">
      <c r="A39" t="s">
        <v>48</v>
      </c>
      <c r="B39" s="13">
        <v>7444</v>
      </c>
    </row>
    <row r="40" spans="1:2" x14ac:dyDescent="0.25">
      <c r="A40" t="s">
        <v>49</v>
      </c>
      <c r="B40" s="13">
        <v>10454</v>
      </c>
    </row>
    <row r="41" spans="1:2" x14ac:dyDescent="0.25">
      <c r="A41" t="s">
        <v>50</v>
      </c>
      <c r="B41" s="13">
        <v>15170</v>
      </c>
    </row>
    <row r="42" spans="1:2" x14ac:dyDescent="0.25">
      <c r="A42" t="s">
        <v>51</v>
      </c>
      <c r="B42" s="13">
        <v>34795</v>
      </c>
    </row>
    <row r="43" spans="1:2" x14ac:dyDescent="0.25">
      <c r="A43" t="s">
        <v>52</v>
      </c>
      <c r="B43" s="13">
        <v>18002</v>
      </c>
    </row>
    <row r="44" spans="1:2" x14ac:dyDescent="0.25">
      <c r="A44" t="s">
        <v>53</v>
      </c>
      <c r="B44" s="13">
        <v>-664106</v>
      </c>
    </row>
    <row r="45" spans="1:2" x14ac:dyDescent="0.25">
      <c r="A45" t="s">
        <v>54</v>
      </c>
      <c r="B45" s="13">
        <v>26030</v>
      </c>
    </row>
    <row r="46" spans="1:2" x14ac:dyDescent="0.25">
      <c r="A46" t="s">
        <v>55</v>
      </c>
      <c r="B46" s="13">
        <v>50749</v>
      </c>
    </row>
    <row r="47" spans="1:2" x14ac:dyDescent="0.25">
      <c r="A47" t="s">
        <v>56</v>
      </c>
      <c r="B47" s="13">
        <v>-31879</v>
      </c>
    </row>
    <row r="48" spans="1:2" x14ac:dyDescent="0.25">
      <c r="A48" t="s">
        <v>57</v>
      </c>
      <c r="B48" s="13">
        <v>17417</v>
      </c>
    </row>
    <row r="49" spans="1:2" x14ac:dyDescent="0.25">
      <c r="A49" t="s">
        <v>58</v>
      </c>
      <c r="B49" s="13">
        <v>1571</v>
      </c>
    </row>
    <row r="50" spans="1:2" x14ac:dyDescent="0.25">
      <c r="A50" t="s">
        <v>59</v>
      </c>
      <c r="B50" s="13">
        <v>2039</v>
      </c>
    </row>
    <row r="51" spans="1:2" x14ac:dyDescent="0.25">
      <c r="A51" t="s">
        <v>60</v>
      </c>
      <c r="B51" s="13">
        <v>10095</v>
      </c>
    </row>
    <row r="52" spans="1:2" x14ac:dyDescent="0.25">
      <c r="A52" t="s">
        <v>61</v>
      </c>
      <c r="B52" s="13">
        <v>16699</v>
      </c>
    </row>
    <row r="53" spans="1:2" x14ac:dyDescent="0.25">
      <c r="A53" t="s">
        <v>62</v>
      </c>
      <c r="B53" s="13">
        <v>4820</v>
      </c>
    </row>
    <row r="54" spans="1:2" x14ac:dyDescent="0.25">
      <c r="A54" t="s">
        <v>63</v>
      </c>
      <c r="B54" s="13">
        <v>29487</v>
      </c>
    </row>
    <row r="55" spans="1:2" x14ac:dyDescent="0.25">
      <c r="A55" t="s">
        <v>64</v>
      </c>
      <c r="B55" s="13">
        <v>1081</v>
      </c>
    </row>
    <row r="56" spans="1:2" x14ac:dyDescent="0.25">
      <c r="A56" t="s">
        <v>65</v>
      </c>
      <c r="B56" s="13">
        <v>1093</v>
      </c>
    </row>
    <row r="57" spans="1:2" x14ac:dyDescent="0.25">
      <c r="A57" t="s">
        <v>66</v>
      </c>
      <c r="B57" s="13">
        <v>13611</v>
      </c>
    </row>
    <row r="58" spans="1:2" x14ac:dyDescent="0.25">
      <c r="A58" t="s">
        <v>67</v>
      </c>
      <c r="B58" s="13">
        <v>-8885</v>
      </c>
    </row>
    <row r="59" spans="1:2" x14ac:dyDescent="0.25">
      <c r="A59" t="s">
        <v>68</v>
      </c>
      <c r="B59" s="13">
        <v>22114</v>
      </c>
    </row>
    <row r="60" spans="1:2" x14ac:dyDescent="0.25">
      <c r="A60" t="s">
        <v>69</v>
      </c>
      <c r="B60" s="13">
        <v>-6724</v>
      </c>
    </row>
    <row r="61" spans="1:2" x14ac:dyDescent="0.25">
      <c r="A61" t="s">
        <v>70</v>
      </c>
      <c r="B61" s="13">
        <v>-138800</v>
      </c>
    </row>
    <row r="62" spans="1:2" x14ac:dyDescent="0.25">
      <c r="A62" t="s">
        <v>72</v>
      </c>
      <c r="B62" s="13">
        <v>303149</v>
      </c>
    </row>
    <row r="63" spans="1:2" x14ac:dyDescent="0.25">
      <c r="A63" t="s">
        <v>73</v>
      </c>
      <c r="B63" s="13">
        <v>15276</v>
      </c>
    </row>
    <row r="64" spans="1:2" x14ac:dyDescent="0.25">
      <c r="A64" t="s">
        <v>74</v>
      </c>
      <c r="B64" s="13">
        <v>14095</v>
      </c>
    </row>
    <row r="65" spans="1:2" x14ac:dyDescent="0.25">
      <c r="A65" t="s">
        <v>75</v>
      </c>
      <c r="B65" s="13">
        <v>99873</v>
      </c>
    </row>
    <row r="66" spans="1:2" x14ac:dyDescent="0.25">
      <c r="A66" t="s">
        <v>76</v>
      </c>
      <c r="B66" s="13">
        <v>-31396</v>
      </c>
    </row>
    <row r="67" spans="1:2" x14ac:dyDescent="0.25">
      <c r="A67" t="s">
        <v>77</v>
      </c>
      <c r="B67" s="13">
        <v>15404</v>
      </c>
    </row>
    <row r="68" spans="1:2" x14ac:dyDescent="0.25">
      <c r="A68" t="s">
        <v>78</v>
      </c>
      <c r="B68" s="13">
        <v>13209</v>
      </c>
    </row>
    <row r="69" spans="1:2" x14ac:dyDescent="0.25">
      <c r="A69" t="s">
        <v>79</v>
      </c>
      <c r="B69" s="13">
        <v>8395</v>
      </c>
    </row>
    <row r="70" spans="1:2" x14ac:dyDescent="0.25">
      <c r="A70" t="s">
        <v>80</v>
      </c>
      <c r="B70" s="13">
        <v>79288</v>
      </c>
    </row>
    <row r="71" spans="1:2" x14ac:dyDescent="0.25">
      <c r="A71" t="s">
        <v>81</v>
      </c>
      <c r="B71" s="13">
        <v>107811</v>
      </c>
    </row>
    <row r="72" spans="1:2" x14ac:dyDescent="0.25">
      <c r="A72" t="s">
        <v>82</v>
      </c>
      <c r="B72" s="13">
        <v>46199</v>
      </c>
    </row>
    <row r="73" spans="1:2" x14ac:dyDescent="0.25">
      <c r="A73" t="s">
        <v>83</v>
      </c>
      <c r="B73" s="13">
        <v>12196</v>
      </c>
    </row>
    <row r="74" spans="1:2" x14ac:dyDescent="0.25">
      <c r="A74" t="s">
        <v>84</v>
      </c>
      <c r="B74" s="13">
        <v>6394</v>
      </c>
    </row>
    <row r="75" spans="1:2" x14ac:dyDescent="0.25">
      <c r="A75" t="s">
        <v>85</v>
      </c>
      <c r="B75" s="13">
        <v>11352</v>
      </c>
    </row>
    <row r="76" spans="1:2" x14ac:dyDescent="0.25">
      <c r="A76" t="s">
        <v>86</v>
      </c>
      <c r="B76" s="13">
        <v>15404</v>
      </c>
    </row>
    <row r="77" spans="1:2" x14ac:dyDescent="0.25">
      <c r="A77" t="s">
        <v>87</v>
      </c>
      <c r="B77" s="13">
        <v>15404</v>
      </c>
    </row>
    <row r="78" spans="1:2" x14ac:dyDescent="0.25">
      <c r="A78" t="s">
        <v>88</v>
      </c>
      <c r="B78" s="13">
        <v>10466</v>
      </c>
    </row>
    <row r="79" spans="1:2" x14ac:dyDescent="0.25">
      <c r="A79" t="s">
        <v>89</v>
      </c>
      <c r="B79" s="13">
        <v>-330752</v>
      </c>
    </row>
    <row r="80" spans="1:2" x14ac:dyDescent="0.25">
      <c r="A80" t="s">
        <v>90</v>
      </c>
      <c r="B80" s="13">
        <v>46210</v>
      </c>
    </row>
    <row r="81" spans="1:2" x14ac:dyDescent="0.25">
      <c r="A81" t="s">
        <v>91</v>
      </c>
      <c r="B81" s="13">
        <v>5221</v>
      </c>
    </row>
    <row r="82" spans="1:2" x14ac:dyDescent="0.25">
      <c r="A82" t="s">
        <v>92</v>
      </c>
      <c r="B82" s="13">
        <v>11436</v>
      </c>
    </row>
    <row r="83" spans="1:2" x14ac:dyDescent="0.25">
      <c r="A83" t="s">
        <v>93</v>
      </c>
      <c r="B83" s="13">
        <v>52096</v>
      </c>
    </row>
    <row r="84" spans="1:2" x14ac:dyDescent="0.25">
      <c r="A84" t="s">
        <v>94</v>
      </c>
      <c r="B84" s="13">
        <v>41568</v>
      </c>
    </row>
    <row r="85" spans="1:2" x14ac:dyDescent="0.25">
      <c r="A85" t="s">
        <v>95</v>
      </c>
      <c r="B85" s="13">
        <v>11605</v>
      </c>
    </row>
    <row r="86" spans="1:2" x14ac:dyDescent="0.25">
      <c r="A86" t="s">
        <v>96</v>
      </c>
      <c r="B86" s="13">
        <v>10423</v>
      </c>
    </row>
    <row r="87" spans="1:2" x14ac:dyDescent="0.25">
      <c r="A87" t="s">
        <v>97</v>
      </c>
      <c r="B87" s="13">
        <v>7976</v>
      </c>
    </row>
    <row r="88" spans="1:2" x14ac:dyDescent="0.25">
      <c r="A88" t="s">
        <v>98</v>
      </c>
      <c r="B88" s="13">
        <v>9791</v>
      </c>
    </row>
    <row r="89" spans="1:2" x14ac:dyDescent="0.25">
      <c r="A89" t="s">
        <v>99</v>
      </c>
      <c r="B89" s="13">
        <v>7174</v>
      </c>
    </row>
    <row r="90" spans="1:2" x14ac:dyDescent="0.25">
      <c r="A90" t="s">
        <v>100</v>
      </c>
      <c r="B90" s="13">
        <v>71919</v>
      </c>
    </row>
    <row r="91" spans="1:2" x14ac:dyDescent="0.25">
      <c r="A91" t="s">
        <v>101</v>
      </c>
      <c r="B91" s="13">
        <v>73948</v>
      </c>
    </row>
    <row r="92" spans="1:2" x14ac:dyDescent="0.25">
      <c r="A92" t="s">
        <v>102</v>
      </c>
      <c r="B92" s="13">
        <v>15404</v>
      </c>
    </row>
    <row r="93" spans="1:2" x14ac:dyDescent="0.25">
      <c r="A93" t="s">
        <v>103</v>
      </c>
      <c r="B93" s="13">
        <v>54605</v>
      </c>
    </row>
    <row r="94" spans="1:2" x14ac:dyDescent="0.25">
      <c r="A94" t="s">
        <v>104</v>
      </c>
      <c r="B94" s="13">
        <v>62556</v>
      </c>
    </row>
    <row r="95" spans="1:2" x14ac:dyDescent="0.25">
      <c r="A95" t="s">
        <v>105</v>
      </c>
      <c r="B95" s="13">
        <v>7596</v>
      </c>
    </row>
    <row r="96" spans="1:2" x14ac:dyDescent="0.25">
      <c r="A96" t="s">
        <v>106</v>
      </c>
      <c r="B96" s="13">
        <v>-96370</v>
      </c>
    </row>
    <row r="97" spans="1:2" x14ac:dyDescent="0.25">
      <c r="A97" t="s">
        <v>107</v>
      </c>
      <c r="B97" s="13">
        <v>37263</v>
      </c>
    </row>
    <row r="98" spans="1:2" x14ac:dyDescent="0.25">
      <c r="A98" t="s">
        <v>108</v>
      </c>
      <c r="B98" s="13">
        <v>12407</v>
      </c>
    </row>
    <row r="99" spans="1:2" x14ac:dyDescent="0.25">
      <c r="A99" t="s">
        <v>109</v>
      </c>
      <c r="B99" s="13">
        <v>54728</v>
      </c>
    </row>
    <row r="100" spans="1:2" x14ac:dyDescent="0.25">
      <c r="A100" t="s">
        <v>110</v>
      </c>
      <c r="B100" s="13">
        <v>-83561</v>
      </c>
    </row>
    <row r="101" spans="1:2" x14ac:dyDescent="0.25">
      <c r="A101" t="s">
        <v>111</v>
      </c>
      <c r="B101" s="13">
        <v>5022</v>
      </c>
    </row>
    <row r="102" spans="1:2" x14ac:dyDescent="0.25">
      <c r="A102" t="s">
        <v>112</v>
      </c>
      <c r="B102" s="13">
        <v>69788</v>
      </c>
    </row>
    <row r="103" spans="1:2" x14ac:dyDescent="0.25">
      <c r="A103" t="s">
        <v>113</v>
      </c>
      <c r="B103" s="13">
        <v>46199</v>
      </c>
    </row>
    <row r="104" spans="1:2" x14ac:dyDescent="0.25">
      <c r="A104" t="s">
        <v>114</v>
      </c>
      <c r="B104" s="13">
        <v>-20908</v>
      </c>
    </row>
    <row r="105" spans="1:2" x14ac:dyDescent="0.25">
      <c r="A105" t="s">
        <v>115</v>
      </c>
      <c r="B105" s="13">
        <v>10086</v>
      </c>
    </row>
    <row r="106" spans="1:2" x14ac:dyDescent="0.25">
      <c r="A106" t="s">
        <v>116</v>
      </c>
      <c r="B106" s="13">
        <v>35089</v>
      </c>
    </row>
    <row r="107" spans="1:2" x14ac:dyDescent="0.25">
      <c r="A107" t="s">
        <v>117</v>
      </c>
      <c r="B107" s="13">
        <v>46163</v>
      </c>
    </row>
    <row r="108" spans="1:2" x14ac:dyDescent="0.25">
      <c r="A108" t="s">
        <v>118</v>
      </c>
      <c r="B108" s="13">
        <v>18907</v>
      </c>
    </row>
    <row r="109" spans="1:2" x14ac:dyDescent="0.25">
      <c r="A109" t="s">
        <v>119</v>
      </c>
      <c r="B109" s="13">
        <v>2954</v>
      </c>
    </row>
    <row r="110" spans="1:2" x14ac:dyDescent="0.25">
      <c r="A110" t="s">
        <v>120</v>
      </c>
      <c r="B110" s="13">
        <v>111457</v>
      </c>
    </row>
    <row r="111" spans="1:2" x14ac:dyDescent="0.25">
      <c r="A111" t="s">
        <v>121</v>
      </c>
      <c r="B111" s="13">
        <v>-480063</v>
      </c>
    </row>
    <row r="112" spans="1:2" x14ac:dyDescent="0.25">
      <c r="A112" t="s">
        <v>122</v>
      </c>
      <c r="B112" s="13">
        <v>4051</v>
      </c>
    </row>
    <row r="113" spans="1:2" x14ac:dyDescent="0.25">
      <c r="A113" t="s">
        <v>123</v>
      </c>
      <c r="B113" s="13">
        <v>-562009</v>
      </c>
    </row>
    <row r="114" spans="1:2" x14ac:dyDescent="0.25">
      <c r="A114" t="s">
        <v>124</v>
      </c>
      <c r="B114" s="13">
        <v>1646</v>
      </c>
    </row>
    <row r="115" spans="1:2" x14ac:dyDescent="0.25">
      <c r="A115" t="s">
        <v>125</v>
      </c>
      <c r="B115" s="13">
        <v>19412</v>
      </c>
    </row>
    <row r="116" spans="1:2" x14ac:dyDescent="0.25">
      <c r="A116" t="s">
        <v>126</v>
      </c>
      <c r="B116" s="13">
        <v>24889</v>
      </c>
    </row>
    <row r="117" spans="1:2" x14ac:dyDescent="0.25">
      <c r="A117" t="s">
        <v>127</v>
      </c>
      <c r="B117" s="13">
        <v>45985</v>
      </c>
    </row>
    <row r="118" spans="1:2" x14ac:dyDescent="0.25">
      <c r="A118" t="s">
        <v>128</v>
      </c>
      <c r="B118" s="13">
        <v>11825</v>
      </c>
    </row>
    <row r="119" spans="1:2" x14ac:dyDescent="0.25">
      <c r="A119" t="s">
        <v>129</v>
      </c>
      <c r="B119" s="13">
        <v>1984</v>
      </c>
    </row>
    <row r="120" spans="1:2" x14ac:dyDescent="0.25">
      <c r="A120" t="s">
        <v>130</v>
      </c>
      <c r="B120" s="13">
        <v>-435649</v>
      </c>
    </row>
    <row r="121" spans="1:2" x14ac:dyDescent="0.25">
      <c r="A121" t="s">
        <v>132</v>
      </c>
      <c r="B121" s="13">
        <v>14113</v>
      </c>
    </row>
    <row r="122" spans="1:2" x14ac:dyDescent="0.25">
      <c r="A122" t="s">
        <v>133</v>
      </c>
      <c r="B122" s="13">
        <v>15349</v>
      </c>
    </row>
    <row r="123" spans="1:2" x14ac:dyDescent="0.25">
      <c r="A123" t="s">
        <v>134</v>
      </c>
      <c r="B123" s="13">
        <v>90761</v>
      </c>
    </row>
    <row r="124" spans="1:2" x14ac:dyDescent="0.25">
      <c r="A124" t="s">
        <v>135</v>
      </c>
      <c r="B124" s="13">
        <v>264</v>
      </c>
    </row>
    <row r="125" spans="1:2" x14ac:dyDescent="0.25">
      <c r="A125" t="s">
        <v>136</v>
      </c>
      <c r="B125" s="13">
        <v>15645</v>
      </c>
    </row>
    <row r="126" spans="1:2" x14ac:dyDescent="0.25">
      <c r="A126" t="s">
        <v>137</v>
      </c>
      <c r="B126" s="13">
        <v>143528</v>
      </c>
    </row>
    <row r="127" spans="1:2" x14ac:dyDescent="0.25">
      <c r="A127" t="s">
        <v>138</v>
      </c>
      <c r="B127" s="13">
        <v>110089</v>
      </c>
    </row>
    <row r="128" spans="1:2" x14ac:dyDescent="0.25">
      <c r="A128" t="s">
        <v>139</v>
      </c>
      <c r="B128" s="13">
        <v>11725</v>
      </c>
    </row>
    <row r="129" spans="1:2" x14ac:dyDescent="0.25">
      <c r="A129" t="s">
        <v>140</v>
      </c>
      <c r="B129" s="13">
        <v>11128</v>
      </c>
    </row>
    <row r="130" spans="1:2" x14ac:dyDescent="0.25">
      <c r="A130" t="s">
        <v>141</v>
      </c>
      <c r="B130" s="13">
        <v>1</v>
      </c>
    </row>
    <row r="131" spans="1:2" x14ac:dyDescent="0.25">
      <c r="A131" t="s">
        <v>142</v>
      </c>
      <c r="B131" s="13">
        <v>70840</v>
      </c>
    </row>
    <row r="132" spans="1:2" x14ac:dyDescent="0.25">
      <c r="A132" t="s">
        <v>143</v>
      </c>
      <c r="B132" s="13">
        <v>-108118</v>
      </c>
    </row>
    <row r="133" spans="1:2" x14ac:dyDescent="0.25">
      <c r="A133" t="s">
        <v>144</v>
      </c>
      <c r="B133" s="13">
        <v>15347</v>
      </c>
    </row>
    <row r="134" spans="1:2" x14ac:dyDescent="0.25">
      <c r="A134" t="s">
        <v>145</v>
      </c>
      <c r="B134" s="13">
        <v>-414289</v>
      </c>
    </row>
    <row r="135" spans="1:2" x14ac:dyDescent="0.25">
      <c r="A135" t="s">
        <v>146</v>
      </c>
      <c r="B135" s="13">
        <v>15606</v>
      </c>
    </row>
    <row r="136" spans="1:2" x14ac:dyDescent="0.25">
      <c r="A136" t="s">
        <v>147</v>
      </c>
      <c r="B136" s="13">
        <v>-5647</v>
      </c>
    </row>
    <row r="137" spans="1:2" x14ac:dyDescent="0.25">
      <c r="A137" t="s">
        <v>148</v>
      </c>
      <c r="B137" s="13">
        <v>-69192</v>
      </c>
    </row>
    <row r="138" spans="1:2" x14ac:dyDescent="0.25">
      <c r="A138" t="s">
        <v>149</v>
      </c>
      <c r="B138" s="13">
        <v>10603</v>
      </c>
    </row>
    <row r="139" spans="1:2" x14ac:dyDescent="0.25">
      <c r="A139" t="s">
        <v>150</v>
      </c>
      <c r="B139" s="13">
        <v>5647</v>
      </c>
    </row>
    <row r="140" spans="1:2" x14ac:dyDescent="0.25">
      <c r="A140" t="s">
        <v>151</v>
      </c>
      <c r="B140" s="13">
        <v>15435</v>
      </c>
    </row>
    <row r="141" spans="1:2" x14ac:dyDescent="0.25">
      <c r="A141" t="s">
        <v>152</v>
      </c>
      <c r="B141" s="13">
        <v>19656</v>
      </c>
    </row>
    <row r="142" spans="1:2" x14ac:dyDescent="0.25">
      <c r="A142" t="s">
        <v>153</v>
      </c>
      <c r="B142" s="13">
        <v>27062</v>
      </c>
    </row>
    <row r="143" spans="1:2" x14ac:dyDescent="0.25">
      <c r="A143" t="s">
        <v>154</v>
      </c>
      <c r="B143" s="13">
        <v>-261197</v>
      </c>
    </row>
    <row r="144" spans="1:2" x14ac:dyDescent="0.25">
      <c r="A144" t="s">
        <v>155</v>
      </c>
      <c r="B144" s="13">
        <v>10304</v>
      </c>
    </row>
    <row r="145" spans="1:2" x14ac:dyDescent="0.25">
      <c r="A145" t="s">
        <v>156</v>
      </c>
      <c r="B145" s="13">
        <v>9337</v>
      </c>
    </row>
    <row r="146" spans="1:2" x14ac:dyDescent="0.25">
      <c r="A146" t="s">
        <v>157</v>
      </c>
      <c r="B146" s="13">
        <v>50884</v>
      </c>
    </row>
    <row r="147" spans="1:2" x14ac:dyDescent="0.25">
      <c r="A147" t="s">
        <v>158</v>
      </c>
      <c r="B147" s="13">
        <v>8656</v>
      </c>
    </row>
    <row r="148" spans="1:2" x14ac:dyDescent="0.25">
      <c r="A148" t="s">
        <v>159</v>
      </c>
      <c r="B148" s="13">
        <v>9253</v>
      </c>
    </row>
    <row r="149" spans="1:2" x14ac:dyDescent="0.25">
      <c r="A149" t="s">
        <v>160</v>
      </c>
      <c r="B149" s="13">
        <v>7717</v>
      </c>
    </row>
    <row r="150" spans="1:2" x14ac:dyDescent="0.25">
      <c r="A150" t="s">
        <v>161</v>
      </c>
      <c r="B150" s="13">
        <v>7931</v>
      </c>
    </row>
    <row r="151" spans="1:2" x14ac:dyDescent="0.25">
      <c r="A151" t="s">
        <v>162</v>
      </c>
      <c r="B151" s="13">
        <v>8229</v>
      </c>
    </row>
    <row r="152" spans="1:2" x14ac:dyDescent="0.25">
      <c r="A152" t="s">
        <v>163</v>
      </c>
      <c r="B152" s="13">
        <v>10318</v>
      </c>
    </row>
    <row r="153" spans="1:2" x14ac:dyDescent="0.25">
      <c r="A153" t="s">
        <v>164</v>
      </c>
      <c r="B153" s="13">
        <v>7249</v>
      </c>
    </row>
    <row r="154" spans="1:2" x14ac:dyDescent="0.25">
      <c r="A154" t="s">
        <v>165</v>
      </c>
      <c r="B154" s="13">
        <v>20717</v>
      </c>
    </row>
    <row r="155" spans="1:2" x14ac:dyDescent="0.25">
      <c r="A155" t="s">
        <v>166</v>
      </c>
      <c r="B155" s="13">
        <v>33425</v>
      </c>
    </row>
    <row r="156" spans="1:2" x14ac:dyDescent="0.25">
      <c r="A156" t="s">
        <v>167</v>
      </c>
      <c r="B156" s="13">
        <v>5927</v>
      </c>
    </row>
    <row r="157" spans="1:2" x14ac:dyDescent="0.25">
      <c r="A157" t="s">
        <v>168</v>
      </c>
      <c r="B157" s="13">
        <v>5927</v>
      </c>
    </row>
    <row r="158" spans="1:2" x14ac:dyDescent="0.25">
      <c r="A158" t="s">
        <v>169</v>
      </c>
      <c r="B158" s="13">
        <v>75513</v>
      </c>
    </row>
    <row r="159" spans="1:2" x14ac:dyDescent="0.25">
      <c r="A159" t="s">
        <v>170</v>
      </c>
      <c r="B159" s="13">
        <v>31210</v>
      </c>
    </row>
    <row r="160" spans="1:2" x14ac:dyDescent="0.25">
      <c r="A160" t="s">
        <v>171</v>
      </c>
      <c r="B160" s="13">
        <v>40878</v>
      </c>
    </row>
    <row r="161" spans="1:2" x14ac:dyDescent="0.25">
      <c r="A161" t="s">
        <v>172</v>
      </c>
      <c r="B161" s="13">
        <v>11086</v>
      </c>
    </row>
    <row r="162" spans="1:2" x14ac:dyDescent="0.25">
      <c r="A162" t="s">
        <v>173</v>
      </c>
      <c r="B162" s="13">
        <v>4391</v>
      </c>
    </row>
    <row r="163" spans="1:2" x14ac:dyDescent="0.25">
      <c r="A163" t="s">
        <v>174</v>
      </c>
      <c r="B163" s="13">
        <v>6204</v>
      </c>
    </row>
    <row r="164" spans="1:2" x14ac:dyDescent="0.25">
      <c r="A164" t="s">
        <v>175</v>
      </c>
      <c r="B164" s="13">
        <v>15606</v>
      </c>
    </row>
    <row r="165" spans="1:2" x14ac:dyDescent="0.25">
      <c r="A165" t="s">
        <v>176</v>
      </c>
      <c r="B165" s="13">
        <v>3703</v>
      </c>
    </row>
    <row r="166" spans="1:2" x14ac:dyDescent="0.25">
      <c r="A166" t="s">
        <v>177</v>
      </c>
      <c r="B166" s="13">
        <v>2472</v>
      </c>
    </row>
    <row r="167" spans="1:2" x14ac:dyDescent="0.25">
      <c r="A167" t="s">
        <v>178</v>
      </c>
      <c r="B167" s="13">
        <v>-48811</v>
      </c>
    </row>
    <row r="168" spans="1:2" x14ac:dyDescent="0.25">
      <c r="A168" t="s">
        <v>179</v>
      </c>
      <c r="B168" s="13">
        <v>3184</v>
      </c>
    </row>
    <row r="169" spans="1:2" x14ac:dyDescent="0.25">
      <c r="A169" t="s">
        <v>180</v>
      </c>
      <c r="B169" s="13">
        <v>13042</v>
      </c>
    </row>
    <row r="170" spans="1:2" x14ac:dyDescent="0.25">
      <c r="A170" t="s">
        <v>181</v>
      </c>
      <c r="B170" s="13">
        <v>-34680</v>
      </c>
    </row>
    <row r="171" spans="1:2" x14ac:dyDescent="0.25">
      <c r="A171" t="s">
        <v>182</v>
      </c>
      <c r="B171" s="13">
        <v>4343</v>
      </c>
    </row>
    <row r="172" spans="1:2" x14ac:dyDescent="0.25">
      <c r="A172" t="s">
        <v>183</v>
      </c>
      <c r="B172" s="13">
        <v>-7386</v>
      </c>
    </row>
    <row r="173" spans="1:2" x14ac:dyDescent="0.25">
      <c r="A173" t="s">
        <v>184</v>
      </c>
      <c r="B173" s="13">
        <v>539</v>
      </c>
    </row>
    <row r="174" spans="1:2" x14ac:dyDescent="0.25">
      <c r="A174" t="s">
        <v>185</v>
      </c>
      <c r="B174" s="13">
        <v>1023</v>
      </c>
    </row>
    <row r="175" spans="1:2" x14ac:dyDescent="0.25">
      <c r="B175" s="12">
        <f>SUM(B2:B174)</f>
        <v>0</v>
      </c>
    </row>
  </sheetData>
  <conditionalFormatting sqref="B2:B174">
    <cfRule type="notContainsBlanks" dxfId="5" priority="1">
      <formula>LEN(TRIM(B2))&gt;0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2E37-14AE-4FE9-BC00-F3083936B8A4}">
  <dimension ref="A1:H175"/>
  <sheetViews>
    <sheetView topLeftCell="A173" workbookViewId="0">
      <selection activeCell="D175" sqref="D175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9.5703125" bestFit="1" customWidth="1"/>
    <col min="5" max="5" width="13.7109375" bestFit="1" customWidth="1"/>
    <col min="6" max="6" width="98.28515625" customWidth="1"/>
    <col min="7" max="7" width="89.140625" customWidth="1"/>
    <col min="8" max="8" width="79.85546875" customWidth="1"/>
  </cols>
  <sheetData>
    <row r="1" spans="1:8" x14ac:dyDescent="0.25">
      <c r="A1" s="23" t="s">
        <v>227</v>
      </c>
      <c r="B1" t="s">
        <v>228</v>
      </c>
      <c r="D1" s="17" t="s">
        <v>226</v>
      </c>
      <c r="E1" s="18" t="s">
        <v>425</v>
      </c>
    </row>
    <row r="2" spans="1:8" ht="73.5" customHeight="1" x14ac:dyDescent="0.25">
      <c r="A2" t="s">
        <v>11</v>
      </c>
      <c r="B2" s="24" t="str">
        <f>VLOOKUP(A2,policy!B:C,2,0)</f>
        <v>050000391341</v>
      </c>
      <c r="C2" s="13">
        <v>-552624</v>
      </c>
      <c r="D2" s="19">
        <f>ROUND(C2,0)</f>
        <v>-552624</v>
      </c>
      <c r="E2" s="18" t="s">
        <v>425</v>
      </c>
      <c r="F2" s="20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1" t="str">
        <f>"('"&amp;E2&amp;"','"&amp;B2&amp;"','"&amp;D2&amp;"',(select max(to_number(i.premium_rcv_detail_code))+1
from ins_premium_det i),'"&amp;D2&amp;"','"&amp;D2&amp;"','02', '11000003','00','Request by Mr. Omair Ali 17-Dec-2024');"</f>
        <v>('17Dec240043','050000391341','-552624',(select max(to_number(i.premium_rcv_detail_code))+1
from ins_premium_det i),'-552624','-552624','02', '11000003','00','Request by Mr. Omair Ali 17-Dec-2024');</v>
      </c>
      <c r="H2" s="22" t="str">
        <f>F2&amp;G2</f>
        <v>insert into ins_premium_det (premium_rcv_code,assorted_code, rec_amount,premium_rcv_detail_code,remaining_amt, payrec, mode_code,coinsurance_code,class_cd,it_remarks) values('17Dec240043','050000391341','-552624',(select max(to_number(i.premium_rcv_detail_code))+1
from ins_premium_det i),'-552624','-552624','02', '11000003','00','Request by Mr. Omair Ali 17-Dec-2024');</v>
      </c>
    </row>
    <row r="3" spans="1:8" ht="105" x14ac:dyDescent="0.25">
      <c r="A3" t="s">
        <v>12</v>
      </c>
      <c r="B3" s="24" t="str">
        <f>VLOOKUP(A3,policy!B:C,2,0)</f>
        <v>050000394396</v>
      </c>
      <c r="C3" s="13">
        <v>42923</v>
      </c>
      <c r="D3" s="19">
        <f t="shared" ref="D3:D66" si="1">ROUND(C3,0)</f>
        <v>42923</v>
      </c>
      <c r="E3" s="18" t="s">
        <v>425</v>
      </c>
      <c r="F3" s="20" t="str">
        <f t="shared" si="0"/>
        <v>insert into ins_premium_det (premium_rcv_code,assorted_code, rec_amount,premium_rcv_detail_code,remaining_amt, payrec, mode_code,coinsurance_code,class_cd,it_remarks) values</v>
      </c>
      <c r="G3" s="21" t="str">
        <f t="shared" ref="G3:G66" si="2">"('"&amp;E3&amp;"','"&amp;B3&amp;"','"&amp;D3&amp;"',(select max(to_number(i.premium_rcv_detail_code))+1
from ins_premium_det i),'"&amp;D3&amp;"','"&amp;D3&amp;"','02', '11000003','00','Request by Mr. Omair Ali 17-Dec-2024');"</f>
        <v>('17Dec240043','050000394396','42923',(select max(to_number(i.premium_rcv_detail_code))+1
from ins_premium_det i),'42923','42923','02', '11000003','00','Request by Mr. Omair Ali 17-Dec-2024');</v>
      </c>
      <c r="H3" s="22" t="str">
        <f t="shared" ref="H3:H66" si="3">F3&amp;G3</f>
        <v>insert into ins_premium_det (premium_rcv_code,assorted_code, rec_amount,premium_rcv_detail_code,remaining_amt, payrec, mode_code,coinsurance_code,class_cd,it_remarks) values('17Dec240043','050000394396','42923',(select max(to_number(i.premium_rcv_detail_code))+1
from ins_premium_det i),'42923','42923','02', '11000003','00','Request by Mr. Omair Ali 17-Dec-2024');</v>
      </c>
    </row>
    <row r="4" spans="1:8" ht="105" x14ac:dyDescent="0.25">
      <c r="A4" t="s">
        <v>13</v>
      </c>
      <c r="B4" s="24" t="str">
        <f>VLOOKUP(A4,policy!B:C,2,0)</f>
        <v>050000396093</v>
      </c>
      <c r="C4" s="13">
        <v>1423</v>
      </c>
      <c r="D4" s="19">
        <f t="shared" si="1"/>
        <v>1423</v>
      </c>
      <c r="E4" s="18" t="s">
        <v>425</v>
      </c>
      <c r="F4" s="20" t="str">
        <f t="shared" si="0"/>
        <v>insert into ins_premium_det (premium_rcv_code,assorted_code, rec_amount,premium_rcv_detail_code,remaining_amt, payrec, mode_code,coinsurance_code,class_cd,it_remarks) values</v>
      </c>
      <c r="G4" s="21" t="str">
        <f t="shared" si="2"/>
        <v>('17Dec240043','050000396093','1423',(select max(to_number(i.premium_rcv_detail_code))+1
from ins_premium_det i),'1423','1423','02', '11000003','00','Request by Mr. Omair Ali 17-Dec-2024');</v>
      </c>
      <c r="H4" s="22" t="str">
        <f t="shared" si="3"/>
        <v>insert into ins_premium_det (premium_rcv_code,assorted_code, rec_amount,premium_rcv_detail_code,remaining_amt, payrec, mode_code,coinsurance_code,class_cd,it_remarks) values('17Dec240043','050000396093','1423',(select max(to_number(i.premium_rcv_detail_code))+1
from ins_premium_det i),'1423','1423','02', '11000003','00','Request by Mr. Omair Ali 17-Dec-2024');</v>
      </c>
    </row>
    <row r="5" spans="1:8" ht="105" x14ac:dyDescent="0.25">
      <c r="A5" t="s">
        <v>14</v>
      </c>
      <c r="B5" s="24" t="str">
        <f>VLOOKUP(A5,policy!B:C,2,0)</f>
        <v>050000396173</v>
      </c>
      <c r="C5" s="13">
        <v>20907</v>
      </c>
      <c r="D5" s="19">
        <f t="shared" si="1"/>
        <v>20907</v>
      </c>
      <c r="E5" s="18" t="s">
        <v>425</v>
      </c>
      <c r="F5" s="20" t="str">
        <f t="shared" si="0"/>
        <v>insert into ins_premium_det (premium_rcv_code,assorted_code, rec_amount,premium_rcv_detail_code,remaining_amt, payrec, mode_code,coinsurance_code,class_cd,it_remarks) values</v>
      </c>
      <c r="G5" s="21" t="str">
        <f t="shared" si="2"/>
        <v>('17Dec240043','050000396173','20907',(select max(to_number(i.premium_rcv_detail_code))+1
from ins_premium_det i),'20907','20907','02', '11000003','00','Request by Mr. Omair Ali 17-Dec-2024');</v>
      </c>
      <c r="H5" s="22" t="str">
        <f t="shared" si="3"/>
        <v>insert into ins_premium_det (premium_rcv_code,assorted_code, rec_amount,premium_rcv_detail_code,remaining_amt, payrec, mode_code,coinsurance_code,class_cd,it_remarks) values('17Dec240043','050000396173','20907',(select max(to_number(i.premium_rcv_detail_code))+1
from ins_premium_det i),'20907','20907','02', '11000003','00','Request by Mr. Omair Ali 17-Dec-2024');</v>
      </c>
    </row>
    <row r="6" spans="1:8" ht="105" x14ac:dyDescent="0.25">
      <c r="A6" t="s">
        <v>15</v>
      </c>
      <c r="B6" s="24" t="str">
        <f>VLOOKUP(A6,policy!B:C,2,0)</f>
        <v>050000396356</v>
      </c>
      <c r="C6" s="13">
        <v>6935</v>
      </c>
      <c r="D6" s="19">
        <f t="shared" si="1"/>
        <v>6935</v>
      </c>
      <c r="E6" s="18" t="s">
        <v>425</v>
      </c>
      <c r="F6" s="20" t="str">
        <f t="shared" si="0"/>
        <v>insert into ins_premium_det (premium_rcv_code,assorted_code, rec_amount,premium_rcv_detail_code,remaining_amt, payrec, mode_code,coinsurance_code,class_cd,it_remarks) values</v>
      </c>
      <c r="G6" s="21" t="str">
        <f t="shared" si="2"/>
        <v>('17Dec240043','050000396356','6935',(select max(to_number(i.premium_rcv_detail_code))+1
from ins_premium_det i),'6935','6935','02', '11000003','00','Request by Mr. Omair Ali 17-Dec-2024');</v>
      </c>
      <c r="H6" s="22" t="str">
        <f t="shared" si="3"/>
        <v>insert into ins_premium_det (premium_rcv_code,assorted_code, rec_amount,premium_rcv_detail_code,remaining_amt, payrec, mode_code,coinsurance_code,class_cd,it_remarks) values('17Dec240043','050000396356','6935',(select max(to_number(i.premium_rcv_detail_code))+1
from ins_premium_det i),'6935','6935','02', '11000003','00','Request by Mr. Omair Ali 17-Dec-2024');</v>
      </c>
    </row>
    <row r="7" spans="1:8" ht="105" x14ac:dyDescent="0.25">
      <c r="A7" t="s">
        <v>16</v>
      </c>
      <c r="B7" s="24" t="str">
        <f>VLOOKUP(A7,policy!B:C,2,0)</f>
        <v>050000398570</v>
      </c>
      <c r="C7" s="13">
        <v>10454</v>
      </c>
      <c r="D7" s="19">
        <f t="shared" si="1"/>
        <v>10454</v>
      </c>
      <c r="E7" s="18" t="s">
        <v>425</v>
      </c>
      <c r="F7" s="20" t="str">
        <f t="shared" si="0"/>
        <v>insert into ins_premium_det (premium_rcv_code,assorted_code, rec_amount,premium_rcv_detail_code,remaining_amt, payrec, mode_code,coinsurance_code,class_cd,it_remarks) values</v>
      </c>
      <c r="G7" s="21" t="str">
        <f t="shared" si="2"/>
        <v>('17Dec240043','050000398570','10454',(select max(to_number(i.premium_rcv_detail_code))+1
from ins_premium_det i),'10454','10454','02', '11000003','00','Request by Mr. Omair Ali 17-Dec-2024');</v>
      </c>
      <c r="H7" s="22" t="str">
        <f t="shared" si="3"/>
        <v>insert into ins_premium_det (premium_rcv_code,assorted_code, rec_amount,premium_rcv_detail_code,remaining_amt, payrec, mode_code,coinsurance_code,class_cd,it_remarks) values('17Dec240043','050000398570','10454',(select max(to_number(i.premium_rcv_detail_code))+1
from ins_premium_det i),'10454','10454','02', '11000003','00','Request by Mr. Omair Ali 17-Dec-2024');</v>
      </c>
    </row>
    <row r="8" spans="1:8" ht="105" x14ac:dyDescent="0.25">
      <c r="A8" t="s">
        <v>17</v>
      </c>
      <c r="B8" s="24" t="str">
        <f>VLOOKUP(A8,policy!B:C,2,0)</f>
        <v>050000398814</v>
      </c>
      <c r="C8" s="13">
        <v>9452</v>
      </c>
      <c r="D8" s="19">
        <f t="shared" si="1"/>
        <v>9452</v>
      </c>
      <c r="E8" s="18" t="s">
        <v>425</v>
      </c>
      <c r="F8" s="20" t="str">
        <f t="shared" si="0"/>
        <v>insert into ins_premium_det (premium_rcv_code,assorted_code, rec_amount,premium_rcv_detail_code,remaining_amt, payrec, mode_code,coinsurance_code,class_cd,it_remarks) values</v>
      </c>
      <c r="G8" s="21" t="str">
        <f t="shared" si="2"/>
        <v>('17Dec240043','050000398814','9452',(select max(to_number(i.premium_rcv_detail_code))+1
from ins_premium_det i),'9452','9452','02', '11000003','00','Request by Mr. Omair Ali 17-Dec-2024');</v>
      </c>
      <c r="H8" s="22" t="str">
        <f t="shared" si="3"/>
        <v>insert into ins_premium_det (premium_rcv_code,assorted_code, rec_amount,premium_rcv_detail_code,remaining_amt, payrec, mode_code,coinsurance_code,class_cd,it_remarks) values('17Dec240043','050000398814','9452',(select max(to_number(i.premium_rcv_detail_code))+1
from ins_premium_det i),'9452','9452','02', '11000003','00','Request by Mr. Omair Ali 17-Dec-2024');</v>
      </c>
    </row>
    <row r="9" spans="1:8" ht="105" x14ac:dyDescent="0.25">
      <c r="A9" t="s">
        <v>18</v>
      </c>
      <c r="B9" s="24" t="str">
        <f>VLOOKUP(A9,policy!B:C,2,0)</f>
        <v>050000400641</v>
      </c>
      <c r="C9" s="13">
        <v>7444</v>
      </c>
      <c r="D9" s="19">
        <f t="shared" si="1"/>
        <v>7444</v>
      </c>
      <c r="E9" s="18" t="s">
        <v>425</v>
      </c>
      <c r="F9" s="20" t="str">
        <f t="shared" si="0"/>
        <v>insert into ins_premium_det (premium_rcv_code,assorted_code, rec_amount,premium_rcv_detail_code,remaining_amt, payrec, mode_code,coinsurance_code,class_cd,it_remarks) values</v>
      </c>
      <c r="G9" s="21" t="str">
        <f t="shared" si="2"/>
        <v>('17Dec240043','050000400641','7444',(select max(to_number(i.premium_rcv_detail_code))+1
from ins_premium_det i),'7444','7444','02', '11000003','00','Request by Mr. Omair Ali 17-Dec-2024');</v>
      </c>
      <c r="H9" s="22" t="str">
        <f t="shared" si="3"/>
        <v>insert into ins_premium_det (premium_rcv_code,assorted_code, rec_amount,premium_rcv_detail_code,remaining_amt, payrec, mode_code,coinsurance_code,class_cd,it_remarks) values('17Dec240043','050000400641','7444',(select max(to_number(i.premium_rcv_detail_code))+1
from ins_premium_det i),'7444','7444','02', '11000003','00','Request by Mr. Omair Ali 17-Dec-2024');</v>
      </c>
    </row>
    <row r="10" spans="1:8" ht="105" x14ac:dyDescent="0.25">
      <c r="A10" t="s">
        <v>19</v>
      </c>
      <c r="B10" s="24" t="str">
        <f>VLOOKUP(A10,policy!B:C,2,0)</f>
        <v>050000400776</v>
      </c>
      <c r="C10" s="13">
        <v>76091</v>
      </c>
      <c r="D10" s="19">
        <f t="shared" si="1"/>
        <v>76091</v>
      </c>
      <c r="E10" s="18" t="s">
        <v>425</v>
      </c>
      <c r="F10" s="20" t="str">
        <f t="shared" si="0"/>
        <v>insert into ins_premium_det (premium_rcv_code,assorted_code, rec_amount,premium_rcv_detail_code,remaining_amt, payrec, mode_code,coinsurance_code,class_cd,it_remarks) values</v>
      </c>
      <c r="G10" s="21" t="str">
        <f t="shared" si="2"/>
        <v>('17Dec240043','050000400776','76091',(select max(to_number(i.premium_rcv_detail_code))+1
from ins_premium_det i),'76091','76091','02', '11000003','00','Request by Mr. Omair Ali 17-Dec-2024');</v>
      </c>
      <c r="H10" s="22" t="str">
        <f t="shared" si="3"/>
        <v>insert into ins_premium_det (premium_rcv_code,assorted_code, rec_amount,premium_rcv_detail_code,remaining_amt, payrec, mode_code,coinsurance_code,class_cd,it_remarks) values('17Dec240043','050000400776','76091',(select max(to_number(i.premium_rcv_detail_code))+1
from ins_premium_det i),'76091','76091','02', '11000003','00','Request by Mr. Omair Ali 17-Dec-2024');</v>
      </c>
    </row>
    <row r="11" spans="1:8" ht="105" x14ac:dyDescent="0.25">
      <c r="A11" t="s">
        <v>20</v>
      </c>
      <c r="B11" s="24" t="str">
        <f>VLOOKUP(A11,policy!B:C,2,0)</f>
        <v>050000400927</v>
      </c>
      <c r="C11" s="13">
        <v>10454</v>
      </c>
      <c r="D11" s="19">
        <f t="shared" si="1"/>
        <v>10454</v>
      </c>
      <c r="E11" s="18" t="s">
        <v>425</v>
      </c>
      <c r="F11" s="20" t="str">
        <f t="shared" si="0"/>
        <v>insert into ins_premium_det (premium_rcv_code,assorted_code, rec_amount,premium_rcv_detail_code,remaining_amt, payrec, mode_code,coinsurance_code,class_cd,it_remarks) values</v>
      </c>
      <c r="G11" s="21" t="str">
        <f t="shared" si="2"/>
        <v>('17Dec240043','050000400927','10454',(select max(to_number(i.premium_rcv_detail_code))+1
from ins_premium_det i),'10454','10454','02', '11000003','00','Request by Mr. Omair Ali 17-Dec-2024');</v>
      </c>
      <c r="H11" s="22" t="str">
        <f t="shared" si="3"/>
        <v>insert into ins_premium_det (premium_rcv_code,assorted_code, rec_amount,premium_rcv_detail_code,remaining_amt, payrec, mode_code,coinsurance_code,class_cd,it_remarks) values('17Dec240043','050000400927','10454',(select max(to_number(i.premium_rcv_detail_code))+1
from ins_premium_det i),'10454','10454','02', '11000003','00','Request by Mr. Omair Ali 17-Dec-2024');</v>
      </c>
    </row>
    <row r="12" spans="1:8" ht="105" x14ac:dyDescent="0.25">
      <c r="A12" t="s">
        <v>21</v>
      </c>
      <c r="B12" s="24" t="str">
        <f>VLOOKUP(A12,policy!B:C,2,0)</f>
        <v>050000404564</v>
      </c>
      <c r="C12" s="13">
        <v>21333</v>
      </c>
      <c r="D12" s="19">
        <f t="shared" si="1"/>
        <v>21333</v>
      </c>
      <c r="E12" s="18" t="s">
        <v>425</v>
      </c>
      <c r="F12" s="20" t="str">
        <f t="shared" si="0"/>
        <v>insert into ins_premium_det (premium_rcv_code,assorted_code, rec_amount,premium_rcv_detail_code,remaining_amt, payrec, mode_code,coinsurance_code,class_cd,it_remarks) values</v>
      </c>
      <c r="G12" s="21" t="str">
        <f t="shared" si="2"/>
        <v>('17Dec240043','050000404564','21333',(select max(to_number(i.premium_rcv_detail_code))+1
from ins_premium_det i),'21333','21333','02', '11000003','00','Request by Mr. Omair Ali 17-Dec-2024');</v>
      </c>
      <c r="H12" s="22" t="str">
        <f t="shared" si="3"/>
        <v>insert into ins_premium_det (premium_rcv_code,assorted_code, rec_amount,premium_rcv_detail_code,remaining_amt, payrec, mode_code,coinsurance_code,class_cd,it_remarks) values('17Dec240043','050000404564','21333',(select max(to_number(i.premium_rcv_detail_code))+1
from ins_premium_det i),'21333','21333','02', '11000003','00','Request by Mr. Omair Ali 17-Dec-2024');</v>
      </c>
    </row>
    <row r="13" spans="1:8" ht="105" x14ac:dyDescent="0.25">
      <c r="A13" t="s">
        <v>22</v>
      </c>
      <c r="B13" s="24" t="str">
        <f>VLOOKUP(A13,policy!B:C,2,0)</f>
        <v>050000404780</v>
      </c>
      <c r="C13" s="13">
        <v>22332</v>
      </c>
      <c r="D13" s="19">
        <f t="shared" si="1"/>
        <v>22332</v>
      </c>
      <c r="E13" s="18" t="s">
        <v>425</v>
      </c>
      <c r="F13" s="20" t="str">
        <f t="shared" si="0"/>
        <v>insert into ins_premium_det (premium_rcv_code,assorted_code, rec_amount,premium_rcv_detail_code,remaining_amt, payrec, mode_code,coinsurance_code,class_cd,it_remarks) values</v>
      </c>
      <c r="G13" s="21" t="str">
        <f t="shared" si="2"/>
        <v>('17Dec240043','050000404780','22332',(select max(to_number(i.premium_rcv_detail_code))+1
from ins_premium_det i),'22332','22332','02', '11000003','00','Request by Mr. Omair Ali 17-Dec-2024');</v>
      </c>
      <c r="H13" s="22" t="str">
        <f t="shared" si="3"/>
        <v>insert into ins_premium_det (premium_rcv_code,assorted_code, rec_amount,premium_rcv_detail_code,remaining_amt, payrec, mode_code,coinsurance_code,class_cd,it_remarks) values('17Dec240043','050000404780','22332',(select max(to_number(i.premium_rcv_detail_code))+1
from ins_premium_det i),'22332','22332','02', '11000003','00','Request by Mr. Omair Ali 17-Dec-2024');</v>
      </c>
    </row>
    <row r="14" spans="1:8" ht="105" x14ac:dyDescent="0.25">
      <c r="A14" t="s">
        <v>23</v>
      </c>
      <c r="B14" s="24" t="str">
        <f>VLOOKUP(A14,policy!B:C,2,0)</f>
        <v>050000409668</v>
      </c>
      <c r="C14" s="13">
        <v>75123</v>
      </c>
      <c r="D14" s="19">
        <f t="shared" si="1"/>
        <v>75123</v>
      </c>
      <c r="E14" s="18" t="s">
        <v>425</v>
      </c>
      <c r="F14" s="20" t="str">
        <f t="shared" si="0"/>
        <v>insert into ins_premium_det (premium_rcv_code,assorted_code, rec_amount,premium_rcv_detail_code,remaining_amt, payrec, mode_code,coinsurance_code,class_cd,it_remarks) values</v>
      </c>
      <c r="G14" s="21" t="str">
        <f t="shared" si="2"/>
        <v>('17Dec240043','050000409668','75123',(select max(to_number(i.premium_rcv_detail_code))+1
from ins_premium_det i),'75123','75123','02', '11000003','00','Request by Mr. Omair Ali 17-Dec-2024');</v>
      </c>
      <c r="H14" s="22" t="str">
        <f t="shared" si="3"/>
        <v>insert into ins_premium_det (premium_rcv_code,assorted_code, rec_amount,premium_rcv_detail_code,remaining_amt, payrec, mode_code,coinsurance_code,class_cd,it_remarks) values('17Dec240043','050000409668','75123',(select max(to_number(i.premium_rcv_detail_code))+1
from ins_premium_det i),'75123','75123','02', '11000003','00','Request by Mr. Omair Ali 17-Dec-2024');</v>
      </c>
    </row>
    <row r="15" spans="1:8" ht="105" x14ac:dyDescent="0.25">
      <c r="A15" t="s">
        <v>24</v>
      </c>
      <c r="B15" s="24" t="str">
        <f>VLOOKUP(A15,policy!B:C,2,0)</f>
        <v>050000410469</v>
      </c>
      <c r="C15" s="13">
        <v>37094</v>
      </c>
      <c r="D15" s="19">
        <f t="shared" si="1"/>
        <v>37094</v>
      </c>
      <c r="E15" s="18" t="s">
        <v>425</v>
      </c>
      <c r="F15" s="20" t="str">
        <f t="shared" si="0"/>
        <v>insert into ins_premium_det (premium_rcv_code,assorted_code, rec_amount,premium_rcv_detail_code,remaining_amt, payrec, mode_code,coinsurance_code,class_cd,it_remarks) values</v>
      </c>
      <c r="G15" s="21" t="str">
        <f t="shared" si="2"/>
        <v>('17Dec240043','050000410469','37094',(select max(to_number(i.premium_rcv_detail_code))+1
from ins_premium_det i),'37094','37094','02', '11000003','00','Request by Mr. Omair Ali 17-Dec-2024');</v>
      </c>
      <c r="H15" s="22" t="str">
        <f t="shared" si="3"/>
        <v>insert into ins_premium_det (premium_rcv_code,assorted_code, rec_amount,premium_rcv_detail_code,remaining_amt, payrec, mode_code,coinsurance_code,class_cd,it_remarks) values('17Dec240043','050000410469','37094',(select max(to_number(i.premium_rcv_detail_code))+1
from ins_premium_det i),'37094','37094','02', '11000003','00','Request by Mr. Omair Ali 17-Dec-2024');</v>
      </c>
    </row>
    <row r="16" spans="1:8" ht="105" x14ac:dyDescent="0.25">
      <c r="A16" t="s">
        <v>25</v>
      </c>
      <c r="B16" s="24" t="str">
        <f>VLOOKUP(A16,policy!B:C,2,0)</f>
        <v>050000410663</v>
      </c>
      <c r="C16" s="13">
        <v>69932</v>
      </c>
      <c r="D16" s="19">
        <f t="shared" si="1"/>
        <v>69932</v>
      </c>
      <c r="E16" s="18" t="s">
        <v>425</v>
      </c>
      <c r="F16" s="20" t="str">
        <f t="shared" si="0"/>
        <v>insert into ins_premium_det (premium_rcv_code,assorted_code, rec_amount,premium_rcv_detail_code,remaining_amt, payrec, mode_code,coinsurance_code,class_cd,it_remarks) values</v>
      </c>
      <c r="G16" s="21" t="str">
        <f t="shared" si="2"/>
        <v>('17Dec240043','050000410663','69932',(select max(to_number(i.premium_rcv_detail_code))+1
from ins_premium_det i),'69932','69932','02', '11000003','00','Request by Mr. Omair Ali 17-Dec-2024');</v>
      </c>
      <c r="H16" s="22" t="str">
        <f t="shared" si="3"/>
        <v>insert into ins_premium_det (premium_rcv_code,assorted_code, rec_amount,premium_rcv_detail_code,remaining_amt, payrec, mode_code,coinsurance_code,class_cd,it_remarks) values('17Dec240043','050000410663','69932',(select max(to_number(i.premium_rcv_detail_code))+1
from ins_premium_det i),'69932','69932','02', '11000003','00','Request by Mr. Omair Ali 17-Dec-2024');</v>
      </c>
    </row>
    <row r="17" spans="1:8" ht="105" x14ac:dyDescent="0.25">
      <c r="A17" t="s">
        <v>26</v>
      </c>
      <c r="B17" s="24" t="str">
        <f>VLOOKUP(A17,policy!B:C,2,0)</f>
        <v>050000410777</v>
      </c>
      <c r="C17" s="13">
        <v>243178</v>
      </c>
      <c r="D17" s="19">
        <f t="shared" si="1"/>
        <v>243178</v>
      </c>
      <c r="E17" s="18" t="s">
        <v>425</v>
      </c>
      <c r="F17" s="20" t="str">
        <f t="shared" si="0"/>
        <v>insert into ins_premium_det (premium_rcv_code,assorted_code, rec_amount,premium_rcv_detail_code,remaining_amt, payrec, mode_code,coinsurance_code,class_cd,it_remarks) values</v>
      </c>
      <c r="G17" s="21" t="str">
        <f t="shared" si="2"/>
        <v>('17Dec240043','050000410777','243178',(select max(to_number(i.premium_rcv_detail_code))+1
from ins_premium_det i),'243178','243178','02', '11000003','00','Request by Mr. Omair Ali 17-Dec-2024');</v>
      </c>
      <c r="H17" s="22" t="str">
        <f t="shared" si="3"/>
        <v>insert into ins_premium_det (premium_rcv_code,assorted_code, rec_amount,premium_rcv_detail_code,remaining_amt, payrec, mode_code,coinsurance_code,class_cd,it_remarks) values('17Dec240043','050000410777','243178',(select max(to_number(i.premium_rcv_detail_code))+1
from ins_premium_det i),'243178','243178','02', '11000003','00','Request by Mr. Omair Ali 17-Dec-2024');</v>
      </c>
    </row>
    <row r="18" spans="1:8" ht="105" x14ac:dyDescent="0.25">
      <c r="A18" t="s">
        <v>27</v>
      </c>
      <c r="B18" s="24" t="str">
        <f>VLOOKUP(A18,policy!B:C,2,0)</f>
        <v>050000411407</v>
      </c>
      <c r="C18" s="13">
        <v>7159</v>
      </c>
      <c r="D18" s="19">
        <f t="shared" si="1"/>
        <v>7159</v>
      </c>
      <c r="E18" s="18" t="s">
        <v>425</v>
      </c>
      <c r="F18" s="20" t="str">
        <f t="shared" si="0"/>
        <v>insert into ins_premium_det (premium_rcv_code,assorted_code, rec_amount,premium_rcv_detail_code,remaining_amt, payrec, mode_code,coinsurance_code,class_cd,it_remarks) values</v>
      </c>
      <c r="G18" s="21" t="str">
        <f t="shared" si="2"/>
        <v>('17Dec240043','050000411407','7159',(select max(to_number(i.premium_rcv_detail_code))+1
from ins_premium_det i),'7159','7159','02', '11000003','00','Request by Mr. Omair Ali 17-Dec-2024');</v>
      </c>
      <c r="H18" s="22" t="str">
        <f t="shared" si="3"/>
        <v>insert into ins_premium_det (premium_rcv_code,assorted_code, rec_amount,premium_rcv_detail_code,remaining_amt, payrec, mode_code,coinsurance_code,class_cd,it_remarks) values('17Dec240043','050000411407','7159',(select max(to_number(i.premium_rcv_detail_code))+1
from ins_premium_det i),'7159','7159','02', '11000003','00','Request by Mr. Omair Ali 17-Dec-2024');</v>
      </c>
    </row>
    <row r="19" spans="1:8" ht="105" x14ac:dyDescent="0.25">
      <c r="A19" t="s">
        <v>28</v>
      </c>
      <c r="B19" s="24" t="str">
        <f>VLOOKUP(A19,policy!B:C,2,0)</f>
        <v>050000415897</v>
      </c>
      <c r="C19" s="13">
        <v>111723</v>
      </c>
      <c r="D19" s="19">
        <f t="shared" si="1"/>
        <v>111723</v>
      </c>
      <c r="E19" s="18" t="s">
        <v>425</v>
      </c>
      <c r="F19" s="20" t="str">
        <f t="shared" si="0"/>
        <v>insert into ins_premium_det (premium_rcv_code,assorted_code, rec_amount,premium_rcv_detail_code,remaining_amt, payrec, mode_code,coinsurance_code,class_cd,it_remarks) values</v>
      </c>
      <c r="G19" s="21" t="str">
        <f t="shared" si="2"/>
        <v>('17Dec240043','050000415897','111723',(select max(to_number(i.premium_rcv_detail_code))+1
from ins_premium_det i),'111723','111723','02', '11000003','00','Request by Mr. Omair Ali 17-Dec-2024');</v>
      </c>
      <c r="H19" s="22" t="str">
        <f t="shared" si="3"/>
        <v>insert into ins_premium_det (premium_rcv_code,assorted_code, rec_amount,premium_rcv_detail_code,remaining_amt, payrec, mode_code,coinsurance_code,class_cd,it_remarks) values('17Dec240043','050000415897','111723',(select max(to_number(i.premium_rcv_detail_code))+1
from ins_premium_det i),'111723','111723','02', '11000003','00','Request by Mr. Omair Ali 17-Dec-2024');</v>
      </c>
    </row>
    <row r="20" spans="1:8" ht="105" x14ac:dyDescent="0.25">
      <c r="A20" t="s">
        <v>29</v>
      </c>
      <c r="B20" s="24" t="str">
        <f>VLOOKUP(A20,policy!B:C,2,0)</f>
        <v>050000417075</v>
      </c>
      <c r="C20" s="13">
        <v>7444</v>
      </c>
      <c r="D20" s="19">
        <f t="shared" si="1"/>
        <v>7444</v>
      </c>
      <c r="E20" s="18" t="s">
        <v>425</v>
      </c>
      <c r="F20" s="20" t="str">
        <f t="shared" si="0"/>
        <v>insert into ins_premium_det (premium_rcv_code,assorted_code, rec_amount,premium_rcv_detail_code,remaining_amt, payrec, mode_code,coinsurance_code,class_cd,it_remarks) values</v>
      </c>
      <c r="G20" s="21" t="str">
        <f t="shared" si="2"/>
        <v>('17Dec240043','050000417075','7444',(select max(to_number(i.premium_rcv_detail_code))+1
from ins_premium_det i),'7444','7444','02', '11000003','00','Request by Mr. Omair Ali 17-Dec-2024');</v>
      </c>
      <c r="H20" s="22" t="str">
        <f t="shared" si="3"/>
        <v>insert into ins_premium_det (premium_rcv_code,assorted_code, rec_amount,premium_rcv_detail_code,remaining_amt, payrec, mode_code,coinsurance_code,class_cd,it_remarks) values('17Dec240043','050000417075','7444',(select max(to_number(i.premium_rcv_detail_code))+1
from ins_premium_det i),'7444','7444','02', '11000003','00','Request by Mr. Omair Ali 17-Dec-2024');</v>
      </c>
    </row>
    <row r="21" spans="1:8" ht="105" x14ac:dyDescent="0.25">
      <c r="A21" t="s">
        <v>30</v>
      </c>
      <c r="B21" s="24" t="str">
        <f>VLOOKUP(A21,policy!B:C,2,0)</f>
        <v>050000418583</v>
      </c>
      <c r="C21" s="13">
        <v>111255</v>
      </c>
      <c r="D21" s="19">
        <f t="shared" si="1"/>
        <v>111255</v>
      </c>
      <c r="E21" s="18" t="s">
        <v>425</v>
      </c>
      <c r="F21" s="20" t="str">
        <f t="shared" si="0"/>
        <v>insert into ins_premium_det (premium_rcv_code,assorted_code, rec_amount,premium_rcv_detail_code,remaining_amt, payrec, mode_code,coinsurance_code,class_cd,it_remarks) values</v>
      </c>
      <c r="G21" s="21" t="str">
        <f t="shared" si="2"/>
        <v>('17Dec240043','050000418583','111255',(select max(to_number(i.premium_rcv_detail_code))+1
from ins_premium_det i),'111255','111255','02', '11000003','00','Request by Mr. Omair Ali 17-Dec-2024');</v>
      </c>
      <c r="H21" s="22" t="str">
        <f t="shared" si="3"/>
        <v>insert into ins_premium_det (premium_rcv_code,assorted_code, rec_amount,premium_rcv_detail_code,remaining_amt, payrec, mode_code,coinsurance_code,class_cd,it_remarks) values('17Dec240043','050000418583','111255',(select max(to_number(i.premium_rcv_detail_code))+1
from ins_premium_det i),'111255','111255','02', '11000003','00','Request by Mr. Omair Ali 17-Dec-2024');</v>
      </c>
    </row>
    <row r="22" spans="1:8" ht="105" x14ac:dyDescent="0.25">
      <c r="A22" t="s">
        <v>31</v>
      </c>
      <c r="B22" s="24" t="str">
        <f>VLOOKUP(A22,policy!B:C,2,0)</f>
        <v>050000419688</v>
      </c>
      <c r="C22" s="13">
        <v>14888</v>
      </c>
      <c r="D22" s="19">
        <f t="shared" si="1"/>
        <v>14888</v>
      </c>
      <c r="E22" s="18" t="s">
        <v>425</v>
      </c>
      <c r="F22" s="20" t="str">
        <f t="shared" si="0"/>
        <v>insert into ins_premium_det (premium_rcv_code,assorted_code, rec_amount,premium_rcv_detail_code,remaining_amt, payrec, mode_code,coinsurance_code,class_cd,it_remarks) values</v>
      </c>
      <c r="G22" s="21" t="str">
        <f t="shared" si="2"/>
        <v>('17Dec240043','050000419688','14888',(select max(to_number(i.premium_rcv_detail_code))+1
from ins_premium_det i),'14888','14888','02', '11000003','00','Request by Mr. Omair Ali 17-Dec-2024');</v>
      </c>
      <c r="H22" s="22" t="str">
        <f t="shared" si="3"/>
        <v>insert into ins_premium_det (premium_rcv_code,assorted_code, rec_amount,premium_rcv_detail_code,remaining_amt, payrec, mode_code,coinsurance_code,class_cd,it_remarks) values('17Dec240043','050000419688','14888',(select max(to_number(i.premium_rcv_detail_code))+1
from ins_premium_det i),'14888','14888','02', '11000003','00','Request by Mr. Omair Ali 17-Dec-2024');</v>
      </c>
    </row>
    <row r="23" spans="1:8" ht="105" x14ac:dyDescent="0.25">
      <c r="A23" t="s">
        <v>32</v>
      </c>
      <c r="B23" s="24" t="str">
        <f>VLOOKUP(A23,policy!B:C,2,0)</f>
        <v>050000419731</v>
      </c>
      <c r="C23" s="13">
        <v>112933</v>
      </c>
      <c r="D23" s="19">
        <f t="shared" si="1"/>
        <v>112933</v>
      </c>
      <c r="E23" s="18" t="s">
        <v>425</v>
      </c>
      <c r="F23" s="20" t="str">
        <f t="shared" si="0"/>
        <v>insert into ins_premium_det (premium_rcv_code,assorted_code, rec_amount,premium_rcv_detail_code,remaining_amt, payrec, mode_code,coinsurance_code,class_cd,it_remarks) values</v>
      </c>
      <c r="G23" s="21" t="str">
        <f t="shared" si="2"/>
        <v>('17Dec240043','050000419731','112933',(select max(to_number(i.premium_rcv_detail_code))+1
from ins_premium_det i),'112933','112933','02', '11000003','00','Request by Mr. Omair Ali 17-Dec-2024');</v>
      </c>
      <c r="H23" s="22" t="str">
        <f t="shared" si="3"/>
        <v>insert into ins_premium_det (premium_rcv_code,assorted_code, rec_amount,premium_rcv_detail_code,remaining_amt, payrec, mode_code,coinsurance_code,class_cd,it_remarks) values('17Dec240043','050000419731','112933',(select max(to_number(i.premium_rcv_detail_code))+1
from ins_premium_det i),'112933','112933','02', '11000003','00','Request by Mr. Omair Ali 17-Dec-2024');</v>
      </c>
    </row>
    <row r="24" spans="1:8" ht="105" x14ac:dyDescent="0.25">
      <c r="A24" t="s">
        <v>33</v>
      </c>
      <c r="B24" s="24" t="str">
        <f>VLOOKUP(A24,policy!B:C,2,0)</f>
        <v>050000420173</v>
      </c>
      <c r="C24" s="13">
        <v>7188</v>
      </c>
      <c r="D24" s="19">
        <f t="shared" si="1"/>
        <v>7188</v>
      </c>
      <c r="E24" s="18" t="s">
        <v>425</v>
      </c>
      <c r="F24" s="20" t="str">
        <f t="shared" si="0"/>
        <v>insert into ins_premium_det (premium_rcv_code,assorted_code, rec_amount,premium_rcv_detail_code,remaining_amt, payrec, mode_code,coinsurance_code,class_cd,it_remarks) values</v>
      </c>
      <c r="G24" s="21" t="str">
        <f t="shared" si="2"/>
        <v>('17Dec240043','050000420173','7188',(select max(to_number(i.premium_rcv_detail_code))+1
from ins_premium_det i),'7188','7188','02', '11000003','00','Request by Mr. Omair Ali 17-Dec-2024');</v>
      </c>
      <c r="H24" s="22" t="str">
        <f t="shared" si="3"/>
        <v>insert into ins_premium_det (premium_rcv_code,assorted_code, rec_amount,premium_rcv_detail_code,remaining_amt, payrec, mode_code,coinsurance_code,class_cd,it_remarks) values('17Dec240043','050000420173','7188',(select max(to_number(i.premium_rcv_detail_code))+1
from ins_premium_det i),'7188','7188','02', '11000003','00','Request by Mr. Omair Ali 17-Dec-2024');</v>
      </c>
    </row>
    <row r="25" spans="1:8" ht="105" x14ac:dyDescent="0.25">
      <c r="A25" t="s">
        <v>34</v>
      </c>
      <c r="B25" s="24" t="str">
        <f>VLOOKUP(A25,policy!B:C,2,0)</f>
        <v>050000420267</v>
      </c>
      <c r="C25" s="13">
        <v>4772</v>
      </c>
      <c r="D25" s="19">
        <f t="shared" si="1"/>
        <v>4772</v>
      </c>
      <c r="E25" s="18" t="s">
        <v>425</v>
      </c>
      <c r="F25" s="20" t="str">
        <f t="shared" si="0"/>
        <v>insert into ins_premium_det (premium_rcv_code,assorted_code, rec_amount,premium_rcv_detail_code,remaining_amt, payrec, mode_code,coinsurance_code,class_cd,it_remarks) values</v>
      </c>
      <c r="G25" s="21" t="str">
        <f t="shared" si="2"/>
        <v>('17Dec240043','050000420267','4772',(select max(to_number(i.premium_rcv_detail_code))+1
from ins_premium_det i),'4772','4772','02', '11000003','00','Request by Mr. Omair Ali 17-Dec-2024');</v>
      </c>
      <c r="H25" s="22" t="str">
        <f t="shared" si="3"/>
        <v>insert into ins_premium_det (premium_rcv_code,assorted_code, rec_amount,premium_rcv_detail_code,remaining_amt, payrec, mode_code,coinsurance_code,class_cd,it_remarks) values('17Dec240043','050000420267','4772',(select max(to_number(i.premium_rcv_detail_code))+1
from ins_premium_det i),'4772','4772','02', '11000003','00','Request by Mr. Omair Ali 17-Dec-2024');</v>
      </c>
    </row>
    <row r="26" spans="1:8" ht="105" x14ac:dyDescent="0.25">
      <c r="A26" t="s">
        <v>35</v>
      </c>
      <c r="B26" s="24" t="str">
        <f>VLOOKUP(A26,policy!B:C,2,0)</f>
        <v>050000421096</v>
      </c>
      <c r="C26" s="13">
        <v>6811</v>
      </c>
      <c r="D26" s="19">
        <f t="shared" si="1"/>
        <v>6811</v>
      </c>
      <c r="E26" s="18" t="s">
        <v>425</v>
      </c>
      <c r="F26" s="20" t="str">
        <f t="shared" si="0"/>
        <v>insert into ins_premium_det (premium_rcv_code,assorted_code, rec_amount,premium_rcv_detail_code,remaining_amt, payrec, mode_code,coinsurance_code,class_cd,it_remarks) values</v>
      </c>
      <c r="G26" s="21" t="str">
        <f t="shared" si="2"/>
        <v>('17Dec240043','050000421096','6811',(select max(to_number(i.premium_rcv_detail_code))+1
from ins_premium_det i),'6811','6811','02', '11000003','00','Request by Mr. Omair Ali 17-Dec-2024');</v>
      </c>
      <c r="H26" s="22" t="str">
        <f t="shared" si="3"/>
        <v>insert into ins_premium_det (premium_rcv_code,assorted_code, rec_amount,premium_rcv_detail_code,remaining_amt, payrec, mode_code,coinsurance_code,class_cd,it_remarks) values('17Dec240043','050000421096','6811',(select max(to_number(i.premium_rcv_detail_code))+1
from ins_premium_det i),'6811','6811','02', '11000003','00','Request by Mr. Omair Ali 17-Dec-2024');</v>
      </c>
    </row>
    <row r="27" spans="1:8" ht="105" x14ac:dyDescent="0.25">
      <c r="A27" t="s">
        <v>36</v>
      </c>
      <c r="B27" s="24" t="str">
        <f>VLOOKUP(A27,policy!B:C,2,0)</f>
        <v>050000422611</v>
      </c>
      <c r="C27" s="13">
        <v>13321</v>
      </c>
      <c r="D27" s="19">
        <f t="shared" si="1"/>
        <v>13321</v>
      </c>
      <c r="E27" s="18" t="s">
        <v>425</v>
      </c>
      <c r="F27" s="20" t="str">
        <f t="shared" si="0"/>
        <v>insert into ins_premium_det (premium_rcv_code,assorted_code, rec_amount,premium_rcv_detail_code,remaining_amt, payrec, mode_code,coinsurance_code,class_cd,it_remarks) values</v>
      </c>
      <c r="G27" s="21" t="str">
        <f t="shared" si="2"/>
        <v>('17Dec240043','050000422611','13321',(select max(to_number(i.premium_rcv_detail_code))+1
from ins_premium_det i),'13321','13321','02', '11000003','00','Request by Mr. Omair Ali 17-Dec-2024');</v>
      </c>
      <c r="H27" s="22" t="str">
        <f t="shared" si="3"/>
        <v>insert into ins_premium_det (premium_rcv_code,assorted_code, rec_amount,premium_rcv_detail_code,remaining_amt, payrec, mode_code,coinsurance_code,class_cd,it_remarks) values('17Dec240043','050000422611','13321',(select max(to_number(i.premium_rcv_detail_code))+1
from ins_premium_det i),'13321','13321','02', '11000003','00','Request by Mr. Omair Ali 17-Dec-2024');</v>
      </c>
    </row>
    <row r="28" spans="1:8" ht="105" x14ac:dyDescent="0.25">
      <c r="A28" t="s">
        <v>37</v>
      </c>
      <c r="B28" s="24" t="str">
        <f>VLOOKUP(A28,policy!B:C,2,0)</f>
        <v>050000424137</v>
      </c>
      <c r="C28" s="13">
        <v>4936</v>
      </c>
      <c r="D28" s="19">
        <f t="shared" si="1"/>
        <v>4936</v>
      </c>
      <c r="E28" s="18" t="s">
        <v>425</v>
      </c>
      <c r="F28" s="20" t="str">
        <f t="shared" si="0"/>
        <v>insert into ins_premium_det (premium_rcv_code,assorted_code, rec_amount,premium_rcv_detail_code,remaining_amt, payrec, mode_code,coinsurance_code,class_cd,it_remarks) values</v>
      </c>
      <c r="G28" s="21" t="str">
        <f t="shared" si="2"/>
        <v>('17Dec240043','050000424137','4936',(select max(to_number(i.premium_rcv_detail_code))+1
from ins_premium_det i),'4936','4936','02', '11000003','00','Request by Mr. Omair Ali 17-Dec-2024');</v>
      </c>
      <c r="H28" s="22" t="str">
        <f t="shared" si="3"/>
        <v>insert into ins_premium_det (premium_rcv_code,assorted_code, rec_amount,premium_rcv_detail_code,remaining_amt, payrec, mode_code,coinsurance_code,class_cd,it_remarks) values('17Dec240043','050000424137','4936',(select max(to_number(i.premium_rcv_detail_code))+1
from ins_premium_det i),'4936','4936','02', '11000003','00','Request by Mr. Omair Ali 17-Dec-2024');</v>
      </c>
    </row>
    <row r="29" spans="1:8" ht="105" x14ac:dyDescent="0.25">
      <c r="A29" t="s">
        <v>38</v>
      </c>
      <c r="B29" s="24" t="str">
        <f>VLOOKUP(A29,policy!B:C,2,0)</f>
        <v>050000424183</v>
      </c>
      <c r="C29" s="13">
        <v>7444</v>
      </c>
      <c r="D29" s="19">
        <f t="shared" si="1"/>
        <v>7444</v>
      </c>
      <c r="E29" s="18" t="s">
        <v>425</v>
      </c>
      <c r="F29" s="20" t="str">
        <f t="shared" si="0"/>
        <v>insert into ins_premium_det (premium_rcv_code,assorted_code, rec_amount,premium_rcv_detail_code,remaining_amt, payrec, mode_code,coinsurance_code,class_cd,it_remarks) values</v>
      </c>
      <c r="G29" s="21" t="str">
        <f t="shared" si="2"/>
        <v>('17Dec240043','050000424183','7444',(select max(to_number(i.premium_rcv_detail_code))+1
from ins_premium_det i),'7444','7444','02', '11000003','00','Request by Mr. Omair Ali 17-Dec-2024');</v>
      </c>
      <c r="H29" s="22" t="str">
        <f t="shared" si="3"/>
        <v>insert into ins_premium_det (premium_rcv_code,assorted_code, rec_amount,premium_rcv_detail_code,remaining_amt, payrec, mode_code,coinsurance_code,class_cd,it_remarks) values('17Dec240043','050000424183','7444',(select max(to_number(i.premium_rcv_detail_code))+1
from ins_premium_det i),'7444','7444','02', '11000003','00','Request by Mr. Omair Ali 17-Dec-2024');</v>
      </c>
    </row>
    <row r="30" spans="1:8" ht="105" x14ac:dyDescent="0.25">
      <c r="A30" t="s">
        <v>39</v>
      </c>
      <c r="B30" s="24" t="str">
        <f>VLOOKUP(A30,policy!B:C,2,0)</f>
        <v>050000426313</v>
      </c>
      <c r="C30" s="13">
        <v>7444</v>
      </c>
      <c r="D30" s="19">
        <f t="shared" si="1"/>
        <v>7444</v>
      </c>
      <c r="E30" s="18" t="s">
        <v>425</v>
      </c>
      <c r="F30" s="20" t="str">
        <f t="shared" si="0"/>
        <v>insert into ins_premium_det (premium_rcv_code,assorted_code, rec_amount,premium_rcv_detail_code,remaining_amt, payrec, mode_code,coinsurance_code,class_cd,it_remarks) values</v>
      </c>
      <c r="G30" s="21" t="str">
        <f t="shared" si="2"/>
        <v>('17Dec240043','050000426313','7444',(select max(to_number(i.premium_rcv_detail_code))+1
from ins_premium_det i),'7444','7444','02', '11000003','00','Request by Mr. Omair Ali 17-Dec-2024');</v>
      </c>
      <c r="H30" s="22" t="str">
        <f t="shared" si="3"/>
        <v>insert into ins_premium_det (premium_rcv_code,assorted_code, rec_amount,premium_rcv_detail_code,remaining_amt, payrec, mode_code,coinsurance_code,class_cd,it_remarks) values('17Dec240043','050000426313','7444',(select max(to_number(i.premium_rcv_detail_code))+1
from ins_premium_det i),'7444','7444','02', '11000003','00','Request by Mr. Omair Ali 17-Dec-2024');</v>
      </c>
    </row>
    <row r="31" spans="1:8" ht="105" x14ac:dyDescent="0.25">
      <c r="A31" t="s">
        <v>40</v>
      </c>
      <c r="B31" s="24" t="str">
        <f>VLOOKUP(A31,policy!B:C,2,0)</f>
        <v>050000427940</v>
      </c>
      <c r="C31" s="13">
        <v>50749</v>
      </c>
      <c r="D31" s="19">
        <f t="shared" si="1"/>
        <v>50749</v>
      </c>
      <c r="E31" s="18" t="s">
        <v>425</v>
      </c>
      <c r="F31" s="20" t="str">
        <f t="shared" si="0"/>
        <v>insert into ins_premium_det (premium_rcv_code,assorted_code, rec_amount,premium_rcv_detail_code,remaining_amt, payrec, mode_code,coinsurance_code,class_cd,it_remarks) values</v>
      </c>
      <c r="G31" s="21" t="str">
        <f t="shared" si="2"/>
        <v>('17Dec240043','050000427940','50749',(select max(to_number(i.premium_rcv_detail_code))+1
from ins_premium_det i),'50749','50749','02', '11000003','00','Request by Mr. Omair Ali 17-Dec-2024');</v>
      </c>
      <c r="H31" s="22" t="str">
        <f t="shared" si="3"/>
        <v>insert into ins_premium_det (premium_rcv_code,assorted_code, rec_amount,premium_rcv_detail_code,remaining_amt, payrec, mode_code,coinsurance_code,class_cd,it_remarks) values('17Dec240043','050000427940','50749',(select max(to_number(i.premium_rcv_detail_code))+1
from ins_premium_det i),'50749','50749','02', '11000003','00','Request by Mr. Omair Ali 17-Dec-2024');</v>
      </c>
    </row>
    <row r="32" spans="1:8" ht="105" x14ac:dyDescent="0.25">
      <c r="A32" t="s">
        <v>41</v>
      </c>
      <c r="B32" s="24" t="str">
        <f>VLOOKUP(A32,policy!B:C,2,0)</f>
        <v>050000430416</v>
      </c>
      <c r="C32" s="13">
        <v>8484</v>
      </c>
      <c r="D32" s="19">
        <f t="shared" si="1"/>
        <v>8484</v>
      </c>
      <c r="E32" s="18" t="s">
        <v>425</v>
      </c>
      <c r="F32" s="20" t="str">
        <f t="shared" si="0"/>
        <v>insert into ins_premium_det (premium_rcv_code,assorted_code, rec_amount,premium_rcv_detail_code,remaining_amt, payrec, mode_code,coinsurance_code,class_cd,it_remarks) values</v>
      </c>
      <c r="G32" s="21" t="str">
        <f t="shared" si="2"/>
        <v>('17Dec240043','050000430416','8484',(select max(to_number(i.premium_rcv_detail_code))+1
from ins_premium_det i),'8484','8484','02', '11000003','00','Request by Mr. Omair Ali 17-Dec-2024');</v>
      </c>
      <c r="H32" s="22" t="str">
        <f t="shared" si="3"/>
        <v>insert into ins_premium_det (premium_rcv_code,assorted_code, rec_amount,premium_rcv_detail_code,remaining_amt, payrec, mode_code,coinsurance_code,class_cd,it_remarks) values('17Dec240043','050000430416','8484',(select max(to_number(i.premium_rcv_detail_code))+1
from ins_premium_det i),'8484','8484','02', '11000003','00','Request by Mr. Omair Ali 17-Dec-2024');</v>
      </c>
    </row>
    <row r="33" spans="1:8" ht="105" x14ac:dyDescent="0.25">
      <c r="A33" t="s">
        <v>42</v>
      </c>
      <c r="B33" s="24" t="str">
        <f>VLOOKUP(A33,policy!B:C,2,0)</f>
        <v>050000430509</v>
      </c>
      <c r="C33" s="13">
        <v>5649</v>
      </c>
      <c r="D33" s="19">
        <f t="shared" si="1"/>
        <v>5649</v>
      </c>
      <c r="E33" s="18" t="s">
        <v>425</v>
      </c>
      <c r="F33" s="20" t="str">
        <f t="shared" si="0"/>
        <v>insert into ins_premium_det (premium_rcv_code,assorted_code, rec_amount,premium_rcv_detail_code,remaining_amt, payrec, mode_code,coinsurance_code,class_cd,it_remarks) values</v>
      </c>
      <c r="G33" s="21" t="str">
        <f t="shared" si="2"/>
        <v>('17Dec240043','050000430509','5649',(select max(to_number(i.premium_rcv_detail_code))+1
from ins_premium_det i),'5649','5649','02', '11000003','00','Request by Mr. Omair Ali 17-Dec-2024');</v>
      </c>
      <c r="H33" s="22" t="str">
        <f t="shared" si="3"/>
        <v>insert into ins_premium_det (premium_rcv_code,assorted_code, rec_amount,premium_rcv_detail_code,remaining_amt, payrec, mode_code,coinsurance_code,class_cd,it_remarks) values('17Dec240043','050000430509','5649',(select max(to_number(i.premium_rcv_detail_code))+1
from ins_premium_det i),'5649','5649','02', '11000003','00','Request by Mr. Omair Ali 17-Dec-2024');</v>
      </c>
    </row>
    <row r="34" spans="1:8" ht="105" x14ac:dyDescent="0.25">
      <c r="A34" t="s">
        <v>43</v>
      </c>
      <c r="B34" s="24" t="str">
        <f>VLOOKUP(A34,policy!B:C,2,0)</f>
        <v>050000434933</v>
      </c>
      <c r="C34" s="13">
        <v>26610</v>
      </c>
      <c r="D34" s="19">
        <f t="shared" si="1"/>
        <v>26610</v>
      </c>
      <c r="E34" s="18" t="s">
        <v>425</v>
      </c>
      <c r="F34" s="20" t="str">
        <f t="shared" si="0"/>
        <v>insert into ins_premium_det (premium_rcv_code,assorted_code, rec_amount,premium_rcv_detail_code,remaining_amt, payrec, mode_code,coinsurance_code,class_cd,it_remarks) values</v>
      </c>
      <c r="G34" s="21" t="str">
        <f t="shared" si="2"/>
        <v>('17Dec240043','050000434933','26610',(select max(to_number(i.premium_rcv_detail_code))+1
from ins_premium_det i),'26610','26610','02', '11000003','00','Request by Mr. Omair Ali 17-Dec-2024');</v>
      </c>
      <c r="H34" s="22" t="str">
        <f t="shared" si="3"/>
        <v>insert into ins_premium_det (premium_rcv_code,assorted_code, rec_amount,premium_rcv_detail_code,remaining_amt, payrec, mode_code,coinsurance_code,class_cd,it_remarks) values('17Dec240043','050000434933','26610',(select max(to_number(i.premium_rcv_detail_code))+1
from ins_premium_det i),'26610','26610','02', '11000003','00','Request by Mr. Omair Ali 17-Dec-2024');</v>
      </c>
    </row>
    <row r="35" spans="1:8" ht="105" x14ac:dyDescent="0.25">
      <c r="A35" t="s">
        <v>44</v>
      </c>
      <c r="B35" s="24" t="str">
        <f>VLOOKUP(A35,policy!B:C,2,0)</f>
        <v>050000435446</v>
      </c>
      <c r="C35" s="13">
        <v>41747</v>
      </c>
      <c r="D35" s="19">
        <f t="shared" si="1"/>
        <v>41747</v>
      </c>
      <c r="E35" s="18" t="s">
        <v>425</v>
      </c>
      <c r="F35" s="20" t="str">
        <f t="shared" si="0"/>
        <v>insert into ins_premium_det (premium_rcv_code,assorted_code, rec_amount,premium_rcv_detail_code,remaining_amt, payrec, mode_code,coinsurance_code,class_cd,it_remarks) values</v>
      </c>
      <c r="G35" s="21" t="str">
        <f t="shared" si="2"/>
        <v>('17Dec240043','050000435446','41747',(select max(to_number(i.premium_rcv_detail_code))+1
from ins_premium_det i),'41747','41747','02', '11000003','00','Request by Mr. Omair Ali 17-Dec-2024');</v>
      </c>
      <c r="H35" s="22" t="str">
        <f t="shared" si="3"/>
        <v>insert into ins_premium_det (premium_rcv_code,assorted_code, rec_amount,premium_rcv_detail_code,remaining_amt, payrec, mode_code,coinsurance_code,class_cd,it_remarks) values('17Dec240043','050000435446','41747',(select max(to_number(i.premium_rcv_detail_code))+1
from ins_premium_det i),'41747','41747','02', '11000003','00','Request by Mr. Omair Ali 17-Dec-2024');</v>
      </c>
    </row>
    <row r="36" spans="1:8" ht="105" x14ac:dyDescent="0.25">
      <c r="A36" t="s">
        <v>45</v>
      </c>
      <c r="B36" s="24" t="str">
        <f>VLOOKUP(A36,policy!B:C,2,0)</f>
        <v>050000437357</v>
      </c>
      <c r="C36" s="13">
        <v>67637</v>
      </c>
      <c r="D36" s="19">
        <f t="shared" si="1"/>
        <v>67637</v>
      </c>
      <c r="E36" s="18" t="s">
        <v>425</v>
      </c>
      <c r="F36" s="20" t="str">
        <f t="shared" si="0"/>
        <v>insert into ins_premium_det (premium_rcv_code,assorted_code, rec_amount,premium_rcv_detail_code,remaining_amt, payrec, mode_code,coinsurance_code,class_cd,it_remarks) values</v>
      </c>
      <c r="G36" s="21" t="str">
        <f t="shared" si="2"/>
        <v>('17Dec240043','050000437357','67637',(select max(to_number(i.premium_rcv_detail_code))+1
from ins_premium_det i),'67637','67637','02', '11000003','00','Request by Mr. Omair Ali 17-Dec-2024');</v>
      </c>
      <c r="H36" s="22" t="str">
        <f t="shared" si="3"/>
        <v>insert into ins_premium_det (premium_rcv_code,assorted_code, rec_amount,premium_rcv_detail_code,remaining_amt, payrec, mode_code,coinsurance_code,class_cd,it_remarks) values('17Dec240043','050000437357','67637',(select max(to_number(i.premium_rcv_detail_code))+1
from ins_premium_det i),'67637','67637','02', '11000003','00','Request by Mr. Omair Ali 17-Dec-2024');</v>
      </c>
    </row>
    <row r="37" spans="1:8" ht="105" x14ac:dyDescent="0.25">
      <c r="A37" t="s">
        <v>46</v>
      </c>
      <c r="B37" s="24" t="str">
        <f>VLOOKUP(A37,policy!B:C,2,0)</f>
        <v>050000438831</v>
      </c>
      <c r="C37" s="13">
        <v>7444</v>
      </c>
      <c r="D37" s="19">
        <f t="shared" si="1"/>
        <v>7444</v>
      </c>
      <c r="E37" s="18" t="s">
        <v>425</v>
      </c>
      <c r="F37" s="20" t="str">
        <f t="shared" si="0"/>
        <v>insert into ins_premium_det (premium_rcv_code,assorted_code, rec_amount,premium_rcv_detail_code,remaining_amt, payrec, mode_code,coinsurance_code,class_cd,it_remarks) values</v>
      </c>
      <c r="G37" s="21" t="str">
        <f t="shared" si="2"/>
        <v>('17Dec240043','050000438831','7444',(select max(to_number(i.premium_rcv_detail_code))+1
from ins_premium_det i),'7444','7444','02', '11000003','00','Request by Mr. Omair Ali 17-Dec-2024');</v>
      </c>
      <c r="H37" s="22" t="str">
        <f t="shared" si="3"/>
        <v>insert into ins_premium_det (premium_rcv_code,assorted_code, rec_amount,premium_rcv_detail_code,remaining_amt, payrec, mode_code,coinsurance_code,class_cd,it_remarks) values('17Dec240043','050000438831','7444',(select max(to_number(i.premium_rcv_detail_code))+1
from ins_premium_det i),'7444','7444','02', '11000003','00','Request by Mr. Omair Ali 17-Dec-2024');</v>
      </c>
    </row>
    <row r="38" spans="1:8" ht="105" x14ac:dyDescent="0.25">
      <c r="A38" t="s">
        <v>47</v>
      </c>
      <c r="B38" s="24" t="str">
        <f>VLOOKUP(A38,policy!B:C,2,0)</f>
        <v>050000439356</v>
      </c>
      <c r="C38" s="13">
        <v>4497</v>
      </c>
      <c r="D38" s="19">
        <f t="shared" si="1"/>
        <v>4497</v>
      </c>
      <c r="E38" s="18" t="s">
        <v>425</v>
      </c>
      <c r="F38" s="20" t="str">
        <f t="shared" si="0"/>
        <v>insert into ins_premium_det (premium_rcv_code,assorted_code, rec_amount,premium_rcv_detail_code,remaining_amt, payrec, mode_code,coinsurance_code,class_cd,it_remarks) values</v>
      </c>
      <c r="G38" s="21" t="str">
        <f t="shared" si="2"/>
        <v>('17Dec240043','050000439356','4497',(select max(to_number(i.premium_rcv_detail_code))+1
from ins_premium_det i),'4497','4497','02', '11000003','00','Request by Mr. Omair Ali 17-Dec-2024');</v>
      </c>
      <c r="H38" s="22" t="str">
        <f t="shared" si="3"/>
        <v>insert into ins_premium_det (premium_rcv_code,assorted_code, rec_amount,premium_rcv_detail_code,remaining_amt, payrec, mode_code,coinsurance_code,class_cd,it_remarks) values('17Dec240043','050000439356','4497',(select max(to_number(i.premium_rcv_detail_code))+1
from ins_premium_det i),'4497','4497','02', '11000003','00','Request by Mr. Omair Ali 17-Dec-2024');</v>
      </c>
    </row>
    <row r="39" spans="1:8" ht="105" x14ac:dyDescent="0.25">
      <c r="A39" t="s">
        <v>48</v>
      </c>
      <c r="B39" s="24" t="str">
        <f>VLOOKUP(A39,policy!B:C,2,0)</f>
        <v>050000442884</v>
      </c>
      <c r="C39" s="13">
        <v>7444</v>
      </c>
      <c r="D39" s="19">
        <f t="shared" si="1"/>
        <v>7444</v>
      </c>
      <c r="E39" s="18" t="s">
        <v>425</v>
      </c>
      <c r="F39" s="20" t="str">
        <f t="shared" si="0"/>
        <v>insert into ins_premium_det (premium_rcv_code,assorted_code, rec_amount,premium_rcv_detail_code,remaining_amt, payrec, mode_code,coinsurance_code,class_cd,it_remarks) values</v>
      </c>
      <c r="G39" s="21" t="str">
        <f t="shared" si="2"/>
        <v>('17Dec240043','050000442884','7444',(select max(to_number(i.premium_rcv_detail_code))+1
from ins_premium_det i),'7444','7444','02', '11000003','00','Request by Mr. Omair Ali 17-Dec-2024');</v>
      </c>
      <c r="H39" s="22" t="str">
        <f t="shared" si="3"/>
        <v>insert into ins_premium_det (premium_rcv_code,assorted_code, rec_amount,premium_rcv_detail_code,remaining_amt, payrec, mode_code,coinsurance_code,class_cd,it_remarks) values('17Dec240043','050000442884','7444',(select max(to_number(i.premium_rcv_detail_code))+1
from ins_premium_det i),'7444','7444','02', '11000003','00','Request by Mr. Omair Ali 17-Dec-2024');</v>
      </c>
    </row>
    <row r="40" spans="1:8" ht="105" x14ac:dyDescent="0.25">
      <c r="A40" t="s">
        <v>49</v>
      </c>
      <c r="B40" s="24" t="str">
        <f>VLOOKUP(A40,policy!B:C,2,0)</f>
        <v>050000444528</v>
      </c>
      <c r="C40" s="13">
        <v>10454</v>
      </c>
      <c r="D40" s="19">
        <f t="shared" si="1"/>
        <v>10454</v>
      </c>
      <c r="E40" s="18" t="s">
        <v>425</v>
      </c>
      <c r="F40" s="20" t="str">
        <f t="shared" si="0"/>
        <v>insert into ins_premium_det (premium_rcv_code,assorted_code, rec_amount,premium_rcv_detail_code,remaining_amt, payrec, mode_code,coinsurance_code,class_cd,it_remarks) values</v>
      </c>
      <c r="G40" s="21" t="str">
        <f t="shared" si="2"/>
        <v>('17Dec240043','050000444528','10454',(select max(to_number(i.premium_rcv_detail_code))+1
from ins_premium_det i),'10454','10454','02', '11000003','00','Request by Mr. Omair Ali 17-Dec-2024');</v>
      </c>
      <c r="H40" s="22" t="str">
        <f t="shared" si="3"/>
        <v>insert into ins_premium_det (premium_rcv_code,assorted_code, rec_amount,premium_rcv_detail_code,remaining_amt, payrec, mode_code,coinsurance_code,class_cd,it_remarks) values('17Dec240043','050000444528','10454',(select max(to_number(i.premium_rcv_detail_code))+1
from ins_premium_det i),'10454','10454','02', '11000003','00','Request by Mr. Omair Ali 17-Dec-2024');</v>
      </c>
    </row>
    <row r="41" spans="1:8" ht="105" x14ac:dyDescent="0.25">
      <c r="A41" t="s">
        <v>50</v>
      </c>
      <c r="B41" s="24" t="str">
        <f>VLOOKUP(A41,policy!B:C,2,0)</f>
        <v>050000444889</v>
      </c>
      <c r="C41" s="13">
        <v>15170</v>
      </c>
      <c r="D41" s="19">
        <f t="shared" si="1"/>
        <v>15170</v>
      </c>
      <c r="E41" s="18" t="s">
        <v>425</v>
      </c>
      <c r="F41" s="20" t="str">
        <f t="shared" si="0"/>
        <v>insert into ins_premium_det (premium_rcv_code,assorted_code, rec_amount,premium_rcv_detail_code,remaining_amt, payrec, mode_code,coinsurance_code,class_cd,it_remarks) values</v>
      </c>
      <c r="G41" s="21" t="str">
        <f t="shared" si="2"/>
        <v>('17Dec240043','050000444889','15170',(select max(to_number(i.premium_rcv_detail_code))+1
from ins_premium_det i),'15170','15170','02', '11000003','00','Request by Mr. Omair Ali 17-Dec-2024');</v>
      </c>
      <c r="H41" s="22" t="str">
        <f t="shared" si="3"/>
        <v>insert into ins_premium_det (premium_rcv_code,assorted_code, rec_amount,premium_rcv_detail_code,remaining_amt, payrec, mode_code,coinsurance_code,class_cd,it_remarks) values('17Dec240043','050000444889','15170',(select max(to_number(i.premium_rcv_detail_code))+1
from ins_premium_det i),'15170','15170','02', '11000003','00','Request by Mr. Omair Ali 17-Dec-2024');</v>
      </c>
    </row>
    <row r="42" spans="1:8" ht="105" x14ac:dyDescent="0.25">
      <c r="A42" t="s">
        <v>51</v>
      </c>
      <c r="B42" s="24" t="str">
        <f>VLOOKUP(A42,policy!B:C,2,0)</f>
        <v>050000447082</v>
      </c>
      <c r="C42" s="13">
        <v>34795</v>
      </c>
      <c r="D42" s="19">
        <f t="shared" si="1"/>
        <v>34795</v>
      </c>
      <c r="E42" s="18" t="s">
        <v>425</v>
      </c>
      <c r="F42" s="20" t="str">
        <f t="shared" si="0"/>
        <v>insert into ins_premium_det (premium_rcv_code,assorted_code, rec_amount,premium_rcv_detail_code,remaining_amt, payrec, mode_code,coinsurance_code,class_cd,it_remarks) values</v>
      </c>
      <c r="G42" s="21" t="str">
        <f t="shared" si="2"/>
        <v>('17Dec240043','050000447082','34795',(select max(to_number(i.premium_rcv_detail_code))+1
from ins_premium_det i),'34795','34795','02', '11000003','00','Request by Mr. Omair Ali 17-Dec-2024');</v>
      </c>
      <c r="H42" s="22" t="str">
        <f t="shared" si="3"/>
        <v>insert into ins_premium_det (premium_rcv_code,assorted_code, rec_amount,premium_rcv_detail_code,remaining_amt, payrec, mode_code,coinsurance_code,class_cd,it_remarks) values('17Dec240043','050000447082','34795',(select max(to_number(i.premium_rcv_detail_code))+1
from ins_premium_det i),'34795','34795','02', '11000003','00','Request by Mr. Omair Ali 17-Dec-2024');</v>
      </c>
    </row>
    <row r="43" spans="1:8" ht="105" x14ac:dyDescent="0.25">
      <c r="A43" t="s">
        <v>52</v>
      </c>
      <c r="B43" s="24" t="str">
        <f>VLOOKUP(A43,policy!B:C,2,0)</f>
        <v>050000449403</v>
      </c>
      <c r="C43" s="13">
        <v>18002</v>
      </c>
      <c r="D43" s="19">
        <f t="shared" si="1"/>
        <v>18002</v>
      </c>
      <c r="E43" s="18" t="s">
        <v>425</v>
      </c>
      <c r="F43" s="20" t="str">
        <f t="shared" si="0"/>
        <v>insert into ins_premium_det (premium_rcv_code,assorted_code, rec_amount,premium_rcv_detail_code,remaining_amt, payrec, mode_code,coinsurance_code,class_cd,it_remarks) values</v>
      </c>
      <c r="G43" s="21" t="str">
        <f t="shared" si="2"/>
        <v>('17Dec240043','050000449403','18002',(select max(to_number(i.premium_rcv_detail_code))+1
from ins_premium_det i),'18002','18002','02', '11000003','00','Request by Mr. Omair Ali 17-Dec-2024');</v>
      </c>
      <c r="H43" s="22" t="str">
        <f t="shared" si="3"/>
        <v>insert into ins_premium_det (premium_rcv_code,assorted_code, rec_amount,premium_rcv_detail_code,remaining_amt, payrec, mode_code,coinsurance_code,class_cd,it_remarks) values('17Dec240043','050000449403','18002',(select max(to_number(i.premium_rcv_detail_code))+1
from ins_premium_det i),'18002','18002','02', '11000003','00','Request by Mr. Omair Ali 17-Dec-2024');</v>
      </c>
    </row>
    <row r="44" spans="1:8" ht="105" x14ac:dyDescent="0.25">
      <c r="A44" t="s">
        <v>53</v>
      </c>
      <c r="B44" s="24" t="str">
        <f>VLOOKUP(A44,policy!B:C,2,0)</f>
        <v>050000450021</v>
      </c>
      <c r="C44" s="13">
        <v>-664106</v>
      </c>
      <c r="D44" s="19">
        <f t="shared" si="1"/>
        <v>-664106</v>
      </c>
      <c r="E44" s="18" t="s">
        <v>425</v>
      </c>
      <c r="F44" s="20" t="str">
        <f t="shared" si="0"/>
        <v>insert into ins_premium_det (premium_rcv_code,assorted_code, rec_amount,premium_rcv_detail_code,remaining_amt, payrec, mode_code,coinsurance_code,class_cd,it_remarks) values</v>
      </c>
      <c r="G44" s="21" t="str">
        <f t="shared" si="2"/>
        <v>('17Dec240043','050000450021','-664106',(select max(to_number(i.premium_rcv_detail_code))+1
from ins_premium_det i),'-664106','-664106','02', '11000003','00','Request by Mr. Omair Ali 17-Dec-2024');</v>
      </c>
      <c r="H44" s="22" t="str">
        <f t="shared" si="3"/>
        <v>insert into ins_premium_det (premium_rcv_code,assorted_code, rec_amount,premium_rcv_detail_code,remaining_amt, payrec, mode_code,coinsurance_code,class_cd,it_remarks) values('17Dec240043','050000450021','-664106',(select max(to_number(i.premium_rcv_detail_code))+1
from ins_premium_det i),'-664106','-664106','02', '11000003','00','Request by Mr. Omair Ali 17-Dec-2024');</v>
      </c>
    </row>
    <row r="45" spans="1:8" ht="105" x14ac:dyDescent="0.25">
      <c r="A45" t="s">
        <v>54</v>
      </c>
      <c r="B45" s="24" t="str">
        <f>VLOOKUP(A45,policy!B:C,2,0)</f>
        <v>050000454068</v>
      </c>
      <c r="C45" s="13">
        <v>26030</v>
      </c>
      <c r="D45" s="19">
        <f t="shared" si="1"/>
        <v>26030</v>
      </c>
      <c r="E45" s="18" t="s">
        <v>425</v>
      </c>
      <c r="F45" s="20" t="str">
        <f t="shared" si="0"/>
        <v>insert into ins_premium_det (premium_rcv_code,assorted_code, rec_amount,premium_rcv_detail_code,remaining_amt, payrec, mode_code,coinsurance_code,class_cd,it_remarks) values</v>
      </c>
      <c r="G45" s="21" t="str">
        <f t="shared" si="2"/>
        <v>('17Dec240043','050000454068','26030',(select max(to_number(i.premium_rcv_detail_code))+1
from ins_premium_det i),'26030','26030','02', '11000003','00','Request by Mr. Omair Ali 17-Dec-2024');</v>
      </c>
      <c r="H45" s="22" t="str">
        <f t="shared" si="3"/>
        <v>insert into ins_premium_det (premium_rcv_code,assorted_code, rec_amount,premium_rcv_detail_code,remaining_amt, payrec, mode_code,coinsurance_code,class_cd,it_remarks) values('17Dec240043','050000454068','26030',(select max(to_number(i.premium_rcv_detail_code))+1
from ins_premium_det i),'26030','26030','02', '11000003','00','Request by Mr. Omair Ali 17-Dec-2024');</v>
      </c>
    </row>
    <row r="46" spans="1:8" ht="105" x14ac:dyDescent="0.25">
      <c r="A46" t="s">
        <v>55</v>
      </c>
      <c r="B46" s="24" t="str">
        <f>VLOOKUP(A46,policy!B:C,2,0)</f>
        <v>050000455828</v>
      </c>
      <c r="C46" s="13">
        <v>50749</v>
      </c>
      <c r="D46" s="19">
        <f t="shared" si="1"/>
        <v>50749</v>
      </c>
      <c r="E46" s="18" t="s">
        <v>425</v>
      </c>
      <c r="F46" s="20" t="str">
        <f t="shared" si="0"/>
        <v>insert into ins_premium_det (premium_rcv_code,assorted_code, rec_amount,premium_rcv_detail_code,remaining_amt, payrec, mode_code,coinsurance_code,class_cd,it_remarks) values</v>
      </c>
      <c r="G46" s="21" t="str">
        <f t="shared" si="2"/>
        <v>('17Dec240043','050000455828','50749',(select max(to_number(i.premium_rcv_detail_code))+1
from ins_premium_det i),'50749','50749','02', '11000003','00','Request by Mr. Omair Ali 17-Dec-2024');</v>
      </c>
      <c r="H46" s="22" t="str">
        <f t="shared" si="3"/>
        <v>insert into ins_premium_det (premium_rcv_code,assorted_code, rec_amount,premium_rcv_detail_code,remaining_amt, payrec, mode_code,coinsurance_code,class_cd,it_remarks) values('17Dec240043','050000455828','50749',(select max(to_number(i.premium_rcv_detail_code))+1
from ins_premium_det i),'50749','50749','02', '11000003','00','Request by Mr. Omair Ali 17-Dec-2024');</v>
      </c>
    </row>
    <row r="47" spans="1:8" ht="105" x14ac:dyDescent="0.25">
      <c r="A47" t="s">
        <v>56</v>
      </c>
      <c r="B47" s="24" t="str">
        <f>VLOOKUP(A47,policy!B:C,2,0)</f>
        <v>050000456701</v>
      </c>
      <c r="C47" s="13">
        <v>-31879</v>
      </c>
      <c r="D47" s="19">
        <f t="shared" si="1"/>
        <v>-31879</v>
      </c>
      <c r="E47" s="18" t="s">
        <v>425</v>
      </c>
      <c r="F47" s="20" t="str">
        <f t="shared" si="0"/>
        <v>insert into ins_premium_det (premium_rcv_code,assorted_code, rec_amount,premium_rcv_detail_code,remaining_amt, payrec, mode_code,coinsurance_code,class_cd,it_remarks) values</v>
      </c>
      <c r="G47" s="21" t="str">
        <f t="shared" si="2"/>
        <v>('17Dec240043','050000456701','-31879',(select max(to_number(i.premium_rcv_detail_code))+1
from ins_premium_det i),'-31879','-31879','02', '11000003','00','Request by Mr. Omair Ali 17-Dec-2024');</v>
      </c>
      <c r="H47" s="22" t="str">
        <f t="shared" si="3"/>
        <v>insert into ins_premium_det (premium_rcv_code,assorted_code, rec_amount,premium_rcv_detail_code,remaining_amt, payrec, mode_code,coinsurance_code,class_cd,it_remarks) values('17Dec240043','050000456701','-31879',(select max(to_number(i.premium_rcv_detail_code))+1
from ins_premium_det i),'-31879','-31879','02', '11000003','00','Request by Mr. Omair Ali 17-Dec-2024');</v>
      </c>
    </row>
    <row r="48" spans="1:8" ht="105" x14ac:dyDescent="0.25">
      <c r="A48" t="s">
        <v>57</v>
      </c>
      <c r="B48" s="24" t="str">
        <f>VLOOKUP(A48,policy!B:C,2,0)</f>
        <v>050000458245</v>
      </c>
      <c r="C48" s="13">
        <v>17417</v>
      </c>
      <c r="D48" s="19">
        <f t="shared" si="1"/>
        <v>17417</v>
      </c>
      <c r="E48" s="18" t="s">
        <v>425</v>
      </c>
      <c r="F48" s="20" t="str">
        <f t="shared" si="0"/>
        <v>insert into ins_premium_det (premium_rcv_code,assorted_code, rec_amount,premium_rcv_detail_code,remaining_amt, payrec, mode_code,coinsurance_code,class_cd,it_remarks) values</v>
      </c>
      <c r="G48" s="21" t="str">
        <f t="shared" si="2"/>
        <v>('17Dec240043','050000458245','17417',(select max(to_number(i.premium_rcv_detail_code))+1
from ins_premium_det i),'17417','17417','02', '11000003','00','Request by Mr. Omair Ali 17-Dec-2024');</v>
      </c>
      <c r="H48" s="22" t="str">
        <f t="shared" si="3"/>
        <v>insert into ins_premium_det (premium_rcv_code,assorted_code, rec_amount,premium_rcv_detail_code,remaining_amt, payrec, mode_code,coinsurance_code,class_cd,it_remarks) values('17Dec240043','050000458245','17417',(select max(to_number(i.premium_rcv_detail_code))+1
from ins_premium_det i),'17417','17417','02', '11000003','00','Request by Mr. Omair Ali 17-Dec-2024');</v>
      </c>
    </row>
    <row r="49" spans="1:8" ht="105" x14ac:dyDescent="0.25">
      <c r="A49" t="s">
        <v>58</v>
      </c>
      <c r="B49" s="24" t="str">
        <f>VLOOKUP(A49,policy!B:C,2,0)</f>
        <v>050000459703</v>
      </c>
      <c r="C49" s="13">
        <v>1571</v>
      </c>
      <c r="D49" s="19">
        <f t="shared" si="1"/>
        <v>1571</v>
      </c>
      <c r="E49" s="18" t="s">
        <v>425</v>
      </c>
      <c r="F49" s="20" t="str">
        <f t="shared" si="0"/>
        <v>insert into ins_premium_det (premium_rcv_code,assorted_code, rec_amount,premium_rcv_detail_code,remaining_amt, payrec, mode_code,coinsurance_code,class_cd,it_remarks) values</v>
      </c>
      <c r="G49" s="21" t="str">
        <f t="shared" si="2"/>
        <v>('17Dec240043','050000459703','1571',(select max(to_number(i.premium_rcv_detail_code))+1
from ins_premium_det i),'1571','1571','02', '11000003','00','Request by Mr. Omair Ali 17-Dec-2024');</v>
      </c>
      <c r="H49" s="22" t="str">
        <f t="shared" si="3"/>
        <v>insert into ins_premium_det (premium_rcv_code,assorted_code, rec_amount,premium_rcv_detail_code,remaining_amt, payrec, mode_code,coinsurance_code,class_cd,it_remarks) values('17Dec240043','050000459703','1571',(select max(to_number(i.premium_rcv_detail_code))+1
from ins_premium_det i),'1571','1571','02', '11000003','00','Request by Mr. Omair Ali 17-Dec-2024');</v>
      </c>
    </row>
    <row r="50" spans="1:8" ht="105" x14ac:dyDescent="0.25">
      <c r="A50" t="s">
        <v>59</v>
      </c>
      <c r="B50" s="24" t="str">
        <f>VLOOKUP(A50,policy!B:C,2,0)</f>
        <v>050000460361</v>
      </c>
      <c r="C50" s="13">
        <v>2039</v>
      </c>
      <c r="D50" s="19">
        <f t="shared" si="1"/>
        <v>2039</v>
      </c>
      <c r="E50" s="18" t="s">
        <v>425</v>
      </c>
      <c r="F50" s="20" t="str">
        <f t="shared" si="0"/>
        <v>insert into ins_premium_det (premium_rcv_code,assorted_code, rec_amount,premium_rcv_detail_code,remaining_amt, payrec, mode_code,coinsurance_code,class_cd,it_remarks) values</v>
      </c>
      <c r="G50" s="21" t="str">
        <f t="shared" si="2"/>
        <v>('17Dec240043','050000460361','2039',(select max(to_number(i.premium_rcv_detail_code))+1
from ins_premium_det i),'2039','2039','02', '11000003','00','Request by Mr. Omair Ali 17-Dec-2024');</v>
      </c>
      <c r="H50" s="22" t="str">
        <f t="shared" si="3"/>
        <v>insert into ins_premium_det (premium_rcv_code,assorted_code, rec_amount,premium_rcv_detail_code,remaining_amt, payrec, mode_code,coinsurance_code,class_cd,it_remarks) values('17Dec240043','050000460361','2039',(select max(to_number(i.premium_rcv_detail_code))+1
from ins_premium_det i),'2039','2039','02', '11000003','00','Request by Mr. Omair Ali 17-Dec-2024');</v>
      </c>
    </row>
    <row r="51" spans="1:8" ht="105" x14ac:dyDescent="0.25">
      <c r="A51" t="s">
        <v>60</v>
      </c>
      <c r="B51" s="24" t="str">
        <f>VLOOKUP(A51,policy!B:C,2,0)</f>
        <v>050000461405</v>
      </c>
      <c r="C51" s="13">
        <v>10095</v>
      </c>
      <c r="D51" s="19">
        <f t="shared" si="1"/>
        <v>10095</v>
      </c>
      <c r="E51" s="18" t="s">
        <v>425</v>
      </c>
      <c r="F51" s="20" t="str">
        <f t="shared" si="0"/>
        <v>insert into ins_premium_det (premium_rcv_code,assorted_code, rec_amount,premium_rcv_detail_code,remaining_amt, payrec, mode_code,coinsurance_code,class_cd,it_remarks) values</v>
      </c>
      <c r="G51" s="21" t="str">
        <f t="shared" si="2"/>
        <v>('17Dec240043','050000461405','10095',(select max(to_number(i.premium_rcv_detail_code))+1
from ins_premium_det i),'10095','10095','02', '11000003','00','Request by Mr. Omair Ali 17-Dec-2024');</v>
      </c>
      <c r="H51" s="22" t="str">
        <f t="shared" si="3"/>
        <v>insert into ins_premium_det (premium_rcv_code,assorted_code, rec_amount,premium_rcv_detail_code,remaining_amt, payrec, mode_code,coinsurance_code,class_cd,it_remarks) values('17Dec240043','050000461405','10095',(select max(to_number(i.premium_rcv_detail_code))+1
from ins_premium_det i),'10095','10095','02', '11000003','00','Request by Mr. Omair Ali 17-Dec-2024');</v>
      </c>
    </row>
    <row r="52" spans="1:8" ht="105" x14ac:dyDescent="0.25">
      <c r="A52" t="s">
        <v>61</v>
      </c>
      <c r="B52" s="24" t="str">
        <f>VLOOKUP(A52,policy!B:C,2,0)</f>
        <v>050000465607</v>
      </c>
      <c r="C52" s="13">
        <v>16699</v>
      </c>
      <c r="D52" s="19">
        <f t="shared" si="1"/>
        <v>16699</v>
      </c>
      <c r="E52" s="18" t="s">
        <v>425</v>
      </c>
      <c r="F52" s="20" t="str">
        <f t="shared" si="0"/>
        <v>insert into ins_premium_det (premium_rcv_code,assorted_code, rec_amount,premium_rcv_detail_code,remaining_amt, payrec, mode_code,coinsurance_code,class_cd,it_remarks) values</v>
      </c>
      <c r="G52" s="21" t="str">
        <f t="shared" si="2"/>
        <v>('17Dec240043','050000465607','16699',(select max(to_number(i.premium_rcv_detail_code))+1
from ins_premium_det i),'16699','16699','02', '11000003','00','Request by Mr. Omair Ali 17-Dec-2024');</v>
      </c>
      <c r="H52" s="22" t="str">
        <f t="shared" si="3"/>
        <v>insert into ins_premium_det (premium_rcv_code,assorted_code, rec_amount,premium_rcv_detail_code,remaining_amt, payrec, mode_code,coinsurance_code,class_cd,it_remarks) values('17Dec240043','050000465607','16699',(select max(to_number(i.premium_rcv_detail_code))+1
from ins_premium_det i),'16699','16699','02', '11000003','00','Request by Mr. Omair Ali 17-Dec-2024');</v>
      </c>
    </row>
    <row r="53" spans="1:8" ht="105" x14ac:dyDescent="0.25">
      <c r="A53" t="s">
        <v>62</v>
      </c>
      <c r="B53" s="24" t="str">
        <f>VLOOKUP(A53,policy!B:C,2,0)</f>
        <v>050000467032</v>
      </c>
      <c r="C53" s="13">
        <v>4820</v>
      </c>
      <c r="D53" s="19">
        <f t="shared" si="1"/>
        <v>4820</v>
      </c>
      <c r="E53" s="18" t="s">
        <v>425</v>
      </c>
      <c r="F53" s="20" t="str">
        <f t="shared" si="0"/>
        <v>insert into ins_premium_det (premium_rcv_code,assorted_code, rec_amount,premium_rcv_detail_code,remaining_amt, payrec, mode_code,coinsurance_code,class_cd,it_remarks) values</v>
      </c>
      <c r="G53" s="21" t="str">
        <f t="shared" si="2"/>
        <v>('17Dec240043','050000467032','4820',(select max(to_number(i.premium_rcv_detail_code))+1
from ins_premium_det i),'4820','4820','02', '11000003','00','Request by Mr. Omair Ali 17-Dec-2024');</v>
      </c>
      <c r="H53" s="22" t="str">
        <f t="shared" si="3"/>
        <v>insert into ins_premium_det (premium_rcv_code,assorted_code, rec_amount,premium_rcv_detail_code,remaining_amt, payrec, mode_code,coinsurance_code,class_cd,it_remarks) values('17Dec240043','050000467032','4820',(select max(to_number(i.premium_rcv_detail_code))+1
from ins_premium_det i),'4820','4820','02', '11000003','00','Request by Mr. Omair Ali 17-Dec-2024');</v>
      </c>
    </row>
    <row r="54" spans="1:8" ht="105" x14ac:dyDescent="0.25">
      <c r="A54" t="s">
        <v>63</v>
      </c>
      <c r="B54" s="24" t="str">
        <f>VLOOKUP(A54,policy!B:C,2,0)</f>
        <v>050000470259</v>
      </c>
      <c r="C54" s="13">
        <v>29487</v>
      </c>
      <c r="D54" s="19">
        <f t="shared" si="1"/>
        <v>29487</v>
      </c>
      <c r="E54" s="18" t="s">
        <v>425</v>
      </c>
      <c r="F54" s="20" t="str">
        <f t="shared" si="0"/>
        <v>insert into ins_premium_det (premium_rcv_code,assorted_code, rec_amount,premium_rcv_detail_code,remaining_amt, payrec, mode_code,coinsurance_code,class_cd,it_remarks) values</v>
      </c>
      <c r="G54" s="21" t="str">
        <f t="shared" si="2"/>
        <v>('17Dec240043','050000470259','29487',(select max(to_number(i.premium_rcv_detail_code))+1
from ins_premium_det i),'29487','29487','02', '11000003','00','Request by Mr. Omair Ali 17-Dec-2024');</v>
      </c>
      <c r="H54" s="22" t="str">
        <f t="shared" si="3"/>
        <v>insert into ins_premium_det (premium_rcv_code,assorted_code, rec_amount,premium_rcv_detail_code,remaining_amt, payrec, mode_code,coinsurance_code,class_cd,it_remarks) values('17Dec240043','050000470259','29487',(select max(to_number(i.premium_rcv_detail_code))+1
from ins_premium_det i),'29487','29487','02', '11000003','00','Request by Mr. Omair Ali 17-Dec-2024');</v>
      </c>
    </row>
    <row r="55" spans="1:8" ht="105" x14ac:dyDescent="0.25">
      <c r="A55" t="s">
        <v>64</v>
      </c>
      <c r="B55" s="24" t="str">
        <f>VLOOKUP(A55,policy!B:C,2,0)</f>
        <v>050000472896</v>
      </c>
      <c r="C55" s="13">
        <v>1081</v>
      </c>
      <c r="D55" s="19">
        <f t="shared" si="1"/>
        <v>1081</v>
      </c>
      <c r="E55" s="18" t="s">
        <v>425</v>
      </c>
      <c r="F55" s="20" t="str">
        <f t="shared" si="0"/>
        <v>insert into ins_premium_det (premium_rcv_code,assorted_code, rec_amount,premium_rcv_detail_code,remaining_amt, payrec, mode_code,coinsurance_code,class_cd,it_remarks) values</v>
      </c>
      <c r="G55" s="21" t="str">
        <f t="shared" si="2"/>
        <v>('17Dec240043','050000472896','1081',(select max(to_number(i.premium_rcv_detail_code))+1
from ins_premium_det i),'1081','1081','02', '11000003','00','Request by Mr. Omair Ali 17-Dec-2024');</v>
      </c>
      <c r="H55" s="22" t="str">
        <f t="shared" si="3"/>
        <v>insert into ins_premium_det (premium_rcv_code,assorted_code, rec_amount,premium_rcv_detail_code,remaining_amt, payrec, mode_code,coinsurance_code,class_cd,it_remarks) values('17Dec240043','050000472896','1081',(select max(to_number(i.premium_rcv_detail_code))+1
from ins_premium_det i),'1081','1081','02', '11000003','00','Request by Mr. Omair Ali 17-Dec-2024');</v>
      </c>
    </row>
    <row r="56" spans="1:8" ht="105" x14ac:dyDescent="0.25">
      <c r="A56" t="s">
        <v>65</v>
      </c>
      <c r="B56" s="24" t="str">
        <f>VLOOKUP(A56,policy!B:C,2,0)</f>
        <v>050000475547</v>
      </c>
      <c r="C56" s="13">
        <v>1093</v>
      </c>
      <c r="D56" s="19">
        <f t="shared" si="1"/>
        <v>1093</v>
      </c>
      <c r="E56" s="18" t="s">
        <v>425</v>
      </c>
      <c r="F56" s="20" t="str">
        <f t="shared" si="0"/>
        <v>insert into ins_premium_det (premium_rcv_code,assorted_code, rec_amount,premium_rcv_detail_code,remaining_amt, payrec, mode_code,coinsurance_code,class_cd,it_remarks) values</v>
      </c>
      <c r="G56" s="21" t="str">
        <f t="shared" si="2"/>
        <v>('17Dec240043','050000475547','1093',(select max(to_number(i.premium_rcv_detail_code))+1
from ins_premium_det i),'1093','1093','02', '11000003','00','Request by Mr. Omair Ali 17-Dec-2024');</v>
      </c>
      <c r="H56" s="22" t="str">
        <f t="shared" si="3"/>
        <v>insert into ins_premium_det (premium_rcv_code,assorted_code, rec_amount,premium_rcv_detail_code,remaining_amt, payrec, mode_code,coinsurance_code,class_cd,it_remarks) values('17Dec240043','050000475547','1093',(select max(to_number(i.premium_rcv_detail_code))+1
from ins_premium_det i),'1093','1093','02', '11000003','00','Request by Mr. Omair Ali 17-Dec-2024');</v>
      </c>
    </row>
    <row r="57" spans="1:8" ht="105" x14ac:dyDescent="0.25">
      <c r="A57" t="s">
        <v>66</v>
      </c>
      <c r="B57" s="24" t="str">
        <f>VLOOKUP(A57,policy!B:C,2,0)</f>
        <v>050000476241</v>
      </c>
      <c r="C57" s="13">
        <v>13611</v>
      </c>
      <c r="D57" s="19">
        <f t="shared" si="1"/>
        <v>13611</v>
      </c>
      <c r="E57" s="18" t="s">
        <v>425</v>
      </c>
      <c r="F57" s="20" t="str">
        <f t="shared" si="0"/>
        <v>insert into ins_premium_det (premium_rcv_code,assorted_code, rec_amount,premium_rcv_detail_code,remaining_amt, payrec, mode_code,coinsurance_code,class_cd,it_remarks) values</v>
      </c>
      <c r="G57" s="21" t="str">
        <f t="shared" si="2"/>
        <v>('17Dec240043','050000476241','13611',(select max(to_number(i.premium_rcv_detail_code))+1
from ins_premium_det i),'13611','13611','02', '11000003','00','Request by Mr. Omair Ali 17-Dec-2024');</v>
      </c>
      <c r="H57" s="22" t="str">
        <f t="shared" si="3"/>
        <v>insert into ins_premium_det (premium_rcv_code,assorted_code, rec_amount,premium_rcv_detail_code,remaining_amt, payrec, mode_code,coinsurance_code,class_cd,it_remarks) values('17Dec240043','050000476241','13611',(select max(to_number(i.premium_rcv_detail_code))+1
from ins_premium_det i),'13611','13611','02', '11000003','00','Request by Mr. Omair Ali 17-Dec-2024');</v>
      </c>
    </row>
    <row r="58" spans="1:8" ht="105" x14ac:dyDescent="0.25">
      <c r="A58" t="s">
        <v>67</v>
      </c>
      <c r="B58" s="24" t="str">
        <f>VLOOKUP(A58,policy!B:C,2,0)</f>
        <v>050000477302</v>
      </c>
      <c r="C58" s="13">
        <v>-8885</v>
      </c>
      <c r="D58" s="19">
        <f t="shared" si="1"/>
        <v>-8885</v>
      </c>
      <c r="E58" s="18" t="s">
        <v>425</v>
      </c>
      <c r="F58" s="20" t="str">
        <f t="shared" si="0"/>
        <v>insert into ins_premium_det (premium_rcv_code,assorted_code, rec_amount,premium_rcv_detail_code,remaining_amt, payrec, mode_code,coinsurance_code,class_cd,it_remarks) values</v>
      </c>
      <c r="G58" s="21" t="str">
        <f t="shared" si="2"/>
        <v>('17Dec240043','050000477302','-8885',(select max(to_number(i.premium_rcv_detail_code))+1
from ins_premium_det i),'-8885','-8885','02', '11000003','00','Request by Mr. Omair Ali 17-Dec-2024');</v>
      </c>
      <c r="H58" s="22" t="str">
        <f t="shared" si="3"/>
        <v>insert into ins_premium_det (premium_rcv_code,assorted_code, rec_amount,premium_rcv_detail_code,remaining_amt, payrec, mode_code,coinsurance_code,class_cd,it_remarks) values('17Dec240043','050000477302','-8885',(select max(to_number(i.premium_rcv_detail_code))+1
from ins_premium_det i),'-8885','-8885','02', '11000003','00','Request by Mr. Omair Ali 17-Dec-2024');</v>
      </c>
    </row>
    <row r="59" spans="1:8" ht="105" x14ac:dyDescent="0.25">
      <c r="A59" t="s">
        <v>68</v>
      </c>
      <c r="B59" s="24" t="str">
        <f>VLOOKUP(A59,policy!B:C,2,0)</f>
        <v>050000477767</v>
      </c>
      <c r="C59" s="13">
        <v>22114</v>
      </c>
      <c r="D59" s="19">
        <f t="shared" si="1"/>
        <v>22114</v>
      </c>
      <c r="E59" s="18" t="s">
        <v>425</v>
      </c>
      <c r="F59" s="20" t="str">
        <f t="shared" si="0"/>
        <v>insert into ins_premium_det (premium_rcv_code,assorted_code, rec_amount,premium_rcv_detail_code,remaining_amt, payrec, mode_code,coinsurance_code,class_cd,it_remarks) values</v>
      </c>
      <c r="G59" s="21" t="str">
        <f t="shared" si="2"/>
        <v>('17Dec240043','050000477767','22114',(select max(to_number(i.premium_rcv_detail_code))+1
from ins_premium_det i),'22114','22114','02', '11000003','00','Request by Mr. Omair Ali 17-Dec-2024');</v>
      </c>
      <c r="H59" s="22" t="str">
        <f t="shared" si="3"/>
        <v>insert into ins_premium_det (premium_rcv_code,assorted_code, rec_amount,premium_rcv_detail_code,remaining_amt, payrec, mode_code,coinsurance_code,class_cd,it_remarks) values('17Dec240043','050000477767','22114',(select max(to_number(i.premium_rcv_detail_code))+1
from ins_premium_det i),'22114','22114','02', '11000003','00','Request by Mr. Omair Ali 17-Dec-2024');</v>
      </c>
    </row>
    <row r="60" spans="1:8" ht="105" x14ac:dyDescent="0.25">
      <c r="A60" t="s">
        <v>69</v>
      </c>
      <c r="B60" s="24" t="str">
        <f>VLOOKUP(A60,policy!B:C,2,0)</f>
        <v>050000486358</v>
      </c>
      <c r="C60" s="13">
        <v>-6724</v>
      </c>
      <c r="D60" s="19">
        <f t="shared" si="1"/>
        <v>-6724</v>
      </c>
      <c r="E60" s="18" t="s">
        <v>425</v>
      </c>
      <c r="F60" s="20" t="str">
        <f t="shared" si="0"/>
        <v>insert into ins_premium_det (premium_rcv_code,assorted_code, rec_amount,premium_rcv_detail_code,remaining_amt, payrec, mode_code,coinsurance_code,class_cd,it_remarks) values</v>
      </c>
      <c r="G60" s="21" t="str">
        <f t="shared" si="2"/>
        <v>('17Dec240043','050000486358','-6724',(select max(to_number(i.premium_rcv_detail_code))+1
from ins_premium_det i),'-6724','-6724','02', '11000003','00','Request by Mr. Omair Ali 17-Dec-2024');</v>
      </c>
      <c r="H60" s="22" t="str">
        <f t="shared" si="3"/>
        <v>insert into ins_premium_det (premium_rcv_code,assorted_code, rec_amount,premium_rcv_detail_code,remaining_amt, payrec, mode_code,coinsurance_code,class_cd,it_remarks) values('17Dec240043','050000486358','-6724',(select max(to_number(i.premium_rcv_detail_code))+1
from ins_premium_det i),'-6724','-6724','02', '11000003','00','Request by Mr. Omair Ali 17-Dec-2024');</v>
      </c>
    </row>
    <row r="61" spans="1:8" ht="105" x14ac:dyDescent="0.25">
      <c r="A61" t="s">
        <v>70</v>
      </c>
      <c r="B61" s="24" t="str">
        <f>VLOOKUP(A61,policy!B:C,2,0)</f>
        <v>050000660227</v>
      </c>
      <c r="C61" s="13">
        <v>-138800</v>
      </c>
      <c r="D61" s="19">
        <f t="shared" si="1"/>
        <v>-138800</v>
      </c>
      <c r="E61" s="18" t="s">
        <v>425</v>
      </c>
      <c r="F61" s="20" t="str">
        <f t="shared" si="0"/>
        <v>insert into ins_premium_det (premium_rcv_code,assorted_code, rec_amount,premium_rcv_detail_code,remaining_amt, payrec, mode_code,coinsurance_code,class_cd,it_remarks) values</v>
      </c>
      <c r="G61" s="21" t="str">
        <f t="shared" si="2"/>
        <v>('17Dec240043','050000660227','-138800',(select max(to_number(i.premium_rcv_detail_code))+1
from ins_premium_det i),'-138800','-138800','02', '11000003','00','Request by Mr. Omair Ali 17-Dec-2024');</v>
      </c>
      <c r="H61" s="22" t="str">
        <f t="shared" si="3"/>
        <v>insert into ins_premium_det (premium_rcv_code,assorted_code, rec_amount,premium_rcv_detail_code,remaining_amt, payrec, mode_code,coinsurance_code,class_cd,it_remarks) values('17Dec240043','050000660227','-138800',(select max(to_number(i.premium_rcv_detail_code))+1
from ins_premium_det i),'-138800','-138800','02', '11000003','00','Request by Mr. Omair Ali 17-Dec-2024');</v>
      </c>
    </row>
    <row r="62" spans="1:8" ht="105" x14ac:dyDescent="0.25">
      <c r="A62" t="s">
        <v>72</v>
      </c>
      <c r="B62" s="24" t="str">
        <f>VLOOKUP(A62,policy!B:C,2,0)</f>
        <v>050000486755</v>
      </c>
      <c r="C62" s="13">
        <v>303149</v>
      </c>
      <c r="D62" s="19">
        <f t="shared" si="1"/>
        <v>303149</v>
      </c>
      <c r="E62" s="18" t="s">
        <v>425</v>
      </c>
      <c r="F62" s="20" t="str">
        <f t="shared" si="0"/>
        <v>insert into ins_premium_det (premium_rcv_code,assorted_code, rec_amount,premium_rcv_detail_code,remaining_amt, payrec, mode_code,coinsurance_code,class_cd,it_remarks) values</v>
      </c>
      <c r="G62" s="21" t="str">
        <f t="shared" si="2"/>
        <v>('17Dec240043','050000486755','303149',(select max(to_number(i.premium_rcv_detail_code))+1
from ins_premium_det i),'303149','303149','02', '11000003','00','Request by Mr. Omair Ali 17-Dec-2024');</v>
      </c>
      <c r="H62" s="22" t="str">
        <f t="shared" si="3"/>
        <v>insert into ins_premium_det (premium_rcv_code,assorted_code, rec_amount,premium_rcv_detail_code,remaining_amt, payrec, mode_code,coinsurance_code,class_cd,it_remarks) values('17Dec240043','050000486755','303149',(select max(to_number(i.premium_rcv_detail_code))+1
from ins_premium_det i),'303149','303149','02', '11000003','00','Request by Mr. Omair Ali 17-Dec-2024');</v>
      </c>
    </row>
    <row r="63" spans="1:8" ht="105" x14ac:dyDescent="0.25">
      <c r="A63" t="s">
        <v>73</v>
      </c>
      <c r="B63" s="24" t="str">
        <f>VLOOKUP(A63,policy!B:C,2,0)</f>
        <v>050000487507</v>
      </c>
      <c r="C63" s="13">
        <v>15276</v>
      </c>
      <c r="D63" s="19">
        <f t="shared" si="1"/>
        <v>15276</v>
      </c>
      <c r="E63" s="18" t="s">
        <v>425</v>
      </c>
      <c r="F63" s="20" t="str">
        <f t="shared" si="0"/>
        <v>insert into ins_premium_det (premium_rcv_code,assorted_code, rec_amount,premium_rcv_detail_code,remaining_amt, payrec, mode_code,coinsurance_code,class_cd,it_remarks) values</v>
      </c>
      <c r="G63" s="21" t="str">
        <f t="shared" si="2"/>
        <v>('17Dec240043','050000487507','15276',(select max(to_number(i.premium_rcv_detail_code))+1
from ins_premium_det i),'15276','15276','02', '11000003','00','Request by Mr. Omair Ali 17-Dec-2024');</v>
      </c>
      <c r="H63" s="22" t="str">
        <f t="shared" si="3"/>
        <v>insert into ins_premium_det (premium_rcv_code,assorted_code, rec_amount,premium_rcv_detail_code,remaining_amt, payrec, mode_code,coinsurance_code,class_cd,it_remarks) values('17Dec240043','050000487507','15276',(select max(to_number(i.premium_rcv_detail_code))+1
from ins_premium_det i),'15276','15276','02', '11000003','00','Request by Mr. Omair Ali 17-Dec-2024');</v>
      </c>
    </row>
    <row r="64" spans="1:8" ht="105" x14ac:dyDescent="0.25">
      <c r="A64" t="s">
        <v>74</v>
      </c>
      <c r="B64" s="24" t="str">
        <f>VLOOKUP(A64,policy!B:C,2,0)</f>
        <v>050000488343</v>
      </c>
      <c r="C64" s="13">
        <v>14095</v>
      </c>
      <c r="D64" s="19">
        <f t="shared" si="1"/>
        <v>14095</v>
      </c>
      <c r="E64" s="18" t="s">
        <v>425</v>
      </c>
      <c r="F64" s="20" t="str">
        <f t="shared" si="0"/>
        <v>insert into ins_premium_det (premium_rcv_code,assorted_code, rec_amount,premium_rcv_detail_code,remaining_amt, payrec, mode_code,coinsurance_code,class_cd,it_remarks) values</v>
      </c>
      <c r="G64" s="21" t="str">
        <f t="shared" si="2"/>
        <v>('17Dec240043','050000488343','14095',(select max(to_number(i.premium_rcv_detail_code))+1
from ins_premium_det i),'14095','14095','02', '11000003','00','Request by Mr. Omair Ali 17-Dec-2024');</v>
      </c>
      <c r="H64" s="22" t="str">
        <f t="shared" si="3"/>
        <v>insert into ins_premium_det (premium_rcv_code,assorted_code, rec_amount,premium_rcv_detail_code,remaining_amt, payrec, mode_code,coinsurance_code,class_cd,it_remarks) values('17Dec240043','050000488343','14095',(select max(to_number(i.premium_rcv_detail_code))+1
from ins_premium_det i),'14095','14095','02', '11000003','00','Request by Mr. Omair Ali 17-Dec-2024');</v>
      </c>
    </row>
    <row r="65" spans="1:8" ht="105" x14ac:dyDescent="0.25">
      <c r="A65" t="s">
        <v>75</v>
      </c>
      <c r="B65" s="24" t="str">
        <f>VLOOKUP(A65,policy!B:C,2,0)</f>
        <v>050000493187</v>
      </c>
      <c r="C65" s="13">
        <v>99873</v>
      </c>
      <c r="D65" s="19">
        <f t="shared" si="1"/>
        <v>99873</v>
      </c>
      <c r="E65" s="18" t="s">
        <v>425</v>
      </c>
      <c r="F65" s="20" t="str">
        <f t="shared" si="0"/>
        <v>insert into ins_premium_det (premium_rcv_code,assorted_code, rec_amount,premium_rcv_detail_code,remaining_amt, payrec, mode_code,coinsurance_code,class_cd,it_remarks) values</v>
      </c>
      <c r="G65" s="21" t="str">
        <f t="shared" si="2"/>
        <v>('17Dec240043','050000493187','99873',(select max(to_number(i.premium_rcv_detail_code))+1
from ins_premium_det i),'99873','99873','02', '11000003','00','Request by Mr. Omair Ali 17-Dec-2024');</v>
      </c>
      <c r="H65" s="22" t="str">
        <f t="shared" si="3"/>
        <v>insert into ins_premium_det (premium_rcv_code,assorted_code, rec_amount,premium_rcv_detail_code,remaining_amt, payrec, mode_code,coinsurance_code,class_cd,it_remarks) values('17Dec240043','050000493187','99873',(select max(to_number(i.premium_rcv_detail_code))+1
from ins_premium_det i),'99873','99873','02', '11000003','00','Request by Mr. Omair Ali 17-Dec-2024');</v>
      </c>
    </row>
    <row r="66" spans="1:8" ht="105" x14ac:dyDescent="0.25">
      <c r="A66" t="s">
        <v>76</v>
      </c>
      <c r="B66" s="24" t="str">
        <f>VLOOKUP(A66,policy!B:C,2,0)</f>
        <v>050000494206</v>
      </c>
      <c r="C66" s="13">
        <v>-31396</v>
      </c>
      <c r="D66" s="19">
        <f t="shared" si="1"/>
        <v>-31396</v>
      </c>
      <c r="E66" s="18" t="s">
        <v>425</v>
      </c>
      <c r="F66" s="20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1" t="str">
        <f t="shared" si="2"/>
        <v>('17Dec240043','050000494206','-31396',(select max(to_number(i.premium_rcv_detail_code))+1
from ins_premium_det i),'-31396','-31396','02', '11000003','00','Request by Mr. Omair Ali 17-Dec-2024');</v>
      </c>
      <c r="H66" s="22" t="str">
        <f t="shared" si="3"/>
        <v>insert into ins_premium_det (premium_rcv_code,assorted_code, rec_amount,premium_rcv_detail_code,remaining_amt, payrec, mode_code,coinsurance_code,class_cd,it_remarks) values('17Dec240043','050000494206','-31396',(select max(to_number(i.premium_rcv_detail_code))+1
from ins_premium_det i),'-31396','-31396','02', '11000003','00','Request by Mr. Omair Ali 17-Dec-2024');</v>
      </c>
    </row>
    <row r="67" spans="1:8" ht="105" x14ac:dyDescent="0.25">
      <c r="A67" t="s">
        <v>77</v>
      </c>
      <c r="B67" s="24" t="str">
        <f>VLOOKUP(A67,policy!B:C,2,0)</f>
        <v>050000495191</v>
      </c>
      <c r="C67" s="13">
        <v>15404</v>
      </c>
      <c r="D67" s="19">
        <f t="shared" ref="D67:D130" si="5">ROUND(C67,0)</f>
        <v>15404</v>
      </c>
      <c r="E67" s="18" t="s">
        <v>425</v>
      </c>
      <c r="F67" s="20" t="str">
        <f t="shared" si="4"/>
        <v>insert into ins_premium_det (premium_rcv_code,assorted_code, rec_amount,premium_rcv_detail_code,remaining_amt, payrec, mode_code,coinsurance_code,class_cd,it_remarks) values</v>
      </c>
      <c r="G67" s="21" t="str">
        <f t="shared" ref="G67:G130" si="6">"('"&amp;E67&amp;"','"&amp;B67&amp;"','"&amp;D67&amp;"',(select max(to_number(i.premium_rcv_detail_code))+1
from ins_premium_det i),'"&amp;D67&amp;"','"&amp;D67&amp;"','02', '11000003','00','Request by Mr. Omair Ali 17-Dec-2024');"</f>
        <v>('17Dec240043','050000495191','15404',(select max(to_number(i.premium_rcv_detail_code))+1
from ins_premium_det i),'15404','15404','02', '11000003','00','Request by Mr. Omair Ali 17-Dec-2024');</v>
      </c>
      <c r="H67" s="22" t="str">
        <f t="shared" ref="H67:H130" si="7">F67&amp;G67</f>
        <v>insert into ins_premium_det (premium_rcv_code,assorted_code, rec_amount,premium_rcv_detail_code,remaining_amt, payrec, mode_code,coinsurance_code,class_cd,it_remarks) values('17Dec240043','050000495191','15404',(select max(to_number(i.premium_rcv_detail_code))+1
from ins_premium_det i),'15404','15404','02', '11000003','00','Request by Mr. Omair Ali 17-Dec-2024');</v>
      </c>
    </row>
    <row r="68" spans="1:8" ht="105" x14ac:dyDescent="0.25">
      <c r="A68" t="s">
        <v>78</v>
      </c>
      <c r="B68" s="24" t="str">
        <f>VLOOKUP(A68,policy!B:C,2,0)</f>
        <v>050000498668</v>
      </c>
      <c r="C68" s="13">
        <v>13209</v>
      </c>
      <c r="D68" s="19">
        <f t="shared" si="5"/>
        <v>13209</v>
      </c>
      <c r="E68" s="18" t="s">
        <v>425</v>
      </c>
      <c r="F68" s="20" t="str">
        <f t="shared" si="4"/>
        <v>insert into ins_premium_det (premium_rcv_code,assorted_code, rec_amount,premium_rcv_detail_code,remaining_amt, payrec, mode_code,coinsurance_code,class_cd,it_remarks) values</v>
      </c>
      <c r="G68" s="21" t="str">
        <f t="shared" si="6"/>
        <v>('17Dec240043','050000498668','13209',(select max(to_number(i.premium_rcv_detail_code))+1
from ins_premium_det i),'13209','13209','02', '11000003','00','Request by Mr. Omair Ali 17-Dec-2024');</v>
      </c>
      <c r="H68" s="22" t="str">
        <f t="shared" si="7"/>
        <v>insert into ins_premium_det (premium_rcv_code,assorted_code, rec_amount,premium_rcv_detail_code,remaining_amt, payrec, mode_code,coinsurance_code,class_cd,it_remarks) values('17Dec240043','050000498668','13209',(select max(to_number(i.premium_rcv_detail_code))+1
from ins_premium_det i),'13209','13209','02', '11000003','00','Request by Mr. Omair Ali 17-Dec-2024');</v>
      </c>
    </row>
    <row r="69" spans="1:8" ht="105" x14ac:dyDescent="0.25">
      <c r="A69" t="s">
        <v>79</v>
      </c>
      <c r="B69" s="24" t="str">
        <f>VLOOKUP(A69,policy!B:C,2,0)</f>
        <v>050000500214</v>
      </c>
      <c r="C69" s="13">
        <v>8395</v>
      </c>
      <c r="D69" s="19">
        <f t="shared" si="5"/>
        <v>8395</v>
      </c>
      <c r="E69" s="18" t="s">
        <v>425</v>
      </c>
      <c r="F69" s="20" t="str">
        <f t="shared" si="4"/>
        <v>insert into ins_premium_det (premium_rcv_code,assorted_code, rec_amount,premium_rcv_detail_code,remaining_amt, payrec, mode_code,coinsurance_code,class_cd,it_remarks) values</v>
      </c>
      <c r="G69" s="21" t="str">
        <f t="shared" si="6"/>
        <v>('17Dec240043','050000500214','8395',(select max(to_number(i.premium_rcv_detail_code))+1
from ins_premium_det i),'8395','8395','02', '11000003','00','Request by Mr. Omair Ali 17-Dec-2024');</v>
      </c>
      <c r="H69" s="22" t="str">
        <f t="shared" si="7"/>
        <v>insert into ins_premium_det (premium_rcv_code,assorted_code, rec_amount,premium_rcv_detail_code,remaining_amt, payrec, mode_code,coinsurance_code,class_cd,it_remarks) values('17Dec240043','050000500214','8395',(select max(to_number(i.premium_rcv_detail_code))+1
from ins_premium_det i),'8395','8395','02', '11000003','00','Request by Mr. Omair Ali 17-Dec-2024');</v>
      </c>
    </row>
    <row r="70" spans="1:8" ht="105" x14ac:dyDescent="0.25">
      <c r="A70" t="s">
        <v>80</v>
      </c>
      <c r="B70" s="24" t="str">
        <f>VLOOKUP(A70,policy!B:C,2,0)</f>
        <v>050000502066</v>
      </c>
      <c r="C70" s="13">
        <v>79288</v>
      </c>
      <c r="D70" s="19">
        <f t="shared" si="5"/>
        <v>79288</v>
      </c>
      <c r="E70" s="18" t="s">
        <v>425</v>
      </c>
      <c r="F70" s="20" t="str">
        <f t="shared" si="4"/>
        <v>insert into ins_premium_det (premium_rcv_code,assorted_code, rec_amount,premium_rcv_detail_code,remaining_amt, payrec, mode_code,coinsurance_code,class_cd,it_remarks) values</v>
      </c>
      <c r="G70" s="21" t="str">
        <f t="shared" si="6"/>
        <v>('17Dec240043','050000502066','79288',(select max(to_number(i.premium_rcv_detail_code))+1
from ins_premium_det i),'79288','79288','02', '11000003','00','Request by Mr. Omair Ali 17-Dec-2024');</v>
      </c>
      <c r="H70" s="22" t="str">
        <f t="shared" si="7"/>
        <v>insert into ins_premium_det (premium_rcv_code,assorted_code, rec_amount,premium_rcv_detail_code,remaining_amt, payrec, mode_code,coinsurance_code,class_cd,it_remarks) values('17Dec240043','050000502066','79288',(select max(to_number(i.premium_rcv_detail_code))+1
from ins_premium_det i),'79288','79288','02', '11000003','00','Request by Mr. Omair Ali 17-Dec-2024');</v>
      </c>
    </row>
    <row r="71" spans="1:8" ht="105" x14ac:dyDescent="0.25">
      <c r="A71" t="s">
        <v>81</v>
      </c>
      <c r="B71" s="24" t="str">
        <f>VLOOKUP(A71,policy!B:C,2,0)</f>
        <v>050000502433</v>
      </c>
      <c r="C71" s="13">
        <v>107811</v>
      </c>
      <c r="D71" s="19">
        <f t="shared" si="5"/>
        <v>107811</v>
      </c>
      <c r="E71" s="18" t="s">
        <v>425</v>
      </c>
      <c r="F71" s="20" t="str">
        <f t="shared" si="4"/>
        <v>insert into ins_premium_det (premium_rcv_code,assorted_code, rec_amount,premium_rcv_detail_code,remaining_amt, payrec, mode_code,coinsurance_code,class_cd,it_remarks) values</v>
      </c>
      <c r="G71" s="21" t="str">
        <f t="shared" si="6"/>
        <v>('17Dec240043','050000502433','107811',(select max(to_number(i.premium_rcv_detail_code))+1
from ins_premium_det i),'107811','107811','02', '11000003','00','Request by Mr. Omair Ali 17-Dec-2024');</v>
      </c>
      <c r="H71" s="22" t="str">
        <f t="shared" si="7"/>
        <v>insert into ins_premium_det (premium_rcv_code,assorted_code, rec_amount,premium_rcv_detail_code,remaining_amt, payrec, mode_code,coinsurance_code,class_cd,it_remarks) values('17Dec240043','050000502433','107811',(select max(to_number(i.premium_rcv_detail_code))+1
from ins_premium_det i),'107811','107811','02', '11000003','00','Request by Mr. Omair Ali 17-Dec-2024');</v>
      </c>
    </row>
    <row r="72" spans="1:8" ht="105" x14ac:dyDescent="0.25">
      <c r="A72" t="s">
        <v>82</v>
      </c>
      <c r="B72" s="24" t="str">
        <f>VLOOKUP(A72,policy!B:C,2,0)</f>
        <v>050000503817</v>
      </c>
      <c r="C72" s="13">
        <v>46199</v>
      </c>
      <c r="D72" s="19">
        <f t="shared" si="5"/>
        <v>46199</v>
      </c>
      <c r="E72" s="18" t="s">
        <v>425</v>
      </c>
      <c r="F72" s="20" t="str">
        <f t="shared" si="4"/>
        <v>insert into ins_premium_det (premium_rcv_code,assorted_code, rec_amount,premium_rcv_detail_code,remaining_amt, payrec, mode_code,coinsurance_code,class_cd,it_remarks) values</v>
      </c>
      <c r="G72" s="21" t="str">
        <f t="shared" si="6"/>
        <v>('17Dec240043','050000503817','46199',(select max(to_number(i.premium_rcv_detail_code))+1
from ins_premium_det i),'46199','46199','02', '11000003','00','Request by Mr. Omair Ali 17-Dec-2024');</v>
      </c>
      <c r="H72" s="22" t="str">
        <f t="shared" si="7"/>
        <v>insert into ins_premium_det (premium_rcv_code,assorted_code, rec_amount,premium_rcv_detail_code,remaining_amt, payrec, mode_code,coinsurance_code,class_cd,it_remarks) values('17Dec240043','050000503817','46199',(select max(to_number(i.premium_rcv_detail_code))+1
from ins_premium_det i),'46199','46199','02', '11000003','00','Request by Mr. Omair Ali 17-Dec-2024');</v>
      </c>
    </row>
    <row r="73" spans="1:8" ht="105" x14ac:dyDescent="0.25">
      <c r="A73" t="s">
        <v>83</v>
      </c>
      <c r="B73" s="24" t="str">
        <f>VLOOKUP(A73,policy!B:C,2,0)</f>
        <v>050000504694</v>
      </c>
      <c r="C73" s="13">
        <v>12196</v>
      </c>
      <c r="D73" s="19">
        <f t="shared" si="5"/>
        <v>12196</v>
      </c>
      <c r="E73" s="18" t="s">
        <v>425</v>
      </c>
      <c r="F73" s="20" t="str">
        <f t="shared" si="4"/>
        <v>insert into ins_premium_det (premium_rcv_code,assorted_code, rec_amount,premium_rcv_detail_code,remaining_amt, payrec, mode_code,coinsurance_code,class_cd,it_remarks) values</v>
      </c>
      <c r="G73" s="21" t="str">
        <f t="shared" si="6"/>
        <v>('17Dec240043','050000504694','12196',(select max(to_number(i.premium_rcv_detail_code))+1
from ins_premium_det i),'12196','12196','02', '11000003','00','Request by Mr. Omair Ali 17-Dec-2024');</v>
      </c>
      <c r="H73" s="22" t="str">
        <f t="shared" si="7"/>
        <v>insert into ins_premium_det (premium_rcv_code,assorted_code, rec_amount,premium_rcv_detail_code,remaining_amt, payrec, mode_code,coinsurance_code,class_cd,it_remarks) values('17Dec240043','050000504694','12196',(select max(to_number(i.premium_rcv_detail_code))+1
from ins_premium_det i),'12196','12196','02', '11000003','00','Request by Mr. Omair Ali 17-Dec-2024');</v>
      </c>
    </row>
    <row r="74" spans="1:8" ht="105" x14ac:dyDescent="0.25">
      <c r="A74" t="s">
        <v>84</v>
      </c>
      <c r="B74" s="24" t="str">
        <f>VLOOKUP(A74,policy!B:C,2,0)</f>
        <v>050000505747</v>
      </c>
      <c r="C74" s="13">
        <v>6394</v>
      </c>
      <c r="D74" s="19">
        <f t="shared" si="5"/>
        <v>6394</v>
      </c>
      <c r="E74" s="18" t="s">
        <v>425</v>
      </c>
      <c r="F74" s="20" t="str">
        <f t="shared" si="4"/>
        <v>insert into ins_premium_det (premium_rcv_code,assorted_code, rec_amount,premium_rcv_detail_code,remaining_amt, payrec, mode_code,coinsurance_code,class_cd,it_remarks) values</v>
      </c>
      <c r="G74" s="21" t="str">
        <f t="shared" si="6"/>
        <v>('17Dec240043','050000505747','6394',(select max(to_number(i.premium_rcv_detail_code))+1
from ins_premium_det i),'6394','6394','02', '11000003','00','Request by Mr. Omair Ali 17-Dec-2024');</v>
      </c>
      <c r="H74" s="22" t="str">
        <f t="shared" si="7"/>
        <v>insert into ins_premium_det (premium_rcv_code,assorted_code, rec_amount,premium_rcv_detail_code,remaining_amt, payrec, mode_code,coinsurance_code,class_cd,it_remarks) values('17Dec240043','050000505747','6394',(select max(to_number(i.premium_rcv_detail_code))+1
from ins_premium_det i),'6394','6394','02', '11000003','00','Request by Mr. Omair Ali 17-Dec-2024');</v>
      </c>
    </row>
    <row r="75" spans="1:8" ht="105" x14ac:dyDescent="0.25">
      <c r="A75" t="s">
        <v>85</v>
      </c>
      <c r="B75" s="24" t="str">
        <f>VLOOKUP(A75,policy!B:C,2,0)</f>
        <v>050000512408</v>
      </c>
      <c r="C75" s="13">
        <v>11352</v>
      </c>
      <c r="D75" s="19">
        <f t="shared" si="5"/>
        <v>11352</v>
      </c>
      <c r="E75" s="18" t="s">
        <v>425</v>
      </c>
      <c r="F75" s="20" t="str">
        <f t="shared" si="4"/>
        <v>insert into ins_premium_det (premium_rcv_code,assorted_code, rec_amount,premium_rcv_detail_code,remaining_amt, payrec, mode_code,coinsurance_code,class_cd,it_remarks) values</v>
      </c>
      <c r="G75" s="21" t="str">
        <f t="shared" si="6"/>
        <v>('17Dec240043','050000512408','11352',(select max(to_number(i.premium_rcv_detail_code))+1
from ins_premium_det i),'11352','11352','02', '11000003','00','Request by Mr. Omair Ali 17-Dec-2024');</v>
      </c>
      <c r="H75" s="22" t="str">
        <f t="shared" si="7"/>
        <v>insert into ins_premium_det (premium_rcv_code,assorted_code, rec_amount,premium_rcv_detail_code,remaining_amt, payrec, mode_code,coinsurance_code,class_cd,it_remarks) values('17Dec240043','050000512408','11352',(select max(to_number(i.premium_rcv_detail_code))+1
from ins_premium_det i),'11352','11352','02', '11000003','00','Request by Mr. Omair Ali 17-Dec-2024');</v>
      </c>
    </row>
    <row r="76" spans="1:8" ht="105" x14ac:dyDescent="0.25">
      <c r="A76" t="s">
        <v>86</v>
      </c>
      <c r="B76" s="24" t="str">
        <f>VLOOKUP(A76,policy!B:C,2,0)</f>
        <v>050000514587</v>
      </c>
      <c r="C76" s="13">
        <v>15404</v>
      </c>
      <c r="D76" s="19">
        <f t="shared" si="5"/>
        <v>15404</v>
      </c>
      <c r="E76" s="18" t="s">
        <v>425</v>
      </c>
      <c r="F76" s="20" t="str">
        <f t="shared" si="4"/>
        <v>insert into ins_premium_det (premium_rcv_code,assorted_code, rec_amount,premium_rcv_detail_code,remaining_amt, payrec, mode_code,coinsurance_code,class_cd,it_remarks) values</v>
      </c>
      <c r="G76" s="21" t="str">
        <f t="shared" si="6"/>
        <v>('17Dec240043','050000514587','15404',(select max(to_number(i.premium_rcv_detail_code))+1
from ins_premium_det i),'15404','15404','02', '11000003','00','Request by Mr. Omair Ali 17-Dec-2024');</v>
      </c>
      <c r="H76" s="22" t="str">
        <f t="shared" si="7"/>
        <v>insert into ins_premium_det (premium_rcv_code,assorted_code, rec_amount,premium_rcv_detail_code,remaining_amt, payrec, mode_code,coinsurance_code,class_cd,it_remarks) values('17Dec240043','050000514587','15404',(select max(to_number(i.premium_rcv_detail_code))+1
from ins_premium_det i),'15404','15404','02', '11000003','00','Request by Mr. Omair Ali 17-Dec-2024');</v>
      </c>
    </row>
    <row r="77" spans="1:8" ht="105" x14ac:dyDescent="0.25">
      <c r="A77" t="s">
        <v>87</v>
      </c>
      <c r="B77" s="24" t="str">
        <f>VLOOKUP(A77,policy!B:C,2,0)</f>
        <v>050000518293</v>
      </c>
      <c r="C77" s="13">
        <v>15404</v>
      </c>
      <c r="D77" s="19">
        <f t="shared" si="5"/>
        <v>15404</v>
      </c>
      <c r="E77" s="18" t="s">
        <v>425</v>
      </c>
      <c r="F77" s="20" t="str">
        <f t="shared" si="4"/>
        <v>insert into ins_premium_det (premium_rcv_code,assorted_code, rec_amount,premium_rcv_detail_code,remaining_amt, payrec, mode_code,coinsurance_code,class_cd,it_remarks) values</v>
      </c>
      <c r="G77" s="21" t="str">
        <f t="shared" si="6"/>
        <v>('17Dec240043','050000518293','15404',(select max(to_number(i.premium_rcv_detail_code))+1
from ins_premium_det i),'15404','15404','02', '11000003','00','Request by Mr. Omair Ali 17-Dec-2024');</v>
      </c>
      <c r="H77" s="22" t="str">
        <f t="shared" si="7"/>
        <v>insert into ins_premium_det (premium_rcv_code,assorted_code, rec_amount,premium_rcv_detail_code,remaining_amt, payrec, mode_code,coinsurance_code,class_cd,it_remarks) values('17Dec240043','050000518293','15404',(select max(to_number(i.premium_rcv_detail_code))+1
from ins_premium_det i),'15404','15404','02', '11000003','00','Request by Mr. Omair Ali 17-Dec-2024');</v>
      </c>
    </row>
    <row r="78" spans="1:8" ht="105" x14ac:dyDescent="0.25">
      <c r="A78" t="s">
        <v>88</v>
      </c>
      <c r="B78" s="24" t="str">
        <f>VLOOKUP(A78,policy!B:C,2,0)</f>
        <v>050000519109</v>
      </c>
      <c r="C78" s="13">
        <v>10466</v>
      </c>
      <c r="D78" s="19">
        <f t="shared" si="5"/>
        <v>10466</v>
      </c>
      <c r="E78" s="18" t="s">
        <v>425</v>
      </c>
      <c r="F78" s="20" t="str">
        <f t="shared" si="4"/>
        <v>insert into ins_premium_det (premium_rcv_code,assorted_code, rec_amount,premium_rcv_detail_code,remaining_amt, payrec, mode_code,coinsurance_code,class_cd,it_remarks) values</v>
      </c>
      <c r="G78" s="21" t="str">
        <f t="shared" si="6"/>
        <v>('17Dec240043','050000519109','10466',(select max(to_number(i.premium_rcv_detail_code))+1
from ins_premium_det i),'10466','10466','02', '11000003','00','Request by Mr. Omair Ali 17-Dec-2024');</v>
      </c>
      <c r="H78" s="22" t="str">
        <f t="shared" si="7"/>
        <v>insert into ins_premium_det (premium_rcv_code,assorted_code, rec_amount,premium_rcv_detail_code,remaining_amt, payrec, mode_code,coinsurance_code,class_cd,it_remarks) values('17Dec240043','050000519109','10466',(select max(to_number(i.premium_rcv_detail_code))+1
from ins_premium_det i),'10466','10466','02', '11000003','00','Request by Mr. Omair Ali 17-Dec-2024');</v>
      </c>
    </row>
    <row r="79" spans="1:8" ht="105" x14ac:dyDescent="0.25">
      <c r="A79" t="s">
        <v>89</v>
      </c>
      <c r="B79" s="24" t="str">
        <f>VLOOKUP(A79,policy!B:C,2,0)</f>
        <v>050000521857</v>
      </c>
      <c r="C79" s="13">
        <v>-330752</v>
      </c>
      <c r="D79" s="19">
        <f t="shared" si="5"/>
        <v>-330752</v>
      </c>
      <c r="E79" s="18" t="s">
        <v>425</v>
      </c>
      <c r="F79" s="20" t="str">
        <f t="shared" si="4"/>
        <v>insert into ins_premium_det (premium_rcv_code,assorted_code, rec_amount,premium_rcv_detail_code,remaining_amt, payrec, mode_code,coinsurance_code,class_cd,it_remarks) values</v>
      </c>
      <c r="G79" s="21" t="str">
        <f t="shared" si="6"/>
        <v>('17Dec240043','050000521857','-330752',(select max(to_number(i.premium_rcv_detail_code))+1
from ins_premium_det i),'-330752','-330752','02', '11000003','00','Request by Mr. Omair Ali 17-Dec-2024');</v>
      </c>
      <c r="H79" s="22" t="str">
        <f t="shared" si="7"/>
        <v>insert into ins_premium_det (premium_rcv_code,assorted_code, rec_amount,premium_rcv_detail_code,remaining_amt, payrec, mode_code,coinsurance_code,class_cd,it_remarks) values('17Dec240043','050000521857','-330752',(select max(to_number(i.premium_rcv_detail_code))+1
from ins_premium_det i),'-330752','-330752','02', '11000003','00','Request by Mr. Omair Ali 17-Dec-2024');</v>
      </c>
    </row>
    <row r="80" spans="1:8" ht="105" x14ac:dyDescent="0.25">
      <c r="A80" t="s">
        <v>90</v>
      </c>
      <c r="B80" s="24" t="str">
        <f>VLOOKUP(A80,policy!B:C,2,0)</f>
        <v>050000524636</v>
      </c>
      <c r="C80" s="13">
        <v>46210</v>
      </c>
      <c r="D80" s="19">
        <f t="shared" si="5"/>
        <v>46210</v>
      </c>
      <c r="E80" s="18" t="s">
        <v>425</v>
      </c>
      <c r="F80" s="20" t="str">
        <f t="shared" si="4"/>
        <v>insert into ins_premium_det (premium_rcv_code,assorted_code, rec_amount,premium_rcv_detail_code,remaining_amt, payrec, mode_code,coinsurance_code,class_cd,it_remarks) values</v>
      </c>
      <c r="G80" s="21" t="str">
        <f t="shared" si="6"/>
        <v>('17Dec240043','050000524636','46210',(select max(to_number(i.premium_rcv_detail_code))+1
from ins_premium_det i),'46210','46210','02', '11000003','00','Request by Mr. Omair Ali 17-Dec-2024');</v>
      </c>
      <c r="H80" s="22" t="str">
        <f t="shared" si="7"/>
        <v>insert into ins_premium_det (premium_rcv_code,assorted_code, rec_amount,premium_rcv_detail_code,remaining_amt, payrec, mode_code,coinsurance_code,class_cd,it_remarks) values('17Dec240043','050000524636','46210',(select max(to_number(i.premium_rcv_detail_code))+1
from ins_premium_det i),'46210','46210','02', '11000003','00','Request by Mr. Omair Ali 17-Dec-2024');</v>
      </c>
    </row>
    <row r="81" spans="1:8" ht="105" x14ac:dyDescent="0.25">
      <c r="A81" t="s">
        <v>91</v>
      </c>
      <c r="B81" s="24" t="str">
        <f>VLOOKUP(A81,policy!B:C,2,0)</f>
        <v>050000528836</v>
      </c>
      <c r="C81" s="13">
        <v>5221</v>
      </c>
      <c r="D81" s="19">
        <f t="shared" si="5"/>
        <v>5221</v>
      </c>
      <c r="E81" s="18" t="s">
        <v>425</v>
      </c>
      <c r="F81" s="20" t="str">
        <f t="shared" si="4"/>
        <v>insert into ins_premium_det (premium_rcv_code,assorted_code, rec_amount,premium_rcv_detail_code,remaining_amt, payrec, mode_code,coinsurance_code,class_cd,it_remarks) values</v>
      </c>
      <c r="G81" s="21" t="str">
        <f t="shared" si="6"/>
        <v>('17Dec240043','050000528836','5221',(select max(to_number(i.premium_rcv_detail_code))+1
from ins_premium_det i),'5221','5221','02', '11000003','00','Request by Mr. Omair Ali 17-Dec-2024');</v>
      </c>
      <c r="H81" s="22" t="str">
        <f t="shared" si="7"/>
        <v>insert into ins_premium_det (premium_rcv_code,assorted_code, rec_amount,premium_rcv_detail_code,remaining_amt, payrec, mode_code,coinsurance_code,class_cd,it_remarks) values('17Dec240043','050000528836','5221',(select max(to_number(i.premium_rcv_detail_code))+1
from ins_premium_det i),'5221','5221','02', '11000003','00','Request by Mr. Omair Ali 17-Dec-2024');</v>
      </c>
    </row>
    <row r="82" spans="1:8" ht="105" x14ac:dyDescent="0.25">
      <c r="A82" t="s">
        <v>92</v>
      </c>
      <c r="B82" s="24" t="str">
        <f>VLOOKUP(A82,policy!B:C,2,0)</f>
        <v>050000529178</v>
      </c>
      <c r="C82" s="13">
        <v>11436</v>
      </c>
      <c r="D82" s="19">
        <f t="shared" si="5"/>
        <v>11436</v>
      </c>
      <c r="E82" s="18" t="s">
        <v>425</v>
      </c>
      <c r="F82" s="20" t="str">
        <f t="shared" si="4"/>
        <v>insert into ins_premium_det (premium_rcv_code,assorted_code, rec_amount,premium_rcv_detail_code,remaining_amt, payrec, mode_code,coinsurance_code,class_cd,it_remarks) values</v>
      </c>
      <c r="G82" s="21" t="str">
        <f t="shared" si="6"/>
        <v>('17Dec240043','050000529178','11436',(select max(to_number(i.premium_rcv_detail_code))+1
from ins_premium_det i),'11436','11436','02', '11000003','00','Request by Mr. Omair Ali 17-Dec-2024');</v>
      </c>
      <c r="H82" s="22" t="str">
        <f t="shared" si="7"/>
        <v>insert into ins_premium_det (premium_rcv_code,assorted_code, rec_amount,premium_rcv_detail_code,remaining_amt, payrec, mode_code,coinsurance_code,class_cd,it_remarks) values('17Dec240043','050000529178','11436',(select max(to_number(i.premium_rcv_detail_code))+1
from ins_premium_det i),'11436','11436','02', '11000003','00','Request by Mr. Omair Ali 17-Dec-2024');</v>
      </c>
    </row>
    <row r="83" spans="1:8" ht="105" x14ac:dyDescent="0.25">
      <c r="A83" t="s">
        <v>93</v>
      </c>
      <c r="B83" s="24" t="str">
        <f>VLOOKUP(A83,policy!B:C,2,0)</f>
        <v>050000529859</v>
      </c>
      <c r="C83" s="13">
        <v>52096</v>
      </c>
      <c r="D83" s="19">
        <f t="shared" si="5"/>
        <v>52096</v>
      </c>
      <c r="E83" s="18" t="s">
        <v>425</v>
      </c>
      <c r="F83" s="20" t="str">
        <f t="shared" si="4"/>
        <v>insert into ins_premium_det (premium_rcv_code,assorted_code, rec_amount,premium_rcv_detail_code,remaining_amt, payrec, mode_code,coinsurance_code,class_cd,it_remarks) values</v>
      </c>
      <c r="G83" s="21" t="str">
        <f t="shared" si="6"/>
        <v>('17Dec240043','050000529859','52096',(select max(to_number(i.premium_rcv_detail_code))+1
from ins_premium_det i),'52096','52096','02', '11000003','00','Request by Mr. Omair Ali 17-Dec-2024');</v>
      </c>
      <c r="H83" s="22" t="str">
        <f t="shared" si="7"/>
        <v>insert into ins_premium_det (premium_rcv_code,assorted_code, rec_amount,premium_rcv_detail_code,remaining_amt, payrec, mode_code,coinsurance_code,class_cd,it_remarks) values('17Dec240043','050000529859','52096',(select max(to_number(i.premium_rcv_detail_code))+1
from ins_premium_det i),'52096','52096','02', '11000003','00','Request by Mr. Omair Ali 17-Dec-2024');</v>
      </c>
    </row>
    <row r="84" spans="1:8" ht="105" x14ac:dyDescent="0.25">
      <c r="A84" t="s">
        <v>94</v>
      </c>
      <c r="B84" s="24" t="str">
        <f>VLOOKUP(A84,policy!B:C,2,0)</f>
        <v>050000531053</v>
      </c>
      <c r="C84" s="13">
        <v>41568</v>
      </c>
      <c r="D84" s="19">
        <f t="shared" si="5"/>
        <v>41568</v>
      </c>
      <c r="E84" s="18" t="s">
        <v>425</v>
      </c>
      <c r="F84" s="20" t="str">
        <f t="shared" si="4"/>
        <v>insert into ins_premium_det (premium_rcv_code,assorted_code, rec_amount,premium_rcv_detail_code,remaining_amt, payrec, mode_code,coinsurance_code,class_cd,it_remarks) values</v>
      </c>
      <c r="G84" s="21" t="str">
        <f t="shared" si="6"/>
        <v>('17Dec240043','050000531053','41568',(select max(to_number(i.premium_rcv_detail_code))+1
from ins_premium_det i),'41568','41568','02', '11000003','00','Request by Mr. Omair Ali 17-Dec-2024');</v>
      </c>
      <c r="H84" s="22" t="str">
        <f t="shared" si="7"/>
        <v>insert into ins_premium_det (premium_rcv_code,assorted_code, rec_amount,premium_rcv_detail_code,remaining_amt, payrec, mode_code,coinsurance_code,class_cd,it_remarks) values('17Dec240043','050000531053','41568',(select max(to_number(i.premium_rcv_detail_code))+1
from ins_premium_det i),'41568','41568','02', '11000003','00','Request by Mr. Omair Ali 17-Dec-2024');</v>
      </c>
    </row>
    <row r="85" spans="1:8" ht="105" x14ac:dyDescent="0.25">
      <c r="A85" t="s">
        <v>95</v>
      </c>
      <c r="B85" s="24" t="str">
        <f>VLOOKUP(A85,policy!B:C,2,0)</f>
        <v>050000538032</v>
      </c>
      <c r="C85" s="13">
        <v>11605</v>
      </c>
      <c r="D85" s="19">
        <f t="shared" si="5"/>
        <v>11605</v>
      </c>
      <c r="E85" s="18" t="s">
        <v>425</v>
      </c>
      <c r="F85" s="20" t="str">
        <f t="shared" si="4"/>
        <v>insert into ins_premium_det (premium_rcv_code,assorted_code, rec_amount,premium_rcv_detail_code,remaining_amt, payrec, mode_code,coinsurance_code,class_cd,it_remarks) values</v>
      </c>
      <c r="G85" s="21" t="str">
        <f t="shared" si="6"/>
        <v>('17Dec240043','050000538032','11605',(select max(to_number(i.premium_rcv_detail_code))+1
from ins_premium_det i),'11605','11605','02', '11000003','00','Request by Mr. Omair Ali 17-Dec-2024');</v>
      </c>
      <c r="H85" s="22" t="str">
        <f t="shared" si="7"/>
        <v>insert into ins_premium_det (premium_rcv_code,assorted_code, rec_amount,premium_rcv_detail_code,remaining_amt, payrec, mode_code,coinsurance_code,class_cd,it_remarks) values('17Dec240043','050000538032','11605',(select max(to_number(i.premium_rcv_detail_code))+1
from ins_premium_det i),'11605','11605','02', '11000003','00','Request by Mr. Omair Ali 17-Dec-2024');</v>
      </c>
    </row>
    <row r="86" spans="1:8" ht="105" x14ac:dyDescent="0.25">
      <c r="A86" t="s">
        <v>96</v>
      </c>
      <c r="B86" s="24" t="str">
        <f>VLOOKUP(A86,policy!B:C,2,0)</f>
        <v>050000539172</v>
      </c>
      <c r="C86" s="13">
        <v>10423</v>
      </c>
      <c r="D86" s="19">
        <f t="shared" si="5"/>
        <v>10423</v>
      </c>
      <c r="E86" s="18" t="s">
        <v>425</v>
      </c>
      <c r="F86" s="20" t="str">
        <f t="shared" si="4"/>
        <v>insert into ins_premium_det (premium_rcv_code,assorted_code, rec_amount,premium_rcv_detail_code,remaining_amt, payrec, mode_code,coinsurance_code,class_cd,it_remarks) values</v>
      </c>
      <c r="G86" s="21" t="str">
        <f t="shared" si="6"/>
        <v>('17Dec240043','050000539172','10423',(select max(to_number(i.premium_rcv_detail_code))+1
from ins_premium_det i),'10423','10423','02', '11000003','00','Request by Mr. Omair Ali 17-Dec-2024');</v>
      </c>
      <c r="H86" s="22" t="str">
        <f t="shared" si="7"/>
        <v>insert into ins_premium_det (premium_rcv_code,assorted_code, rec_amount,premium_rcv_detail_code,remaining_amt, payrec, mode_code,coinsurance_code,class_cd,it_remarks) values('17Dec240043','050000539172','10423',(select max(to_number(i.premium_rcv_detail_code))+1
from ins_premium_det i),'10423','10423','02', '11000003','00','Request by Mr. Omair Ali 17-Dec-2024');</v>
      </c>
    </row>
    <row r="87" spans="1:8" ht="105" x14ac:dyDescent="0.25">
      <c r="A87" t="s">
        <v>97</v>
      </c>
      <c r="B87" s="24" t="str">
        <f>VLOOKUP(A87,policy!B:C,2,0)</f>
        <v>050000542042</v>
      </c>
      <c r="C87" s="13">
        <v>7976</v>
      </c>
      <c r="D87" s="19">
        <f t="shared" si="5"/>
        <v>7976</v>
      </c>
      <c r="E87" s="18" t="s">
        <v>425</v>
      </c>
      <c r="F87" s="20" t="str">
        <f t="shared" si="4"/>
        <v>insert into ins_premium_det (premium_rcv_code,assorted_code, rec_amount,premium_rcv_detail_code,remaining_amt, payrec, mode_code,coinsurance_code,class_cd,it_remarks) values</v>
      </c>
      <c r="G87" s="21" t="str">
        <f t="shared" si="6"/>
        <v>('17Dec240043','050000542042','7976',(select max(to_number(i.premium_rcv_detail_code))+1
from ins_premium_det i),'7976','7976','02', '11000003','00','Request by Mr. Omair Ali 17-Dec-2024');</v>
      </c>
      <c r="H87" s="22" t="str">
        <f t="shared" si="7"/>
        <v>insert into ins_premium_det (premium_rcv_code,assorted_code, rec_amount,premium_rcv_detail_code,remaining_amt, payrec, mode_code,coinsurance_code,class_cd,it_remarks) values('17Dec240043','050000542042','7976',(select max(to_number(i.premium_rcv_detail_code))+1
from ins_premium_det i),'7976','7976','02', '11000003','00','Request by Mr. Omair Ali 17-Dec-2024');</v>
      </c>
    </row>
    <row r="88" spans="1:8" ht="105" x14ac:dyDescent="0.25">
      <c r="A88" t="s">
        <v>98</v>
      </c>
      <c r="B88" s="24" t="str">
        <f>VLOOKUP(A88,policy!B:C,2,0)</f>
        <v>050000545120</v>
      </c>
      <c r="C88" s="13">
        <v>9791</v>
      </c>
      <c r="D88" s="19">
        <f t="shared" si="5"/>
        <v>9791</v>
      </c>
      <c r="E88" s="18" t="s">
        <v>425</v>
      </c>
      <c r="F88" s="20" t="str">
        <f t="shared" si="4"/>
        <v>insert into ins_premium_det (premium_rcv_code,assorted_code, rec_amount,premium_rcv_detail_code,remaining_amt, payrec, mode_code,coinsurance_code,class_cd,it_remarks) values</v>
      </c>
      <c r="G88" s="21" t="str">
        <f t="shared" si="6"/>
        <v>('17Dec240043','050000545120','9791',(select max(to_number(i.premium_rcv_detail_code))+1
from ins_premium_det i),'9791','9791','02', '11000003','00','Request by Mr. Omair Ali 17-Dec-2024');</v>
      </c>
      <c r="H88" s="22" t="str">
        <f t="shared" si="7"/>
        <v>insert into ins_premium_det (premium_rcv_code,assorted_code, rec_amount,premium_rcv_detail_code,remaining_amt, payrec, mode_code,coinsurance_code,class_cd,it_remarks) values('17Dec240043','050000545120','9791',(select max(to_number(i.premium_rcv_detail_code))+1
from ins_premium_det i),'9791','9791','02', '11000003','00','Request by Mr. Omair Ali 17-Dec-2024');</v>
      </c>
    </row>
    <row r="89" spans="1:8" ht="105" x14ac:dyDescent="0.25">
      <c r="A89" t="s">
        <v>99</v>
      </c>
      <c r="B89" s="24" t="str">
        <f>VLOOKUP(A89,policy!B:C,2,0)</f>
        <v>050000547461</v>
      </c>
      <c r="C89" s="13">
        <v>7174</v>
      </c>
      <c r="D89" s="19">
        <f t="shared" si="5"/>
        <v>7174</v>
      </c>
      <c r="E89" s="18" t="s">
        <v>425</v>
      </c>
      <c r="F89" s="20" t="str">
        <f t="shared" si="4"/>
        <v>insert into ins_premium_det (premium_rcv_code,assorted_code, rec_amount,premium_rcv_detail_code,remaining_amt, payrec, mode_code,coinsurance_code,class_cd,it_remarks) values</v>
      </c>
      <c r="G89" s="21" t="str">
        <f t="shared" si="6"/>
        <v>('17Dec240043','050000547461','7174',(select max(to_number(i.premium_rcv_detail_code))+1
from ins_premium_det i),'7174','7174','02', '11000003','00','Request by Mr. Omair Ali 17-Dec-2024');</v>
      </c>
      <c r="H89" s="22" t="str">
        <f t="shared" si="7"/>
        <v>insert into ins_premium_det (premium_rcv_code,assorted_code, rec_amount,premium_rcv_detail_code,remaining_amt, payrec, mode_code,coinsurance_code,class_cd,it_remarks) values('17Dec240043','050000547461','7174',(select max(to_number(i.premium_rcv_detail_code))+1
from ins_premium_det i),'7174','7174','02', '11000003','00','Request by Mr. Omair Ali 17-Dec-2024');</v>
      </c>
    </row>
    <row r="90" spans="1:8" ht="105" x14ac:dyDescent="0.25">
      <c r="A90" t="s">
        <v>100</v>
      </c>
      <c r="B90" s="24" t="str">
        <f>VLOOKUP(A90,policy!B:C,2,0)</f>
        <v>050000548471</v>
      </c>
      <c r="C90" s="13">
        <v>71919</v>
      </c>
      <c r="D90" s="19">
        <f t="shared" si="5"/>
        <v>71919</v>
      </c>
      <c r="E90" s="18" t="s">
        <v>425</v>
      </c>
      <c r="F90" s="20" t="str">
        <f t="shared" si="4"/>
        <v>insert into ins_premium_det (premium_rcv_code,assorted_code, rec_amount,premium_rcv_detail_code,remaining_amt, payrec, mode_code,coinsurance_code,class_cd,it_remarks) values</v>
      </c>
      <c r="G90" s="21" t="str">
        <f t="shared" si="6"/>
        <v>('17Dec240043','050000548471','71919',(select max(to_number(i.premium_rcv_detail_code))+1
from ins_premium_det i),'71919','71919','02', '11000003','00','Request by Mr. Omair Ali 17-Dec-2024');</v>
      </c>
      <c r="H90" s="22" t="str">
        <f t="shared" si="7"/>
        <v>insert into ins_premium_det (premium_rcv_code,assorted_code, rec_amount,premium_rcv_detail_code,remaining_amt, payrec, mode_code,coinsurance_code,class_cd,it_remarks) values('17Dec240043','050000548471','71919',(select max(to_number(i.premium_rcv_detail_code))+1
from ins_premium_det i),'71919','71919','02', '11000003','00','Request by Mr. Omair Ali 17-Dec-2024');</v>
      </c>
    </row>
    <row r="91" spans="1:8" ht="105" x14ac:dyDescent="0.25">
      <c r="A91" t="s">
        <v>101</v>
      </c>
      <c r="B91" s="24" t="str">
        <f>VLOOKUP(A91,policy!B:C,2,0)</f>
        <v>050000549409</v>
      </c>
      <c r="C91" s="13">
        <v>73948</v>
      </c>
      <c r="D91" s="19">
        <f t="shared" si="5"/>
        <v>73948</v>
      </c>
      <c r="E91" s="18" t="s">
        <v>425</v>
      </c>
      <c r="F91" s="20" t="str">
        <f t="shared" si="4"/>
        <v>insert into ins_premium_det (premium_rcv_code,assorted_code, rec_amount,premium_rcv_detail_code,remaining_amt, payrec, mode_code,coinsurance_code,class_cd,it_remarks) values</v>
      </c>
      <c r="G91" s="21" t="str">
        <f t="shared" si="6"/>
        <v>('17Dec240043','050000549409','73948',(select max(to_number(i.premium_rcv_detail_code))+1
from ins_premium_det i),'73948','73948','02', '11000003','00','Request by Mr. Omair Ali 17-Dec-2024');</v>
      </c>
      <c r="H91" s="22" t="str">
        <f t="shared" si="7"/>
        <v>insert into ins_premium_det (premium_rcv_code,assorted_code, rec_amount,premium_rcv_detail_code,remaining_amt, payrec, mode_code,coinsurance_code,class_cd,it_remarks) values('17Dec240043','050000549409','73948',(select max(to_number(i.premium_rcv_detail_code))+1
from ins_premium_det i),'73948','73948','02', '11000003','00','Request by Mr. Omair Ali 17-Dec-2024');</v>
      </c>
    </row>
    <row r="92" spans="1:8" ht="105" x14ac:dyDescent="0.25">
      <c r="A92" t="s">
        <v>102</v>
      </c>
      <c r="B92" s="24" t="str">
        <f>VLOOKUP(A92,policy!B:C,2,0)</f>
        <v>050000550635</v>
      </c>
      <c r="C92" s="13">
        <v>15404</v>
      </c>
      <c r="D92" s="19">
        <f t="shared" si="5"/>
        <v>15404</v>
      </c>
      <c r="E92" s="18" t="s">
        <v>425</v>
      </c>
      <c r="F92" s="20" t="str">
        <f t="shared" si="4"/>
        <v>insert into ins_premium_det (premium_rcv_code,assorted_code, rec_amount,premium_rcv_detail_code,remaining_amt, payrec, mode_code,coinsurance_code,class_cd,it_remarks) values</v>
      </c>
      <c r="G92" s="21" t="str">
        <f t="shared" si="6"/>
        <v>('17Dec240043','050000550635','15404',(select max(to_number(i.premium_rcv_detail_code))+1
from ins_premium_det i),'15404','15404','02', '11000003','00','Request by Mr. Omair Ali 17-Dec-2024');</v>
      </c>
      <c r="H92" s="22" t="str">
        <f t="shared" si="7"/>
        <v>insert into ins_premium_det (premium_rcv_code,assorted_code, rec_amount,premium_rcv_detail_code,remaining_amt, payrec, mode_code,coinsurance_code,class_cd,it_remarks) values('17Dec240043','050000550635','15404',(select max(to_number(i.premium_rcv_detail_code))+1
from ins_premium_det i),'15404','15404','02', '11000003','00','Request by Mr. Omair Ali 17-Dec-2024');</v>
      </c>
    </row>
    <row r="93" spans="1:8" ht="105" x14ac:dyDescent="0.25">
      <c r="A93" t="s">
        <v>103</v>
      </c>
      <c r="B93" s="24" t="str">
        <f>VLOOKUP(A93,policy!B:C,2,0)</f>
        <v>050000553354</v>
      </c>
      <c r="C93" s="13">
        <v>54605</v>
      </c>
      <c r="D93" s="19">
        <f t="shared" si="5"/>
        <v>54605</v>
      </c>
      <c r="E93" s="18" t="s">
        <v>425</v>
      </c>
      <c r="F93" s="20" t="str">
        <f t="shared" si="4"/>
        <v>insert into ins_premium_det (premium_rcv_code,assorted_code, rec_amount,premium_rcv_detail_code,remaining_amt, payrec, mode_code,coinsurance_code,class_cd,it_remarks) values</v>
      </c>
      <c r="G93" s="21" t="str">
        <f t="shared" si="6"/>
        <v>('17Dec240043','050000553354','54605',(select max(to_number(i.premium_rcv_detail_code))+1
from ins_premium_det i),'54605','54605','02', '11000003','00','Request by Mr. Omair Ali 17-Dec-2024');</v>
      </c>
      <c r="H93" s="22" t="str">
        <f t="shared" si="7"/>
        <v>insert into ins_premium_det (premium_rcv_code,assorted_code, rec_amount,premium_rcv_detail_code,remaining_amt, payrec, mode_code,coinsurance_code,class_cd,it_remarks) values('17Dec240043','050000553354','54605',(select max(to_number(i.premium_rcv_detail_code))+1
from ins_premium_det i),'54605','54605','02', '11000003','00','Request by Mr. Omair Ali 17-Dec-2024');</v>
      </c>
    </row>
    <row r="94" spans="1:8" ht="105" x14ac:dyDescent="0.25">
      <c r="A94" t="s">
        <v>104</v>
      </c>
      <c r="B94" s="24" t="str">
        <f>VLOOKUP(A94,policy!B:C,2,0)</f>
        <v>050000553584</v>
      </c>
      <c r="C94" s="13">
        <v>62556</v>
      </c>
      <c r="D94" s="19">
        <f t="shared" si="5"/>
        <v>62556</v>
      </c>
      <c r="E94" s="18" t="s">
        <v>425</v>
      </c>
      <c r="F94" s="20" t="str">
        <f t="shared" si="4"/>
        <v>insert into ins_premium_det (premium_rcv_code,assorted_code, rec_amount,premium_rcv_detail_code,remaining_amt, payrec, mode_code,coinsurance_code,class_cd,it_remarks) values</v>
      </c>
      <c r="G94" s="21" t="str">
        <f t="shared" si="6"/>
        <v>('17Dec240043','050000553584','62556',(select max(to_number(i.premium_rcv_detail_code))+1
from ins_premium_det i),'62556','62556','02', '11000003','00','Request by Mr. Omair Ali 17-Dec-2024');</v>
      </c>
      <c r="H94" s="22" t="str">
        <f t="shared" si="7"/>
        <v>insert into ins_premium_det (premium_rcv_code,assorted_code, rec_amount,premium_rcv_detail_code,remaining_amt, payrec, mode_code,coinsurance_code,class_cd,it_remarks) values('17Dec240043','050000553584','62556',(select max(to_number(i.premium_rcv_detail_code))+1
from ins_premium_det i),'62556','62556','02', '11000003','00','Request by Mr. Omair Ali 17-Dec-2024');</v>
      </c>
    </row>
    <row r="95" spans="1:8" ht="105" x14ac:dyDescent="0.25">
      <c r="A95" t="s">
        <v>105</v>
      </c>
      <c r="B95" s="24" t="str">
        <f>VLOOKUP(A95,policy!B:C,2,0)</f>
        <v>050000555189</v>
      </c>
      <c r="C95" s="13">
        <v>7596</v>
      </c>
      <c r="D95" s="19">
        <f t="shared" si="5"/>
        <v>7596</v>
      </c>
      <c r="E95" s="18" t="s">
        <v>425</v>
      </c>
      <c r="F95" s="20" t="str">
        <f t="shared" si="4"/>
        <v>insert into ins_premium_det (premium_rcv_code,assorted_code, rec_amount,premium_rcv_detail_code,remaining_amt, payrec, mode_code,coinsurance_code,class_cd,it_remarks) values</v>
      </c>
      <c r="G95" s="21" t="str">
        <f t="shared" si="6"/>
        <v>('17Dec240043','050000555189','7596',(select max(to_number(i.premium_rcv_detail_code))+1
from ins_premium_det i),'7596','7596','02', '11000003','00','Request by Mr. Omair Ali 17-Dec-2024');</v>
      </c>
      <c r="H95" s="22" t="str">
        <f t="shared" si="7"/>
        <v>insert into ins_premium_det (premium_rcv_code,assorted_code, rec_amount,premium_rcv_detail_code,remaining_amt, payrec, mode_code,coinsurance_code,class_cd,it_remarks) values('17Dec240043','050000555189','7596',(select max(to_number(i.premium_rcv_detail_code))+1
from ins_premium_det i),'7596','7596','02', '11000003','00','Request by Mr. Omair Ali 17-Dec-2024');</v>
      </c>
    </row>
    <row r="96" spans="1:8" ht="105" x14ac:dyDescent="0.25">
      <c r="A96" t="s">
        <v>106</v>
      </c>
      <c r="B96" s="24" t="str">
        <f>VLOOKUP(A96,policy!B:C,2,0)</f>
        <v>050000559340</v>
      </c>
      <c r="C96" s="13">
        <v>-96370</v>
      </c>
      <c r="D96" s="19">
        <f t="shared" si="5"/>
        <v>-96370</v>
      </c>
      <c r="E96" s="18" t="s">
        <v>425</v>
      </c>
      <c r="F96" s="20" t="str">
        <f t="shared" si="4"/>
        <v>insert into ins_premium_det (premium_rcv_code,assorted_code, rec_amount,premium_rcv_detail_code,remaining_amt, payrec, mode_code,coinsurance_code,class_cd,it_remarks) values</v>
      </c>
      <c r="G96" s="21" t="str">
        <f t="shared" si="6"/>
        <v>('17Dec240043','050000559340','-96370',(select max(to_number(i.premium_rcv_detail_code))+1
from ins_premium_det i),'-96370','-96370','02', '11000003','00','Request by Mr. Omair Ali 17-Dec-2024');</v>
      </c>
      <c r="H96" s="22" t="str">
        <f t="shared" si="7"/>
        <v>insert into ins_premium_det (premium_rcv_code,assorted_code, rec_amount,premium_rcv_detail_code,remaining_amt, payrec, mode_code,coinsurance_code,class_cd,it_remarks) values('17Dec240043','050000559340','-96370',(select max(to_number(i.premium_rcv_detail_code))+1
from ins_premium_det i),'-96370','-96370','02', '11000003','00','Request by Mr. Omair Ali 17-Dec-2024');</v>
      </c>
    </row>
    <row r="97" spans="1:8" ht="105" x14ac:dyDescent="0.25">
      <c r="A97" t="s">
        <v>107</v>
      </c>
      <c r="B97" s="24" t="str">
        <f>VLOOKUP(A97,policy!B:C,2,0)</f>
        <v>050000559982</v>
      </c>
      <c r="C97" s="13">
        <v>37263</v>
      </c>
      <c r="D97" s="19">
        <f t="shared" si="5"/>
        <v>37263</v>
      </c>
      <c r="E97" s="18" t="s">
        <v>425</v>
      </c>
      <c r="F97" s="20" t="str">
        <f t="shared" si="4"/>
        <v>insert into ins_premium_det (premium_rcv_code,assorted_code, rec_amount,premium_rcv_detail_code,remaining_amt, payrec, mode_code,coinsurance_code,class_cd,it_remarks) values</v>
      </c>
      <c r="G97" s="21" t="str">
        <f t="shared" si="6"/>
        <v>('17Dec240043','050000559982','37263',(select max(to_number(i.premium_rcv_detail_code))+1
from ins_premium_det i),'37263','37263','02', '11000003','00','Request by Mr. Omair Ali 17-Dec-2024');</v>
      </c>
      <c r="H97" s="22" t="str">
        <f t="shared" si="7"/>
        <v>insert into ins_premium_det (premium_rcv_code,assorted_code, rec_amount,premium_rcv_detail_code,remaining_amt, payrec, mode_code,coinsurance_code,class_cd,it_remarks) values('17Dec240043','050000559982','37263',(select max(to_number(i.premium_rcv_detail_code))+1
from ins_premium_det i),'37263','37263','02', '11000003','00','Request by Mr. Omair Ali 17-Dec-2024');</v>
      </c>
    </row>
    <row r="98" spans="1:8" ht="105" x14ac:dyDescent="0.25">
      <c r="A98" t="s">
        <v>108</v>
      </c>
      <c r="B98" s="24" t="str">
        <f>VLOOKUP(A98,policy!B:C,2,0)</f>
        <v>050000561661</v>
      </c>
      <c r="C98" s="13">
        <v>12407</v>
      </c>
      <c r="D98" s="19">
        <f t="shared" si="5"/>
        <v>12407</v>
      </c>
      <c r="E98" s="18" t="s">
        <v>425</v>
      </c>
      <c r="F98" s="20" t="str">
        <f t="shared" si="4"/>
        <v>insert into ins_premium_det (premium_rcv_code,assorted_code, rec_amount,premium_rcv_detail_code,remaining_amt, payrec, mode_code,coinsurance_code,class_cd,it_remarks) values</v>
      </c>
      <c r="G98" s="21" t="str">
        <f t="shared" si="6"/>
        <v>('17Dec240043','050000561661','12407',(select max(to_number(i.premium_rcv_detail_code))+1
from ins_premium_det i),'12407','12407','02', '11000003','00','Request by Mr. Omair Ali 17-Dec-2024');</v>
      </c>
      <c r="H98" s="22" t="str">
        <f t="shared" si="7"/>
        <v>insert into ins_premium_det (premium_rcv_code,assorted_code, rec_amount,premium_rcv_detail_code,remaining_amt, payrec, mode_code,coinsurance_code,class_cd,it_remarks) values('17Dec240043','050000561661','12407',(select max(to_number(i.premium_rcv_detail_code))+1
from ins_premium_det i),'12407','12407','02', '11000003','00','Request by Mr. Omair Ali 17-Dec-2024');</v>
      </c>
    </row>
    <row r="99" spans="1:8" ht="105" x14ac:dyDescent="0.25">
      <c r="A99" t="s">
        <v>109</v>
      </c>
      <c r="B99" s="24" t="str">
        <f>VLOOKUP(A99,policy!B:C,2,0)</f>
        <v>050000563270</v>
      </c>
      <c r="C99" s="13">
        <v>54728</v>
      </c>
      <c r="D99" s="19">
        <f t="shared" si="5"/>
        <v>54728</v>
      </c>
      <c r="E99" s="18" t="s">
        <v>425</v>
      </c>
      <c r="F99" s="20" t="str">
        <f t="shared" si="4"/>
        <v>insert into ins_premium_det (premium_rcv_code,assorted_code, rec_amount,premium_rcv_detail_code,remaining_amt, payrec, mode_code,coinsurance_code,class_cd,it_remarks) values</v>
      </c>
      <c r="G99" s="21" t="str">
        <f t="shared" si="6"/>
        <v>('17Dec240043','050000563270','54728',(select max(to_number(i.premium_rcv_detail_code))+1
from ins_premium_det i),'54728','54728','02', '11000003','00','Request by Mr. Omair Ali 17-Dec-2024');</v>
      </c>
      <c r="H99" s="22" t="str">
        <f t="shared" si="7"/>
        <v>insert into ins_premium_det (premium_rcv_code,assorted_code, rec_amount,premium_rcv_detail_code,remaining_amt, payrec, mode_code,coinsurance_code,class_cd,it_remarks) values('17Dec240043','050000563270','54728',(select max(to_number(i.premium_rcv_detail_code))+1
from ins_premium_det i),'54728','54728','02', '11000003','00','Request by Mr. Omair Ali 17-Dec-2024');</v>
      </c>
    </row>
    <row r="100" spans="1:8" ht="105" x14ac:dyDescent="0.25">
      <c r="A100" t="s">
        <v>110</v>
      </c>
      <c r="B100" s="24" t="str">
        <f>VLOOKUP(A100,policy!B:C,2,0)</f>
        <v>050000568550</v>
      </c>
      <c r="C100" s="13">
        <v>-83561</v>
      </c>
      <c r="D100" s="19">
        <f t="shared" si="5"/>
        <v>-83561</v>
      </c>
      <c r="E100" s="18" t="s">
        <v>425</v>
      </c>
      <c r="F100" s="20" t="str">
        <f t="shared" si="4"/>
        <v>insert into ins_premium_det (premium_rcv_code,assorted_code, rec_amount,premium_rcv_detail_code,remaining_amt, payrec, mode_code,coinsurance_code,class_cd,it_remarks) values</v>
      </c>
      <c r="G100" s="21" t="str">
        <f t="shared" si="6"/>
        <v>('17Dec240043','050000568550','-83561',(select max(to_number(i.premium_rcv_detail_code))+1
from ins_premium_det i),'-83561','-83561','02', '11000003','00','Request by Mr. Omair Ali 17-Dec-2024');</v>
      </c>
      <c r="H100" s="22" t="str">
        <f t="shared" si="7"/>
        <v>insert into ins_premium_det (premium_rcv_code,assorted_code, rec_amount,premium_rcv_detail_code,remaining_amt, payrec, mode_code,coinsurance_code,class_cd,it_remarks) values('17Dec240043','050000568550','-83561',(select max(to_number(i.premium_rcv_detail_code))+1
from ins_premium_det i),'-83561','-83561','02', '11000003','00','Request by Mr. Omair Ali 17-Dec-2024');</v>
      </c>
    </row>
    <row r="101" spans="1:8" ht="105" x14ac:dyDescent="0.25">
      <c r="A101" t="s">
        <v>111</v>
      </c>
      <c r="B101" s="24" t="str">
        <f>VLOOKUP(A101,policy!B:C,2,0)</f>
        <v>050000568994</v>
      </c>
      <c r="C101" s="13">
        <v>5022</v>
      </c>
      <c r="D101" s="19">
        <f t="shared" si="5"/>
        <v>5022</v>
      </c>
      <c r="E101" s="18" t="s">
        <v>425</v>
      </c>
      <c r="F101" s="20" t="str">
        <f t="shared" si="4"/>
        <v>insert into ins_premium_det (premium_rcv_code,assorted_code, rec_amount,premium_rcv_detail_code,remaining_amt, payrec, mode_code,coinsurance_code,class_cd,it_remarks) values</v>
      </c>
      <c r="G101" s="21" t="str">
        <f t="shared" si="6"/>
        <v>('17Dec240043','050000568994','5022',(select max(to_number(i.premium_rcv_detail_code))+1
from ins_premium_det i),'5022','5022','02', '11000003','00','Request by Mr. Omair Ali 17-Dec-2024');</v>
      </c>
      <c r="H101" s="22" t="str">
        <f t="shared" si="7"/>
        <v>insert into ins_premium_det (premium_rcv_code,assorted_code, rec_amount,premium_rcv_detail_code,remaining_amt, payrec, mode_code,coinsurance_code,class_cd,it_remarks) values('17Dec240043','050000568994','5022',(select max(to_number(i.premium_rcv_detail_code))+1
from ins_premium_det i),'5022','5022','02', '11000003','00','Request by Mr. Omair Ali 17-Dec-2024');</v>
      </c>
    </row>
    <row r="102" spans="1:8" ht="105" x14ac:dyDescent="0.25">
      <c r="A102" t="s">
        <v>112</v>
      </c>
      <c r="B102" s="24" t="str">
        <f>VLOOKUP(A102,policy!B:C,2,0)</f>
        <v>050000571934</v>
      </c>
      <c r="C102" s="13">
        <v>69788</v>
      </c>
      <c r="D102" s="19">
        <f t="shared" si="5"/>
        <v>69788</v>
      </c>
      <c r="E102" s="18" t="s">
        <v>425</v>
      </c>
      <c r="F102" s="20" t="str">
        <f t="shared" si="4"/>
        <v>insert into ins_premium_det (premium_rcv_code,assorted_code, rec_amount,premium_rcv_detail_code,remaining_amt, payrec, mode_code,coinsurance_code,class_cd,it_remarks) values</v>
      </c>
      <c r="G102" s="21" t="str">
        <f t="shared" si="6"/>
        <v>('17Dec240043','050000571934','69788',(select max(to_number(i.premium_rcv_detail_code))+1
from ins_premium_det i),'69788','69788','02', '11000003','00','Request by Mr. Omair Ali 17-Dec-2024');</v>
      </c>
      <c r="H102" s="22" t="str">
        <f t="shared" si="7"/>
        <v>insert into ins_premium_det (premium_rcv_code,assorted_code, rec_amount,premium_rcv_detail_code,remaining_amt, payrec, mode_code,coinsurance_code,class_cd,it_remarks) values('17Dec240043','050000571934','69788',(select max(to_number(i.premium_rcv_detail_code))+1
from ins_premium_det i),'69788','69788','02', '11000003','00','Request by Mr. Omair Ali 17-Dec-2024');</v>
      </c>
    </row>
    <row r="103" spans="1:8" ht="105" x14ac:dyDescent="0.25">
      <c r="A103" t="s">
        <v>113</v>
      </c>
      <c r="B103" s="24" t="str">
        <f>VLOOKUP(A103,policy!B:C,2,0)</f>
        <v>050000576578</v>
      </c>
      <c r="C103" s="13">
        <v>46199</v>
      </c>
      <c r="D103" s="19">
        <f t="shared" si="5"/>
        <v>46199</v>
      </c>
      <c r="E103" s="18" t="s">
        <v>425</v>
      </c>
      <c r="F103" s="20" t="str">
        <f t="shared" si="4"/>
        <v>insert into ins_premium_det (premium_rcv_code,assorted_code, rec_amount,premium_rcv_detail_code,remaining_amt, payrec, mode_code,coinsurance_code,class_cd,it_remarks) values</v>
      </c>
      <c r="G103" s="21" t="str">
        <f t="shared" si="6"/>
        <v>('17Dec240043','050000576578','46199',(select max(to_number(i.premium_rcv_detail_code))+1
from ins_premium_det i),'46199','46199','02', '11000003','00','Request by Mr. Omair Ali 17-Dec-2024');</v>
      </c>
      <c r="H103" s="22" t="str">
        <f t="shared" si="7"/>
        <v>insert into ins_premium_det (premium_rcv_code,assorted_code, rec_amount,premium_rcv_detail_code,remaining_amt, payrec, mode_code,coinsurance_code,class_cd,it_remarks) values('17Dec240043','050000576578','46199',(select max(to_number(i.premium_rcv_detail_code))+1
from ins_premium_det i),'46199','46199','02', '11000003','00','Request by Mr. Omair Ali 17-Dec-2024');</v>
      </c>
    </row>
    <row r="104" spans="1:8" ht="105" x14ac:dyDescent="0.25">
      <c r="A104" t="s">
        <v>114</v>
      </c>
      <c r="B104" s="24" t="str">
        <f>VLOOKUP(A104,policy!B:C,2,0)</f>
        <v>050000578276</v>
      </c>
      <c r="C104" s="13">
        <v>-20908</v>
      </c>
      <c r="D104" s="19">
        <f t="shared" si="5"/>
        <v>-20908</v>
      </c>
      <c r="E104" s="18" t="s">
        <v>425</v>
      </c>
      <c r="F104" s="20" t="str">
        <f t="shared" si="4"/>
        <v>insert into ins_premium_det (premium_rcv_code,assorted_code, rec_amount,premium_rcv_detail_code,remaining_amt, payrec, mode_code,coinsurance_code,class_cd,it_remarks) values</v>
      </c>
      <c r="G104" s="21" t="str">
        <f t="shared" si="6"/>
        <v>('17Dec240043','050000578276','-20908',(select max(to_number(i.premium_rcv_detail_code))+1
from ins_premium_det i),'-20908','-20908','02', '11000003','00','Request by Mr. Omair Ali 17-Dec-2024');</v>
      </c>
      <c r="H104" s="22" t="str">
        <f t="shared" si="7"/>
        <v>insert into ins_premium_det (premium_rcv_code,assorted_code, rec_amount,premium_rcv_detail_code,remaining_amt, payrec, mode_code,coinsurance_code,class_cd,it_remarks) values('17Dec240043','050000578276','-20908',(select max(to_number(i.premium_rcv_detail_code))+1
from ins_premium_det i),'-20908','-20908','02', '11000003','00','Request by Mr. Omair Ali 17-Dec-2024');</v>
      </c>
    </row>
    <row r="105" spans="1:8" ht="105" x14ac:dyDescent="0.25">
      <c r="A105" t="s">
        <v>115</v>
      </c>
      <c r="B105" s="24" t="str">
        <f>VLOOKUP(A105,policy!B:C,2,0)</f>
        <v>050000582630</v>
      </c>
      <c r="C105" s="13">
        <v>10086</v>
      </c>
      <c r="D105" s="19">
        <f t="shared" si="5"/>
        <v>10086</v>
      </c>
      <c r="E105" s="18" t="s">
        <v>425</v>
      </c>
      <c r="F105" s="20" t="str">
        <f t="shared" si="4"/>
        <v>insert into ins_premium_det (premium_rcv_code,assorted_code, rec_amount,premium_rcv_detail_code,remaining_amt, payrec, mode_code,coinsurance_code,class_cd,it_remarks) values</v>
      </c>
      <c r="G105" s="21" t="str">
        <f t="shared" si="6"/>
        <v>('17Dec240043','050000582630','10086',(select max(to_number(i.premium_rcv_detail_code))+1
from ins_premium_det i),'10086','10086','02', '11000003','00','Request by Mr. Omair Ali 17-Dec-2024');</v>
      </c>
      <c r="H105" s="22" t="str">
        <f t="shared" si="7"/>
        <v>insert into ins_premium_det (premium_rcv_code,assorted_code, rec_amount,premium_rcv_detail_code,remaining_amt, payrec, mode_code,coinsurance_code,class_cd,it_remarks) values('17Dec240043','050000582630','10086',(select max(to_number(i.premium_rcv_detail_code))+1
from ins_premium_det i),'10086','10086','02', '11000003','00','Request by Mr. Omair Ali 17-Dec-2024');</v>
      </c>
    </row>
    <row r="106" spans="1:8" ht="105" x14ac:dyDescent="0.25">
      <c r="A106" t="s">
        <v>116</v>
      </c>
      <c r="B106" s="24" t="str">
        <f>VLOOKUP(A106,policy!B:C,2,0)</f>
        <v>050000587350</v>
      </c>
      <c r="C106" s="13">
        <v>35089</v>
      </c>
      <c r="D106" s="19">
        <f t="shared" si="5"/>
        <v>35089</v>
      </c>
      <c r="E106" s="18" t="s">
        <v>425</v>
      </c>
      <c r="F106" s="20" t="str">
        <f t="shared" si="4"/>
        <v>insert into ins_premium_det (premium_rcv_code,assorted_code, rec_amount,premium_rcv_detail_code,remaining_amt, payrec, mode_code,coinsurance_code,class_cd,it_remarks) values</v>
      </c>
      <c r="G106" s="21" t="str">
        <f t="shared" si="6"/>
        <v>('17Dec240043','050000587350','35089',(select max(to_number(i.premium_rcv_detail_code))+1
from ins_premium_det i),'35089','35089','02', '11000003','00','Request by Mr. Omair Ali 17-Dec-2024');</v>
      </c>
      <c r="H106" s="22" t="str">
        <f t="shared" si="7"/>
        <v>insert into ins_premium_det (premium_rcv_code,assorted_code, rec_amount,premium_rcv_detail_code,remaining_amt, payrec, mode_code,coinsurance_code,class_cd,it_remarks) values('17Dec240043','050000587350','35089',(select max(to_number(i.premium_rcv_detail_code))+1
from ins_premium_det i),'35089','35089','02', '11000003','00','Request by Mr. Omair Ali 17-Dec-2024');</v>
      </c>
    </row>
    <row r="107" spans="1:8" ht="105" x14ac:dyDescent="0.25">
      <c r="A107" t="s">
        <v>117</v>
      </c>
      <c r="B107" s="24" t="str">
        <f>VLOOKUP(A107,policy!B:C,2,0)</f>
        <v>050000587672</v>
      </c>
      <c r="C107" s="13">
        <v>46163</v>
      </c>
      <c r="D107" s="19">
        <f t="shared" si="5"/>
        <v>46163</v>
      </c>
      <c r="E107" s="18" t="s">
        <v>425</v>
      </c>
      <c r="F107" s="20" t="str">
        <f t="shared" si="4"/>
        <v>insert into ins_premium_det (premium_rcv_code,assorted_code, rec_amount,premium_rcv_detail_code,remaining_amt, payrec, mode_code,coinsurance_code,class_cd,it_remarks) values</v>
      </c>
      <c r="G107" s="21" t="str">
        <f t="shared" si="6"/>
        <v>('17Dec240043','050000587672','46163',(select max(to_number(i.premium_rcv_detail_code))+1
from ins_premium_det i),'46163','46163','02', '11000003','00','Request by Mr. Omair Ali 17-Dec-2024');</v>
      </c>
      <c r="H107" s="22" t="str">
        <f t="shared" si="7"/>
        <v>insert into ins_premium_det (premium_rcv_code,assorted_code, rec_amount,premium_rcv_detail_code,remaining_amt, payrec, mode_code,coinsurance_code,class_cd,it_remarks) values('17Dec240043','050000587672','46163',(select max(to_number(i.premium_rcv_detail_code))+1
from ins_premium_det i),'46163','46163','02', '11000003','00','Request by Mr. Omair Ali 17-Dec-2024');</v>
      </c>
    </row>
    <row r="108" spans="1:8" ht="105" x14ac:dyDescent="0.25">
      <c r="A108" t="s">
        <v>118</v>
      </c>
      <c r="B108" s="24" t="str">
        <f>VLOOKUP(A108,policy!B:C,2,0)</f>
        <v>050000588038</v>
      </c>
      <c r="C108" s="13">
        <v>18907</v>
      </c>
      <c r="D108" s="19">
        <f t="shared" si="5"/>
        <v>18907</v>
      </c>
      <c r="E108" s="18" t="s">
        <v>425</v>
      </c>
      <c r="F108" s="20" t="str">
        <f t="shared" si="4"/>
        <v>insert into ins_premium_det (premium_rcv_code,assorted_code, rec_amount,premium_rcv_detail_code,remaining_amt, payrec, mode_code,coinsurance_code,class_cd,it_remarks) values</v>
      </c>
      <c r="G108" s="21" t="str">
        <f t="shared" si="6"/>
        <v>('17Dec240043','050000588038','18907',(select max(to_number(i.premium_rcv_detail_code))+1
from ins_premium_det i),'18907','18907','02', '11000003','00','Request by Mr. Omair Ali 17-Dec-2024');</v>
      </c>
      <c r="H108" s="22" t="str">
        <f t="shared" si="7"/>
        <v>insert into ins_premium_det (premium_rcv_code,assorted_code, rec_amount,premium_rcv_detail_code,remaining_amt, payrec, mode_code,coinsurance_code,class_cd,it_remarks) values('17Dec240043','050000588038','18907',(select max(to_number(i.premium_rcv_detail_code))+1
from ins_premium_det i),'18907','18907','02', '11000003','00','Request by Mr. Omair Ali 17-Dec-2024');</v>
      </c>
    </row>
    <row r="109" spans="1:8" ht="105" x14ac:dyDescent="0.25">
      <c r="A109" t="s">
        <v>119</v>
      </c>
      <c r="B109" s="24" t="str">
        <f>VLOOKUP(A109,policy!B:C,2,0)</f>
        <v>050000589574</v>
      </c>
      <c r="C109" s="13">
        <v>2954</v>
      </c>
      <c r="D109" s="19">
        <f t="shared" si="5"/>
        <v>2954</v>
      </c>
      <c r="E109" s="18" t="s">
        <v>425</v>
      </c>
      <c r="F109" s="20" t="str">
        <f t="shared" si="4"/>
        <v>insert into ins_premium_det (premium_rcv_code,assorted_code, rec_amount,premium_rcv_detail_code,remaining_amt, payrec, mode_code,coinsurance_code,class_cd,it_remarks) values</v>
      </c>
      <c r="G109" s="21" t="str">
        <f t="shared" si="6"/>
        <v>('17Dec240043','050000589574','2954',(select max(to_number(i.premium_rcv_detail_code))+1
from ins_premium_det i),'2954','2954','02', '11000003','00','Request by Mr. Omair Ali 17-Dec-2024');</v>
      </c>
      <c r="H109" s="22" t="str">
        <f t="shared" si="7"/>
        <v>insert into ins_premium_det (premium_rcv_code,assorted_code, rec_amount,premium_rcv_detail_code,remaining_amt, payrec, mode_code,coinsurance_code,class_cd,it_remarks) values('17Dec240043','050000589574','2954',(select max(to_number(i.premium_rcv_detail_code))+1
from ins_premium_det i),'2954','2954','02', '11000003','00','Request by Mr. Omair Ali 17-Dec-2024');</v>
      </c>
    </row>
    <row r="110" spans="1:8" ht="105" x14ac:dyDescent="0.25">
      <c r="A110" t="s">
        <v>120</v>
      </c>
      <c r="B110" s="24" t="str">
        <f>VLOOKUP(A110,policy!B:C,2,0)</f>
        <v>050000590759</v>
      </c>
      <c r="C110" s="13">
        <v>111457</v>
      </c>
      <c r="D110" s="19">
        <f t="shared" si="5"/>
        <v>111457</v>
      </c>
      <c r="E110" s="18" t="s">
        <v>425</v>
      </c>
      <c r="F110" s="20" t="str">
        <f t="shared" si="4"/>
        <v>insert into ins_premium_det (premium_rcv_code,assorted_code, rec_amount,premium_rcv_detail_code,remaining_amt, payrec, mode_code,coinsurance_code,class_cd,it_remarks) values</v>
      </c>
      <c r="G110" s="21" t="str">
        <f t="shared" si="6"/>
        <v>('17Dec240043','050000590759','111457',(select max(to_number(i.premium_rcv_detail_code))+1
from ins_premium_det i),'111457','111457','02', '11000003','00','Request by Mr. Omair Ali 17-Dec-2024');</v>
      </c>
      <c r="H110" s="22" t="str">
        <f t="shared" si="7"/>
        <v>insert into ins_premium_det (premium_rcv_code,assorted_code, rec_amount,premium_rcv_detail_code,remaining_amt, payrec, mode_code,coinsurance_code,class_cd,it_remarks) values('17Dec240043','050000590759','111457',(select max(to_number(i.premium_rcv_detail_code))+1
from ins_premium_det i),'111457','111457','02', '11000003','00','Request by Mr. Omair Ali 17-Dec-2024');</v>
      </c>
    </row>
    <row r="111" spans="1:8" ht="105" x14ac:dyDescent="0.25">
      <c r="A111" t="s">
        <v>121</v>
      </c>
      <c r="B111" s="24" t="str">
        <f>VLOOKUP(A111,policy!B:C,2,0)</f>
        <v>050000597190</v>
      </c>
      <c r="C111" s="13">
        <v>-480063</v>
      </c>
      <c r="D111" s="19">
        <f t="shared" si="5"/>
        <v>-480063</v>
      </c>
      <c r="E111" s="18" t="s">
        <v>425</v>
      </c>
      <c r="F111" s="20" t="str">
        <f t="shared" si="4"/>
        <v>insert into ins_premium_det (premium_rcv_code,assorted_code, rec_amount,premium_rcv_detail_code,remaining_amt, payrec, mode_code,coinsurance_code,class_cd,it_remarks) values</v>
      </c>
      <c r="G111" s="21" t="str">
        <f t="shared" si="6"/>
        <v>('17Dec240043','050000597190','-480063',(select max(to_number(i.premium_rcv_detail_code))+1
from ins_premium_det i),'-480063','-480063','02', '11000003','00','Request by Mr. Omair Ali 17-Dec-2024');</v>
      </c>
      <c r="H111" s="22" t="str">
        <f t="shared" si="7"/>
        <v>insert into ins_premium_det (premium_rcv_code,assorted_code, rec_amount,premium_rcv_detail_code,remaining_amt, payrec, mode_code,coinsurance_code,class_cd,it_remarks) values('17Dec240043','050000597190','-480063',(select max(to_number(i.premium_rcv_detail_code))+1
from ins_premium_det i),'-480063','-480063','02', '11000003','00','Request by Mr. Omair Ali 17-Dec-2024');</v>
      </c>
    </row>
    <row r="112" spans="1:8" ht="105" x14ac:dyDescent="0.25">
      <c r="A112" t="s">
        <v>122</v>
      </c>
      <c r="B112" s="24" t="str">
        <f>VLOOKUP(A112,policy!B:C,2,0)</f>
        <v>050000597386</v>
      </c>
      <c r="C112" s="13">
        <v>4051</v>
      </c>
      <c r="D112" s="19">
        <f t="shared" si="5"/>
        <v>4051</v>
      </c>
      <c r="E112" s="18" t="s">
        <v>425</v>
      </c>
      <c r="F112" s="20" t="str">
        <f t="shared" si="4"/>
        <v>insert into ins_premium_det (premium_rcv_code,assorted_code, rec_amount,premium_rcv_detail_code,remaining_amt, payrec, mode_code,coinsurance_code,class_cd,it_remarks) values</v>
      </c>
      <c r="G112" s="21" t="str">
        <f t="shared" si="6"/>
        <v>('17Dec240043','050000597386','4051',(select max(to_number(i.premium_rcv_detail_code))+1
from ins_premium_det i),'4051','4051','02', '11000003','00','Request by Mr. Omair Ali 17-Dec-2024');</v>
      </c>
      <c r="H112" s="22" t="str">
        <f t="shared" si="7"/>
        <v>insert into ins_premium_det (premium_rcv_code,assorted_code, rec_amount,premium_rcv_detail_code,remaining_amt, payrec, mode_code,coinsurance_code,class_cd,it_remarks) values('17Dec240043','050000597386','4051',(select max(to_number(i.premium_rcv_detail_code))+1
from ins_premium_det i),'4051','4051','02', '11000003','00','Request by Mr. Omair Ali 17-Dec-2024');</v>
      </c>
    </row>
    <row r="113" spans="1:8" ht="105" x14ac:dyDescent="0.25">
      <c r="A113" t="s">
        <v>123</v>
      </c>
      <c r="B113" s="24" t="str">
        <f>VLOOKUP(A113,policy!B:C,2,0)</f>
        <v>050000598377</v>
      </c>
      <c r="C113" s="13">
        <v>-562009</v>
      </c>
      <c r="D113" s="19">
        <f t="shared" si="5"/>
        <v>-562009</v>
      </c>
      <c r="E113" s="18" t="s">
        <v>425</v>
      </c>
      <c r="F113" s="20" t="str">
        <f t="shared" si="4"/>
        <v>insert into ins_premium_det (premium_rcv_code,assorted_code, rec_amount,premium_rcv_detail_code,remaining_amt, payrec, mode_code,coinsurance_code,class_cd,it_remarks) values</v>
      </c>
      <c r="G113" s="21" t="str">
        <f t="shared" si="6"/>
        <v>('17Dec240043','050000598377','-562009',(select max(to_number(i.premium_rcv_detail_code))+1
from ins_premium_det i),'-562009','-562009','02', '11000003','00','Request by Mr. Omair Ali 17-Dec-2024');</v>
      </c>
      <c r="H113" s="22" t="str">
        <f t="shared" si="7"/>
        <v>insert into ins_premium_det (premium_rcv_code,assorted_code, rec_amount,premium_rcv_detail_code,remaining_amt, payrec, mode_code,coinsurance_code,class_cd,it_remarks) values('17Dec240043','050000598377','-562009',(select max(to_number(i.premium_rcv_detail_code))+1
from ins_premium_det i),'-562009','-562009','02', '11000003','00','Request by Mr. Omair Ali 17-Dec-2024');</v>
      </c>
    </row>
    <row r="114" spans="1:8" ht="105" x14ac:dyDescent="0.25">
      <c r="A114" t="s">
        <v>124</v>
      </c>
      <c r="B114" s="24" t="str">
        <f>VLOOKUP(A114,policy!B:C,2,0)</f>
        <v>050000599853</v>
      </c>
      <c r="C114" s="13">
        <v>1646</v>
      </c>
      <c r="D114" s="19">
        <f t="shared" si="5"/>
        <v>1646</v>
      </c>
      <c r="E114" s="18" t="s">
        <v>425</v>
      </c>
      <c r="F114" s="20" t="str">
        <f t="shared" si="4"/>
        <v>insert into ins_premium_det (premium_rcv_code,assorted_code, rec_amount,premium_rcv_detail_code,remaining_amt, payrec, mode_code,coinsurance_code,class_cd,it_remarks) values</v>
      </c>
      <c r="G114" s="21" t="str">
        <f t="shared" si="6"/>
        <v>('17Dec240043','050000599853','1646',(select max(to_number(i.premium_rcv_detail_code))+1
from ins_premium_det i),'1646','1646','02', '11000003','00','Request by Mr. Omair Ali 17-Dec-2024');</v>
      </c>
      <c r="H114" s="22" t="str">
        <f t="shared" si="7"/>
        <v>insert into ins_premium_det (premium_rcv_code,assorted_code, rec_amount,premium_rcv_detail_code,remaining_amt, payrec, mode_code,coinsurance_code,class_cd,it_remarks) values('17Dec240043','050000599853','1646',(select max(to_number(i.premium_rcv_detail_code))+1
from ins_premium_det i),'1646','1646','02', '11000003','00','Request by Mr. Omair Ali 17-Dec-2024');</v>
      </c>
    </row>
    <row r="115" spans="1:8" ht="105" x14ac:dyDescent="0.25">
      <c r="A115" t="s">
        <v>125</v>
      </c>
      <c r="B115" s="24" t="str">
        <f>VLOOKUP(A115,policy!B:C,2,0)</f>
        <v>050000599971</v>
      </c>
      <c r="C115" s="13">
        <v>19412</v>
      </c>
      <c r="D115" s="19">
        <f t="shared" si="5"/>
        <v>19412</v>
      </c>
      <c r="E115" s="18" t="s">
        <v>425</v>
      </c>
      <c r="F115" s="20" t="str">
        <f t="shared" si="4"/>
        <v>insert into ins_premium_det (premium_rcv_code,assorted_code, rec_amount,premium_rcv_detail_code,remaining_amt, payrec, mode_code,coinsurance_code,class_cd,it_remarks) values</v>
      </c>
      <c r="G115" s="21" t="str">
        <f t="shared" si="6"/>
        <v>('17Dec240043','050000599971','19412',(select max(to_number(i.premium_rcv_detail_code))+1
from ins_premium_det i),'19412','19412','02', '11000003','00','Request by Mr. Omair Ali 17-Dec-2024');</v>
      </c>
      <c r="H115" s="22" t="str">
        <f t="shared" si="7"/>
        <v>insert into ins_premium_det (premium_rcv_code,assorted_code, rec_amount,premium_rcv_detail_code,remaining_amt, payrec, mode_code,coinsurance_code,class_cd,it_remarks) values('17Dec240043','050000599971','19412',(select max(to_number(i.premium_rcv_detail_code))+1
from ins_premium_det i),'19412','19412','02', '11000003','00','Request by Mr. Omair Ali 17-Dec-2024');</v>
      </c>
    </row>
    <row r="116" spans="1:8" ht="105" x14ac:dyDescent="0.25">
      <c r="A116" t="s">
        <v>126</v>
      </c>
      <c r="B116" s="24" t="str">
        <f>VLOOKUP(A116,policy!B:C,2,0)</f>
        <v>050000604471</v>
      </c>
      <c r="C116" s="13">
        <v>24889</v>
      </c>
      <c r="D116" s="19">
        <f t="shared" si="5"/>
        <v>24889</v>
      </c>
      <c r="E116" s="18" t="s">
        <v>425</v>
      </c>
      <c r="F116" s="20" t="str">
        <f t="shared" si="4"/>
        <v>insert into ins_premium_det (premium_rcv_code,assorted_code, rec_amount,premium_rcv_detail_code,remaining_amt, payrec, mode_code,coinsurance_code,class_cd,it_remarks) values</v>
      </c>
      <c r="G116" s="21" t="str">
        <f t="shared" si="6"/>
        <v>('17Dec240043','050000604471','24889',(select max(to_number(i.premium_rcv_detail_code))+1
from ins_premium_det i),'24889','24889','02', '11000003','00','Request by Mr. Omair Ali 17-Dec-2024');</v>
      </c>
      <c r="H116" s="22" t="str">
        <f t="shared" si="7"/>
        <v>insert into ins_premium_det (premium_rcv_code,assorted_code, rec_amount,premium_rcv_detail_code,remaining_amt, payrec, mode_code,coinsurance_code,class_cd,it_remarks) values('17Dec240043','050000604471','24889',(select max(to_number(i.premium_rcv_detail_code))+1
from ins_premium_det i),'24889','24889','02', '11000003','00','Request by Mr. Omair Ali 17-Dec-2024');</v>
      </c>
    </row>
    <row r="117" spans="1:8" ht="105" x14ac:dyDescent="0.25">
      <c r="A117" t="s">
        <v>127</v>
      </c>
      <c r="B117" s="24" t="str">
        <f>VLOOKUP(A117,policy!B:C,2,0)</f>
        <v>050000606773</v>
      </c>
      <c r="C117" s="13">
        <v>45985</v>
      </c>
      <c r="D117" s="19">
        <f t="shared" si="5"/>
        <v>45985</v>
      </c>
      <c r="E117" s="18" t="s">
        <v>425</v>
      </c>
      <c r="F117" s="20" t="str">
        <f t="shared" si="4"/>
        <v>insert into ins_premium_det (premium_rcv_code,assorted_code, rec_amount,premium_rcv_detail_code,remaining_amt, payrec, mode_code,coinsurance_code,class_cd,it_remarks) values</v>
      </c>
      <c r="G117" s="21" t="str">
        <f t="shared" si="6"/>
        <v>('17Dec240043','050000606773','45985',(select max(to_number(i.premium_rcv_detail_code))+1
from ins_premium_det i),'45985','45985','02', '11000003','00','Request by Mr. Omair Ali 17-Dec-2024');</v>
      </c>
      <c r="H117" s="22" t="str">
        <f t="shared" si="7"/>
        <v>insert into ins_premium_det (premium_rcv_code,assorted_code, rec_amount,premium_rcv_detail_code,remaining_amt, payrec, mode_code,coinsurance_code,class_cd,it_remarks) values('17Dec240043','050000606773','45985',(select max(to_number(i.premium_rcv_detail_code))+1
from ins_premium_det i),'45985','45985','02', '11000003','00','Request by Mr. Omair Ali 17-Dec-2024');</v>
      </c>
    </row>
    <row r="118" spans="1:8" ht="105" x14ac:dyDescent="0.25">
      <c r="A118" t="s">
        <v>128</v>
      </c>
      <c r="B118" s="24" t="str">
        <f>VLOOKUP(A118,policy!B:C,2,0)</f>
        <v>050000610081</v>
      </c>
      <c r="C118" s="13">
        <v>11825</v>
      </c>
      <c r="D118" s="19">
        <f t="shared" si="5"/>
        <v>11825</v>
      </c>
      <c r="E118" s="18" t="s">
        <v>425</v>
      </c>
      <c r="F118" s="20" t="str">
        <f t="shared" si="4"/>
        <v>insert into ins_premium_det (premium_rcv_code,assorted_code, rec_amount,premium_rcv_detail_code,remaining_amt, payrec, mode_code,coinsurance_code,class_cd,it_remarks) values</v>
      </c>
      <c r="G118" s="21" t="str">
        <f t="shared" si="6"/>
        <v>('17Dec240043','050000610081','11825',(select max(to_number(i.premium_rcv_detail_code))+1
from ins_premium_det i),'11825','11825','02', '11000003','00','Request by Mr. Omair Ali 17-Dec-2024');</v>
      </c>
      <c r="H118" s="22" t="str">
        <f t="shared" si="7"/>
        <v>insert into ins_premium_det (premium_rcv_code,assorted_code, rec_amount,premium_rcv_detail_code,remaining_amt, payrec, mode_code,coinsurance_code,class_cd,it_remarks) values('17Dec240043','050000610081','11825',(select max(to_number(i.premium_rcv_detail_code))+1
from ins_premium_det i),'11825','11825','02', '11000003','00','Request by Mr. Omair Ali 17-Dec-2024');</v>
      </c>
    </row>
    <row r="119" spans="1:8" ht="105" x14ac:dyDescent="0.25">
      <c r="A119" t="s">
        <v>129</v>
      </c>
      <c r="B119" s="24" t="str">
        <f>VLOOKUP(A119,policy!B:C,2,0)</f>
        <v>050000614443</v>
      </c>
      <c r="C119" s="13">
        <v>1984</v>
      </c>
      <c r="D119" s="19">
        <f t="shared" si="5"/>
        <v>1984</v>
      </c>
      <c r="E119" s="18" t="s">
        <v>425</v>
      </c>
      <c r="F119" s="20" t="str">
        <f t="shared" si="4"/>
        <v>insert into ins_premium_det (premium_rcv_code,assorted_code, rec_amount,premium_rcv_detail_code,remaining_amt, payrec, mode_code,coinsurance_code,class_cd,it_remarks) values</v>
      </c>
      <c r="G119" s="21" t="str">
        <f t="shared" si="6"/>
        <v>('17Dec240043','050000614443','1984',(select max(to_number(i.premium_rcv_detail_code))+1
from ins_premium_det i),'1984','1984','02', '11000003','00','Request by Mr. Omair Ali 17-Dec-2024');</v>
      </c>
      <c r="H119" s="22" t="str">
        <f t="shared" si="7"/>
        <v>insert into ins_premium_det (premium_rcv_code,assorted_code, rec_amount,premium_rcv_detail_code,remaining_amt, payrec, mode_code,coinsurance_code,class_cd,it_remarks) values('17Dec240043','050000614443','1984',(select max(to_number(i.premium_rcv_detail_code))+1
from ins_premium_det i),'1984','1984','02', '11000003','00','Request by Mr. Omair Ali 17-Dec-2024');</v>
      </c>
    </row>
    <row r="120" spans="1:8" ht="105" x14ac:dyDescent="0.25">
      <c r="A120" t="s">
        <v>130</v>
      </c>
      <c r="B120" s="24" t="str">
        <f>VLOOKUP(A120,policy!B:C,2,0)</f>
        <v>050000660228</v>
      </c>
      <c r="C120" s="13">
        <v>-435649</v>
      </c>
      <c r="D120" s="19">
        <f t="shared" si="5"/>
        <v>-435649</v>
      </c>
      <c r="E120" s="18" t="s">
        <v>425</v>
      </c>
      <c r="F120" s="20" t="str">
        <f t="shared" si="4"/>
        <v>insert into ins_premium_det (premium_rcv_code,assorted_code, rec_amount,premium_rcv_detail_code,remaining_amt, payrec, mode_code,coinsurance_code,class_cd,it_remarks) values</v>
      </c>
      <c r="G120" s="21" t="str">
        <f t="shared" si="6"/>
        <v>('17Dec240043','050000660228','-435649',(select max(to_number(i.premium_rcv_detail_code))+1
from ins_premium_det i),'-435649','-435649','02', '11000003','00','Request by Mr. Omair Ali 17-Dec-2024');</v>
      </c>
      <c r="H120" s="22" t="str">
        <f t="shared" si="7"/>
        <v>insert into ins_premium_det (premium_rcv_code,assorted_code, rec_amount,premium_rcv_detail_code,remaining_amt, payrec, mode_code,coinsurance_code,class_cd,it_remarks) values('17Dec240043','050000660228','-435649',(select max(to_number(i.premium_rcv_detail_code))+1
from ins_premium_det i),'-435649','-435649','02', '11000003','00','Request by Mr. Omair Ali 17-Dec-2024');</v>
      </c>
    </row>
    <row r="121" spans="1:8" ht="105" x14ac:dyDescent="0.25">
      <c r="A121" t="s">
        <v>132</v>
      </c>
      <c r="B121" s="24" t="str">
        <f>VLOOKUP(A121,policy!B:C,2,0)</f>
        <v>050000633235</v>
      </c>
      <c r="C121" s="13">
        <v>14113</v>
      </c>
      <c r="D121" s="19">
        <f t="shared" si="5"/>
        <v>14113</v>
      </c>
      <c r="E121" s="18" t="s">
        <v>425</v>
      </c>
      <c r="F121" s="20" t="str">
        <f t="shared" si="4"/>
        <v>insert into ins_premium_det (premium_rcv_code,assorted_code, rec_amount,premium_rcv_detail_code,remaining_amt, payrec, mode_code,coinsurance_code,class_cd,it_remarks) values</v>
      </c>
      <c r="G121" s="21" t="str">
        <f t="shared" si="6"/>
        <v>('17Dec240043','050000633235','14113',(select max(to_number(i.premium_rcv_detail_code))+1
from ins_premium_det i),'14113','14113','02', '11000003','00','Request by Mr. Omair Ali 17-Dec-2024');</v>
      </c>
      <c r="H121" s="22" t="str">
        <f t="shared" si="7"/>
        <v>insert into ins_premium_det (premium_rcv_code,assorted_code, rec_amount,premium_rcv_detail_code,remaining_amt, payrec, mode_code,coinsurance_code,class_cd,it_remarks) values('17Dec240043','050000633235','14113',(select max(to_number(i.premium_rcv_detail_code))+1
from ins_premium_det i),'14113','14113','02', '11000003','00','Request by Mr. Omair Ali 17-Dec-2024');</v>
      </c>
    </row>
    <row r="122" spans="1:8" ht="105" x14ac:dyDescent="0.25">
      <c r="A122" t="s">
        <v>133</v>
      </c>
      <c r="B122" s="24" t="str">
        <f>VLOOKUP(A122,policy!B:C,2,0)</f>
        <v>050000635700</v>
      </c>
      <c r="C122" s="13">
        <v>15349</v>
      </c>
      <c r="D122" s="19">
        <f t="shared" si="5"/>
        <v>15349</v>
      </c>
      <c r="E122" s="18" t="s">
        <v>425</v>
      </c>
      <c r="F122" s="20" t="str">
        <f t="shared" si="4"/>
        <v>insert into ins_premium_det (premium_rcv_code,assorted_code, rec_amount,premium_rcv_detail_code,remaining_amt, payrec, mode_code,coinsurance_code,class_cd,it_remarks) values</v>
      </c>
      <c r="G122" s="21" t="str">
        <f t="shared" si="6"/>
        <v>('17Dec240043','050000635700','15349',(select max(to_number(i.premium_rcv_detail_code))+1
from ins_premium_det i),'15349','15349','02', '11000003','00','Request by Mr. Omair Ali 17-Dec-2024');</v>
      </c>
      <c r="H122" s="22" t="str">
        <f t="shared" si="7"/>
        <v>insert into ins_premium_det (premium_rcv_code,assorted_code, rec_amount,premium_rcv_detail_code,remaining_amt, payrec, mode_code,coinsurance_code,class_cd,it_remarks) values('17Dec240043','050000635700','15349',(select max(to_number(i.premium_rcv_detail_code))+1
from ins_premium_det i),'15349','15349','02', '11000003','00','Request by Mr. Omair Ali 17-Dec-2024');</v>
      </c>
    </row>
    <row r="123" spans="1:8" ht="105" x14ac:dyDescent="0.25">
      <c r="A123" t="s">
        <v>134</v>
      </c>
      <c r="B123" s="24" t="str">
        <f>VLOOKUP(A123,policy!B:C,2,0)</f>
        <v>050000638572</v>
      </c>
      <c r="C123" s="13">
        <v>90761</v>
      </c>
      <c r="D123" s="19">
        <f t="shared" si="5"/>
        <v>90761</v>
      </c>
      <c r="E123" s="18" t="s">
        <v>425</v>
      </c>
      <c r="F123" s="20" t="str">
        <f t="shared" si="4"/>
        <v>insert into ins_premium_det (premium_rcv_code,assorted_code, rec_amount,premium_rcv_detail_code,remaining_amt, payrec, mode_code,coinsurance_code,class_cd,it_remarks) values</v>
      </c>
      <c r="G123" s="21" t="str">
        <f t="shared" si="6"/>
        <v>('17Dec240043','050000638572','90761',(select max(to_number(i.premium_rcv_detail_code))+1
from ins_premium_det i),'90761','90761','02', '11000003','00','Request by Mr. Omair Ali 17-Dec-2024');</v>
      </c>
      <c r="H123" s="22" t="str">
        <f t="shared" si="7"/>
        <v>insert into ins_premium_det (premium_rcv_code,assorted_code, rec_amount,premium_rcv_detail_code,remaining_amt, payrec, mode_code,coinsurance_code,class_cd,it_remarks) values('17Dec240043','050000638572','90761',(select max(to_number(i.premium_rcv_detail_code))+1
from ins_premium_det i),'90761','90761','02', '11000003','00','Request by Mr. Omair Ali 17-Dec-2024');</v>
      </c>
    </row>
    <row r="124" spans="1:8" ht="105" x14ac:dyDescent="0.25">
      <c r="A124" t="s">
        <v>135</v>
      </c>
      <c r="B124" s="24" t="str">
        <f>VLOOKUP(A124,policy!B:C,2,0)</f>
        <v>050000645570</v>
      </c>
      <c r="C124" s="13">
        <v>264</v>
      </c>
      <c r="D124" s="19">
        <f t="shared" si="5"/>
        <v>264</v>
      </c>
      <c r="E124" s="18" t="s">
        <v>425</v>
      </c>
      <c r="F124" s="20" t="str">
        <f t="shared" si="4"/>
        <v>insert into ins_premium_det (premium_rcv_code,assorted_code, rec_amount,premium_rcv_detail_code,remaining_amt, payrec, mode_code,coinsurance_code,class_cd,it_remarks) values</v>
      </c>
      <c r="G124" s="21" t="str">
        <f t="shared" si="6"/>
        <v>('17Dec240043','050000645570','264',(select max(to_number(i.premium_rcv_detail_code))+1
from ins_premium_det i),'264','264','02', '11000003','00','Request by Mr. Omair Ali 17-Dec-2024');</v>
      </c>
      <c r="H124" s="22" t="str">
        <f t="shared" si="7"/>
        <v>insert into ins_premium_det (premium_rcv_code,assorted_code, rec_amount,premium_rcv_detail_code,remaining_amt, payrec, mode_code,coinsurance_code,class_cd,it_remarks) values('17Dec240043','050000645570','264',(select max(to_number(i.premium_rcv_detail_code))+1
from ins_premium_det i),'264','264','02', '11000003','00','Request by Mr. Omair Ali 17-Dec-2024');</v>
      </c>
    </row>
    <row r="125" spans="1:8" ht="105" x14ac:dyDescent="0.25">
      <c r="A125" t="s">
        <v>136</v>
      </c>
      <c r="B125" s="24" t="str">
        <f>VLOOKUP(A125,policy!B:C,2,0)</f>
        <v>050000648108</v>
      </c>
      <c r="C125" s="13">
        <v>15645</v>
      </c>
      <c r="D125" s="19">
        <f t="shared" si="5"/>
        <v>15645</v>
      </c>
      <c r="E125" s="18" t="s">
        <v>425</v>
      </c>
      <c r="F125" s="20" t="str">
        <f t="shared" si="4"/>
        <v>insert into ins_premium_det (premium_rcv_code,assorted_code, rec_amount,premium_rcv_detail_code,remaining_amt, payrec, mode_code,coinsurance_code,class_cd,it_remarks) values</v>
      </c>
      <c r="G125" s="21" t="str">
        <f t="shared" si="6"/>
        <v>('17Dec240043','050000648108','15645',(select max(to_number(i.premium_rcv_detail_code))+1
from ins_premium_det i),'15645','15645','02', '11000003','00','Request by Mr. Omair Ali 17-Dec-2024');</v>
      </c>
      <c r="H125" s="22" t="str">
        <f t="shared" si="7"/>
        <v>insert into ins_premium_det (premium_rcv_code,assorted_code, rec_amount,premium_rcv_detail_code,remaining_amt, payrec, mode_code,coinsurance_code,class_cd,it_remarks) values('17Dec240043','050000648108','15645',(select max(to_number(i.premium_rcv_detail_code))+1
from ins_premium_det i),'15645','15645','02', '11000003','00','Request by Mr. Omair Ali 17-Dec-2024');</v>
      </c>
    </row>
    <row r="126" spans="1:8" ht="105" x14ac:dyDescent="0.25">
      <c r="A126" t="s">
        <v>137</v>
      </c>
      <c r="B126" s="24" t="str">
        <f>VLOOKUP(A126,policy!B:C,2,0)</f>
        <v>050000648488</v>
      </c>
      <c r="C126" s="13">
        <v>143528</v>
      </c>
      <c r="D126" s="19">
        <f t="shared" si="5"/>
        <v>143528</v>
      </c>
      <c r="E126" s="18" t="s">
        <v>425</v>
      </c>
      <c r="F126" s="20" t="str">
        <f t="shared" si="4"/>
        <v>insert into ins_premium_det (premium_rcv_code,assorted_code, rec_amount,premium_rcv_detail_code,remaining_amt, payrec, mode_code,coinsurance_code,class_cd,it_remarks) values</v>
      </c>
      <c r="G126" s="21" t="str">
        <f t="shared" si="6"/>
        <v>('17Dec240043','050000648488','143528',(select max(to_number(i.premium_rcv_detail_code))+1
from ins_premium_det i),'143528','143528','02', '11000003','00','Request by Mr. Omair Ali 17-Dec-2024');</v>
      </c>
      <c r="H126" s="22" t="str">
        <f t="shared" si="7"/>
        <v>insert into ins_premium_det (premium_rcv_code,assorted_code, rec_amount,premium_rcv_detail_code,remaining_amt, payrec, mode_code,coinsurance_code,class_cd,it_remarks) values('17Dec240043','050000648488','143528',(select max(to_number(i.premium_rcv_detail_code))+1
from ins_premium_det i),'143528','143528','02', '11000003','00','Request by Mr. Omair Ali 17-Dec-2024');</v>
      </c>
    </row>
    <row r="127" spans="1:8" ht="105" x14ac:dyDescent="0.25">
      <c r="A127" t="s">
        <v>138</v>
      </c>
      <c r="B127" s="24" t="str">
        <f>VLOOKUP(A127,policy!B:C,2,0)</f>
        <v>050000652853</v>
      </c>
      <c r="C127" s="13">
        <v>110089</v>
      </c>
      <c r="D127" s="19">
        <f t="shared" si="5"/>
        <v>110089</v>
      </c>
      <c r="E127" s="18" t="s">
        <v>425</v>
      </c>
      <c r="F127" s="20" t="str">
        <f t="shared" si="4"/>
        <v>insert into ins_premium_det (premium_rcv_code,assorted_code, rec_amount,premium_rcv_detail_code,remaining_amt, payrec, mode_code,coinsurance_code,class_cd,it_remarks) values</v>
      </c>
      <c r="G127" s="21" t="str">
        <f t="shared" si="6"/>
        <v>('17Dec240043','050000652853','110089',(select max(to_number(i.premium_rcv_detail_code))+1
from ins_premium_det i),'110089','110089','02', '11000003','00','Request by Mr. Omair Ali 17-Dec-2024');</v>
      </c>
      <c r="H127" s="22" t="str">
        <f t="shared" si="7"/>
        <v>insert into ins_premium_det (premium_rcv_code,assorted_code, rec_amount,premium_rcv_detail_code,remaining_amt, payrec, mode_code,coinsurance_code,class_cd,it_remarks) values('17Dec240043','050000652853','110089',(select max(to_number(i.premium_rcv_detail_code))+1
from ins_premium_det i),'110089','110089','02', '11000003','00','Request by Mr. Omair Ali 17-Dec-2024');</v>
      </c>
    </row>
    <row r="128" spans="1:8" ht="105" x14ac:dyDescent="0.25">
      <c r="A128" t="s">
        <v>139</v>
      </c>
      <c r="B128" s="24" t="str">
        <f>VLOOKUP(A128,policy!B:C,2,0)</f>
        <v>050000655884</v>
      </c>
      <c r="C128" s="13">
        <v>11725</v>
      </c>
      <c r="D128" s="19">
        <f t="shared" si="5"/>
        <v>11725</v>
      </c>
      <c r="E128" s="18" t="s">
        <v>425</v>
      </c>
      <c r="F128" s="20" t="str">
        <f t="shared" si="4"/>
        <v>insert into ins_premium_det (premium_rcv_code,assorted_code, rec_amount,premium_rcv_detail_code,remaining_amt, payrec, mode_code,coinsurance_code,class_cd,it_remarks) values</v>
      </c>
      <c r="G128" s="21" t="str">
        <f t="shared" si="6"/>
        <v>('17Dec240043','050000655884','11725',(select max(to_number(i.premium_rcv_detail_code))+1
from ins_premium_det i),'11725','11725','02', '11000003','00','Request by Mr. Omair Ali 17-Dec-2024');</v>
      </c>
      <c r="H128" s="22" t="str">
        <f t="shared" si="7"/>
        <v>insert into ins_premium_det (premium_rcv_code,assorted_code, rec_amount,premium_rcv_detail_code,remaining_amt, payrec, mode_code,coinsurance_code,class_cd,it_remarks) values('17Dec240043','050000655884','11725',(select max(to_number(i.premium_rcv_detail_code))+1
from ins_premium_det i),'11725','11725','02', '11000003','00','Request by Mr. Omair Ali 17-Dec-2024');</v>
      </c>
    </row>
    <row r="129" spans="1:8" ht="105" x14ac:dyDescent="0.25">
      <c r="A129" t="s">
        <v>140</v>
      </c>
      <c r="B129" s="24" t="str">
        <f>VLOOKUP(A129,policy!B:C,2,0)</f>
        <v>050000664248</v>
      </c>
      <c r="C129" s="13">
        <v>11128</v>
      </c>
      <c r="D129" s="19">
        <f t="shared" si="5"/>
        <v>11128</v>
      </c>
      <c r="E129" s="18" t="s">
        <v>425</v>
      </c>
      <c r="F129" s="20" t="str">
        <f t="shared" si="4"/>
        <v>insert into ins_premium_det (premium_rcv_code,assorted_code, rec_amount,premium_rcv_detail_code,remaining_amt, payrec, mode_code,coinsurance_code,class_cd,it_remarks) values</v>
      </c>
      <c r="G129" s="21" t="str">
        <f t="shared" si="6"/>
        <v>('17Dec240043','050000664248','11128',(select max(to_number(i.premium_rcv_detail_code))+1
from ins_premium_det i),'11128','11128','02', '11000003','00','Request by Mr. Omair Ali 17-Dec-2024');</v>
      </c>
      <c r="H129" s="22" t="str">
        <f t="shared" si="7"/>
        <v>insert into ins_premium_det (premium_rcv_code,assorted_code, rec_amount,premium_rcv_detail_code,remaining_amt, payrec, mode_code,coinsurance_code,class_cd,it_remarks) values('17Dec240043','050000664248','11128',(select max(to_number(i.premium_rcv_detail_code))+1
from ins_premium_det i),'11128','11128','02', '11000003','00','Request by Mr. Omair Ali 17-Dec-2024');</v>
      </c>
    </row>
    <row r="130" spans="1:8" ht="105" x14ac:dyDescent="0.25">
      <c r="A130" t="s">
        <v>141</v>
      </c>
      <c r="B130" s="24" t="str">
        <f>VLOOKUP(A130,policy!B:C,2,0)</f>
        <v>050000665293</v>
      </c>
      <c r="C130" s="13">
        <v>1</v>
      </c>
      <c r="D130" s="19">
        <f t="shared" si="5"/>
        <v>1</v>
      </c>
      <c r="E130" s="18" t="s">
        <v>425</v>
      </c>
      <c r="F130" s="20" t="str">
        <f t="shared" ref="F130:F174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1" t="str">
        <f t="shared" si="6"/>
        <v>('17Dec240043','050000665293','1',(select max(to_number(i.premium_rcv_detail_code))+1
from ins_premium_det i),'1','1','02', '11000003','00','Request by Mr. Omair Ali 17-Dec-2024');</v>
      </c>
      <c r="H130" s="22" t="str">
        <f t="shared" si="7"/>
        <v>insert into ins_premium_det (premium_rcv_code,assorted_code, rec_amount,premium_rcv_detail_code,remaining_amt, payrec, mode_code,coinsurance_code,class_cd,it_remarks) values('17Dec240043','050000665293','1',(select max(to_number(i.premium_rcv_detail_code))+1
from ins_premium_det i),'1','1','02', '11000003','00','Request by Mr. Omair Ali 17-Dec-2024');</v>
      </c>
    </row>
    <row r="131" spans="1:8" ht="105" x14ac:dyDescent="0.25">
      <c r="A131" t="s">
        <v>142</v>
      </c>
      <c r="B131" s="24" t="str">
        <f>VLOOKUP(A131,policy!B:C,2,0)</f>
        <v>050000665992</v>
      </c>
      <c r="C131" s="13">
        <v>70840</v>
      </c>
      <c r="D131" s="19">
        <f t="shared" ref="D131:D174" si="9">ROUND(C131,0)</f>
        <v>70840</v>
      </c>
      <c r="E131" s="18" t="s">
        <v>425</v>
      </c>
      <c r="F131" s="20" t="str">
        <f t="shared" si="8"/>
        <v>insert into ins_premium_det (premium_rcv_code,assorted_code, rec_amount,premium_rcv_detail_code,remaining_amt, payrec, mode_code,coinsurance_code,class_cd,it_remarks) values</v>
      </c>
      <c r="G131" s="21" t="str">
        <f t="shared" ref="G131:G174" si="10">"('"&amp;E131&amp;"','"&amp;B131&amp;"','"&amp;D131&amp;"',(select max(to_number(i.premium_rcv_detail_code))+1
from ins_premium_det i),'"&amp;D131&amp;"','"&amp;D131&amp;"','02', '11000003','00','Request by Mr. Omair Ali 17-Dec-2024');"</f>
        <v>('17Dec240043','050000665992','70840',(select max(to_number(i.premium_rcv_detail_code))+1
from ins_premium_det i),'70840','70840','02', '11000003','00','Request by Mr. Omair Ali 17-Dec-2024');</v>
      </c>
      <c r="H131" s="22" t="str">
        <f t="shared" ref="H131:H174" si="11">F131&amp;G131</f>
        <v>insert into ins_premium_det (premium_rcv_code,assorted_code, rec_amount,premium_rcv_detail_code,remaining_amt, payrec, mode_code,coinsurance_code,class_cd,it_remarks) values('17Dec240043','050000665992','70840',(select max(to_number(i.premium_rcv_detail_code))+1
from ins_premium_det i),'70840','70840','02', '11000003','00','Request by Mr. Omair Ali 17-Dec-2024');</v>
      </c>
    </row>
    <row r="132" spans="1:8" ht="105" x14ac:dyDescent="0.25">
      <c r="A132" t="s">
        <v>143</v>
      </c>
      <c r="B132" s="24" t="str">
        <f>VLOOKUP(A132,policy!B:C,2,0)</f>
        <v>050000668338</v>
      </c>
      <c r="C132" s="13">
        <v>-108118</v>
      </c>
      <c r="D132" s="19">
        <f t="shared" si="9"/>
        <v>-108118</v>
      </c>
      <c r="E132" s="18" t="s">
        <v>425</v>
      </c>
      <c r="F132" s="20" t="str">
        <f t="shared" si="8"/>
        <v>insert into ins_premium_det (premium_rcv_code,assorted_code, rec_amount,premium_rcv_detail_code,remaining_amt, payrec, mode_code,coinsurance_code,class_cd,it_remarks) values</v>
      </c>
      <c r="G132" s="21" t="str">
        <f t="shared" si="10"/>
        <v>('17Dec240043','050000668338','-108118',(select max(to_number(i.premium_rcv_detail_code))+1
from ins_premium_det i),'-108118','-108118','02', '11000003','00','Request by Mr. Omair Ali 17-Dec-2024');</v>
      </c>
      <c r="H132" s="22" t="str">
        <f t="shared" si="11"/>
        <v>insert into ins_premium_det (premium_rcv_code,assorted_code, rec_amount,premium_rcv_detail_code,remaining_amt, payrec, mode_code,coinsurance_code,class_cd,it_remarks) values('17Dec240043','050000668338','-108118',(select max(to_number(i.premium_rcv_detail_code))+1
from ins_premium_det i),'-108118','-108118','02', '11000003','00','Request by Mr. Omair Ali 17-Dec-2024');</v>
      </c>
    </row>
    <row r="133" spans="1:8" ht="105" x14ac:dyDescent="0.25">
      <c r="A133" t="s">
        <v>144</v>
      </c>
      <c r="B133" s="24" t="str">
        <f>VLOOKUP(A133,policy!B:C,2,0)</f>
        <v>050000668363</v>
      </c>
      <c r="C133" s="13">
        <v>15347</v>
      </c>
      <c r="D133" s="19">
        <f t="shared" si="9"/>
        <v>15347</v>
      </c>
      <c r="E133" s="18" t="s">
        <v>425</v>
      </c>
      <c r="F133" s="20" t="str">
        <f t="shared" si="8"/>
        <v>insert into ins_premium_det (premium_rcv_code,assorted_code, rec_amount,premium_rcv_detail_code,remaining_amt, payrec, mode_code,coinsurance_code,class_cd,it_remarks) values</v>
      </c>
      <c r="G133" s="21" t="str">
        <f t="shared" si="10"/>
        <v>('17Dec240043','050000668363','15347',(select max(to_number(i.premium_rcv_detail_code))+1
from ins_premium_det i),'15347','15347','02', '11000003','00','Request by Mr. Omair Ali 17-Dec-2024');</v>
      </c>
      <c r="H133" s="22" t="str">
        <f t="shared" si="11"/>
        <v>insert into ins_premium_det (premium_rcv_code,assorted_code, rec_amount,premium_rcv_detail_code,remaining_amt, payrec, mode_code,coinsurance_code,class_cd,it_remarks) values('17Dec240043','050000668363','15347',(select max(to_number(i.premium_rcv_detail_code))+1
from ins_premium_det i),'15347','15347','02', '11000003','00','Request by Mr. Omair Ali 17-Dec-2024');</v>
      </c>
    </row>
    <row r="134" spans="1:8" ht="105" x14ac:dyDescent="0.25">
      <c r="A134" t="s">
        <v>145</v>
      </c>
      <c r="B134" s="24" t="str">
        <f>VLOOKUP(A134,policy!B:C,2,0)</f>
        <v>050000668960</v>
      </c>
      <c r="C134" s="13">
        <v>-414289</v>
      </c>
      <c r="D134" s="19">
        <f t="shared" si="9"/>
        <v>-414289</v>
      </c>
      <c r="E134" s="18" t="s">
        <v>425</v>
      </c>
      <c r="F134" s="20" t="str">
        <f t="shared" si="8"/>
        <v>insert into ins_premium_det (premium_rcv_code,assorted_code, rec_amount,premium_rcv_detail_code,remaining_amt, payrec, mode_code,coinsurance_code,class_cd,it_remarks) values</v>
      </c>
      <c r="G134" s="21" t="str">
        <f t="shared" si="10"/>
        <v>('17Dec240043','050000668960','-414289',(select max(to_number(i.premium_rcv_detail_code))+1
from ins_premium_det i),'-414289','-414289','02', '11000003','00','Request by Mr. Omair Ali 17-Dec-2024');</v>
      </c>
      <c r="H134" s="22" t="str">
        <f t="shared" si="11"/>
        <v>insert into ins_premium_det (premium_rcv_code,assorted_code, rec_amount,premium_rcv_detail_code,remaining_amt, payrec, mode_code,coinsurance_code,class_cd,it_remarks) values('17Dec240043','050000668960','-414289',(select max(to_number(i.premium_rcv_detail_code))+1
from ins_premium_det i),'-414289','-414289','02', '11000003','00','Request by Mr. Omair Ali 17-Dec-2024');</v>
      </c>
    </row>
    <row r="135" spans="1:8" ht="105" x14ac:dyDescent="0.25">
      <c r="A135" t="s">
        <v>146</v>
      </c>
      <c r="B135" s="24" t="str">
        <f>VLOOKUP(A135,policy!B:C,2,0)</f>
        <v>050000670056</v>
      </c>
      <c r="C135" s="13">
        <v>15606</v>
      </c>
      <c r="D135" s="19">
        <f t="shared" si="9"/>
        <v>15606</v>
      </c>
      <c r="E135" s="18" t="s">
        <v>425</v>
      </c>
      <c r="F135" s="20" t="str">
        <f t="shared" si="8"/>
        <v>insert into ins_premium_det (premium_rcv_code,assorted_code, rec_amount,premium_rcv_detail_code,remaining_amt, payrec, mode_code,coinsurance_code,class_cd,it_remarks) values</v>
      </c>
      <c r="G135" s="21" t="str">
        <f t="shared" si="10"/>
        <v>('17Dec240043','050000670056','15606',(select max(to_number(i.premium_rcv_detail_code))+1
from ins_premium_det i),'15606','15606','02', '11000003','00','Request by Mr. Omair Ali 17-Dec-2024');</v>
      </c>
      <c r="H135" s="22" t="str">
        <f t="shared" si="11"/>
        <v>insert into ins_premium_det (premium_rcv_code,assorted_code, rec_amount,premium_rcv_detail_code,remaining_amt, payrec, mode_code,coinsurance_code,class_cd,it_remarks) values('17Dec240043','050000670056','15606',(select max(to_number(i.premium_rcv_detail_code))+1
from ins_premium_det i),'15606','15606','02', '11000003','00','Request by Mr. Omair Ali 17-Dec-2024');</v>
      </c>
    </row>
    <row r="136" spans="1:8" ht="105" x14ac:dyDescent="0.25">
      <c r="A136" t="s">
        <v>147</v>
      </c>
      <c r="B136" s="24" t="str">
        <f>VLOOKUP(A136,policy!B:C,2,0)</f>
        <v>050000674057</v>
      </c>
      <c r="C136" s="13">
        <v>-5647</v>
      </c>
      <c r="D136" s="19">
        <f t="shared" si="9"/>
        <v>-5647</v>
      </c>
      <c r="E136" s="18" t="s">
        <v>425</v>
      </c>
      <c r="F136" s="20" t="str">
        <f t="shared" si="8"/>
        <v>insert into ins_premium_det (premium_rcv_code,assorted_code, rec_amount,premium_rcv_detail_code,remaining_amt, payrec, mode_code,coinsurance_code,class_cd,it_remarks) values</v>
      </c>
      <c r="G136" s="21" t="str">
        <f t="shared" si="10"/>
        <v>('17Dec240043','050000674057','-5647',(select max(to_number(i.premium_rcv_detail_code))+1
from ins_premium_det i),'-5647','-5647','02', '11000003','00','Request by Mr. Omair Ali 17-Dec-2024');</v>
      </c>
      <c r="H136" s="22" t="str">
        <f t="shared" si="11"/>
        <v>insert into ins_premium_det (premium_rcv_code,assorted_code, rec_amount,premium_rcv_detail_code,remaining_amt, payrec, mode_code,coinsurance_code,class_cd,it_remarks) values('17Dec240043','050000674057','-5647',(select max(to_number(i.premium_rcv_detail_code))+1
from ins_premium_det i),'-5647','-5647','02', '11000003','00','Request by Mr. Omair Ali 17-Dec-2024');</v>
      </c>
    </row>
    <row r="137" spans="1:8" ht="105" x14ac:dyDescent="0.25">
      <c r="A137" t="s">
        <v>148</v>
      </c>
      <c r="B137" s="24" t="str">
        <f>VLOOKUP(A137,policy!B:C,2,0)</f>
        <v>050000676031</v>
      </c>
      <c r="C137" s="13">
        <v>-69192</v>
      </c>
      <c r="D137" s="19">
        <f t="shared" si="9"/>
        <v>-69192</v>
      </c>
      <c r="E137" s="18" t="s">
        <v>425</v>
      </c>
      <c r="F137" s="20" t="str">
        <f t="shared" si="8"/>
        <v>insert into ins_premium_det (premium_rcv_code,assorted_code, rec_amount,premium_rcv_detail_code,remaining_amt, payrec, mode_code,coinsurance_code,class_cd,it_remarks) values</v>
      </c>
      <c r="G137" s="21" t="str">
        <f t="shared" si="10"/>
        <v>('17Dec240043','050000676031','-69192',(select max(to_number(i.premium_rcv_detail_code))+1
from ins_premium_det i),'-69192','-69192','02', '11000003','00','Request by Mr. Omair Ali 17-Dec-2024');</v>
      </c>
      <c r="H137" s="22" t="str">
        <f t="shared" si="11"/>
        <v>insert into ins_premium_det (premium_rcv_code,assorted_code, rec_amount,premium_rcv_detail_code,remaining_amt, payrec, mode_code,coinsurance_code,class_cd,it_remarks) values('17Dec240043','050000676031','-69192',(select max(to_number(i.premium_rcv_detail_code))+1
from ins_premium_det i),'-69192','-69192','02', '11000003','00','Request by Mr. Omair Ali 17-Dec-2024');</v>
      </c>
    </row>
    <row r="138" spans="1:8" ht="105" x14ac:dyDescent="0.25">
      <c r="A138" t="s">
        <v>149</v>
      </c>
      <c r="B138" s="24" t="str">
        <f>VLOOKUP(A138,policy!B:C,2,0)</f>
        <v>050000678826</v>
      </c>
      <c r="C138" s="13">
        <v>10603</v>
      </c>
      <c r="D138" s="19">
        <f t="shared" si="9"/>
        <v>10603</v>
      </c>
      <c r="E138" s="18" t="s">
        <v>425</v>
      </c>
      <c r="F138" s="20" t="str">
        <f t="shared" si="8"/>
        <v>insert into ins_premium_det (premium_rcv_code,assorted_code, rec_amount,premium_rcv_detail_code,remaining_amt, payrec, mode_code,coinsurance_code,class_cd,it_remarks) values</v>
      </c>
      <c r="G138" s="21" t="str">
        <f t="shared" si="10"/>
        <v>('17Dec240043','050000678826','10603',(select max(to_number(i.premium_rcv_detail_code))+1
from ins_premium_det i),'10603','10603','02', '11000003','00','Request by Mr. Omair Ali 17-Dec-2024');</v>
      </c>
      <c r="H138" s="22" t="str">
        <f t="shared" si="11"/>
        <v>insert into ins_premium_det (premium_rcv_code,assorted_code, rec_amount,premium_rcv_detail_code,remaining_amt, payrec, mode_code,coinsurance_code,class_cd,it_remarks) values('17Dec240043','050000678826','10603',(select max(to_number(i.premium_rcv_detail_code))+1
from ins_premium_det i),'10603','10603','02', '11000003','00','Request by Mr. Omair Ali 17-Dec-2024');</v>
      </c>
    </row>
    <row r="139" spans="1:8" ht="105" x14ac:dyDescent="0.25">
      <c r="A139" t="s">
        <v>150</v>
      </c>
      <c r="B139" s="24" t="str">
        <f>VLOOKUP(A139,policy!B:C,2,0)</f>
        <v>050000679064</v>
      </c>
      <c r="C139" s="13">
        <v>5647</v>
      </c>
      <c r="D139" s="19">
        <f t="shared" si="9"/>
        <v>5647</v>
      </c>
      <c r="E139" s="18" t="s">
        <v>425</v>
      </c>
      <c r="F139" s="20" t="str">
        <f t="shared" si="8"/>
        <v>insert into ins_premium_det (premium_rcv_code,assorted_code, rec_amount,premium_rcv_detail_code,remaining_amt, payrec, mode_code,coinsurance_code,class_cd,it_remarks) values</v>
      </c>
      <c r="G139" s="21" t="str">
        <f t="shared" si="10"/>
        <v>('17Dec240043','050000679064','5647',(select max(to_number(i.premium_rcv_detail_code))+1
from ins_premium_det i),'5647','5647','02', '11000003','00','Request by Mr. Omair Ali 17-Dec-2024');</v>
      </c>
      <c r="H139" s="22" t="str">
        <f t="shared" si="11"/>
        <v>insert into ins_premium_det (premium_rcv_code,assorted_code, rec_amount,premium_rcv_detail_code,remaining_amt, payrec, mode_code,coinsurance_code,class_cd,it_remarks) values('17Dec240043','050000679064','5647',(select max(to_number(i.premium_rcv_detail_code))+1
from ins_premium_det i),'5647','5647','02', '11000003','00','Request by Mr. Omair Ali 17-Dec-2024');</v>
      </c>
    </row>
    <row r="140" spans="1:8" ht="105" x14ac:dyDescent="0.25">
      <c r="A140" t="s">
        <v>151</v>
      </c>
      <c r="B140" s="24" t="str">
        <f>VLOOKUP(A140,policy!B:C,2,0)</f>
        <v>050000680520</v>
      </c>
      <c r="C140" s="13">
        <v>15435</v>
      </c>
      <c r="D140" s="19">
        <f t="shared" si="9"/>
        <v>15435</v>
      </c>
      <c r="E140" s="18" t="s">
        <v>425</v>
      </c>
      <c r="F140" s="20" t="str">
        <f t="shared" si="8"/>
        <v>insert into ins_premium_det (premium_rcv_code,assorted_code, rec_amount,premium_rcv_detail_code,remaining_amt, payrec, mode_code,coinsurance_code,class_cd,it_remarks) values</v>
      </c>
      <c r="G140" s="21" t="str">
        <f t="shared" si="10"/>
        <v>('17Dec240043','050000680520','15435',(select max(to_number(i.premium_rcv_detail_code))+1
from ins_premium_det i),'15435','15435','02', '11000003','00','Request by Mr. Omair Ali 17-Dec-2024');</v>
      </c>
      <c r="H140" s="22" t="str">
        <f t="shared" si="11"/>
        <v>insert into ins_premium_det (premium_rcv_code,assorted_code, rec_amount,premium_rcv_detail_code,remaining_amt, payrec, mode_code,coinsurance_code,class_cd,it_remarks) values('17Dec240043','050000680520','15435',(select max(to_number(i.premium_rcv_detail_code))+1
from ins_premium_det i),'15435','15435','02', '11000003','00','Request by Mr. Omair Ali 17-Dec-2024');</v>
      </c>
    </row>
    <row r="141" spans="1:8" ht="105" x14ac:dyDescent="0.25">
      <c r="A141" t="s">
        <v>152</v>
      </c>
      <c r="B141" s="24" t="str">
        <f>VLOOKUP(A141,policy!B:C,2,0)</f>
        <v>050000685756</v>
      </c>
      <c r="C141" s="13">
        <v>19656</v>
      </c>
      <c r="D141" s="19">
        <f t="shared" si="9"/>
        <v>19656</v>
      </c>
      <c r="E141" s="18" t="s">
        <v>425</v>
      </c>
      <c r="F141" s="20" t="str">
        <f t="shared" si="8"/>
        <v>insert into ins_premium_det (premium_rcv_code,assorted_code, rec_amount,premium_rcv_detail_code,remaining_amt, payrec, mode_code,coinsurance_code,class_cd,it_remarks) values</v>
      </c>
      <c r="G141" s="21" t="str">
        <f t="shared" si="10"/>
        <v>('17Dec240043','050000685756','19656',(select max(to_number(i.premium_rcv_detail_code))+1
from ins_premium_det i),'19656','19656','02', '11000003','00','Request by Mr. Omair Ali 17-Dec-2024');</v>
      </c>
      <c r="H141" s="22" t="str">
        <f t="shared" si="11"/>
        <v>insert into ins_premium_det (premium_rcv_code,assorted_code, rec_amount,premium_rcv_detail_code,remaining_amt, payrec, mode_code,coinsurance_code,class_cd,it_remarks) values('17Dec240043','050000685756','19656',(select max(to_number(i.premium_rcv_detail_code))+1
from ins_premium_det i),'19656','19656','02', '11000003','00','Request by Mr. Omair Ali 17-Dec-2024');</v>
      </c>
    </row>
    <row r="142" spans="1:8" ht="105" x14ac:dyDescent="0.25">
      <c r="A142" t="s">
        <v>153</v>
      </c>
      <c r="B142" s="24" t="str">
        <f>VLOOKUP(A142,policy!B:C,2,0)</f>
        <v>050000688175</v>
      </c>
      <c r="C142" s="13">
        <v>27062</v>
      </c>
      <c r="D142" s="19">
        <f t="shared" si="9"/>
        <v>27062</v>
      </c>
      <c r="E142" s="18" t="s">
        <v>425</v>
      </c>
      <c r="F142" s="20" t="str">
        <f t="shared" si="8"/>
        <v>insert into ins_premium_det (premium_rcv_code,assorted_code, rec_amount,premium_rcv_detail_code,remaining_amt, payrec, mode_code,coinsurance_code,class_cd,it_remarks) values</v>
      </c>
      <c r="G142" s="21" t="str">
        <f t="shared" si="10"/>
        <v>('17Dec240043','050000688175','27062',(select max(to_number(i.premium_rcv_detail_code))+1
from ins_premium_det i),'27062','27062','02', '11000003','00','Request by Mr. Omair Ali 17-Dec-2024');</v>
      </c>
      <c r="H142" s="22" t="str">
        <f t="shared" si="11"/>
        <v>insert into ins_premium_det (premium_rcv_code,assorted_code, rec_amount,premium_rcv_detail_code,remaining_amt, payrec, mode_code,coinsurance_code,class_cd,it_remarks) values('17Dec240043','050000688175','27062',(select max(to_number(i.premium_rcv_detail_code))+1
from ins_premium_det i),'27062','27062','02', '11000003','00','Request by Mr. Omair Ali 17-Dec-2024');</v>
      </c>
    </row>
    <row r="143" spans="1:8" ht="105" x14ac:dyDescent="0.25">
      <c r="A143" t="s">
        <v>154</v>
      </c>
      <c r="B143" s="24" t="str">
        <f>VLOOKUP(A143,policy!B:C,2,0)</f>
        <v>050000688920</v>
      </c>
      <c r="C143" s="13">
        <v>-261197</v>
      </c>
      <c r="D143" s="19">
        <f t="shared" si="9"/>
        <v>-261197</v>
      </c>
      <c r="E143" s="18" t="s">
        <v>425</v>
      </c>
      <c r="F143" s="20" t="str">
        <f t="shared" si="8"/>
        <v>insert into ins_premium_det (premium_rcv_code,assorted_code, rec_amount,premium_rcv_detail_code,remaining_amt, payrec, mode_code,coinsurance_code,class_cd,it_remarks) values</v>
      </c>
      <c r="G143" s="21" t="str">
        <f t="shared" si="10"/>
        <v>('17Dec240043','050000688920','-261197',(select max(to_number(i.premium_rcv_detail_code))+1
from ins_premium_det i),'-261197','-261197','02', '11000003','00','Request by Mr. Omair Ali 17-Dec-2024');</v>
      </c>
      <c r="H143" s="22" t="str">
        <f t="shared" si="11"/>
        <v>insert into ins_premium_det (premium_rcv_code,assorted_code, rec_amount,premium_rcv_detail_code,remaining_amt, payrec, mode_code,coinsurance_code,class_cd,it_remarks) values('17Dec240043','050000688920','-261197',(select max(to_number(i.premium_rcv_detail_code))+1
from ins_premium_det i),'-261197','-261197','02', '11000003','00','Request by Mr. Omair Ali 17-Dec-2024');</v>
      </c>
    </row>
    <row r="144" spans="1:8" ht="105" x14ac:dyDescent="0.25">
      <c r="A144" t="s">
        <v>155</v>
      </c>
      <c r="B144" s="24" t="str">
        <f>VLOOKUP(A144,policy!B:C,2,0)</f>
        <v>050000690884</v>
      </c>
      <c r="C144" s="13">
        <v>10304</v>
      </c>
      <c r="D144" s="19">
        <f t="shared" si="9"/>
        <v>10304</v>
      </c>
      <c r="E144" s="18" t="s">
        <v>425</v>
      </c>
      <c r="F144" s="20" t="str">
        <f t="shared" si="8"/>
        <v>insert into ins_premium_det (premium_rcv_code,assorted_code, rec_amount,premium_rcv_detail_code,remaining_amt, payrec, mode_code,coinsurance_code,class_cd,it_remarks) values</v>
      </c>
      <c r="G144" s="21" t="str">
        <f t="shared" si="10"/>
        <v>('17Dec240043','050000690884','10304',(select max(to_number(i.premium_rcv_detail_code))+1
from ins_premium_det i),'10304','10304','02', '11000003','00','Request by Mr. Omair Ali 17-Dec-2024');</v>
      </c>
      <c r="H144" s="22" t="str">
        <f t="shared" si="11"/>
        <v>insert into ins_premium_det (premium_rcv_code,assorted_code, rec_amount,premium_rcv_detail_code,remaining_amt, payrec, mode_code,coinsurance_code,class_cd,it_remarks) values('17Dec240043','050000690884','10304',(select max(to_number(i.premium_rcv_detail_code))+1
from ins_premium_det i),'10304','10304','02', '11000003','00','Request by Mr. Omair Ali 17-Dec-2024');</v>
      </c>
    </row>
    <row r="145" spans="1:8" ht="105" x14ac:dyDescent="0.25">
      <c r="A145" t="s">
        <v>156</v>
      </c>
      <c r="B145" s="24" t="str">
        <f>VLOOKUP(A145,policy!B:C,2,0)</f>
        <v>050000690895</v>
      </c>
      <c r="C145" s="13">
        <v>9337</v>
      </c>
      <c r="D145" s="19">
        <f t="shared" si="9"/>
        <v>9337</v>
      </c>
      <c r="E145" s="18" t="s">
        <v>425</v>
      </c>
      <c r="F145" s="20" t="str">
        <f t="shared" si="8"/>
        <v>insert into ins_premium_det (premium_rcv_code,assorted_code, rec_amount,premium_rcv_detail_code,remaining_amt, payrec, mode_code,coinsurance_code,class_cd,it_remarks) values</v>
      </c>
      <c r="G145" s="21" t="str">
        <f t="shared" si="10"/>
        <v>('17Dec240043','050000690895','9337',(select max(to_number(i.premium_rcv_detail_code))+1
from ins_premium_det i),'9337','9337','02', '11000003','00','Request by Mr. Omair Ali 17-Dec-2024');</v>
      </c>
      <c r="H145" s="22" t="str">
        <f t="shared" si="11"/>
        <v>insert into ins_premium_det (premium_rcv_code,assorted_code, rec_amount,premium_rcv_detail_code,remaining_amt, payrec, mode_code,coinsurance_code,class_cd,it_remarks) values('17Dec240043','050000690895','9337',(select max(to_number(i.premium_rcv_detail_code))+1
from ins_premium_det i),'9337','9337','02', '11000003','00','Request by Mr. Omair Ali 17-Dec-2024');</v>
      </c>
    </row>
    <row r="146" spans="1:8" ht="105" x14ac:dyDescent="0.25">
      <c r="A146" t="s">
        <v>157</v>
      </c>
      <c r="B146" s="24" t="str">
        <f>VLOOKUP(A146,policy!B:C,2,0)</f>
        <v>050000691988</v>
      </c>
      <c r="C146" s="13">
        <v>50884</v>
      </c>
      <c r="D146" s="19">
        <f t="shared" si="9"/>
        <v>50884</v>
      </c>
      <c r="E146" s="18" t="s">
        <v>425</v>
      </c>
      <c r="F146" s="20" t="str">
        <f t="shared" si="8"/>
        <v>insert into ins_premium_det (premium_rcv_code,assorted_code, rec_amount,premium_rcv_detail_code,remaining_amt, payrec, mode_code,coinsurance_code,class_cd,it_remarks) values</v>
      </c>
      <c r="G146" s="21" t="str">
        <f t="shared" si="10"/>
        <v>('17Dec240043','050000691988','50884',(select max(to_number(i.premium_rcv_detail_code))+1
from ins_premium_det i),'50884','50884','02', '11000003','00','Request by Mr. Omair Ali 17-Dec-2024');</v>
      </c>
      <c r="H146" s="22" t="str">
        <f t="shared" si="11"/>
        <v>insert into ins_premium_det (premium_rcv_code,assorted_code, rec_amount,premium_rcv_detail_code,remaining_amt, payrec, mode_code,coinsurance_code,class_cd,it_remarks) values('17Dec240043','050000691988','50884',(select max(to_number(i.premium_rcv_detail_code))+1
from ins_premium_det i),'50884','50884','02', '11000003','00','Request by Mr. Omair Ali 17-Dec-2024');</v>
      </c>
    </row>
    <row r="147" spans="1:8" ht="105" x14ac:dyDescent="0.25">
      <c r="A147" t="s">
        <v>158</v>
      </c>
      <c r="B147" s="24" t="str">
        <f>VLOOKUP(A147,policy!B:C,2,0)</f>
        <v>050000693884</v>
      </c>
      <c r="C147" s="13">
        <v>8656</v>
      </c>
      <c r="D147" s="19">
        <f t="shared" si="9"/>
        <v>8656</v>
      </c>
      <c r="E147" s="18" t="s">
        <v>425</v>
      </c>
      <c r="F147" s="20" t="str">
        <f t="shared" si="8"/>
        <v>insert into ins_premium_det (premium_rcv_code,assorted_code, rec_amount,premium_rcv_detail_code,remaining_amt, payrec, mode_code,coinsurance_code,class_cd,it_remarks) values</v>
      </c>
      <c r="G147" s="21" t="str">
        <f t="shared" si="10"/>
        <v>('17Dec240043','050000693884','8656',(select max(to_number(i.premium_rcv_detail_code))+1
from ins_premium_det i),'8656','8656','02', '11000003','00','Request by Mr. Omair Ali 17-Dec-2024');</v>
      </c>
      <c r="H147" s="22" t="str">
        <f t="shared" si="11"/>
        <v>insert into ins_premium_det (premium_rcv_code,assorted_code, rec_amount,premium_rcv_detail_code,remaining_amt, payrec, mode_code,coinsurance_code,class_cd,it_remarks) values('17Dec240043','050000693884','8656',(select max(to_number(i.premium_rcv_detail_code))+1
from ins_premium_det i),'8656','8656','02', '11000003','00','Request by Mr. Omair Ali 17-Dec-2024');</v>
      </c>
    </row>
    <row r="148" spans="1:8" ht="105" x14ac:dyDescent="0.25">
      <c r="A148" t="s">
        <v>159</v>
      </c>
      <c r="B148" s="24" t="str">
        <f>VLOOKUP(A148,policy!B:C,2,0)</f>
        <v>050000697234</v>
      </c>
      <c r="C148" s="13">
        <v>9253</v>
      </c>
      <c r="D148" s="19">
        <f t="shared" si="9"/>
        <v>9253</v>
      </c>
      <c r="E148" s="18" t="s">
        <v>425</v>
      </c>
      <c r="F148" s="20" t="str">
        <f t="shared" si="8"/>
        <v>insert into ins_premium_det (premium_rcv_code,assorted_code, rec_amount,premium_rcv_detail_code,remaining_amt, payrec, mode_code,coinsurance_code,class_cd,it_remarks) values</v>
      </c>
      <c r="G148" s="21" t="str">
        <f t="shared" si="10"/>
        <v>('17Dec240043','050000697234','9253',(select max(to_number(i.premium_rcv_detail_code))+1
from ins_premium_det i),'9253','9253','02', '11000003','00','Request by Mr. Omair Ali 17-Dec-2024');</v>
      </c>
      <c r="H148" s="22" t="str">
        <f t="shared" si="11"/>
        <v>insert into ins_premium_det (premium_rcv_code,assorted_code, rec_amount,premium_rcv_detail_code,remaining_amt, payrec, mode_code,coinsurance_code,class_cd,it_remarks) values('17Dec240043','050000697234','9253',(select max(to_number(i.premium_rcv_detail_code))+1
from ins_premium_det i),'9253','9253','02', '11000003','00','Request by Mr. Omair Ali 17-Dec-2024');</v>
      </c>
    </row>
    <row r="149" spans="1:8" ht="105" x14ac:dyDescent="0.25">
      <c r="A149" t="s">
        <v>160</v>
      </c>
      <c r="B149" s="24" t="str">
        <f>VLOOKUP(A149,policy!B:C,2,0)</f>
        <v>050000697814</v>
      </c>
      <c r="C149" s="13">
        <v>7717</v>
      </c>
      <c r="D149" s="19">
        <f t="shared" si="9"/>
        <v>7717</v>
      </c>
      <c r="E149" s="18" t="s">
        <v>425</v>
      </c>
      <c r="F149" s="20" t="str">
        <f t="shared" si="8"/>
        <v>insert into ins_premium_det (premium_rcv_code,assorted_code, rec_amount,premium_rcv_detail_code,remaining_amt, payrec, mode_code,coinsurance_code,class_cd,it_remarks) values</v>
      </c>
      <c r="G149" s="21" t="str">
        <f t="shared" si="10"/>
        <v>('17Dec240043','050000697814','7717',(select max(to_number(i.premium_rcv_detail_code))+1
from ins_premium_det i),'7717','7717','02', '11000003','00','Request by Mr. Omair Ali 17-Dec-2024');</v>
      </c>
      <c r="H149" s="22" t="str">
        <f t="shared" si="11"/>
        <v>insert into ins_premium_det (premium_rcv_code,assorted_code, rec_amount,premium_rcv_detail_code,remaining_amt, payrec, mode_code,coinsurance_code,class_cd,it_remarks) values('17Dec240043','050000697814','7717',(select max(to_number(i.premium_rcv_detail_code))+1
from ins_premium_det i),'7717','7717','02', '11000003','00','Request by Mr. Omair Ali 17-Dec-2024');</v>
      </c>
    </row>
    <row r="150" spans="1:8" ht="105" x14ac:dyDescent="0.25">
      <c r="A150" t="s">
        <v>161</v>
      </c>
      <c r="B150" s="24" t="str">
        <f>VLOOKUP(A150,policy!B:C,2,0)</f>
        <v>050000703216</v>
      </c>
      <c r="C150" s="13">
        <v>7931</v>
      </c>
      <c r="D150" s="19">
        <f t="shared" si="9"/>
        <v>7931</v>
      </c>
      <c r="E150" s="18" t="s">
        <v>425</v>
      </c>
      <c r="F150" s="20" t="str">
        <f t="shared" si="8"/>
        <v>insert into ins_premium_det (premium_rcv_code,assorted_code, rec_amount,premium_rcv_detail_code,remaining_amt, payrec, mode_code,coinsurance_code,class_cd,it_remarks) values</v>
      </c>
      <c r="G150" s="21" t="str">
        <f t="shared" si="10"/>
        <v>('17Dec240043','050000703216','7931',(select max(to_number(i.premium_rcv_detail_code))+1
from ins_premium_det i),'7931','7931','02', '11000003','00','Request by Mr. Omair Ali 17-Dec-2024');</v>
      </c>
      <c r="H150" s="22" t="str">
        <f t="shared" si="11"/>
        <v>insert into ins_premium_det (premium_rcv_code,assorted_code, rec_amount,premium_rcv_detail_code,remaining_amt, payrec, mode_code,coinsurance_code,class_cd,it_remarks) values('17Dec240043','050000703216','7931',(select max(to_number(i.premium_rcv_detail_code))+1
from ins_premium_det i),'7931','7931','02', '11000003','00','Request by Mr. Omair Ali 17-Dec-2024');</v>
      </c>
    </row>
    <row r="151" spans="1:8" ht="105" x14ac:dyDescent="0.25">
      <c r="A151" t="s">
        <v>162</v>
      </c>
      <c r="B151" s="24" t="str">
        <f>VLOOKUP(A151,policy!B:C,2,0)</f>
        <v>050000703760</v>
      </c>
      <c r="C151" s="13">
        <v>8229</v>
      </c>
      <c r="D151" s="19">
        <f t="shared" si="9"/>
        <v>8229</v>
      </c>
      <c r="E151" s="18" t="s">
        <v>425</v>
      </c>
      <c r="F151" s="20" t="str">
        <f t="shared" si="8"/>
        <v>insert into ins_premium_det (premium_rcv_code,assorted_code, rec_amount,premium_rcv_detail_code,remaining_amt, payrec, mode_code,coinsurance_code,class_cd,it_remarks) values</v>
      </c>
      <c r="G151" s="21" t="str">
        <f t="shared" si="10"/>
        <v>('17Dec240043','050000703760','8229',(select max(to_number(i.premium_rcv_detail_code))+1
from ins_premium_det i),'8229','8229','02', '11000003','00','Request by Mr. Omair Ali 17-Dec-2024');</v>
      </c>
      <c r="H151" s="22" t="str">
        <f t="shared" si="11"/>
        <v>insert into ins_premium_det (premium_rcv_code,assorted_code, rec_amount,premium_rcv_detail_code,remaining_amt, payrec, mode_code,coinsurance_code,class_cd,it_remarks) values('17Dec240043','050000703760','8229',(select max(to_number(i.premium_rcv_detail_code))+1
from ins_premium_det i),'8229','8229','02', '11000003','00','Request by Mr. Omair Ali 17-Dec-2024');</v>
      </c>
    </row>
    <row r="152" spans="1:8" ht="105" x14ac:dyDescent="0.25">
      <c r="A152" t="s">
        <v>163</v>
      </c>
      <c r="B152" s="24" t="str">
        <f>VLOOKUP(A152,policy!B:C,2,0)</f>
        <v>050000706693</v>
      </c>
      <c r="C152" s="13">
        <v>10318</v>
      </c>
      <c r="D152" s="19">
        <f t="shared" si="9"/>
        <v>10318</v>
      </c>
      <c r="E152" s="18" t="s">
        <v>425</v>
      </c>
      <c r="F152" s="20" t="str">
        <f t="shared" si="8"/>
        <v>insert into ins_premium_det (premium_rcv_code,assorted_code, rec_amount,premium_rcv_detail_code,remaining_amt, payrec, mode_code,coinsurance_code,class_cd,it_remarks) values</v>
      </c>
      <c r="G152" s="21" t="str">
        <f t="shared" si="10"/>
        <v>('17Dec240043','050000706693','10318',(select max(to_number(i.premium_rcv_detail_code))+1
from ins_premium_det i),'10318','10318','02', '11000003','00','Request by Mr. Omair Ali 17-Dec-2024');</v>
      </c>
      <c r="H152" s="22" t="str">
        <f t="shared" si="11"/>
        <v>insert into ins_premium_det (premium_rcv_code,assorted_code, rec_amount,premium_rcv_detail_code,remaining_amt, payrec, mode_code,coinsurance_code,class_cd,it_remarks) values('17Dec240043','050000706693','10318',(select max(to_number(i.premium_rcv_detail_code))+1
from ins_premium_det i),'10318','10318','02', '11000003','00','Request by Mr. Omair Ali 17-Dec-2024');</v>
      </c>
    </row>
    <row r="153" spans="1:8" ht="105" x14ac:dyDescent="0.25">
      <c r="A153" t="s">
        <v>164</v>
      </c>
      <c r="B153" s="24" t="str">
        <f>VLOOKUP(A153,policy!B:C,2,0)</f>
        <v>050000709362</v>
      </c>
      <c r="C153" s="13">
        <v>7249</v>
      </c>
      <c r="D153" s="19">
        <f t="shared" si="9"/>
        <v>7249</v>
      </c>
      <c r="E153" s="18" t="s">
        <v>425</v>
      </c>
      <c r="F153" s="20" t="str">
        <f t="shared" si="8"/>
        <v>insert into ins_premium_det (premium_rcv_code,assorted_code, rec_amount,premium_rcv_detail_code,remaining_amt, payrec, mode_code,coinsurance_code,class_cd,it_remarks) values</v>
      </c>
      <c r="G153" s="21" t="str">
        <f t="shared" si="10"/>
        <v>('17Dec240043','050000709362','7249',(select max(to_number(i.premium_rcv_detail_code))+1
from ins_premium_det i),'7249','7249','02', '11000003','00','Request by Mr. Omair Ali 17-Dec-2024');</v>
      </c>
      <c r="H153" s="22" t="str">
        <f t="shared" si="11"/>
        <v>insert into ins_premium_det (premium_rcv_code,assorted_code, rec_amount,premium_rcv_detail_code,remaining_amt, payrec, mode_code,coinsurance_code,class_cd,it_remarks) values('17Dec240043','050000709362','7249',(select max(to_number(i.premium_rcv_detail_code))+1
from ins_premium_det i),'7249','7249','02', '11000003','00','Request by Mr. Omair Ali 17-Dec-2024');</v>
      </c>
    </row>
    <row r="154" spans="1:8" ht="105" x14ac:dyDescent="0.25">
      <c r="A154" t="s">
        <v>165</v>
      </c>
      <c r="B154" s="24" t="str">
        <f>VLOOKUP(A154,policy!B:C,2,0)</f>
        <v>050000711024</v>
      </c>
      <c r="C154" s="13">
        <v>20717</v>
      </c>
      <c r="D154" s="19">
        <f t="shared" si="9"/>
        <v>20717</v>
      </c>
      <c r="E154" s="18" t="s">
        <v>425</v>
      </c>
      <c r="F154" s="20" t="str">
        <f t="shared" si="8"/>
        <v>insert into ins_premium_det (premium_rcv_code,assorted_code, rec_amount,premium_rcv_detail_code,remaining_amt, payrec, mode_code,coinsurance_code,class_cd,it_remarks) values</v>
      </c>
      <c r="G154" s="21" t="str">
        <f t="shared" si="10"/>
        <v>('17Dec240043','050000711024','20717',(select max(to_number(i.premium_rcv_detail_code))+1
from ins_premium_det i),'20717','20717','02', '11000003','00','Request by Mr. Omair Ali 17-Dec-2024');</v>
      </c>
      <c r="H154" s="22" t="str">
        <f t="shared" si="11"/>
        <v>insert into ins_premium_det (premium_rcv_code,assorted_code, rec_amount,premium_rcv_detail_code,remaining_amt, payrec, mode_code,coinsurance_code,class_cd,it_remarks) values('17Dec240043','050000711024','20717',(select max(to_number(i.premium_rcv_detail_code))+1
from ins_premium_det i),'20717','20717','02', '11000003','00','Request by Mr. Omair Ali 17-Dec-2024');</v>
      </c>
    </row>
    <row r="155" spans="1:8" ht="105" x14ac:dyDescent="0.25">
      <c r="A155" t="s">
        <v>166</v>
      </c>
      <c r="B155" s="24" t="str">
        <f>VLOOKUP(A155,policy!B:C,2,0)</f>
        <v>050000712469</v>
      </c>
      <c r="C155" s="13">
        <v>33425</v>
      </c>
      <c r="D155" s="19">
        <f t="shared" si="9"/>
        <v>33425</v>
      </c>
      <c r="E155" s="18" t="s">
        <v>425</v>
      </c>
      <c r="F155" s="20" t="str">
        <f t="shared" si="8"/>
        <v>insert into ins_premium_det (premium_rcv_code,assorted_code, rec_amount,premium_rcv_detail_code,remaining_amt, payrec, mode_code,coinsurance_code,class_cd,it_remarks) values</v>
      </c>
      <c r="G155" s="21" t="str">
        <f t="shared" si="10"/>
        <v>('17Dec240043','050000712469','33425',(select max(to_number(i.premium_rcv_detail_code))+1
from ins_premium_det i),'33425','33425','02', '11000003','00','Request by Mr. Omair Ali 17-Dec-2024');</v>
      </c>
      <c r="H155" s="22" t="str">
        <f t="shared" si="11"/>
        <v>insert into ins_premium_det (premium_rcv_code,assorted_code, rec_amount,premium_rcv_detail_code,remaining_amt, payrec, mode_code,coinsurance_code,class_cd,it_remarks) values('17Dec240043','050000712469','33425',(select max(to_number(i.premium_rcv_detail_code))+1
from ins_premium_det i),'33425','33425','02', '11000003','00','Request by Mr. Omair Ali 17-Dec-2024');</v>
      </c>
    </row>
    <row r="156" spans="1:8" ht="105" x14ac:dyDescent="0.25">
      <c r="A156" t="s">
        <v>167</v>
      </c>
      <c r="B156" s="24" t="str">
        <f>VLOOKUP(A156,policy!B:C,2,0)</f>
        <v>050000716626</v>
      </c>
      <c r="C156" s="13">
        <v>5927</v>
      </c>
      <c r="D156" s="19">
        <f t="shared" si="9"/>
        <v>5927</v>
      </c>
      <c r="E156" s="18" t="s">
        <v>425</v>
      </c>
      <c r="F156" s="20" t="str">
        <f t="shared" si="8"/>
        <v>insert into ins_premium_det (premium_rcv_code,assorted_code, rec_amount,premium_rcv_detail_code,remaining_amt, payrec, mode_code,coinsurance_code,class_cd,it_remarks) values</v>
      </c>
      <c r="G156" s="21" t="str">
        <f t="shared" si="10"/>
        <v>('17Dec240043','050000716626','5927',(select max(to_number(i.premium_rcv_detail_code))+1
from ins_premium_det i),'5927','5927','02', '11000003','00','Request by Mr. Omair Ali 17-Dec-2024');</v>
      </c>
      <c r="H156" s="22" t="str">
        <f t="shared" si="11"/>
        <v>insert into ins_premium_det (premium_rcv_code,assorted_code, rec_amount,premium_rcv_detail_code,remaining_amt, payrec, mode_code,coinsurance_code,class_cd,it_remarks) values('17Dec240043','050000716626','5927',(select max(to_number(i.premium_rcv_detail_code))+1
from ins_premium_det i),'5927','5927','02', '11000003','00','Request by Mr. Omair Ali 17-Dec-2024');</v>
      </c>
    </row>
    <row r="157" spans="1:8" ht="105" x14ac:dyDescent="0.25">
      <c r="A157" t="s">
        <v>168</v>
      </c>
      <c r="B157" s="24" t="str">
        <f>VLOOKUP(A157,policy!B:C,2,0)</f>
        <v>050000718158</v>
      </c>
      <c r="C157" s="13">
        <v>5927</v>
      </c>
      <c r="D157" s="19">
        <f t="shared" si="9"/>
        <v>5927</v>
      </c>
      <c r="E157" s="18" t="s">
        <v>425</v>
      </c>
      <c r="F157" s="20" t="str">
        <f t="shared" si="8"/>
        <v>insert into ins_premium_det (premium_rcv_code,assorted_code, rec_amount,premium_rcv_detail_code,remaining_amt, payrec, mode_code,coinsurance_code,class_cd,it_remarks) values</v>
      </c>
      <c r="G157" s="21" t="str">
        <f t="shared" si="10"/>
        <v>('17Dec240043','050000718158','5927',(select max(to_number(i.premium_rcv_detail_code))+1
from ins_premium_det i),'5927','5927','02', '11000003','00','Request by Mr. Omair Ali 17-Dec-2024');</v>
      </c>
      <c r="H157" s="22" t="str">
        <f t="shared" si="11"/>
        <v>insert into ins_premium_det (premium_rcv_code,assorted_code, rec_amount,premium_rcv_detail_code,remaining_amt, payrec, mode_code,coinsurance_code,class_cd,it_remarks) values('17Dec240043','050000718158','5927',(select max(to_number(i.premium_rcv_detail_code))+1
from ins_premium_det i),'5927','5927','02', '11000003','00','Request by Mr. Omair Ali 17-Dec-2024');</v>
      </c>
    </row>
    <row r="158" spans="1:8" ht="105" x14ac:dyDescent="0.25">
      <c r="A158" t="s">
        <v>169</v>
      </c>
      <c r="B158" s="24" t="str">
        <f>VLOOKUP(A158,policy!B:C,2,0)</f>
        <v>050000718416</v>
      </c>
      <c r="C158" s="13">
        <v>75513</v>
      </c>
      <c r="D158" s="19">
        <f t="shared" si="9"/>
        <v>75513</v>
      </c>
      <c r="E158" s="18" t="s">
        <v>425</v>
      </c>
      <c r="F158" s="20" t="str">
        <f t="shared" si="8"/>
        <v>insert into ins_premium_det (premium_rcv_code,assorted_code, rec_amount,premium_rcv_detail_code,remaining_amt, payrec, mode_code,coinsurance_code,class_cd,it_remarks) values</v>
      </c>
      <c r="G158" s="21" t="str">
        <f t="shared" si="10"/>
        <v>('17Dec240043','050000718416','75513',(select max(to_number(i.premium_rcv_detail_code))+1
from ins_premium_det i),'75513','75513','02', '11000003','00','Request by Mr. Omair Ali 17-Dec-2024');</v>
      </c>
      <c r="H158" s="22" t="str">
        <f t="shared" si="11"/>
        <v>insert into ins_premium_det (premium_rcv_code,assorted_code, rec_amount,premium_rcv_detail_code,remaining_amt, payrec, mode_code,coinsurance_code,class_cd,it_remarks) values('17Dec240043','050000718416','75513',(select max(to_number(i.premium_rcv_detail_code))+1
from ins_premium_det i),'75513','75513','02', '11000003','00','Request by Mr. Omair Ali 17-Dec-2024');</v>
      </c>
    </row>
    <row r="159" spans="1:8" ht="105" x14ac:dyDescent="0.25">
      <c r="A159" t="s">
        <v>170</v>
      </c>
      <c r="B159" s="24" t="str">
        <f>VLOOKUP(A159,policy!B:C,2,0)</f>
        <v>050000719879</v>
      </c>
      <c r="C159" s="13">
        <v>31210</v>
      </c>
      <c r="D159" s="19">
        <f t="shared" si="9"/>
        <v>31210</v>
      </c>
      <c r="E159" s="18" t="s">
        <v>425</v>
      </c>
      <c r="F159" s="20" t="str">
        <f t="shared" si="8"/>
        <v>insert into ins_premium_det (premium_rcv_code,assorted_code, rec_amount,premium_rcv_detail_code,remaining_amt, payrec, mode_code,coinsurance_code,class_cd,it_remarks) values</v>
      </c>
      <c r="G159" s="21" t="str">
        <f t="shared" si="10"/>
        <v>('17Dec240043','050000719879','31210',(select max(to_number(i.premium_rcv_detail_code))+1
from ins_premium_det i),'31210','31210','02', '11000003','00','Request by Mr. Omair Ali 17-Dec-2024');</v>
      </c>
      <c r="H159" s="22" t="str">
        <f t="shared" si="11"/>
        <v>insert into ins_premium_det (premium_rcv_code,assorted_code, rec_amount,premium_rcv_detail_code,remaining_amt, payrec, mode_code,coinsurance_code,class_cd,it_remarks) values('17Dec240043','050000719879','31210',(select max(to_number(i.premium_rcv_detail_code))+1
from ins_premium_det i),'31210','31210','02', '11000003','00','Request by Mr. Omair Ali 17-Dec-2024');</v>
      </c>
    </row>
    <row r="160" spans="1:8" ht="105" x14ac:dyDescent="0.25">
      <c r="A160" t="s">
        <v>171</v>
      </c>
      <c r="B160" s="24" t="str">
        <f>VLOOKUP(A160,policy!B:C,2,0)</f>
        <v>050000724448</v>
      </c>
      <c r="C160" s="13">
        <v>40878</v>
      </c>
      <c r="D160" s="19">
        <f t="shared" si="9"/>
        <v>40878</v>
      </c>
      <c r="E160" s="18" t="s">
        <v>425</v>
      </c>
      <c r="F160" s="20" t="str">
        <f t="shared" si="8"/>
        <v>insert into ins_premium_det (premium_rcv_code,assorted_code, rec_amount,premium_rcv_detail_code,remaining_amt, payrec, mode_code,coinsurance_code,class_cd,it_remarks) values</v>
      </c>
      <c r="G160" s="21" t="str">
        <f t="shared" si="10"/>
        <v>('17Dec240043','050000724448','40878',(select max(to_number(i.premium_rcv_detail_code))+1
from ins_premium_det i),'40878','40878','02', '11000003','00','Request by Mr. Omair Ali 17-Dec-2024');</v>
      </c>
      <c r="H160" s="22" t="str">
        <f t="shared" si="11"/>
        <v>insert into ins_premium_det (premium_rcv_code,assorted_code, rec_amount,premium_rcv_detail_code,remaining_amt, payrec, mode_code,coinsurance_code,class_cd,it_remarks) values('17Dec240043','050000724448','40878',(select max(to_number(i.premium_rcv_detail_code))+1
from ins_premium_det i),'40878','40878','02', '11000003','00','Request by Mr. Omair Ali 17-Dec-2024');</v>
      </c>
    </row>
    <row r="161" spans="1:8" ht="105" x14ac:dyDescent="0.25">
      <c r="A161" t="s">
        <v>172</v>
      </c>
      <c r="B161" s="24" t="str">
        <f>VLOOKUP(A161,policy!B:C,2,0)</f>
        <v>050000729126</v>
      </c>
      <c r="C161" s="13">
        <v>11086</v>
      </c>
      <c r="D161" s="19">
        <f t="shared" si="9"/>
        <v>11086</v>
      </c>
      <c r="E161" s="18" t="s">
        <v>425</v>
      </c>
      <c r="F161" s="20" t="str">
        <f t="shared" si="8"/>
        <v>insert into ins_premium_det (premium_rcv_code,assorted_code, rec_amount,premium_rcv_detail_code,remaining_amt, payrec, mode_code,coinsurance_code,class_cd,it_remarks) values</v>
      </c>
      <c r="G161" s="21" t="str">
        <f t="shared" si="10"/>
        <v>('17Dec240043','050000729126','11086',(select max(to_number(i.premium_rcv_detail_code))+1
from ins_premium_det i),'11086','11086','02', '11000003','00','Request by Mr. Omair Ali 17-Dec-2024');</v>
      </c>
      <c r="H161" s="22" t="str">
        <f t="shared" si="11"/>
        <v>insert into ins_premium_det (premium_rcv_code,assorted_code, rec_amount,premium_rcv_detail_code,remaining_amt, payrec, mode_code,coinsurance_code,class_cd,it_remarks) values('17Dec240043','050000729126','11086',(select max(to_number(i.premium_rcv_detail_code))+1
from ins_premium_det i),'11086','11086','02', '11000003','00','Request by Mr. Omair Ali 17-Dec-2024');</v>
      </c>
    </row>
    <row r="162" spans="1:8" ht="105" x14ac:dyDescent="0.25">
      <c r="A162" t="s">
        <v>173</v>
      </c>
      <c r="B162" s="24" t="str">
        <f>VLOOKUP(A162,policy!B:C,2,0)</f>
        <v>050000733504</v>
      </c>
      <c r="C162" s="13">
        <v>4391</v>
      </c>
      <c r="D162" s="19">
        <f t="shared" si="9"/>
        <v>4391</v>
      </c>
      <c r="E162" s="18" t="s">
        <v>425</v>
      </c>
      <c r="F162" s="20" t="str">
        <f t="shared" si="8"/>
        <v>insert into ins_premium_det (premium_rcv_code,assorted_code, rec_amount,premium_rcv_detail_code,remaining_amt, payrec, mode_code,coinsurance_code,class_cd,it_remarks) values</v>
      </c>
      <c r="G162" s="21" t="str">
        <f t="shared" si="10"/>
        <v>('17Dec240043','050000733504','4391',(select max(to_number(i.premium_rcv_detail_code))+1
from ins_premium_det i),'4391','4391','02', '11000003','00','Request by Mr. Omair Ali 17-Dec-2024');</v>
      </c>
      <c r="H162" s="22" t="str">
        <f t="shared" si="11"/>
        <v>insert into ins_premium_det (premium_rcv_code,assorted_code, rec_amount,premium_rcv_detail_code,remaining_amt, payrec, mode_code,coinsurance_code,class_cd,it_remarks) values('17Dec240043','050000733504','4391',(select max(to_number(i.premium_rcv_detail_code))+1
from ins_premium_det i),'4391','4391','02', '11000003','00','Request by Mr. Omair Ali 17-Dec-2024');</v>
      </c>
    </row>
    <row r="163" spans="1:8" ht="105" x14ac:dyDescent="0.25">
      <c r="A163" t="s">
        <v>174</v>
      </c>
      <c r="B163" s="24" t="str">
        <f>VLOOKUP(A163,policy!B:C,2,0)</f>
        <v>050000737645</v>
      </c>
      <c r="C163" s="13">
        <v>6204</v>
      </c>
      <c r="D163" s="19">
        <f t="shared" si="9"/>
        <v>6204</v>
      </c>
      <c r="E163" s="18" t="s">
        <v>425</v>
      </c>
      <c r="F163" s="20" t="str">
        <f t="shared" si="8"/>
        <v>insert into ins_premium_det (premium_rcv_code,assorted_code, rec_amount,premium_rcv_detail_code,remaining_amt, payrec, mode_code,coinsurance_code,class_cd,it_remarks) values</v>
      </c>
      <c r="G163" s="21" t="str">
        <f t="shared" si="10"/>
        <v>('17Dec240043','050000737645','6204',(select max(to_number(i.premium_rcv_detail_code))+1
from ins_premium_det i),'6204','6204','02', '11000003','00','Request by Mr. Omair Ali 17-Dec-2024');</v>
      </c>
      <c r="H163" s="22" t="str">
        <f t="shared" si="11"/>
        <v>insert into ins_premium_det (premium_rcv_code,assorted_code, rec_amount,premium_rcv_detail_code,remaining_amt, payrec, mode_code,coinsurance_code,class_cd,it_remarks) values('17Dec240043','050000737645','6204',(select max(to_number(i.premium_rcv_detail_code))+1
from ins_premium_det i),'6204','6204','02', '11000003','00','Request by Mr. Omair Ali 17-Dec-2024');</v>
      </c>
    </row>
    <row r="164" spans="1:8" ht="105" x14ac:dyDescent="0.25">
      <c r="A164" t="s">
        <v>175</v>
      </c>
      <c r="B164" s="24" t="str">
        <f>VLOOKUP(A164,policy!B:C,2,0)</f>
        <v>050000738504</v>
      </c>
      <c r="C164" s="13">
        <v>15606</v>
      </c>
      <c r="D164" s="19">
        <f t="shared" si="9"/>
        <v>15606</v>
      </c>
      <c r="E164" s="18" t="s">
        <v>425</v>
      </c>
      <c r="F164" s="20" t="str">
        <f t="shared" si="8"/>
        <v>insert into ins_premium_det (premium_rcv_code,assorted_code, rec_amount,premium_rcv_detail_code,remaining_amt, payrec, mode_code,coinsurance_code,class_cd,it_remarks) values</v>
      </c>
      <c r="G164" s="21" t="str">
        <f t="shared" si="10"/>
        <v>('17Dec240043','050000738504','15606',(select max(to_number(i.premium_rcv_detail_code))+1
from ins_premium_det i),'15606','15606','02', '11000003','00','Request by Mr. Omair Ali 17-Dec-2024');</v>
      </c>
      <c r="H164" s="22" t="str">
        <f t="shared" si="11"/>
        <v>insert into ins_premium_det (premium_rcv_code,assorted_code, rec_amount,premium_rcv_detail_code,remaining_amt, payrec, mode_code,coinsurance_code,class_cd,it_remarks) values('17Dec240043','050000738504','15606',(select max(to_number(i.premium_rcv_detail_code))+1
from ins_premium_det i),'15606','15606','02', '11000003','00','Request by Mr. Omair Ali 17-Dec-2024');</v>
      </c>
    </row>
    <row r="165" spans="1:8" ht="105" x14ac:dyDescent="0.25">
      <c r="A165" t="s">
        <v>176</v>
      </c>
      <c r="B165" s="24" t="str">
        <f>VLOOKUP(A165,policy!B:C,2,0)</f>
        <v>050000740472</v>
      </c>
      <c r="C165" s="13">
        <v>3703</v>
      </c>
      <c r="D165" s="19">
        <f t="shared" si="9"/>
        <v>3703</v>
      </c>
      <c r="E165" s="18" t="s">
        <v>425</v>
      </c>
      <c r="F165" s="20" t="str">
        <f t="shared" si="8"/>
        <v>insert into ins_premium_det (premium_rcv_code,assorted_code, rec_amount,premium_rcv_detail_code,remaining_amt, payrec, mode_code,coinsurance_code,class_cd,it_remarks) values</v>
      </c>
      <c r="G165" s="21" t="str">
        <f t="shared" si="10"/>
        <v>('17Dec240043','050000740472','3703',(select max(to_number(i.premium_rcv_detail_code))+1
from ins_premium_det i),'3703','3703','02', '11000003','00','Request by Mr. Omair Ali 17-Dec-2024');</v>
      </c>
      <c r="H165" s="22" t="str">
        <f t="shared" si="11"/>
        <v>insert into ins_premium_det (premium_rcv_code,assorted_code, rec_amount,premium_rcv_detail_code,remaining_amt, payrec, mode_code,coinsurance_code,class_cd,it_remarks) values('17Dec240043','050000740472','3703',(select max(to_number(i.premium_rcv_detail_code))+1
from ins_premium_det i),'3703','3703','02', '11000003','00','Request by Mr. Omair Ali 17-Dec-2024');</v>
      </c>
    </row>
    <row r="166" spans="1:8" ht="105" x14ac:dyDescent="0.25">
      <c r="A166" t="s">
        <v>177</v>
      </c>
      <c r="B166" s="24" t="str">
        <f>VLOOKUP(A166,policy!B:C,2,0)</f>
        <v>050000740634</v>
      </c>
      <c r="C166" s="13">
        <v>2472</v>
      </c>
      <c r="D166" s="19">
        <f t="shared" si="9"/>
        <v>2472</v>
      </c>
      <c r="E166" s="18" t="s">
        <v>425</v>
      </c>
      <c r="F166" s="20" t="str">
        <f t="shared" si="8"/>
        <v>insert into ins_premium_det (premium_rcv_code,assorted_code, rec_amount,premium_rcv_detail_code,remaining_amt, payrec, mode_code,coinsurance_code,class_cd,it_remarks) values</v>
      </c>
      <c r="G166" s="21" t="str">
        <f t="shared" si="10"/>
        <v>('17Dec240043','050000740634','2472',(select max(to_number(i.premium_rcv_detail_code))+1
from ins_premium_det i),'2472','2472','02', '11000003','00','Request by Mr. Omair Ali 17-Dec-2024');</v>
      </c>
      <c r="H166" s="22" t="str">
        <f t="shared" si="11"/>
        <v>insert into ins_premium_det (premium_rcv_code,assorted_code, rec_amount,premium_rcv_detail_code,remaining_amt, payrec, mode_code,coinsurance_code,class_cd,it_remarks) values('17Dec240043','050000740634','2472',(select max(to_number(i.premium_rcv_detail_code))+1
from ins_premium_det i),'2472','2472','02', '11000003','00','Request by Mr. Omair Ali 17-Dec-2024');</v>
      </c>
    </row>
    <row r="167" spans="1:8" ht="105" x14ac:dyDescent="0.25">
      <c r="A167" t="s">
        <v>178</v>
      </c>
      <c r="B167" s="24" t="str">
        <f>VLOOKUP(A167,policy!B:C,2,0)</f>
        <v>050000745046</v>
      </c>
      <c r="C167" s="13">
        <v>-48811</v>
      </c>
      <c r="D167" s="19">
        <f t="shared" si="9"/>
        <v>-48811</v>
      </c>
      <c r="E167" s="18" t="s">
        <v>425</v>
      </c>
      <c r="F167" s="20" t="str">
        <f t="shared" si="8"/>
        <v>insert into ins_premium_det (premium_rcv_code,assorted_code, rec_amount,premium_rcv_detail_code,remaining_amt, payrec, mode_code,coinsurance_code,class_cd,it_remarks) values</v>
      </c>
      <c r="G167" s="21" t="str">
        <f t="shared" si="10"/>
        <v>('17Dec240043','050000745046','-48811',(select max(to_number(i.premium_rcv_detail_code))+1
from ins_premium_det i),'-48811','-48811','02', '11000003','00','Request by Mr. Omair Ali 17-Dec-2024');</v>
      </c>
      <c r="H167" s="22" t="str">
        <f t="shared" si="11"/>
        <v>insert into ins_premium_det (premium_rcv_code,assorted_code, rec_amount,premium_rcv_detail_code,remaining_amt, payrec, mode_code,coinsurance_code,class_cd,it_remarks) values('17Dec240043','050000745046','-48811',(select max(to_number(i.premium_rcv_detail_code))+1
from ins_premium_det i),'-48811','-48811','02', '11000003','00','Request by Mr. Omair Ali 17-Dec-2024');</v>
      </c>
    </row>
    <row r="168" spans="1:8" ht="105" x14ac:dyDescent="0.25">
      <c r="A168" t="s">
        <v>179</v>
      </c>
      <c r="B168" s="24" t="str">
        <f>VLOOKUP(A168,policy!B:C,2,0)</f>
        <v>050000750220</v>
      </c>
      <c r="C168" s="13">
        <v>3184</v>
      </c>
      <c r="D168" s="19">
        <f t="shared" si="9"/>
        <v>3184</v>
      </c>
      <c r="E168" s="18" t="s">
        <v>425</v>
      </c>
      <c r="F168" s="20" t="str">
        <f t="shared" si="8"/>
        <v>insert into ins_premium_det (premium_rcv_code,assorted_code, rec_amount,premium_rcv_detail_code,remaining_amt, payrec, mode_code,coinsurance_code,class_cd,it_remarks) values</v>
      </c>
      <c r="G168" s="21" t="str">
        <f t="shared" si="10"/>
        <v>('17Dec240043','050000750220','3184',(select max(to_number(i.premium_rcv_detail_code))+1
from ins_premium_det i),'3184','3184','02', '11000003','00','Request by Mr. Omair Ali 17-Dec-2024');</v>
      </c>
      <c r="H168" s="22" t="str">
        <f t="shared" si="11"/>
        <v>insert into ins_premium_det (premium_rcv_code,assorted_code, rec_amount,premium_rcv_detail_code,remaining_amt, payrec, mode_code,coinsurance_code,class_cd,it_remarks) values('17Dec240043','050000750220','3184',(select max(to_number(i.premium_rcv_detail_code))+1
from ins_premium_det i),'3184','3184','02', '11000003','00','Request by Mr. Omair Ali 17-Dec-2024');</v>
      </c>
    </row>
    <row r="169" spans="1:8" ht="105" x14ac:dyDescent="0.25">
      <c r="A169" t="s">
        <v>180</v>
      </c>
      <c r="B169" s="24" t="str">
        <f>VLOOKUP(A169,policy!B:C,2,0)</f>
        <v>050000750991</v>
      </c>
      <c r="C169" s="13">
        <v>13042</v>
      </c>
      <c r="D169" s="19">
        <f t="shared" si="9"/>
        <v>13042</v>
      </c>
      <c r="E169" s="18" t="s">
        <v>425</v>
      </c>
      <c r="F169" s="20" t="str">
        <f t="shared" si="8"/>
        <v>insert into ins_premium_det (premium_rcv_code,assorted_code, rec_amount,premium_rcv_detail_code,remaining_amt, payrec, mode_code,coinsurance_code,class_cd,it_remarks) values</v>
      </c>
      <c r="G169" s="21" t="str">
        <f t="shared" si="10"/>
        <v>('17Dec240043','050000750991','13042',(select max(to_number(i.premium_rcv_detail_code))+1
from ins_premium_det i),'13042','13042','02', '11000003','00','Request by Mr. Omair Ali 17-Dec-2024');</v>
      </c>
      <c r="H169" s="22" t="str">
        <f t="shared" si="11"/>
        <v>insert into ins_premium_det (premium_rcv_code,assorted_code, rec_amount,premium_rcv_detail_code,remaining_amt, payrec, mode_code,coinsurance_code,class_cd,it_remarks) values('17Dec240043','050000750991','13042',(select max(to_number(i.premium_rcv_detail_code))+1
from ins_premium_det i),'13042','13042','02', '11000003','00','Request by Mr. Omair Ali 17-Dec-2024');</v>
      </c>
    </row>
    <row r="170" spans="1:8" ht="105" x14ac:dyDescent="0.25">
      <c r="A170" t="s">
        <v>181</v>
      </c>
      <c r="B170" s="24" t="str">
        <f>VLOOKUP(A170,policy!B:C,2,0)</f>
        <v>050000756652</v>
      </c>
      <c r="C170" s="13">
        <v>-34680</v>
      </c>
      <c r="D170" s="19">
        <f t="shared" si="9"/>
        <v>-34680</v>
      </c>
      <c r="E170" s="18" t="s">
        <v>425</v>
      </c>
      <c r="F170" s="20" t="str">
        <f t="shared" si="8"/>
        <v>insert into ins_premium_det (premium_rcv_code,assorted_code, rec_amount,premium_rcv_detail_code,remaining_amt, payrec, mode_code,coinsurance_code,class_cd,it_remarks) values</v>
      </c>
      <c r="G170" s="21" t="str">
        <f t="shared" si="10"/>
        <v>('17Dec240043','050000756652','-34680',(select max(to_number(i.premium_rcv_detail_code))+1
from ins_premium_det i),'-34680','-34680','02', '11000003','00','Request by Mr. Omair Ali 17-Dec-2024');</v>
      </c>
      <c r="H170" s="22" t="str">
        <f t="shared" si="11"/>
        <v>insert into ins_premium_det (premium_rcv_code,assorted_code, rec_amount,premium_rcv_detail_code,remaining_amt, payrec, mode_code,coinsurance_code,class_cd,it_remarks) values('17Dec240043','050000756652','-34680',(select max(to_number(i.premium_rcv_detail_code))+1
from ins_premium_det i),'-34680','-34680','02', '11000003','00','Request by Mr. Omair Ali 17-Dec-2024');</v>
      </c>
    </row>
    <row r="171" spans="1:8" ht="105" x14ac:dyDescent="0.25">
      <c r="A171" t="s">
        <v>182</v>
      </c>
      <c r="B171" s="24" t="str">
        <f>VLOOKUP(A171,policy!B:C,2,0)</f>
        <v>050000758202</v>
      </c>
      <c r="C171" s="13">
        <v>4343</v>
      </c>
      <c r="D171" s="19">
        <f t="shared" si="9"/>
        <v>4343</v>
      </c>
      <c r="E171" s="18" t="s">
        <v>425</v>
      </c>
      <c r="F171" s="20" t="str">
        <f t="shared" si="8"/>
        <v>insert into ins_premium_det (premium_rcv_code,assorted_code, rec_amount,premium_rcv_detail_code,remaining_amt, payrec, mode_code,coinsurance_code,class_cd,it_remarks) values</v>
      </c>
      <c r="G171" s="21" t="str">
        <f t="shared" si="10"/>
        <v>('17Dec240043','050000758202','4343',(select max(to_number(i.premium_rcv_detail_code))+1
from ins_premium_det i),'4343','4343','02', '11000003','00','Request by Mr. Omair Ali 17-Dec-2024');</v>
      </c>
      <c r="H171" s="22" t="str">
        <f t="shared" si="11"/>
        <v>insert into ins_premium_det (premium_rcv_code,assorted_code, rec_amount,premium_rcv_detail_code,remaining_amt, payrec, mode_code,coinsurance_code,class_cd,it_remarks) values('17Dec240043','050000758202','4343',(select max(to_number(i.premium_rcv_detail_code))+1
from ins_premium_det i),'4343','4343','02', '11000003','00','Request by Mr. Omair Ali 17-Dec-2024');</v>
      </c>
    </row>
    <row r="172" spans="1:8" ht="105" x14ac:dyDescent="0.25">
      <c r="A172" t="s">
        <v>183</v>
      </c>
      <c r="B172" s="24" t="str">
        <f>VLOOKUP(A172,policy!B:C,2,0)</f>
        <v>050000758937</v>
      </c>
      <c r="C172" s="13">
        <v>-7386</v>
      </c>
      <c r="D172" s="19">
        <f t="shared" si="9"/>
        <v>-7386</v>
      </c>
      <c r="E172" s="18" t="s">
        <v>425</v>
      </c>
      <c r="F172" s="20" t="str">
        <f t="shared" si="8"/>
        <v>insert into ins_premium_det (premium_rcv_code,assorted_code, rec_amount,premium_rcv_detail_code,remaining_amt, payrec, mode_code,coinsurance_code,class_cd,it_remarks) values</v>
      </c>
      <c r="G172" s="21" t="str">
        <f t="shared" si="10"/>
        <v>('17Dec240043','050000758937','-7386',(select max(to_number(i.premium_rcv_detail_code))+1
from ins_premium_det i),'-7386','-7386','02', '11000003','00','Request by Mr. Omair Ali 17-Dec-2024');</v>
      </c>
      <c r="H172" s="22" t="str">
        <f t="shared" si="11"/>
        <v>insert into ins_premium_det (premium_rcv_code,assorted_code, rec_amount,premium_rcv_detail_code,remaining_amt, payrec, mode_code,coinsurance_code,class_cd,it_remarks) values('17Dec240043','050000758937','-7386',(select max(to_number(i.premium_rcv_detail_code))+1
from ins_premium_det i),'-7386','-7386','02', '11000003','00','Request by Mr. Omair Ali 17-Dec-2024');</v>
      </c>
    </row>
    <row r="173" spans="1:8" ht="105" x14ac:dyDescent="0.25">
      <c r="A173" t="s">
        <v>184</v>
      </c>
      <c r="B173" s="24" t="str">
        <f>VLOOKUP(A173,policy!B:C,2,0)</f>
        <v>050000760478</v>
      </c>
      <c r="C173" s="13">
        <v>539</v>
      </c>
      <c r="D173" s="19">
        <f t="shared" si="9"/>
        <v>539</v>
      </c>
      <c r="E173" s="18" t="s">
        <v>425</v>
      </c>
      <c r="F173" s="20" t="str">
        <f t="shared" si="8"/>
        <v>insert into ins_premium_det (premium_rcv_code,assorted_code, rec_amount,premium_rcv_detail_code,remaining_amt, payrec, mode_code,coinsurance_code,class_cd,it_remarks) values</v>
      </c>
      <c r="G173" s="21" t="str">
        <f t="shared" si="10"/>
        <v>('17Dec240043','050000760478','539',(select max(to_number(i.premium_rcv_detail_code))+1
from ins_premium_det i),'539','539','02', '11000003','00','Request by Mr. Omair Ali 17-Dec-2024');</v>
      </c>
      <c r="H173" s="22" t="str">
        <f t="shared" si="11"/>
        <v>insert into ins_premium_det (premium_rcv_code,assorted_code, rec_amount,premium_rcv_detail_code,remaining_amt, payrec, mode_code,coinsurance_code,class_cd,it_remarks) values('17Dec240043','050000760478','539',(select max(to_number(i.premium_rcv_detail_code))+1
from ins_premium_det i),'539','539','02', '11000003','00','Request by Mr. Omair Ali 17-Dec-2024');</v>
      </c>
    </row>
    <row r="174" spans="1:8" ht="105" x14ac:dyDescent="0.25">
      <c r="A174" t="s">
        <v>185</v>
      </c>
      <c r="B174" s="24" t="str">
        <f>VLOOKUP(A174,policy!B:C,2,0)</f>
        <v>050000760647</v>
      </c>
      <c r="C174" s="13">
        <v>1023</v>
      </c>
      <c r="D174" s="19">
        <f t="shared" si="9"/>
        <v>1023</v>
      </c>
      <c r="E174" s="18" t="s">
        <v>425</v>
      </c>
      <c r="F174" s="20" t="str">
        <f t="shared" si="8"/>
        <v>insert into ins_premium_det (premium_rcv_code,assorted_code, rec_amount,premium_rcv_detail_code,remaining_amt, payrec, mode_code,coinsurance_code,class_cd,it_remarks) values</v>
      </c>
      <c r="G174" s="21" t="str">
        <f t="shared" si="10"/>
        <v>('17Dec240043','050000760647','1023',(select max(to_number(i.premium_rcv_detail_code))+1
from ins_premium_det i),'1023','1023','02', '11000003','00','Request by Mr. Omair Ali 17-Dec-2024');</v>
      </c>
      <c r="H174" s="22" t="str">
        <f t="shared" si="11"/>
        <v>insert into ins_premium_det (premium_rcv_code,assorted_code, rec_amount,premium_rcv_detail_code,remaining_amt, payrec, mode_code,coinsurance_code,class_cd,it_remarks) values('17Dec240043','050000760647','1023',(select max(to_number(i.premium_rcv_detail_code))+1
from ins_premium_det i),'1023','1023','02', '11000003','00','Request by Mr. Omair Ali 17-Dec-2024');</v>
      </c>
    </row>
    <row r="175" spans="1:8" x14ac:dyDescent="0.25">
      <c r="C175" s="26">
        <f>SUM(C2:C174)</f>
        <v>0</v>
      </c>
      <c r="D175" s="26">
        <f>SUM(D2:D174)</f>
        <v>0</v>
      </c>
    </row>
  </sheetData>
  <conditionalFormatting sqref="A1">
    <cfRule type="duplicateValues" dxfId="4" priority="2"/>
  </conditionalFormatting>
  <conditionalFormatting sqref="B2:B174">
    <cfRule type="duplicateValues" dxfId="3" priority="3"/>
    <cfRule type="duplicateValues" dxfId="2" priority="4"/>
    <cfRule type="duplicateValues" dxfId="1" priority="5"/>
  </conditionalFormatting>
  <conditionalFormatting sqref="C2:C174">
    <cfRule type="notContainsBlanks" dxfId="0" priority="1">
      <formula>LEN(TRIM(C2))&gt;0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7F27-F5EB-4060-BE14-AACDC7F74CF6}">
  <dimension ref="A1:E173"/>
  <sheetViews>
    <sheetView workbookViewId="0">
      <selection activeCell="E1" sqref="E1:E173"/>
    </sheetView>
  </sheetViews>
  <sheetFormatPr defaultRowHeight="15" x14ac:dyDescent="0.25"/>
  <cols>
    <col min="1" max="1" width="38.7109375" bestFit="1" customWidth="1"/>
  </cols>
  <sheetData>
    <row r="1" spans="1:5" x14ac:dyDescent="0.25">
      <c r="A1" t="s">
        <v>11</v>
      </c>
      <c r="B1" t="s">
        <v>191</v>
      </c>
      <c r="D1">
        <v>9578</v>
      </c>
      <c r="E1" t="str">
        <f>"ia.assorted_string like '%"&amp;D1&amp;B1&amp;"%' or"</f>
        <v>ia.assorted_string like '%9578-07-2021%' or</v>
      </c>
    </row>
    <row r="2" spans="1:5" x14ac:dyDescent="0.25">
      <c r="A2" t="s">
        <v>12</v>
      </c>
      <c r="B2" t="s">
        <v>191</v>
      </c>
      <c r="D2">
        <v>9730</v>
      </c>
      <c r="E2" t="str">
        <f t="shared" ref="E2:E65" si="0">"ia.assorted_string like '%"&amp;D2&amp;B2&amp;"%' or"</f>
        <v>ia.assorted_string like '%9730-07-2021%' or</v>
      </c>
    </row>
    <row r="3" spans="1:5" x14ac:dyDescent="0.25">
      <c r="A3" t="s">
        <v>13</v>
      </c>
      <c r="B3" t="s">
        <v>191</v>
      </c>
      <c r="D3">
        <v>9859</v>
      </c>
      <c r="E3" t="str">
        <f t="shared" si="0"/>
        <v>ia.assorted_string like '%9859-07-2021%' or</v>
      </c>
    </row>
    <row r="4" spans="1:5" x14ac:dyDescent="0.25">
      <c r="A4" t="s">
        <v>14</v>
      </c>
      <c r="B4" t="s">
        <v>191</v>
      </c>
      <c r="D4">
        <v>9874</v>
      </c>
      <c r="E4" t="str">
        <f t="shared" si="0"/>
        <v>ia.assorted_string like '%9874-07-2021%' or</v>
      </c>
    </row>
    <row r="5" spans="1:5" x14ac:dyDescent="0.25">
      <c r="A5" t="s">
        <v>15</v>
      </c>
      <c r="B5" t="s">
        <v>191</v>
      </c>
      <c r="D5">
        <v>9894</v>
      </c>
      <c r="E5" t="str">
        <f t="shared" si="0"/>
        <v>ia.assorted_string like '%9894-07-2021%' or</v>
      </c>
    </row>
    <row r="6" spans="1:5" x14ac:dyDescent="0.25">
      <c r="A6" t="s">
        <v>16</v>
      </c>
      <c r="B6" t="s">
        <v>192</v>
      </c>
      <c r="D6">
        <v>10053</v>
      </c>
      <c r="E6" t="str">
        <f t="shared" si="0"/>
        <v>ia.assorted_string like '%10053-08-2021%' or</v>
      </c>
    </row>
    <row r="7" spans="1:5" x14ac:dyDescent="0.25">
      <c r="A7" t="s">
        <v>17</v>
      </c>
      <c r="B7" t="s">
        <v>192</v>
      </c>
      <c r="D7">
        <v>10118</v>
      </c>
      <c r="E7" t="str">
        <f t="shared" si="0"/>
        <v>ia.assorted_string like '%10118-08-2021%' or</v>
      </c>
    </row>
    <row r="8" spans="1:5" x14ac:dyDescent="0.25">
      <c r="A8" t="s">
        <v>18</v>
      </c>
      <c r="B8" t="s">
        <v>192</v>
      </c>
      <c r="D8">
        <v>10193</v>
      </c>
      <c r="E8" t="str">
        <f t="shared" si="0"/>
        <v>ia.assorted_string like '%10193-08-2021%' or</v>
      </c>
    </row>
    <row r="9" spans="1:5" x14ac:dyDescent="0.25">
      <c r="A9" t="s">
        <v>19</v>
      </c>
      <c r="B9" t="s">
        <v>192</v>
      </c>
      <c r="D9">
        <v>10232</v>
      </c>
      <c r="E9" t="str">
        <f t="shared" si="0"/>
        <v>ia.assorted_string like '%10232-08-2021%' or</v>
      </c>
    </row>
    <row r="10" spans="1:5" x14ac:dyDescent="0.25">
      <c r="A10" t="s">
        <v>20</v>
      </c>
      <c r="B10" t="s">
        <v>192</v>
      </c>
      <c r="D10">
        <v>10276</v>
      </c>
      <c r="E10" t="str">
        <f t="shared" si="0"/>
        <v>ia.assorted_string like '%10276-08-2021%' or</v>
      </c>
    </row>
    <row r="11" spans="1:5" x14ac:dyDescent="0.25">
      <c r="A11" t="s">
        <v>21</v>
      </c>
      <c r="B11" t="s">
        <v>193</v>
      </c>
      <c r="D11">
        <v>10477</v>
      </c>
      <c r="E11" t="str">
        <f t="shared" si="0"/>
        <v>ia.assorted_string like '%10477-09-2021%' or</v>
      </c>
    </row>
    <row r="12" spans="1:5" x14ac:dyDescent="0.25">
      <c r="A12" t="s">
        <v>22</v>
      </c>
      <c r="B12" t="s">
        <v>193</v>
      </c>
      <c r="D12">
        <v>10512</v>
      </c>
      <c r="E12" t="str">
        <f t="shared" si="0"/>
        <v>ia.assorted_string like '%10512-09-2021%' or</v>
      </c>
    </row>
    <row r="13" spans="1:5" x14ac:dyDescent="0.25">
      <c r="A13" t="s">
        <v>23</v>
      </c>
      <c r="B13" t="s">
        <v>193</v>
      </c>
      <c r="D13">
        <v>10852</v>
      </c>
      <c r="E13" t="str">
        <f t="shared" si="0"/>
        <v>ia.assorted_string like '%10852-09-2021%' or</v>
      </c>
    </row>
    <row r="14" spans="1:5" x14ac:dyDescent="0.25">
      <c r="A14" t="s">
        <v>24</v>
      </c>
      <c r="B14" t="s">
        <v>193</v>
      </c>
      <c r="D14">
        <v>10880</v>
      </c>
      <c r="E14" t="str">
        <f t="shared" si="0"/>
        <v>ia.assorted_string like '%10880-09-2021%' or</v>
      </c>
    </row>
    <row r="15" spans="1:5" x14ac:dyDescent="0.25">
      <c r="A15" t="s">
        <v>25</v>
      </c>
      <c r="B15" t="s">
        <v>193</v>
      </c>
      <c r="D15">
        <v>10926</v>
      </c>
      <c r="E15" t="str">
        <f t="shared" si="0"/>
        <v>ia.assorted_string like '%10926-09-2021%' or</v>
      </c>
    </row>
    <row r="16" spans="1:5" x14ac:dyDescent="0.25">
      <c r="A16" t="s">
        <v>26</v>
      </c>
      <c r="B16" t="s">
        <v>193</v>
      </c>
      <c r="D16">
        <v>10938</v>
      </c>
      <c r="E16" t="str">
        <f t="shared" si="0"/>
        <v>ia.assorted_string like '%10938-09-2021%' or</v>
      </c>
    </row>
    <row r="17" spans="1:5" x14ac:dyDescent="0.25">
      <c r="A17" t="s">
        <v>27</v>
      </c>
      <c r="B17" t="s">
        <v>193</v>
      </c>
      <c r="D17">
        <v>10991</v>
      </c>
      <c r="E17" t="str">
        <f t="shared" si="0"/>
        <v>ia.assorted_string like '%10991-09-2021%' or</v>
      </c>
    </row>
    <row r="18" spans="1:5" x14ac:dyDescent="0.25">
      <c r="A18" t="s">
        <v>28</v>
      </c>
      <c r="B18" t="s">
        <v>194</v>
      </c>
      <c r="D18">
        <v>11179</v>
      </c>
      <c r="E18" t="str">
        <f t="shared" si="0"/>
        <v>ia.assorted_string like '%11179-10-2021%' or</v>
      </c>
    </row>
    <row r="19" spans="1:5" x14ac:dyDescent="0.25">
      <c r="A19" t="s">
        <v>29</v>
      </c>
      <c r="B19" t="s">
        <v>194</v>
      </c>
      <c r="D19">
        <v>11305</v>
      </c>
      <c r="E19" t="str">
        <f t="shared" si="0"/>
        <v>ia.assorted_string like '%11305-10-2021%' or</v>
      </c>
    </row>
    <row r="20" spans="1:5" x14ac:dyDescent="0.25">
      <c r="A20" t="s">
        <v>30</v>
      </c>
      <c r="B20" t="s">
        <v>194</v>
      </c>
      <c r="D20">
        <v>11520</v>
      </c>
      <c r="E20" t="str">
        <f t="shared" si="0"/>
        <v>ia.assorted_string like '%11520-10-2021%' or</v>
      </c>
    </row>
    <row r="21" spans="1:5" x14ac:dyDescent="0.25">
      <c r="A21" t="s">
        <v>31</v>
      </c>
      <c r="B21" t="s">
        <v>195</v>
      </c>
      <c r="D21">
        <v>11694</v>
      </c>
      <c r="E21" t="str">
        <f t="shared" si="0"/>
        <v>ia.assorted_string like '%11694-11-2021%' or</v>
      </c>
    </row>
    <row r="22" spans="1:5" x14ac:dyDescent="0.25">
      <c r="A22" t="s">
        <v>32</v>
      </c>
      <c r="B22" t="s">
        <v>195</v>
      </c>
      <c r="D22">
        <v>11713</v>
      </c>
      <c r="E22" t="str">
        <f t="shared" si="0"/>
        <v>ia.assorted_string like '%11713-11-2021%' or</v>
      </c>
    </row>
    <row r="23" spans="1:5" x14ac:dyDescent="0.25">
      <c r="A23" t="s">
        <v>33</v>
      </c>
      <c r="B23" t="s">
        <v>195</v>
      </c>
      <c r="D23">
        <v>11798</v>
      </c>
      <c r="E23" t="str">
        <f t="shared" si="0"/>
        <v>ia.assorted_string like '%11798-11-2021%' or</v>
      </c>
    </row>
    <row r="24" spans="1:5" x14ac:dyDescent="0.25">
      <c r="A24" t="s">
        <v>34</v>
      </c>
      <c r="B24" t="s">
        <v>195</v>
      </c>
      <c r="D24">
        <v>11829</v>
      </c>
      <c r="E24" t="str">
        <f t="shared" si="0"/>
        <v>ia.assorted_string like '%11829-11-2021%' or</v>
      </c>
    </row>
    <row r="25" spans="1:5" x14ac:dyDescent="0.25">
      <c r="A25" t="s">
        <v>35</v>
      </c>
      <c r="B25" t="s">
        <v>195</v>
      </c>
      <c r="D25">
        <v>11983</v>
      </c>
      <c r="E25" t="str">
        <f t="shared" si="0"/>
        <v>ia.assorted_string like '%11983-11-2021%' or</v>
      </c>
    </row>
    <row r="26" spans="1:5" x14ac:dyDescent="0.25">
      <c r="A26" t="s">
        <v>36</v>
      </c>
      <c r="B26" t="s">
        <v>195</v>
      </c>
      <c r="D26">
        <v>12028</v>
      </c>
      <c r="E26" t="str">
        <f t="shared" si="0"/>
        <v>ia.assorted_string like '%12028-11-2021%' or</v>
      </c>
    </row>
    <row r="27" spans="1:5" x14ac:dyDescent="0.25">
      <c r="A27" t="s">
        <v>37</v>
      </c>
      <c r="B27" t="s">
        <v>195</v>
      </c>
      <c r="D27">
        <v>12108</v>
      </c>
      <c r="E27" t="str">
        <f t="shared" si="0"/>
        <v>ia.assorted_string like '%12108-11-2021%' or</v>
      </c>
    </row>
    <row r="28" spans="1:5" x14ac:dyDescent="0.25">
      <c r="A28" t="s">
        <v>38</v>
      </c>
      <c r="B28" t="s">
        <v>195</v>
      </c>
      <c r="D28">
        <v>12142</v>
      </c>
      <c r="E28" t="str">
        <f t="shared" si="0"/>
        <v>ia.assorted_string like '%12142-11-2021%' or</v>
      </c>
    </row>
    <row r="29" spans="1:5" x14ac:dyDescent="0.25">
      <c r="A29" t="s">
        <v>39</v>
      </c>
      <c r="B29" t="s">
        <v>196</v>
      </c>
      <c r="D29">
        <v>12290</v>
      </c>
      <c r="E29" t="str">
        <f t="shared" si="0"/>
        <v>ia.assorted_string like '%12290-12-2021%' or</v>
      </c>
    </row>
    <row r="30" spans="1:5" x14ac:dyDescent="0.25">
      <c r="A30" t="s">
        <v>40</v>
      </c>
      <c r="B30" t="s">
        <v>196</v>
      </c>
      <c r="D30">
        <v>12428</v>
      </c>
      <c r="E30" t="str">
        <f t="shared" si="0"/>
        <v>ia.assorted_string like '%12428-12-2021%' or</v>
      </c>
    </row>
    <row r="31" spans="1:5" x14ac:dyDescent="0.25">
      <c r="A31" t="s">
        <v>41</v>
      </c>
      <c r="B31" t="s">
        <v>196</v>
      </c>
      <c r="D31">
        <v>12618</v>
      </c>
      <c r="E31" t="str">
        <f t="shared" si="0"/>
        <v>ia.assorted_string like '%12618-12-2021%' or</v>
      </c>
    </row>
    <row r="32" spans="1:5" x14ac:dyDescent="0.25">
      <c r="A32" t="s">
        <v>42</v>
      </c>
      <c r="B32" t="s">
        <v>196</v>
      </c>
      <c r="D32">
        <v>12666</v>
      </c>
      <c r="E32" t="str">
        <f t="shared" si="0"/>
        <v>ia.assorted_string like '%12666-12-2021%' or</v>
      </c>
    </row>
    <row r="33" spans="1:5" x14ac:dyDescent="0.25">
      <c r="A33" t="s">
        <v>43</v>
      </c>
      <c r="B33" t="s">
        <v>197</v>
      </c>
      <c r="D33">
        <v>12834</v>
      </c>
      <c r="E33" t="str">
        <f t="shared" si="0"/>
        <v>ia.assorted_string like '%12834-01-2022%' or</v>
      </c>
    </row>
    <row r="34" spans="1:5" x14ac:dyDescent="0.25">
      <c r="A34" t="s">
        <v>44</v>
      </c>
      <c r="B34" t="s">
        <v>197</v>
      </c>
      <c r="D34">
        <v>12872</v>
      </c>
      <c r="E34" t="str">
        <f t="shared" si="0"/>
        <v>ia.assorted_string like '%12872-01-2022%' or</v>
      </c>
    </row>
    <row r="35" spans="1:5" x14ac:dyDescent="0.25">
      <c r="A35" t="s">
        <v>45</v>
      </c>
      <c r="B35" t="s">
        <v>197</v>
      </c>
      <c r="D35">
        <v>13023</v>
      </c>
      <c r="E35" t="str">
        <f t="shared" si="0"/>
        <v>ia.assorted_string like '%13023-01-2022%' or</v>
      </c>
    </row>
    <row r="36" spans="1:5" x14ac:dyDescent="0.25">
      <c r="A36" t="s">
        <v>46</v>
      </c>
      <c r="B36" t="s">
        <v>197</v>
      </c>
      <c r="D36">
        <v>13108</v>
      </c>
      <c r="E36" t="str">
        <f t="shared" si="0"/>
        <v>ia.assorted_string like '%13108-01-2022%' or</v>
      </c>
    </row>
    <row r="37" spans="1:5" x14ac:dyDescent="0.25">
      <c r="A37" t="s">
        <v>47</v>
      </c>
      <c r="B37" t="s">
        <v>197</v>
      </c>
      <c r="D37">
        <v>13155</v>
      </c>
      <c r="E37" t="str">
        <f t="shared" si="0"/>
        <v>ia.assorted_string like '%13155-01-2022%' or</v>
      </c>
    </row>
    <row r="38" spans="1:5" x14ac:dyDescent="0.25">
      <c r="A38" t="s">
        <v>48</v>
      </c>
      <c r="B38" t="s">
        <v>198</v>
      </c>
      <c r="D38">
        <v>13272</v>
      </c>
      <c r="E38" t="str">
        <f t="shared" si="0"/>
        <v>ia.assorted_string like '%13272-02-2022%' or</v>
      </c>
    </row>
    <row r="39" spans="1:5" x14ac:dyDescent="0.25">
      <c r="A39" t="s">
        <v>49</v>
      </c>
      <c r="B39" t="s">
        <v>198</v>
      </c>
      <c r="D39">
        <v>13324</v>
      </c>
      <c r="E39" t="str">
        <f t="shared" si="0"/>
        <v>ia.assorted_string like '%13324-02-2022%' or</v>
      </c>
    </row>
    <row r="40" spans="1:5" x14ac:dyDescent="0.25">
      <c r="A40" t="s">
        <v>50</v>
      </c>
      <c r="B40" t="s">
        <v>198</v>
      </c>
      <c r="D40">
        <v>13355</v>
      </c>
      <c r="E40" t="str">
        <f t="shared" si="0"/>
        <v>ia.assorted_string like '%13355-02-2022%' or</v>
      </c>
    </row>
    <row r="41" spans="1:5" x14ac:dyDescent="0.25">
      <c r="A41" t="s">
        <v>51</v>
      </c>
      <c r="B41" t="s">
        <v>198</v>
      </c>
      <c r="D41">
        <v>13596</v>
      </c>
      <c r="E41" t="str">
        <f t="shared" si="0"/>
        <v>ia.assorted_string like '%13596-02-2022%' or</v>
      </c>
    </row>
    <row r="42" spans="1:5" x14ac:dyDescent="0.25">
      <c r="A42" t="s">
        <v>52</v>
      </c>
      <c r="B42" t="s">
        <v>199</v>
      </c>
      <c r="D42">
        <v>13672</v>
      </c>
      <c r="E42" t="str">
        <f t="shared" si="0"/>
        <v>ia.assorted_string like '%13672-03-2022%' or</v>
      </c>
    </row>
    <row r="43" spans="1:5" x14ac:dyDescent="0.25">
      <c r="A43" t="s">
        <v>53</v>
      </c>
      <c r="B43" t="s">
        <v>199</v>
      </c>
      <c r="D43">
        <v>13692</v>
      </c>
      <c r="E43" t="str">
        <f t="shared" si="0"/>
        <v>ia.assorted_string like '%13692-03-2022%' or</v>
      </c>
    </row>
    <row r="44" spans="1:5" x14ac:dyDescent="0.25">
      <c r="A44" t="s">
        <v>54</v>
      </c>
      <c r="B44" t="s">
        <v>199</v>
      </c>
      <c r="D44">
        <v>13931</v>
      </c>
      <c r="E44" t="str">
        <f t="shared" si="0"/>
        <v>ia.assorted_string like '%13931-03-2022%' or</v>
      </c>
    </row>
    <row r="45" spans="1:5" x14ac:dyDescent="0.25">
      <c r="A45" t="s">
        <v>55</v>
      </c>
      <c r="B45" t="s">
        <v>200</v>
      </c>
      <c r="D45">
        <v>14123</v>
      </c>
      <c r="E45" t="str">
        <f t="shared" si="0"/>
        <v>ia.assorted_string like '%14123-04-2022%' or</v>
      </c>
    </row>
    <row r="46" spans="1:5" x14ac:dyDescent="0.25">
      <c r="A46" t="s">
        <v>56</v>
      </c>
      <c r="B46" t="s">
        <v>200</v>
      </c>
      <c r="D46">
        <v>14164</v>
      </c>
      <c r="E46" t="str">
        <f t="shared" si="0"/>
        <v>ia.assorted_string like '%14164-04-2022%' or</v>
      </c>
    </row>
    <row r="47" spans="1:5" x14ac:dyDescent="0.25">
      <c r="A47" t="s">
        <v>57</v>
      </c>
      <c r="B47" t="s">
        <v>200</v>
      </c>
      <c r="D47">
        <v>14257</v>
      </c>
      <c r="E47" t="str">
        <f t="shared" si="0"/>
        <v>ia.assorted_string like '%14257-04-2022%' or</v>
      </c>
    </row>
    <row r="48" spans="1:5" x14ac:dyDescent="0.25">
      <c r="A48" t="s">
        <v>58</v>
      </c>
      <c r="B48" t="s">
        <v>200</v>
      </c>
      <c r="D48">
        <v>14328</v>
      </c>
      <c r="E48" t="str">
        <f t="shared" si="0"/>
        <v>ia.assorted_string like '%14328-04-2022%' or</v>
      </c>
    </row>
    <row r="49" spans="1:5" x14ac:dyDescent="0.25">
      <c r="A49" t="s">
        <v>59</v>
      </c>
      <c r="B49" t="s">
        <v>200</v>
      </c>
      <c r="D49">
        <v>14343</v>
      </c>
      <c r="E49" t="str">
        <f t="shared" si="0"/>
        <v>ia.assorted_string like '%14343-04-2022%' or</v>
      </c>
    </row>
    <row r="50" spans="1:5" x14ac:dyDescent="0.25">
      <c r="A50" t="s">
        <v>60</v>
      </c>
      <c r="B50" t="s">
        <v>200</v>
      </c>
      <c r="D50">
        <v>14438</v>
      </c>
      <c r="E50" t="str">
        <f t="shared" si="0"/>
        <v>ia.assorted_string like '%14438-04-2022%' or</v>
      </c>
    </row>
    <row r="51" spans="1:5" x14ac:dyDescent="0.25">
      <c r="A51" t="s">
        <v>61</v>
      </c>
      <c r="B51" t="s">
        <v>201</v>
      </c>
      <c r="D51">
        <v>14592</v>
      </c>
      <c r="E51" t="str">
        <f t="shared" si="0"/>
        <v>ia.assorted_string like '%14592-05-2022%' or</v>
      </c>
    </row>
    <row r="52" spans="1:5" x14ac:dyDescent="0.25">
      <c r="A52" t="s">
        <v>62</v>
      </c>
      <c r="B52" t="s">
        <v>201</v>
      </c>
      <c r="D52">
        <v>14683</v>
      </c>
      <c r="E52" t="str">
        <f t="shared" si="0"/>
        <v>ia.assorted_string like '%14683-05-2022%' or</v>
      </c>
    </row>
    <row r="53" spans="1:5" x14ac:dyDescent="0.25">
      <c r="A53" t="s">
        <v>63</v>
      </c>
      <c r="B53" t="s">
        <v>201</v>
      </c>
      <c r="D53">
        <v>14862</v>
      </c>
      <c r="E53" t="str">
        <f t="shared" si="0"/>
        <v>ia.assorted_string like '%14862-05-2022%' or</v>
      </c>
    </row>
    <row r="54" spans="1:5" x14ac:dyDescent="0.25">
      <c r="A54" t="s">
        <v>64</v>
      </c>
      <c r="B54" t="s">
        <v>202</v>
      </c>
      <c r="D54">
        <v>14961</v>
      </c>
      <c r="E54" t="str">
        <f t="shared" si="0"/>
        <v>ia.assorted_string like '%14961-06-2022%' or</v>
      </c>
    </row>
    <row r="55" spans="1:5" x14ac:dyDescent="0.25">
      <c r="A55" t="s">
        <v>65</v>
      </c>
      <c r="B55" t="s">
        <v>202</v>
      </c>
      <c r="D55">
        <v>15074</v>
      </c>
      <c r="E55" t="str">
        <f t="shared" si="0"/>
        <v>ia.assorted_string like '%15074-06-2022%' or</v>
      </c>
    </row>
    <row r="56" spans="1:5" x14ac:dyDescent="0.25">
      <c r="A56" t="s">
        <v>66</v>
      </c>
      <c r="B56" t="s">
        <v>202</v>
      </c>
      <c r="D56">
        <v>15108</v>
      </c>
      <c r="E56" t="str">
        <f t="shared" si="0"/>
        <v>ia.assorted_string like '%15108-06-2022%' or</v>
      </c>
    </row>
    <row r="57" spans="1:5" x14ac:dyDescent="0.25">
      <c r="A57" t="s">
        <v>67</v>
      </c>
      <c r="B57" t="s">
        <v>202</v>
      </c>
      <c r="D57">
        <v>15148</v>
      </c>
      <c r="E57" t="str">
        <f t="shared" si="0"/>
        <v>ia.assorted_string like '%15148-06-2022%' or</v>
      </c>
    </row>
    <row r="58" spans="1:5" x14ac:dyDescent="0.25">
      <c r="A58" t="s">
        <v>68</v>
      </c>
      <c r="B58" t="s">
        <v>202</v>
      </c>
      <c r="D58">
        <v>15236</v>
      </c>
      <c r="E58" t="str">
        <f t="shared" si="0"/>
        <v>ia.assorted_string like '%15236-06-2022%' or</v>
      </c>
    </row>
    <row r="59" spans="1:5" x14ac:dyDescent="0.25">
      <c r="A59" t="s">
        <v>69</v>
      </c>
      <c r="B59" t="s">
        <v>203</v>
      </c>
      <c r="D59">
        <v>15603</v>
      </c>
      <c r="E59" t="str">
        <f t="shared" si="0"/>
        <v>ia.assorted_string like '%15603-07-2022%' or</v>
      </c>
    </row>
    <row r="60" spans="1:5" x14ac:dyDescent="0.25">
      <c r="A60" t="s">
        <v>70</v>
      </c>
      <c r="B60" t="s">
        <v>204</v>
      </c>
      <c r="D60">
        <v>21919</v>
      </c>
      <c r="E60" t="str">
        <f t="shared" si="0"/>
        <v>ia.assorted_string like '%21919-10-2023%' or</v>
      </c>
    </row>
    <row r="61" spans="1:5" x14ac:dyDescent="0.25">
      <c r="A61" t="s">
        <v>72</v>
      </c>
      <c r="B61" t="s">
        <v>203</v>
      </c>
      <c r="D61">
        <v>15625</v>
      </c>
      <c r="E61" t="str">
        <f t="shared" si="0"/>
        <v>ia.assorted_string like '%15625-07-2022%' or</v>
      </c>
    </row>
    <row r="62" spans="1:5" x14ac:dyDescent="0.25">
      <c r="A62" t="s">
        <v>73</v>
      </c>
      <c r="B62" t="s">
        <v>205</v>
      </c>
      <c r="D62">
        <v>15652</v>
      </c>
      <c r="E62" t="str">
        <f t="shared" si="0"/>
        <v>ia.assorted_string like '%15652-08-2022%' or</v>
      </c>
    </row>
    <row r="63" spans="1:5" x14ac:dyDescent="0.25">
      <c r="A63" t="s">
        <v>74</v>
      </c>
      <c r="B63" t="s">
        <v>205</v>
      </c>
      <c r="D63">
        <v>15682</v>
      </c>
      <c r="E63" t="str">
        <f t="shared" si="0"/>
        <v>ia.assorted_string like '%15682-08-2022%' or</v>
      </c>
    </row>
    <row r="64" spans="1:5" x14ac:dyDescent="0.25">
      <c r="A64" t="s">
        <v>75</v>
      </c>
      <c r="B64" t="s">
        <v>205</v>
      </c>
      <c r="D64">
        <v>15932</v>
      </c>
      <c r="E64" t="str">
        <f t="shared" si="0"/>
        <v>ia.assorted_string like '%15932-08-2022%' or</v>
      </c>
    </row>
    <row r="65" spans="1:5" x14ac:dyDescent="0.25">
      <c r="A65" t="s">
        <v>76</v>
      </c>
      <c r="B65" t="s">
        <v>205</v>
      </c>
      <c r="D65">
        <v>15962</v>
      </c>
      <c r="E65" t="str">
        <f t="shared" si="0"/>
        <v>ia.assorted_string like '%15962-08-2022%' or</v>
      </c>
    </row>
    <row r="66" spans="1:5" x14ac:dyDescent="0.25">
      <c r="A66" t="s">
        <v>77</v>
      </c>
      <c r="B66" t="s">
        <v>205</v>
      </c>
      <c r="D66">
        <v>16018</v>
      </c>
      <c r="E66" t="str">
        <f t="shared" ref="E66:E129" si="1">"ia.assorted_string like '%"&amp;D66&amp;B66&amp;"%' or"</f>
        <v>ia.assorted_string like '%16018-08-2022%' or</v>
      </c>
    </row>
    <row r="67" spans="1:5" x14ac:dyDescent="0.25">
      <c r="A67" t="s">
        <v>78</v>
      </c>
      <c r="B67" t="s">
        <v>206</v>
      </c>
      <c r="D67">
        <v>16116</v>
      </c>
      <c r="E67" t="str">
        <f t="shared" si="1"/>
        <v>ia.assorted_string like '%16116-09-2022%' or</v>
      </c>
    </row>
    <row r="68" spans="1:5" x14ac:dyDescent="0.25">
      <c r="A68" t="s">
        <v>79</v>
      </c>
      <c r="B68" t="s">
        <v>206</v>
      </c>
      <c r="D68">
        <v>16151</v>
      </c>
      <c r="E68" t="str">
        <f t="shared" si="1"/>
        <v>ia.assorted_string like '%16151-09-2022%' or</v>
      </c>
    </row>
    <row r="69" spans="1:5" x14ac:dyDescent="0.25">
      <c r="A69" t="s">
        <v>80</v>
      </c>
      <c r="B69" t="s">
        <v>206</v>
      </c>
      <c r="D69">
        <v>16201</v>
      </c>
      <c r="E69" t="str">
        <f t="shared" si="1"/>
        <v>ia.assorted_string like '%16201-09-2022%' or</v>
      </c>
    </row>
    <row r="70" spans="1:5" x14ac:dyDescent="0.25">
      <c r="A70" t="s">
        <v>81</v>
      </c>
      <c r="B70" t="s">
        <v>206</v>
      </c>
      <c r="D70">
        <v>16228</v>
      </c>
      <c r="E70" t="str">
        <f t="shared" si="1"/>
        <v>ia.assorted_string like '%16228-09-2022%' or</v>
      </c>
    </row>
    <row r="71" spans="1:5" x14ac:dyDescent="0.25">
      <c r="A71" t="s">
        <v>82</v>
      </c>
      <c r="B71" t="s">
        <v>206</v>
      </c>
      <c r="D71">
        <v>16325</v>
      </c>
      <c r="E71" t="str">
        <f t="shared" si="1"/>
        <v>ia.assorted_string like '%16325-09-2022%' or</v>
      </c>
    </row>
    <row r="72" spans="1:5" x14ac:dyDescent="0.25">
      <c r="A72" t="s">
        <v>83</v>
      </c>
      <c r="B72" t="s">
        <v>206</v>
      </c>
      <c r="D72">
        <v>16402</v>
      </c>
      <c r="E72" t="str">
        <f t="shared" si="1"/>
        <v>ia.assorted_string like '%16402-09-2022%' or</v>
      </c>
    </row>
    <row r="73" spans="1:5" x14ac:dyDescent="0.25">
      <c r="A73" t="s">
        <v>84</v>
      </c>
      <c r="B73" t="s">
        <v>206</v>
      </c>
      <c r="D73">
        <v>16493</v>
      </c>
      <c r="E73" t="str">
        <f t="shared" si="1"/>
        <v>ia.assorted_string like '%16493-09-2022%' or</v>
      </c>
    </row>
    <row r="74" spans="1:5" x14ac:dyDescent="0.25">
      <c r="A74" t="s">
        <v>85</v>
      </c>
      <c r="B74" t="s">
        <v>207</v>
      </c>
      <c r="D74">
        <v>16638</v>
      </c>
      <c r="E74" t="str">
        <f t="shared" si="1"/>
        <v>ia.assorted_string like '%16638-10-2022%' or</v>
      </c>
    </row>
    <row r="75" spans="1:5" x14ac:dyDescent="0.25">
      <c r="A75" t="s">
        <v>86</v>
      </c>
      <c r="B75" t="s">
        <v>207</v>
      </c>
      <c r="D75">
        <v>16763</v>
      </c>
      <c r="E75" t="str">
        <f t="shared" si="1"/>
        <v>ia.assorted_string like '%16763-10-2022%' or</v>
      </c>
    </row>
    <row r="76" spans="1:5" x14ac:dyDescent="0.25">
      <c r="A76" t="s">
        <v>87</v>
      </c>
      <c r="B76" t="s">
        <v>207</v>
      </c>
      <c r="D76">
        <v>16830</v>
      </c>
      <c r="E76" t="str">
        <f t="shared" si="1"/>
        <v>ia.assorted_string like '%16830-10-2022%' or</v>
      </c>
    </row>
    <row r="77" spans="1:5" x14ac:dyDescent="0.25">
      <c r="A77" t="s">
        <v>88</v>
      </c>
      <c r="B77" t="s">
        <v>207</v>
      </c>
      <c r="D77">
        <v>16930</v>
      </c>
      <c r="E77" t="str">
        <f t="shared" si="1"/>
        <v>ia.assorted_string like '%16930-10-2022%' or</v>
      </c>
    </row>
    <row r="78" spans="1:5" x14ac:dyDescent="0.25">
      <c r="A78" t="s">
        <v>89</v>
      </c>
      <c r="B78" t="s">
        <v>208</v>
      </c>
      <c r="D78">
        <v>16999</v>
      </c>
      <c r="E78" t="str">
        <f t="shared" si="1"/>
        <v>ia.assorted_string like '%16999-11-2022%' or</v>
      </c>
    </row>
    <row r="79" spans="1:5" x14ac:dyDescent="0.25">
      <c r="A79" t="s">
        <v>90</v>
      </c>
      <c r="B79" t="s">
        <v>208</v>
      </c>
      <c r="D79">
        <v>17078</v>
      </c>
      <c r="E79" t="str">
        <f t="shared" si="1"/>
        <v>ia.assorted_string like '%17078-11-2022%' or</v>
      </c>
    </row>
    <row r="80" spans="1:5" x14ac:dyDescent="0.25">
      <c r="A80" t="s">
        <v>91</v>
      </c>
      <c r="B80" t="s">
        <v>208</v>
      </c>
      <c r="D80">
        <v>17221</v>
      </c>
      <c r="E80" t="str">
        <f t="shared" si="1"/>
        <v>ia.assorted_string like '%17221-11-2022%' or</v>
      </c>
    </row>
    <row r="81" spans="1:5" x14ac:dyDescent="0.25">
      <c r="A81" t="s">
        <v>92</v>
      </c>
      <c r="B81" t="s">
        <v>208</v>
      </c>
      <c r="D81">
        <v>17257</v>
      </c>
      <c r="E81" t="str">
        <f t="shared" si="1"/>
        <v>ia.assorted_string like '%17257-11-2022%' or</v>
      </c>
    </row>
    <row r="82" spans="1:5" x14ac:dyDescent="0.25">
      <c r="A82" t="s">
        <v>93</v>
      </c>
      <c r="B82" t="s">
        <v>208</v>
      </c>
      <c r="D82">
        <v>17278</v>
      </c>
      <c r="E82" t="str">
        <f t="shared" si="1"/>
        <v>ia.assorted_string like '%17278-11-2022%' or</v>
      </c>
    </row>
    <row r="83" spans="1:5" x14ac:dyDescent="0.25">
      <c r="A83" t="s">
        <v>94</v>
      </c>
      <c r="B83" t="s">
        <v>208</v>
      </c>
      <c r="D83">
        <v>17351</v>
      </c>
      <c r="E83" t="str">
        <f t="shared" si="1"/>
        <v>ia.assorted_string like '%17351-11-2022%' or</v>
      </c>
    </row>
    <row r="84" spans="1:5" x14ac:dyDescent="0.25">
      <c r="A84" t="s">
        <v>95</v>
      </c>
      <c r="B84" t="s">
        <v>209</v>
      </c>
      <c r="D84">
        <v>17595</v>
      </c>
      <c r="E84" t="str">
        <f t="shared" si="1"/>
        <v>ia.assorted_string like '%17595-12-2022%' or</v>
      </c>
    </row>
    <row r="85" spans="1:5" x14ac:dyDescent="0.25">
      <c r="A85" t="s">
        <v>96</v>
      </c>
      <c r="B85" t="s">
        <v>209</v>
      </c>
      <c r="D85">
        <v>17618</v>
      </c>
      <c r="E85" t="str">
        <f t="shared" si="1"/>
        <v>ia.assorted_string like '%17618-12-2022%' or</v>
      </c>
    </row>
    <row r="86" spans="1:5" x14ac:dyDescent="0.25">
      <c r="A86" t="s">
        <v>97</v>
      </c>
      <c r="B86" t="s">
        <v>209</v>
      </c>
      <c r="D86">
        <v>17776</v>
      </c>
      <c r="E86" t="str">
        <f t="shared" si="1"/>
        <v>ia.assorted_string like '%17776-12-2022%' or</v>
      </c>
    </row>
    <row r="87" spans="1:5" x14ac:dyDescent="0.25">
      <c r="A87" t="s">
        <v>98</v>
      </c>
      <c r="B87" t="s">
        <v>210</v>
      </c>
      <c r="D87">
        <v>17860</v>
      </c>
      <c r="E87" t="str">
        <f t="shared" si="1"/>
        <v>ia.assorted_string like '%17860-01-2023%' or</v>
      </c>
    </row>
    <row r="88" spans="1:5" x14ac:dyDescent="0.25">
      <c r="A88" t="s">
        <v>99</v>
      </c>
      <c r="B88" t="s">
        <v>210</v>
      </c>
      <c r="D88">
        <v>17887</v>
      </c>
      <c r="E88" t="str">
        <f t="shared" si="1"/>
        <v>ia.assorted_string like '%17887-01-2023%' or</v>
      </c>
    </row>
    <row r="89" spans="1:5" x14ac:dyDescent="0.25">
      <c r="A89" t="s">
        <v>100</v>
      </c>
      <c r="B89" t="s">
        <v>210</v>
      </c>
      <c r="D89">
        <v>17963</v>
      </c>
      <c r="E89" t="str">
        <f t="shared" si="1"/>
        <v>ia.assorted_string like '%17963-01-2023%' or</v>
      </c>
    </row>
    <row r="90" spans="1:5" x14ac:dyDescent="0.25">
      <c r="A90" t="s">
        <v>101</v>
      </c>
      <c r="B90" t="s">
        <v>210</v>
      </c>
      <c r="D90">
        <v>17988</v>
      </c>
      <c r="E90" t="str">
        <f t="shared" si="1"/>
        <v>ia.assorted_string like '%17988-01-2023%' or</v>
      </c>
    </row>
    <row r="91" spans="1:5" x14ac:dyDescent="0.25">
      <c r="A91" t="s">
        <v>102</v>
      </c>
      <c r="B91" t="s">
        <v>210</v>
      </c>
      <c r="D91">
        <v>18086</v>
      </c>
      <c r="E91" t="str">
        <f t="shared" si="1"/>
        <v>ia.assorted_string like '%18086-01-2023%' or</v>
      </c>
    </row>
    <row r="92" spans="1:5" x14ac:dyDescent="0.25">
      <c r="A92" t="s">
        <v>103</v>
      </c>
      <c r="B92" t="s">
        <v>210</v>
      </c>
      <c r="D92">
        <v>18174</v>
      </c>
      <c r="E92" t="str">
        <f t="shared" si="1"/>
        <v>ia.assorted_string like '%18174-01-2023%' or</v>
      </c>
    </row>
    <row r="93" spans="1:5" x14ac:dyDescent="0.25">
      <c r="A93" t="s">
        <v>104</v>
      </c>
      <c r="B93" t="s">
        <v>211</v>
      </c>
      <c r="D93">
        <v>18206</v>
      </c>
      <c r="E93" t="str">
        <f t="shared" si="1"/>
        <v>ia.assorted_string like '%18206-02-2023%' or</v>
      </c>
    </row>
    <row r="94" spans="1:5" x14ac:dyDescent="0.25">
      <c r="A94" t="s">
        <v>105</v>
      </c>
      <c r="B94" t="s">
        <v>211</v>
      </c>
      <c r="D94">
        <v>18223</v>
      </c>
      <c r="E94" t="str">
        <f t="shared" si="1"/>
        <v>ia.assorted_string like '%18223-02-2023%' or</v>
      </c>
    </row>
    <row r="95" spans="1:5" x14ac:dyDescent="0.25">
      <c r="A95" t="s">
        <v>106</v>
      </c>
      <c r="B95" t="s">
        <v>211</v>
      </c>
      <c r="D95">
        <v>18332</v>
      </c>
      <c r="E95" t="str">
        <f t="shared" si="1"/>
        <v>ia.assorted_string like '%18332-02-2023%' or</v>
      </c>
    </row>
    <row r="96" spans="1:5" x14ac:dyDescent="0.25">
      <c r="A96" t="s">
        <v>107</v>
      </c>
      <c r="B96" t="s">
        <v>211</v>
      </c>
      <c r="D96">
        <v>18387</v>
      </c>
      <c r="E96" t="str">
        <f t="shared" si="1"/>
        <v>ia.assorted_string like '%18387-02-2023%' or</v>
      </c>
    </row>
    <row r="97" spans="1:5" x14ac:dyDescent="0.25">
      <c r="A97" t="s">
        <v>108</v>
      </c>
      <c r="B97" t="s">
        <v>211</v>
      </c>
      <c r="D97">
        <v>18477</v>
      </c>
      <c r="E97" t="str">
        <f t="shared" si="1"/>
        <v>ia.assorted_string like '%18477-02-2023%' or</v>
      </c>
    </row>
    <row r="98" spans="1:5" x14ac:dyDescent="0.25">
      <c r="A98" t="s">
        <v>109</v>
      </c>
      <c r="B98" t="s">
        <v>211</v>
      </c>
      <c r="D98">
        <v>18622</v>
      </c>
      <c r="E98" t="str">
        <f t="shared" si="1"/>
        <v>ia.assorted_string like '%18622-02-2023%' or</v>
      </c>
    </row>
    <row r="99" spans="1:5" x14ac:dyDescent="0.25">
      <c r="A99" t="s">
        <v>110</v>
      </c>
      <c r="B99" t="s">
        <v>212</v>
      </c>
      <c r="D99">
        <v>18719</v>
      </c>
      <c r="E99" t="str">
        <f t="shared" si="1"/>
        <v>ia.assorted_string like '%18719-03-2023%' or</v>
      </c>
    </row>
    <row r="100" spans="1:5" x14ac:dyDescent="0.25">
      <c r="A100" t="s">
        <v>111</v>
      </c>
      <c r="B100" t="s">
        <v>212</v>
      </c>
      <c r="D100">
        <v>18768</v>
      </c>
      <c r="E100" t="str">
        <f t="shared" si="1"/>
        <v>ia.assorted_string like '%18768-03-2023%' or</v>
      </c>
    </row>
    <row r="101" spans="1:5" x14ac:dyDescent="0.25">
      <c r="A101" t="s">
        <v>112</v>
      </c>
      <c r="B101" t="s">
        <v>212</v>
      </c>
      <c r="D101">
        <v>18819</v>
      </c>
      <c r="E101" t="str">
        <f t="shared" si="1"/>
        <v>ia.assorted_string like '%18819-03-2023%' or</v>
      </c>
    </row>
    <row r="102" spans="1:5" x14ac:dyDescent="0.25">
      <c r="A102" t="s">
        <v>113</v>
      </c>
      <c r="B102" t="s">
        <v>213</v>
      </c>
      <c r="D102">
        <v>19133</v>
      </c>
      <c r="E102" t="str">
        <f t="shared" si="1"/>
        <v>ia.assorted_string like '%19133-04-2023%' or</v>
      </c>
    </row>
    <row r="103" spans="1:5" x14ac:dyDescent="0.25">
      <c r="A103" t="s">
        <v>114</v>
      </c>
      <c r="B103" t="s">
        <v>213</v>
      </c>
      <c r="D103">
        <v>19148</v>
      </c>
      <c r="E103" t="str">
        <f t="shared" si="1"/>
        <v>ia.assorted_string like '%19148-04-2023%' or</v>
      </c>
    </row>
    <row r="104" spans="1:5" x14ac:dyDescent="0.25">
      <c r="A104" t="s">
        <v>115</v>
      </c>
      <c r="B104" t="s">
        <v>213</v>
      </c>
      <c r="D104">
        <v>19227</v>
      </c>
      <c r="E104" t="str">
        <f t="shared" si="1"/>
        <v>ia.assorted_string like '%19227-04-2023%' or</v>
      </c>
    </row>
    <row r="105" spans="1:5" x14ac:dyDescent="0.25">
      <c r="A105" t="s">
        <v>116</v>
      </c>
      <c r="B105" t="s">
        <v>213</v>
      </c>
      <c r="D105">
        <v>19341</v>
      </c>
      <c r="E105" t="str">
        <f t="shared" si="1"/>
        <v>ia.assorted_string like '%19341-04-2023%' or</v>
      </c>
    </row>
    <row r="106" spans="1:5" x14ac:dyDescent="0.25">
      <c r="A106" t="s">
        <v>117</v>
      </c>
      <c r="B106" t="s">
        <v>213</v>
      </c>
      <c r="D106">
        <v>19396</v>
      </c>
      <c r="E106" t="str">
        <f t="shared" si="1"/>
        <v>ia.assorted_string like '%19396-04-2023%' or</v>
      </c>
    </row>
    <row r="107" spans="1:5" x14ac:dyDescent="0.25">
      <c r="A107" t="s">
        <v>118</v>
      </c>
      <c r="B107" t="s">
        <v>213</v>
      </c>
      <c r="D107">
        <v>19438</v>
      </c>
      <c r="E107" t="str">
        <f t="shared" si="1"/>
        <v>ia.assorted_string like '%19438-04-2023%' or</v>
      </c>
    </row>
    <row r="108" spans="1:5" x14ac:dyDescent="0.25">
      <c r="A108" t="s">
        <v>119</v>
      </c>
      <c r="B108" t="s">
        <v>214</v>
      </c>
      <c r="D108">
        <v>19474</v>
      </c>
      <c r="E108" t="str">
        <f t="shared" si="1"/>
        <v>ia.assorted_string like '%19474-05-2023%' or</v>
      </c>
    </row>
    <row r="109" spans="1:5" x14ac:dyDescent="0.25">
      <c r="A109" t="s">
        <v>120</v>
      </c>
      <c r="B109" t="s">
        <v>214</v>
      </c>
      <c r="D109">
        <v>19501</v>
      </c>
      <c r="E109" t="str">
        <f t="shared" si="1"/>
        <v>ia.assorted_string like '%19501-05-2023%' or</v>
      </c>
    </row>
    <row r="110" spans="1:5" x14ac:dyDescent="0.25">
      <c r="A110" t="s">
        <v>121</v>
      </c>
      <c r="B110" t="s">
        <v>214</v>
      </c>
      <c r="D110">
        <v>19686</v>
      </c>
      <c r="E110" t="str">
        <f t="shared" si="1"/>
        <v>ia.assorted_string like '%19686-05-2023%' or</v>
      </c>
    </row>
    <row r="111" spans="1:5" x14ac:dyDescent="0.25">
      <c r="A111" t="s">
        <v>122</v>
      </c>
      <c r="B111" t="s">
        <v>214</v>
      </c>
      <c r="D111">
        <v>19714</v>
      </c>
      <c r="E111" t="str">
        <f t="shared" si="1"/>
        <v>ia.assorted_string like '%19714-05-2023%' or</v>
      </c>
    </row>
    <row r="112" spans="1:5" x14ac:dyDescent="0.25">
      <c r="A112" t="s">
        <v>123</v>
      </c>
      <c r="B112" t="s">
        <v>214</v>
      </c>
      <c r="D112">
        <v>19786</v>
      </c>
      <c r="E112" t="str">
        <f t="shared" si="1"/>
        <v>ia.assorted_string like '%19786-05-2023%' or</v>
      </c>
    </row>
    <row r="113" spans="1:5" x14ac:dyDescent="0.25">
      <c r="A113" t="s">
        <v>124</v>
      </c>
      <c r="B113" t="s">
        <v>214</v>
      </c>
      <c r="D113">
        <v>19929</v>
      </c>
      <c r="E113" t="str">
        <f t="shared" si="1"/>
        <v>ia.assorted_string like '%19929-05-2023%' or</v>
      </c>
    </row>
    <row r="114" spans="1:5" x14ac:dyDescent="0.25">
      <c r="A114" t="s">
        <v>125</v>
      </c>
      <c r="B114" t="s">
        <v>214</v>
      </c>
      <c r="D114">
        <v>19954</v>
      </c>
      <c r="E114" t="str">
        <f t="shared" si="1"/>
        <v>ia.assorted_string like '%19954-05-2023%' or</v>
      </c>
    </row>
    <row r="115" spans="1:5" x14ac:dyDescent="0.25">
      <c r="A115" t="s">
        <v>126</v>
      </c>
      <c r="B115" t="s">
        <v>215</v>
      </c>
      <c r="D115">
        <v>20051</v>
      </c>
      <c r="E115" t="str">
        <f t="shared" si="1"/>
        <v>ia.assorted_string like '%20051-06-2023%' or</v>
      </c>
    </row>
    <row r="116" spans="1:5" x14ac:dyDescent="0.25">
      <c r="A116" t="s">
        <v>127</v>
      </c>
      <c r="B116" t="s">
        <v>215</v>
      </c>
      <c r="D116">
        <v>20086</v>
      </c>
      <c r="E116" t="str">
        <f t="shared" si="1"/>
        <v>ia.assorted_string like '%20086-06-2023%' or</v>
      </c>
    </row>
    <row r="117" spans="1:5" x14ac:dyDescent="0.25">
      <c r="A117" t="s">
        <v>128</v>
      </c>
      <c r="B117" t="s">
        <v>215</v>
      </c>
      <c r="D117">
        <v>20201</v>
      </c>
      <c r="E117" t="str">
        <f t="shared" si="1"/>
        <v>ia.assorted_string like '%20201-06-2023%' or</v>
      </c>
    </row>
    <row r="118" spans="1:5" x14ac:dyDescent="0.25">
      <c r="A118" t="s">
        <v>129</v>
      </c>
      <c r="B118" t="s">
        <v>215</v>
      </c>
      <c r="D118">
        <v>20320</v>
      </c>
      <c r="E118" t="str">
        <f t="shared" si="1"/>
        <v>ia.assorted_string like '%20320-06-2023%' or</v>
      </c>
    </row>
    <row r="119" spans="1:5" x14ac:dyDescent="0.25">
      <c r="A119" t="s">
        <v>130</v>
      </c>
      <c r="B119" t="s">
        <v>204</v>
      </c>
      <c r="D119">
        <v>21920</v>
      </c>
      <c r="E119" t="str">
        <f t="shared" si="1"/>
        <v>ia.assorted_string like '%21920-10-2023%' or</v>
      </c>
    </row>
    <row r="120" spans="1:5" x14ac:dyDescent="0.25">
      <c r="A120" t="s">
        <v>132</v>
      </c>
      <c r="B120" t="s">
        <v>216</v>
      </c>
      <c r="D120">
        <v>20987</v>
      </c>
      <c r="E120" t="str">
        <f t="shared" si="1"/>
        <v>ia.assorted_string like '%20987-08-2023%' or</v>
      </c>
    </row>
    <row r="121" spans="1:5" x14ac:dyDescent="0.25">
      <c r="A121" t="s">
        <v>133</v>
      </c>
      <c r="B121" t="s">
        <v>216</v>
      </c>
      <c r="D121">
        <v>21067</v>
      </c>
      <c r="E121" t="str">
        <f t="shared" si="1"/>
        <v>ia.assorted_string like '%21067-08-2023%' or</v>
      </c>
    </row>
    <row r="122" spans="1:5" x14ac:dyDescent="0.25">
      <c r="A122" t="s">
        <v>134</v>
      </c>
      <c r="B122" t="s">
        <v>216</v>
      </c>
      <c r="D122">
        <v>21134</v>
      </c>
      <c r="E122" t="str">
        <f t="shared" si="1"/>
        <v>ia.assorted_string like '%21134-08-2023%' or</v>
      </c>
    </row>
    <row r="123" spans="1:5" x14ac:dyDescent="0.25">
      <c r="A123" t="s">
        <v>135</v>
      </c>
      <c r="B123" t="s">
        <v>217</v>
      </c>
      <c r="D123">
        <v>21339</v>
      </c>
      <c r="E123" t="str">
        <f t="shared" si="1"/>
        <v>ia.assorted_string like '%21339-09-2023%' or</v>
      </c>
    </row>
    <row r="124" spans="1:5" x14ac:dyDescent="0.25">
      <c r="A124" t="s">
        <v>136</v>
      </c>
      <c r="B124" t="s">
        <v>217</v>
      </c>
      <c r="D124">
        <v>21490</v>
      </c>
      <c r="E124" t="str">
        <f t="shared" si="1"/>
        <v>ia.assorted_string like '%21490-09-2023%' or</v>
      </c>
    </row>
    <row r="125" spans="1:5" x14ac:dyDescent="0.25">
      <c r="A125" t="s">
        <v>137</v>
      </c>
      <c r="B125" t="s">
        <v>217</v>
      </c>
      <c r="D125">
        <v>21545</v>
      </c>
      <c r="E125" t="str">
        <f t="shared" si="1"/>
        <v>ia.assorted_string like '%21545-09-2023%' or</v>
      </c>
    </row>
    <row r="126" spans="1:5" x14ac:dyDescent="0.25">
      <c r="A126" t="s">
        <v>138</v>
      </c>
      <c r="B126" t="s">
        <v>217</v>
      </c>
      <c r="D126">
        <v>21693</v>
      </c>
      <c r="E126" t="str">
        <f t="shared" si="1"/>
        <v>ia.assorted_string like '%21693-09-2023%' or</v>
      </c>
    </row>
    <row r="127" spans="1:5" x14ac:dyDescent="0.25">
      <c r="A127" t="s">
        <v>139</v>
      </c>
      <c r="B127" t="s">
        <v>204</v>
      </c>
      <c r="D127">
        <v>21826</v>
      </c>
      <c r="E127" t="str">
        <f t="shared" si="1"/>
        <v>ia.assorted_string like '%21826-10-2023%' or</v>
      </c>
    </row>
    <row r="128" spans="1:5" x14ac:dyDescent="0.25">
      <c r="A128" t="s">
        <v>140</v>
      </c>
      <c r="B128" t="s">
        <v>204</v>
      </c>
      <c r="D128">
        <v>22089</v>
      </c>
      <c r="E128" t="str">
        <f t="shared" si="1"/>
        <v>ia.assorted_string like '%22089-10-2023%' or</v>
      </c>
    </row>
    <row r="129" spans="1:5" x14ac:dyDescent="0.25">
      <c r="A129" t="s">
        <v>141</v>
      </c>
      <c r="B129" t="s">
        <v>204</v>
      </c>
      <c r="D129">
        <v>22155</v>
      </c>
      <c r="E129" t="str">
        <f t="shared" si="1"/>
        <v>ia.assorted_string like '%22155-10-2023%' or</v>
      </c>
    </row>
    <row r="130" spans="1:5" x14ac:dyDescent="0.25">
      <c r="A130" t="s">
        <v>142</v>
      </c>
      <c r="B130" t="s">
        <v>204</v>
      </c>
      <c r="D130">
        <v>22168</v>
      </c>
      <c r="E130" t="str">
        <f t="shared" ref="E130:E173" si="2">"ia.assorted_string like '%"&amp;D130&amp;B130&amp;"%' or"</f>
        <v>ia.assorted_string like '%22168-10-2023%' or</v>
      </c>
    </row>
    <row r="131" spans="1:5" x14ac:dyDescent="0.25">
      <c r="A131" t="s">
        <v>143</v>
      </c>
      <c r="B131" t="s">
        <v>204</v>
      </c>
      <c r="D131">
        <v>22192</v>
      </c>
      <c r="E131" t="str">
        <f t="shared" si="2"/>
        <v>ia.assorted_string like '%22192-10-2023%' or</v>
      </c>
    </row>
    <row r="132" spans="1:5" x14ac:dyDescent="0.25">
      <c r="A132" t="s">
        <v>144</v>
      </c>
      <c r="B132" t="s">
        <v>204</v>
      </c>
      <c r="D132">
        <v>22203</v>
      </c>
      <c r="E132" t="str">
        <f t="shared" si="2"/>
        <v>ia.assorted_string like '%22203-10-2023%' or</v>
      </c>
    </row>
    <row r="133" spans="1:5" x14ac:dyDescent="0.25">
      <c r="A133" t="s">
        <v>145</v>
      </c>
      <c r="B133" t="s">
        <v>204</v>
      </c>
      <c r="D133">
        <v>22297</v>
      </c>
      <c r="E133" t="str">
        <f t="shared" si="2"/>
        <v>ia.assorted_string like '%22297-10-2023%' or</v>
      </c>
    </row>
    <row r="134" spans="1:5" x14ac:dyDescent="0.25">
      <c r="A134" t="s">
        <v>146</v>
      </c>
      <c r="B134" t="s">
        <v>204</v>
      </c>
      <c r="D134">
        <v>22341</v>
      </c>
      <c r="E134" t="str">
        <f t="shared" si="2"/>
        <v>ia.assorted_string like '%22341-10-2023%' or</v>
      </c>
    </row>
    <row r="135" spans="1:5" x14ac:dyDescent="0.25">
      <c r="A135" t="s">
        <v>147</v>
      </c>
      <c r="B135" t="s">
        <v>218</v>
      </c>
      <c r="D135">
        <v>22376</v>
      </c>
      <c r="E135" t="str">
        <f t="shared" si="2"/>
        <v>ia.assorted_string like '%22376-11-2023%' or</v>
      </c>
    </row>
    <row r="136" spans="1:5" x14ac:dyDescent="0.25">
      <c r="A136" t="s">
        <v>148</v>
      </c>
      <c r="B136" t="s">
        <v>218</v>
      </c>
      <c r="D136">
        <v>22394</v>
      </c>
      <c r="E136" t="str">
        <f t="shared" si="2"/>
        <v>ia.assorted_string like '%22394-11-2023%' or</v>
      </c>
    </row>
    <row r="137" spans="1:5" x14ac:dyDescent="0.25">
      <c r="A137" t="s">
        <v>149</v>
      </c>
      <c r="B137" t="s">
        <v>218</v>
      </c>
      <c r="D137">
        <v>22521</v>
      </c>
      <c r="E137" t="str">
        <f t="shared" si="2"/>
        <v>ia.assorted_string like '%22521-11-2023%' or</v>
      </c>
    </row>
    <row r="138" spans="1:5" x14ac:dyDescent="0.25">
      <c r="A138" t="s">
        <v>150</v>
      </c>
      <c r="B138" t="s">
        <v>218</v>
      </c>
      <c r="D138">
        <v>22576</v>
      </c>
      <c r="E138" t="str">
        <f t="shared" si="2"/>
        <v>ia.assorted_string like '%22576-11-2023%' or</v>
      </c>
    </row>
    <row r="139" spans="1:5" x14ac:dyDescent="0.25">
      <c r="A139" t="s">
        <v>151</v>
      </c>
      <c r="B139" t="s">
        <v>218</v>
      </c>
      <c r="D139">
        <v>22683</v>
      </c>
      <c r="E139" t="str">
        <f t="shared" si="2"/>
        <v>ia.assorted_string like '%22683-11-2023%' or</v>
      </c>
    </row>
    <row r="140" spans="1:5" x14ac:dyDescent="0.25">
      <c r="A140" t="s">
        <v>152</v>
      </c>
      <c r="B140" t="s">
        <v>219</v>
      </c>
      <c r="D140">
        <v>22922</v>
      </c>
      <c r="E140" t="str">
        <f t="shared" si="2"/>
        <v>ia.assorted_string like '%22922-12-2023%' or</v>
      </c>
    </row>
    <row r="141" spans="1:5" x14ac:dyDescent="0.25">
      <c r="A141" t="s">
        <v>153</v>
      </c>
      <c r="B141" t="s">
        <v>219</v>
      </c>
      <c r="D141">
        <v>23004</v>
      </c>
      <c r="E141" t="str">
        <f t="shared" si="2"/>
        <v>ia.assorted_string like '%23004-12-2023%' or</v>
      </c>
    </row>
    <row r="142" spans="1:5" x14ac:dyDescent="0.25">
      <c r="A142" t="s">
        <v>154</v>
      </c>
      <c r="B142" t="s">
        <v>219</v>
      </c>
      <c r="D142">
        <v>23049</v>
      </c>
      <c r="E142" t="str">
        <f t="shared" si="2"/>
        <v>ia.assorted_string like '%23049-12-2023%' or</v>
      </c>
    </row>
    <row r="143" spans="1:5" x14ac:dyDescent="0.25">
      <c r="A143" t="s">
        <v>155</v>
      </c>
      <c r="B143" t="s">
        <v>219</v>
      </c>
      <c r="D143">
        <v>23106</v>
      </c>
      <c r="E143" t="str">
        <f t="shared" si="2"/>
        <v>ia.assorted_string like '%23106-12-2023%' or</v>
      </c>
    </row>
    <row r="144" spans="1:5" x14ac:dyDescent="0.25">
      <c r="A144" t="s">
        <v>156</v>
      </c>
      <c r="B144" t="s">
        <v>219</v>
      </c>
      <c r="D144">
        <v>23115</v>
      </c>
      <c r="E144" t="str">
        <f t="shared" si="2"/>
        <v>ia.assorted_string like '%23115-12-2023%' or</v>
      </c>
    </row>
    <row r="145" spans="1:5" x14ac:dyDescent="0.25">
      <c r="A145" t="s">
        <v>157</v>
      </c>
      <c r="B145" t="s">
        <v>219</v>
      </c>
      <c r="D145">
        <v>23224</v>
      </c>
      <c r="E145" t="str">
        <f t="shared" si="2"/>
        <v>ia.assorted_string like '%23224-12-2023%' or</v>
      </c>
    </row>
    <row r="146" spans="1:5" x14ac:dyDescent="0.25">
      <c r="A146" t="s">
        <v>158</v>
      </c>
      <c r="B146" t="s">
        <v>220</v>
      </c>
      <c r="D146">
        <v>23321</v>
      </c>
      <c r="E146" t="str">
        <f t="shared" si="2"/>
        <v>ia.assorted_string like '%23321-01-2024%' or</v>
      </c>
    </row>
    <row r="147" spans="1:5" x14ac:dyDescent="0.25">
      <c r="A147" t="s">
        <v>159</v>
      </c>
      <c r="B147" t="s">
        <v>220</v>
      </c>
      <c r="D147">
        <v>23383</v>
      </c>
      <c r="E147" t="str">
        <f t="shared" si="2"/>
        <v>ia.assorted_string like '%23383-01-2024%' or</v>
      </c>
    </row>
    <row r="148" spans="1:5" x14ac:dyDescent="0.25">
      <c r="A148" t="s">
        <v>160</v>
      </c>
      <c r="B148" t="s">
        <v>220</v>
      </c>
      <c r="D148">
        <v>23404</v>
      </c>
      <c r="E148" t="str">
        <f t="shared" si="2"/>
        <v>ia.assorted_string like '%23404-01-2024%' or</v>
      </c>
    </row>
    <row r="149" spans="1:5" x14ac:dyDescent="0.25">
      <c r="A149" t="s">
        <v>161</v>
      </c>
      <c r="B149" t="s">
        <v>220</v>
      </c>
      <c r="D149">
        <v>23645</v>
      </c>
      <c r="E149" t="str">
        <f t="shared" si="2"/>
        <v>ia.assorted_string like '%23645-01-2024%' or</v>
      </c>
    </row>
    <row r="150" spans="1:5" x14ac:dyDescent="0.25">
      <c r="A150" t="s">
        <v>162</v>
      </c>
      <c r="B150" t="s">
        <v>220</v>
      </c>
      <c r="D150">
        <v>23666</v>
      </c>
      <c r="E150" t="str">
        <f t="shared" si="2"/>
        <v>ia.assorted_string like '%23666-01-2024%' or</v>
      </c>
    </row>
    <row r="151" spans="1:5" x14ac:dyDescent="0.25">
      <c r="A151" t="s">
        <v>163</v>
      </c>
      <c r="B151" t="s">
        <v>220</v>
      </c>
      <c r="D151">
        <v>23811</v>
      </c>
      <c r="E151" t="str">
        <f t="shared" si="2"/>
        <v>ia.assorted_string like '%23811-01-2024%' or</v>
      </c>
    </row>
    <row r="152" spans="1:5" x14ac:dyDescent="0.25">
      <c r="A152" t="s">
        <v>164</v>
      </c>
      <c r="B152" t="s">
        <v>221</v>
      </c>
      <c r="D152">
        <v>23870</v>
      </c>
      <c r="E152" t="str">
        <f t="shared" si="2"/>
        <v>ia.assorted_string like '%23870-02-2024%' or</v>
      </c>
    </row>
    <row r="153" spans="1:5" x14ac:dyDescent="0.25">
      <c r="A153" t="s">
        <v>165</v>
      </c>
      <c r="B153" t="s">
        <v>221</v>
      </c>
      <c r="D153">
        <v>23950</v>
      </c>
      <c r="E153" t="str">
        <f t="shared" si="2"/>
        <v>ia.assorted_string like '%23950-02-2024%' or</v>
      </c>
    </row>
    <row r="154" spans="1:5" x14ac:dyDescent="0.25">
      <c r="A154" t="s">
        <v>166</v>
      </c>
      <c r="B154" t="s">
        <v>221</v>
      </c>
      <c r="D154">
        <v>24006</v>
      </c>
      <c r="E154" t="str">
        <f t="shared" si="2"/>
        <v>ia.assorted_string like '%24006-02-2024%' or</v>
      </c>
    </row>
    <row r="155" spans="1:5" x14ac:dyDescent="0.25">
      <c r="A155" t="s">
        <v>167</v>
      </c>
      <c r="B155" t="s">
        <v>221</v>
      </c>
      <c r="D155">
        <v>24088</v>
      </c>
      <c r="E155" t="str">
        <f t="shared" si="2"/>
        <v>ia.assorted_string like '%24088-02-2024%' or</v>
      </c>
    </row>
    <row r="156" spans="1:5" x14ac:dyDescent="0.25">
      <c r="A156" t="s">
        <v>168</v>
      </c>
      <c r="B156" t="s">
        <v>221</v>
      </c>
      <c r="D156">
        <v>24150</v>
      </c>
      <c r="E156" t="str">
        <f t="shared" si="2"/>
        <v>ia.assorted_string like '%24150-02-2024%' or</v>
      </c>
    </row>
    <row r="157" spans="1:5" x14ac:dyDescent="0.25">
      <c r="A157" t="s">
        <v>169</v>
      </c>
      <c r="B157" t="s">
        <v>221</v>
      </c>
      <c r="D157">
        <v>24233</v>
      </c>
      <c r="E157" t="str">
        <f t="shared" si="2"/>
        <v>ia.assorted_string like '%24233-02-2024%' or</v>
      </c>
    </row>
    <row r="158" spans="1:5" x14ac:dyDescent="0.25">
      <c r="A158" t="s">
        <v>170</v>
      </c>
      <c r="B158" t="s">
        <v>222</v>
      </c>
      <c r="D158">
        <v>24287</v>
      </c>
      <c r="E158" t="str">
        <f t="shared" si="2"/>
        <v>ia.assorted_string like '%24287-03-2024%' or</v>
      </c>
    </row>
    <row r="159" spans="1:5" x14ac:dyDescent="0.25">
      <c r="A159" t="s">
        <v>171</v>
      </c>
      <c r="B159" t="s">
        <v>222</v>
      </c>
      <c r="D159">
        <v>24349</v>
      </c>
      <c r="E159" t="str">
        <f t="shared" si="2"/>
        <v>ia.assorted_string like '%24349-03-2024%' or</v>
      </c>
    </row>
    <row r="160" spans="1:5" x14ac:dyDescent="0.25">
      <c r="A160" t="s">
        <v>172</v>
      </c>
      <c r="B160" t="s">
        <v>222</v>
      </c>
      <c r="D160">
        <v>24636</v>
      </c>
      <c r="E160" t="str">
        <f t="shared" si="2"/>
        <v>ia.assorted_string like '%24636-03-2024%' or</v>
      </c>
    </row>
    <row r="161" spans="1:5" x14ac:dyDescent="0.25">
      <c r="A161" t="s">
        <v>173</v>
      </c>
      <c r="B161" t="s">
        <v>223</v>
      </c>
      <c r="D161">
        <v>24772</v>
      </c>
      <c r="E161" t="str">
        <f t="shared" si="2"/>
        <v>ia.assorted_string like '%24772-04-2024%' or</v>
      </c>
    </row>
    <row r="162" spans="1:5" x14ac:dyDescent="0.25">
      <c r="A162" t="s">
        <v>174</v>
      </c>
      <c r="B162" t="s">
        <v>223</v>
      </c>
      <c r="D162">
        <v>24857</v>
      </c>
      <c r="E162" t="str">
        <f t="shared" si="2"/>
        <v>ia.assorted_string like '%24857-04-2024%' or</v>
      </c>
    </row>
    <row r="163" spans="1:5" x14ac:dyDescent="0.25">
      <c r="A163" t="s">
        <v>175</v>
      </c>
      <c r="B163" t="s">
        <v>223</v>
      </c>
      <c r="D163">
        <v>24969</v>
      </c>
      <c r="E163" t="str">
        <f t="shared" si="2"/>
        <v>ia.assorted_string like '%24969-04-2024%' or</v>
      </c>
    </row>
    <row r="164" spans="1:5" x14ac:dyDescent="0.25">
      <c r="A164" t="s">
        <v>176</v>
      </c>
      <c r="B164" t="s">
        <v>223</v>
      </c>
      <c r="D164">
        <v>25084</v>
      </c>
      <c r="E164" t="str">
        <f t="shared" si="2"/>
        <v>ia.assorted_string like '%25084-04-2024%' or</v>
      </c>
    </row>
    <row r="165" spans="1:5" x14ac:dyDescent="0.25">
      <c r="A165" t="s">
        <v>177</v>
      </c>
      <c r="B165" t="s">
        <v>224</v>
      </c>
      <c r="D165">
        <v>25118</v>
      </c>
      <c r="E165" t="str">
        <f t="shared" si="2"/>
        <v>ia.assorted_string like '%25118-05-2024%' or</v>
      </c>
    </row>
    <row r="166" spans="1:5" x14ac:dyDescent="0.25">
      <c r="A166" t="s">
        <v>178</v>
      </c>
      <c r="B166" t="s">
        <v>224</v>
      </c>
      <c r="D166">
        <v>25200</v>
      </c>
      <c r="E166" t="str">
        <f t="shared" si="2"/>
        <v>ia.assorted_string like '%25200-05-2024%' or</v>
      </c>
    </row>
    <row r="167" spans="1:5" x14ac:dyDescent="0.25">
      <c r="A167" t="s">
        <v>179</v>
      </c>
      <c r="B167" t="s">
        <v>224</v>
      </c>
      <c r="D167">
        <v>25438</v>
      </c>
      <c r="E167" t="str">
        <f t="shared" si="2"/>
        <v>ia.assorted_string like '%25438-05-2024%' or</v>
      </c>
    </row>
    <row r="168" spans="1:5" x14ac:dyDescent="0.25">
      <c r="A168" t="s">
        <v>180</v>
      </c>
      <c r="B168" t="s">
        <v>224</v>
      </c>
      <c r="D168">
        <v>25500</v>
      </c>
      <c r="E168" t="str">
        <f t="shared" si="2"/>
        <v>ia.assorted_string like '%25500-05-2024%' or</v>
      </c>
    </row>
    <row r="169" spans="1:5" x14ac:dyDescent="0.25">
      <c r="A169" t="s">
        <v>181</v>
      </c>
      <c r="B169" t="s">
        <v>225</v>
      </c>
      <c r="D169">
        <v>25667</v>
      </c>
      <c r="E169" t="str">
        <f t="shared" si="2"/>
        <v>ia.assorted_string like '%25667-06-2024%' or</v>
      </c>
    </row>
    <row r="170" spans="1:5" x14ac:dyDescent="0.25">
      <c r="A170" t="s">
        <v>182</v>
      </c>
      <c r="B170" t="s">
        <v>225</v>
      </c>
      <c r="D170">
        <v>25719</v>
      </c>
      <c r="E170" t="str">
        <f t="shared" si="2"/>
        <v>ia.assorted_string like '%25719-06-2024%' or</v>
      </c>
    </row>
    <row r="171" spans="1:5" x14ac:dyDescent="0.25">
      <c r="A171" t="s">
        <v>183</v>
      </c>
      <c r="B171" t="s">
        <v>225</v>
      </c>
      <c r="D171">
        <v>25735</v>
      </c>
      <c r="E171" t="str">
        <f t="shared" si="2"/>
        <v>ia.assorted_string like '%25735-06-2024%' or</v>
      </c>
    </row>
    <row r="172" spans="1:5" x14ac:dyDescent="0.25">
      <c r="A172" t="s">
        <v>184</v>
      </c>
      <c r="B172" t="s">
        <v>225</v>
      </c>
      <c r="D172">
        <v>25879</v>
      </c>
      <c r="E172" t="str">
        <f t="shared" si="2"/>
        <v>ia.assorted_string like '%25879-06-2024%' or</v>
      </c>
    </row>
    <row r="173" spans="1:5" x14ac:dyDescent="0.25">
      <c r="A173" t="s">
        <v>185</v>
      </c>
      <c r="B173" t="s">
        <v>225</v>
      </c>
      <c r="D173">
        <v>25919</v>
      </c>
      <c r="E173" t="str">
        <f t="shared" si="2"/>
        <v>ia.assorted_string like '%25919-06-2024%' 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7D7D-393E-45EC-906A-61AAA665D25F}">
  <dimension ref="A1:C184"/>
  <sheetViews>
    <sheetView workbookViewId="0">
      <selection activeCell="E10" sqref="E10"/>
    </sheetView>
  </sheetViews>
  <sheetFormatPr defaultColWidth="7.85546875" defaultRowHeight="15" x14ac:dyDescent="0.25"/>
  <cols>
    <col min="1" max="1" width="4" bestFit="1" customWidth="1"/>
    <col min="2" max="2" width="40" bestFit="1" customWidth="1"/>
    <col min="3" max="3" width="15" bestFit="1" customWidth="1"/>
  </cols>
  <sheetData>
    <row r="1" spans="1:3" s="25" customFormat="1" ht="12" x14ac:dyDescent="0.2">
      <c r="A1" s="25" t="s">
        <v>229</v>
      </c>
      <c r="B1" s="25" t="s">
        <v>230</v>
      </c>
      <c r="C1" s="25" t="s">
        <v>231</v>
      </c>
    </row>
    <row r="2" spans="1:3" x14ac:dyDescent="0.25">
      <c r="A2">
        <v>1</v>
      </c>
      <c r="B2" t="s">
        <v>32</v>
      </c>
      <c r="C2" t="s">
        <v>232</v>
      </c>
    </row>
    <row r="3" spans="1:3" x14ac:dyDescent="0.25">
      <c r="A3">
        <v>2</v>
      </c>
      <c r="B3" t="s">
        <v>16</v>
      </c>
      <c r="C3" t="s">
        <v>233</v>
      </c>
    </row>
    <row r="4" spans="1:3" x14ac:dyDescent="0.25">
      <c r="A4">
        <v>3</v>
      </c>
      <c r="B4" t="s">
        <v>17</v>
      </c>
      <c r="C4" t="s">
        <v>234</v>
      </c>
    </row>
    <row r="5" spans="1:3" x14ac:dyDescent="0.25">
      <c r="A5">
        <v>4</v>
      </c>
      <c r="B5" t="s">
        <v>56</v>
      </c>
      <c r="C5" t="s">
        <v>235</v>
      </c>
    </row>
    <row r="6" spans="1:3" x14ac:dyDescent="0.25">
      <c r="A6">
        <v>5</v>
      </c>
      <c r="B6" t="s">
        <v>33</v>
      </c>
      <c r="C6" t="s">
        <v>236</v>
      </c>
    </row>
    <row r="7" spans="1:3" x14ac:dyDescent="0.25">
      <c r="A7">
        <v>6</v>
      </c>
      <c r="B7" t="s">
        <v>27</v>
      </c>
      <c r="C7" t="s">
        <v>237</v>
      </c>
    </row>
    <row r="8" spans="1:3" x14ac:dyDescent="0.25">
      <c r="A8">
        <v>7</v>
      </c>
      <c r="B8" t="s">
        <v>28</v>
      </c>
      <c r="C8" t="s">
        <v>238</v>
      </c>
    </row>
    <row r="9" spans="1:3" x14ac:dyDescent="0.25">
      <c r="A9">
        <v>8</v>
      </c>
      <c r="B9" t="s">
        <v>14</v>
      </c>
      <c r="C9" t="s">
        <v>239</v>
      </c>
    </row>
    <row r="10" spans="1:3" x14ac:dyDescent="0.25">
      <c r="A10">
        <v>9</v>
      </c>
      <c r="B10" t="s">
        <v>30</v>
      </c>
      <c r="C10" t="s">
        <v>240</v>
      </c>
    </row>
    <row r="11" spans="1:3" x14ac:dyDescent="0.25">
      <c r="A11">
        <v>10</v>
      </c>
      <c r="B11" t="s">
        <v>52</v>
      </c>
      <c r="C11" t="s">
        <v>241</v>
      </c>
    </row>
    <row r="12" spans="1:3" x14ac:dyDescent="0.25">
      <c r="A12">
        <v>11</v>
      </c>
      <c r="B12" t="s">
        <v>51</v>
      </c>
      <c r="C12" t="s">
        <v>242</v>
      </c>
    </row>
    <row r="13" spans="1:3" x14ac:dyDescent="0.25">
      <c r="A13">
        <v>12</v>
      </c>
      <c r="B13" t="s">
        <v>45</v>
      </c>
      <c r="C13" t="s">
        <v>243</v>
      </c>
    </row>
    <row r="14" spans="1:3" x14ac:dyDescent="0.25">
      <c r="A14">
        <v>13</v>
      </c>
      <c r="B14" t="s">
        <v>44</v>
      </c>
      <c r="C14" t="s">
        <v>244</v>
      </c>
    </row>
    <row r="15" spans="1:3" x14ac:dyDescent="0.25">
      <c r="A15">
        <v>14</v>
      </c>
      <c r="B15" t="s">
        <v>37</v>
      </c>
      <c r="C15" t="s">
        <v>245</v>
      </c>
    </row>
    <row r="16" spans="1:3" x14ac:dyDescent="0.25">
      <c r="A16">
        <v>15</v>
      </c>
      <c r="B16" t="s">
        <v>35</v>
      </c>
      <c r="C16" t="s">
        <v>246</v>
      </c>
    </row>
    <row r="17" spans="1:3" x14ac:dyDescent="0.25">
      <c r="A17">
        <v>16</v>
      </c>
      <c r="B17" t="s">
        <v>40</v>
      </c>
      <c r="C17" t="s">
        <v>247</v>
      </c>
    </row>
    <row r="18" spans="1:3" x14ac:dyDescent="0.25">
      <c r="A18">
        <v>17</v>
      </c>
      <c r="B18" t="s">
        <v>25</v>
      </c>
      <c r="C18" t="s">
        <v>248</v>
      </c>
    </row>
    <row r="19" spans="1:3" x14ac:dyDescent="0.25">
      <c r="A19">
        <v>18</v>
      </c>
      <c r="B19" t="s">
        <v>29</v>
      </c>
      <c r="C19" t="s">
        <v>249</v>
      </c>
    </row>
    <row r="20" spans="1:3" x14ac:dyDescent="0.25">
      <c r="A20">
        <v>19</v>
      </c>
      <c r="B20" t="s">
        <v>43</v>
      </c>
      <c r="C20" t="s">
        <v>250</v>
      </c>
    </row>
    <row r="21" spans="1:3" x14ac:dyDescent="0.25">
      <c r="A21">
        <v>20</v>
      </c>
      <c r="B21" t="s">
        <v>46</v>
      </c>
      <c r="C21" t="s">
        <v>251</v>
      </c>
    </row>
    <row r="22" spans="1:3" x14ac:dyDescent="0.25">
      <c r="A22">
        <v>21</v>
      </c>
      <c r="B22" t="s">
        <v>76</v>
      </c>
      <c r="C22" t="s">
        <v>252</v>
      </c>
    </row>
    <row r="23" spans="1:3" x14ac:dyDescent="0.25">
      <c r="A23">
        <v>22</v>
      </c>
      <c r="B23" t="s">
        <v>95</v>
      </c>
      <c r="C23" t="s">
        <v>253</v>
      </c>
    </row>
    <row r="24" spans="1:3" x14ac:dyDescent="0.25">
      <c r="A24">
        <v>23</v>
      </c>
      <c r="B24" t="s">
        <v>75</v>
      </c>
      <c r="C24" t="s">
        <v>254</v>
      </c>
    </row>
    <row r="25" spans="1:3" x14ac:dyDescent="0.25">
      <c r="A25">
        <v>24</v>
      </c>
      <c r="B25" t="s">
        <v>255</v>
      </c>
      <c r="C25" t="s">
        <v>256</v>
      </c>
    </row>
    <row r="26" spans="1:3" x14ac:dyDescent="0.25">
      <c r="A26">
        <v>25</v>
      </c>
      <c r="B26" t="s">
        <v>74</v>
      </c>
      <c r="C26" t="s">
        <v>257</v>
      </c>
    </row>
    <row r="27" spans="1:3" x14ac:dyDescent="0.25">
      <c r="A27">
        <v>26</v>
      </c>
      <c r="B27" t="s">
        <v>57</v>
      </c>
      <c r="C27" t="s">
        <v>258</v>
      </c>
    </row>
    <row r="28" spans="1:3" x14ac:dyDescent="0.25">
      <c r="A28">
        <v>27</v>
      </c>
      <c r="B28" t="s">
        <v>73</v>
      </c>
      <c r="C28" t="s">
        <v>259</v>
      </c>
    </row>
    <row r="29" spans="1:3" x14ac:dyDescent="0.25">
      <c r="A29">
        <v>28</v>
      </c>
      <c r="B29" t="s">
        <v>65</v>
      </c>
      <c r="C29" t="s">
        <v>260</v>
      </c>
    </row>
    <row r="30" spans="1:3" x14ac:dyDescent="0.25">
      <c r="A30">
        <v>29</v>
      </c>
      <c r="B30" t="s">
        <v>54</v>
      </c>
      <c r="C30" t="s">
        <v>261</v>
      </c>
    </row>
    <row r="31" spans="1:3" x14ac:dyDescent="0.25">
      <c r="A31">
        <v>30</v>
      </c>
      <c r="B31" t="s">
        <v>53</v>
      </c>
      <c r="C31" t="s">
        <v>262</v>
      </c>
    </row>
    <row r="32" spans="1:3" x14ac:dyDescent="0.25">
      <c r="A32">
        <v>31</v>
      </c>
      <c r="B32" t="s">
        <v>69</v>
      </c>
      <c r="C32" t="s">
        <v>263</v>
      </c>
    </row>
    <row r="33" spans="1:3" x14ac:dyDescent="0.25">
      <c r="A33">
        <v>32</v>
      </c>
      <c r="B33" t="s">
        <v>68</v>
      </c>
      <c r="C33" t="s">
        <v>264</v>
      </c>
    </row>
    <row r="34" spans="1:3" x14ac:dyDescent="0.25">
      <c r="A34">
        <v>33</v>
      </c>
      <c r="B34" t="s">
        <v>80</v>
      </c>
      <c r="C34" t="s">
        <v>265</v>
      </c>
    </row>
    <row r="35" spans="1:3" x14ac:dyDescent="0.25">
      <c r="A35">
        <v>34</v>
      </c>
      <c r="B35" t="s">
        <v>87</v>
      </c>
      <c r="C35" t="s">
        <v>266</v>
      </c>
    </row>
    <row r="36" spans="1:3" x14ac:dyDescent="0.25">
      <c r="A36">
        <v>35</v>
      </c>
      <c r="B36" t="s">
        <v>97</v>
      </c>
      <c r="C36" t="s">
        <v>267</v>
      </c>
    </row>
    <row r="37" spans="1:3" x14ac:dyDescent="0.25">
      <c r="A37">
        <v>36</v>
      </c>
      <c r="B37" t="s">
        <v>160</v>
      </c>
      <c r="C37" t="s">
        <v>268</v>
      </c>
    </row>
    <row r="38" spans="1:3" x14ac:dyDescent="0.25">
      <c r="A38">
        <v>37</v>
      </c>
      <c r="B38" t="s">
        <v>100</v>
      </c>
      <c r="C38" t="s">
        <v>269</v>
      </c>
    </row>
    <row r="39" spans="1:3" x14ac:dyDescent="0.25">
      <c r="A39">
        <v>38</v>
      </c>
      <c r="B39" t="s">
        <v>67</v>
      </c>
      <c r="C39" t="s">
        <v>270</v>
      </c>
    </row>
    <row r="40" spans="1:3" x14ac:dyDescent="0.25">
      <c r="A40">
        <v>39</v>
      </c>
      <c r="B40" t="s">
        <v>72</v>
      </c>
      <c r="C40" t="s">
        <v>271</v>
      </c>
    </row>
    <row r="41" spans="1:3" x14ac:dyDescent="0.25">
      <c r="A41">
        <v>40</v>
      </c>
      <c r="B41" t="s">
        <v>55</v>
      </c>
      <c r="C41" t="s">
        <v>272</v>
      </c>
    </row>
    <row r="42" spans="1:3" x14ac:dyDescent="0.25">
      <c r="A42">
        <v>41</v>
      </c>
      <c r="B42" t="s">
        <v>23</v>
      </c>
      <c r="C42" t="s">
        <v>273</v>
      </c>
    </row>
    <row r="43" spans="1:3" x14ac:dyDescent="0.25">
      <c r="A43">
        <v>42</v>
      </c>
      <c r="B43" t="s">
        <v>31</v>
      </c>
      <c r="C43" t="s">
        <v>274</v>
      </c>
    </row>
    <row r="44" spans="1:3" x14ac:dyDescent="0.25">
      <c r="A44">
        <v>43</v>
      </c>
      <c r="B44" t="s">
        <v>20</v>
      </c>
      <c r="C44" t="s">
        <v>275</v>
      </c>
    </row>
    <row r="45" spans="1:3" x14ac:dyDescent="0.25">
      <c r="A45">
        <v>44</v>
      </c>
      <c r="B45" t="s">
        <v>22</v>
      </c>
      <c r="C45" t="s">
        <v>276</v>
      </c>
    </row>
    <row r="46" spans="1:3" x14ac:dyDescent="0.25">
      <c r="A46">
        <v>45</v>
      </c>
      <c r="B46" t="s">
        <v>21</v>
      </c>
      <c r="C46" t="s">
        <v>277</v>
      </c>
    </row>
    <row r="47" spans="1:3" x14ac:dyDescent="0.25">
      <c r="A47">
        <v>46</v>
      </c>
      <c r="B47" t="s">
        <v>19</v>
      </c>
      <c r="C47" t="s">
        <v>278</v>
      </c>
    </row>
    <row r="48" spans="1:3" x14ac:dyDescent="0.25">
      <c r="A48">
        <v>47</v>
      </c>
      <c r="B48" t="s">
        <v>11</v>
      </c>
      <c r="C48" t="s">
        <v>279</v>
      </c>
    </row>
    <row r="49" spans="1:3" x14ac:dyDescent="0.25">
      <c r="A49">
        <v>48</v>
      </c>
      <c r="B49" t="s">
        <v>24</v>
      </c>
      <c r="C49" t="s">
        <v>280</v>
      </c>
    </row>
    <row r="50" spans="1:3" x14ac:dyDescent="0.25">
      <c r="A50">
        <v>49</v>
      </c>
      <c r="B50" t="s">
        <v>38</v>
      </c>
      <c r="C50" t="s">
        <v>281</v>
      </c>
    </row>
    <row r="51" spans="1:3" x14ac:dyDescent="0.25">
      <c r="A51">
        <v>50</v>
      </c>
      <c r="B51" t="s">
        <v>39</v>
      </c>
      <c r="C51" t="s">
        <v>282</v>
      </c>
    </row>
    <row r="52" spans="1:3" x14ac:dyDescent="0.25">
      <c r="A52">
        <v>51</v>
      </c>
      <c r="B52" t="s">
        <v>12</v>
      </c>
      <c r="C52" t="s">
        <v>283</v>
      </c>
    </row>
    <row r="53" spans="1:3" x14ac:dyDescent="0.25">
      <c r="A53">
        <v>52</v>
      </c>
      <c r="B53" t="s">
        <v>18</v>
      </c>
      <c r="C53" t="s">
        <v>284</v>
      </c>
    </row>
    <row r="54" spans="1:3" x14ac:dyDescent="0.25">
      <c r="A54">
        <v>53</v>
      </c>
      <c r="B54" t="s">
        <v>26</v>
      </c>
      <c r="C54" t="s">
        <v>285</v>
      </c>
    </row>
    <row r="55" spans="1:3" x14ac:dyDescent="0.25">
      <c r="A55">
        <v>54</v>
      </c>
      <c r="B55" t="s">
        <v>13</v>
      </c>
      <c r="C55" t="s">
        <v>286</v>
      </c>
    </row>
    <row r="56" spans="1:3" x14ac:dyDescent="0.25">
      <c r="A56">
        <v>55</v>
      </c>
      <c r="B56" t="s">
        <v>48</v>
      </c>
      <c r="C56" t="s">
        <v>287</v>
      </c>
    </row>
    <row r="57" spans="1:3" x14ac:dyDescent="0.25">
      <c r="A57">
        <v>56</v>
      </c>
      <c r="B57" t="s">
        <v>41</v>
      </c>
      <c r="C57" t="s">
        <v>288</v>
      </c>
    </row>
    <row r="58" spans="1:3" x14ac:dyDescent="0.25">
      <c r="A58">
        <v>57</v>
      </c>
      <c r="B58" t="s">
        <v>61</v>
      </c>
      <c r="C58" t="s">
        <v>289</v>
      </c>
    </row>
    <row r="59" spans="1:3" x14ac:dyDescent="0.25">
      <c r="A59">
        <v>58</v>
      </c>
      <c r="B59" t="s">
        <v>42</v>
      </c>
      <c r="C59" t="s">
        <v>290</v>
      </c>
    </row>
    <row r="60" spans="1:3" x14ac:dyDescent="0.25">
      <c r="A60">
        <v>59</v>
      </c>
      <c r="B60" t="s">
        <v>63</v>
      </c>
      <c r="C60" t="s">
        <v>291</v>
      </c>
    </row>
    <row r="61" spans="1:3" x14ac:dyDescent="0.25">
      <c r="A61">
        <v>60</v>
      </c>
      <c r="B61" t="s">
        <v>64</v>
      </c>
      <c r="C61" t="s">
        <v>292</v>
      </c>
    </row>
    <row r="62" spans="1:3" x14ac:dyDescent="0.25">
      <c r="A62">
        <v>61</v>
      </c>
      <c r="B62" t="s">
        <v>59</v>
      </c>
      <c r="C62" t="s">
        <v>293</v>
      </c>
    </row>
    <row r="63" spans="1:3" x14ac:dyDescent="0.25">
      <c r="A63">
        <v>62</v>
      </c>
      <c r="B63" t="s">
        <v>62</v>
      </c>
      <c r="C63" t="s">
        <v>294</v>
      </c>
    </row>
    <row r="64" spans="1:3" x14ac:dyDescent="0.25">
      <c r="A64">
        <v>63</v>
      </c>
      <c r="B64" t="s">
        <v>58</v>
      </c>
      <c r="C64" t="s">
        <v>295</v>
      </c>
    </row>
    <row r="65" spans="1:3" x14ac:dyDescent="0.25">
      <c r="A65">
        <v>64</v>
      </c>
      <c r="B65" t="s">
        <v>49</v>
      </c>
      <c r="C65" t="s">
        <v>296</v>
      </c>
    </row>
    <row r="66" spans="1:3" x14ac:dyDescent="0.25">
      <c r="A66">
        <v>65</v>
      </c>
      <c r="B66" t="s">
        <v>47</v>
      </c>
      <c r="C66" t="s">
        <v>297</v>
      </c>
    </row>
    <row r="67" spans="1:3" x14ac:dyDescent="0.25">
      <c r="A67">
        <v>66</v>
      </c>
      <c r="B67" t="s">
        <v>60</v>
      </c>
      <c r="C67" t="s">
        <v>298</v>
      </c>
    </row>
    <row r="68" spans="1:3" x14ac:dyDescent="0.25">
      <c r="A68">
        <v>67</v>
      </c>
      <c r="B68" t="s">
        <v>66</v>
      </c>
      <c r="C68" t="s">
        <v>299</v>
      </c>
    </row>
    <row r="69" spans="1:3" x14ac:dyDescent="0.25">
      <c r="A69">
        <v>68</v>
      </c>
      <c r="B69" t="s">
        <v>300</v>
      </c>
      <c r="C69" t="s">
        <v>301</v>
      </c>
    </row>
    <row r="70" spans="1:3" x14ac:dyDescent="0.25">
      <c r="A70">
        <v>69</v>
      </c>
      <c r="B70" t="s">
        <v>15</v>
      </c>
      <c r="C70" t="s">
        <v>302</v>
      </c>
    </row>
    <row r="71" spans="1:3" x14ac:dyDescent="0.25">
      <c r="A71">
        <v>70</v>
      </c>
      <c r="B71" t="s">
        <v>36</v>
      </c>
      <c r="C71" t="s">
        <v>303</v>
      </c>
    </row>
    <row r="72" spans="1:3" x14ac:dyDescent="0.25">
      <c r="A72">
        <v>71</v>
      </c>
      <c r="B72" t="s">
        <v>34</v>
      </c>
      <c r="C72" t="s">
        <v>304</v>
      </c>
    </row>
    <row r="73" spans="1:3" x14ac:dyDescent="0.25">
      <c r="A73">
        <v>72</v>
      </c>
      <c r="B73" t="s">
        <v>117</v>
      </c>
      <c r="C73" t="s">
        <v>305</v>
      </c>
    </row>
    <row r="74" spans="1:3" x14ac:dyDescent="0.25">
      <c r="A74">
        <v>73</v>
      </c>
      <c r="B74" t="s">
        <v>114</v>
      </c>
      <c r="C74" t="s">
        <v>306</v>
      </c>
    </row>
    <row r="75" spans="1:3" x14ac:dyDescent="0.25">
      <c r="A75">
        <v>74</v>
      </c>
      <c r="B75" t="s">
        <v>115</v>
      </c>
      <c r="C75" t="s">
        <v>307</v>
      </c>
    </row>
    <row r="76" spans="1:3" x14ac:dyDescent="0.25">
      <c r="A76">
        <v>75</v>
      </c>
      <c r="B76" t="s">
        <v>118</v>
      </c>
      <c r="C76" t="s">
        <v>308</v>
      </c>
    </row>
    <row r="77" spans="1:3" x14ac:dyDescent="0.25">
      <c r="A77">
        <v>76</v>
      </c>
      <c r="B77" t="s">
        <v>123</v>
      </c>
      <c r="C77" t="s">
        <v>309</v>
      </c>
    </row>
    <row r="78" spans="1:3" x14ac:dyDescent="0.25">
      <c r="A78">
        <v>77</v>
      </c>
      <c r="B78" t="s">
        <v>111</v>
      </c>
      <c r="C78" t="s">
        <v>310</v>
      </c>
    </row>
    <row r="79" spans="1:3" x14ac:dyDescent="0.25">
      <c r="A79">
        <v>78</v>
      </c>
      <c r="B79" t="s">
        <v>110</v>
      </c>
      <c r="C79" t="s">
        <v>311</v>
      </c>
    </row>
    <row r="80" spans="1:3" x14ac:dyDescent="0.25">
      <c r="A80">
        <v>79</v>
      </c>
      <c r="B80" t="s">
        <v>124</v>
      </c>
      <c r="C80" t="s">
        <v>312</v>
      </c>
    </row>
    <row r="81" spans="1:3" x14ac:dyDescent="0.25">
      <c r="A81">
        <v>80</v>
      </c>
      <c r="B81" t="s">
        <v>113</v>
      </c>
      <c r="C81" t="s">
        <v>313</v>
      </c>
    </row>
    <row r="82" spans="1:3" x14ac:dyDescent="0.25">
      <c r="A82">
        <v>81</v>
      </c>
      <c r="B82" t="s">
        <v>126</v>
      </c>
      <c r="C82" t="s">
        <v>314</v>
      </c>
    </row>
    <row r="83" spans="1:3" x14ac:dyDescent="0.25">
      <c r="A83">
        <v>82</v>
      </c>
      <c r="B83" t="s">
        <v>120</v>
      </c>
      <c r="C83" t="s">
        <v>315</v>
      </c>
    </row>
    <row r="84" spans="1:3" x14ac:dyDescent="0.25">
      <c r="A84">
        <v>83</v>
      </c>
      <c r="B84" t="s">
        <v>112</v>
      </c>
      <c r="C84" t="s">
        <v>316</v>
      </c>
    </row>
    <row r="85" spans="1:3" x14ac:dyDescent="0.25">
      <c r="A85">
        <v>84</v>
      </c>
      <c r="B85" t="s">
        <v>122</v>
      </c>
      <c r="C85" t="s">
        <v>317</v>
      </c>
    </row>
    <row r="86" spans="1:3" x14ac:dyDescent="0.25">
      <c r="A86">
        <v>85</v>
      </c>
      <c r="B86" t="s">
        <v>125</v>
      </c>
      <c r="C86" t="s">
        <v>318</v>
      </c>
    </row>
    <row r="87" spans="1:3" x14ac:dyDescent="0.25">
      <c r="A87">
        <v>86</v>
      </c>
      <c r="B87" t="s">
        <v>119</v>
      </c>
      <c r="C87" t="s">
        <v>319</v>
      </c>
    </row>
    <row r="88" spans="1:3" x14ac:dyDescent="0.25">
      <c r="A88">
        <v>87</v>
      </c>
      <c r="B88" t="s">
        <v>108</v>
      </c>
      <c r="C88" t="s">
        <v>320</v>
      </c>
    </row>
    <row r="89" spans="1:3" x14ac:dyDescent="0.25">
      <c r="A89">
        <v>88</v>
      </c>
      <c r="B89" t="s">
        <v>321</v>
      </c>
      <c r="C89" t="s">
        <v>322</v>
      </c>
    </row>
    <row r="90" spans="1:3" x14ac:dyDescent="0.25">
      <c r="A90">
        <v>89</v>
      </c>
      <c r="B90" t="s">
        <v>323</v>
      </c>
      <c r="C90" t="s">
        <v>324</v>
      </c>
    </row>
    <row r="91" spans="1:3" x14ac:dyDescent="0.25">
      <c r="A91">
        <v>90</v>
      </c>
      <c r="B91" t="s">
        <v>88</v>
      </c>
      <c r="C91" t="s">
        <v>325</v>
      </c>
    </row>
    <row r="92" spans="1:3" x14ac:dyDescent="0.25">
      <c r="A92">
        <v>91</v>
      </c>
      <c r="B92" t="s">
        <v>89</v>
      </c>
      <c r="C92" t="s">
        <v>326</v>
      </c>
    </row>
    <row r="93" spans="1:3" x14ac:dyDescent="0.25">
      <c r="A93">
        <v>92</v>
      </c>
      <c r="B93" t="s">
        <v>77</v>
      </c>
      <c r="C93" t="s">
        <v>327</v>
      </c>
    </row>
    <row r="94" spans="1:3" x14ac:dyDescent="0.25">
      <c r="A94">
        <v>93</v>
      </c>
      <c r="B94" t="s">
        <v>84</v>
      </c>
      <c r="C94" t="s">
        <v>328</v>
      </c>
    </row>
    <row r="95" spans="1:3" x14ac:dyDescent="0.25">
      <c r="A95">
        <v>94</v>
      </c>
      <c r="B95" t="s">
        <v>86</v>
      </c>
      <c r="C95" t="s">
        <v>329</v>
      </c>
    </row>
    <row r="96" spans="1:3" x14ac:dyDescent="0.25">
      <c r="A96">
        <v>95</v>
      </c>
      <c r="B96" t="s">
        <v>79</v>
      </c>
      <c r="C96" t="s">
        <v>330</v>
      </c>
    </row>
    <row r="97" spans="1:3" x14ac:dyDescent="0.25">
      <c r="A97">
        <v>96</v>
      </c>
      <c r="B97" t="s">
        <v>98</v>
      </c>
      <c r="C97" t="s">
        <v>331</v>
      </c>
    </row>
    <row r="98" spans="1:3" x14ac:dyDescent="0.25">
      <c r="A98">
        <v>97</v>
      </c>
      <c r="B98" t="s">
        <v>103</v>
      </c>
      <c r="C98" t="s">
        <v>332</v>
      </c>
    </row>
    <row r="99" spans="1:3" x14ac:dyDescent="0.25">
      <c r="A99">
        <v>98</v>
      </c>
      <c r="B99" t="s">
        <v>85</v>
      </c>
      <c r="C99" t="s">
        <v>333</v>
      </c>
    </row>
    <row r="100" spans="1:3" x14ac:dyDescent="0.25">
      <c r="A100">
        <v>99</v>
      </c>
      <c r="B100" t="s">
        <v>96</v>
      </c>
      <c r="C100" t="s">
        <v>334</v>
      </c>
    </row>
    <row r="101" spans="1:3" x14ac:dyDescent="0.25">
      <c r="A101">
        <v>100</v>
      </c>
      <c r="B101" t="s">
        <v>94</v>
      </c>
      <c r="C101" t="s">
        <v>335</v>
      </c>
    </row>
    <row r="102" spans="1:3" x14ac:dyDescent="0.25">
      <c r="A102">
        <v>101</v>
      </c>
      <c r="B102" t="s">
        <v>336</v>
      </c>
      <c r="C102" t="s">
        <v>337</v>
      </c>
    </row>
    <row r="103" spans="1:3" x14ac:dyDescent="0.25">
      <c r="A103">
        <v>102</v>
      </c>
      <c r="B103" t="s">
        <v>93</v>
      </c>
      <c r="C103" t="s">
        <v>338</v>
      </c>
    </row>
    <row r="104" spans="1:3" x14ac:dyDescent="0.25">
      <c r="A104">
        <v>103</v>
      </c>
      <c r="B104" t="s">
        <v>92</v>
      </c>
      <c r="C104" t="s">
        <v>339</v>
      </c>
    </row>
    <row r="105" spans="1:3" x14ac:dyDescent="0.25">
      <c r="A105">
        <v>104</v>
      </c>
      <c r="B105" t="s">
        <v>78</v>
      </c>
      <c r="C105" t="s">
        <v>340</v>
      </c>
    </row>
    <row r="106" spans="1:3" x14ac:dyDescent="0.25">
      <c r="A106">
        <v>105</v>
      </c>
      <c r="B106" t="s">
        <v>90</v>
      </c>
      <c r="C106" t="s">
        <v>341</v>
      </c>
    </row>
    <row r="107" spans="1:3" x14ac:dyDescent="0.25">
      <c r="A107">
        <v>106</v>
      </c>
      <c r="B107" t="s">
        <v>138</v>
      </c>
      <c r="C107" t="s">
        <v>342</v>
      </c>
    </row>
    <row r="108" spans="1:3" x14ac:dyDescent="0.25">
      <c r="A108">
        <v>107</v>
      </c>
      <c r="B108" t="s">
        <v>82</v>
      </c>
      <c r="C108" t="s">
        <v>343</v>
      </c>
    </row>
    <row r="109" spans="1:3" x14ac:dyDescent="0.25">
      <c r="A109">
        <v>108</v>
      </c>
      <c r="B109" t="s">
        <v>101</v>
      </c>
      <c r="C109" t="s">
        <v>344</v>
      </c>
    </row>
    <row r="110" spans="1:3" x14ac:dyDescent="0.25">
      <c r="A110">
        <v>109</v>
      </c>
      <c r="B110" t="s">
        <v>106</v>
      </c>
      <c r="C110" t="s">
        <v>345</v>
      </c>
    </row>
    <row r="111" spans="1:3" x14ac:dyDescent="0.25">
      <c r="A111">
        <v>110</v>
      </c>
      <c r="B111" t="s">
        <v>346</v>
      </c>
      <c r="C111" t="s">
        <v>347</v>
      </c>
    </row>
    <row r="112" spans="1:3" x14ac:dyDescent="0.25">
      <c r="A112">
        <v>111</v>
      </c>
      <c r="B112" t="s">
        <v>99</v>
      </c>
      <c r="C112" t="s">
        <v>348</v>
      </c>
    </row>
    <row r="113" spans="1:3" x14ac:dyDescent="0.25">
      <c r="A113">
        <v>112</v>
      </c>
      <c r="B113" t="s">
        <v>81</v>
      </c>
      <c r="C113" t="s">
        <v>349</v>
      </c>
    </row>
    <row r="114" spans="1:3" x14ac:dyDescent="0.25">
      <c r="A114">
        <v>113</v>
      </c>
      <c r="B114" t="s">
        <v>83</v>
      </c>
      <c r="C114" t="s">
        <v>350</v>
      </c>
    </row>
    <row r="115" spans="1:3" x14ac:dyDescent="0.25">
      <c r="A115">
        <v>114</v>
      </c>
      <c r="B115" t="s">
        <v>107</v>
      </c>
      <c r="C115" t="s">
        <v>351</v>
      </c>
    </row>
    <row r="116" spans="1:3" x14ac:dyDescent="0.25">
      <c r="A116">
        <v>115</v>
      </c>
      <c r="B116" t="s">
        <v>91</v>
      </c>
      <c r="C116" t="s">
        <v>352</v>
      </c>
    </row>
    <row r="117" spans="1:3" x14ac:dyDescent="0.25">
      <c r="A117">
        <v>116</v>
      </c>
      <c r="B117" t="s">
        <v>109</v>
      </c>
      <c r="C117" t="s">
        <v>353</v>
      </c>
    </row>
    <row r="118" spans="1:3" x14ac:dyDescent="0.25">
      <c r="A118">
        <v>117</v>
      </c>
      <c r="B118" t="s">
        <v>171</v>
      </c>
      <c r="C118" t="s">
        <v>354</v>
      </c>
    </row>
    <row r="119" spans="1:3" x14ac:dyDescent="0.25">
      <c r="A119">
        <v>118</v>
      </c>
      <c r="B119" t="s">
        <v>104</v>
      </c>
      <c r="C119" t="s">
        <v>355</v>
      </c>
    </row>
    <row r="120" spans="1:3" x14ac:dyDescent="0.25">
      <c r="A120">
        <v>119</v>
      </c>
      <c r="B120" t="s">
        <v>105</v>
      </c>
      <c r="C120" t="s">
        <v>356</v>
      </c>
    </row>
    <row r="121" spans="1:3" x14ac:dyDescent="0.25">
      <c r="A121">
        <v>120</v>
      </c>
      <c r="B121" t="s">
        <v>102</v>
      </c>
      <c r="C121" t="s">
        <v>357</v>
      </c>
    </row>
    <row r="122" spans="1:3" x14ac:dyDescent="0.25">
      <c r="A122">
        <v>121</v>
      </c>
      <c r="B122" t="s">
        <v>170</v>
      </c>
      <c r="C122" t="s">
        <v>358</v>
      </c>
    </row>
    <row r="123" spans="1:3" x14ac:dyDescent="0.25">
      <c r="A123">
        <v>122</v>
      </c>
      <c r="B123" t="s">
        <v>144</v>
      </c>
      <c r="C123" t="s">
        <v>359</v>
      </c>
    </row>
    <row r="124" spans="1:3" x14ac:dyDescent="0.25">
      <c r="A124">
        <v>123</v>
      </c>
      <c r="B124" t="s">
        <v>167</v>
      </c>
      <c r="C124" t="s">
        <v>360</v>
      </c>
    </row>
    <row r="125" spans="1:3" x14ac:dyDescent="0.25">
      <c r="A125">
        <v>124</v>
      </c>
      <c r="B125" t="s">
        <v>150</v>
      </c>
      <c r="C125" t="s">
        <v>361</v>
      </c>
    </row>
    <row r="126" spans="1:3" x14ac:dyDescent="0.25">
      <c r="A126">
        <v>125</v>
      </c>
      <c r="B126" t="s">
        <v>158</v>
      </c>
      <c r="C126" t="s">
        <v>362</v>
      </c>
    </row>
    <row r="127" spans="1:3" x14ac:dyDescent="0.25">
      <c r="A127">
        <v>126</v>
      </c>
      <c r="B127" t="s">
        <v>168</v>
      </c>
      <c r="C127" t="s">
        <v>363</v>
      </c>
    </row>
    <row r="128" spans="1:3" x14ac:dyDescent="0.25">
      <c r="A128">
        <v>127</v>
      </c>
      <c r="B128" t="s">
        <v>166</v>
      </c>
      <c r="C128" t="s">
        <v>364</v>
      </c>
    </row>
    <row r="129" spans="1:3" x14ac:dyDescent="0.25">
      <c r="A129">
        <v>128</v>
      </c>
      <c r="B129" t="s">
        <v>151</v>
      </c>
      <c r="C129" t="s">
        <v>365</v>
      </c>
    </row>
    <row r="130" spans="1:3" x14ac:dyDescent="0.25">
      <c r="A130">
        <v>129</v>
      </c>
      <c r="B130" t="s">
        <v>147</v>
      </c>
      <c r="C130" t="s">
        <v>366</v>
      </c>
    </row>
    <row r="131" spans="1:3" x14ac:dyDescent="0.25">
      <c r="A131">
        <v>130</v>
      </c>
      <c r="B131" t="s">
        <v>159</v>
      </c>
      <c r="C131" t="s">
        <v>367</v>
      </c>
    </row>
    <row r="132" spans="1:3" x14ac:dyDescent="0.25">
      <c r="A132">
        <v>131</v>
      </c>
      <c r="B132" t="s">
        <v>164</v>
      </c>
      <c r="C132" t="s">
        <v>368</v>
      </c>
    </row>
    <row r="133" spans="1:3" x14ac:dyDescent="0.25">
      <c r="A133">
        <v>132</v>
      </c>
      <c r="B133" t="s">
        <v>369</v>
      </c>
      <c r="C133" t="s">
        <v>370</v>
      </c>
    </row>
    <row r="134" spans="1:3" x14ac:dyDescent="0.25">
      <c r="A134">
        <v>133</v>
      </c>
      <c r="B134" t="s">
        <v>156</v>
      </c>
      <c r="C134" t="s">
        <v>371</v>
      </c>
    </row>
    <row r="135" spans="1:3" x14ac:dyDescent="0.25">
      <c r="A135">
        <v>134</v>
      </c>
      <c r="B135" t="s">
        <v>145</v>
      </c>
      <c r="C135" t="s">
        <v>372</v>
      </c>
    </row>
    <row r="136" spans="1:3" x14ac:dyDescent="0.25">
      <c r="A136">
        <v>135</v>
      </c>
      <c r="B136" t="s">
        <v>162</v>
      </c>
      <c r="C136" t="s">
        <v>373</v>
      </c>
    </row>
    <row r="137" spans="1:3" x14ac:dyDescent="0.25">
      <c r="A137">
        <v>136</v>
      </c>
      <c r="B137" t="s">
        <v>143</v>
      </c>
      <c r="C137" t="s">
        <v>374</v>
      </c>
    </row>
    <row r="138" spans="1:3" x14ac:dyDescent="0.25">
      <c r="A138">
        <v>137</v>
      </c>
      <c r="B138" t="s">
        <v>157</v>
      </c>
      <c r="C138" t="s">
        <v>375</v>
      </c>
    </row>
    <row r="139" spans="1:3" x14ac:dyDescent="0.25">
      <c r="A139">
        <v>138</v>
      </c>
      <c r="B139" t="s">
        <v>155</v>
      </c>
      <c r="C139" t="s">
        <v>376</v>
      </c>
    </row>
    <row r="140" spans="1:3" x14ac:dyDescent="0.25">
      <c r="A140">
        <v>139</v>
      </c>
      <c r="B140" t="s">
        <v>116</v>
      </c>
      <c r="C140" t="s">
        <v>377</v>
      </c>
    </row>
    <row r="141" spans="1:3" x14ac:dyDescent="0.25">
      <c r="A141">
        <v>140</v>
      </c>
      <c r="B141" t="s">
        <v>135</v>
      </c>
      <c r="C141" t="s">
        <v>378</v>
      </c>
    </row>
    <row r="142" spans="1:3" x14ac:dyDescent="0.25">
      <c r="A142">
        <v>141</v>
      </c>
      <c r="B142" t="s">
        <v>70</v>
      </c>
      <c r="C142" t="s">
        <v>379</v>
      </c>
    </row>
    <row r="143" spans="1:3" x14ac:dyDescent="0.25">
      <c r="A143">
        <v>142</v>
      </c>
      <c r="B143" t="s">
        <v>140</v>
      </c>
      <c r="C143" t="s">
        <v>380</v>
      </c>
    </row>
    <row r="144" spans="1:3" x14ac:dyDescent="0.25">
      <c r="A144">
        <v>143</v>
      </c>
      <c r="B144" t="s">
        <v>127</v>
      </c>
      <c r="C144" t="s">
        <v>381</v>
      </c>
    </row>
    <row r="145" spans="1:3" x14ac:dyDescent="0.25">
      <c r="A145">
        <v>144</v>
      </c>
      <c r="B145" t="s">
        <v>129</v>
      </c>
      <c r="C145" t="s">
        <v>382</v>
      </c>
    </row>
    <row r="146" spans="1:3" x14ac:dyDescent="0.25">
      <c r="A146">
        <v>145</v>
      </c>
      <c r="B146" t="s">
        <v>133</v>
      </c>
      <c r="C146" t="s">
        <v>383</v>
      </c>
    </row>
    <row r="147" spans="1:3" x14ac:dyDescent="0.25">
      <c r="A147">
        <v>146</v>
      </c>
      <c r="B147" t="s">
        <v>132</v>
      </c>
      <c r="C147" t="s">
        <v>384</v>
      </c>
    </row>
    <row r="148" spans="1:3" x14ac:dyDescent="0.25">
      <c r="A148">
        <v>147</v>
      </c>
      <c r="B148" t="s">
        <v>121</v>
      </c>
      <c r="C148" t="s">
        <v>385</v>
      </c>
    </row>
    <row r="149" spans="1:3" x14ac:dyDescent="0.25">
      <c r="A149">
        <v>148</v>
      </c>
      <c r="B149" t="s">
        <v>146</v>
      </c>
      <c r="C149" t="s">
        <v>386</v>
      </c>
    </row>
    <row r="150" spans="1:3" x14ac:dyDescent="0.25">
      <c r="A150">
        <v>149</v>
      </c>
      <c r="B150" t="s">
        <v>148</v>
      </c>
      <c r="C150" t="s">
        <v>387</v>
      </c>
    </row>
    <row r="151" spans="1:3" x14ac:dyDescent="0.25">
      <c r="A151">
        <v>150</v>
      </c>
      <c r="B151" t="s">
        <v>128</v>
      </c>
      <c r="C151" t="s">
        <v>388</v>
      </c>
    </row>
    <row r="152" spans="1:3" x14ac:dyDescent="0.25">
      <c r="A152">
        <v>151</v>
      </c>
      <c r="B152" t="s">
        <v>142</v>
      </c>
      <c r="C152" t="s">
        <v>389</v>
      </c>
    </row>
    <row r="153" spans="1:3" x14ac:dyDescent="0.25">
      <c r="A153">
        <v>152</v>
      </c>
      <c r="B153" t="s">
        <v>139</v>
      </c>
      <c r="C153" t="s">
        <v>390</v>
      </c>
    </row>
    <row r="154" spans="1:3" x14ac:dyDescent="0.25">
      <c r="A154">
        <v>153</v>
      </c>
      <c r="B154" t="s">
        <v>391</v>
      </c>
      <c r="C154" t="s">
        <v>392</v>
      </c>
    </row>
    <row r="155" spans="1:3" x14ac:dyDescent="0.25">
      <c r="A155">
        <v>154</v>
      </c>
      <c r="B155" t="s">
        <v>130</v>
      </c>
      <c r="C155" t="s">
        <v>393</v>
      </c>
    </row>
    <row r="156" spans="1:3" x14ac:dyDescent="0.25">
      <c r="A156">
        <v>155</v>
      </c>
      <c r="B156" t="s">
        <v>141</v>
      </c>
      <c r="C156" t="s">
        <v>394</v>
      </c>
    </row>
    <row r="157" spans="1:3" x14ac:dyDescent="0.25">
      <c r="A157">
        <v>156</v>
      </c>
      <c r="B157" t="s">
        <v>154</v>
      </c>
      <c r="C157" t="s">
        <v>395</v>
      </c>
    </row>
    <row r="158" spans="1:3" x14ac:dyDescent="0.25">
      <c r="A158">
        <v>157</v>
      </c>
      <c r="B158" t="s">
        <v>136</v>
      </c>
      <c r="C158" t="s">
        <v>396</v>
      </c>
    </row>
    <row r="159" spans="1:3" x14ac:dyDescent="0.25">
      <c r="A159">
        <v>158</v>
      </c>
      <c r="B159" t="s">
        <v>134</v>
      </c>
      <c r="C159" t="s">
        <v>397</v>
      </c>
    </row>
    <row r="160" spans="1:3" x14ac:dyDescent="0.25">
      <c r="A160">
        <v>159</v>
      </c>
      <c r="B160" t="s">
        <v>173</v>
      </c>
      <c r="C160" t="s">
        <v>398</v>
      </c>
    </row>
    <row r="161" spans="1:3" x14ac:dyDescent="0.25">
      <c r="A161">
        <v>160</v>
      </c>
      <c r="B161" t="s">
        <v>152</v>
      </c>
      <c r="C161" t="s">
        <v>399</v>
      </c>
    </row>
    <row r="162" spans="1:3" x14ac:dyDescent="0.25">
      <c r="A162">
        <v>161</v>
      </c>
      <c r="B162" t="s">
        <v>153</v>
      </c>
      <c r="C162" t="s">
        <v>400</v>
      </c>
    </row>
    <row r="163" spans="1:3" x14ac:dyDescent="0.25">
      <c r="A163">
        <v>162</v>
      </c>
      <c r="B163" t="s">
        <v>149</v>
      </c>
      <c r="C163" t="s">
        <v>401</v>
      </c>
    </row>
    <row r="164" spans="1:3" x14ac:dyDescent="0.25">
      <c r="A164">
        <v>163</v>
      </c>
      <c r="B164" t="s">
        <v>169</v>
      </c>
      <c r="C164" t="s">
        <v>402</v>
      </c>
    </row>
    <row r="165" spans="1:3" x14ac:dyDescent="0.25">
      <c r="A165">
        <v>164</v>
      </c>
      <c r="B165" t="s">
        <v>177</v>
      </c>
      <c r="C165" t="s">
        <v>403</v>
      </c>
    </row>
    <row r="166" spans="1:3" x14ac:dyDescent="0.25">
      <c r="A166">
        <v>165</v>
      </c>
      <c r="B166" t="s">
        <v>176</v>
      </c>
      <c r="C166" t="s">
        <v>404</v>
      </c>
    </row>
    <row r="167" spans="1:3" x14ac:dyDescent="0.25">
      <c r="A167">
        <v>166</v>
      </c>
      <c r="B167" t="s">
        <v>165</v>
      </c>
      <c r="C167" t="s">
        <v>405</v>
      </c>
    </row>
    <row r="168" spans="1:3" x14ac:dyDescent="0.25">
      <c r="A168">
        <v>167</v>
      </c>
      <c r="B168" t="s">
        <v>163</v>
      </c>
      <c r="C168" t="s">
        <v>406</v>
      </c>
    </row>
    <row r="169" spans="1:3" x14ac:dyDescent="0.25">
      <c r="A169">
        <v>168</v>
      </c>
      <c r="B169" t="s">
        <v>161</v>
      </c>
      <c r="C169" t="s">
        <v>407</v>
      </c>
    </row>
    <row r="170" spans="1:3" x14ac:dyDescent="0.25">
      <c r="A170">
        <v>169</v>
      </c>
      <c r="B170" t="s">
        <v>180</v>
      </c>
      <c r="C170" t="s">
        <v>408</v>
      </c>
    </row>
    <row r="171" spans="1:3" x14ac:dyDescent="0.25">
      <c r="A171">
        <v>170</v>
      </c>
      <c r="B171" t="s">
        <v>182</v>
      </c>
      <c r="C171" t="s">
        <v>409</v>
      </c>
    </row>
    <row r="172" spans="1:3" x14ac:dyDescent="0.25">
      <c r="A172">
        <v>171</v>
      </c>
      <c r="B172" t="s">
        <v>175</v>
      </c>
      <c r="C172" t="s">
        <v>410</v>
      </c>
    </row>
    <row r="173" spans="1:3" x14ac:dyDescent="0.25">
      <c r="A173">
        <v>172</v>
      </c>
      <c r="B173" t="s">
        <v>174</v>
      </c>
      <c r="C173" t="s">
        <v>411</v>
      </c>
    </row>
    <row r="174" spans="1:3" x14ac:dyDescent="0.25">
      <c r="A174">
        <v>173</v>
      </c>
      <c r="B174" t="s">
        <v>172</v>
      </c>
      <c r="C174" t="s">
        <v>412</v>
      </c>
    </row>
    <row r="175" spans="1:3" x14ac:dyDescent="0.25">
      <c r="A175">
        <v>174</v>
      </c>
      <c r="B175" t="s">
        <v>413</v>
      </c>
      <c r="C175" t="s">
        <v>414</v>
      </c>
    </row>
    <row r="176" spans="1:3" x14ac:dyDescent="0.25">
      <c r="A176">
        <v>175</v>
      </c>
      <c r="B176" t="s">
        <v>137</v>
      </c>
      <c r="C176" t="s">
        <v>415</v>
      </c>
    </row>
    <row r="177" spans="1:3" x14ac:dyDescent="0.25">
      <c r="A177">
        <v>176</v>
      </c>
      <c r="B177" t="s">
        <v>416</v>
      </c>
      <c r="C177" t="s">
        <v>417</v>
      </c>
    </row>
    <row r="178" spans="1:3" x14ac:dyDescent="0.25">
      <c r="A178">
        <v>177</v>
      </c>
      <c r="B178" t="s">
        <v>50</v>
      </c>
      <c r="C178" t="s">
        <v>418</v>
      </c>
    </row>
    <row r="179" spans="1:3" x14ac:dyDescent="0.25">
      <c r="A179">
        <v>178</v>
      </c>
      <c r="B179" t="s">
        <v>184</v>
      </c>
      <c r="C179" t="s">
        <v>419</v>
      </c>
    </row>
    <row r="180" spans="1:3" x14ac:dyDescent="0.25">
      <c r="A180">
        <v>179</v>
      </c>
      <c r="B180" t="s">
        <v>178</v>
      </c>
      <c r="C180" t="s">
        <v>420</v>
      </c>
    </row>
    <row r="181" spans="1:3" x14ac:dyDescent="0.25">
      <c r="A181">
        <v>180</v>
      </c>
      <c r="B181" t="s">
        <v>185</v>
      </c>
      <c r="C181" t="s">
        <v>421</v>
      </c>
    </row>
    <row r="182" spans="1:3" x14ac:dyDescent="0.25">
      <c r="A182">
        <v>181</v>
      </c>
      <c r="B182" t="s">
        <v>179</v>
      </c>
      <c r="C182" t="s">
        <v>422</v>
      </c>
    </row>
    <row r="183" spans="1:3" x14ac:dyDescent="0.25">
      <c r="A183">
        <v>182</v>
      </c>
      <c r="B183" t="s">
        <v>183</v>
      </c>
      <c r="C183" t="s">
        <v>423</v>
      </c>
    </row>
    <row r="184" spans="1:3" x14ac:dyDescent="0.25">
      <c r="A184">
        <v>183</v>
      </c>
      <c r="B184" t="s">
        <v>181</v>
      </c>
      <c r="C184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PREM NOVARTIS</vt:lpstr>
      <vt:lpstr>working</vt:lpstr>
      <vt:lpstr>Sheet4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 Alam</dc:creator>
  <cp:lastModifiedBy>IT User Software</cp:lastModifiedBy>
  <dcterms:created xsi:type="dcterms:W3CDTF">2024-12-17T05:42:56Z</dcterms:created>
  <dcterms:modified xsi:type="dcterms:W3CDTF">2024-12-17T09:17:48Z</dcterms:modified>
</cp:coreProperties>
</file>