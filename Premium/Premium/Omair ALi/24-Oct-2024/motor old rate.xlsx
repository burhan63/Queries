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24-Oct-2024\"/>
    </mc:Choice>
  </mc:AlternateContent>
  <xr:revisionPtr revIDLastSave="0" documentId="13_ncr:1_{95F59F77-AFFC-480D-BF09-A77408D602E9}" xr6:coauthVersionLast="47" xr6:coauthVersionMax="47" xr10:uidLastSave="{00000000-0000-0000-0000-000000000000}"/>
  <bookViews>
    <workbookView xWindow="-120" yWindow="-120" windowWidth="20730" windowHeight="11040" tabRatio="842" firstSheet="1" activeTab="3" xr2:uid="{ABA05841-ABBD-4899-B762-96CBCA7AD3F7}"/>
  </bookViews>
  <sheets>
    <sheet name="Sheet1" sheetId="1" state="hidden" r:id="rId1"/>
    <sheet name="PREM TO COMM LHR ADJUST" sheetId="2" r:id="rId2"/>
    <sheet name="working-premium" sheetId="3" r:id="rId3"/>
    <sheet name="working-commission" sheetId="4" r:id="rId4"/>
    <sheet name="Sheet4" sheetId="5" r:id="rId5"/>
    <sheet name="policyP" sheetId="6" r:id="rId6"/>
    <sheet name="plicyC" sheetId="7" r:id="rId7"/>
  </sheets>
  <definedNames>
    <definedName name="_xlnm._FilterDatabase" localSheetId="0" hidden="1">Sheet1!$B$1:$E$29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67" i="2"/>
  <c r="C34" i="4"/>
  <c r="C34" i="3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E2" i="4"/>
  <c r="B2" i="4"/>
  <c r="F2" i="4"/>
  <c r="G2" i="4" l="1"/>
  <c r="H2" i="4" s="1"/>
  <c r="E49" i="5" l="1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48" i="5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F2" i="3"/>
  <c r="D2" i="3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1" i="5"/>
  <c r="H2" i="3" l="1"/>
</calcChain>
</file>

<file path=xl/sharedStrings.xml><?xml version="1.0" encoding="utf-8"?>
<sst xmlns="http://schemas.openxmlformats.org/spreadsheetml/2006/main" count="614" uniqueCount="130">
  <si>
    <t>Policy No</t>
  </si>
  <si>
    <t>Agency Code</t>
  </si>
  <si>
    <t>OS 
Cont</t>
  </si>
  <si>
    <t>LHR/LHR/D/MO/PC COMP/P/87895/04/2024</t>
  </si>
  <si>
    <t>LHR/LHR/D/MO/PC COMP/P/89811/05/2024</t>
  </si>
  <si>
    <t>LHR/LHR/D/MO/PC COMP/P/89813/05/2024</t>
  </si>
  <si>
    <t>LHR/LHR/D/MO/PC COMP/P/89815/05/2024</t>
  </si>
  <si>
    <t>LHR/LHR/D/MO/PC COMP/P/90022/05/2024</t>
  </si>
  <si>
    <t>LHR/LHR/D/MO/PC COMP/P/90024/05/2024</t>
  </si>
  <si>
    <t>LHR/LHR/D/MO/PC COMP/P/90688/06/2024</t>
  </si>
  <si>
    <t>LHR/LHR/D/MO/PC TPP/P/96761/09/2024</t>
  </si>
  <si>
    <t>LHR/LHR/D/MO/PC TPP/P/96763/09/2024</t>
  </si>
  <si>
    <t>LHR/LHR/D/MO/PC COMP/P/96863/09/2024</t>
  </si>
  <si>
    <t>LHR/LHR/D/MO/PC COMP/P/96864/09/2024</t>
  </si>
  <si>
    <t>LHR/LHR/D/MO/PC COMP/P/97125/09/2024</t>
  </si>
  <si>
    <t>LHR/LHR/D/MO/PC COMP/P/97152/09/2024</t>
  </si>
  <si>
    <t>LHR/LHR/D/MO/PC COMP/P/97154/09/2024</t>
  </si>
  <si>
    <t>LHR/LHR/D/MO/PC COMP/P/97155/09/2024</t>
  </si>
  <si>
    <t>LHR/LHR/D/MO/PC COMP/P/97222/09/2024</t>
  </si>
  <si>
    <t>LHR/LHR/D/MO/PC COMP/P/97693/09/2024</t>
  </si>
  <si>
    <t>LHR/LHR/D/MO/PC COMP/P/97694/09/2024</t>
  </si>
  <si>
    <t>LHR/LHR/D/MO/PC COMP/P/97874/09/2024</t>
  </si>
  <si>
    <t>LHR/LHR/D/MO/PC COMP/P/98056/09/2024</t>
  </si>
  <si>
    <t>LHR/LHR/D/MO/PC COMP/P/98283/09/2024</t>
  </si>
  <si>
    <t>LHR/LHR/D/MO/PC TPP/P/98291/09/2024</t>
  </si>
  <si>
    <t>LHR/LHR/D/MO/PC COMP/P/98394/09/2024</t>
  </si>
  <si>
    <t>LHR/LHR/D/MO/PC COMP/P/98639/09/2024</t>
  </si>
  <si>
    <t>LHR/LHR/D/MO/PC COMP/P/98918/10/2024</t>
  </si>
  <si>
    <t>LHR/LHR/D/MO/PC COMP/P/98919/10/2024</t>
  </si>
  <si>
    <t>LHR/LHR/D/MO/PC COMP/P/99421/10/2024</t>
  </si>
  <si>
    <t>LHR/LHR/D/MO/PC COMP/P/99498/10/2024</t>
  </si>
  <si>
    <t>09000521</t>
  </si>
  <si>
    <t>SUZUKI RACECOURSE MOTORS</t>
  </si>
  <si>
    <t>Ahsan Fayyaz</t>
  </si>
  <si>
    <t>Syed Suleman Ashraf Gillani</t>
  </si>
  <si>
    <t>Muhammad Hamza Parvez</t>
  </si>
  <si>
    <t>Muhammad Hamza Farooqui</t>
  </si>
  <si>
    <t>Zubair Ahmad</t>
  </si>
  <si>
    <t>KIA MOTORS KINGS GATE</t>
  </si>
  <si>
    <t>Central Motors LLP</t>
  </si>
  <si>
    <t>Suzuki Mini Motors</t>
  </si>
  <si>
    <t>Zeeshan Bashir</t>
  </si>
  <si>
    <t>Mohsin Irshad</t>
  </si>
  <si>
    <t>Mohammad Irfan</t>
  </si>
  <si>
    <t>Umar Zeb</t>
  </si>
  <si>
    <t>Syed Muneeb Ul Hassan Naqvi</t>
  </si>
  <si>
    <t>Muhammad Amjad</t>
  </si>
  <si>
    <t>Muhammad Ramzan Noor</t>
  </si>
  <si>
    <t>Tariq Shahzad</t>
  </si>
  <si>
    <t>Agency Name</t>
  </si>
  <si>
    <t>Sr.No</t>
  </si>
  <si>
    <t>LHR/LHR/D/MO/PC COMP/P/96500/08/2024</t>
  </si>
  <si>
    <t>LHR/LHR/D/MO/PC TPP/P/96873/09/2024</t>
  </si>
  <si>
    <t>Muhammad Ahtsham Gull</t>
  </si>
  <si>
    <t>09000783</t>
  </si>
  <si>
    <t>LHR/LHR/D/MO/PC COMP/P/84259/02/2024</t>
  </si>
  <si>
    <t>09000477</t>
  </si>
  <si>
    <t>Suzuki Canal Faisalabad</t>
  </si>
  <si>
    <t>Comm</t>
  </si>
  <si>
    <t>Prem</t>
  </si>
  <si>
    <t>/04/2024</t>
  </si>
  <si>
    <t>/05/2024</t>
  </si>
  <si>
    <t>/06/2024</t>
  </si>
  <si>
    <t>/09/2024</t>
  </si>
  <si>
    <t>/10/2024</t>
  </si>
  <si>
    <t>/08/2024</t>
  </si>
  <si>
    <t>/02/2024</t>
  </si>
  <si>
    <t xml:space="preserve">   </t>
  </si>
  <si>
    <t>FUNC_ASSORTED_STRING(IA.ASSORTED_CODE)</t>
  </si>
  <si>
    <t>ASSORTED_CODE</t>
  </si>
  <si>
    <t>040000166787</t>
  </si>
  <si>
    <t>040000171867</t>
  </si>
  <si>
    <t>040000186509</t>
  </si>
  <si>
    <t>040000183330</t>
  </si>
  <si>
    <t>040000185493</t>
  </si>
  <si>
    <t>040000183452</t>
  </si>
  <si>
    <t>040000183328</t>
  </si>
  <si>
    <t>040000185801</t>
  </si>
  <si>
    <t>040000183776</t>
  </si>
  <si>
    <t>040000183468</t>
  </si>
  <si>
    <t>040000185802</t>
  </si>
  <si>
    <t>040000185100</t>
  </si>
  <si>
    <t>040000184442</t>
  </si>
  <si>
    <t>040000183822</t>
  </si>
  <si>
    <t>040000183037</t>
  </si>
  <si>
    <t>040000184832</t>
  </si>
  <si>
    <t>040000186419</t>
  </si>
  <si>
    <t>040000185091</t>
  </si>
  <si>
    <t>040000184441</t>
  </si>
  <si>
    <t>040000174817</t>
  </si>
  <si>
    <t>040000174819</t>
  </si>
  <si>
    <t>040000174574</t>
  </si>
  <si>
    <t>040000174572</t>
  </si>
  <si>
    <t>040000174576</t>
  </si>
  <si>
    <t>040000183453</t>
  </si>
  <si>
    <t>040000183817</t>
  </si>
  <si>
    <t>040000185219</t>
  </si>
  <si>
    <t>040000183912</t>
  </si>
  <si>
    <t>040000184640</t>
  </si>
  <si>
    <t>040000183820</t>
  </si>
  <si>
    <t>040000175708</t>
  </si>
  <si>
    <t>POLICY NO.</t>
  </si>
  <si>
    <t>Assorted_code</t>
  </si>
  <si>
    <t>Premium</t>
  </si>
  <si>
    <t>24Oct240060</t>
  </si>
  <si>
    <t>-04-2024</t>
  </si>
  <si>
    <t>-05-2024</t>
  </si>
  <si>
    <t>-06-2024</t>
  </si>
  <si>
    <t>-09-2024</t>
  </si>
  <si>
    <t>-10-2024</t>
  </si>
  <si>
    <t>-08-2024</t>
  </si>
  <si>
    <t>-02-2024</t>
  </si>
  <si>
    <t>AGENCY_CODE</t>
  </si>
  <si>
    <t>09000210</t>
  </si>
  <si>
    <t>09000862</t>
  </si>
  <si>
    <t>09000806</t>
  </si>
  <si>
    <t>09000845</t>
  </si>
  <si>
    <t>09000878</t>
  </si>
  <si>
    <t>09000925</t>
  </si>
  <si>
    <t>09000748</t>
  </si>
  <si>
    <t>09000928</t>
  </si>
  <si>
    <t>09000918</t>
  </si>
  <si>
    <t>09000896</t>
  </si>
  <si>
    <t>09000923</t>
  </si>
  <si>
    <t>09000478</t>
  </si>
  <si>
    <t>09000818</t>
  </si>
  <si>
    <t>09000732</t>
  </si>
  <si>
    <t>09000898</t>
  </si>
  <si>
    <t>09000507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</si>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</sst>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000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indexed="8"/>
      <name val="Calibri"/>
      <family val="2"/>
    </font>
    <font>
      <sz val="8"/>
      <color theme="1"/>
      <name val="Calibri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sz val="11"/>
      <color indexed="8"/>
      <name val="Calibri"/>
      <family val="2"/>
    </font>
    <font>
      <b/>
      <sz val="10"/>
      <color rgb="FF40404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vertical="top"/>
    </xf>
    <xf numFmtId="164" fontId="0" fillId="0" borderId="0" xfId="1" applyFont="1"/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vertical="top"/>
    </xf>
    <xf numFmtId="166" fontId="7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8" fillId="0" borderId="0" xfId="0" applyFont="1" applyAlignment="1">
      <alignment vertical="top"/>
    </xf>
    <xf numFmtId="164" fontId="0" fillId="0" borderId="1" xfId="1" applyFont="1" applyBorder="1" applyAlignment="1">
      <alignment horizontal="center" vertical="top"/>
    </xf>
    <xf numFmtId="167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859C-7E4E-4410-BDCC-911072E8BDA9}">
  <dimension ref="A1:E32"/>
  <sheetViews>
    <sheetView workbookViewId="0">
      <selection sqref="A1:XFD1048576"/>
    </sheetView>
  </sheetViews>
  <sheetFormatPr defaultRowHeight="15" x14ac:dyDescent="0.25"/>
  <cols>
    <col min="1" max="1" width="4.140625" bestFit="1" customWidth="1"/>
    <col min="2" max="2" width="28.28515625" bestFit="1" customWidth="1"/>
    <col min="3" max="3" width="19.42578125" bestFit="1" customWidth="1"/>
    <col min="4" max="4" width="13.7109375" bestFit="1" customWidth="1"/>
    <col min="5" max="5" width="9.5703125" bestFit="1" customWidth="1"/>
  </cols>
  <sheetData>
    <row r="1" spans="1:5" x14ac:dyDescent="0.25">
      <c r="A1" s="1" t="s">
        <v>50</v>
      </c>
      <c r="B1" s="1" t="s">
        <v>0</v>
      </c>
      <c r="C1" s="5" t="s">
        <v>49</v>
      </c>
      <c r="D1" s="5" t="s">
        <v>1</v>
      </c>
      <c r="E1" s="5" t="s">
        <v>2</v>
      </c>
    </row>
    <row r="2" spans="1:5" x14ac:dyDescent="0.25">
      <c r="A2" s="6">
        <v>1</v>
      </c>
      <c r="B2" s="2" t="s">
        <v>3</v>
      </c>
      <c r="C2" s="2" t="s">
        <v>32</v>
      </c>
      <c r="D2" s="2" t="s">
        <v>31</v>
      </c>
      <c r="E2" s="4">
        <v>20389</v>
      </c>
    </row>
    <row r="3" spans="1:5" x14ac:dyDescent="0.25">
      <c r="A3" s="6">
        <v>2</v>
      </c>
      <c r="B3" s="2" t="s">
        <v>4</v>
      </c>
      <c r="C3" s="2" t="s">
        <v>33</v>
      </c>
      <c r="D3" s="2" t="s">
        <v>31</v>
      </c>
      <c r="E3" s="4">
        <v>7452</v>
      </c>
    </row>
    <row r="4" spans="1:5" x14ac:dyDescent="0.25">
      <c r="A4" s="6">
        <v>3</v>
      </c>
      <c r="B4" s="2" t="s">
        <v>5</v>
      </c>
      <c r="C4" s="2" t="s">
        <v>34</v>
      </c>
      <c r="D4" s="2" t="s">
        <v>31</v>
      </c>
      <c r="E4" s="4">
        <v>11581</v>
      </c>
    </row>
    <row r="5" spans="1:5" x14ac:dyDescent="0.25">
      <c r="A5" s="6">
        <v>4</v>
      </c>
      <c r="B5" s="2" t="s">
        <v>6</v>
      </c>
      <c r="C5" s="2" t="s">
        <v>33</v>
      </c>
      <c r="D5" s="2" t="s">
        <v>31</v>
      </c>
      <c r="E5" s="4">
        <v>6632</v>
      </c>
    </row>
    <row r="6" spans="1:5" x14ac:dyDescent="0.25">
      <c r="A6" s="6">
        <v>5</v>
      </c>
      <c r="B6" s="2" t="s">
        <v>7</v>
      </c>
      <c r="C6" s="2" t="s">
        <v>35</v>
      </c>
      <c r="D6" s="2" t="s">
        <v>31</v>
      </c>
      <c r="E6" s="4">
        <v>8753</v>
      </c>
    </row>
    <row r="7" spans="1:5" x14ac:dyDescent="0.25">
      <c r="A7" s="6">
        <v>6</v>
      </c>
      <c r="B7" s="2" t="s">
        <v>8</v>
      </c>
      <c r="C7" s="2" t="s">
        <v>35</v>
      </c>
      <c r="D7" s="2" t="s">
        <v>31</v>
      </c>
      <c r="E7" s="4">
        <v>12247</v>
      </c>
    </row>
    <row r="8" spans="1:5" x14ac:dyDescent="0.25">
      <c r="A8" s="6">
        <v>7</v>
      </c>
      <c r="B8" s="2" t="s">
        <v>9</v>
      </c>
      <c r="C8" s="2" t="s">
        <v>35</v>
      </c>
      <c r="D8" s="2" t="s">
        <v>31</v>
      </c>
      <c r="E8" s="4">
        <v>8881</v>
      </c>
    </row>
    <row r="9" spans="1:5" x14ac:dyDescent="0.25">
      <c r="A9" s="6">
        <v>8</v>
      </c>
      <c r="B9" s="2" t="s">
        <v>10</v>
      </c>
      <c r="C9" s="2" t="s">
        <v>36</v>
      </c>
      <c r="D9" s="2" t="s">
        <v>31</v>
      </c>
      <c r="E9" s="4">
        <v>17000</v>
      </c>
    </row>
    <row r="10" spans="1:5" x14ac:dyDescent="0.25">
      <c r="A10" s="6">
        <v>9</v>
      </c>
      <c r="B10" s="2" t="s">
        <v>11</v>
      </c>
      <c r="C10" s="2" t="s">
        <v>36</v>
      </c>
      <c r="D10" s="2" t="s">
        <v>31</v>
      </c>
      <c r="E10" s="4">
        <v>18500</v>
      </c>
    </row>
    <row r="11" spans="1:5" x14ac:dyDescent="0.25">
      <c r="A11" s="6">
        <v>10</v>
      </c>
      <c r="B11" s="2" t="s">
        <v>12</v>
      </c>
      <c r="C11" s="2" t="s">
        <v>35</v>
      </c>
      <c r="D11" s="2" t="s">
        <v>31</v>
      </c>
      <c r="E11" s="4">
        <v>31500</v>
      </c>
    </row>
    <row r="12" spans="1:5" x14ac:dyDescent="0.25">
      <c r="A12" s="6">
        <v>11</v>
      </c>
      <c r="B12" s="2" t="s">
        <v>13</v>
      </c>
      <c r="C12" s="2" t="s">
        <v>35</v>
      </c>
      <c r="D12" s="2" t="s">
        <v>31</v>
      </c>
      <c r="E12" s="4">
        <v>12436</v>
      </c>
    </row>
    <row r="13" spans="1:5" x14ac:dyDescent="0.25">
      <c r="A13" s="6">
        <v>12</v>
      </c>
      <c r="B13" s="2" t="s">
        <v>14</v>
      </c>
      <c r="C13" s="2" t="s">
        <v>37</v>
      </c>
      <c r="D13" s="2" t="s">
        <v>31</v>
      </c>
      <c r="E13" s="4">
        <v>34000</v>
      </c>
    </row>
    <row r="14" spans="1:5" x14ac:dyDescent="0.25">
      <c r="A14" s="6">
        <v>13</v>
      </c>
      <c r="B14" s="2" t="s">
        <v>15</v>
      </c>
      <c r="C14" s="2" t="s">
        <v>32</v>
      </c>
      <c r="D14" s="2" t="s">
        <v>31</v>
      </c>
      <c r="E14" s="4">
        <v>7580</v>
      </c>
    </row>
    <row r="15" spans="1:5" x14ac:dyDescent="0.25">
      <c r="A15" s="6">
        <v>14</v>
      </c>
      <c r="B15" s="2" t="s">
        <v>16</v>
      </c>
      <c r="C15" s="2" t="s">
        <v>32</v>
      </c>
      <c r="D15" s="2" t="s">
        <v>31</v>
      </c>
      <c r="E15" s="4">
        <v>4511</v>
      </c>
    </row>
    <row r="16" spans="1:5" x14ac:dyDescent="0.25">
      <c r="A16" s="6">
        <v>15</v>
      </c>
      <c r="B16" s="2" t="s">
        <v>17</v>
      </c>
      <c r="C16" s="2" t="s">
        <v>32</v>
      </c>
      <c r="D16" s="2" t="s">
        <v>31</v>
      </c>
      <c r="E16" s="4">
        <v>4295</v>
      </c>
    </row>
    <row r="17" spans="1:5" x14ac:dyDescent="0.25">
      <c r="A17" s="6">
        <v>16</v>
      </c>
      <c r="B17" s="2" t="s">
        <v>18</v>
      </c>
      <c r="C17" s="2" t="s">
        <v>37</v>
      </c>
      <c r="D17" s="2" t="s">
        <v>31</v>
      </c>
      <c r="E17" s="4">
        <v>17362</v>
      </c>
    </row>
    <row r="18" spans="1:5" x14ac:dyDescent="0.25">
      <c r="A18" s="6">
        <v>17</v>
      </c>
      <c r="B18" s="2" t="s">
        <v>19</v>
      </c>
      <c r="C18" s="2" t="s">
        <v>38</v>
      </c>
      <c r="D18" s="2" t="s">
        <v>31</v>
      </c>
      <c r="E18" s="3">
        <v>10468</v>
      </c>
    </row>
    <row r="19" spans="1:5" x14ac:dyDescent="0.25">
      <c r="A19" s="6">
        <v>18</v>
      </c>
      <c r="B19" s="2" t="s">
        <v>20</v>
      </c>
      <c r="C19" s="2" t="s">
        <v>39</v>
      </c>
      <c r="D19" s="2" t="s">
        <v>31</v>
      </c>
      <c r="E19" s="3">
        <v>36984</v>
      </c>
    </row>
    <row r="20" spans="1:5" x14ac:dyDescent="0.25">
      <c r="A20" s="6">
        <v>19</v>
      </c>
      <c r="B20" s="2" t="s">
        <v>21</v>
      </c>
      <c r="C20" s="2" t="s">
        <v>40</v>
      </c>
      <c r="D20" s="2" t="s">
        <v>31</v>
      </c>
      <c r="E20" s="3">
        <v>1</v>
      </c>
    </row>
    <row r="21" spans="1:5" x14ac:dyDescent="0.25">
      <c r="A21" s="6">
        <v>20</v>
      </c>
      <c r="B21" s="2" t="s">
        <v>22</v>
      </c>
      <c r="C21" s="2" t="s">
        <v>41</v>
      </c>
      <c r="D21" s="2" t="s">
        <v>31</v>
      </c>
      <c r="E21" s="3">
        <v>1</v>
      </c>
    </row>
    <row r="22" spans="1:5" x14ac:dyDescent="0.25">
      <c r="A22" s="6">
        <v>21</v>
      </c>
      <c r="B22" s="2" t="s">
        <v>23</v>
      </c>
      <c r="C22" s="2" t="s">
        <v>42</v>
      </c>
      <c r="D22" s="2" t="s">
        <v>31</v>
      </c>
      <c r="E22" s="3">
        <v>29861</v>
      </c>
    </row>
    <row r="23" spans="1:5" x14ac:dyDescent="0.25">
      <c r="A23" s="6">
        <v>22</v>
      </c>
      <c r="B23" s="2" t="s">
        <v>24</v>
      </c>
      <c r="C23" s="2" t="s">
        <v>43</v>
      </c>
      <c r="D23" s="2" t="s">
        <v>31</v>
      </c>
      <c r="E23" s="3">
        <v>10525</v>
      </c>
    </row>
    <row r="24" spans="1:5" x14ac:dyDescent="0.25">
      <c r="A24" s="6">
        <v>23</v>
      </c>
      <c r="B24" s="2" t="s">
        <v>25</v>
      </c>
      <c r="C24" s="2" t="s">
        <v>44</v>
      </c>
      <c r="D24" s="2" t="s">
        <v>31</v>
      </c>
      <c r="E24" s="3">
        <v>2</v>
      </c>
    </row>
    <row r="25" spans="1:5" x14ac:dyDescent="0.25">
      <c r="A25" s="6">
        <v>24</v>
      </c>
      <c r="B25" s="2" t="s">
        <v>26</v>
      </c>
      <c r="C25" s="2" t="s">
        <v>45</v>
      </c>
      <c r="D25" s="2" t="s">
        <v>31</v>
      </c>
      <c r="E25" s="3">
        <v>18450</v>
      </c>
    </row>
    <row r="26" spans="1:5" x14ac:dyDescent="0.25">
      <c r="A26" s="6">
        <v>25</v>
      </c>
      <c r="B26" s="2" t="s">
        <v>27</v>
      </c>
      <c r="C26" s="2" t="s">
        <v>46</v>
      </c>
      <c r="D26" s="2" t="s">
        <v>31</v>
      </c>
      <c r="E26" s="3">
        <v>13347</v>
      </c>
    </row>
    <row r="27" spans="1:5" x14ac:dyDescent="0.25">
      <c r="A27" s="6">
        <v>26</v>
      </c>
      <c r="B27" s="2" t="s">
        <v>28</v>
      </c>
      <c r="C27" s="2" t="s">
        <v>47</v>
      </c>
      <c r="D27" s="2" t="s">
        <v>31</v>
      </c>
      <c r="E27" s="3">
        <v>42304</v>
      </c>
    </row>
    <row r="28" spans="1:5" x14ac:dyDescent="0.25">
      <c r="A28" s="6">
        <v>27</v>
      </c>
      <c r="B28" s="2" t="s">
        <v>29</v>
      </c>
      <c r="C28" s="2" t="s">
        <v>48</v>
      </c>
      <c r="D28" s="2" t="s">
        <v>31</v>
      </c>
      <c r="E28" s="3">
        <v>30</v>
      </c>
    </row>
    <row r="29" spans="1:5" x14ac:dyDescent="0.25">
      <c r="A29" s="6">
        <v>28</v>
      </c>
      <c r="B29" s="2" t="s">
        <v>30</v>
      </c>
      <c r="C29" s="2" t="s">
        <v>48</v>
      </c>
      <c r="D29" s="2" t="s">
        <v>31</v>
      </c>
      <c r="E29" s="3">
        <v>1</v>
      </c>
    </row>
    <row r="30" spans="1:5" x14ac:dyDescent="0.25">
      <c r="A30" s="6">
        <v>29</v>
      </c>
      <c r="B30" s="2" t="s">
        <v>51</v>
      </c>
      <c r="C30" s="2" t="s">
        <v>35</v>
      </c>
      <c r="D30" s="2" t="s">
        <v>31</v>
      </c>
      <c r="E30" s="4">
        <v>10000</v>
      </c>
    </row>
    <row r="31" spans="1:5" x14ac:dyDescent="0.25">
      <c r="A31" s="6">
        <v>30</v>
      </c>
      <c r="B31" s="2" t="s">
        <v>52</v>
      </c>
      <c r="C31" s="2" t="s">
        <v>53</v>
      </c>
      <c r="D31" s="7" t="s">
        <v>54</v>
      </c>
      <c r="E31" s="4">
        <v>8272</v>
      </c>
    </row>
    <row r="32" spans="1:5" x14ac:dyDescent="0.25">
      <c r="A32" s="6">
        <v>31</v>
      </c>
      <c r="B32" s="2" t="s">
        <v>55</v>
      </c>
      <c r="C32" s="2" t="s">
        <v>57</v>
      </c>
      <c r="D32" s="7" t="s">
        <v>56</v>
      </c>
      <c r="E32" s="4">
        <v>2891</v>
      </c>
    </row>
  </sheetData>
  <autoFilter ref="B1:E29" xr:uid="{5AF2859C-7E4E-4410-BDCC-911072E8BDA9}"/>
  <conditionalFormatting sqref="A1:A32">
    <cfRule type="duplicateValues" dxfId="9" priority="3"/>
  </conditionalFormatting>
  <conditionalFormatting sqref="B1:B29">
    <cfRule type="duplicateValues" dxfId="8" priority="9"/>
  </conditionalFormatting>
  <conditionalFormatting sqref="B30">
    <cfRule type="duplicateValues" dxfId="7" priority="2"/>
  </conditionalFormatting>
  <conditionalFormatting sqref="B31:B32">
    <cfRule type="duplicateValues" dxfId="6" priority="1"/>
  </conditionalFormatting>
  <pageMargins left="0.7" right="0.7" top="0.75" bottom="0.75" header="0.3" footer="0.3"/>
  <ignoredErrors>
    <ignoredError sqref="D2:D30 D31:D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4F38-A6F7-4E23-B90E-1130D322887D}">
  <dimension ref="A1:C67"/>
  <sheetViews>
    <sheetView topLeftCell="A17" workbookViewId="0">
      <selection activeCell="B34" sqref="B34"/>
    </sheetView>
  </sheetViews>
  <sheetFormatPr defaultRowHeight="15" x14ac:dyDescent="0.25"/>
  <cols>
    <col min="1" max="1" width="38.7109375" bestFit="1" customWidth="1"/>
    <col min="2" max="2" width="11.5703125" style="8" bestFit="1" customWidth="1"/>
    <col min="3" max="3" width="12.7109375" bestFit="1" customWidth="1"/>
  </cols>
  <sheetData>
    <row r="1" spans="1:3" x14ac:dyDescent="0.25">
      <c r="A1" s="9" t="s">
        <v>0</v>
      </c>
      <c r="B1" s="10" t="s">
        <v>58</v>
      </c>
      <c r="C1" s="9" t="s">
        <v>1</v>
      </c>
    </row>
    <row r="2" spans="1:3" x14ac:dyDescent="0.25">
      <c r="A2" t="s">
        <v>3</v>
      </c>
      <c r="B2" s="8">
        <v>20389</v>
      </c>
      <c r="C2" t="s">
        <v>31</v>
      </c>
    </row>
    <row r="3" spans="1:3" x14ac:dyDescent="0.25">
      <c r="A3" t="s">
        <v>4</v>
      </c>
      <c r="B3" s="8">
        <v>7452</v>
      </c>
      <c r="C3" t="s">
        <v>31</v>
      </c>
    </row>
    <row r="4" spans="1:3" x14ac:dyDescent="0.25">
      <c r="A4" t="s">
        <v>5</v>
      </c>
      <c r="B4" s="8">
        <v>11581</v>
      </c>
      <c r="C4" t="s">
        <v>31</v>
      </c>
    </row>
    <row r="5" spans="1:3" x14ac:dyDescent="0.25">
      <c r="A5" t="s">
        <v>6</v>
      </c>
      <c r="B5" s="8">
        <v>6632</v>
      </c>
      <c r="C5" t="s">
        <v>31</v>
      </c>
    </row>
    <row r="6" spans="1:3" x14ac:dyDescent="0.25">
      <c r="A6" t="s">
        <v>7</v>
      </c>
      <c r="B6" s="8">
        <v>8753</v>
      </c>
      <c r="C6" t="s">
        <v>31</v>
      </c>
    </row>
    <row r="7" spans="1:3" x14ac:dyDescent="0.25">
      <c r="A7" t="s">
        <v>8</v>
      </c>
      <c r="B7" s="8">
        <v>12247</v>
      </c>
      <c r="C7" t="s">
        <v>31</v>
      </c>
    </row>
    <row r="8" spans="1:3" x14ac:dyDescent="0.25">
      <c r="A8" t="s">
        <v>9</v>
      </c>
      <c r="B8" s="8">
        <v>8881</v>
      </c>
      <c r="C8" t="s">
        <v>31</v>
      </c>
    </row>
    <row r="9" spans="1:3" x14ac:dyDescent="0.25">
      <c r="A9" t="s">
        <v>10</v>
      </c>
      <c r="B9" s="8">
        <v>17000</v>
      </c>
      <c r="C9" t="s">
        <v>31</v>
      </c>
    </row>
    <row r="10" spans="1:3" x14ac:dyDescent="0.25">
      <c r="A10" t="s">
        <v>11</v>
      </c>
      <c r="B10" s="8">
        <v>18500</v>
      </c>
      <c r="C10" t="s">
        <v>31</v>
      </c>
    </row>
    <row r="11" spans="1:3" x14ac:dyDescent="0.25">
      <c r="A11" t="s">
        <v>12</v>
      </c>
      <c r="B11" s="8">
        <v>31500</v>
      </c>
      <c r="C11" t="s">
        <v>31</v>
      </c>
    </row>
    <row r="12" spans="1:3" x14ac:dyDescent="0.25">
      <c r="A12" t="s">
        <v>13</v>
      </c>
      <c r="B12" s="8">
        <v>12436</v>
      </c>
      <c r="C12" t="s">
        <v>31</v>
      </c>
    </row>
    <row r="13" spans="1:3" x14ac:dyDescent="0.25">
      <c r="A13" t="s">
        <v>14</v>
      </c>
      <c r="B13" s="8">
        <v>34000</v>
      </c>
      <c r="C13" t="s">
        <v>31</v>
      </c>
    </row>
    <row r="14" spans="1:3" x14ac:dyDescent="0.25">
      <c r="A14" t="s">
        <v>15</v>
      </c>
      <c r="B14" s="8">
        <v>7580</v>
      </c>
      <c r="C14" t="s">
        <v>31</v>
      </c>
    </row>
    <row r="15" spans="1:3" x14ac:dyDescent="0.25">
      <c r="A15" t="s">
        <v>16</v>
      </c>
      <c r="B15" s="8">
        <v>4511</v>
      </c>
      <c r="C15" t="s">
        <v>31</v>
      </c>
    </row>
    <row r="16" spans="1:3" x14ac:dyDescent="0.25">
      <c r="A16" t="s">
        <v>17</v>
      </c>
      <c r="B16" s="8">
        <v>4295</v>
      </c>
      <c r="C16" t="s">
        <v>31</v>
      </c>
    </row>
    <row r="17" spans="1:3" x14ac:dyDescent="0.25">
      <c r="A17" t="s">
        <v>18</v>
      </c>
      <c r="B17" s="8">
        <v>17362</v>
      </c>
      <c r="C17" t="s">
        <v>31</v>
      </c>
    </row>
    <row r="18" spans="1:3" x14ac:dyDescent="0.25">
      <c r="A18" t="s">
        <v>19</v>
      </c>
      <c r="B18" s="8">
        <v>10468</v>
      </c>
      <c r="C18" t="s">
        <v>31</v>
      </c>
    </row>
    <row r="19" spans="1:3" x14ac:dyDescent="0.25">
      <c r="A19" t="s">
        <v>20</v>
      </c>
      <c r="B19" s="8">
        <v>36984</v>
      </c>
      <c r="C19" t="s">
        <v>31</v>
      </c>
    </row>
    <row r="20" spans="1:3" x14ac:dyDescent="0.25">
      <c r="A20" t="s">
        <v>21</v>
      </c>
      <c r="B20" s="8">
        <v>1</v>
      </c>
      <c r="C20" t="s">
        <v>31</v>
      </c>
    </row>
    <row r="21" spans="1:3" x14ac:dyDescent="0.25">
      <c r="A21" t="s">
        <v>22</v>
      </c>
      <c r="B21" s="8">
        <v>1</v>
      </c>
      <c r="C21" t="s">
        <v>31</v>
      </c>
    </row>
    <row r="22" spans="1:3" x14ac:dyDescent="0.25">
      <c r="A22" t="s">
        <v>23</v>
      </c>
      <c r="B22" s="8">
        <v>29861</v>
      </c>
      <c r="C22" t="s">
        <v>31</v>
      </c>
    </row>
    <row r="23" spans="1:3" x14ac:dyDescent="0.25">
      <c r="A23" t="s">
        <v>24</v>
      </c>
      <c r="B23" s="8">
        <v>10525</v>
      </c>
      <c r="C23" t="s">
        <v>31</v>
      </c>
    </row>
    <row r="24" spans="1:3" x14ac:dyDescent="0.25">
      <c r="A24" t="s">
        <v>25</v>
      </c>
      <c r="B24" s="8">
        <v>2</v>
      </c>
      <c r="C24" t="s">
        <v>31</v>
      </c>
    </row>
    <row r="25" spans="1:3" x14ac:dyDescent="0.25">
      <c r="A25" t="s">
        <v>26</v>
      </c>
      <c r="B25" s="8">
        <v>18450</v>
      </c>
      <c r="C25" t="s">
        <v>31</v>
      </c>
    </row>
    <row r="26" spans="1:3" x14ac:dyDescent="0.25">
      <c r="A26" t="s">
        <v>27</v>
      </c>
      <c r="B26" s="8">
        <v>13347</v>
      </c>
      <c r="C26" t="s">
        <v>31</v>
      </c>
    </row>
    <row r="27" spans="1:3" x14ac:dyDescent="0.25">
      <c r="A27" t="s">
        <v>28</v>
      </c>
      <c r="B27" s="8">
        <v>42304</v>
      </c>
      <c r="C27" t="s">
        <v>31</v>
      </c>
    </row>
    <row r="28" spans="1:3" x14ac:dyDescent="0.25">
      <c r="A28" t="s">
        <v>29</v>
      </c>
      <c r="B28" s="8">
        <v>30</v>
      </c>
      <c r="C28" t="s">
        <v>31</v>
      </c>
    </row>
    <row r="29" spans="1:3" x14ac:dyDescent="0.25">
      <c r="A29" t="s">
        <v>30</v>
      </c>
      <c r="B29" s="8">
        <v>1</v>
      </c>
      <c r="C29" t="s">
        <v>31</v>
      </c>
    </row>
    <row r="30" spans="1:3" x14ac:dyDescent="0.25">
      <c r="A30" t="s">
        <v>51</v>
      </c>
      <c r="B30" s="8">
        <v>10000</v>
      </c>
      <c r="C30" t="s">
        <v>31</v>
      </c>
    </row>
    <row r="31" spans="1:3" x14ac:dyDescent="0.25">
      <c r="A31" t="s">
        <v>52</v>
      </c>
      <c r="B31" s="8">
        <v>8272</v>
      </c>
      <c r="C31" t="s">
        <v>54</v>
      </c>
    </row>
    <row r="32" spans="1:3" x14ac:dyDescent="0.25">
      <c r="A32" t="s">
        <v>55</v>
      </c>
      <c r="B32" s="8">
        <v>2891</v>
      </c>
      <c r="C32" t="s">
        <v>56</v>
      </c>
    </row>
    <row r="33" spans="1:2" x14ac:dyDescent="0.25">
      <c r="B33" s="8">
        <f>SUM(B2:B32)</f>
        <v>406256</v>
      </c>
    </row>
    <row r="34" spans="1:2" x14ac:dyDescent="0.25">
      <c r="A34" s="9" t="s">
        <v>0</v>
      </c>
      <c r="B34" s="10" t="s">
        <v>59</v>
      </c>
    </row>
    <row r="35" spans="1:2" x14ac:dyDescent="0.25">
      <c r="A35" t="s">
        <v>3</v>
      </c>
      <c r="B35" s="8">
        <v>20389</v>
      </c>
    </row>
    <row r="36" spans="1:2" x14ac:dyDescent="0.25">
      <c r="A36" t="s">
        <v>4</v>
      </c>
      <c r="B36" s="8">
        <v>7452</v>
      </c>
    </row>
    <row r="37" spans="1:2" x14ac:dyDescent="0.25">
      <c r="A37" t="s">
        <v>5</v>
      </c>
      <c r="B37" s="8">
        <v>11581</v>
      </c>
    </row>
    <row r="38" spans="1:2" x14ac:dyDescent="0.25">
      <c r="A38" t="s">
        <v>6</v>
      </c>
      <c r="B38" s="8">
        <v>6632</v>
      </c>
    </row>
    <row r="39" spans="1:2" x14ac:dyDescent="0.25">
      <c r="A39" t="s">
        <v>7</v>
      </c>
      <c r="B39" s="8">
        <v>8753</v>
      </c>
    </row>
    <row r="40" spans="1:2" x14ac:dyDescent="0.25">
      <c r="A40" t="s">
        <v>8</v>
      </c>
      <c r="B40" s="8">
        <v>12247</v>
      </c>
    </row>
    <row r="41" spans="1:2" x14ac:dyDescent="0.25">
      <c r="A41" t="s">
        <v>9</v>
      </c>
      <c r="B41" s="8">
        <v>8881</v>
      </c>
    </row>
    <row r="42" spans="1:2" x14ac:dyDescent="0.25">
      <c r="A42" t="s">
        <v>10</v>
      </c>
      <c r="B42" s="8">
        <v>17000</v>
      </c>
    </row>
    <row r="43" spans="1:2" x14ac:dyDescent="0.25">
      <c r="A43" t="s">
        <v>11</v>
      </c>
      <c r="B43" s="8">
        <v>18500</v>
      </c>
    </row>
    <row r="44" spans="1:2" x14ac:dyDescent="0.25">
      <c r="A44" t="s">
        <v>12</v>
      </c>
      <c r="B44" s="8">
        <v>31500</v>
      </c>
    </row>
    <row r="45" spans="1:2" x14ac:dyDescent="0.25">
      <c r="A45" t="s">
        <v>13</v>
      </c>
      <c r="B45" s="8">
        <v>12436</v>
      </c>
    </row>
    <row r="46" spans="1:2" x14ac:dyDescent="0.25">
      <c r="A46" t="s">
        <v>14</v>
      </c>
      <c r="B46" s="8">
        <v>34000</v>
      </c>
    </row>
    <row r="47" spans="1:2" x14ac:dyDescent="0.25">
      <c r="A47" t="s">
        <v>15</v>
      </c>
      <c r="B47" s="8">
        <v>7580</v>
      </c>
    </row>
    <row r="48" spans="1:2" x14ac:dyDescent="0.25">
      <c r="A48" t="s">
        <v>16</v>
      </c>
      <c r="B48" s="8">
        <v>4511</v>
      </c>
    </row>
    <row r="49" spans="1:2" x14ac:dyDescent="0.25">
      <c r="A49" t="s">
        <v>17</v>
      </c>
      <c r="B49" s="8">
        <v>4295</v>
      </c>
    </row>
    <row r="50" spans="1:2" x14ac:dyDescent="0.25">
      <c r="A50" t="s">
        <v>18</v>
      </c>
      <c r="B50" s="8">
        <v>17362</v>
      </c>
    </row>
    <row r="51" spans="1:2" x14ac:dyDescent="0.25">
      <c r="A51" t="s">
        <v>19</v>
      </c>
      <c r="B51" s="8">
        <v>10468</v>
      </c>
    </row>
    <row r="52" spans="1:2" x14ac:dyDescent="0.25">
      <c r="A52" t="s">
        <v>20</v>
      </c>
      <c r="B52" s="8">
        <v>36984</v>
      </c>
    </row>
    <row r="53" spans="1:2" x14ac:dyDescent="0.25">
      <c r="A53" t="s">
        <v>21</v>
      </c>
      <c r="B53" s="8">
        <v>1</v>
      </c>
    </row>
    <row r="54" spans="1:2" x14ac:dyDescent="0.25">
      <c r="A54" t="s">
        <v>22</v>
      </c>
      <c r="B54" s="8">
        <v>1</v>
      </c>
    </row>
    <row r="55" spans="1:2" x14ac:dyDescent="0.25">
      <c r="A55" t="s">
        <v>23</v>
      </c>
      <c r="B55" s="8">
        <v>29861</v>
      </c>
    </row>
    <row r="56" spans="1:2" x14ac:dyDescent="0.25">
      <c r="A56" t="s">
        <v>24</v>
      </c>
      <c r="B56" s="8">
        <v>10525</v>
      </c>
    </row>
    <row r="57" spans="1:2" x14ac:dyDescent="0.25">
      <c r="A57" t="s">
        <v>25</v>
      </c>
      <c r="B57" s="8">
        <v>2</v>
      </c>
    </row>
    <row r="58" spans="1:2" x14ac:dyDescent="0.25">
      <c r="A58" t="s">
        <v>26</v>
      </c>
      <c r="B58" s="8">
        <v>18450</v>
      </c>
    </row>
    <row r="59" spans="1:2" x14ac:dyDescent="0.25">
      <c r="A59" t="s">
        <v>27</v>
      </c>
      <c r="B59" s="8">
        <v>13347</v>
      </c>
    </row>
    <row r="60" spans="1:2" x14ac:dyDescent="0.25">
      <c r="A60" t="s">
        <v>28</v>
      </c>
      <c r="B60" s="8">
        <v>42304</v>
      </c>
    </row>
    <row r="61" spans="1:2" x14ac:dyDescent="0.25">
      <c r="A61" t="s">
        <v>29</v>
      </c>
      <c r="B61" s="8">
        <v>30</v>
      </c>
    </row>
    <row r="62" spans="1:2" x14ac:dyDescent="0.25">
      <c r="A62" t="s">
        <v>30</v>
      </c>
      <c r="B62" s="8">
        <v>1</v>
      </c>
    </row>
    <row r="63" spans="1:2" x14ac:dyDescent="0.25">
      <c r="A63" t="s">
        <v>51</v>
      </c>
      <c r="B63" s="8">
        <v>10000</v>
      </c>
    </row>
    <row r="64" spans="1:2" x14ac:dyDescent="0.25">
      <c r="A64" t="s">
        <v>52</v>
      </c>
      <c r="B64" s="8">
        <v>8272</v>
      </c>
    </row>
    <row r="65" spans="1:2" x14ac:dyDescent="0.25">
      <c r="A65" t="s">
        <v>55</v>
      </c>
      <c r="B65" s="8">
        <v>2891</v>
      </c>
    </row>
    <row r="67" spans="1:2" x14ac:dyDescent="0.25">
      <c r="B67" s="8">
        <f>SUM(B35:B65)</f>
        <v>406256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7A38-419E-4D0D-8DDF-8D9E29E67ADE}">
  <dimension ref="A1:H34"/>
  <sheetViews>
    <sheetView topLeftCell="F31" workbookViewId="0">
      <selection activeCell="H2" sqref="H2:H32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5.5703125" customWidth="1"/>
    <col min="6" max="6" width="93.140625" customWidth="1"/>
    <col min="7" max="7" width="81.85546875" customWidth="1"/>
    <col min="8" max="8" width="75" customWidth="1"/>
  </cols>
  <sheetData>
    <row r="1" spans="1:8" x14ac:dyDescent="0.25">
      <c r="A1" s="12" t="s">
        <v>101</v>
      </c>
      <c r="B1" t="s">
        <v>102</v>
      </c>
      <c r="D1" s="13" t="s">
        <v>103</v>
      </c>
      <c r="E1" s="14" t="s">
        <v>104</v>
      </c>
    </row>
    <row r="2" spans="1:8" ht="116.25" customHeight="1" x14ac:dyDescent="0.25">
      <c r="A2" t="s">
        <v>3</v>
      </c>
      <c r="B2" s="15" t="str">
        <f>VLOOKUP(A2,policyP!B:C,2,0)</f>
        <v>040000171867</v>
      </c>
      <c r="C2" s="8">
        <v>20389</v>
      </c>
      <c r="D2" s="16">
        <f>ROUND(C2,0)</f>
        <v>20389</v>
      </c>
      <c r="E2" s="14" t="s">
        <v>104</v>
      </c>
      <c r="F2" s="17" t="str">
        <f t="shared" ref="F2:F32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Omair Ali 24-Aug-2024');"</f>
        <v>('24Oct240060','040000171867','20389',(select max(to_number(i.premium_rcv_detail_code))+1
from ins_premium_det i),'20389','20389','02', '11000003','00','Request by Mr. Omair Ali 24-Aug-2024');</v>
      </c>
      <c r="H2" s="19" t="str">
        <f>F2&amp;G2</f>
        <v>insert into ins_premium_det (premium_rcv_code,assorted_code, rec_amount,premium_rcv_detail_code,remaining_amt, payrec, mode_code,coinsurance_code,class_cd,it_remarks) values('24Oct240060','040000171867','20389',(select max(to_number(i.premium_rcv_detail_code))+1
from ins_premium_det i),'20389','20389','02', '11000003','00','Request by Mr. Omair Ali 24-Aug-2024');</v>
      </c>
    </row>
    <row r="3" spans="1:8" ht="105" x14ac:dyDescent="0.25">
      <c r="A3" t="s">
        <v>4</v>
      </c>
      <c r="B3" s="15" t="str">
        <f>VLOOKUP(A3,policyP!B:C,2,0)</f>
        <v>040000174572</v>
      </c>
      <c r="C3" s="8">
        <v>7452</v>
      </c>
      <c r="D3" s="16">
        <f t="shared" ref="D3:D32" si="1">ROUND(C3,0)</f>
        <v>7452</v>
      </c>
      <c r="E3" s="14" t="s">
        <v>104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32" si="2">"('"&amp;E3&amp;"','"&amp;B3&amp;"','"&amp;D3&amp;"',(select max(to_number(i.premium_rcv_detail_code))+1
from ins_premium_det i),'"&amp;D3&amp;"','"&amp;D3&amp;"','02', '11000003','00','Request by Mr. Omair Ali 24-Aug-2024');"</f>
        <v>('24Oct240060','040000174572','7452',(select max(to_number(i.premium_rcv_detail_code))+1
from ins_premium_det i),'7452','7452','02', '11000003','00','Request by Mr. Omair Ali 24-Aug-2024');</v>
      </c>
      <c r="H3" s="19" t="str">
        <f t="shared" ref="H3:H32" si="3">F3&amp;G3</f>
        <v>insert into ins_premium_det (premium_rcv_code,assorted_code, rec_amount,premium_rcv_detail_code,remaining_amt, payrec, mode_code,coinsurance_code,class_cd,it_remarks) values('24Oct240060','040000174572','7452',(select max(to_number(i.premium_rcv_detail_code))+1
from ins_premium_det i),'7452','7452','02', '11000003','00','Request by Mr. Omair Ali 24-Aug-2024');</v>
      </c>
    </row>
    <row r="4" spans="1:8" ht="105" x14ac:dyDescent="0.25">
      <c r="A4" t="s">
        <v>5</v>
      </c>
      <c r="B4" s="15" t="str">
        <f>VLOOKUP(A4,policyP!B:C,2,0)</f>
        <v>040000174574</v>
      </c>
      <c r="C4" s="8">
        <v>11581</v>
      </c>
      <c r="D4" s="16">
        <f t="shared" si="1"/>
        <v>11581</v>
      </c>
      <c r="E4" s="14" t="s">
        <v>104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('24Oct240060','040000174574','11581',(select max(to_number(i.premium_rcv_detail_code))+1
from ins_premium_det i),'11581','11581','02', '11000003','00','Request by Mr. Omair Ali 24-Aug-2024');</v>
      </c>
      <c r="H4" s="19" t="str">
        <f t="shared" si="3"/>
        <v>insert into ins_premium_det (premium_rcv_code,assorted_code, rec_amount,premium_rcv_detail_code,remaining_amt, payrec, mode_code,coinsurance_code,class_cd,it_remarks) values('24Oct240060','040000174574','11581',(select max(to_number(i.premium_rcv_detail_code))+1
from ins_premium_det i),'11581','11581','02', '11000003','00','Request by Mr. Omair Ali 24-Aug-2024');</v>
      </c>
    </row>
    <row r="5" spans="1:8" ht="105" x14ac:dyDescent="0.25">
      <c r="A5" t="s">
        <v>6</v>
      </c>
      <c r="B5" s="15" t="str">
        <f>VLOOKUP(A5,policyP!B:C,2,0)</f>
        <v>040000174576</v>
      </c>
      <c r="C5" s="8">
        <v>6632</v>
      </c>
      <c r="D5" s="16">
        <f t="shared" si="1"/>
        <v>6632</v>
      </c>
      <c r="E5" s="14" t="s">
        <v>104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('24Oct240060','040000174576','6632',(select max(to_number(i.premium_rcv_detail_code))+1
from ins_premium_det i),'6632','6632','02', '11000003','00','Request by Mr. Omair Ali 24-Aug-2024');</v>
      </c>
      <c r="H5" s="19" t="str">
        <f t="shared" si="3"/>
        <v>insert into ins_premium_det (premium_rcv_code,assorted_code, rec_amount,premium_rcv_detail_code,remaining_amt, payrec, mode_code,coinsurance_code,class_cd,it_remarks) values('24Oct240060','040000174576','6632',(select max(to_number(i.premium_rcv_detail_code))+1
from ins_premium_det i),'6632','6632','02', '11000003','00','Request by Mr. Omair Ali 24-Aug-2024');</v>
      </c>
    </row>
    <row r="6" spans="1:8" ht="105" x14ac:dyDescent="0.25">
      <c r="A6" t="s">
        <v>7</v>
      </c>
      <c r="B6" s="15" t="str">
        <f>VLOOKUP(A6,policyP!B:C,2,0)</f>
        <v>040000174817</v>
      </c>
      <c r="C6" s="8">
        <v>8753</v>
      </c>
      <c r="D6" s="16">
        <f t="shared" si="1"/>
        <v>8753</v>
      </c>
      <c r="E6" s="14" t="s">
        <v>104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('24Oct240060','040000174817','8753',(select max(to_number(i.premium_rcv_detail_code))+1
from ins_premium_det i),'8753','8753','02', '11000003','00','Request by Mr. Omair Ali 24-Aug-2024');</v>
      </c>
      <c r="H6" s="19" t="str">
        <f t="shared" si="3"/>
        <v>insert into ins_premium_det (premium_rcv_code,assorted_code, rec_amount,premium_rcv_detail_code,remaining_amt, payrec, mode_code,coinsurance_code,class_cd,it_remarks) values('24Oct240060','040000174817','8753',(select max(to_number(i.premium_rcv_detail_code))+1
from ins_premium_det i),'8753','8753','02', '11000003','00','Request by Mr. Omair Ali 24-Aug-2024');</v>
      </c>
    </row>
    <row r="7" spans="1:8" ht="105" x14ac:dyDescent="0.25">
      <c r="A7" t="s">
        <v>8</v>
      </c>
      <c r="B7" s="15" t="str">
        <f>VLOOKUP(A7,policyP!B:C,2,0)</f>
        <v>040000174819</v>
      </c>
      <c r="C7" s="8">
        <v>12247</v>
      </c>
      <c r="D7" s="16">
        <f t="shared" si="1"/>
        <v>12247</v>
      </c>
      <c r="E7" s="14" t="s">
        <v>104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('24Oct240060','040000174819','12247',(select max(to_number(i.premium_rcv_detail_code))+1
from ins_premium_det i),'12247','12247','02', '11000003','00','Request by Mr. Omair Ali 24-Aug-2024');</v>
      </c>
      <c r="H7" s="19" t="str">
        <f t="shared" si="3"/>
        <v>insert into ins_premium_det (premium_rcv_code,assorted_code, rec_amount,premium_rcv_detail_code,remaining_amt, payrec, mode_code,coinsurance_code,class_cd,it_remarks) values('24Oct240060','040000174819','12247',(select max(to_number(i.premium_rcv_detail_code))+1
from ins_premium_det i),'12247','12247','02', '11000003','00','Request by Mr. Omair Ali 24-Aug-2024');</v>
      </c>
    </row>
    <row r="8" spans="1:8" ht="105" x14ac:dyDescent="0.25">
      <c r="A8" t="s">
        <v>9</v>
      </c>
      <c r="B8" s="15" t="str">
        <f>VLOOKUP(A8,policyP!B:C,2,0)</f>
        <v>040000175708</v>
      </c>
      <c r="C8" s="8">
        <v>8881</v>
      </c>
      <c r="D8" s="16">
        <f t="shared" si="1"/>
        <v>8881</v>
      </c>
      <c r="E8" s="14" t="s">
        <v>104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('24Oct240060','040000175708','8881',(select max(to_number(i.premium_rcv_detail_code))+1
from ins_premium_det i),'8881','8881','02', '11000003','00','Request by Mr. Omair Ali 24-Aug-2024');</v>
      </c>
      <c r="H8" s="19" t="str">
        <f t="shared" si="3"/>
        <v>insert into ins_premium_det (premium_rcv_code,assorted_code, rec_amount,premium_rcv_detail_code,remaining_amt, payrec, mode_code,coinsurance_code,class_cd,it_remarks) values('24Oct240060','040000175708','8881',(select max(to_number(i.premium_rcv_detail_code))+1
from ins_premium_det i),'8881','8881','02', '11000003','00','Request by Mr. Omair Ali 24-Aug-2024');</v>
      </c>
    </row>
    <row r="9" spans="1:8" ht="105" x14ac:dyDescent="0.25">
      <c r="A9" t="s">
        <v>10</v>
      </c>
      <c r="B9" s="15" t="str">
        <f>VLOOKUP(A9,policyP!B:C,2,0)</f>
        <v>040000183328</v>
      </c>
      <c r="C9" s="8">
        <v>17000</v>
      </c>
      <c r="D9" s="16">
        <f t="shared" si="1"/>
        <v>17000</v>
      </c>
      <c r="E9" s="14" t="s">
        <v>104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('24Oct240060','040000183328','17000',(select max(to_number(i.premium_rcv_detail_code))+1
from ins_premium_det i),'17000','17000','02', '11000003','00','Request by Mr. Omair Ali 24-Aug-2024');</v>
      </c>
      <c r="H9" s="19" t="str">
        <f t="shared" si="3"/>
        <v>insert into ins_premium_det (premium_rcv_code,assorted_code, rec_amount,premium_rcv_detail_code,remaining_amt, payrec, mode_code,coinsurance_code,class_cd,it_remarks) values('24Oct240060','040000183328','17000',(select max(to_number(i.premium_rcv_detail_code))+1
from ins_premium_det i),'17000','17000','02', '11000003','00','Request by Mr. Omair Ali 24-Aug-2024');</v>
      </c>
    </row>
    <row r="10" spans="1:8" ht="105" x14ac:dyDescent="0.25">
      <c r="A10" t="s">
        <v>11</v>
      </c>
      <c r="B10" s="15" t="str">
        <f>VLOOKUP(A10,policyP!B:C,2,0)</f>
        <v>040000183330</v>
      </c>
      <c r="C10" s="8">
        <v>18500</v>
      </c>
      <c r="D10" s="16">
        <f t="shared" si="1"/>
        <v>18500</v>
      </c>
      <c r="E10" s="14" t="s">
        <v>104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('24Oct240060','040000183330','18500',(select max(to_number(i.premium_rcv_detail_code))+1
from ins_premium_det i),'18500','18500','02', '11000003','00','Request by Mr. Omair Ali 24-Aug-2024');</v>
      </c>
      <c r="H10" s="19" t="str">
        <f t="shared" si="3"/>
        <v>insert into ins_premium_det (premium_rcv_code,assorted_code, rec_amount,premium_rcv_detail_code,remaining_amt, payrec, mode_code,coinsurance_code,class_cd,it_remarks) values('24Oct240060','040000183330','18500',(select max(to_number(i.premium_rcv_detail_code))+1
from ins_premium_det i),'18500','18500','02', '11000003','00','Request by Mr. Omair Ali 24-Aug-2024');</v>
      </c>
    </row>
    <row r="11" spans="1:8" ht="105" x14ac:dyDescent="0.25">
      <c r="A11" t="s">
        <v>12</v>
      </c>
      <c r="B11" s="15" t="str">
        <f>VLOOKUP(A11,policyP!B:C,2,0)</f>
        <v>040000183452</v>
      </c>
      <c r="C11" s="8">
        <v>31500</v>
      </c>
      <c r="D11" s="16">
        <f t="shared" si="1"/>
        <v>31500</v>
      </c>
      <c r="E11" s="14" t="s">
        <v>104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('24Oct240060','040000183452','31500',(select max(to_number(i.premium_rcv_detail_code))+1
from ins_premium_det i),'31500','31500','02', '11000003','00','Request by Mr. Omair Ali 24-Aug-2024');</v>
      </c>
      <c r="H11" s="19" t="str">
        <f t="shared" si="3"/>
        <v>insert into ins_premium_det (premium_rcv_code,assorted_code, rec_amount,premium_rcv_detail_code,remaining_amt, payrec, mode_code,coinsurance_code,class_cd,it_remarks) values('24Oct240060','040000183452','31500',(select max(to_number(i.premium_rcv_detail_code))+1
from ins_premium_det i),'31500','31500','02', '11000003','00','Request by Mr. Omair Ali 24-Aug-2024');</v>
      </c>
    </row>
    <row r="12" spans="1:8" ht="105" x14ac:dyDescent="0.25">
      <c r="A12" t="s">
        <v>13</v>
      </c>
      <c r="B12" s="15" t="str">
        <f>VLOOKUP(A12,policyP!B:C,2,0)</f>
        <v>040000183453</v>
      </c>
      <c r="C12" s="8">
        <v>12436</v>
      </c>
      <c r="D12" s="16">
        <f t="shared" si="1"/>
        <v>12436</v>
      </c>
      <c r="E12" s="14" t="s">
        <v>104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('24Oct240060','040000183453','12436',(select max(to_number(i.premium_rcv_detail_code))+1
from ins_premium_det i),'12436','12436','02', '11000003','00','Request by Mr. Omair Ali 24-Aug-2024');</v>
      </c>
      <c r="H12" s="19" t="str">
        <f t="shared" si="3"/>
        <v>insert into ins_premium_det (premium_rcv_code,assorted_code, rec_amount,premium_rcv_detail_code,remaining_amt, payrec, mode_code,coinsurance_code,class_cd,it_remarks) values('24Oct240060','040000183453','12436',(select max(to_number(i.premium_rcv_detail_code))+1
from ins_premium_det i),'12436','12436','02', '11000003','00','Request by Mr. Omair Ali 24-Aug-2024');</v>
      </c>
    </row>
    <row r="13" spans="1:8" ht="105" x14ac:dyDescent="0.25">
      <c r="A13" t="s">
        <v>14</v>
      </c>
      <c r="B13" s="15" t="str">
        <f>VLOOKUP(A13,policyP!B:C,2,0)</f>
        <v>040000183776</v>
      </c>
      <c r="C13" s="8">
        <v>34000</v>
      </c>
      <c r="D13" s="16">
        <f t="shared" si="1"/>
        <v>34000</v>
      </c>
      <c r="E13" s="14" t="s">
        <v>104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('24Oct240060','040000183776','34000',(select max(to_number(i.premium_rcv_detail_code))+1
from ins_premium_det i),'34000','34000','02', '11000003','00','Request by Mr. Omair Ali 24-Aug-2024');</v>
      </c>
      <c r="H13" s="19" t="str">
        <f t="shared" si="3"/>
        <v>insert into ins_premium_det (premium_rcv_code,assorted_code, rec_amount,premium_rcv_detail_code,remaining_amt, payrec, mode_code,coinsurance_code,class_cd,it_remarks) values('24Oct240060','040000183776','34000',(select max(to_number(i.premium_rcv_detail_code))+1
from ins_premium_det i),'34000','34000','02', '11000003','00','Request by Mr. Omair Ali 24-Aug-2024');</v>
      </c>
    </row>
    <row r="14" spans="1:8" ht="105" x14ac:dyDescent="0.25">
      <c r="A14" t="s">
        <v>15</v>
      </c>
      <c r="B14" s="15" t="str">
        <f>VLOOKUP(A14,policyP!B:C,2,0)</f>
        <v>040000183817</v>
      </c>
      <c r="C14" s="8">
        <v>7580</v>
      </c>
      <c r="D14" s="16">
        <f t="shared" si="1"/>
        <v>7580</v>
      </c>
      <c r="E14" s="14" t="s">
        <v>104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('24Oct240060','040000183817','7580',(select max(to_number(i.premium_rcv_detail_code))+1
from ins_premium_det i),'7580','7580','02', '11000003','00','Request by Mr. Omair Ali 24-Aug-2024');</v>
      </c>
      <c r="H14" s="19" t="str">
        <f t="shared" si="3"/>
        <v>insert into ins_premium_det (premium_rcv_code,assorted_code, rec_amount,premium_rcv_detail_code,remaining_amt, payrec, mode_code,coinsurance_code,class_cd,it_remarks) values('24Oct240060','040000183817','7580',(select max(to_number(i.premium_rcv_detail_code))+1
from ins_premium_det i),'7580','7580','02', '11000003','00','Request by Mr. Omair Ali 24-Aug-2024');</v>
      </c>
    </row>
    <row r="15" spans="1:8" ht="105" x14ac:dyDescent="0.25">
      <c r="A15" t="s">
        <v>16</v>
      </c>
      <c r="B15" s="15" t="str">
        <f>VLOOKUP(A15,policyP!B:C,2,0)</f>
        <v>040000183820</v>
      </c>
      <c r="C15" s="8">
        <v>4511</v>
      </c>
      <c r="D15" s="16">
        <f t="shared" si="1"/>
        <v>4511</v>
      </c>
      <c r="E15" s="14" t="s">
        <v>104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('24Oct240060','040000183820','4511',(select max(to_number(i.premium_rcv_detail_code))+1
from ins_premium_det i),'4511','4511','02', '11000003','00','Request by Mr. Omair Ali 24-Aug-2024');</v>
      </c>
      <c r="H15" s="19" t="str">
        <f t="shared" si="3"/>
        <v>insert into ins_premium_det (premium_rcv_code,assorted_code, rec_amount,premium_rcv_detail_code,remaining_amt, payrec, mode_code,coinsurance_code,class_cd,it_remarks) values('24Oct240060','040000183820','4511',(select max(to_number(i.premium_rcv_detail_code))+1
from ins_premium_det i),'4511','4511','02', '11000003','00','Request by Mr. Omair Ali 24-Aug-2024');</v>
      </c>
    </row>
    <row r="16" spans="1:8" ht="105" x14ac:dyDescent="0.25">
      <c r="A16" t="s">
        <v>17</v>
      </c>
      <c r="B16" s="15" t="str">
        <f>VLOOKUP(A16,policyP!B:C,2,0)</f>
        <v>040000183822</v>
      </c>
      <c r="C16" s="8">
        <v>4295</v>
      </c>
      <c r="D16" s="16">
        <f t="shared" si="1"/>
        <v>4295</v>
      </c>
      <c r="E16" s="14" t="s">
        <v>104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('24Oct240060','040000183822','4295',(select max(to_number(i.premium_rcv_detail_code))+1
from ins_premium_det i),'4295','4295','02', '11000003','00','Request by Mr. Omair Ali 24-Aug-2024');</v>
      </c>
      <c r="H16" s="19" t="str">
        <f t="shared" si="3"/>
        <v>insert into ins_premium_det (premium_rcv_code,assorted_code, rec_amount,premium_rcv_detail_code,remaining_amt, payrec, mode_code,coinsurance_code,class_cd,it_remarks) values('24Oct240060','040000183822','4295',(select max(to_number(i.premium_rcv_detail_code))+1
from ins_premium_det i),'4295','4295','02', '11000003','00','Request by Mr. Omair Ali 24-Aug-2024');</v>
      </c>
    </row>
    <row r="17" spans="1:8" ht="105" x14ac:dyDescent="0.25">
      <c r="A17" t="s">
        <v>18</v>
      </c>
      <c r="B17" s="15" t="str">
        <f>VLOOKUP(A17,policyP!B:C,2,0)</f>
        <v>040000183912</v>
      </c>
      <c r="C17" s="8">
        <v>17362</v>
      </c>
      <c r="D17" s="16">
        <f t="shared" si="1"/>
        <v>17362</v>
      </c>
      <c r="E17" s="14" t="s">
        <v>104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('24Oct240060','040000183912','17362',(select max(to_number(i.premium_rcv_detail_code))+1
from ins_premium_det i),'17362','17362','02', '11000003','00','Request by Mr. Omair Ali 24-Aug-2024');</v>
      </c>
      <c r="H17" s="19" t="str">
        <f t="shared" si="3"/>
        <v>insert into ins_premium_det (premium_rcv_code,assorted_code, rec_amount,premium_rcv_detail_code,remaining_amt, payrec, mode_code,coinsurance_code,class_cd,it_remarks) values('24Oct240060','040000183912','17362',(select max(to_number(i.premium_rcv_detail_code))+1
from ins_premium_det i),'17362','17362','02', '11000003','00','Request by Mr. Omair Ali 24-Aug-2024');</v>
      </c>
    </row>
    <row r="18" spans="1:8" ht="105" x14ac:dyDescent="0.25">
      <c r="A18" t="s">
        <v>19</v>
      </c>
      <c r="B18" s="15" t="str">
        <f>VLOOKUP(A18,policyP!B:C,2,0)</f>
        <v>040000184441</v>
      </c>
      <c r="C18" s="8">
        <v>10468</v>
      </c>
      <c r="D18" s="16">
        <f t="shared" si="1"/>
        <v>10468</v>
      </c>
      <c r="E18" s="14" t="s">
        <v>104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('24Oct240060','040000184441','10468',(select max(to_number(i.premium_rcv_detail_code))+1
from ins_premium_det i),'10468','10468','02', '11000003','00','Request by Mr. Omair Ali 24-Aug-2024');</v>
      </c>
      <c r="H18" s="19" t="str">
        <f t="shared" si="3"/>
        <v>insert into ins_premium_det (premium_rcv_code,assorted_code, rec_amount,premium_rcv_detail_code,remaining_amt, payrec, mode_code,coinsurance_code,class_cd,it_remarks) values('24Oct240060','040000184441','10468',(select max(to_number(i.premium_rcv_detail_code))+1
from ins_premium_det i),'10468','10468','02', '11000003','00','Request by Mr. Omair Ali 24-Aug-2024');</v>
      </c>
    </row>
    <row r="19" spans="1:8" ht="105" x14ac:dyDescent="0.25">
      <c r="A19" t="s">
        <v>20</v>
      </c>
      <c r="B19" s="15" t="str">
        <f>VLOOKUP(A19,policyP!B:C,2,0)</f>
        <v>040000184442</v>
      </c>
      <c r="C19" s="8">
        <v>36984</v>
      </c>
      <c r="D19" s="16">
        <f t="shared" si="1"/>
        <v>36984</v>
      </c>
      <c r="E19" s="14" t="s">
        <v>104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('24Oct240060','040000184442','36984',(select max(to_number(i.premium_rcv_detail_code))+1
from ins_premium_det i),'36984','36984','02', '11000003','00','Request by Mr. Omair Ali 24-Aug-2024');</v>
      </c>
      <c r="H19" s="19" t="str">
        <f t="shared" si="3"/>
        <v>insert into ins_premium_det (premium_rcv_code,assorted_code, rec_amount,premium_rcv_detail_code,remaining_amt, payrec, mode_code,coinsurance_code,class_cd,it_remarks) values('24Oct240060','040000184442','36984',(select max(to_number(i.premium_rcv_detail_code))+1
from ins_premium_det i),'36984','36984','02', '11000003','00','Request by Mr. Omair Ali 24-Aug-2024');</v>
      </c>
    </row>
    <row r="20" spans="1:8" ht="105" x14ac:dyDescent="0.25">
      <c r="A20" t="s">
        <v>21</v>
      </c>
      <c r="B20" s="15" t="str">
        <f>VLOOKUP(A20,policyP!B:C,2,0)</f>
        <v>040000184640</v>
      </c>
      <c r="C20" s="8">
        <v>1</v>
      </c>
      <c r="D20" s="16">
        <f t="shared" si="1"/>
        <v>1</v>
      </c>
      <c r="E20" s="14" t="s">
        <v>104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('24Oct240060','040000184640','1',(select max(to_number(i.premium_rcv_detail_code))+1
from ins_premium_det i),'1','1','02', '11000003','00','Request by Mr. Omair Ali 24-Aug-2024');</v>
      </c>
      <c r="H20" s="19" t="str">
        <f t="shared" si="3"/>
        <v>insert into ins_premium_det (premium_rcv_code,assorted_code, rec_amount,premium_rcv_detail_code,remaining_amt, payrec, mode_code,coinsurance_code,class_cd,it_remarks) values('24Oct240060','040000184640','1',(select max(to_number(i.premium_rcv_detail_code))+1
from ins_premium_det i),'1','1','02', '11000003','00','Request by Mr. Omair Ali 24-Aug-2024');</v>
      </c>
    </row>
    <row r="21" spans="1:8" ht="105" x14ac:dyDescent="0.25">
      <c r="A21" t="s">
        <v>22</v>
      </c>
      <c r="B21" s="15" t="str">
        <f>VLOOKUP(A21,policyP!B:C,2,0)</f>
        <v>040000184832</v>
      </c>
      <c r="C21" s="8">
        <v>1</v>
      </c>
      <c r="D21" s="16">
        <f t="shared" si="1"/>
        <v>1</v>
      </c>
      <c r="E21" s="14" t="s">
        <v>104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('24Oct240060','040000184832','1',(select max(to_number(i.premium_rcv_detail_code))+1
from ins_premium_det i),'1','1','02', '11000003','00','Request by Mr. Omair Ali 24-Aug-2024');</v>
      </c>
      <c r="H21" s="19" t="str">
        <f t="shared" si="3"/>
        <v>insert into ins_premium_det (premium_rcv_code,assorted_code, rec_amount,premium_rcv_detail_code,remaining_amt, payrec, mode_code,coinsurance_code,class_cd,it_remarks) values('24Oct240060','040000184832','1',(select max(to_number(i.premium_rcv_detail_code))+1
from ins_premium_det i),'1','1','02', '11000003','00','Request by Mr. Omair Ali 24-Aug-2024');</v>
      </c>
    </row>
    <row r="22" spans="1:8" ht="105" x14ac:dyDescent="0.25">
      <c r="A22" t="s">
        <v>23</v>
      </c>
      <c r="B22" s="15" t="str">
        <f>VLOOKUP(A22,policyP!B:C,2,0)</f>
        <v>040000185091</v>
      </c>
      <c r="C22" s="8">
        <v>29861</v>
      </c>
      <c r="D22" s="16">
        <f t="shared" si="1"/>
        <v>29861</v>
      </c>
      <c r="E22" s="14" t="s">
        <v>104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('24Oct240060','040000185091','29861',(select max(to_number(i.premium_rcv_detail_code))+1
from ins_premium_det i),'29861','29861','02', '11000003','00','Request by Mr. Omair Ali 24-Aug-2024');</v>
      </c>
      <c r="H22" s="19" t="str">
        <f t="shared" si="3"/>
        <v>insert into ins_premium_det (premium_rcv_code,assorted_code, rec_amount,premium_rcv_detail_code,remaining_amt, payrec, mode_code,coinsurance_code,class_cd,it_remarks) values('24Oct240060','040000185091','29861',(select max(to_number(i.premium_rcv_detail_code))+1
from ins_premium_det i),'29861','29861','02', '11000003','00','Request by Mr. Omair Ali 24-Aug-2024');</v>
      </c>
    </row>
    <row r="23" spans="1:8" ht="105" x14ac:dyDescent="0.25">
      <c r="A23" t="s">
        <v>24</v>
      </c>
      <c r="B23" s="15" t="str">
        <f>VLOOKUP(A23,policyP!B:C,2,0)</f>
        <v>040000185100</v>
      </c>
      <c r="C23" s="8">
        <v>10525</v>
      </c>
      <c r="D23" s="16">
        <f t="shared" si="1"/>
        <v>10525</v>
      </c>
      <c r="E23" s="14" t="s">
        <v>104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('24Oct240060','040000185100','10525',(select max(to_number(i.premium_rcv_detail_code))+1
from ins_premium_det i),'10525','10525','02', '11000003','00','Request by Mr. Omair Ali 24-Aug-2024');</v>
      </c>
      <c r="H23" s="19" t="str">
        <f t="shared" si="3"/>
        <v>insert into ins_premium_det (premium_rcv_code,assorted_code, rec_amount,premium_rcv_detail_code,remaining_amt, payrec, mode_code,coinsurance_code,class_cd,it_remarks) values('24Oct240060','040000185100','10525',(select max(to_number(i.premium_rcv_detail_code))+1
from ins_premium_det i),'10525','10525','02', '11000003','00','Request by Mr. Omair Ali 24-Aug-2024');</v>
      </c>
    </row>
    <row r="24" spans="1:8" ht="105" x14ac:dyDescent="0.25">
      <c r="A24" t="s">
        <v>25</v>
      </c>
      <c r="B24" s="15" t="str">
        <f>VLOOKUP(A24,policyP!B:C,2,0)</f>
        <v>040000185219</v>
      </c>
      <c r="C24" s="8">
        <v>2</v>
      </c>
      <c r="D24" s="16">
        <f t="shared" si="1"/>
        <v>2</v>
      </c>
      <c r="E24" s="14" t="s">
        <v>104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('24Oct240060','040000185219','2',(select max(to_number(i.premium_rcv_detail_code))+1
from ins_premium_det i),'2','2','02', '11000003','00','Request by Mr. Omair Ali 24-Aug-2024');</v>
      </c>
      <c r="H24" s="19" t="str">
        <f t="shared" si="3"/>
        <v>insert into ins_premium_det (premium_rcv_code,assorted_code, rec_amount,premium_rcv_detail_code,remaining_amt, payrec, mode_code,coinsurance_code,class_cd,it_remarks) values('24Oct240060','040000185219','2',(select max(to_number(i.premium_rcv_detail_code))+1
from ins_premium_det i),'2','2','02', '11000003','00','Request by Mr. Omair Ali 24-Aug-2024');</v>
      </c>
    </row>
    <row r="25" spans="1:8" ht="105" x14ac:dyDescent="0.25">
      <c r="A25" t="s">
        <v>26</v>
      </c>
      <c r="B25" s="15" t="str">
        <f>VLOOKUP(A25,policyP!B:C,2,0)</f>
        <v>040000185493</v>
      </c>
      <c r="C25" s="8">
        <v>18450</v>
      </c>
      <c r="D25" s="16">
        <f t="shared" si="1"/>
        <v>18450</v>
      </c>
      <c r="E25" s="14" t="s">
        <v>104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('24Oct240060','040000185493','18450',(select max(to_number(i.premium_rcv_detail_code))+1
from ins_premium_det i),'18450','18450','02', '11000003','00','Request by Mr. Omair Ali 24-Aug-2024');</v>
      </c>
      <c r="H25" s="19" t="str">
        <f t="shared" si="3"/>
        <v>insert into ins_premium_det (premium_rcv_code,assorted_code, rec_amount,premium_rcv_detail_code,remaining_amt, payrec, mode_code,coinsurance_code,class_cd,it_remarks) values('24Oct240060','040000185493','18450',(select max(to_number(i.premium_rcv_detail_code))+1
from ins_premium_det i),'18450','18450','02', '11000003','00','Request by Mr. Omair Ali 24-Aug-2024');</v>
      </c>
    </row>
    <row r="26" spans="1:8" ht="105" x14ac:dyDescent="0.25">
      <c r="A26" t="s">
        <v>27</v>
      </c>
      <c r="B26" s="15" t="str">
        <f>VLOOKUP(A26,policyP!B:C,2,0)</f>
        <v>040000185801</v>
      </c>
      <c r="C26" s="8">
        <v>13347</v>
      </c>
      <c r="D26" s="16">
        <f t="shared" si="1"/>
        <v>13347</v>
      </c>
      <c r="E26" s="14" t="s">
        <v>104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('24Oct240060','040000185801','13347',(select max(to_number(i.premium_rcv_detail_code))+1
from ins_premium_det i),'13347','13347','02', '11000003','00','Request by Mr. Omair Ali 24-Aug-2024');</v>
      </c>
      <c r="H26" s="19" t="str">
        <f t="shared" si="3"/>
        <v>insert into ins_premium_det (premium_rcv_code,assorted_code, rec_amount,premium_rcv_detail_code,remaining_amt, payrec, mode_code,coinsurance_code,class_cd,it_remarks) values('24Oct240060','040000185801','13347',(select max(to_number(i.premium_rcv_detail_code))+1
from ins_premium_det i),'13347','13347','02', '11000003','00','Request by Mr. Omair Ali 24-Aug-2024');</v>
      </c>
    </row>
    <row r="27" spans="1:8" ht="105" x14ac:dyDescent="0.25">
      <c r="A27" t="s">
        <v>28</v>
      </c>
      <c r="B27" s="15" t="str">
        <f>VLOOKUP(A27,policyP!B:C,2,0)</f>
        <v>040000185802</v>
      </c>
      <c r="C27" s="8">
        <v>42304</v>
      </c>
      <c r="D27" s="16">
        <f t="shared" si="1"/>
        <v>42304</v>
      </c>
      <c r="E27" s="14" t="s">
        <v>104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('24Oct240060','040000185802','42304',(select max(to_number(i.premium_rcv_detail_code))+1
from ins_premium_det i),'42304','42304','02', '11000003','00','Request by Mr. Omair Ali 24-Aug-2024');</v>
      </c>
      <c r="H27" s="19" t="str">
        <f t="shared" si="3"/>
        <v>insert into ins_premium_det (premium_rcv_code,assorted_code, rec_amount,premium_rcv_detail_code,remaining_amt, payrec, mode_code,coinsurance_code,class_cd,it_remarks) values('24Oct240060','040000185802','42304',(select max(to_number(i.premium_rcv_detail_code))+1
from ins_premium_det i),'42304','42304','02', '11000003','00','Request by Mr. Omair Ali 24-Aug-2024');</v>
      </c>
    </row>
    <row r="28" spans="1:8" ht="105" x14ac:dyDescent="0.25">
      <c r="A28" t="s">
        <v>29</v>
      </c>
      <c r="B28" s="15" t="str">
        <f>VLOOKUP(A28,policyP!B:C,2,0)</f>
        <v>040000186419</v>
      </c>
      <c r="C28" s="8">
        <v>30</v>
      </c>
      <c r="D28" s="16">
        <f t="shared" si="1"/>
        <v>30</v>
      </c>
      <c r="E28" s="14" t="s">
        <v>104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('24Oct240060','040000186419','30',(select max(to_number(i.premium_rcv_detail_code))+1
from ins_premium_det i),'30','30','02', '11000003','00','Request by Mr. Omair Ali 24-Aug-2024');</v>
      </c>
      <c r="H28" s="19" t="str">
        <f t="shared" si="3"/>
        <v>insert into ins_premium_det (premium_rcv_code,assorted_code, rec_amount,premium_rcv_detail_code,remaining_amt, payrec, mode_code,coinsurance_code,class_cd,it_remarks) values('24Oct240060','040000186419','30',(select max(to_number(i.premium_rcv_detail_code))+1
from ins_premium_det i),'30','30','02', '11000003','00','Request by Mr. Omair Ali 24-Aug-2024');</v>
      </c>
    </row>
    <row r="29" spans="1:8" ht="105" x14ac:dyDescent="0.25">
      <c r="A29" t="s">
        <v>30</v>
      </c>
      <c r="B29" s="15" t="str">
        <f>VLOOKUP(A29,policyP!B:C,2,0)</f>
        <v>040000186509</v>
      </c>
      <c r="C29" s="8">
        <v>1</v>
      </c>
      <c r="D29" s="16">
        <f t="shared" si="1"/>
        <v>1</v>
      </c>
      <c r="E29" s="14" t="s">
        <v>104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('24Oct240060','040000186509','1',(select max(to_number(i.premium_rcv_detail_code))+1
from ins_premium_det i),'1','1','02', '11000003','00','Request by Mr. Omair Ali 24-Aug-2024');</v>
      </c>
      <c r="H29" s="19" t="str">
        <f t="shared" si="3"/>
        <v>insert into ins_premium_det (premium_rcv_code,assorted_code, rec_amount,premium_rcv_detail_code,remaining_amt, payrec, mode_code,coinsurance_code,class_cd,it_remarks) values('24Oct240060','040000186509','1',(select max(to_number(i.premium_rcv_detail_code))+1
from ins_premium_det i),'1','1','02', '11000003','00','Request by Mr. Omair Ali 24-Aug-2024');</v>
      </c>
    </row>
    <row r="30" spans="1:8" ht="105" x14ac:dyDescent="0.25">
      <c r="A30" t="s">
        <v>51</v>
      </c>
      <c r="B30" s="15" t="str">
        <f>VLOOKUP(A30,policyP!B:C,2,0)</f>
        <v>040000183037</v>
      </c>
      <c r="C30" s="8">
        <v>10000</v>
      </c>
      <c r="D30" s="16">
        <f t="shared" si="1"/>
        <v>10000</v>
      </c>
      <c r="E30" s="14" t="s">
        <v>104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('24Oct240060','040000183037','10000',(select max(to_number(i.premium_rcv_detail_code))+1
from ins_premium_det i),'10000','10000','02', '11000003','00','Request by Mr. Omair Ali 24-Aug-2024');</v>
      </c>
      <c r="H30" s="19" t="str">
        <f t="shared" si="3"/>
        <v>insert into ins_premium_det (premium_rcv_code,assorted_code, rec_amount,premium_rcv_detail_code,remaining_amt, payrec, mode_code,coinsurance_code,class_cd,it_remarks) values('24Oct240060','040000183037','10000',(select max(to_number(i.premium_rcv_detail_code))+1
from ins_premium_det i),'10000','10000','02', '11000003','00','Request by Mr. Omair Ali 24-Aug-2024');</v>
      </c>
    </row>
    <row r="31" spans="1:8" ht="105" x14ac:dyDescent="0.25">
      <c r="A31" t="s">
        <v>52</v>
      </c>
      <c r="B31" s="15" t="str">
        <f>VLOOKUP(A31,policyP!B:C,2,0)</f>
        <v>040000183468</v>
      </c>
      <c r="C31" s="8">
        <v>8272</v>
      </c>
      <c r="D31" s="16">
        <f t="shared" si="1"/>
        <v>8272</v>
      </c>
      <c r="E31" s="14" t="s">
        <v>104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('24Oct240060','040000183468','8272',(select max(to_number(i.premium_rcv_detail_code))+1
from ins_premium_det i),'8272','8272','02', '11000003','00','Request by Mr. Omair Ali 24-Aug-2024');</v>
      </c>
      <c r="H31" s="19" t="str">
        <f t="shared" si="3"/>
        <v>insert into ins_premium_det (premium_rcv_code,assorted_code, rec_amount,premium_rcv_detail_code,remaining_amt, payrec, mode_code,coinsurance_code,class_cd,it_remarks) values('24Oct240060','040000183468','8272',(select max(to_number(i.premium_rcv_detail_code))+1
from ins_premium_det i),'8272','8272','02', '11000003','00','Request by Mr. Omair Ali 24-Aug-2024');</v>
      </c>
    </row>
    <row r="32" spans="1:8" ht="105" x14ac:dyDescent="0.25">
      <c r="A32" t="s">
        <v>55</v>
      </c>
      <c r="B32" s="15" t="str">
        <f>VLOOKUP(A32,policyP!B:C,2,0)</f>
        <v>040000166787</v>
      </c>
      <c r="C32" s="8">
        <v>2891</v>
      </c>
      <c r="D32" s="16">
        <f t="shared" si="1"/>
        <v>2891</v>
      </c>
      <c r="E32" s="14" t="s">
        <v>104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('24Oct240060','040000166787','2891',(select max(to_number(i.premium_rcv_detail_code))+1
from ins_premium_det i),'2891','2891','02', '11000003','00','Request by Mr. Omair Ali 24-Aug-2024');</v>
      </c>
      <c r="H32" s="19" t="str">
        <f t="shared" si="3"/>
        <v>insert into ins_premium_det (premium_rcv_code,assorted_code, rec_amount,premium_rcv_detail_code,remaining_amt, payrec, mode_code,coinsurance_code,class_cd,it_remarks) values('24Oct240060','040000166787','2891',(select max(to_number(i.premium_rcv_detail_code))+1
from ins_premium_det i),'2891','2891','02', '11000003','00','Request by Mr. Omair Ali 24-Aug-2024');</v>
      </c>
    </row>
    <row r="34" spans="3:3" x14ac:dyDescent="0.25">
      <c r="C34" s="26">
        <f>SUM(C2:C32)</f>
        <v>406256</v>
      </c>
    </row>
  </sheetData>
  <conditionalFormatting sqref="A1">
    <cfRule type="duplicateValues" dxfId="5" priority="1"/>
  </conditionalFormatting>
  <conditionalFormatting sqref="A2:B2 B3:B32">
    <cfRule type="duplicateValues" dxfId="4" priority="2"/>
    <cfRule type="duplicateValues" dxfId="3" priority="3"/>
    <cfRule type="duplicateValues" dxfId="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BF8F-EDF9-4635-8CD3-F77750A71BAD}">
  <dimension ref="A1:H34"/>
  <sheetViews>
    <sheetView tabSelected="1" topLeftCell="F1" workbookViewId="0">
      <selection activeCell="H3" sqref="H3"/>
    </sheetView>
  </sheetViews>
  <sheetFormatPr defaultRowHeight="15" x14ac:dyDescent="0.25"/>
  <cols>
    <col min="1" max="1" width="38.710937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9" bestFit="1" customWidth="1"/>
    <col min="6" max="6" width="100" customWidth="1"/>
    <col min="7" max="7" width="90.7109375" customWidth="1"/>
    <col min="8" max="8" width="81.42578125" customWidth="1"/>
  </cols>
  <sheetData>
    <row r="1" spans="1:8" x14ac:dyDescent="0.25">
      <c r="A1" s="12" t="s">
        <v>101</v>
      </c>
      <c r="B1" t="s">
        <v>102</v>
      </c>
      <c r="C1" s="13" t="s">
        <v>129</v>
      </c>
      <c r="D1" s="20" t="s">
        <v>104</v>
      </c>
      <c r="E1" s="20"/>
    </row>
    <row r="2" spans="1:8" ht="114.75" customHeight="1" x14ac:dyDescent="0.25">
      <c r="A2" t="s">
        <v>3</v>
      </c>
      <c r="B2" s="21" t="str">
        <f>VLOOKUP(A2,plicyC!B:D,2,0)</f>
        <v>040000171867</v>
      </c>
      <c r="C2" s="8">
        <v>20389</v>
      </c>
      <c r="D2" s="20" t="s">
        <v>104</v>
      </c>
      <c r="E2" s="22" t="str">
        <f>VLOOKUP(A2,plicyC!B:D,3,0)</f>
        <v>09000521</v>
      </c>
      <c r="F2" s="23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24" t="str">
        <f>"('"&amp;D1&amp;"','"&amp;B2&amp;"','"&amp;C2&amp;"',(select max(to_number(i.premium_rcv_detail_code))+1 from ins_premium_det i),'"&amp;C2&amp;"','"&amp;C2&amp;"','03', '"&amp;E2&amp;"','00');"</f>
        <v>('24Oct240060','040000171867','20389',(select max(to_number(i.premium_rcv_detail_code))+1 from ins_premium_det i),'20389','20389','03', '09000521','00');</v>
      </c>
      <c r="H2" s="25" t="str">
        <f t="shared" ref="H2:H32" si="0">F2&amp;G2</f>
        <v>insert into ins_premium_det (premium_rcv_code,assorted_code, rec_amount,premium_rcv_detail_code,remaining_amt, payrec, mode_code,paid_to_code,class_cd) values('24Oct240060','040000171867','20389',(select max(to_number(i.premium_rcv_detail_code))+1 from ins_premium_det i),'20389','20389','03', '09000521','00');</v>
      </c>
    </row>
    <row r="3" spans="1:8" ht="75" x14ac:dyDescent="0.25">
      <c r="A3" t="s">
        <v>4</v>
      </c>
      <c r="B3" s="21" t="str">
        <f>VLOOKUP(A3,plicyC!B:D,2,0)</f>
        <v>040000174572</v>
      </c>
      <c r="C3" s="8">
        <v>7452</v>
      </c>
      <c r="D3" s="20" t="s">
        <v>104</v>
      </c>
      <c r="E3" s="22" t="str">
        <f>VLOOKUP(A3,plicyC!B:D,3,0)</f>
        <v>09000732</v>
      </c>
      <c r="F3" s="23" t="str">
        <f t="shared" ref="F3:F32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24" t="str">
        <f t="shared" ref="G3:G32" si="2">"('"&amp;D2&amp;"','"&amp;B3&amp;"','"&amp;C3&amp;"',(select max(to_number(i.premium_rcv_detail_code))+1 from ins_premium_det i),'"&amp;C3&amp;"','"&amp;C3&amp;"','03', '"&amp;E3&amp;"','00');"</f>
        <v>('24Oct240060','040000174572','7452',(select max(to_number(i.premium_rcv_detail_code))+1 from ins_premium_det i),'7452','7452','03', '09000732','00');</v>
      </c>
      <c r="H3" s="25" t="str">
        <f t="shared" si="0"/>
        <v>insert into ins_premium_det (premium_rcv_code,assorted_code, rec_amount,premium_rcv_detail_code,remaining_amt, payrec, mode_code,paid_to_code,class_cd) values('24Oct240060','040000174572','7452',(select max(to_number(i.premium_rcv_detail_code))+1 from ins_premium_det i),'7452','7452','03', '09000732','00');</v>
      </c>
    </row>
    <row r="4" spans="1:8" ht="75" x14ac:dyDescent="0.25">
      <c r="A4" t="s">
        <v>5</v>
      </c>
      <c r="B4" s="21" t="str">
        <f>VLOOKUP(A4,plicyC!B:D,2,0)</f>
        <v>040000174574</v>
      </c>
      <c r="C4" s="8">
        <v>11581</v>
      </c>
      <c r="D4" s="20" t="s">
        <v>104</v>
      </c>
      <c r="E4" s="22" t="str">
        <f>VLOOKUP(A4,plicyC!B:D,3,0)</f>
        <v>09000818</v>
      </c>
      <c r="F4" s="23" t="str">
        <f t="shared" si="1"/>
        <v>insert into ins_premium_det (premium_rcv_code,assorted_code, rec_amount,premium_rcv_detail_code,remaining_amt, payrec, mode_code,paid_to_code,class_cd) values</v>
      </c>
      <c r="G4" s="24" t="str">
        <f t="shared" si="2"/>
        <v>('24Oct240060','040000174574','11581',(select max(to_number(i.premium_rcv_detail_code))+1 from ins_premium_det i),'11581','11581','03', '09000818','00');</v>
      </c>
      <c r="H4" s="25" t="str">
        <f t="shared" si="0"/>
        <v>insert into ins_premium_det (premium_rcv_code,assorted_code, rec_amount,premium_rcv_detail_code,remaining_amt, payrec, mode_code,paid_to_code,class_cd) values('24Oct240060','040000174574','11581',(select max(to_number(i.premium_rcv_detail_code))+1 from ins_premium_det i),'11581','11581','03', '09000818','00');</v>
      </c>
    </row>
    <row r="5" spans="1:8" ht="75" x14ac:dyDescent="0.25">
      <c r="A5" t="s">
        <v>6</v>
      </c>
      <c r="B5" s="21" t="str">
        <f>VLOOKUP(A5,plicyC!B:D,2,0)</f>
        <v>040000174576</v>
      </c>
      <c r="C5" s="8">
        <v>6632</v>
      </c>
      <c r="D5" s="20" t="s">
        <v>104</v>
      </c>
      <c r="E5" s="22" t="str">
        <f>VLOOKUP(A5,plicyC!B:D,3,0)</f>
        <v>09000732</v>
      </c>
      <c r="F5" s="23" t="str">
        <f t="shared" si="1"/>
        <v>insert into ins_premium_det (premium_rcv_code,assorted_code, rec_amount,premium_rcv_detail_code,remaining_amt, payrec, mode_code,paid_to_code,class_cd) values</v>
      </c>
      <c r="G5" s="24" t="str">
        <f t="shared" si="2"/>
        <v>('24Oct240060','040000174576','6632',(select max(to_number(i.premium_rcv_detail_code))+1 from ins_premium_det i),'6632','6632','03', '09000732','00');</v>
      </c>
      <c r="H5" s="25" t="str">
        <f t="shared" si="0"/>
        <v>insert into ins_premium_det (premium_rcv_code,assorted_code, rec_amount,premium_rcv_detail_code,remaining_amt, payrec, mode_code,paid_to_code,class_cd) values('24Oct240060','040000174576','6632',(select max(to_number(i.premium_rcv_detail_code))+1 from ins_premium_det i),'6632','6632','03', '09000732','00');</v>
      </c>
    </row>
    <row r="6" spans="1:8" ht="75" x14ac:dyDescent="0.25">
      <c r="A6" t="s">
        <v>7</v>
      </c>
      <c r="B6" s="21" t="str">
        <f>VLOOKUP(A6,plicyC!B:D,2,0)</f>
        <v>040000174817</v>
      </c>
      <c r="C6" s="8">
        <v>8753</v>
      </c>
      <c r="D6" s="20" t="s">
        <v>104</v>
      </c>
      <c r="E6" s="22" t="str">
        <f>VLOOKUP(A6,plicyC!B:D,3,0)</f>
        <v>09000845</v>
      </c>
      <c r="F6" s="23" t="str">
        <f t="shared" si="1"/>
        <v>insert into ins_premium_det (premium_rcv_code,assorted_code, rec_amount,premium_rcv_detail_code,remaining_amt, payrec, mode_code,paid_to_code,class_cd) values</v>
      </c>
      <c r="G6" s="24" t="str">
        <f t="shared" si="2"/>
        <v>('24Oct240060','040000174817','8753',(select max(to_number(i.premium_rcv_detail_code))+1 from ins_premium_det i),'8753','8753','03', '09000845','00');</v>
      </c>
      <c r="H6" s="25" t="str">
        <f t="shared" si="0"/>
        <v>insert into ins_premium_det (premium_rcv_code,assorted_code, rec_amount,premium_rcv_detail_code,remaining_amt, payrec, mode_code,paid_to_code,class_cd) values('24Oct240060','040000174817','8753',(select max(to_number(i.premium_rcv_detail_code))+1 from ins_premium_det i),'8753','8753','03', '09000845','00');</v>
      </c>
    </row>
    <row r="7" spans="1:8" ht="75" x14ac:dyDescent="0.25">
      <c r="A7" t="s">
        <v>8</v>
      </c>
      <c r="B7" s="21" t="str">
        <f>VLOOKUP(A7,plicyC!B:D,2,0)</f>
        <v>040000174819</v>
      </c>
      <c r="C7" s="8">
        <v>12247</v>
      </c>
      <c r="D7" s="20" t="s">
        <v>104</v>
      </c>
      <c r="E7" s="22" t="str">
        <f>VLOOKUP(A7,plicyC!B:D,3,0)</f>
        <v>09000845</v>
      </c>
      <c r="F7" s="23" t="str">
        <f t="shared" si="1"/>
        <v>insert into ins_premium_det (premium_rcv_code,assorted_code, rec_amount,premium_rcv_detail_code,remaining_amt, payrec, mode_code,paid_to_code,class_cd) values</v>
      </c>
      <c r="G7" s="24" t="str">
        <f t="shared" si="2"/>
        <v>('24Oct240060','040000174819','12247',(select max(to_number(i.premium_rcv_detail_code))+1 from ins_premium_det i),'12247','12247','03', '09000845','00');</v>
      </c>
      <c r="H7" s="25" t="str">
        <f t="shared" si="0"/>
        <v>insert into ins_premium_det (premium_rcv_code,assorted_code, rec_amount,premium_rcv_detail_code,remaining_amt, payrec, mode_code,paid_to_code,class_cd) values('24Oct240060','040000174819','12247',(select max(to_number(i.premium_rcv_detail_code))+1 from ins_premium_det i),'12247','12247','03', '09000845','00');</v>
      </c>
    </row>
    <row r="8" spans="1:8" ht="75" x14ac:dyDescent="0.25">
      <c r="A8" t="s">
        <v>9</v>
      </c>
      <c r="B8" s="21" t="str">
        <f>VLOOKUP(A8,plicyC!B:D,2,0)</f>
        <v>040000175708</v>
      </c>
      <c r="C8" s="8">
        <v>8881</v>
      </c>
      <c r="D8" s="20" t="s">
        <v>104</v>
      </c>
      <c r="E8" s="22" t="str">
        <f>VLOOKUP(A8,plicyC!B:D,3,0)</f>
        <v>09000845</v>
      </c>
      <c r="F8" s="23" t="str">
        <f t="shared" si="1"/>
        <v>insert into ins_premium_det (premium_rcv_code,assorted_code, rec_amount,premium_rcv_detail_code,remaining_amt, payrec, mode_code,paid_to_code,class_cd) values</v>
      </c>
      <c r="G8" s="24" t="str">
        <f t="shared" si="2"/>
        <v>('24Oct240060','040000175708','8881',(select max(to_number(i.premium_rcv_detail_code))+1 from ins_premium_det i),'8881','8881','03', '09000845','00');</v>
      </c>
      <c r="H8" s="25" t="str">
        <f t="shared" si="0"/>
        <v>insert into ins_premium_det (premium_rcv_code,assorted_code, rec_amount,premium_rcv_detail_code,remaining_amt, payrec, mode_code,paid_to_code,class_cd) values('24Oct240060','040000175708','8881',(select max(to_number(i.premium_rcv_detail_code))+1 from ins_premium_det i),'8881','8881','03', '09000845','00');</v>
      </c>
    </row>
    <row r="9" spans="1:8" ht="75" x14ac:dyDescent="0.25">
      <c r="A9" t="s">
        <v>10</v>
      </c>
      <c r="B9" s="21" t="str">
        <f>VLOOKUP(A9,plicyC!B:D,2,0)</f>
        <v>040000183328</v>
      </c>
      <c r="C9" s="8">
        <v>17000</v>
      </c>
      <c r="D9" s="20" t="s">
        <v>104</v>
      </c>
      <c r="E9" s="22" t="str">
        <f>VLOOKUP(A9,plicyC!B:D,3,0)</f>
        <v>09000862</v>
      </c>
      <c r="F9" s="23" t="str">
        <f t="shared" si="1"/>
        <v>insert into ins_premium_det (premium_rcv_code,assorted_code, rec_amount,premium_rcv_detail_code,remaining_amt, payrec, mode_code,paid_to_code,class_cd) values</v>
      </c>
      <c r="G9" s="24" t="str">
        <f t="shared" si="2"/>
        <v>('24Oct240060','040000183328','17000',(select max(to_number(i.premium_rcv_detail_code))+1 from ins_premium_det i),'17000','17000','03', '09000862','00');</v>
      </c>
      <c r="H9" s="25" t="str">
        <f t="shared" si="0"/>
        <v>insert into ins_premium_det (premium_rcv_code,assorted_code, rec_amount,premium_rcv_detail_code,remaining_amt, payrec, mode_code,paid_to_code,class_cd) values('24Oct240060','040000183328','17000',(select max(to_number(i.premium_rcv_detail_code))+1 from ins_premium_det i),'17000','17000','03', '09000862','00');</v>
      </c>
    </row>
    <row r="10" spans="1:8" ht="75" x14ac:dyDescent="0.25">
      <c r="A10" t="s">
        <v>11</v>
      </c>
      <c r="B10" s="21" t="str">
        <f>VLOOKUP(A10,plicyC!B:D,2,0)</f>
        <v>040000183330</v>
      </c>
      <c r="C10" s="8">
        <v>18500</v>
      </c>
      <c r="D10" s="20" t="s">
        <v>104</v>
      </c>
      <c r="E10" s="22" t="str">
        <f>VLOOKUP(A10,plicyC!B:D,3,0)</f>
        <v>09000862</v>
      </c>
      <c r="F10" s="23" t="str">
        <f t="shared" si="1"/>
        <v>insert into ins_premium_det (premium_rcv_code,assorted_code, rec_amount,premium_rcv_detail_code,remaining_amt, payrec, mode_code,paid_to_code,class_cd) values</v>
      </c>
      <c r="G10" s="24" t="str">
        <f t="shared" si="2"/>
        <v>('24Oct240060','040000183330','18500',(select max(to_number(i.premium_rcv_detail_code))+1 from ins_premium_det i),'18500','18500','03', '09000862','00');</v>
      </c>
      <c r="H10" s="25" t="str">
        <f t="shared" si="0"/>
        <v>insert into ins_premium_det (premium_rcv_code,assorted_code, rec_amount,premium_rcv_detail_code,remaining_amt, payrec, mode_code,paid_to_code,class_cd) values('24Oct240060','040000183330','18500',(select max(to_number(i.premium_rcv_detail_code))+1 from ins_premium_det i),'18500','18500','03', '09000862','00');</v>
      </c>
    </row>
    <row r="11" spans="1:8" ht="75" x14ac:dyDescent="0.25">
      <c r="A11" t="s">
        <v>12</v>
      </c>
      <c r="B11" s="21" t="str">
        <f>VLOOKUP(A11,plicyC!B:D,2,0)</f>
        <v>040000183452</v>
      </c>
      <c r="C11" s="8">
        <v>31500</v>
      </c>
      <c r="D11" s="20" t="s">
        <v>104</v>
      </c>
      <c r="E11" s="22" t="str">
        <f>VLOOKUP(A11,plicyC!B:D,3,0)</f>
        <v>09000845</v>
      </c>
      <c r="F11" s="23" t="str">
        <f t="shared" si="1"/>
        <v>insert into ins_premium_det (premium_rcv_code,assorted_code, rec_amount,premium_rcv_detail_code,remaining_amt, payrec, mode_code,paid_to_code,class_cd) values</v>
      </c>
      <c r="G11" s="24" t="str">
        <f t="shared" si="2"/>
        <v>('24Oct240060','040000183452','31500',(select max(to_number(i.premium_rcv_detail_code))+1 from ins_premium_det i),'31500','31500','03', '09000845','00');</v>
      </c>
      <c r="H11" s="25" t="str">
        <f t="shared" si="0"/>
        <v>insert into ins_premium_det (premium_rcv_code,assorted_code, rec_amount,premium_rcv_detail_code,remaining_amt, payrec, mode_code,paid_to_code,class_cd) values('24Oct240060','040000183452','31500',(select max(to_number(i.premium_rcv_detail_code))+1 from ins_premium_det i),'31500','31500','03', '09000845','00');</v>
      </c>
    </row>
    <row r="12" spans="1:8" ht="75" x14ac:dyDescent="0.25">
      <c r="A12" t="s">
        <v>13</v>
      </c>
      <c r="B12" s="21" t="str">
        <f>VLOOKUP(A12,plicyC!B:D,2,0)</f>
        <v>040000183453</v>
      </c>
      <c r="C12" s="8">
        <v>12436</v>
      </c>
      <c r="D12" s="20" t="s">
        <v>104</v>
      </c>
      <c r="E12" s="22" t="str">
        <f>VLOOKUP(A12,plicyC!B:D,3,0)</f>
        <v>09000845</v>
      </c>
      <c r="F12" s="23" t="str">
        <f t="shared" si="1"/>
        <v>insert into ins_premium_det (premium_rcv_code,assorted_code, rec_amount,premium_rcv_detail_code,remaining_amt, payrec, mode_code,paid_to_code,class_cd) values</v>
      </c>
      <c r="G12" s="24" t="str">
        <f t="shared" si="2"/>
        <v>('24Oct240060','040000183453','12436',(select max(to_number(i.premium_rcv_detail_code))+1 from ins_premium_det i),'12436','12436','03', '09000845','00');</v>
      </c>
      <c r="H12" s="25" t="str">
        <f t="shared" si="0"/>
        <v>insert into ins_premium_det (premium_rcv_code,assorted_code, rec_amount,premium_rcv_detail_code,remaining_amt, payrec, mode_code,paid_to_code,class_cd) values('24Oct240060','040000183453','12436',(select max(to_number(i.premium_rcv_detail_code))+1 from ins_premium_det i),'12436','12436','03', '09000845','00');</v>
      </c>
    </row>
    <row r="13" spans="1:8" ht="75" x14ac:dyDescent="0.25">
      <c r="A13" t="s">
        <v>14</v>
      </c>
      <c r="B13" s="21" t="str">
        <f>VLOOKUP(A13,plicyC!B:D,2,0)</f>
        <v>040000183776</v>
      </c>
      <c r="C13" s="8">
        <v>34000</v>
      </c>
      <c r="D13" s="20" t="s">
        <v>104</v>
      </c>
      <c r="E13" s="22" t="str">
        <f>VLOOKUP(A13,plicyC!B:D,3,0)</f>
        <v>09000925</v>
      </c>
      <c r="F13" s="23" t="str">
        <f t="shared" si="1"/>
        <v>insert into ins_premium_det (premium_rcv_code,assorted_code, rec_amount,premium_rcv_detail_code,remaining_amt, payrec, mode_code,paid_to_code,class_cd) values</v>
      </c>
      <c r="G13" s="24" t="str">
        <f t="shared" si="2"/>
        <v>('24Oct240060','040000183776','34000',(select max(to_number(i.premium_rcv_detail_code))+1 from ins_premium_det i),'34000','34000','03', '09000925','00');</v>
      </c>
      <c r="H13" s="25" t="str">
        <f t="shared" si="0"/>
        <v>insert into ins_premium_det (premium_rcv_code,assorted_code, rec_amount,premium_rcv_detail_code,remaining_amt, payrec, mode_code,paid_to_code,class_cd) values('24Oct240060','040000183776','34000',(select max(to_number(i.premium_rcv_detail_code))+1 from ins_premium_det i),'34000','34000','03', '09000925','00');</v>
      </c>
    </row>
    <row r="14" spans="1:8" ht="75" x14ac:dyDescent="0.25">
      <c r="A14" t="s">
        <v>15</v>
      </c>
      <c r="B14" s="21" t="str">
        <f>VLOOKUP(A14,plicyC!B:D,2,0)</f>
        <v>040000183817</v>
      </c>
      <c r="C14" s="8">
        <v>7580</v>
      </c>
      <c r="D14" s="20" t="s">
        <v>104</v>
      </c>
      <c r="E14" s="22" t="str">
        <f>VLOOKUP(A14,plicyC!B:D,3,0)</f>
        <v>09000521</v>
      </c>
      <c r="F14" s="23" t="str">
        <f t="shared" si="1"/>
        <v>insert into ins_premium_det (premium_rcv_code,assorted_code, rec_amount,premium_rcv_detail_code,remaining_amt, payrec, mode_code,paid_to_code,class_cd) values</v>
      </c>
      <c r="G14" s="24" t="str">
        <f t="shared" si="2"/>
        <v>('24Oct240060','040000183817','7580',(select max(to_number(i.premium_rcv_detail_code))+1 from ins_premium_det i),'7580','7580','03', '09000521','00');</v>
      </c>
      <c r="H14" s="25" t="str">
        <f t="shared" si="0"/>
        <v>insert into ins_premium_det (premium_rcv_code,assorted_code, rec_amount,premium_rcv_detail_code,remaining_amt, payrec, mode_code,paid_to_code,class_cd) values('24Oct240060','040000183817','7580',(select max(to_number(i.premium_rcv_detail_code))+1 from ins_premium_det i),'7580','7580','03', '09000521','00');</v>
      </c>
    </row>
    <row r="15" spans="1:8" ht="75" x14ac:dyDescent="0.25">
      <c r="A15" t="s">
        <v>16</v>
      </c>
      <c r="B15" s="21" t="str">
        <f>VLOOKUP(A15,plicyC!B:D,2,0)</f>
        <v>040000183820</v>
      </c>
      <c r="C15" s="8">
        <v>4511</v>
      </c>
      <c r="D15" s="20" t="s">
        <v>104</v>
      </c>
      <c r="E15" s="22" t="str">
        <f>VLOOKUP(A15,plicyC!B:D,3,0)</f>
        <v>09000521</v>
      </c>
      <c r="F15" s="23" t="str">
        <f t="shared" si="1"/>
        <v>insert into ins_premium_det (premium_rcv_code,assorted_code, rec_amount,premium_rcv_detail_code,remaining_amt, payrec, mode_code,paid_to_code,class_cd) values</v>
      </c>
      <c r="G15" s="24" t="str">
        <f t="shared" si="2"/>
        <v>('24Oct240060','040000183820','4511',(select max(to_number(i.premium_rcv_detail_code))+1 from ins_premium_det i),'4511','4511','03', '09000521','00');</v>
      </c>
      <c r="H15" s="25" t="str">
        <f t="shared" si="0"/>
        <v>insert into ins_premium_det (premium_rcv_code,assorted_code, rec_amount,premium_rcv_detail_code,remaining_amt, payrec, mode_code,paid_to_code,class_cd) values('24Oct240060','040000183820','4511',(select max(to_number(i.premium_rcv_detail_code))+1 from ins_premium_det i),'4511','4511','03', '09000521','00');</v>
      </c>
    </row>
    <row r="16" spans="1:8" ht="75" x14ac:dyDescent="0.25">
      <c r="A16" t="s">
        <v>17</v>
      </c>
      <c r="B16" s="21" t="str">
        <f>VLOOKUP(A16,plicyC!B:D,2,0)</f>
        <v>040000183822</v>
      </c>
      <c r="C16" s="8">
        <v>4295</v>
      </c>
      <c r="D16" s="20" t="s">
        <v>104</v>
      </c>
      <c r="E16" s="22" t="str">
        <f>VLOOKUP(A16,plicyC!B:D,3,0)</f>
        <v>09000521</v>
      </c>
      <c r="F16" s="23" t="str">
        <f t="shared" si="1"/>
        <v>insert into ins_premium_det (premium_rcv_code,assorted_code, rec_amount,premium_rcv_detail_code,remaining_amt, payrec, mode_code,paid_to_code,class_cd) values</v>
      </c>
      <c r="G16" s="24" t="str">
        <f t="shared" si="2"/>
        <v>('24Oct240060','040000183822','4295',(select max(to_number(i.premium_rcv_detail_code))+1 from ins_premium_det i),'4295','4295','03', '09000521','00');</v>
      </c>
      <c r="H16" s="25" t="str">
        <f t="shared" si="0"/>
        <v>insert into ins_premium_det (premium_rcv_code,assorted_code, rec_amount,premium_rcv_detail_code,remaining_amt, payrec, mode_code,paid_to_code,class_cd) values('24Oct240060','040000183822','4295',(select max(to_number(i.premium_rcv_detail_code))+1 from ins_premium_det i),'4295','4295','03', '09000521','00');</v>
      </c>
    </row>
    <row r="17" spans="1:8" ht="75" x14ac:dyDescent="0.25">
      <c r="A17" t="s">
        <v>18</v>
      </c>
      <c r="B17" s="21" t="str">
        <f>VLOOKUP(A17,plicyC!B:D,2,0)</f>
        <v>040000183912</v>
      </c>
      <c r="C17" s="8">
        <v>17362</v>
      </c>
      <c r="D17" s="20" t="s">
        <v>104</v>
      </c>
      <c r="E17" s="22" t="str">
        <f>VLOOKUP(A17,plicyC!B:D,3,0)</f>
        <v>09000925</v>
      </c>
      <c r="F17" s="23" t="str">
        <f t="shared" si="1"/>
        <v>insert into ins_premium_det (premium_rcv_code,assorted_code, rec_amount,premium_rcv_detail_code,remaining_amt, payrec, mode_code,paid_to_code,class_cd) values</v>
      </c>
      <c r="G17" s="24" t="str">
        <f t="shared" si="2"/>
        <v>('24Oct240060','040000183912','17362',(select max(to_number(i.premium_rcv_detail_code))+1 from ins_premium_det i),'17362','17362','03', '09000925','00');</v>
      </c>
      <c r="H17" s="25" t="str">
        <f t="shared" si="0"/>
        <v>insert into ins_premium_det (premium_rcv_code,assorted_code, rec_amount,premium_rcv_detail_code,remaining_amt, payrec, mode_code,paid_to_code,class_cd) values('24Oct240060','040000183912','17362',(select max(to_number(i.premium_rcv_detail_code))+1 from ins_premium_det i),'17362','17362','03', '09000925','00');</v>
      </c>
    </row>
    <row r="18" spans="1:8" ht="75" x14ac:dyDescent="0.25">
      <c r="A18" t="s">
        <v>19</v>
      </c>
      <c r="B18" s="21" t="str">
        <f>VLOOKUP(A18,plicyC!B:D,2,0)</f>
        <v>040000184441</v>
      </c>
      <c r="C18" s="8">
        <v>10468</v>
      </c>
      <c r="D18" s="20" t="s">
        <v>104</v>
      </c>
      <c r="E18" s="22" t="str">
        <f>VLOOKUP(A18,plicyC!B:D,3,0)</f>
        <v>09000478</v>
      </c>
      <c r="F18" s="23" t="str">
        <f t="shared" si="1"/>
        <v>insert into ins_premium_det (premium_rcv_code,assorted_code, rec_amount,premium_rcv_detail_code,remaining_amt, payrec, mode_code,paid_to_code,class_cd) values</v>
      </c>
      <c r="G18" s="24" t="str">
        <f t="shared" si="2"/>
        <v>('24Oct240060','040000184441','10468',(select max(to_number(i.premium_rcv_detail_code))+1 from ins_premium_det i),'10468','10468','03', '09000478','00');</v>
      </c>
      <c r="H18" s="25" t="str">
        <f t="shared" si="0"/>
        <v>insert into ins_premium_det (premium_rcv_code,assorted_code, rec_amount,premium_rcv_detail_code,remaining_amt, payrec, mode_code,paid_to_code,class_cd) values('24Oct240060','040000184441','10468',(select max(to_number(i.premium_rcv_detail_code))+1 from ins_premium_det i),'10468','10468','03', '09000478','00');</v>
      </c>
    </row>
    <row r="19" spans="1:8" ht="75" x14ac:dyDescent="0.25">
      <c r="A19" t="s">
        <v>20</v>
      </c>
      <c r="B19" s="21" t="str">
        <f>VLOOKUP(A19,plicyC!B:D,2,0)</f>
        <v>040000184442</v>
      </c>
      <c r="C19" s="8">
        <v>36984</v>
      </c>
      <c r="D19" s="20" t="s">
        <v>104</v>
      </c>
      <c r="E19" s="22" t="str">
        <f>VLOOKUP(A19,plicyC!B:D,3,0)</f>
        <v>09000918</v>
      </c>
      <c r="F19" s="23" t="str">
        <f t="shared" si="1"/>
        <v>insert into ins_premium_det (premium_rcv_code,assorted_code, rec_amount,premium_rcv_detail_code,remaining_amt, payrec, mode_code,paid_to_code,class_cd) values</v>
      </c>
      <c r="G19" s="24" t="str">
        <f t="shared" si="2"/>
        <v>('24Oct240060','040000184442','36984',(select max(to_number(i.premium_rcv_detail_code))+1 from ins_premium_det i),'36984','36984','03', '09000918','00');</v>
      </c>
      <c r="H19" s="25" t="str">
        <f t="shared" si="0"/>
        <v>insert into ins_premium_det (premium_rcv_code,assorted_code, rec_amount,premium_rcv_detail_code,remaining_amt, payrec, mode_code,paid_to_code,class_cd) values('24Oct240060','040000184442','36984',(select max(to_number(i.premium_rcv_detail_code))+1 from ins_premium_det i),'36984','36984','03', '09000918','00');</v>
      </c>
    </row>
    <row r="20" spans="1:8" ht="75" x14ac:dyDescent="0.25">
      <c r="A20" t="s">
        <v>21</v>
      </c>
      <c r="B20" s="21" t="str">
        <f>VLOOKUP(A20,plicyC!B:D,2,0)</f>
        <v>040000184640</v>
      </c>
      <c r="C20" s="8">
        <v>1</v>
      </c>
      <c r="D20" s="20" t="s">
        <v>104</v>
      </c>
      <c r="E20" s="22" t="str">
        <f>VLOOKUP(A20,plicyC!B:D,3,0)</f>
        <v>09000507</v>
      </c>
      <c r="F20" s="23" t="str">
        <f t="shared" si="1"/>
        <v>insert into ins_premium_det (premium_rcv_code,assorted_code, rec_amount,premium_rcv_detail_code,remaining_amt, payrec, mode_code,paid_to_code,class_cd) values</v>
      </c>
      <c r="G20" s="24" t="str">
        <f t="shared" si="2"/>
        <v>('24Oct240060','040000184640','1',(select max(to_number(i.premium_rcv_detail_code))+1 from ins_premium_det i),'1','1','03', '09000507','00');</v>
      </c>
      <c r="H20" s="25" t="str">
        <f t="shared" si="0"/>
        <v>insert into ins_premium_det (premium_rcv_code,assorted_code, rec_amount,premium_rcv_detail_code,remaining_amt, payrec, mode_code,paid_to_code,class_cd) values('24Oct240060','040000184640','1',(select max(to_number(i.premium_rcv_detail_code))+1 from ins_premium_det i),'1','1','03', '09000507','00');</v>
      </c>
    </row>
    <row r="21" spans="1:8" ht="75" x14ac:dyDescent="0.25">
      <c r="A21" t="s">
        <v>22</v>
      </c>
      <c r="B21" s="21" t="str">
        <f>VLOOKUP(A21,plicyC!B:D,2,0)</f>
        <v>040000184832</v>
      </c>
      <c r="C21" s="8">
        <v>1</v>
      </c>
      <c r="D21" s="20" t="s">
        <v>104</v>
      </c>
      <c r="E21" s="22" t="str">
        <f>VLOOKUP(A21,plicyC!B:D,3,0)</f>
        <v>09000896</v>
      </c>
      <c r="F21" s="23" t="str">
        <f t="shared" si="1"/>
        <v>insert into ins_premium_det (premium_rcv_code,assorted_code, rec_amount,premium_rcv_detail_code,remaining_amt, payrec, mode_code,paid_to_code,class_cd) values</v>
      </c>
      <c r="G21" s="24" t="str">
        <f t="shared" si="2"/>
        <v>('24Oct240060','040000184832','1',(select max(to_number(i.premium_rcv_detail_code))+1 from ins_premium_det i),'1','1','03', '09000896','00');</v>
      </c>
      <c r="H21" s="25" t="str">
        <f t="shared" si="0"/>
        <v>insert into ins_premium_det (premium_rcv_code,assorted_code, rec_amount,premium_rcv_detail_code,remaining_amt, payrec, mode_code,paid_to_code,class_cd) values('24Oct240060','040000184832','1',(select max(to_number(i.premium_rcv_detail_code))+1 from ins_premium_det i),'1','1','03', '09000896','00');</v>
      </c>
    </row>
    <row r="22" spans="1:8" ht="75" x14ac:dyDescent="0.25">
      <c r="A22" t="s">
        <v>23</v>
      </c>
      <c r="B22" s="21" t="str">
        <f>VLOOKUP(A22,plicyC!B:D,2,0)</f>
        <v>040000185091</v>
      </c>
      <c r="C22" s="8">
        <v>29861</v>
      </c>
      <c r="D22" s="20" t="s">
        <v>104</v>
      </c>
      <c r="E22" s="22" t="str">
        <f>VLOOKUP(A22,plicyC!B:D,3,0)</f>
        <v>09000923</v>
      </c>
      <c r="F22" s="23" t="str">
        <f t="shared" si="1"/>
        <v>insert into ins_premium_det (premium_rcv_code,assorted_code, rec_amount,premium_rcv_detail_code,remaining_amt, payrec, mode_code,paid_to_code,class_cd) values</v>
      </c>
      <c r="G22" s="24" t="str">
        <f t="shared" si="2"/>
        <v>('24Oct240060','040000185091','29861',(select max(to_number(i.premium_rcv_detail_code))+1 from ins_premium_det i),'29861','29861','03', '09000923','00');</v>
      </c>
      <c r="H22" s="25" t="str">
        <f t="shared" si="0"/>
        <v>insert into ins_premium_det (premium_rcv_code,assorted_code, rec_amount,premium_rcv_detail_code,remaining_amt, payrec, mode_code,paid_to_code,class_cd) values('24Oct240060','040000185091','29861',(select max(to_number(i.premium_rcv_detail_code))+1 from ins_premium_det i),'29861','29861','03', '09000923','00');</v>
      </c>
    </row>
    <row r="23" spans="1:8" ht="75" x14ac:dyDescent="0.25">
      <c r="A23" t="s">
        <v>24</v>
      </c>
      <c r="B23" s="21" t="str">
        <f>VLOOKUP(A23,plicyC!B:D,2,0)</f>
        <v>040000185100</v>
      </c>
      <c r="C23" s="8">
        <v>10525</v>
      </c>
      <c r="D23" s="20" t="s">
        <v>104</v>
      </c>
      <c r="E23" s="22" t="str">
        <f>VLOOKUP(A23,plicyC!B:D,3,0)</f>
        <v>09000928</v>
      </c>
      <c r="F23" s="23" t="str">
        <f t="shared" si="1"/>
        <v>insert into ins_premium_det (premium_rcv_code,assorted_code, rec_amount,premium_rcv_detail_code,remaining_amt, payrec, mode_code,paid_to_code,class_cd) values</v>
      </c>
      <c r="G23" s="24" t="str">
        <f t="shared" si="2"/>
        <v>('24Oct240060','040000185100','10525',(select max(to_number(i.premium_rcv_detail_code))+1 from ins_premium_det i),'10525','10525','03', '09000928','00');</v>
      </c>
      <c r="H23" s="25" t="str">
        <f t="shared" si="0"/>
        <v>insert into ins_premium_det (premium_rcv_code,assorted_code, rec_amount,premium_rcv_detail_code,remaining_amt, payrec, mode_code,paid_to_code,class_cd) values('24Oct240060','040000185100','10525',(select max(to_number(i.premium_rcv_detail_code))+1 from ins_premium_det i),'10525','10525','03', '09000928','00');</v>
      </c>
    </row>
    <row r="24" spans="1:8" ht="75" x14ac:dyDescent="0.25">
      <c r="A24" t="s">
        <v>25</v>
      </c>
      <c r="B24" s="21" t="str">
        <f>VLOOKUP(A24,plicyC!B:D,2,0)</f>
        <v>040000185219</v>
      </c>
      <c r="C24" s="8">
        <v>2</v>
      </c>
      <c r="D24" s="20" t="s">
        <v>104</v>
      </c>
      <c r="E24" s="22" t="str">
        <f>VLOOKUP(A24,plicyC!B:D,3,0)</f>
        <v>09000898</v>
      </c>
      <c r="F24" s="23" t="str">
        <f t="shared" si="1"/>
        <v>insert into ins_premium_det (premium_rcv_code,assorted_code, rec_amount,premium_rcv_detail_code,remaining_amt, payrec, mode_code,paid_to_code,class_cd) values</v>
      </c>
      <c r="G24" s="24" t="str">
        <f t="shared" si="2"/>
        <v>('24Oct240060','040000185219','2',(select max(to_number(i.premium_rcv_detail_code))+1 from ins_premium_det i),'2','2','03', '09000898','00');</v>
      </c>
      <c r="H24" s="25" t="str">
        <f t="shared" si="0"/>
        <v>insert into ins_premium_det (premium_rcv_code,assorted_code, rec_amount,premium_rcv_detail_code,remaining_amt, payrec, mode_code,paid_to_code,class_cd) values('24Oct240060','040000185219','2',(select max(to_number(i.premium_rcv_detail_code))+1 from ins_premium_det i),'2','2','03', '09000898','00');</v>
      </c>
    </row>
    <row r="25" spans="1:8" ht="75" x14ac:dyDescent="0.25">
      <c r="A25" t="s">
        <v>26</v>
      </c>
      <c r="B25" s="21" t="str">
        <f>VLOOKUP(A25,plicyC!B:D,2,0)</f>
        <v>040000185493</v>
      </c>
      <c r="C25" s="8">
        <v>18450</v>
      </c>
      <c r="D25" s="20" t="s">
        <v>104</v>
      </c>
      <c r="E25" s="22" t="str">
        <f>VLOOKUP(A25,plicyC!B:D,3,0)</f>
        <v>09000806</v>
      </c>
      <c r="F25" s="23" t="str">
        <f t="shared" si="1"/>
        <v>insert into ins_premium_det (premium_rcv_code,assorted_code, rec_amount,premium_rcv_detail_code,remaining_amt, payrec, mode_code,paid_to_code,class_cd) values</v>
      </c>
      <c r="G25" s="24" t="str">
        <f t="shared" si="2"/>
        <v>('24Oct240060','040000185493','18450',(select max(to_number(i.premium_rcv_detail_code))+1 from ins_premium_det i),'18450','18450','03', '09000806','00');</v>
      </c>
      <c r="H25" s="25" t="str">
        <f t="shared" si="0"/>
        <v>insert into ins_premium_det (premium_rcv_code,assorted_code, rec_amount,premium_rcv_detail_code,remaining_amt, payrec, mode_code,paid_to_code,class_cd) values('24Oct240060','040000185493','18450',(select max(to_number(i.premium_rcv_detail_code))+1 from ins_premium_det i),'18450','18450','03', '09000806','00');</v>
      </c>
    </row>
    <row r="26" spans="1:8" ht="75" x14ac:dyDescent="0.25">
      <c r="A26" t="s">
        <v>27</v>
      </c>
      <c r="B26" s="21" t="str">
        <f>VLOOKUP(A26,plicyC!B:D,2,0)</f>
        <v>040000185801</v>
      </c>
      <c r="C26" s="8">
        <v>13347</v>
      </c>
      <c r="D26" s="20" t="s">
        <v>104</v>
      </c>
      <c r="E26" s="22" t="str">
        <f>VLOOKUP(A26,plicyC!B:D,3,0)</f>
        <v>09000878</v>
      </c>
      <c r="F26" s="23" t="str">
        <f t="shared" si="1"/>
        <v>insert into ins_premium_det (premium_rcv_code,assorted_code, rec_amount,premium_rcv_detail_code,remaining_amt, payrec, mode_code,paid_to_code,class_cd) values</v>
      </c>
      <c r="G26" s="24" t="str">
        <f t="shared" si="2"/>
        <v>('24Oct240060','040000185801','13347',(select max(to_number(i.premium_rcv_detail_code))+1 from ins_premium_det i),'13347','13347','03', '09000878','00');</v>
      </c>
      <c r="H26" s="25" t="str">
        <f t="shared" si="0"/>
        <v>insert into ins_premium_det (premium_rcv_code,assorted_code, rec_amount,premium_rcv_detail_code,remaining_amt, payrec, mode_code,paid_to_code,class_cd) values('24Oct240060','040000185801','13347',(select max(to_number(i.premium_rcv_detail_code))+1 from ins_premium_det i),'13347','13347','03', '09000878','00');</v>
      </c>
    </row>
    <row r="27" spans="1:8" ht="75" x14ac:dyDescent="0.25">
      <c r="A27" t="s">
        <v>28</v>
      </c>
      <c r="B27" s="21" t="str">
        <f>VLOOKUP(A27,plicyC!B:D,2,0)</f>
        <v>040000185802</v>
      </c>
      <c r="C27" s="8">
        <v>42304</v>
      </c>
      <c r="D27" s="20" t="s">
        <v>104</v>
      </c>
      <c r="E27" s="22" t="str">
        <f>VLOOKUP(A27,plicyC!B:D,3,0)</f>
        <v>09000748</v>
      </c>
      <c r="F27" s="23" t="str">
        <f t="shared" si="1"/>
        <v>insert into ins_premium_det (premium_rcv_code,assorted_code, rec_amount,premium_rcv_detail_code,remaining_amt, payrec, mode_code,paid_to_code,class_cd) values</v>
      </c>
      <c r="G27" s="24" t="str">
        <f t="shared" si="2"/>
        <v>('24Oct240060','040000185802','42304',(select max(to_number(i.premium_rcv_detail_code))+1 from ins_premium_det i),'42304','42304','03', '09000748','00');</v>
      </c>
      <c r="H27" s="25" t="str">
        <f t="shared" si="0"/>
        <v>insert into ins_premium_det (premium_rcv_code,assorted_code, rec_amount,premium_rcv_detail_code,remaining_amt, payrec, mode_code,paid_to_code,class_cd) values('24Oct240060','040000185802','42304',(select max(to_number(i.premium_rcv_detail_code))+1 from ins_premium_det i),'42304','42304','03', '09000748','00');</v>
      </c>
    </row>
    <row r="28" spans="1:8" ht="75" x14ac:dyDescent="0.25">
      <c r="A28" t="s">
        <v>29</v>
      </c>
      <c r="B28" s="21" t="str">
        <f>VLOOKUP(A28,plicyC!B:D,2,0)</f>
        <v>040000186419</v>
      </c>
      <c r="C28" s="8">
        <v>30</v>
      </c>
      <c r="D28" s="20" t="s">
        <v>104</v>
      </c>
      <c r="E28" s="22" t="str">
        <f>VLOOKUP(A28,plicyC!B:D,3,0)</f>
        <v>09000210</v>
      </c>
      <c r="F28" s="23" t="str">
        <f t="shared" si="1"/>
        <v>insert into ins_premium_det (premium_rcv_code,assorted_code, rec_amount,premium_rcv_detail_code,remaining_amt, payrec, mode_code,paid_to_code,class_cd) values</v>
      </c>
      <c r="G28" s="24" t="str">
        <f t="shared" si="2"/>
        <v>('24Oct240060','040000186419','30',(select max(to_number(i.premium_rcv_detail_code))+1 from ins_premium_det i),'30','30','03', '09000210','00');</v>
      </c>
      <c r="H28" s="25" t="str">
        <f t="shared" si="0"/>
        <v>insert into ins_premium_det (premium_rcv_code,assorted_code, rec_amount,premium_rcv_detail_code,remaining_amt, payrec, mode_code,paid_to_code,class_cd) values('24Oct240060','040000186419','30',(select max(to_number(i.premium_rcv_detail_code))+1 from ins_premium_det i),'30','30','03', '09000210','00');</v>
      </c>
    </row>
    <row r="29" spans="1:8" ht="75" x14ac:dyDescent="0.25">
      <c r="A29" t="s">
        <v>30</v>
      </c>
      <c r="B29" s="21" t="str">
        <f>VLOOKUP(A29,plicyC!B:D,2,0)</f>
        <v>040000186509</v>
      </c>
      <c r="C29" s="8">
        <v>1</v>
      </c>
      <c r="D29" s="20" t="s">
        <v>104</v>
      </c>
      <c r="E29" s="22" t="str">
        <f>VLOOKUP(A29,plicyC!B:D,3,0)</f>
        <v>09000210</v>
      </c>
      <c r="F29" s="23" t="str">
        <f t="shared" si="1"/>
        <v>insert into ins_premium_det (premium_rcv_code,assorted_code, rec_amount,premium_rcv_detail_code,remaining_amt, payrec, mode_code,paid_to_code,class_cd) values</v>
      </c>
      <c r="G29" s="24" t="str">
        <f t="shared" si="2"/>
        <v>('24Oct240060','040000186509','1',(select max(to_number(i.premium_rcv_detail_code))+1 from ins_premium_det i),'1','1','03', '09000210','00');</v>
      </c>
      <c r="H29" s="25" t="str">
        <f t="shared" si="0"/>
        <v>insert into ins_premium_det (premium_rcv_code,assorted_code, rec_amount,premium_rcv_detail_code,remaining_amt, payrec, mode_code,paid_to_code,class_cd) values('24Oct240060','040000186509','1',(select max(to_number(i.premium_rcv_detail_code))+1 from ins_premium_det i),'1','1','03', '09000210','00');</v>
      </c>
    </row>
    <row r="30" spans="1:8" ht="75" x14ac:dyDescent="0.25">
      <c r="A30" t="s">
        <v>51</v>
      </c>
      <c r="B30" s="21" t="str">
        <f>VLOOKUP(A30,plicyC!B:D,2,0)</f>
        <v>040000183037</v>
      </c>
      <c r="C30" s="8">
        <v>10000</v>
      </c>
      <c r="D30" s="20" t="s">
        <v>104</v>
      </c>
      <c r="E30" s="22" t="str">
        <f>VLOOKUP(A30,plicyC!B:D,3,0)</f>
        <v>09000845</v>
      </c>
      <c r="F30" s="23" t="str">
        <f t="shared" si="1"/>
        <v>insert into ins_premium_det (premium_rcv_code,assorted_code, rec_amount,premium_rcv_detail_code,remaining_amt, payrec, mode_code,paid_to_code,class_cd) values</v>
      </c>
      <c r="G30" s="24" t="str">
        <f t="shared" si="2"/>
        <v>('24Oct240060','040000183037','10000',(select max(to_number(i.premium_rcv_detail_code))+1 from ins_premium_det i),'10000','10000','03', '09000845','00');</v>
      </c>
      <c r="H30" s="25" t="str">
        <f t="shared" si="0"/>
        <v>insert into ins_premium_det (premium_rcv_code,assorted_code, rec_amount,premium_rcv_detail_code,remaining_amt, payrec, mode_code,paid_to_code,class_cd) values('24Oct240060','040000183037','10000',(select max(to_number(i.premium_rcv_detail_code))+1 from ins_premium_det i),'10000','10000','03', '09000845','00');</v>
      </c>
    </row>
    <row r="31" spans="1:8" ht="75" x14ac:dyDescent="0.25">
      <c r="A31" t="s">
        <v>52</v>
      </c>
      <c r="B31" s="21" t="str">
        <f>VLOOKUP(A31,plicyC!B:D,2,0)</f>
        <v>040000183468</v>
      </c>
      <c r="C31" s="8">
        <v>8272</v>
      </c>
      <c r="D31" s="20" t="s">
        <v>104</v>
      </c>
      <c r="E31" s="22" t="str">
        <f>VLOOKUP(A31,plicyC!B:D,3,0)</f>
        <v>09000783</v>
      </c>
      <c r="F31" s="23" t="str">
        <f t="shared" si="1"/>
        <v>insert into ins_premium_det (premium_rcv_code,assorted_code, rec_amount,premium_rcv_detail_code,remaining_amt, payrec, mode_code,paid_to_code,class_cd) values</v>
      </c>
      <c r="G31" s="24" t="str">
        <f t="shared" si="2"/>
        <v>('24Oct240060','040000183468','8272',(select max(to_number(i.premium_rcv_detail_code))+1 from ins_premium_det i),'8272','8272','03', '09000783','00');</v>
      </c>
      <c r="H31" s="25" t="str">
        <f t="shared" si="0"/>
        <v>insert into ins_premium_det (premium_rcv_code,assorted_code, rec_amount,premium_rcv_detail_code,remaining_amt, payrec, mode_code,paid_to_code,class_cd) values('24Oct240060','040000183468','8272',(select max(to_number(i.premium_rcv_detail_code))+1 from ins_premium_det i),'8272','8272','03', '09000783','00');</v>
      </c>
    </row>
    <row r="32" spans="1:8" ht="75" x14ac:dyDescent="0.25">
      <c r="A32" t="s">
        <v>55</v>
      </c>
      <c r="B32" s="21" t="str">
        <f>VLOOKUP(A32,plicyC!B:D,2,0)</f>
        <v>040000166787</v>
      </c>
      <c r="C32" s="8">
        <v>2891</v>
      </c>
      <c r="D32" s="20" t="s">
        <v>104</v>
      </c>
      <c r="E32" s="22" t="str">
        <f>VLOOKUP(A32,plicyC!B:D,3,0)</f>
        <v>09000477</v>
      </c>
      <c r="F32" s="23" t="str">
        <f t="shared" si="1"/>
        <v>insert into ins_premium_det (premium_rcv_code,assorted_code, rec_amount,premium_rcv_detail_code,remaining_amt, payrec, mode_code,paid_to_code,class_cd) values</v>
      </c>
      <c r="G32" s="24" t="str">
        <f t="shared" si="2"/>
        <v>('24Oct240060','040000166787','2891',(select max(to_number(i.premium_rcv_detail_code))+1 from ins_premium_det i),'2891','2891','03', '09000477','00');</v>
      </c>
      <c r="H32" s="25" t="str">
        <f t="shared" si="0"/>
        <v>insert into ins_premium_det (premium_rcv_code,assorted_code, rec_amount,premium_rcv_detail_code,remaining_amt, payrec, mode_code,paid_to_code,class_cd) values('24Oct240060','040000166787','2891',(select max(to_number(i.premium_rcv_detail_code))+1 from ins_premium_det i),'2891','2891','03', '09000477','00');</v>
      </c>
    </row>
    <row r="34" spans="3:3" x14ac:dyDescent="0.25">
      <c r="C34" s="26">
        <f>SUM(C2:C32)</f>
        <v>406256</v>
      </c>
    </row>
  </sheetData>
  <conditionalFormatting sqref="A1">
    <cfRule type="duplicateValues" dxfId="1" priority="2"/>
  </conditionalFormatting>
  <conditionalFormatting sqref="A2">
    <cfRule type="duplicateValues" dxfId="0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4B27-D459-4072-ADB4-D3F7339A6CC6}">
  <dimension ref="A1:N78"/>
  <sheetViews>
    <sheetView topLeftCell="A46" workbookViewId="0">
      <selection activeCell="E48" sqref="E48:E78"/>
    </sheetView>
  </sheetViews>
  <sheetFormatPr defaultRowHeight="15" x14ac:dyDescent="0.25"/>
  <cols>
    <col min="1" max="1" width="38.7109375" bestFit="1" customWidth="1"/>
  </cols>
  <sheetData>
    <row r="1" spans="1:5" x14ac:dyDescent="0.25">
      <c r="A1" t="s">
        <v>3</v>
      </c>
      <c r="B1" t="s">
        <v>60</v>
      </c>
      <c r="D1">
        <v>87895</v>
      </c>
      <c r="E1" t="str">
        <f>"ia.assorted_string like '%"&amp;D1&amp;B1&amp;"%' or"</f>
        <v>ia.assorted_string like '%87895/04/2024%' or</v>
      </c>
    </row>
    <row r="2" spans="1:5" x14ac:dyDescent="0.25">
      <c r="A2" t="s">
        <v>4</v>
      </c>
      <c r="B2" t="s">
        <v>61</v>
      </c>
      <c r="D2">
        <v>89811</v>
      </c>
      <c r="E2" t="str">
        <f t="shared" ref="E2:E31" si="0">"ia.assorted_string like '%"&amp;D2&amp;B2&amp;"%' or"</f>
        <v>ia.assorted_string like '%89811/05/2024%' or</v>
      </c>
    </row>
    <row r="3" spans="1:5" x14ac:dyDescent="0.25">
      <c r="A3" t="s">
        <v>5</v>
      </c>
      <c r="B3" t="s">
        <v>61</v>
      </c>
      <c r="D3">
        <v>89813</v>
      </c>
      <c r="E3" t="str">
        <f t="shared" si="0"/>
        <v>ia.assorted_string like '%89813/05/2024%' or</v>
      </c>
    </row>
    <row r="4" spans="1:5" x14ac:dyDescent="0.25">
      <c r="A4" t="s">
        <v>6</v>
      </c>
      <c r="B4" t="s">
        <v>61</v>
      </c>
      <c r="D4">
        <v>89815</v>
      </c>
      <c r="E4" t="str">
        <f t="shared" si="0"/>
        <v>ia.assorted_string like '%89815/05/2024%' or</v>
      </c>
    </row>
    <row r="5" spans="1:5" x14ac:dyDescent="0.25">
      <c r="A5" t="s">
        <v>7</v>
      </c>
      <c r="B5" t="s">
        <v>61</v>
      </c>
      <c r="D5">
        <v>90022</v>
      </c>
      <c r="E5" t="str">
        <f t="shared" si="0"/>
        <v>ia.assorted_string like '%90022/05/2024%' or</v>
      </c>
    </row>
    <row r="6" spans="1:5" x14ac:dyDescent="0.25">
      <c r="A6" t="s">
        <v>8</v>
      </c>
      <c r="B6" t="s">
        <v>61</v>
      </c>
      <c r="D6">
        <v>90024</v>
      </c>
      <c r="E6" t="str">
        <f t="shared" si="0"/>
        <v>ia.assorted_string like '%90024/05/2024%' or</v>
      </c>
    </row>
    <row r="7" spans="1:5" x14ac:dyDescent="0.25">
      <c r="A7" t="s">
        <v>9</v>
      </c>
      <c r="B7" t="s">
        <v>62</v>
      </c>
      <c r="D7">
        <v>90688</v>
      </c>
      <c r="E7" t="str">
        <f t="shared" si="0"/>
        <v>ia.assorted_string like '%90688/06/2024%' or</v>
      </c>
    </row>
    <row r="8" spans="1:5" x14ac:dyDescent="0.25">
      <c r="A8" t="s">
        <v>10</v>
      </c>
      <c r="B8" t="s">
        <v>63</v>
      </c>
      <c r="D8">
        <v>96761</v>
      </c>
      <c r="E8" t="str">
        <f t="shared" si="0"/>
        <v>ia.assorted_string like '%96761/09/2024%' or</v>
      </c>
    </row>
    <row r="9" spans="1:5" x14ac:dyDescent="0.25">
      <c r="A9" t="s">
        <v>11</v>
      </c>
      <c r="B9" t="s">
        <v>63</v>
      </c>
      <c r="D9">
        <v>96763</v>
      </c>
      <c r="E9" t="str">
        <f t="shared" si="0"/>
        <v>ia.assorted_string like '%96763/09/2024%' or</v>
      </c>
    </row>
    <row r="10" spans="1:5" x14ac:dyDescent="0.25">
      <c r="A10" t="s">
        <v>12</v>
      </c>
      <c r="B10" t="s">
        <v>63</v>
      </c>
      <c r="D10">
        <v>96863</v>
      </c>
      <c r="E10" t="str">
        <f t="shared" si="0"/>
        <v>ia.assorted_string like '%96863/09/2024%' or</v>
      </c>
    </row>
    <row r="11" spans="1:5" x14ac:dyDescent="0.25">
      <c r="A11" t="s">
        <v>13</v>
      </c>
      <c r="B11" t="s">
        <v>63</v>
      </c>
      <c r="D11">
        <v>96864</v>
      </c>
      <c r="E11" t="str">
        <f t="shared" si="0"/>
        <v>ia.assorted_string like '%96864/09/2024%' or</v>
      </c>
    </row>
    <row r="12" spans="1:5" x14ac:dyDescent="0.25">
      <c r="A12" t="s">
        <v>14</v>
      </c>
      <c r="B12" t="s">
        <v>63</v>
      </c>
      <c r="D12">
        <v>97125</v>
      </c>
      <c r="E12" t="str">
        <f t="shared" si="0"/>
        <v>ia.assorted_string like '%97125/09/2024%' or</v>
      </c>
    </row>
    <row r="13" spans="1:5" x14ac:dyDescent="0.25">
      <c r="A13" t="s">
        <v>15</v>
      </c>
      <c r="B13" t="s">
        <v>63</v>
      </c>
      <c r="D13">
        <v>97152</v>
      </c>
      <c r="E13" t="str">
        <f t="shared" si="0"/>
        <v>ia.assorted_string like '%97152/09/2024%' or</v>
      </c>
    </row>
    <row r="14" spans="1:5" x14ac:dyDescent="0.25">
      <c r="A14" t="s">
        <v>16</v>
      </c>
      <c r="B14" t="s">
        <v>63</v>
      </c>
      <c r="D14">
        <v>97154</v>
      </c>
      <c r="E14" t="str">
        <f t="shared" si="0"/>
        <v>ia.assorted_string like '%97154/09/2024%' or</v>
      </c>
    </row>
    <row r="15" spans="1:5" x14ac:dyDescent="0.25">
      <c r="A15" t="s">
        <v>17</v>
      </c>
      <c r="B15" t="s">
        <v>63</v>
      </c>
      <c r="D15">
        <v>97155</v>
      </c>
      <c r="E15" t="str">
        <f t="shared" si="0"/>
        <v>ia.assorted_string like '%97155/09/2024%' or</v>
      </c>
    </row>
    <row r="16" spans="1:5" x14ac:dyDescent="0.25">
      <c r="A16" t="s">
        <v>18</v>
      </c>
      <c r="B16" t="s">
        <v>63</v>
      </c>
      <c r="D16">
        <v>97222</v>
      </c>
      <c r="E16" t="str">
        <f t="shared" si="0"/>
        <v>ia.assorted_string like '%97222/09/2024%' or</v>
      </c>
    </row>
    <row r="17" spans="1:5" x14ac:dyDescent="0.25">
      <c r="A17" t="s">
        <v>19</v>
      </c>
      <c r="B17" t="s">
        <v>63</v>
      </c>
      <c r="D17">
        <v>97693</v>
      </c>
      <c r="E17" t="str">
        <f t="shared" si="0"/>
        <v>ia.assorted_string like '%97693/09/2024%' or</v>
      </c>
    </row>
    <row r="18" spans="1:5" x14ac:dyDescent="0.25">
      <c r="A18" t="s">
        <v>20</v>
      </c>
      <c r="B18" t="s">
        <v>63</v>
      </c>
      <c r="D18">
        <v>97694</v>
      </c>
      <c r="E18" t="str">
        <f t="shared" si="0"/>
        <v>ia.assorted_string like '%97694/09/2024%' or</v>
      </c>
    </row>
    <row r="19" spans="1:5" x14ac:dyDescent="0.25">
      <c r="A19" t="s">
        <v>21</v>
      </c>
      <c r="B19" t="s">
        <v>63</v>
      </c>
      <c r="D19">
        <v>97874</v>
      </c>
      <c r="E19" t="str">
        <f t="shared" si="0"/>
        <v>ia.assorted_string like '%97874/09/2024%' or</v>
      </c>
    </row>
    <row r="20" spans="1:5" x14ac:dyDescent="0.25">
      <c r="A20" t="s">
        <v>22</v>
      </c>
      <c r="B20" t="s">
        <v>63</v>
      </c>
      <c r="D20">
        <v>98056</v>
      </c>
      <c r="E20" t="str">
        <f t="shared" si="0"/>
        <v>ia.assorted_string like '%98056/09/2024%' or</v>
      </c>
    </row>
    <row r="21" spans="1:5" x14ac:dyDescent="0.25">
      <c r="A21" t="s">
        <v>23</v>
      </c>
      <c r="B21" t="s">
        <v>63</v>
      </c>
      <c r="D21">
        <v>98283</v>
      </c>
      <c r="E21" t="str">
        <f t="shared" si="0"/>
        <v>ia.assorted_string like '%98283/09/2024%' or</v>
      </c>
    </row>
    <row r="22" spans="1:5" x14ac:dyDescent="0.25">
      <c r="A22" t="s">
        <v>24</v>
      </c>
      <c r="B22" t="s">
        <v>63</v>
      </c>
      <c r="D22">
        <v>98291</v>
      </c>
      <c r="E22" t="str">
        <f t="shared" si="0"/>
        <v>ia.assorted_string like '%98291/09/2024%' or</v>
      </c>
    </row>
    <row r="23" spans="1:5" x14ac:dyDescent="0.25">
      <c r="A23" t="s">
        <v>25</v>
      </c>
      <c r="B23" t="s">
        <v>63</v>
      </c>
      <c r="D23">
        <v>98394</v>
      </c>
      <c r="E23" t="str">
        <f t="shared" si="0"/>
        <v>ia.assorted_string like '%98394/09/2024%' or</v>
      </c>
    </row>
    <row r="24" spans="1:5" x14ac:dyDescent="0.25">
      <c r="A24" t="s">
        <v>26</v>
      </c>
      <c r="B24" t="s">
        <v>63</v>
      </c>
      <c r="D24">
        <v>98639</v>
      </c>
      <c r="E24" t="str">
        <f t="shared" si="0"/>
        <v>ia.assorted_string like '%98639/09/2024%' or</v>
      </c>
    </row>
    <row r="25" spans="1:5" x14ac:dyDescent="0.25">
      <c r="A25" t="s">
        <v>27</v>
      </c>
      <c r="B25" t="s">
        <v>64</v>
      </c>
      <c r="D25">
        <v>98918</v>
      </c>
      <c r="E25" t="str">
        <f t="shared" si="0"/>
        <v>ia.assorted_string like '%98918/10/2024%' or</v>
      </c>
    </row>
    <row r="26" spans="1:5" x14ac:dyDescent="0.25">
      <c r="A26" t="s">
        <v>28</v>
      </c>
      <c r="B26" t="s">
        <v>64</v>
      </c>
      <c r="D26">
        <v>98919</v>
      </c>
      <c r="E26" t="str">
        <f t="shared" si="0"/>
        <v>ia.assorted_string like '%98919/10/2024%' or</v>
      </c>
    </row>
    <row r="27" spans="1:5" x14ac:dyDescent="0.25">
      <c r="A27" t="s">
        <v>29</v>
      </c>
      <c r="B27" t="s">
        <v>64</v>
      </c>
      <c r="D27">
        <v>99421</v>
      </c>
      <c r="E27" t="str">
        <f t="shared" si="0"/>
        <v>ia.assorted_string like '%99421/10/2024%' or</v>
      </c>
    </row>
    <row r="28" spans="1:5" x14ac:dyDescent="0.25">
      <c r="A28" t="s">
        <v>30</v>
      </c>
      <c r="B28" t="s">
        <v>64</v>
      </c>
      <c r="D28">
        <v>99498</v>
      </c>
      <c r="E28" t="str">
        <f t="shared" si="0"/>
        <v>ia.assorted_string like '%99498/10/2024%' or</v>
      </c>
    </row>
    <row r="29" spans="1:5" x14ac:dyDescent="0.25">
      <c r="A29" t="s">
        <v>51</v>
      </c>
      <c r="B29" t="s">
        <v>65</v>
      </c>
      <c r="D29">
        <v>96500</v>
      </c>
      <c r="E29" t="str">
        <f t="shared" si="0"/>
        <v>ia.assorted_string like '%96500/08/2024%' or</v>
      </c>
    </row>
    <row r="30" spans="1:5" x14ac:dyDescent="0.25">
      <c r="A30" t="s">
        <v>52</v>
      </c>
      <c r="B30" t="s">
        <v>63</v>
      </c>
      <c r="D30">
        <v>96873</v>
      </c>
      <c r="E30" t="str">
        <f t="shared" si="0"/>
        <v>ia.assorted_string like '%96873/09/2024%' or</v>
      </c>
    </row>
    <row r="31" spans="1:5" x14ac:dyDescent="0.25">
      <c r="A31" t="s">
        <v>55</v>
      </c>
      <c r="B31" t="s">
        <v>66</v>
      </c>
      <c r="D31">
        <v>84259</v>
      </c>
      <c r="E31" t="str">
        <f t="shared" si="0"/>
        <v>ia.assorted_string like '%84259/02/2024%' or</v>
      </c>
    </row>
    <row r="48" spans="1:14" x14ac:dyDescent="0.25">
      <c r="A48" t="s">
        <v>3</v>
      </c>
      <c r="B48" t="s">
        <v>105</v>
      </c>
      <c r="D48">
        <v>87895</v>
      </c>
      <c r="E48" t="str">
        <f t="shared" ref="E48:E78" si="1">"ia.assorted_string like '%"&amp;D48&amp;B48&amp;"%' or"</f>
        <v>ia.assorted_string like '%87895-04-2024%' or</v>
      </c>
      <c r="L48">
        <v>87895</v>
      </c>
      <c r="M48">
        <v>4</v>
      </c>
      <c r="N48">
        <v>2024</v>
      </c>
    </row>
    <row r="49" spans="1:14" x14ac:dyDescent="0.25">
      <c r="A49" t="s">
        <v>4</v>
      </c>
      <c r="B49" t="s">
        <v>106</v>
      </c>
      <c r="D49">
        <v>89811</v>
      </c>
      <c r="E49" t="str">
        <f t="shared" si="1"/>
        <v>ia.assorted_string like '%89811-05-2024%' or</v>
      </c>
      <c r="L49">
        <v>89811</v>
      </c>
      <c r="M49">
        <v>5</v>
      </c>
      <c r="N49">
        <v>2024</v>
      </c>
    </row>
    <row r="50" spans="1:14" x14ac:dyDescent="0.25">
      <c r="A50" t="s">
        <v>5</v>
      </c>
      <c r="B50" t="s">
        <v>106</v>
      </c>
      <c r="D50">
        <v>89813</v>
      </c>
      <c r="E50" t="str">
        <f t="shared" si="1"/>
        <v>ia.assorted_string like '%89813-05-2024%' or</v>
      </c>
      <c r="L50">
        <v>89813</v>
      </c>
      <c r="M50">
        <v>5</v>
      </c>
      <c r="N50">
        <v>2024</v>
      </c>
    </row>
    <row r="51" spans="1:14" x14ac:dyDescent="0.25">
      <c r="A51" t="s">
        <v>6</v>
      </c>
      <c r="B51" t="s">
        <v>106</v>
      </c>
      <c r="D51">
        <v>89815</v>
      </c>
      <c r="E51" t="str">
        <f t="shared" si="1"/>
        <v>ia.assorted_string like '%89815-05-2024%' or</v>
      </c>
      <c r="L51">
        <v>89815</v>
      </c>
      <c r="M51">
        <v>5</v>
      </c>
      <c r="N51">
        <v>2024</v>
      </c>
    </row>
    <row r="52" spans="1:14" x14ac:dyDescent="0.25">
      <c r="A52" t="s">
        <v>7</v>
      </c>
      <c r="B52" t="s">
        <v>106</v>
      </c>
      <c r="D52">
        <v>90022</v>
      </c>
      <c r="E52" t="str">
        <f t="shared" si="1"/>
        <v>ia.assorted_string like '%90022-05-2024%' or</v>
      </c>
      <c r="L52">
        <v>90022</v>
      </c>
      <c r="M52">
        <v>5</v>
      </c>
      <c r="N52">
        <v>2024</v>
      </c>
    </row>
    <row r="53" spans="1:14" x14ac:dyDescent="0.25">
      <c r="A53" t="s">
        <v>8</v>
      </c>
      <c r="B53" t="s">
        <v>106</v>
      </c>
      <c r="D53">
        <v>90024</v>
      </c>
      <c r="E53" t="str">
        <f t="shared" si="1"/>
        <v>ia.assorted_string like '%90024-05-2024%' or</v>
      </c>
      <c r="L53">
        <v>90024</v>
      </c>
      <c r="M53">
        <v>5</v>
      </c>
      <c r="N53">
        <v>2024</v>
      </c>
    </row>
    <row r="54" spans="1:14" x14ac:dyDescent="0.25">
      <c r="A54" t="s">
        <v>9</v>
      </c>
      <c r="B54" t="s">
        <v>107</v>
      </c>
      <c r="D54">
        <v>90688</v>
      </c>
      <c r="E54" t="str">
        <f t="shared" si="1"/>
        <v>ia.assorted_string like '%90688-06-2024%' or</v>
      </c>
      <c r="L54">
        <v>90688</v>
      </c>
      <c r="M54">
        <v>6</v>
      </c>
      <c r="N54">
        <v>2024</v>
      </c>
    </row>
    <row r="55" spans="1:14" x14ac:dyDescent="0.25">
      <c r="A55" t="s">
        <v>10</v>
      </c>
      <c r="B55" t="s">
        <v>108</v>
      </c>
      <c r="D55">
        <v>96761</v>
      </c>
      <c r="E55" t="str">
        <f t="shared" si="1"/>
        <v>ia.assorted_string like '%96761-09-2024%' or</v>
      </c>
      <c r="L55">
        <v>96761</v>
      </c>
      <c r="M55">
        <v>9</v>
      </c>
      <c r="N55">
        <v>2024</v>
      </c>
    </row>
    <row r="56" spans="1:14" x14ac:dyDescent="0.25">
      <c r="A56" t="s">
        <v>11</v>
      </c>
      <c r="B56" t="s">
        <v>108</v>
      </c>
      <c r="D56">
        <v>96763</v>
      </c>
      <c r="E56" t="str">
        <f t="shared" si="1"/>
        <v>ia.assorted_string like '%96763-09-2024%' or</v>
      </c>
      <c r="L56">
        <v>96763</v>
      </c>
      <c r="M56">
        <v>9</v>
      </c>
      <c r="N56">
        <v>2024</v>
      </c>
    </row>
    <row r="57" spans="1:14" x14ac:dyDescent="0.25">
      <c r="A57" t="s">
        <v>12</v>
      </c>
      <c r="B57" t="s">
        <v>108</v>
      </c>
      <c r="D57">
        <v>96863</v>
      </c>
      <c r="E57" t="str">
        <f t="shared" si="1"/>
        <v>ia.assorted_string like '%96863-09-2024%' or</v>
      </c>
      <c r="L57">
        <v>96863</v>
      </c>
      <c r="M57">
        <v>9</v>
      </c>
      <c r="N57">
        <v>2024</v>
      </c>
    </row>
    <row r="58" spans="1:14" x14ac:dyDescent="0.25">
      <c r="A58" t="s">
        <v>13</v>
      </c>
      <c r="B58" t="s">
        <v>108</v>
      </c>
      <c r="D58">
        <v>96864</v>
      </c>
      <c r="E58" t="str">
        <f t="shared" si="1"/>
        <v>ia.assorted_string like '%96864-09-2024%' or</v>
      </c>
      <c r="L58">
        <v>96864</v>
      </c>
      <c r="M58">
        <v>9</v>
      </c>
      <c r="N58">
        <v>2024</v>
      </c>
    </row>
    <row r="59" spans="1:14" x14ac:dyDescent="0.25">
      <c r="A59" t="s">
        <v>14</v>
      </c>
      <c r="B59" t="s">
        <v>108</v>
      </c>
      <c r="D59">
        <v>97125</v>
      </c>
      <c r="E59" t="str">
        <f t="shared" si="1"/>
        <v>ia.assorted_string like '%97125-09-2024%' or</v>
      </c>
      <c r="L59">
        <v>97125</v>
      </c>
      <c r="M59">
        <v>9</v>
      </c>
      <c r="N59">
        <v>2024</v>
      </c>
    </row>
    <row r="60" spans="1:14" x14ac:dyDescent="0.25">
      <c r="A60" t="s">
        <v>15</v>
      </c>
      <c r="B60" t="s">
        <v>108</v>
      </c>
      <c r="D60">
        <v>97152</v>
      </c>
      <c r="E60" t="str">
        <f t="shared" si="1"/>
        <v>ia.assorted_string like '%97152-09-2024%' or</v>
      </c>
      <c r="L60">
        <v>97152</v>
      </c>
      <c r="M60">
        <v>9</v>
      </c>
      <c r="N60">
        <v>2024</v>
      </c>
    </row>
    <row r="61" spans="1:14" x14ac:dyDescent="0.25">
      <c r="A61" t="s">
        <v>16</v>
      </c>
      <c r="B61" t="s">
        <v>108</v>
      </c>
      <c r="D61">
        <v>97154</v>
      </c>
      <c r="E61" t="str">
        <f t="shared" si="1"/>
        <v>ia.assorted_string like '%97154-09-2024%' or</v>
      </c>
      <c r="L61">
        <v>97154</v>
      </c>
      <c r="M61">
        <v>9</v>
      </c>
      <c r="N61">
        <v>2024</v>
      </c>
    </row>
    <row r="62" spans="1:14" x14ac:dyDescent="0.25">
      <c r="A62" t="s">
        <v>17</v>
      </c>
      <c r="B62" t="s">
        <v>108</v>
      </c>
      <c r="D62">
        <v>97155</v>
      </c>
      <c r="E62" t="str">
        <f t="shared" si="1"/>
        <v>ia.assorted_string like '%97155-09-2024%' or</v>
      </c>
      <c r="L62">
        <v>97155</v>
      </c>
      <c r="M62">
        <v>9</v>
      </c>
      <c r="N62">
        <v>2024</v>
      </c>
    </row>
    <row r="63" spans="1:14" x14ac:dyDescent="0.25">
      <c r="A63" t="s">
        <v>18</v>
      </c>
      <c r="B63" t="s">
        <v>108</v>
      </c>
      <c r="D63">
        <v>97222</v>
      </c>
      <c r="E63" t="str">
        <f t="shared" si="1"/>
        <v>ia.assorted_string like '%97222-09-2024%' or</v>
      </c>
      <c r="L63">
        <v>97222</v>
      </c>
      <c r="M63">
        <v>9</v>
      </c>
      <c r="N63">
        <v>2024</v>
      </c>
    </row>
    <row r="64" spans="1:14" x14ac:dyDescent="0.25">
      <c r="A64" t="s">
        <v>19</v>
      </c>
      <c r="B64" t="s">
        <v>108</v>
      </c>
      <c r="D64">
        <v>97693</v>
      </c>
      <c r="E64" t="str">
        <f t="shared" si="1"/>
        <v>ia.assorted_string like '%97693-09-2024%' or</v>
      </c>
      <c r="L64">
        <v>97693</v>
      </c>
      <c r="M64">
        <v>9</v>
      </c>
      <c r="N64">
        <v>2024</v>
      </c>
    </row>
    <row r="65" spans="1:14" x14ac:dyDescent="0.25">
      <c r="A65" t="s">
        <v>20</v>
      </c>
      <c r="B65" t="s">
        <v>108</v>
      </c>
      <c r="D65">
        <v>97694</v>
      </c>
      <c r="E65" t="str">
        <f t="shared" si="1"/>
        <v>ia.assorted_string like '%97694-09-2024%' or</v>
      </c>
      <c r="L65">
        <v>97694</v>
      </c>
      <c r="M65">
        <v>9</v>
      </c>
      <c r="N65">
        <v>2024</v>
      </c>
    </row>
    <row r="66" spans="1:14" x14ac:dyDescent="0.25">
      <c r="A66" t="s">
        <v>21</v>
      </c>
      <c r="B66" t="s">
        <v>108</v>
      </c>
      <c r="D66">
        <v>97874</v>
      </c>
      <c r="E66" t="str">
        <f t="shared" si="1"/>
        <v>ia.assorted_string like '%97874-09-2024%' or</v>
      </c>
      <c r="L66">
        <v>97874</v>
      </c>
      <c r="M66">
        <v>9</v>
      </c>
      <c r="N66">
        <v>2024</v>
      </c>
    </row>
    <row r="67" spans="1:14" x14ac:dyDescent="0.25">
      <c r="A67" t="s">
        <v>22</v>
      </c>
      <c r="B67" t="s">
        <v>108</v>
      </c>
      <c r="D67">
        <v>98056</v>
      </c>
      <c r="E67" t="str">
        <f t="shared" si="1"/>
        <v>ia.assorted_string like '%98056-09-2024%' or</v>
      </c>
      <c r="L67">
        <v>98056</v>
      </c>
      <c r="M67">
        <v>9</v>
      </c>
      <c r="N67">
        <v>2024</v>
      </c>
    </row>
    <row r="68" spans="1:14" x14ac:dyDescent="0.25">
      <c r="A68" t="s">
        <v>23</v>
      </c>
      <c r="B68" t="s">
        <v>108</v>
      </c>
      <c r="D68">
        <v>98283</v>
      </c>
      <c r="E68" t="str">
        <f t="shared" si="1"/>
        <v>ia.assorted_string like '%98283-09-2024%' or</v>
      </c>
      <c r="L68">
        <v>98283</v>
      </c>
      <c r="M68">
        <v>9</v>
      </c>
      <c r="N68">
        <v>2024</v>
      </c>
    </row>
    <row r="69" spans="1:14" x14ac:dyDescent="0.25">
      <c r="A69" t="s">
        <v>24</v>
      </c>
      <c r="B69" t="s">
        <v>108</v>
      </c>
      <c r="D69">
        <v>98291</v>
      </c>
      <c r="E69" t="str">
        <f t="shared" si="1"/>
        <v>ia.assorted_string like '%98291-09-2024%' or</v>
      </c>
      <c r="L69">
        <v>98291</v>
      </c>
      <c r="M69">
        <v>9</v>
      </c>
      <c r="N69">
        <v>2024</v>
      </c>
    </row>
    <row r="70" spans="1:14" x14ac:dyDescent="0.25">
      <c r="A70" t="s">
        <v>25</v>
      </c>
      <c r="B70" t="s">
        <v>108</v>
      </c>
      <c r="D70">
        <v>98394</v>
      </c>
      <c r="E70" t="str">
        <f t="shared" si="1"/>
        <v>ia.assorted_string like '%98394-09-2024%' or</v>
      </c>
      <c r="L70">
        <v>98394</v>
      </c>
      <c r="M70">
        <v>9</v>
      </c>
      <c r="N70">
        <v>2024</v>
      </c>
    </row>
    <row r="71" spans="1:14" x14ac:dyDescent="0.25">
      <c r="A71" t="s">
        <v>26</v>
      </c>
      <c r="B71" t="s">
        <v>108</v>
      </c>
      <c r="D71">
        <v>98639</v>
      </c>
      <c r="E71" t="str">
        <f t="shared" si="1"/>
        <v>ia.assorted_string like '%98639-09-2024%' or</v>
      </c>
      <c r="L71">
        <v>98639</v>
      </c>
      <c r="M71">
        <v>9</v>
      </c>
      <c r="N71">
        <v>2024</v>
      </c>
    </row>
    <row r="72" spans="1:14" x14ac:dyDescent="0.25">
      <c r="A72" t="s">
        <v>27</v>
      </c>
      <c r="B72" t="s">
        <v>109</v>
      </c>
      <c r="D72">
        <v>98918</v>
      </c>
      <c r="E72" t="str">
        <f t="shared" si="1"/>
        <v>ia.assorted_string like '%98918-10-2024%' or</v>
      </c>
      <c r="L72">
        <v>98918</v>
      </c>
      <c r="M72">
        <v>10</v>
      </c>
      <c r="N72">
        <v>2024</v>
      </c>
    </row>
    <row r="73" spans="1:14" x14ac:dyDescent="0.25">
      <c r="A73" t="s">
        <v>28</v>
      </c>
      <c r="B73" t="s">
        <v>109</v>
      </c>
      <c r="D73">
        <v>98919</v>
      </c>
      <c r="E73" t="str">
        <f t="shared" si="1"/>
        <v>ia.assorted_string like '%98919-10-2024%' or</v>
      </c>
      <c r="L73">
        <v>98919</v>
      </c>
      <c r="M73">
        <v>10</v>
      </c>
      <c r="N73">
        <v>2024</v>
      </c>
    </row>
    <row r="74" spans="1:14" x14ac:dyDescent="0.25">
      <c r="A74" t="s">
        <v>29</v>
      </c>
      <c r="B74" t="s">
        <v>109</v>
      </c>
      <c r="D74">
        <v>99421</v>
      </c>
      <c r="E74" t="str">
        <f t="shared" si="1"/>
        <v>ia.assorted_string like '%99421-10-2024%' or</v>
      </c>
      <c r="L74">
        <v>99421</v>
      </c>
      <c r="M74">
        <v>10</v>
      </c>
      <c r="N74">
        <v>2024</v>
      </c>
    </row>
    <row r="75" spans="1:14" x14ac:dyDescent="0.25">
      <c r="A75" t="s">
        <v>30</v>
      </c>
      <c r="B75" t="s">
        <v>109</v>
      </c>
      <c r="D75">
        <v>99498</v>
      </c>
      <c r="E75" t="str">
        <f t="shared" si="1"/>
        <v>ia.assorted_string like '%99498-10-2024%' or</v>
      </c>
      <c r="L75">
        <v>99498</v>
      </c>
      <c r="M75">
        <v>10</v>
      </c>
      <c r="N75">
        <v>2024</v>
      </c>
    </row>
    <row r="76" spans="1:14" x14ac:dyDescent="0.25">
      <c r="A76" t="s">
        <v>51</v>
      </c>
      <c r="B76" t="s">
        <v>110</v>
      </c>
      <c r="D76">
        <v>96500</v>
      </c>
      <c r="E76" t="str">
        <f t="shared" si="1"/>
        <v>ia.assorted_string like '%96500-08-2024%' or</v>
      </c>
      <c r="L76">
        <v>96500</v>
      </c>
      <c r="M76">
        <v>8</v>
      </c>
      <c r="N76">
        <v>2024</v>
      </c>
    </row>
    <row r="77" spans="1:14" x14ac:dyDescent="0.25">
      <c r="A77" t="s">
        <v>52</v>
      </c>
      <c r="B77" t="s">
        <v>108</v>
      </c>
      <c r="D77">
        <v>96873</v>
      </c>
      <c r="E77" t="str">
        <f t="shared" si="1"/>
        <v>ia.assorted_string like '%96873-09-2024%' or</v>
      </c>
      <c r="L77">
        <v>96873</v>
      </c>
      <c r="M77">
        <v>9</v>
      </c>
      <c r="N77">
        <v>2024</v>
      </c>
    </row>
    <row r="78" spans="1:14" x14ac:dyDescent="0.25">
      <c r="A78" t="s">
        <v>55</v>
      </c>
      <c r="B78" t="s">
        <v>111</v>
      </c>
      <c r="D78">
        <v>84259</v>
      </c>
      <c r="E78" t="str">
        <f t="shared" si="1"/>
        <v>ia.assorted_string like '%84259-02-2024%' or</v>
      </c>
      <c r="L78">
        <v>84259</v>
      </c>
      <c r="M78">
        <v>2</v>
      </c>
      <c r="N78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93E5-30E8-4010-AC4B-DD1202EC84E0}">
  <dimension ref="A1:C32"/>
  <sheetViews>
    <sheetView workbookViewId="0">
      <selection activeCell="B3" sqref="B3"/>
    </sheetView>
  </sheetViews>
  <sheetFormatPr defaultColWidth="7.85546875" defaultRowHeight="15" x14ac:dyDescent="0.25"/>
  <cols>
    <col min="1" max="1" width="2.42578125" customWidth="1"/>
    <col min="2" max="2" width="32.85546875" customWidth="1"/>
    <col min="3" max="3" width="13.85546875" customWidth="1"/>
  </cols>
  <sheetData>
    <row r="1" spans="1:3" s="11" customFormat="1" ht="12" x14ac:dyDescent="0.2">
      <c r="A1" s="11" t="s">
        <v>67</v>
      </c>
      <c r="B1" s="11" t="s">
        <v>68</v>
      </c>
      <c r="C1" s="11" t="s">
        <v>69</v>
      </c>
    </row>
    <row r="2" spans="1:3" x14ac:dyDescent="0.25">
      <c r="A2">
        <v>1</v>
      </c>
      <c r="B2" t="s">
        <v>55</v>
      </c>
      <c r="C2" t="s">
        <v>70</v>
      </c>
    </row>
    <row r="3" spans="1:3" x14ac:dyDescent="0.25">
      <c r="A3">
        <v>2</v>
      </c>
      <c r="B3" t="s">
        <v>3</v>
      </c>
      <c r="C3" t="s">
        <v>71</v>
      </c>
    </row>
    <row r="4" spans="1:3" x14ac:dyDescent="0.25">
      <c r="A4">
        <v>3</v>
      </c>
      <c r="B4" t="s">
        <v>30</v>
      </c>
      <c r="C4" t="s">
        <v>72</v>
      </c>
    </row>
    <row r="5" spans="1:3" x14ac:dyDescent="0.25">
      <c r="A5">
        <v>4</v>
      </c>
      <c r="B5" t="s">
        <v>11</v>
      </c>
      <c r="C5" t="s">
        <v>73</v>
      </c>
    </row>
    <row r="6" spans="1:3" x14ac:dyDescent="0.25">
      <c r="A6">
        <v>5</v>
      </c>
      <c r="B6" t="s">
        <v>26</v>
      </c>
      <c r="C6" t="s">
        <v>74</v>
      </c>
    </row>
    <row r="7" spans="1:3" x14ac:dyDescent="0.25">
      <c r="A7">
        <v>6</v>
      </c>
      <c r="B7" t="s">
        <v>12</v>
      </c>
      <c r="C7" t="s">
        <v>75</v>
      </c>
    </row>
    <row r="8" spans="1:3" x14ac:dyDescent="0.25">
      <c r="A8">
        <v>7</v>
      </c>
      <c r="B8" t="s">
        <v>10</v>
      </c>
      <c r="C8" t="s">
        <v>76</v>
      </c>
    </row>
    <row r="9" spans="1:3" x14ac:dyDescent="0.25">
      <c r="A9">
        <v>8</v>
      </c>
      <c r="B9" t="s">
        <v>27</v>
      </c>
      <c r="C9" t="s">
        <v>77</v>
      </c>
    </row>
    <row r="10" spans="1:3" x14ac:dyDescent="0.25">
      <c r="A10">
        <v>9</v>
      </c>
      <c r="B10" t="s">
        <v>14</v>
      </c>
      <c r="C10" t="s">
        <v>78</v>
      </c>
    </row>
    <row r="11" spans="1:3" x14ac:dyDescent="0.25">
      <c r="A11">
        <v>10</v>
      </c>
      <c r="B11" t="s">
        <v>52</v>
      </c>
      <c r="C11" t="s">
        <v>79</v>
      </c>
    </row>
    <row r="12" spans="1:3" x14ac:dyDescent="0.25">
      <c r="A12">
        <v>11</v>
      </c>
      <c r="B12" t="s">
        <v>28</v>
      </c>
      <c r="C12" t="s">
        <v>80</v>
      </c>
    </row>
    <row r="13" spans="1:3" x14ac:dyDescent="0.25">
      <c r="A13">
        <v>12</v>
      </c>
      <c r="B13" t="s">
        <v>24</v>
      </c>
      <c r="C13" t="s">
        <v>81</v>
      </c>
    </row>
    <row r="14" spans="1:3" x14ac:dyDescent="0.25">
      <c r="A14">
        <v>13</v>
      </c>
      <c r="B14" t="s">
        <v>20</v>
      </c>
      <c r="C14" t="s">
        <v>82</v>
      </c>
    </row>
    <row r="15" spans="1:3" x14ac:dyDescent="0.25">
      <c r="A15">
        <v>14</v>
      </c>
      <c r="B15" t="s">
        <v>17</v>
      </c>
      <c r="C15" t="s">
        <v>83</v>
      </c>
    </row>
    <row r="16" spans="1:3" x14ac:dyDescent="0.25">
      <c r="A16">
        <v>15</v>
      </c>
      <c r="B16" t="s">
        <v>51</v>
      </c>
      <c r="C16" t="s">
        <v>84</v>
      </c>
    </row>
    <row r="17" spans="1:3" x14ac:dyDescent="0.25">
      <c r="A17">
        <v>16</v>
      </c>
      <c r="B17" t="s">
        <v>22</v>
      </c>
      <c r="C17" t="s">
        <v>85</v>
      </c>
    </row>
    <row r="18" spans="1:3" x14ac:dyDescent="0.25">
      <c r="A18">
        <v>17</v>
      </c>
      <c r="B18" t="s">
        <v>29</v>
      </c>
      <c r="C18" t="s">
        <v>86</v>
      </c>
    </row>
    <row r="19" spans="1:3" x14ac:dyDescent="0.25">
      <c r="A19">
        <v>18</v>
      </c>
      <c r="B19" t="s">
        <v>23</v>
      </c>
      <c r="C19" t="s">
        <v>87</v>
      </c>
    </row>
    <row r="20" spans="1:3" x14ac:dyDescent="0.25">
      <c r="A20">
        <v>19</v>
      </c>
      <c r="B20" t="s">
        <v>19</v>
      </c>
      <c r="C20" t="s">
        <v>88</v>
      </c>
    </row>
    <row r="21" spans="1:3" x14ac:dyDescent="0.25">
      <c r="A21">
        <v>20</v>
      </c>
      <c r="B21" t="s">
        <v>7</v>
      </c>
      <c r="C21" t="s">
        <v>89</v>
      </c>
    </row>
    <row r="22" spans="1:3" x14ac:dyDescent="0.25">
      <c r="A22">
        <v>21</v>
      </c>
      <c r="B22" t="s">
        <v>8</v>
      </c>
      <c r="C22" t="s">
        <v>90</v>
      </c>
    </row>
    <row r="23" spans="1:3" x14ac:dyDescent="0.25">
      <c r="A23">
        <v>22</v>
      </c>
      <c r="B23" t="s">
        <v>5</v>
      </c>
      <c r="C23" t="s">
        <v>91</v>
      </c>
    </row>
    <row r="24" spans="1:3" x14ac:dyDescent="0.25">
      <c r="A24">
        <v>23</v>
      </c>
      <c r="B24" t="s">
        <v>4</v>
      </c>
      <c r="C24" t="s">
        <v>92</v>
      </c>
    </row>
    <row r="25" spans="1:3" x14ac:dyDescent="0.25">
      <c r="A25">
        <v>24</v>
      </c>
      <c r="B25" t="s">
        <v>6</v>
      </c>
      <c r="C25" t="s">
        <v>93</v>
      </c>
    </row>
    <row r="26" spans="1:3" x14ac:dyDescent="0.25">
      <c r="A26">
        <v>25</v>
      </c>
      <c r="B26" t="s">
        <v>13</v>
      </c>
      <c r="C26" t="s">
        <v>94</v>
      </c>
    </row>
    <row r="27" spans="1:3" x14ac:dyDescent="0.25">
      <c r="A27">
        <v>26</v>
      </c>
      <c r="B27" t="s">
        <v>15</v>
      </c>
      <c r="C27" t="s">
        <v>95</v>
      </c>
    </row>
    <row r="28" spans="1:3" x14ac:dyDescent="0.25">
      <c r="A28">
        <v>27</v>
      </c>
      <c r="B28" t="s">
        <v>25</v>
      </c>
      <c r="C28" t="s">
        <v>96</v>
      </c>
    </row>
    <row r="29" spans="1:3" x14ac:dyDescent="0.25">
      <c r="A29">
        <v>28</v>
      </c>
      <c r="B29" t="s">
        <v>18</v>
      </c>
      <c r="C29" t="s">
        <v>97</v>
      </c>
    </row>
    <row r="30" spans="1:3" x14ac:dyDescent="0.25">
      <c r="A30">
        <v>29</v>
      </c>
      <c r="B30" t="s">
        <v>21</v>
      </c>
      <c r="C30" t="s">
        <v>98</v>
      </c>
    </row>
    <row r="31" spans="1:3" x14ac:dyDescent="0.25">
      <c r="A31">
        <v>30</v>
      </c>
      <c r="B31" t="s">
        <v>16</v>
      </c>
      <c r="C31" t="s">
        <v>99</v>
      </c>
    </row>
    <row r="32" spans="1:3" x14ac:dyDescent="0.25">
      <c r="A32">
        <v>31</v>
      </c>
      <c r="B32" t="s">
        <v>9</v>
      </c>
      <c r="C3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96E1-8D3E-477A-BC32-BB031FED3A74}">
  <dimension ref="A1:D32"/>
  <sheetViews>
    <sheetView workbookViewId="0">
      <selection activeCell="D9" sqref="D9"/>
    </sheetView>
  </sheetViews>
  <sheetFormatPr defaultColWidth="7.85546875" defaultRowHeight="15" x14ac:dyDescent="0.25"/>
  <cols>
    <col min="1" max="1" width="2.42578125" customWidth="1"/>
    <col min="2" max="2" width="40" bestFit="1" customWidth="1"/>
    <col min="3" max="3" width="15" bestFit="1" customWidth="1"/>
    <col min="4" max="4" width="12.7109375" customWidth="1"/>
  </cols>
  <sheetData>
    <row r="1" spans="1:4" s="11" customFormat="1" ht="12" x14ac:dyDescent="0.2">
      <c r="A1" s="11" t="s">
        <v>67</v>
      </c>
      <c r="B1" s="11" t="s">
        <v>68</v>
      </c>
      <c r="C1" s="11" t="s">
        <v>69</v>
      </c>
      <c r="D1" s="11" t="s">
        <v>112</v>
      </c>
    </row>
    <row r="2" spans="1:4" x14ac:dyDescent="0.25">
      <c r="A2">
        <v>1</v>
      </c>
      <c r="B2" t="s">
        <v>55</v>
      </c>
      <c r="C2" t="s">
        <v>70</v>
      </c>
      <c r="D2" t="s">
        <v>56</v>
      </c>
    </row>
    <row r="3" spans="1:4" x14ac:dyDescent="0.25">
      <c r="A3">
        <v>2</v>
      </c>
      <c r="B3" t="s">
        <v>3</v>
      </c>
      <c r="C3" t="s">
        <v>71</v>
      </c>
      <c r="D3" t="s">
        <v>31</v>
      </c>
    </row>
    <row r="4" spans="1:4" x14ac:dyDescent="0.25">
      <c r="A4">
        <v>3</v>
      </c>
      <c r="B4" t="s">
        <v>30</v>
      </c>
      <c r="C4" t="s">
        <v>72</v>
      </c>
      <c r="D4" t="s">
        <v>113</v>
      </c>
    </row>
    <row r="5" spans="1:4" x14ac:dyDescent="0.25">
      <c r="A5">
        <v>4</v>
      </c>
      <c r="B5" t="s">
        <v>11</v>
      </c>
      <c r="C5" t="s">
        <v>73</v>
      </c>
      <c r="D5" t="s">
        <v>114</v>
      </c>
    </row>
    <row r="6" spans="1:4" x14ac:dyDescent="0.25">
      <c r="A6">
        <v>5</v>
      </c>
      <c r="B6" t="s">
        <v>26</v>
      </c>
      <c r="C6" t="s">
        <v>74</v>
      </c>
      <c r="D6" t="s">
        <v>115</v>
      </c>
    </row>
    <row r="7" spans="1:4" x14ac:dyDescent="0.25">
      <c r="A7">
        <v>6</v>
      </c>
      <c r="B7" t="s">
        <v>12</v>
      </c>
      <c r="C7" t="s">
        <v>75</v>
      </c>
      <c r="D7" t="s">
        <v>116</v>
      </c>
    </row>
    <row r="8" spans="1:4" x14ac:dyDescent="0.25">
      <c r="A8">
        <v>7</v>
      </c>
      <c r="B8" t="s">
        <v>10</v>
      </c>
      <c r="C8" t="s">
        <v>76</v>
      </c>
      <c r="D8" t="s">
        <v>114</v>
      </c>
    </row>
    <row r="9" spans="1:4" x14ac:dyDescent="0.25">
      <c r="A9">
        <v>8</v>
      </c>
      <c r="B9" t="s">
        <v>27</v>
      </c>
      <c r="C9" t="s">
        <v>77</v>
      </c>
      <c r="D9" t="s">
        <v>117</v>
      </c>
    </row>
    <row r="10" spans="1:4" x14ac:dyDescent="0.25">
      <c r="A10">
        <v>9</v>
      </c>
      <c r="B10" t="s">
        <v>14</v>
      </c>
      <c r="C10" t="s">
        <v>78</v>
      </c>
      <c r="D10" t="s">
        <v>118</v>
      </c>
    </row>
    <row r="11" spans="1:4" x14ac:dyDescent="0.25">
      <c r="A11">
        <v>10</v>
      </c>
      <c r="B11" t="s">
        <v>52</v>
      </c>
      <c r="C11" t="s">
        <v>79</v>
      </c>
      <c r="D11" t="s">
        <v>54</v>
      </c>
    </row>
    <row r="12" spans="1:4" x14ac:dyDescent="0.25">
      <c r="A12">
        <v>11</v>
      </c>
      <c r="B12" t="s">
        <v>28</v>
      </c>
      <c r="C12" t="s">
        <v>80</v>
      </c>
      <c r="D12" t="s">
        <v>119</v>
      </c>
    </row>
    <row r="13" spans="1:4" x14ac:dyDescent="0.25">
      <c r="A13">
        <v>12</v>
      </c>
      <c r="B13" t="s">
        <v>24</v>
      </c>
      <c r="C13" t="s">
        <v>81</v>
      </c>
      <c r="D13" t="s">
        <v>120</v>
      </c>
    </row>
    <row r="14" spans="1:4" x14ac:dyDescent="0.25">
      <c r="A14">
        <v>13</v>
      </c>
      <c r="B14" t="s">
        <v>20</v>
      </c>
      <c r="C14" t="s">
        <v>82</v>
      </c>
      <c r="D14" t="s">
        <v>121</v>
      </c>
    </row>
    <row r="15" spans="1:4" x14ac:dyDescent="0.25">
      <c r="A15">
        <v>14</v>
      </c>
      <c r="B15" t="s">
        <v>17</v>
      </c>
      <c r="C15" t="s">
        <v>83</v>
      </c>
      <c r="D15" t="s">
        <v>31</v>
      </c>
    </row>
    <row r="16" spans="1:4" x14ac:dyDescent="0.25">
      <c r="A16">
        <v>15</v>
      </c>
      <c r="B16" t="s">
        <v>51</v>
      </c>
      <c r="C16" t="s">
        <v>84</v>
      </c>
      <c r="D16" t="s">
        <v>116</v>
      </c>
    </row>
    <row r="17" spans="1:4" x14ac:dyDescent="0.25">
      <c r="A17">
        <v>16</v>
      </c>
      <c r="B17" t="s">
        <v>22</v>
      </c>
      <c r="C17" t="s">
        <v>85</v>
      </c>
      <c r="D17" t="s">
        <v>122</v>
      </c>
    </row>
    <row r="18" spans="1:4" x14ac:dyDescent="0.25">
      <c r="A18">
        <v>17</v>
      </c>
      <c r="B18" t="s">
        <v>29</v>
      </c>
      <c r="C18" t="s">
        <v>86</v>
      </c>
      <c r="D18" t="s">
        <v>113</v>
      </c>
    </row>
    <row r="19" spans="1:4" x14ac:dyDescent="0.25">
      <c r="A19">
        <v>18</v>
      </c>
      <c r="B19" t="s">
        <v>23</v>
      </c>
      <c r="C19" t="s">
        <v>87</v>
      </c>
      <c r="D19" t="s">
        <v>123</v>
      </c>
    </row>
    <row r="20" spans="1:4" x14ac:dyDescent="0.25">
      <c r="A20">
        <v>19</v>
      </c>
      <c r="B20" t="s">
        <v>19</v>
      </c>
      <c r="C20" t="s">
        <v>88</v>
      </c>
      <c r="D20" t="s">
        <v>124</v>
      </c>
    </row>
    <row r="21" spans="1:4" x14ac:dyDescent="0.25">
      <c r="A21">
        <v>20</v>
      </c>
      <c r="B21" t="s">
        <v>7</v>
      </c>
      <c r="C21" t="s">
        <v>89</v>
      </c>
      <c r="D21" t="s">
        <v>116</v>
      </c>
    </row>
    <row r="22" spans="1:4" x14ac:dyDescent="0.25">
      <c r="A22">
        <v>21</v>
      </c>
      <c r="B22" t="s">
        <v>8</v>
      </c>
      <c r="C22" t="s">
        <v>90</v>
      </c>
      <c r="D22" t="s">
        <v>116</v>
      </c>
    </row>
    <row r="23" spans="1:4" x14ac:dyDescent="0.25">
      <c r="A23">
        <v>22</v>
      </c>
      <c r="B23" t="s">
        <v>5</v>
      </c>
      <c r="C23" t="s">
        <v>91</v>
      </c>
      <c r="D23" t="s">
        <v>125</v>
      </c>
    </row>
    <row r="24" spans="1:4" x14ac:dyDescent="0.25">
      <c r="A24">
        <v>23</v>
      </c>
      <c r="B24" t="s">
        <v>4</v>
      </c>
      <c r="C24" t="s">
        <v>92</v>
      </c>
      <c r="D24" t="s">
        <v>126</v>
      </c>
    </row>
    <row r="25" spans="1:4" x14ac:dyDescent="0.25">
      <c r="A25">
        <v>24</v>
      </c>
      <c r="B25" t="s">
        <v>6</v>
      </c>
      <c r="C25" t="s">
        <v>93</v>
      </c>
      <c r="D25" t="s">
        <v>126</v>
      </c>
    </row>
    <row r="26" spans="1:4" x14ac:dyDescent="0.25">
      <c r="A26">
        <v>25</v>
      </c>
      <c r="B26" t="s">
        <v>13</v>
      </c>
      <c r="C26" t="s">
        <v>94</v>
      </c>
      <c r="D26" t="s">
        <v>116</v>
      </c>
    </row>
    <row r="27" spans="1:4" x14ac:dyDescent="0.25">
      <c r="A27">
        <v>26</v>
      </c>
      <c r="B27" t="s">
        <v>15</v>
      </c>
      <c r="C27" t="s">
        <v>95</v>
      </c>
      <c r="D27" t="s">
        <v>31</v>
      </c>
    </row>
    <row r="28" spans="1:4" x14ac:dyDescent="0.25">
      <c r="A28">
        <v>27</v>
      </c>
      <c r="B28" t="s">
        <v>25</v>
      </c>
      <c r="C28" t="s">
        <v>96</v>
      </c>
      <c r="D28" t="s">
        <v>127</v>
      </c>
    </row>
    <row r="29" spans="1:4" x14ac:dyDescent="0.25">
      <c r="A29">
        <v>28</v>
      </c>
      <c r="B29" t="s">
        <v>18</v>
      </c>
      <c r="C29" t="s">
        <v>97</v>
      </c>
      <c r="D29" t="s">
        <v>118</v>
      </c>
    </row>
    <row r="30" spans="1:4" x14ac:dyDescent="0.25">
      <c r="A30">
        <v>29</v>
      </c>
      <c r="B30" t="s">
        <v>21</v>
      </c>
      <c r="C30" t="s">
        <v>98</v>
      </c>
      <c r="D30" t="s">
        <v>128</v>
      </c>
    </row>
    <row r="31" spans="1:4" x14ac:dyDescent="0.25">
      <c r="A31">
        <v>30</v>
      </c>
      <c r="B31" t="s">
        <v>16</v>
      </c>
      <c r="C31" t="s">
        <v>99</v>
      </c>
      <c r="D31" t="s">
        <v>31</v>
      </c>
    </row>
    <row r="32" spans="1:4" x14ac:dyDescent="0.25">
      <c r="A32">
        <v>31</v>
      </c>
      <c r="B32" t="s">
        <v>9</v>
      </c>
      <c r="C32" t="s">
        <v>100</v>
      </c>
      <c r="D3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PREM TO COMM LHR ADJUST</vt:lpstr>
      <vt:lpstr>working-premium</vt:lpstr>
      <vt:lpstr>working-commission</vt:lpstr>
      <vt:lpstr>Sheet4</vt:lpstr>
      <vt:lpstr>policyP</vt:lpstr>
      <vt:lpstr>plicyC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User15</dc:creator>
  <cp:lastModifiedBy>IT User Software</cp:lastModifiedBy>
  <dcterms:created xsi:type="dcterms:W3CDTF">2024-10-22T05:06:27Z</dcterms:created>
  <dcterms:modified xsi:type="dcterms:W3CDTF">2024-10-24T11:03:27Z</dcterms:modified>
</cp:coreProperties>
</file>